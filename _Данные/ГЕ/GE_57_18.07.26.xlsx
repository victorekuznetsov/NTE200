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BF7C1EB-C40A-448A-91E4-EC7C8E0BE9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7_20260718-155916 48" sheetId="2" r:id="rId1"/>
    <sheet name="Лист1" sheetId="1" r:id="rId2"/>
  </sheets>
  <definedNames>
    <definedName name="_xlnm._FilterDatabase" localSheetId="0" hidden="1">'events_ru_57_20260718-155916 48'!$A$9:$J$3746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87D4D0-2A8D-413D-BB0A-A54AB5EA7A7E}" keepAlive="1" name="Запрос — events_ru_57_20260718-155916 481" description="Соединение с запросом &quot;events_ru_57_20260718-155916 481&quot; в книге." type="5" refreshedVersion="0" background="1">
    <dbPr connection="Provider=Microsoft.Mashup.OleDb.1;Data Source=$Workbook$;Location=&quot;events_ru_57_20260718-155916 481&quot;;Extended Properties=&quot;&quot;" command="SELECT * FROM [events_ru_57_20260718-155916 481]"/>
  </connection>
</connections>
</file>

<file path=xl/sharedStrings.xml><?xml version="1.0" encoding="utf-8"?>
<sst xmlns="http://schemas.openxmlformats.org/spreadsheetml/2006/main" count="17222" uniqueCount="146">
  <si>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</si>
  <si>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</si>
  <si>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</si>
  <si>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</si>
  <si>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</si>
  <si>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</si>
  <si>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</si>
  <si>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</si>
  <si>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</si>
  <si>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</si>
  <si>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</si>
  <si>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</si>
  <si>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</si>
  <si>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</si>
  <si>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</si>
  <si>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</si>
  <si>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</si>
  <si>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</si>
  <si>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</si>
  <si>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</si>
  <si>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</si>
  <si>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</si>
  <si>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</si>
  <si>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</si>
  <si>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>--Включение питания системы--</t>
  </si>
  <si>
    <t>Null</t>
  </si>
  <si>
    <t>SRst</t>
  </si>
  <si>
    <t>Самосвал перегружен - NR</t>
  </si>
  <si>
    <t>Не доступно</t>
  </si>
  <si>
    <t>Log+</t>
  </si>
  <si>
    <t>Propel</t>
  </si>
  <si>
    <t>WRst</t>
  </si>
  <si>
    <t>Низкая мощность</t>
  </si>
  <si>
    <t>Регулировка мощности в отрицательной зоне</t>
  </si>
  <si>
    <t xml:space="preserve">Log </t>
  </si>
  <si>
    <t>Рабочий тормоз на ходу</t>
  </si>
  <si>
    <t>Рабочие тормоза использованы на ходу</t>
  </si>
  <si>
    <t>Retard</t>
  </si>
  <si>
    <t>Ready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</si>
  <si>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</si>
  <si>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</si>
  <si>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</si>
  <si>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Сравнение CMD скорости вращения ДВС</t>
  </si>
  <si>
    <t>ОБ/МИН не соответствуют команде</t>
  </si>
  <si>
    <t>ARst</t>
  </si>
  <si>
    <t>Тест VI не пройден</t>
  </si>
  <si>
    <t>Инвертор</t>
  </si>
  <si>
    <t>Нет питания</t>
  </si>
  <si>
    <t>Вход в безопасный режим файловой системы - Ключ или CPS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</si>
  <si>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</si>
  <si>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</si>
  <si>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</si>
  <si>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Команда сохранения данных PTU</t>
  </si>
  <si>
    <t>Инициированное водителем сохранение данных</t>
  </si>
  <si>
    <t>Вход в безопасный режим файловой системы - Запуск двигателя</t>
  </si>
  <si>
    <t>Reset All Faults</t>
  </si>
  <si>
    <t>Zero</t>
  </si>
  <si>
    <t>TMC2 Источник питания ИНВ</t>
  </si>
  <si>
    <t>-15 вольт вне допусков</t>
  </si>
  <si>
    <t>Инв2 Выкл</t>
  </si>
  <si>
    <t>TMC1 Источник питания ИНВ</t>
  </si>
  <si>
    <t>Инв1 Выкл</t>
  </si>
  <si>
    <t>Отказ платы FB173 - НЕТ ТЯГИ</t>
  </si>
  <si>
    <t>Показание A3P</t>
  </si>
  <si>
    <t>Нет Тяги, Нет Самонагрузки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</si>
  <si>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</si>
  <si>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</si>
  <si>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</si>
  <si>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аналогового датчика</t>
  </si>
  <si>
    <t>PSC напряжение ЗПТ</t>
  </si>
  <si>
    <t>Низкое напряжение АКБ</t>
  </si>
  <si>
    <t>Низкий заряд АКБ 24В КС - ДВС остановлен</t>
  </si>
  <si>
    <t>Su-Sd</t>
  </si>
  <si>
    <t>Ошибка сети CAN (CAN1)</t>
  </si>
  <si>
    <t>Потеря связи - сеть CAN двигателя</t>
  </si>
  <si>
    <t>Нет Самонагрузки, Предел скорости (нижний)</t>
  </si>
  <si>
    <t>Превышение тока третичной обмотки</t>
  </si>
  <si>
    <t>Слишком высокий ток третичной обмотки генератора</t>
  </si>
  <si>
    <t>Ошибка датчика скорости генератора</t>
  </si>
  <si>
    <t>Получено предупреждение ДВС</t>
  </si>
  <si>
    <t>Запрет тяги</t>
  </si>
  <si>
    <t>Превышении скорости</t>
  </si>
  <si>
    <t>Управление скоростью - превышение</t>
  </si>
  <si>
    <t>Самопроизвольный останов ДВС</t>
  </si>
  <si>
    <t>Unrequested Engine Speed Drop - While Stopped</t>
  </si>
  <si>
    <t>Начальная загрузка системы не из-за включения питания</t>
  </si>
  <si>
    <t>КС движется при перезагрузке системы</t>
  </si>
  <si>
    <t>Правый передний датчик скорости</t>
  </si>
  <si>
    <t>Ноль при движении самосвала</t>
  </si>
  <si>
    <t>TMC1 Фаза В- ИНВ</t>
  </si>
  <si>
    <t>Модули фаз В+ и В- вкл.</t>
  </si>
  <si>
    <t>TMC1 Фаза В+/фаза В- ИНВ</t>
  </si>
  <si>
    <t>Ошибка насыщения IGBT фаза В-</t>
  </si>
  <si>
    <t>Rest</t>
  </si>
  <si>
    <t>TMC1 Фаза С- ИНВ</t>
  </si>
  <si>
    <t>Сбой источника питания IGBT фаза С-</t>
  </si>
  <si>
    <t>Модуль фазы С- не выключился</t>
  </si>
  <si>
    <t>Модули фаз С+ и С- вкл.</t>
  </si>
  <si>
    <t>TMC2 Фаза С- ИНВ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</si>
  <si>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</si>
  <si>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</si>
  <si>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</si>
  <si>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</si>
  <si>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</si>
  <si>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</si>
  <si>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Отключено питание гейт драйвера</t>
  </si>
  <si>
    <t>TMC1 Отказ GDPS1 [FM589]</t>
  </si>
  <si>
    <t>Температура окружающего воздуха вне пределов</t>
  </si>
  <si>
    <t>Высокий</t>
  </si>
  <si>
    <t xml:space="preserve">TMC2 ИНВ Фаза A+/фаза A- </t>
  </si>
  <si>
    <t>Отказ, насыщение IGBT фаза A-</t>
  </si>
  <si>
    <t>TMC2 Система ИНВ</t>
  </si>
  <si>
    <t>Слишком низкое напряжение фильтра ЗПТ</t>
  </si>
  <si>
    <t>TMC1 Система ИНВ</t>
  </si>
  <si>
    <t>Установка часов реального времени</t>
  </si>
  <si>
    <t>через WebPTU</t>
  </si>
  <si>
    <t>Останов ДВС во время движения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</si>
  <si>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</si>
  <si>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</si>
  <si>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TMC1 Фаза В- ИНВ (NR)</t>
  </si>
  <si>
    <t>Фаза В- не выкл. при напряжении включения/пост. тока</t>
  </si>
  <si>
    <t>Обратная связь фазы В- не выключена</t>
  </si>
  <si>
    <t>Обрыв цепи чоппера</t>
  </si>
  <si>
    <t>Чоппер 1</t>
  </si>
  <si>
    <t>TMC1 Чоппер 2 ИНВ (NR)</t>
  </si>
  <si>
    <t>Чоппер 2 - Обратная связь не выключена</t>
  </si>
  <si>
    <t>TMC1 Чоппер 1 ИНВ (NR)</t>
  </si>
  <si>
    <t>Обратная связь Чоппера 1 не включена</t>
  </si>
  <si>
    <t>Чоппер 2</t>
  </si>
  <si>
    <t>Обратная связь фазы В- не вкл.</t>
  </si>
  <si>
    <t>TMC2 Фаза В- ИНВ (NR)</t>
  </si>
  <si>
    <t>TMC1 Фаза А- ИНВ (NR)</t>
  </si>
  <si>
    <t>Фаза A- не выкл. при напряжении включения/пост. тока</t>
  </si>
  <si>
    <t>Несколько фазных модулей не выключены по команде</t>
  </si>
  <si>
    <t>TMC1 ИНВ Фаза А+ (NR)</t>
  </si>
  <si>
    <t>Фаза A+ не выкл. при напряжении включения/пост. тока</t>
  </si>
  <si>
    <t>TMC2 Фаза С+ ИНВ (NR)</t>
  </si>
  <si>
    <t>Фаза С+ не выкл. при напряжении включения/пост. тока</t>
  </si>
  <si>
    <t>TMC2 Фаза С+ ИНВ</t>
  </si>
  <si>
    <t>Обратная связь фазы С+ не выключена</t>
  </si>
  <si>
    <t>TMC1 Фаза А- ИНВ</t>
  </si>
  <si>
    <t>Обратная связь фазы A- не выключена</t>
  </si>
  <si>
    <t xml:space="preserve">TMC1 ИНВ Фаза А+ </t>
  </si>
  <si>
    <t>Обратная связь фазы A+ не выключена</t>
  </si>
  <si>
    <t>Ошибка ЗПТ</t>
  </si>
  <si>
    <t>КЗ ЗПТ или отказ цепи возбуждения от АКБ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</si>
</sst>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1A05-8FC8-4CF1-A902-8FA662567978}">
  <dimension ref="A1:J3746"/>
  <sheetViews>
    <sheetView tabSelected="1" workbookViewId="0">
      <selection activeCell="D6" sqref="D6"/>
    </sheetView>
  </sheetViews>
  <sheetFormatPr defaultRowHeight="15" x14ac:dyDescent="0.25"/>
  <cols>
    <col min="1" max="1" width="16" bestFit="1" customWidth="1"/>
    <col min="5" max="5" width="49.140625" customWidth="1"/>
    <col min="6" max="6" width="72.28515625" bestFit="1" customWidth="1"/>
    <col min="7" max="7" width="22" bestFit="1" customWidth="1"/>
    <col min="8" max="8" width="29.855468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"2026-07-18 15:59:16.481"</f>
        <v>2026-07-18 15:59:16.481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4</v>
      </c>
      <c r="E10" t="s">
        <v>20</v>
      </c>
      <c r="F10" t="s">
        <v>21</v>
      </c>
      <c r="G10" t="str">
        <f>"2026-07-18 15:55:44.021"</f>
        <v>2026-07-18 15:55:44.021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"2026-07-18 15:55:18.981"</f>
        <v>2026-07-18 15:55:18.981</v>
      </c>
      <c r="H11" t="s">
        <v>22</v>
      </c>
      <c r="I11">
        <v>0</v>
      </c>
      <c r="J11" t="s">
        <v>25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24</v>
      </c>
      <c r="F12" t="s">
        <v>24</v>
      </c>
      <c r="G12" t="str">
        <f>"2026-07-17 01:32:26.787"</f>
        <v>2026-07-17 01:32:26.787</v>
      </c>
      <c r="H12" t="s">
        <v>22</v>
      </c>
      <c r="I12">
        <v>0</v>
      </c>
      <c r="J12" t="s">
        <v>25</v>
      </c>
    </row>
    <row r="13" spans="1:10" x14ac:dyDescent="0.25">
      <c r="A13" s="1"/>
      <c r="B13" t="s">
        <v>26</v>
      </c>
      <c r="C13">
        <v>635</v>
      </c>
      <c r="D13">
        <v>1</v>
      </c>
      <c r="E13" t="s">
        <v>27</v>
      </c>
      <c r="F13" t="s">
        <v>28</v>
      </c>
      <c r="G13" t="str">
        <f>"2026-07-16 21:43:58.895"</f>
        <v>2026-07-16 21:43:58.895</v>
      </c>
      <c r="H13" t="s">
        <v>22</v>
      </c>
    </row>
    <row r="14" spans="1:10" x14ac:dyDescent="0.25">
      <c r="A14" s="1"/>
      <c r="B14" t="s">
        <v>29</v>
      </c>
      <c r="C14">
        <v>635</v>
      </c>
      <c r="D14">
        <v>1</v>
      </c>
      <c r="E14" t="s">
        <v>27</v>
      </c>
      <c r="F14" t="s">
        <v>28</v>
      </c>
      <c r="G14" t="str">
        <f>"2026-07-16 21:38:38.895"</f>
        <v>2026-07-16 21:38:38.895</v>
      </c>
      <c r="H14" t="s">
        <v>22</v>
      </c>
      <c r="I14">
        <v>5.52</v>
      </c>
      <c r="J14" t="s">
        <v>30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24</v>
      </c>
      <c r="F15" t="s">
        <v>24</v>
      </c>
      <c r="G15" t="str">
        <f>"2026-07-16 13:44:23.575"</f>
        <v>2026-07-16 13:44:23.575</v>
      </c>
      <c r="H15" t="s">
        <v>22</v>
      </c>
      <c r="I15">
        <v>0</v>
      </c>
      <c r="J15" t="s">
        <v>25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24</v>
      </c>
      <c r="F16" t="s">
        <v>24</v>
      </c>
      <c r="G16" t="str">
        <f>"2026-07-16 12:29:26.573"</f>
        <v>2026-07-16 12:29:26.573</v>
      </c>
      <c r="H16" t="s">
        <v>22</v>
      </c>
    </row>
    <row r="17" spans="1:10" x14ac:dyDescent="0.25">
      <c r="A17" s="1"/>
      <c r="B17" t="s">
        <v>31</v>
      </c>
      <c r="C17">
        <v>87</v>
      </c>
      <c r="D17">
        <v>1</v>
      </c>
      <c r="E17" t="s">
        <v>32</v>
      </c>
      <c r="F17" t="s">
        <v>33</v>
      </c>
      <c r="G17" t="str">
        <f>"2026-07-16 11:48:32.312"</f>
        <v>2026-07-16 11:48:32.312</v>
      </c>
      <c r="H17" t="s">
        <v>22</v>
      </c>
    </row>
    <row r="18" spans="1:10" x14ac:dyDescent="0.25">
      <c r="A18" s="1"/>
      <c r="B18" t="s">
        <v>34</v>
      </c>
      <c r="C18">
        <v>87</v>
      </c>
      <c r="D18">
        <v>1</v>
      </c>
      <c r="E18" t="s">
        <v>32</v>
      </c>
      <c r="F18" t="s">
        <v>33</v>
      </c>
      <c r="G18" t="str">
        <f>"2026-07-16 11:38:52.404"</f>
        <v>2026-07-16 11:38:52.404</v>
      </c>
      <c r="H18" t="s">
        <v>22</v>
      </c>
      <c r="I18">
        <v>5.51</v>
      </c>
      <c r="J18" t="s">
        <v>30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24</v>
      </c>
      <c r="F19" t="s">
        <v>24</v>
      </c>
      <c r="G19" t="str">
        <f>"2026-07-15 17:03:55.585"</f>
        <v>2026-07-15 17:03:55.585</v>
      </c>
      <c r="H19" t="s">
        <v>22</v>
      </c>
      <c r="I19">
        <v>0</v>
      </c>
      <c r="J19" t="s">
        <v>25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24</v>
      </c>
      <c r="F20" t="s">
        <v>24</v>
      </c>
      <c r="G20" t="str">
        <f>"2026-07-15 16:38:15.579"</f>
        <v>2026-07-15 16:38:15.579</v>
      </c>
      <c r="H20" t="s">
        <v>22</v>
      </c>
    </row>
    <row r="21" spans="1:10" s="3" customFormat="1" x14ac:dyDescent="0.25">
      <c r="A21" s="2">
        <v>1</v>
      </c>
      <c r="B21" s="3" t="s">
        <v>26</v>
      </c>
      <c r="C21" s="3">
        <v>647</v>
      </c>
      <c r="D21" s="3">
        <v>1</v>
      </c>
      <c r="E21" s="3" t="s">
        <v>35</v>
      </c>
      <c r="F21" s="3" t="s">
        <v>36</v>
      </c>
      <c r="G21" s="3" t="str">
        <f>"2026-07-15 14:43:29.184"</f>
        <v>2026-07-15 14:43:29.184</v>
      </c>
      <c r="H21" s="3" t="s">
        <v>22</v>
      </c>
    </row>
    <row r="22" spans="1:10" s="3" customFormat="1" x14ac:dyDescent="0.25">
      <c r="A22" s="2">
        <v>2</v>
      </c>
      <c r="B22" s="3" t="s">
        <v>29</v>
      </c>
      <c r="C22" s="3">
        <v>647</v>
      </c>
      <c r="D22" s="3">
        <v>1</v>
      </c>
      <c r="E22" s="3" t="s">
        <v>35</v>
      </c>
      <c r="F22" s="3" t="s">
        <v>36</v>
      </c>
      <c r="G22" s="3" t="str">
        <f>"2026-07-15 14:43:26.885"</f>
        <v>2026-07-15 14:43:26.885</v>
      </c>
      <c r="H22" s="3" t="s">
        <v>22</v>
      </c>
      <c r="I22" s="3">
        <v>8.42</v>
      </c>
      <c r="J22" s="3" t="s">
        <v>37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24</v>
      </c>
      <c r="F23" t="s">
        <v>24</v>
      </c>
      <c r="G23" t="str">
        <f>"2026-07-15 14:14:42.607"</f>
        <v>2026-07-15 14:14:42.607</v>
      </c>
      <c r="H23" t="s">
        <v>22</v>
      </c>
      <c r="I23">
        <v>0</v>
      </c>
      <c r="J23" t="s">
        <v>25</v>
      </c>
    </row>
    <row r="24" spans="1:10" x14ac:dyDescent="0.25">
      <c r="A24" s="1">
        <v>4</v>
      </c>
      <c r="B24" t="s">
        <v>31</v>
      </c>
      <c r="C24">
        <v>87</v>
      </c>
      <c r="D24">
        <v>1</v>
      </c>
      <c r="E24" t="s">
        <v>32</v>
      </c>
      <c r="F24" t="s">
        <v>33</v>
      </c>
      <c r="G24" t="str">
        <f>"2026-07-15 06:35:06.655"</f>
        <v>2026-07-15 06:35:06.655</v>
      </c>
      <c r="H24" t="s">
        <v>22</v>
      </c>
    </row>
    <row r="25" spans="1:10" x14ac:dyDescent="0.25">
      <c r="A25" s="1">
        <v>5</v>
      </c>
      <c r="B25" t="s">
        <v>34</v>
      </c>
      <c r="C25">
        <v>87</v>
      </c>
      <c r="D25">
        <v>1</v>
      </c>
      <c r="E25" t="s">
        <v>32</v>
      </c>
      <c r="F25" t="s">
        <v>33</v>
      </c>
      <c r="G25" t="str">
        <f>"2026-07-15 06:31:47.393"</f>
        <v>2026-07-15 06:31:47.393</v>
      </c>
      <c r="H25" t="s">
        <v>22</v>
      </c>
      <c r="I25">
        <v>5.17</v>
      </c>
      <c r="J25" t="s">
        <v>30</v>
      </c>
    </row>
    <row r="26" spans="1:10" s="3" customFormat="1" x14ac:dyDescent="0.25">
      <c r="A26" s="2">
        <v>6</v>
      </c>
      <c r="B26" s="3" t="s">
        <v>26</v>
      </c>
      <c r="C26" s="3">
        <v>647</v>
      </c>
      <c r="D26" s="3">
        <v>1</v>
      </c>
      <c r="E26" s="3" t="s">
        <v>35</v>
      </c>
      <c r="F26" s="3" t="s">
        <v>36</v>
      </c>
      <c r="G26" s="3" t="str">
        <f>"2026-07-14 22:40:42.856"</f>
        <v>2026-07-14 22:40:42.856</v>
      </c>
      <c r="H26" s="3" t="s">
        <v>22</v>
      </c>
    </row>
    <row r="27" spans="1:10" s="3" customFormat="1" x14ac:dyDescent="0.25">
      <c r="A27" s="2">
        <v>7</v>
      </c>
      <c r="B27" s="3" t="s">
        <v>29</v>
      </c>
      <c r="C27" s="3">
        <v>647</v>
      </c>
      <c r="D27" s="3">
        <v>1</v>
      </c>
      <c r="E27" s="3" t="s">
        <v>35</v>
      </c>
      <c r="F27" s="3" t="s">
        <v>36</v>
      </c>
      <c r="G27" s="3" t="str">
        <f>"2026-07-14 22:40:41.056"</f>
        <v>2026-07-14 22:40:41.056</v>
      </c>
      <c r="H27" s="3" t="s">
        <v>22</v>
      </c>
      <c r="I27" s="3">
        <v>20.11</v>
      </c>
      <c r="J27" s="3" t="s">
        <v>37</v>
      </c>
    </row>
    <row r="28" spans="1:10" x14ac:dyDescent="0.25">
      <c r="A28" s="1">
        <v>8</v>
      </c>
      <c r="B28" t="s">
        <v>26</v>
      </c>
      <c r="C28">
        <v>635</v>
      </c>
      <c r="D28">
        <v>1</v>
      </c>
      <c r="E28" t="s">
        <v>27</v>
      </c>
      <c r="F28" t="s">
        <v>28</v>
      </c>
      <c r="G28" t="str">
        <f>"2026-07-14 21:18:01.855"</f>
        <v>2026-07-14 21:18:01.855</v>
      </c>
      <c r="H28" t="s">
        <v>22</v>
      </c>
    </row>
    <row r="29" spans="1:10" x14ac:dyDescent="0.25">
      <c r="A29" s="1">
        <v>9</v>
      </c>
      <c r="B29" t="s">
        <v>29</v>
      </c>
      <c r="C29">
        <v>635</v>
      </c>
      <c r="D29">
        <v>1</v>
      </c>
      <c r="E29" t="s">
        <v>27</v>
      </c>
      <c r="F29" t="s">
        <v>28</v>
      </c>
      <c r="G29" t="str">
        <f>"2026-07-14 21:16:15.855"</f>
        <v>2026-07-14 21:16:15.855</v>
      </c>
      <c r="H29" t="s">
        <v>22</v>
      </c>
      <c r="I29">
        <v>3.86</v>
      </c>
      <c r="J29" t="s">
        <v>38</v>
      </c>
    </row>
    <row r="30" spans="1:10" x14ac:dyDescent="0.25">
      <c r="A30" s="1">
        <v>0</v>
      </c>
      <c r="B30" t="s">
        <v>31</v>
      </c>
      <c r="C30">
        <v>87</v>
      </c>
      <c r="D30">
        <v>1</v>
      </c>
      <c r="E30" t="s">
        <v>32</v>
      </c>
      <c r="F30" t="s">
        <v>33</v>
      </c>
      <c r="G30" t="str">
        <f>"2026-07-14 17:02:49.502"</f>
        <v>2026-07-14 17:02:49.502</v>
      </c>
      <c r="H30" t="s">
        <v>22</v>
      </c>
    </row>
    <row r="31" spans="1:10" x14ac:dyDescent="0.25">
      <c r="A31" s="1">
        <v>1</v>
      </c>
      <c r="B31" t="s">
        <v>34</v>
      </c>
      <c r="C31">
        <v>87</v>
      </c>
      <c r="D31">
        <v>1</v>
      </c>
      <c r="E31" t="s">
        <v>32</v>
      </c>
      <c r="F31" t="s">
        <v>33</v>
      </c>
      <c r="G31" t="str">
        <f>"2026-07-14 17:00:22.454"</f>
        <v>2026-07-14 17:00:22.454</v>
      </c>
      <c r="H31" t="s">
        <v>22</v>
      </c>
      <c r="I31">
        <v>4.3499999999999996</v>
      </c>
      <c r="J31" t="s">
        <v>30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24</v>
      </c>
      <c r="F32" t="s">
        <v>24</v>
      </c>
      <c r="G32" t="str">
        <f>"2026-07-14 12:53:14.574"</f>
        <v>2026-07-14 12:53:14.574</v>
      </c>
      <c r="H32" t="s">
        <v>22</v>
      </c>
      <c r="I32">
        <v>0</v>
      </c>
      <c r="J32" t="s">
        <v>25</v>
      </c>
    </row>
    <row r="33" spans="1:10" s="3" customFormat="1" x14ac:dyDescent="0.25">
      <c r="A33" s="2">
        <v>3</v>
      </c>
      <c r="B33" s="3" t="s">
        <v>26</v>
      </c>
      <c r="C33" s="3">
        <v>647</v>
      </c>
      <c r="D33" s="3">
        <v>1</v>
      </c>
      <c r="E33" s="3" t="s">
        <v>35</v>
      </c>
      <c r="F33" s="3" t="s">
        <v>36</v>
      </c>
      <c r="G33" s="3" t="str">
        <f>"2026-07-13 19:21:05.841"</f>
        <v>2026-07-13 19:21:05.841</v>
      </c>
      <c r="H33" s="3" t="s">
        <v>22</v>
      </c>
    </row>
    <row r="34" spans="1:10" s="3" customFormat="1" x14ac:dyDescent="0.25">
      <c r="A34" s="2">
        <v>4</v>
      </c>
      <c r="B34" s="3" t="s">
        <v>29</v>
      </c>
      <c r="C34" s="3">
        <v>647</v>
      </c>
      <c r="D34" s="3">
        <v>1</v>
      </c>
      <c r="E34" s="3" t="s">
        <v>35</v>
      </c>
      <c r="F34" s="3" t="s">
        <v>36</v>
      </c>
      <c r="G34" s="3" t="str">
        <f>"2026-07-13 19:20:19.141"</f>
        <v>2026-07-13 19:20:19.141</v>
      </c>
      <c r="H34" s="3" t="s">
        <v>22</v>
      </c>
      <c r="I34" s="3">
        <v>9.59</v>
      </c>
      <c r="J34" s="3" t="s">
        <v>37</v>
      </c>
    </row>
    <row r="35" spans="1:10" x14ac:dyDescent="0.25">
      <c r="A35" s="1">
        <v>5</v>
      </c>
      <c r="B35" t="s">
        <v>31</v>
      </c>
      <c r="C35">
        <v>630</v>
      </c>
      <c r="D35">
        <v>5</v>
      </c>
      <c r="E35" t="s">
        <v>39</v>
      </c>
      <c r="F35" t="s">
        <v>40</v>
      </c>
      <c r="G35" t="str">
        <f>"2026-07-13 00:27:23.440"</f>
        <v>2026-07-13 00:27:23.440</v>
      </c>
      <c r="H35" t="s">
        <v>41</v>
      </c>
    </row>
    <row r="36" spans="1:10" x14ac:dyDescent="0.25">
      <c r="A36" s="1">
        <v>6</v>
      </c>
      <c r="B36" t="s">
        <v>19</v>
      </c>
      <c r="C36">
        <v>706</v>
      </c>
      <c r="D36">
        <v>4</v>
      </c>
      <c r="E36" t="s">
        <v>20</v>
      </c>
      <c r="F36" t="s">
        <v>21</v>
      </c>
      <c r="G36" t="str">
        <f>"2026-07-13 00:27:00.160"</f>
        <v>2026-07-13 00:27:00.160</v>
      </c>
      <c r="H36" t="s">
        <v>22</v>
      </c>
      <c r="I36">
        <v>0</v>
      </c>
      <c r="J36" t="s">
        <v>23</v>
      </c>
    </row>
    <row r="37" spans="1:10" x14ac:dyDescent="0.25">
      <c r="A37" s="1">
        <v>7</v>
      </c>
      <c r="B37" t="s">
        <v>34</v>
      </c>
      <c r="C37">
        <v>630</v>
      </c>
      <c r="D37">
        <v>5</v>
      </c>
      <c r="E37" t="s">
        <v>39</v>
      </c>
      <c r="F37" t="s">
        <v>40</v>
      </c>
      <c r="G37" t="str">
        <f>"2026-07-13 00:04:47.341"</f>
        <v>2026-07-13 00:04:47.341</v>
      </c>
      <c r="H37" t="s">
        <v>41</v>
      </c>
      <c r="I37">
        <v>0</v>
      </c>
      <c r="J37" t="s">
        <v>23</v>
      </c>
    </row>
    <row r="38" spans="1:10" x14ac:dyDescent="0.25">
      <c r="A38" s="1">
        <v>8</v>
      </c>
      <c r="B38" t="s">
        <v>26</v>
      </c>
      <c r="C38">
        <v>635</v>
      </c>
      <c r="D38">
        <v>1</v>
      </c>
      <c r="E38" t="s">
        <v>27</v>
      </c>
      <c r="F38" t="s">
        <v>28</v>
      </c>
      <c r="G38" t="str">
        <f>"2026-07-12 22:58:52.787"</f>
        <v>2026-07-12 22:58:52.787</v>
      </c>
      <c r="H38" t="s">
        <v>22</v>
      </c>
    </row>
    <row r="39" spans="1:10" x14ac:dyDescent="0.25">
      <c r="A39" s="1">
        <v>9</v>
      </c>
      <c r="B39" t="s">
        <v>29</v>
      </c>
      <c r="C39">
        <v>635</v>
      </c>
      <c r="D39">
        <v>1</v>
      </c>
      <c r="E39" t="s">
        <v>27</v>
      </c>
      <c r="F39" t="s">
        <v>28</v>
      </c>
      <c r="G39" t="str">
        <f>"2026-07-12 22:56:01.287"</f>
        <v>2026-07-12 22:56:01.287</v>
      </c>
      <c r="H39" t="s">
        <v>22</v>
      </c>
      <c r="I39">
        <v>3.92</v>
      </c>
      <c r="J39" t="s">
        <v>37</v>
      </c>
    </row>
    <row r="40" spans="1:10" x14ac:dyDescent="0.25">
      <c r="A40" s="1">
        <v>0</v>
      </c>
      <c r="B40" t="s">
        <v>31</v>
      </c>
      <c r="C40">
        <v>87</v>
      </c>
      <c r="D40">
        <v>1</v>
      </c>
      <c r="E40" t="s">
        <v>32</v>
      </c>
      <c r="F40" t="s">
        <v>33</v>
      </c>
      <c r="G40" t="str">
        <f>"2026-07-12 16:10:19.587"</f>
        <v>2026-07-12 16:10:19.587</v>
      </c>
      <c r="H40" t="s">
        <v>22</v>
      </c>
    </row>
    <row r="41" spans="1:10" x14ac:dyDescent="0.25">
      <c r="A41" s="1">
        <v>1</v>
      </c>
      <c r="B41" t="s">
        <v>34</v>
      </c>
      <c r="C41">
        <v>87</v>
      </c>
      <c r="D41">
        <v>1</v>
      </c>
      <c r="E41" t="s">
        <v>32</v>
      </c>
      <c r="F41" t="s">
        <v>33</v>
      </c>
      <c r="G41" t="str">
        <f>"2026-07-12 15:58:57.399"</f>
        <v>2026-07-12 15:58:57.399</v>
      </c>
      <c r="H41" t="s">
        <v>22</v>
      </c>
      <c r="I41">
        <v>5.84</v>
      </c>
      <c r="J41" t="s">
        <v>30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24</v>
      </c>
      <c r="F42" t="s">
        <v>24</v>
      </c>
      <c r="G42" t="str">
        <f>"2026-07-12 09:04:23.560"</f>
        <v>2026-07-12 09:04:23.560</v>
      </c>
      <c r="H42" t="s">
        <v>22</v>
      </c>
      <c r="I42">
        <v>0</v>
      </c>
      <c r="J42" t="s">
        <v>25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24</v>
      </c>
      <c r="F43" t="s">
        <v>24</v>
      </c>
      <c r="G43" t="str">
        <f>"2026-07-12 08:33:30.578"</f>
        <v>2026-07-12 08:33:30.578</v>
      </c>
      <c r="H43" t="s">
        <v>22</v>
      </c>
      <c r="I43">
        <v>0</v>
      </c>
      <c r="J43" t="s">
        <v>25</v>
      </c>
    </row>
    <row r="44" spans="1:10" x14ac:dyDescent="0.25">
      <c r="A44" s="1">
        <v>4</v>
      </c>
      <c r="B44" t="s">
        <v>19</v>
      </c>
      <c r="C44">
        <v>700</v>
      </c>
      <c r="D44">
        <v>0</v>
      </c>
      <c r="E44" t="s">
        <v>24</v>
      </c>
      <c r="F44" t="s">
        <v>24</v>
      </c>
      <c r="G44" t="str">
        <f>"2026-07-12 03:25:01.577"</f>
        <v>2026-07-12 03:25:01.577</v>
      </c>
      <c r="H44" t="s">
        <v>22</v>
      </c>
      <c r="I44">
        <v>0</v>
      </c>
      <c r="J44" t="s">
        <v>25</v>
      </c>
    </row>
    <row r="45" spans="1:10" x14ac:dyDescent="0.25">
      <c r="A45" s="1">
        <v>5</v>
      </c>
      <c r="B45" t="s">
        <v>26</v>
      </c>
      <c r="C45">
        <v>630</v>
      </c>
      <c r="D45">
        <v>5</v>
      </c>
      <c r="E45" t="s">
        <v>39</v>
      </c>
      <c r="F45" t="s">
        <v>40</v>
      </c>
      <c r="G45" t="str">
        <f>"2026-07-12 02:59:25.971"</f>
        <v>2026-07-12 02:59:25.971</v>
      </c>
      <c r="H45" t="s">
        <v>41</v>
      </c>
    </row>
    <row r="46" spans="1:10" x14ac:dyDescent="0.25">
      <c r="A46" s="1">
        <v>6</v>
      </c>
      <c r="B46" t="s">
        <v>19</v>
      </c>
      <c r="C46">
        <v>706</v>
      </c>
      <c r="D46">
        <v>4</v>
      </c>
      <c r="E46" t="s">
        <v>20</v>
      </c>
      <c r="F46" t="s">
        <v>21</v>
      </c>
      <c r="G46" t="str">
        <f>"2026-07-12 02:58:55.999"</f>
        <v>2026-07-12 02:58:55.999</v>
      </c>
      <c r="H46" t="s">
        <v>22</v>
      </c>
      <c r="I46">
        <v>0</v>
      </c>
      <c r="J46" t="s">
        <v>23</v>
      </c>
    </row>
    <row r="47" spans="1:10" x14ac:dyDescent="0.25">
      <c r="A47" s="1">
        <v>7</v>
      </c>
      <c r="B47" t="s">
        <v>34</v>
      </c>
      <c r="C47">
        <v>630</v>
      </c>
      <c r="D47">
        <v>5</v>
      </c>
      <c r="E47" t="s">
        <v>39</v>
      </c>
      <c r="F47" t="s">
        <v>40</v>
      </c>
      <c r="G47" t="str">
        <f>"2026-07-12 02:55:58.371"</f>
        <v>2026-07-12 02:55:58.371</v>
      </c>
      <c r="H47" t="s">
        <v>41</v>
      </c>
      <c r="I47">
        <v>0</v>
      </c>
      <c r="J47" t="s">
        <v>23</v>
      </c>
    </row>
    <row r="48" spans="1:10" x14ac:dyDescent="0.25">
      <c r="A48" s="1">
        <v>8</v>
      </c>
      <c r="B48" t="s">
        <v>26</v>
      </c>
      <c r="C48">
        <v>630</v>
      </c>
      <c r="D48">
        <v>5</v>
      </c>
      <c r="E48" t="s">
        <v>39</v>
      </c>
      <c r="F48" t="s">
        <v>40</v>
      </c>
      <c r="G48" t="str">
        <f>"2026-07-12 00:34:38.971"</f>
        <v>2026-07-12 00:34:38.971</v>
      </c>
      <c r="H48" t="s">
        <v>41</v>
      </c>
    </row>
    <row r="49" spans="1:10" x14ac:dyDescent="0.25">
      <c r="A49" s="1">
        <v>9</v>
      </c>
      <c r="B49" t="s">
        <v>19</v>
      </c>
      <c r="C49">
        <v>706</v>
      </c>
      <c r="D49">
        <v>4</v>
      </c>
      <c r="E49" t="s">
        <v>20</v>
      </c>
      <c r="F49" t="s">
        <v>21</v>
      </c>
      <c r="G49" t="str">
        <f>"2026-07-12 00:34:08.859"</f>
        <v>2026-07-12 00:34:08.859</v>
      </c>
      <c r="H49" t="s">
        <v>22</v>
      </c>
      <c r="I49">
        <v>0</v>
      </c>
      <c r="J49" t="s">
        <v>23</v>
      </c>
    </row>
    <row r="50" spans="1:10" x14ac:dyDescent="0.25">
      <c r="A50" s="1">
        <v>0</v>
      </c>
      <c r="B50" t="s">
        <v>34</v>
      </c>
      <c r="C50">
        <v>630</v>
      </c>
      <c r="D50">
        <v>5</v>
      </c>
      <c r="E50" t="s">
        <v>39</v>
      </c>
      <c r="F50" t="s">
        <v>40</v>
      </c>
      <c r="G50" t="str">
        <f>"2026-07-12 00:14:55.971"</f>
        <v>2026-07-12 00:14:55.971</v>
      </c>
      <c r="H50" t="s">
        <v>41</v>
      </c>
      <c r="I50">
        <v>0</v>
      </c>
      <c r="J50" t="s">
        <v>23</v>
      </c>
    </row>
    <row r="51" spans="1:10" x14ac:dyDescent="0.25">
      <c r="A51" s="1">
        <v>1</v>
      </c>
      <c r="B51" t="s">
        <v>26</v>
      </c>
      <c r="C51">
        <v>635</v>
      </c>
      <c r="D51">
        <v>1</v>
      </c>
      <c r="E51" t="s">
        <v>27</v>
      </c>
      <c r="F51" t="s">
        <v>28</v>
      </c>
      <c r="G51" t="str">
        <f>"2026-07-11 17:33:21.417"</f>
        <v>2026-07-11 17:33:21.417</v>
      </c>
      <c r="H51" t="s">
        <v>22</v>
      </c>
    </row>
    <row r="52" spans="1:10" x14ac:dyDescent="0.25">
      <c r="A52" s="1">
        <v>2</v>
      </c>
      <c r="B52" t="s">
        <v>29</v>
      </c>
      <c r="C52">
        <v>635</v>
      </c>
      <c r="D52">
        <v>1</v>
      </c>
      <c r="E52" t="s">
        <v>27</v>
      </c>
      <c r="F52" t="s">
        <v>28</v>
      </c>
      <c r="G52" t="str">
        <f>"2026-07-11 17:30:42.517"</f>
        <v>2026-07-11 17:30:42.517</v>
      </c>
      <c r="H52" t="s">
        <v>22</v>
      </c>
      <c r="I52">
        <v>-0.06</v>
      </c>
      <c r="J52" t="s">
        <v>38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24</v>
      </c>
      <c r="F53" t="s">
        <v>24</v>
      </c>
      <c r="G53" t="str">
        <f>"2026-07-11 10:12:40.599"</f>
        <v>2026-07-11 10:12:40.599</v>
      </c>
      <c r="H53" t="s">
        <v>22</v>
      </c>
      <c r="I53">
        <v>0</v>
      </c>
      <c r="J53" t="s">
        <v>25</v>
      </c>
    </row>
    <row r="54" spans="1:10" x14ac:dyDescent="0.25">
      <c r="A54" s="1">
        <v>4</v>
      </c>
      <c r="B54" t="s">
        <v>26</v>
      </c>
      <c r="C54">
        <v>630</v>
      </c>
      <c r="D54">
        <v>5</v>
      </c>
      <c r="E54" t="s">
        <v>39</v>
      </c>
      <c r="F54" t="s">
        <v>40</v>
      </c>
      <c r="G54" t="str">
        <f>"2026-07-11 02:12:28.041"</f>
        <v>2026-07-11 02:12:28.041</v>
      </c>
      <c r="H54" t="s">
        <v>41</v>
      </c>
    </row>
    <row r="55" spans="1:10" x14ac:dyDescent="0.25">
      <c r="A55" s="1">
        <v>5</v>
      </c>
      <c r="B55" t="s">
        <v>19</v>
      </c>
      <c r="C55">
        <v>706</v>
      </c>
      <c r="D55">
        <v>4</v>
      </c>
      <c r="E55" t="s">
        <v>20</v>
      </c>
      <c r="F55" t="s">
        <v>21</v>
      </c>
      <c r="G55" t="str">
        <f>"2026-07-11 02:11:57.794"</f>
        <v>2026-07-11 02:11:57.794</v>
      </c>
      <c r="H55" t="s">
        <v>22</v>
      </c>
      <c r="I55">
        <v>0</v>
      </c>
      <c r="J55" t="s">
        <v>23</v>
      </c>
    </row>
    <row r="56" spans="1:10" x14ac:dyDescent="0.25">
      <c r="A56" s="1">
        <v>6</v>
      </c>
      <c r="B56" t="s">
        <v>34</v>
      </c>
      <c r="C56">
        <v>630</v>
      </c>
      <c r="D56">
        <v>5</v>
      </c>
      <c r="E56" t="s">
        <v>39</v>
      </c>
      <c r="F56" t="s">
        <v>40</v>
      </c>
      <c r="G56" t="str">
        <f>"2026-07-11 02:10:13.342"</f>
        <v>2026-07-11 02:10:13.342</v>
      </c>
      <c r="H56" t="s">
        <v>41</v>
      </c>
      <c r="I56">
        <v>0</v>
      </c>
      <c r="J56" t="s">
        <v>23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24</v>
      </c>
      <c r="F57" t="s">
        <v>24</v>
      </c>
      <c r="G57" t="str">
        <f>"2026-07-11 02:05:10.574"</f>
        <v>2026-07-11 02:05:10.574</v>
      </c>
      <c r="H57" t="s">
        <v>22</v>
      </c>
      <c r="I57">
        <v>0</v>
      </c>
      <c r="J57" t="s">
        <v>25</v>
      </c>
    </row>
    <row r="58" spans="1:10" s="3" customFormat="1" x14ac:dyDescent="0.25">
      <c r="A58" s="2">
        <v>8</v>
      </c>
      <c r="B58" s="3" t="s">
        <v>26</v>
      </c>
      <c r="C58" s="3">
        <v>647</v>
      </c>
      <c r="D58" s="3">
        <v>1</v>
      </c>
      <c r="E58" s="3" t="s">
        <v>35</v>
      </c>
      <c r="F58" s="3" t="s">
        <v>36</v>
      </c>
      <c r="G58" s="3" t="str">
        <f>"2026-07-10 16:17:07.671"</f>
        <v>2026-07-10 16:17:07.671</v>
      </c>
      <c r="H58" s="3" t="s">
        <v>22</v>
      </c>
    </row>
    <row r="59" spans="1:10" s="3" customFormat="1" x14ac:dyDescent="0.25">
      <c r="A59" s="2">
        <v>9</v>
      </c>
      <c r="B59" s="3" t="s">
        <v>29</v>
      </c>
      <c r="C59" s="3">
        <v>647</v>
      </c>
      <c r="D59" s="3">
        <v>1</v>
      </c>
      <c r="E59" s="3" t="s">
        <v>35</v>
      </c>
      <c r="F59" s="3" t="s">
        <v>36</v>
      </c>
      <c r="G59" s="3" t="str">
        <f>"2026-07-10 16:17:04.971"</f>
        <v>2026-07-10 16:17:04.971</v>
      </c>
      <c r="H59" s="3" t="s">
        <v>22</v>
      </c>
      <c r="I59" s="3">
        <v>9.65</v>
      </c>
      <c r="J59" s="3" t="s">
        <v>37</v>
      </c>
    </row>
    <row r="60" spans="1:10" x14ac:dyDescent="0.25">
      <c r="A60" s="1">
        <v>0</v>
      </c>
      <c r="B60" t="s">
        <v>19</v>
      </c>
      <c r="C60">
        <v>700</v>
      </c>
      <c r="D60">
        <v>0</v>
      </c>
      <c r="E60" t="s">
        <v>24</v>
      </c>
      <c r="F60" t="s">
        <v>24</v>
      </c>
      <c r="G60" t="str">
        <f>"2026-07-10 00:14:45.589"</f>
        <v>2026-07-10 00:14:45.589</v>
      </c>
      <c r="H60" t="s">
        <v>22</v>
      </c>
    </row>
    <row r="61" spans="1:10" x14ac:dyDescent="0.25">
      <c r="A61" s="1">
        <v>1</v>
      </c>
      <c r="B61" t="s">
        <v>19</v>
      </c>
      <c r="C61">
        <v>700</v>
      </c>
      <c r="D61">
        <v>0</v>
      </c>
      <c r="E61" t="s">
        <v>24</v>
      </c>
      <c r="F61" t="s">
        <v>24</v>
      </c>
      <c r="G61" t="str">
        <f>"2026-07-09 16:28:24.556"</f>
        <v>2026-07-09 16:28:24.556</v>
      </c>
      <c r="H61" t="s">
        <v>22</v>
      </c>
      <c r="I61">
        <v>0</v>
      </c>
      <c r="J61" t="s">
        <v>25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24</v>
      </c>
      <c r="F62" t="s">
        <v>24</v>
      </c>
      <c r="G62" t="str">
        <f>"2026-07-09 16:22:50.851"</f>
        <v>2026-07-09 16:22:50.851</v>
      </c>
      <c r="H62" t="s">
        <v>22</v>
      </c>
      <c r="I62">
        <v>0</v>
      </c>
      <c r="J62" t="s">
        <v>25</v>
      </c>
    </row>
    <row r="63" spans="1:10" x14ac:dyDescent="0.25">
      <c r="A63" s="1">
        <v>3</v>
      </c>
      <c r="B63" t="s">
        <v>19</v>
      </c>
      <c r="C63">
        <v>700</v>
      </c>
      <c r="D63">
        <v>0</v>
      </c>
      <c r="E63" t="s">
        <v>24</v>
      </c>
      <c r="F63" t="s">
        <v>24</v>
      </c>
      <c r="G63" t="str">
        <f>"2026-07-09 13:24:34.594"</f>
        <v>2026-07-09 13:24:34.594</v>
      </c>
      <c r="H63" t="s">
        <v>22</v>
      </c>
      <c r="I63">
        <v>0</v>
      </c>
      <c r="J63" t="s">
        <v>25</v>
      </c>
    </row>
    <row r="64" spans="1:10" x14ac:dyDescent="0.25">
      <c r="A64" s="1">
        <v>4</v>
      </c>
      <c r="B64" t="s">
        <v>19</v>
      </c>
      <c r="C64">
        <v>700</v>
      </c>
      <c r="D64">
        <v>0</v>
      </c>
      <c r="E64" t="s">
        <v>24</v>
      </c>
      <c r="F64" t="s">
        <v>24</v>
      </c>
      <c r="G64" t="str">
        <f>"2026-07-09 00:30:33.607"</f>
        <v>2026-07-09 00:30:33.607</v>
      </c>
      <c r="H64" t="s">
        <v>22</v>
      </c>
      <c r="I64">
        <v>0</v>
      </c>
      <c r="J64" t="s">
        <v>25</v>
      </c>
    </row>
    <row r="65" spans="1:10" x14ac:dyDescent="0.25">
      <c r="A65" s="1">
        <v>5</v>
      </c>
      <c r="B65" t="s">
        <v>19</v>
      </c>
      <c r="C65">
        <v>700</v>
      </c>
      <c r="D65">
        <v>0</v>
      </c>
      <c r="E65" t="s">
        <v>24</v>
      </c>
      <c r="F65" t="s">
        <v>24</v>
      </c>
      <c r="G65" t="str">
        <f>"2026-07-08 20:37:06.841"</f>
        <v>2026-07-08 20:37:06.841</v>
      </c>
      <c r="H65" t="s">
        <v>22</v>
      </c>
      <c r="I65">
        <v>0</v>
      </c>
      <c r="J65" t="s">
        <v>25</v>
      </c>
    </row>
    <row r="66" spans="1:10" x14ac:dyDescent="0.25">
      <c r="A66" s="1">
        <v>6</v>
      </c>
      <c r="B66" t="s">
        <v>31</v>
      </c>
      <c r="C66">
        <v>89</v>
      </c>
      <c r="D66">
        <v>2</v>
      </c>
      <c r="E66" t="s">
        <v>42</v>
      </c>
      <c r="F66" t="s">
        <v>43</v>
      </c>
      <c r="G66" t="str">
        <f>"2026-07-08 14:44:43.932"</f>
        <v>2026-07-08 14:44:43.932</v>
      </c>
      <c r="H66" t="s">
        <v>22</v>
      </c>
    </row>
    <row r="67" spans="1:10" x14ac:dyDescent="0.25">
      <c r="A67" s="1">
        <v>7</v>
      </c>
      <c r="B67" t="s">
        <v>34</v>
      </c>
      <c r="C67">
        <v>89</v>
      </c>
      <c r="D67">
        <v>2</v>
      </c>
      <c r="E67" t="s">
        <v>42</v>
      </c>
      <c r="F67" t="s">
        <v>43</v>
      </c>
      <c r="G67" t="str">
        <f>"2026-07-08 14:44:38.193"</f>
        <v>2026-07-08 14:44:38.193</v>
      </c>
      <c r="H67" t="s">
        <v>22</v>
      </c>
      <c r="I67">
        <v>4.01</v>
      </c>
      <c r="J67" t="s">
        <v>30</v>
      </c>
    </row>
    <row r="68" spans="1:10" x14ac:dyDescent="0.25">
      <c r="A68" s="1">
        <v>8</v>
      </c>
      <c r="B68" t="s">
        <v>19</v>
      </c>
      <c r="C68">
        <v>700</v>
      </c>
      <c r="D68">
        <v>0</v>
      </c>
      <c r="E68" t="s">
        <v>24</v>
      </c>
      <c r="F68" t="s">
        <v>24</v>
      </c>
      <c r="G68" t="str">
        <f>"2026-07-08 13:58:32.602"</f>
        <v>2026-07-08 13:58:32.602</v>
      </c>
      <c r="H68" t="s">
        <v>22</v>
      </c>
    </row>
    <row r="69" spans="1:10" x14ac:dyDescent="0.25">
      <c r="A69" s="1">
        <v>9</v>
      </c>
      <c r="B69" t="s">
        <v>26</v>
      </c>
      <c r="C69">
        <v>635</v>
      </c>
      <c r="D69">
        <v>1</v>
      </c>
      <c r="E69" t="s">
        <v>27</v>
      </c>
      <c r="F69" t="s">
        <v>28</v>
      </c>
      <c r="G69" t="str">
        <f>"2026-07-08 12:13:20.703"</f>
        <v>2026-07-08 12:13:20.703</v>
      </c>
      <c r="H69" t="s">
        <v>22</v>
      </c>
    </row>
    <row r="70" spans="1:10" x14ac:dyDescent="0.25">
      <c r="A70" s="1">
        <v>0</v>
      </c>
      <c r="B70" t="s">
        <v>29</v>
      </c>
      <c r="C70">
        <v>635</v>
      </c>
      <c r="D70">
        <v>1</v>
      </c>
      <c r="E70" t="s">
        <v>27</v>
      </c>
      <c r="F70" t="s">
        <v>28</v>
      </c>
      <c r="G70" t="str">
        <f>"2026-07-08 12:02:57.203"</f>
        <v>2026-07-08 12:02:57.203</v>
      </c>
      <c r="H70" t="s">
        <v>22</v>
      </c>
      <c r="I70">
        <v>3.38</v>
      </c>
      <c r="J70" t="s">
        <v>30</v>
      </c>
    </row>
    <row r="71" spans="1:10" x14ac:dyDescent="0.25">
      <c r="A71" s="1">
        <v>1</v>
      </c>
      <c r="B71" t="s">
        <v>31</v>
      </c>
      <c r="C71">
        <v>87</v>
      </c>
      <c r="D71">
        <v>1</v>
      </c>
      <c r="E71" t="s">
        <v>32</v>
      </c>
      <c r="F71" t="s">
        <v>33</v>
      </c>
      <c r="G71" t="str">
        <f>"2026-07-08 05:22:30.803"</f>
        <v>2026-07-08 05:22:30.803</v>
      </c>
      <c r="H71" t="s">
        <v>22</v>
      </c>
    </row>
    <row r="72" spans="1:10" x14ac:dyDescent="0.25">
      <c r="A72" s="1">
        <v>2</v>
      </c>
      <c r="B72" t="s">
        <v>34</v>
      </c>
      <c r="C72">
        <v>87</v>
      </c>
      <c r="D72">
        <v>1</v>
      </c>
      <c r="E72" t="s">
        <v>32</v>
      </c>
      <c r="F72" t="s">
        <v>33</v>
      </c>
      <c r="G72" t="str">
        <f>"2026-07-08 05:07:41.182"</f>
        <v>2026-07-08 05:07:41.182</v>
      </c>
      <c r="H72" t="s">
        <v>22</v>
      </c>
      <c r="I72">
        <v>5.68</v>
      </c>
      <c r="J72" t="s">
        <v>30</v>
      </c>
    </row>
    <row r="73" spans="1:10" x14ac:dyDescent="0.25">
      <c r="A73" s="1">
        <v>3</v>
      </c>
      <c r="B73" t="s">
        <v>26</v>
      </c>
      <c r="C73">
        <v>89</v>
      </c>
      <c r="D73">
        <v>2</v>
      </c>
      <c r="E73" t="s">
        <v>42</v>
      </c>
      <c r="F73" t="s">
        <v>43</v>
      </c>
      <c r="G73" t="str">
        <f>"2026-07-08 05:05:54.663"</f>
        <v>2026-07-08 05:05:54.663</v>
      </c>
      <c r="H73" t="s">
        <v>22</v>
      </c>
    </row>
    <row r="74" spans="1:10" x14ac:dyDescent="0.25">
      <c r="A74" s="1">
        <v>4</v>
      </c>
      <c r="B74" t="s">
        <v>34</v>
      </c>
      <c r="C74">
        <v>89</v>
      </c>
      <c r="D74">
        <v>2</v>
      </c>
      <c r="E74" t="s">
        <v>42</v>
      </c>
      <c r="F74" t="s">
        <v>43</v>
      </c>
      <c r="G74" t="str">
        <f>"2026-07-08 05:05:09.564"</f>
        <v>2026-07-08 05:05:09.564</v>
      </c>
      <c r="H74" t="s">
        <v>22</v>
      </c>
      <c r="I74">
        <v>5.47</v>
      </c>
      <c r="J74" t="s">
        <v>30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24</v>
      </c>
      <c r="F75" t="s">
        <v>24</v>
      </c>
      <c r="G75" t="str">
        <f>"2026-07-08 02:53:37.564"</f>
        <v>2026-07-08 02:53:37.564</v>
      </c>
      <c r="H75" t="s">
        <v>22</v>
      </c>
    </row>
    <row r="76" spans="1:10" x14ac:dyDescent="0.25">
      <c r="A76" s="1">
        <v>6</v>
      </c>
      <c r="B76" t="s">
        <v>19</v>
      </c>
      <c r="C76">
        <v>700</v>
      </c>
      <c r="D76">
        <v>0</v>
      </c>
      <c r="E76" t="s">
        <v>24</v>
      </c>
      <c r="F76" t="s">
        <v>24</v>
      </c>
      <c r="G76" t="str">
        <f>"2026-07-08 00:28:20.558"</f>
        <v>2026-07-08 00:28:20.558</v>
      </c>
      <c r="H76" t="s">
        <v>22</v>
      </c>
    </row>
    <row r="77" spans="1:10" x14ac:dyDescent="0.25">
      <c r="A77" s="1">
        <v>7</v>
      </c>
      <c r="B77" t="s">
        <v>19</v>
      </c>
      <c r="C77">
        <v>700</v>
      </c>
      <c r="D77">
        <v>0</v>
      </c>
      <c r="E77" t="s">
        <v>24</v>
      </c>
      <c r="F77" t="s">
        <v>24</v>
      </c>
      <c r="G77" t="str">
        <f>"2026-07-07 23:19:47.567"</f>
        <v>2026-07-07 23:19:47.567</v>
      </c>
      <c r="H77" t="s">
        <v>22</v>
      </c>
      <c r="I77">
        <v>0</v>
      </c>
      <c r="J77" t="s">
        <v>25</v>
      </c>
    </row>
    <row r="78" spans="1:10" x14ac:dyDescent="0.25">
      <c r="A78" s="1">
        <v>8</v>
      </c>
      <c r="B78" t="s">
        <v>19</v>
      </c>
      <c r="C78">
        <v>700</v>
      </c>
      <c r="D78">
        <v>0</v>
      </c>
      <c r="E78" t="s">
        <v>24</v>
      </c>
      <c r="F78" t="s">
        <v>24</v>
      </c>
      <c r="G78" t="str">
        <f>"2026-07-07 23:04:33.572"</f>
        <v>2026-07-07 23:04:33.572</v>
      </c>
      <c r="H78" t="s">
        <v>22</v>
      </c>
      <c r="I78">
        <v>0</v>
      </c>
      <c r="J78" t="s">
        <v>25</v>
      </c>
    </row>
    <row r="79" spans="1:10" x14ac:dyDescent="0.25">
      <c r="A79" s="1">
        <v>9</v>
      </c>
      <c r="B79" t="s">
        <v>19</v>
      </c>
      <c r="C79">
        <v>700</v>
      </c>
      <c r="D79">
        <v>0</v>
      </c>
      <c r="E79" t="s">
        <v>24</v>
      </c>
      <c r="F79" t="s">
        <v>24</v>
      </c>
      <c r="G79" t="str">
        <f>"2026-07-07 22:55:34.566"</f>
        <v>2026-07-07 22:55:34.566</v>
      </c>
      <c r="H79" t="s">
        <v>22</v>
      </c>
      <c r="I79">
        <v>0</v>
      </c>
      <c r="J79" t="s">
        <v>25</v>
      </c>
    </row>
    <row r="80" spans="1:10" x14ac:dyDescent="0.25">
      <c r="A80" s="1">
        <v>0</v>
      </c>
      <c r="B80" t="s">
        <v>44</v>
      </c>
      <c r="C80">
        <v>77</v>
      </c>
      <c r="D80">
        <v>1</v>
      </c>
      <c r="E80" t="s">
        <v>45</v>
      </c>
      <c r="F80" t="s">
        <v>46</v>
      </c>
      <c r="G80" t="str">
        <f>"2026-07-07 22:49:40.070"</f>
        <v>2026-07-07 22:49:40.070</v>
      </c>
      <c r="H80" t="s">
        <v>47</v>
      </c>
    </row>
    <row r="81" spans="1:10" x14ac:dyDescent="0.25">
      <c r="A81" s="1">
        <v>1</v>
      </c>
      <c r="B81" t="s">
        <v>34</v>
      </c>
      <c r="C81">
        <v>77</v>
      </c>
      <c r="D81">
        <v>1</v>
      </c>
      <c r="E81" t="s">
        <v>45</v>
      </c>
      <c r="F81" t="s">
        <v>46</v>
      </c>
      <c r="G81" t="str">
        <f>"2026-07-07 22:49:35.037"</f>
        <v>2026-07-07 22:49:35.037</v>
      </c>
      <c r="H81" t="s">
        <v>47</v>
      </c>
      <c r="I81">
        <v>0</v>
      </c>
      <c r="J81" t="s">
        <v>23</v>
      </c>
    </row>
    <row r="82" spans="1:10" x14ac:dyDescent="0.25">
      <c r="A82" s="1">
        <v>2</v>
      </c>
      <c r="B82" t="s">
        <v>19</v>
      </c>
      <c r="C82">
        <v>700</v>
      </c>
      <c r="D82">
        <v>0</v>
      </c>
      <c r="E82" t="s">
        <v>24</v>
      </c>
      <c r="F82" t="s">
        <v>24</v>
      </c>
      <c r="G82" t="str">
        <f>"2026-07-07 22:48:53.569"</f>
        <v>2026-07-07 22:48:53.569</v>
      </c>
      <c r="H82" t="s">
        <v>22</v>
      </c>
      <c r="I82">
        <v>0</v>
      </c>
      <c r="J82" t="s">
        <v>25</v>
      </c>
    </row>
    <row r="83" spans="1:10" x14ac:dyDescent="0.25">
      <c r="A83" s="1">
        <v>3</v>
      </c>
      <c r="B83" t="s">
        <v>19</v>
      </c>
      <c r="C83">
        <v>706</v>
      </c>
      <c r="D83">
        <v>4</v>
      </c>
      <c r="E83" t="s">
        <v>20</v>
      </c>
      <c r="F83" t="s">
        <v>21</v>
      </c>
      <c r="G83" t="str">
        <f>"2026-07-07 20:42:10.032"</f>
        <v>2026-07-07 20:42:10.032</v>
      </c>
      <c r="H83" t="s">
        <v>22</v>
      </c>
      <c r="I83">
        <v>0</v>
      </c>
      <c r="J83" t="s">
        <v>23</v>
      </c>
    </row>
    <row r="84" spans="1:10" x14ac:dyDescent="0.25">
      <c r="A84" s="1">
        <v>4</v>
      </c>
      <c r="B84" t="s">
        <v>19</v>
      </c>
      <c r="C84">
        <v>700</v>
      </c>
      <c r="D84">
        <v>0</v>
      </c>
      <c r="E84" t="s">
        <v>24</v>
      </c>
      <c r="F84" t="s">
        <v>24</v>
      </c>
      <c r="G84" t="str">
        <f>"2026-07-07 20:41:37.562"</f>
        <v>2026-07-07 20:41:37.562</v>
      </c>
      <c r="H84" t="s">
        <v>22</v>
      </c>
    </row>
    <row r="85" spans="1:10" x14ac:dyDescent="0.25">
      <c r="A85" s="1">
        <v>5</v>
      </c>
      <c r="B85" t="s">
        <v>31</v>
      </c>
      <c r="C85">
        <v>87</v>
      </c>
      <c r="D85">
        <v>1</v>
      </c>
      <c r="E85" t="s">
        <v>32</v>
      </c>
      <c r="F85" t="s">
        <v>33</v>
      </c>
      <c r="G85" t="str">
        <f>"2026-07-07 20:03:58.130"</f>
        <v>2026-07-07 20:03:58.130</v>
      </c>
      <c r="H85" t="s">
        <v>22</v>
      </c>
    </row>
    <row r="86" spans="1:10" x14ac:dyDescent="0.25">
      <c r="A86" s="1">
        <v>6</v>
      </c>
      <c r="B86" t="s">
        <v>34</v>
      </c>
      <c r="C86">
        <v>87</v>
      </c>
      <c r="D86">
        <v>1</v>
      </c>
      <c r="E86" t="s">
        <v>32</v>
      </c>
      <c r="F86" t="s">
        <v>33</v>
      </c>
      <c r="G86" t="str">
        <f>"2026-07-07 19:43:56.349"</f>
        <v>2026-07-07 19:43:56.349</v>
      </c>
      <c r="H86" t="s">
        <v>22</v>
      </c>
      <c r="I86">
        <v>7.29</v>
      </c>
      <c r="J86" t="s">
        <v>30</v>
      </c>
    </row>
    <row r="87" spans="1:10" x14ac:dyDescent="0.25">
      <c r="A87" s="1">
        <v>7</v>
      </c>
      <c r="B87" t="s">
        <v>19</v>
      </c>
      <c r="C87">
        <v>700</v>
      </c>
      <c r="D87">
        <v>0</v>
      </c>
      <c r="E87" t="s">
        <v>24</v>
      </c>
      <c r="F87" t="s">
        <v>24</v>
      </c>
      <c r="G87" t="str">
        <f>"2026-07-07 01:46:37.730"</f>
        <v>2026-07-07 01:46:37.730</v>
      </c>
      <c r="H87" t="s">
        <v>22</v>
      </c>
    </row>
    <row r="88" spans="1:10" x14ac:dyDescent="0.25">
      <c r="A88" s="1">
        <v>8</v>
      </c>
      <c r="B88" t="s">
        <v>19</v>
      </c>
      <c r="C88">
        <v>700</v>
      </c>
      <c r="D88">
        <v>0</v>
      </c>
      <c r="E88" t="s">
        <v>24</v>
      </c>
      <c r="F88" t="s">
        <v>24</v>
      </c>
      <c r="G88" t="str">
        <f>"2026-07-06 12:23:41.558"</f>
        <v>2026-07-06 12:23:41.558</v>
      </c>
      <c r="H88" t="s">
        <v>22</v>
      </c>
      <c r="I88">
        <v>0</v>
      </c>
      <c r="J88" t="s">
        <v>25</v>
      </c>
    </row>
    <row r="89" spans="1:10" x14ac:dyDescent="0.25">
      <c r="A89" s="1">
        <v>9</v>
      </c>
      <c r="B89" t="s">
        <v>26</v>
      </c>
      <c r="C89">
        <v>635</v>
      </c>
      <c r="D89">
        <v>1</v>
      </c>
      <c r="E89" t="s">
        <v>27</v>
      </c>
      <c r="F89" t="s">
        <v>28</v>
      </c>
      <c r="G89" t="str">
        <f>"2026-07-06 04:25:44.424"</f>
        <v>2026-07-06 04:25:44.424</v>
      </c>
      <c r="H89" t="s">
        <v>22</v>
      </c>
    </row>
    <row r="90" spans="1:10" x14ac:dyDescent="0.25">
      <c r="A90" s="1">
        <v>0</v>
      </c>
      <c r="B90" t="s">
        <v>29</v>
      </c>
      <c r="C90">
        <v>635</v>
      </c>
      <c r="D90">
        <v>1</v>
      </c>
      <c r="E90" t="s">
        <v>27</v>
      </c>
      <c r="F90" t="s">
        <v>28</v>
      </c>
      <c r="G90" t="str">
        <f>"2026-07-06 04:23:05.924"</f>
        <v>2026-07-06 04:23:05.924</v>
      </c>
      <c r="H90" t="s">
        <v>22</v>
      </c>
      <c r="I90">
        <v>3.99</v>
      </c>
      <c r="J90" t="s">
        <v>30</v>
      </c>
    </row>
    <row r="91" spans="1:10" x14ac:dyDescent="0.25">
      <c r="A91" s="1">
        <v>1</v>
      </c>
      <c r="B91" t="s">
        <v>19</v>
      </c>
      <c r="C91">
        <v>700</v>
      </c>
      <c r="D91">
        <v>0</v>
      </c>
      <c r="E91" t="s">
        <v>24</v>
      </c>
      <c r="F91" t="s">
        <v>24</v>
      </c>
      <c r="G91" t="str">
        <f>"2026-07-06 00:38:07.753"</f>
        <v>2026-07-06 00:38:07.753</v>
      </c>
      <c r="H91" t="s">
        <v>22</v>
      </c>
      <c r="I91">
        <v>0</v>
      </c>
      <c r="J91" t="s">
        <v>25</v>
      </c>
    </row>
    <row r="92" spans="1:10" x14ac:dyDescent="0.25">
      <c r="A92" s="1">
        <v>4</v>
      </c>
      <c r="B92" t="s">
        <v>19</v>
      </c>
      <c r="C92">
        <v>706</v>
      </c>
      <c r="D92">
        <v>4</v>
      </c>
      <c r="E92" t="s">
        <v>20</v>
      </c>
      <c r="F92" t="s">
        <v>21</v>
      </c>
      <c r="G92" t="str">
        <f>"2026-07-05 06:24:13.554"</f>
        <v>2026-07-05 06:24:13.554</v>
      </c>
      <c r="H92" t="s">
        <v>22</v>
      </c>
      <c r="I92">
        <v>0</v>
      </c>
      <c r="J92" t="s">
        <v>23</v>
      </c>
    </row>
    <row r="93" spans="1:10" x14ac:dyDescent="0.25">
      <c r="A93" s="1">
        <v>5</v>
      </c>
      <c r="B93" t="s">
        <v>19</v>
      </c>
      <c r="C93">
        <v>700</v>
      </c>
      <c r="D93">
        <v>0</v>
      </c>
      <c r="E93" t="s">
        <v>24</v>
      </c>
      <c r="F93" t="s">
        <v>24</v>
      </c>
      <c r="G93" t="str">
        <f>"2026-07-05 06:23:57.574"</f>
        <v>2026-07-05 06:23:57.574</v>
      </c>
      <c r="H93" t="s">
        <v>22</v>
      </c>
      <c r="I93">
        <v>0</v>
      </c>
      <c r="J93" t="s">
        <v>25</v>
      </c>
    </row>
    <row r="94" spans="1:10" x14ac:dyDescent="0.25">
      <c r="A94" s="1">
        <v>6</v>
      </c>
      <c r="B94" t="s">
        <v>19</v>
      </c>
      <c r="C94">
        <v>706</v>
      </c>
      <c r="D94">
        <v>3</v>
      </c>
      <c r="E94" t="s">
        <v>20</v>
      </c>
      <c r="F94" t="s">
        <v>48</v>
      </c>
      <c r="G94" t="str">
        <f>"2026-07-05 05:34:55.473"</f>
        <v>2026-07-05 05:34:55.473</v>
      </c>
      <c r="H94" t="s">
        <v>22</v>
      </c>
      <c r="I94">
        <v>0</v>
      </c>
      <c r="J94" t="s">
        <v>23</v>
      </c>
    </row>
    <row r="95" spans="1:10" x14ac:dyDescent="0.25">
      <c r="A95" s="1">
        <v>7</v>
      </c>
      <c r="B95" t="s">
        <v>34</v>
      </c>
      <c r="C95">
        <v>630</v>
      </c>
      <c r="D95">
        <v>5</v>
      </c>
      <c r="E95" t="s">
        <v>39</v>
      </c>
      <c r="F95" t="s">
        <v>40</v>
      </c>
      <c r="G95" t="str">
        <f>"2026-07-05 05:33:50.342"</f>
        <v>2026-07-05 05:33:50.342</v>
      </c>
      <c r="H95" t="s">
        <v>41</v>
      </c>
      <c r="I95">
        <v>0</v>
      </c>
      <c r="J95" t="s">
        <v>23</v>
      </c>
    </row>
    <row r="96" spans="1:10" x14ac:dyDescent="0.25">
      <c r="A96" s="1">
        <v>8</v>
      </c>
      <c r="B96" t="s">
        <v>19</v>
      </c>
      <c r="C96">
        <v>700</v>
      </c>
      <c r="D96">
        <v>0</v>
      </c>
      <c r="E96" t="s">
        <v>24</v>
      </c>
      <c r="F96" t="s">
        <v>24</v>
      </c>
      <c r="G96" t="str">
        <f>"2026-07-05 05:28:47.553"</f>
        <v>2026-07-05 05:28:47.553</v>
      </c>
      <c r="H96" t="s">
        <v>22</v>
      </c>
    </row>
    <row r="97" spans="1:10" x14ac:dyDescent="0.25">
      <c r="A97" s="1">
        <v>9</v>
      </c>
      <c r="B97" t="s">
        <v>19</v>
      </c>
      <c r="C97">
        <v>700</v>
      </c>
      <c r="D97">
        <v>0</v>
      </c>
      <c r="E97" t="s">
        <v>24</v>
      </c>
      <c r="F97" t="s">
        <v>24</v>
      </c>
      <c r="G97" t="str">
        <f>"2026-07-05 04:26:43.575"</f>
        <v>2026-07-05 04:26:43.575</v>
      </c>
      <c r="H97" t="s">
        <v>22</v>
      </c>
    </row>
    <row r="98" spans="1:10" x14ac:dyDescent="0.25">
      <c r="A98" s="1">
        <v>0</v>
      </c>
      <c r="B98" t="s">
        <v>19</v>
      </c>
      <c r="C98">
        <v>700</v>
      </c>
      <c r="D98">
        <v>0</v>
      </c>
      <c r="E98" t="s">
        <v>24</v>
      </c>
      <c r="F98" t="s">
        <v>24</v>
      </c>
      <c r="G98" t="str">
        <f>"2026-07-05 01:41:09.597"</f>
        <v>2026-07-05 01:41:09.597</v>
      </c>
      <c r="H98" t="s">
        <v>22</v>
      </c>
      <c r="I98">
        <v>0</v>
      </c>
      <c r="J98" t="s">
        <v>25</v>
      </c>
    </row>
    <row r="99" spans="1:10" x14ac:dyDescent="0.25">
      <c r="A99" s="1">
        <v>1</v>
      </c>
      <c r="B99" t="s">
        <v>19</v>
      </c>
      <c r="C99">
        <v>700</v>
      </c>
      <c r="D99">
        <v>0</v>
      </c>
      <c r="E99" t="s">
        <v>24</v>
      </c>
      <c r="F99" t="s">
        <v>24</v>
      </c>
      <c r="G99" t="str">
        <f>"2026-07-04 22:02:12.730"</f>
        <v>2026-07-04 22:02:12.730</v>
      </c>
      <c r="H99" t="s">
        <v>22</v>
      </c>
      <c r="I99">
        <v>0</v>
      </c>
      <c r="J99" t="s">
        <v>25</v>
      </c>
    </row>
    <row r="100" spans="1:10" x14ac:dyDescent="0.25">
      <c r="A100" s="1">
        <v>2</v>
      </c>
      <c r="B100" t="s">
        <v>19</v>
      </c>
      <c r="C100">
        <v>700</v>
      </c>
      <c r="D100">
        <v>0</v>
      </c>
      <c r="E100" t="s">
        <v>24</v>
      </c>
      <c r="F100" t="s">
        <v>24</v>
      </c>
      <c r="G100" t="str">
        <f>"2026-07-04 19:07:03.579"</f>
        <v>2026-07-04 19:07:03.579</v>
      </c>
      <c r="H100" t="s">
        <v>22</v>
      </c>
      <c r="I100">
        <v>0</v>
      </c>
      <c r="J100" t="s">
        <v>25</v>
      </c>
    </row>
    <row r="101" spans="1:10" x14ac:dyDescent="0.25">
      <c r="A101" s="1">
        <v>4</v>
      </c>
      <c r="B101" t="s">
        <v>19</v>
      </c>
      <c r="C101">
        <v>700</v>
      </c>
      <c r="D101">
        <v>0</v>
      </c>
      <c r="E101" t="s">
        <v>24</v>
      </c>
      <c r="F101" t="s">
        <v>24</v>
      </c>
      <c r="G101" t="str">
        <f>"2026-07-04 10:42:25.557"</f>
        <v>2026-07-04 10:42:25.557</v>
      </c>
      <c r="H101" t="s">
        <v>22</v>
      </c>
    </row>
    <row r="102" spans="1:10" x14ac:dyDescent="0.25">
      <c r="A102" s="1">
        <v>5</v>
      </c>
      <c r="B102" t="s">
        <v>19</v>
      </c>
      <c r="C102">
        <v>700</v>
      </c>
      <c r="D102">
        <v>0</v>
      </c>
      <c r="E102" t="s">
        <v>24</v>
      </c>
      <c r="F102" t="s">
        <v>24</v>
      </c>
      <c r="G102" t="str">
        <f>"2026-07-04 10:36:44.656"</f>
        <v>2026-07-04 10:36:44.656</v>
      </c>
      <c r="H102" t="s">
        <v>22</v>
      </c>
    </row>
    <row r="103" spans="1:10" x14ac:dyDescent="0.25">
      <c r="A103" s="1">
        <v>6</v>
      </c>
      <c r="B103" t="s">
        <v>19</v>
      </c>
      <c r="C103">
        <v>700</v>
      </c>
      <c r="D103">
        <v>0</v>
      </c>
      <c r="E103" t="s">
        <v>24</v>
      </c>
      <c r="F103" t="s">
        <v>24</v>
      </c>
      <c r="G103" t="str">
        <f>"2026-07-04 10:33:06.569"</f>
        <v>2026-07-04 10:33:06.569</v>
      </c>
      <c r="H103" t="s">
        <v>22</v>
      </c>
      <c r="I103">
        <v>0</v>
      </c>
      <c r="J103" t="s">
        <v>25</v>
      </c>
    </row>
    <row r="104" spans="1:10" x14ac:dyDescent="0.25">
      <c r="A104" s="1">
        <v>7</v>
      </c>
      <c r="B104" t="s">
        <v>19</v>
      </c>
      <c r="C104">
        <v>700</v>
      </c>
      <c r="D104">
        <v>0</v>
      </c>
      <c r="E104" t="s">
        <v>24</v>
      </c>
      <c r="F104" t="s">
        <v>24</v>
      </c>
      <c r="G104" t="str">
        <f>"2026-07-04 09:42:10.742"</f>
        <v>2026-07-04 09:42:10.742</v>
      </c>
      <c r="H104" t="s">
        <v>22</v>
      </c>
    </row>
    <row r="105" spans="1:10" x14ac:dyDescent="0.25">
      <c r="A105" s="1">
        <v>8</v>
      </c>
      <c r="B105" t="s">
        <v>26</v>
      </c>
      <c r="C105">
        <v>630</v>
      </c>
      <c r="D105">
        <v>5</v>
      </c>
      <c r="E105" t="s">
        <v>39</v>
      </c>
      <c r="F105" t="s">
        <v>40</v>
      </c>
      <c r="G105" t="str">
        <f>"2026-07-04 00:58:37.123"</f>
        <v>2026-07-04 00:58:37.123</v>
      </c>
      <c r="H105" t="s">
        <v>41</v>
      </c>
    </row>
    <row r="106" spans="1:10" x14ac:dyDescent="0.25">
      <c r="A106" s="1">
        <v>9</v>
      </c>
      <c r="B106" t="s">
        <v>19</v>
      </c>
      <c r="C106">
        <v>706</v>
      </c>
      <c r="D106">
        <v>4</v>
      </c>
      <c r="E106" t="s">
        <v>20</v>
      </c>
      <c r="F106" t="s">
        <v>21</v>
      </c>
      <c r="G106" t="str">
        <f>"2026-07-04 00:58:07.012"</f>
        <v>2026-07-04 00:58:07.012</v>
      </c>
      <c r="H106" t="s">
        <v>22</v>
      </c>
      <c r="I106">
        <v>0</v>
      </c>
      <c r="J106" t="s">
        <v>23</v>
      </c>
    </row>
    <row r="107" spans="1:10" x14ac:dyDescent="0.25">
      <c r="A107" s="1">
        <v>0</v>
      </c>
      <c r="B107" t="s">
        <v>34</v>
      </c>
      <c r="C107">
        <v>630</v>
      </c>
      <c r="D107">
        <v>5</v>
      </c>
      <c r="E107" t="s">
        <v>39</v>
      </c>
      <c r="F107" t="s">
        <v>40</v>
      </c>
      <c r="G107" t="str">
        <f>"2026-07-04 00:57:48.523"</f>
        <v>2026-07-04 00:57:48.523</v>
      </c>
      <c r="H107" t="s">
        <v>41</v>
      </c>
      <c r="I107">
        <v>0</v>
      </c>
      <c r="J107" t="s">
        <v>23</v>
      </c>
    </row>
    <row r="108" spans="1:10" x14ac:dyDescent="0.25">
      <c r="A108" s="1">
        <v>1</v>
      </c>
      <c r="B108" t="s">
        <v>19</v>
      </c>
      <c r="C108">
        <v>700</v>
      </c>
      <c r="D108">
        <v>0</v>
      </c>
      <c r="E108" t="s">
        <v>24</v>
      </c>
      <c r="F108" t="s">
        <v>24</v>
      </c>
      <c r="G108" t="str">
        <f>"2026-07-04 00:52:45.742"</f>
        <v>2026-07-04 00:52:45.742</v>
      </c>
      <c r="H108" t="s">
        <v>22</v>
      </c>
      <c r="I108">
        <v>0</v>
      </c>
      <c r="J108" t="s">
        <v>25</v>
      </c>
    </row>
    <row r="109" spans="1:10" x14ac:dyDescent="0.25">
      <c r="A109" s="1">
        <v>2</v>
      </c>
      <c r="B109" t="s">
        <v>31</v>
      </c>
      <c r="C109">
        <v>33</v>
      </c>
      <c r="D109">
        <v>1</v>
      </c>
      <c r="E109" t="s">
        <v>49</v>
      </c>
      <c r="F109" t="s">
        <v>50</v>
      </c>
      <c r="G109" t="str">
        <f>"2026-07-03 23:43:28.881"</f>
        <v>2026-07-03 23:43:28.881</v>
      </c>
      <c r="H109" t="s">
        <v>51</v>
      </c>
    </row>
    <row r="110" spans="1:10" x14ac:dyDescent="0.25">
      <c r="A110" s="1">
        <v>3</v>
      </c>
      <c r="B110" t="s">
        <v>34</v>
      </c>
      <c r="C110">
        <v>33</v>
      </c>
      <c r="D110">
        <v>1</v>
      </c>
      <c r="E110" t="s">
        <v>49</v>
      </c>
      <c r="F110" t="s">
        <v>50</v>
      </c>
      <c r="G110" t="str">
        <f>"2026-07-03 23:43:24.252"</f>
        <v>2026-07-03 23:43:24.252</v>
      </c>
      <c r="H110" t="s">
        <v>51</v>
      </c>
      <c r="I110">
        <v>9.5</v>
      </c>
      <c r="J110" t="s">
        <v>30</v>
      </c>
    </row>
    <row r="111" spans="1:10" x14ac:dyDescent="0.25">
      <c r="A111" s="1">
        <v>4</v>
      </c>
      <c r="B111" t="s">
        <v>31</v>
      </c>
      <c r="C111">
        <v>33</v>
      </c>
      <c r="D111">
        <v>1</v>
      </c>
      <c r="E111" t="s">
        <v>49</v>
      </c>
      <c r="F111" t="s">
        <v>50</v>
      </c>
      <c r="G111" t="str">
        <f>"2026-07-03 22:34:56.135"</f>
        <v>2026-07-03 22:34:56.135</v>
      </c>
      <c r="H111" t="s">
        <v>51</v>
      </c>
    </row>
    <row r="112" spans="1:10" x14ac:dyDescent="0.25">
      <c r="A112" s="1">
        <v>5</v>
      </c>
      <c r="B112" t="s">
        <v>34</v>
      </c>
      <c r="C112">
        <v>33</v>
      </c>
      <c r="D112">
        <v>1</v>
      </c>
      <c r="E112" t="s">
        <v>49</v>
      </c>
      <c r="F112" t="s">
        <v>50</v>
      </c>
      <c r="G112" t="str">
        <f>"2026-07-03 22:33:52.413"</f>
        <v>2026-07-03 22:33:52.413</v>
      </c>
      <c r="H112" t="s">
        <v>51</v>
      </c>
      <c r="I112">
        <v>8.9499999999999993</v>
      </c>
      <c r="J112" t="s">
        <v>30</v>
      </c>
    </row>
    <row r="113" spans="1:10" x14ac:dyDescent="0.25">
      <c r="A113" s="1">
        <v>6</v>
      </c>
      <c r="B113" t="s">
        <v>19</v>
      </c>
      <c r="C113">
        <v>700</v>
      </c>
      <c r="D113">
        <v>0</v>
      </c>
      <c r="E113" t="s">
        <v>24</v>
      </c>
      <c r="F113" t="s">
        <v>24</v>
      </c>
      <c r="G113" t="str">
        <f>"2026-07-03 13:49:42.753"</f>
        <v>2026-07-03 13:49:42.753</v>
      </c>
      <c r="H113" t="s">
        <v>22</v>
      </c>
    </row>
    <row r="114" spans="1:10" x14ac:dyDescent="0.25">
      <c r="A114" s="1">
        <v>7</v>
      </c>
      <c r="B114" t="s">
        <v>26</v>
      </c>
      <c r="C114">
        <v>98</v>
      </c>
      <c r="D114">
        <v>1</v>
      </c>
      <c r="E114" t="s">
        <v>52</v>
      </c>
      <c r="F114" t="s">
        <v>53</v>
      </c>
      <c r="G114" t="str">
        <f>"2026-07-02 23:24:03.166"</f>
        <v>2026-07-02 23:24:03.166</v>
      </c>
      <c r="H114" t="s">
        <v>22</v>
      </c>
    </row>
    <row r="115" spans="1:10" x14ac:dyDescent="0.25">
      <c r="A115" s="1">
        <v>8</v>
      </c>
      <c r="B115" t="s">
        <v>29</v>
      </c>
      <c r="C115">
        <v>98</v>
      </c>
      <c r="D115">
        <v>1</v>
      </c>
      <c r="E115" t="s">
        <v>52</v>
      </c>
      <c r="F115" t="s">
        <v>53</v>
      </c>
      <c r="G115" t="str">
        <f>"2026-07-02 23:24:02.167"</f>
        <v>2026-07-02 23:24:02.167</v>
      </c>
      <c r="H115" t="s">
        <v>22</v>
      </c>
      <c r="I115">
        <v>0</v>
      </c>
      <c r="J115" t="s">
        <v>38</v>
      </c>
    </row>
    <row r="116" spans="1:10" x14ac:dyDescent="0.25">
      <c r="A116" s="1">
        <v>9</v>
      </c>
      <c r="B116" t="s">
        <v>19</v>
      </c>
      <c r="C116">
        <v>700</v>
      </c>
      <c r="D116">
        <v>0</v>
      </c>
      <c r="E116" t="s">
        <v>24</v>
      </c>
      <c r="F116" t="s">
        <v>24</v>
      </c>
      <c r="G116" t="str">
        <f>"2026-07-02 23:16:00.587"</f>
        <v>2026-07-02 23:16:00.587</v>
      </c>
      <c r="H116" t="s">
        <v>22</v>
      </c>
    </row>
    <row r="117" spans="1:10" x14ac:dyDescent="0.25">
      <c r="A117" s="1">
        <v>10</v>
      </c>
      <c r="B117" t="s">
        <v>19</v>
      </c>
      <c r="C117">
        <v>700</v>
      </c>
      <c r="D117">
        <v>0</v>
      </c>
      <c r="E117" t="s">
        <v>24</v>
      </c>
      <c r="F117" t="s">
        <v>24</v>
      </c>
      <c r="G117" t="str">
        <f>"2026-07-02 22:54:50.561"</f>
        <v>2026-07-02 22:54:50.561</v>
      </c>
      <c r="H117" t="s">
        <v>22</v>
      </c>
    </row>
    <row r="118" spans="1:10" x14ac:dyDescent="0.25">
      <c r="A118" s="1">
        <v>11</v>
      </c>
      <c r="B118" t="s">
        <v>19</v>
      </c>
      <c r="C118">
        <v>706</v>
      </c>
      <c r="D118">
        <v>4</v>
      </c>
      <c r="E118" t="s">
        <v>20</v>
      </c>
      <c r="F118" t="s">
        <v>21</v>
      </c>
      <c r="G118" t="str">
        <f>"2026-07-02 22:10:57.961"</f>
        <v>2026-07-02 22:10:57.961</v>
      </c>
      <c r="H118" t="s">
        <v>22</v>
      </c>
      <c r="I118">
        <v>0</v>
      </c>
      <c r="J118" t="s">
        <v>23</v>
      </c>
    </row>
    <row r="119" spans="1:10" x14ac:dyDescent="0.25">
      <c r="A119" s="1">
        <v>12</v>
      </c>
      <c r="B119" t="s">
        <v>19</v>
      </c>
      <c r="C119">
        <v>700</v>
      </c>
      <c r="D119">
        <v>0</v>
      </c>
      <c r="E119" t="s">
        <v>24</v>
      </c>
      <c r="F119" t="s">
        <v>24</v>
      </c>
      <c r="G119" t="str">
        <f>"2026-07-02 22:10:28.691"</f>
        <v>2026-07-02 22:10:28.691</v>
      </c>
      <c r="H119" t="s">
        <v>22</v>
      </c>
      <c r="I119">
        <v>0</v>
      </c>
      <c r="J119" t="s">
        <v>25</v>
      </c>
    </row>
    <row r="120" spans="1:10" x14ac:dyDescent="0.25">
      <c r="A120" s="1">
        <v>13</v>
      </c>
      <c r="B120" t="s">
        <v>19</v>
      </c>
      <c r="C120">
        <v>700</v>
      </c>
      <c r="D120">
        <v>0</v>
      </c>
      <c r="E120" t="s">
        <v>24</v>
      </c>
      <c r="F120" t="s">
        <v>24</v>
      </c>
      <c r="G120" t="str">
        <f>"2026-07-02 10:07:04.593"</f>
        <v>2026-07-02 10:07:04.593</v>
      </c>
      <c r="H120" t="s">
        <v>22</v>
      </c>
    </row>
    <row r="121" spans="1:10" x14ac:dyDescent="0.25">
      <c r="A121" s="1">
        <v>14</v>
      </c>
      <c r="B121" t="s">
        <v>19</v>
      </c>
      <c r="C121">
        <v>706</v>
      </c>
      <c r="D121">
        <v>2</v>
      </c>
      <c r="E121" t="s">
        <v>20</v>
      </c>
      <c r="F121" t="s">
        <v>54</v>
      </c>
      <c r="G121" t="str">
        <f>"2026-07-02 09:57:34.407"</f>
        <v>2026-07-02 09:57:34.407</v>
      </c>
      <c r="H121" t="s">
        <v>22</v>
      </c>
      <c r="I121">
        <v>0</v>
      </c>
      <c r="J121" t="s">
        <v>23</v>
      </c>
    </row>
    <row r="122" spans="1:10" x14ac:dyDescent="0.25">
      <c r="A122" s="1">
        <v>15</v>
      </c>
      <c r="B122" t="s">
        <v>19</v>
      </c>
      <c r="C122">
        <v>700</v>
      </c>
      <c r="D122">
        <v>0</v>
      </c>
      <c r="E122" t="s">
        <v>24</v>
      </c>
      <c r="F122" t="s">
        <v>24</v>
      </c>
      <c r="G122" t="str">
        <f>"2026-07-02 09:56:56.597"</f>
        <v>2026-07-02 09:56:56.597</v>
      </c>
      <c r="H122" t="s">
        <v>22</v>
      </c>
    </row>
    <row r="123" spans="1:10" x14ac:dyDescent="0.25">
      <c r="A123" s="1">
        <v>16</v>
      </c>
      <c r="B123" t="s">
        <v>19</v>
      </c>
      <c r="C123">
        <v>700</v>
      </c>
      <c r="D123">
        <v>0</v>
      </c>
      <c r="E123" t="s">
        <v>24</v>
      </c>
      <c r="F123" t="s">
        <v>24</v>
      </c>
      <c r="G123" t="str">
        <f>"2026-07-02 06:20:57.576"</f>
        <v>2026-07-02 06:20:57.576</v>
      </c>
      <c r="H123" t="s">
        <v>22</v>
      </c>
    </row>
    <row r="124" spans="1:10" x14ac:dyDescent="0.25">
      <c r="A124" s="1">
        <v>17</v>
      </c>
      <c r="B124" t="s">
        <v>19</v>
      </c>
      <c r="C124">
        <v>700</v>
      </c>
      <c r="D124">
        <v>0</v>
      </c>
      <c r="E124" t="s">
        <v>24</v>
      </c>
      <c r="F124" t="s">
        <v>24</v>
      </c>
      <c r="G124" t="str">
        <f>"2026-07-02 06:18:07.596"</f>
        <v>2026-07-02 06:18:07.596</v>
      </c>
      <c r="H124" t="s">
        <v>22</v>
      </c>
    </row>
    <row r="125" spans="1:10" x14ac:dyDescent="0.25">
      <c r="A125" s="1">
        <v>18</v>
      </c>
      <c r="B125" t="s">
        <v>19</v>
      </c>
      <c r="C125">
        <v>700</v>
      </c>
      <c r="D125">
        <v>0</v>
      </c>
      <c r="E125" t="s">
        <v>24</v>
      </c>
      <c r="F125" t="s">
        <v>24</v>
      </c>
      <c r="G125" t="str">
        <f>"2026-07-02 06:08:29.599"</f>
        <v>2026-07-02 06:08:29.599</v>
      </c>
      <c r="H125" t="s">
        <v>22</v>
      </c>
      <c r="I125">
        <v>0</v>
      </c>
      <c r="J125" t="s">
        <v>25</v>
      </c>
    </row>
    <row r="126" spans="1:10" x14ac:dyDescent="0.25">
      <c r="A126" s="1">
        <v>19</v>
      </c>
      <c r="B126" t="s">
        <v>19</v>
      </c>
      <c r="C126">
        <v>700</v>
      </c>
      <c r="D126">
        <v>0</v>
      </c>
      <c r="E126" t="s">
        <v>24</v>
      </c>
      <c r="F126" t="s">
        <v>24</v>
      </c>
      <c r="G126" t="str">
        <f>"2026-07-02 06:03:09.582"</f>
        <v>2026-07-02 06:03:09.582</v>
      </c>
      <c r="H126" t="s">
        <v>22</v>
      </c>
    </row>
    <row r="127" spans="1:10" x14ac:dyDescent="0.25">
      <c r="A127" s="1">
        <v>20</v>
      </c>
      <c r="B127" t="s">
        <v>19</v>
      </c>
      <c r="C127">
        <v>700</v>
      </c>
      <c r="D127">
        <v>0</v>
      </c>
      <c r="E127" t="s">
        <v>24</v>
      </c>
      <c r="F127" t="s">
        <v>24</v>
      </c>
      <c r="G127" t="str">
        <f>"2026-07-02 05:53:22.589"</f>
        <v>2026-07-02 05:53:22.589</v>
      </c>
      <c r="H127" t="s">
        <v>22</v>
      </c>
    </row>
    <row r="128" spans="1:10" x14ac:dyDescent="0.25">
      <c r="A128" s="1">
        <v>21</v>
      </c>
      <c r="B128" t="s">
        <v>19</v>
      </c>
      <c r="C128">
        <v>700</v>
      </c>
      <c r="D128">
        <v>0</v>
      </c>
      <c r="E128" t="s">
        <v>24</v>
      </c>
      <c r="F128" t="s">
        <v>24</v>
      </c>
      <c r="G128" t="str">
        <f>"2026-07-02 05:31:02.662"</f>
        <v>2026-07-02 05:31:02.662</v>
      </c>
      <c r="H128" t="s">
        <v>22</v>
      </c>
      <c r="I128">
        <v>0</v>
      </c>
      <c r="J128" t="s">
        <v>25</v>
      </c>
    </row>
    <row r="129" spans="1:10" x14ac:dyDescent="0.25">
      <c r="A129" s="1">
        <v>22</v>
      </c>
      <c r="B129" t="s">
        <v>19</v>
      </c>
      <c r="C129">
        <v>700</v>
      </c>
      <c r="D129">
        <v>0</v>
      </c>
      <c r="E129" t="s">
        <v>24</v>
      </c>
      <c r="F129" t="s">
        <v>24</v>
      </c>
      <c r="G129" t="str">
        <f>"2026-07-02 05:21:50.643"</f>
        <v>2026-07-02 05:21:50.643</v>
      </c>
      <c r="H129" t="s">
        <v>22</v>
      </c>
    </row>
    <row r="130" spans="1:10" x14ac:dyDescent="0.25">
      <c r="A130" s="1">
        <v>23</v>
      </c>
      <c r="B130" t="s">
        <v>19</v>
      </c>
      <c r="C130">
        <v>700</v>
      </c>
      <c r="D130">
        <v>0</v>
      </c>
      <c r="E130" t="s">
        <v>24</v>
      </c>
      <c r="F130" t="s">
        <v>24</v>
      </c>
      <c r="G130" t="str">
        <f>"2026-07-02 05:15:59.587"</f>
        <v>2026-07-02 05:15:59.587</v>
      </c>
      <c r="H130" t="s">
        <v>22</v>
      </c>
    </row>
    <row r="131" spans="1:10" x14ac:dyDescent="0.25">
      <c r="A131" s="1">
        <v>24</v>
      </c>
      <c r="B131" t="s">
        <v>19</v>
      </c>
      <c r="C131">
        <v>700</v>
      </c>
      <c r="D131">
        <v>0</v>
      </c>
      <c r="E131" t="s">
        <v>24</v>
      </c>
      <c r="F131" t="s">
        <v>24</v>
      </c>
      <c r="G131" t="str">
        <f>"2026-07-02 05:09:16.580"</f>
        <v>2026-07-02 05:09:16.580</v>
      </c>
      <c r="H131" t="s">
        <v>22</v>
      </c>
    </row>
    <row r="132" spans="1:10" x14ac:dyDescent="0.25">
      <c r="A132" s="1">
        <v>25</v>
      </c>
      <c r="B132" t="s">
        <v>19</v>
      </c>
      <c r="C132">
        <v>700</v>
      </c>
      <c r="D132">
        <v>0</v>
      </c>
      <c r="E132" t="s">
        <v>24</v>
      </c>
      <c r="F132" t="s">
        <v>24</v>
      </c>
      <c r="G132" t="str">
        <f>"2026-07-02 04:43:23.585"</f>
        <v>2026-07-02 04:43:23.585</v>
      </c>
      <c r="H132" t="s">
        <v>22</v>
      </c>
      <c r="I132">
        <v>0</v>
      </c>
      <c r="J132" t="s">
        <v>25</v>
      </c>
    </row>
    <row r="133" spans="1:10" x14ac:dyDescent="0.25">
      <c r="A133" s="1">
        <v>26</v>
      </c>
      <c r="B133" t="s">
        <v>19</v>
      </c>
      <c r="C133">
        <v>700</v>
      </c>
      <c r="D133">
        <v>0</v>
      </c>
      <c r="E133" t="s">
        <v>24</v>
      </c>
      <c r="F133" t="s">
        <v>24</v>
      </c>
      <c r="G133" t="str">
        <f>"2026-07-02 04:32:15.594"</f>
        <v>2026-07-02 04:32:15.594</v>
      </c>
      <c r="H133" t="s">
        <v>22</v>
      </c>
      <c r="I133">
        <v>0</v>
      </c>
      <c r="J133" t="s">
        <v>25</v>
      </c>
    </row>
    <row r="134" spans="1:10" x14ac:dyDescent="0.25">
      <c r="A134" s="1">
        <v>27</v>
      </c>
      <c r="B134" t="s">
        <v>19</v>
      </c>
      <c r="C134">
        <v>700</v>
      </c>
      <c r="D134">
        <v>0</v>
      </c>
      <c r="E134" t="s">
        <v>24</v>
      </c>
      <c r="F134" t="s">
        <v>24</v>
      </c>
      <c r="G134" t="str">
        <f>"2026-07-02 04:25:23.913"</f>
        <v>2026-07-02 04:25:23.913</v>
      </c>
      <c r="H134" t="s">
        <v>22</v>
      </c>
    </row>
    <row r="135" spans="1:10" x14ac:dyDescent="0.25">
      <c r="A135" s="1">
        <v>28</v>
      </c>
      <c r="B135" t="s">
        <v>19</v>
      </c>
      <c r="C135">
        <v>700</v>
      </c>
      <c r="D135">
        <v>0</v>
      </c>
      <c r="E135" t="s">
        <v>24</v>
      </c>
      <c r="F135" t="s">
        <v>24</v>
      </c>
      <c r="G135" t="str">
        <f>"2026-07-02 04:10:58.578"</f>
        <v>2026-07-02 04:10:58.578</v>
      </c>
      <c r="H135" t="s">
        <v>22</v>
      </c>
    </row>
    <row r="136" spans="1:10" x14ac:dyDescent="0.25">
      <c r="A136" s="1">
        <v>29</v>
      </c>
      <c r="B136" t="s">
        <v>19</v>
      </c>
      <c r="C136">
        <v>700</v>
      </c>
      <c r="D136">
        <v>0</v>
      </c>
      <c r="E136" t="s">
        <v>24</v>
      </c>
      <c r="F136" t="s">
        <v>24</v>
      </c>
      <c r="G136" t="str">
        <f>"2026-07-02 03:44:03.591"</f>
        <v>2026-07-02 03:44:03.591</v>
      </c>
      <c r="H136" t="s">
        <v>22</v>
      </c>
    </row>
    <row r="137" spans="1:10" x14ac:dyDescent="0.25">
      <c r="A137" s="1">
        <v>30</v>
      </c>
      <c r="B137" t="s">
        <v>19</v>
      </c>
      <c r="C137">
        <v>706</v>
      </c>
      <c r="D137">
        <v>2</v>
      </c>
      <c r="E137" t="s">
        <v>20</v>
      </c>
      <c r="F137" t="s">
        <v>54</v>
      </c>
      <c r="G137" t="str">
        <f>"2026-07-02 03:15:50.592"</f>
        <v>2026-07-02 03:15:50.592</v>
      </c>
      <c r="H137" t="s">
        <v>22</v>
      </c>
      <c r="I137">
        <v>0</v>
      </c>
      <c r="J137" t="s">
        <v>23</v>
      </c>
    </row>
    <row r="138" spans="1:10" x14ac:dyDescent="0.25">
      <c r="A138" s="1">
        <v>31</v>
      </c>
      <c r="B138" t="s">
        <v>19</v>
      </c>
      <c r="C138">
        <v>700</v>
      </c>
      <c r="D138">
        <v>0</v>
      </c>
      <c r="E138" t="s">
        <v>24</v>
      </c>
      <c r="F138" t="s">
        <v>24</v>
      </c>
      <c r="G138" t="str">
        <f>"2026-07-02 03:15:21.692"</f>
        <v>2026-07-02 03:15:21.692</v>
      </c>
      <c r="H138" t="s">
        <v>22</v>
      </c>
    </row>
    <row r="139" spans="1:10" x14ac:dyDescent="0.25">
      <c r="A139" s="1">
        <v>32</v>
      </c>
      <c r="B139" t="s">
        <v>19</v>
      </c>
      <c r="C139">
        <v>706</v>
      </c>
      <c r="D139">
        <v>2</v>
      </c>
      <c r="E139" t="s">
        <v>20</v>
      </c>
      <c r="F139" t="s">
        <v>54</v>
      </c>
      <c r="G139" t="str">
        <f>"2026-07-02 01:50:07.887"</f>
        <v>2026-07-02 01:50:07.887</v>
      </c>
      <c r="H139" t="s">
        <v>22</v>
      </c>
      <c r="I139">
        <v>0</v>
      </c>
      <c r="J139" t="s">
        <v>23</v>
      </c>
    </row>
    <row r="140" spans="1:10" x14ac:dyDescent="0.25">
      <c r="A140" s="1">
        <v>33</v>
      </c>
      <c r="B140" t="s">
        <v>19</v>
      </c>
      <c r="C140">
        <v>700</v>
      </c>
      <c r="D140">
        <v>0</v>
      </c>
      <c r="E140" t="s">
        <v>24</v>
      </c>
      <c r="F140" t="s">
        <v>24</v>
      </c>
      <c r="G140" t="str">
        <f>"2026-07-02 01:49:47.577"</f>
        <v>2026-07-02 01:49:47.577</v>
      </c>
      <c r="H140" t="s">
        <v>22</v>
      </c>
      <c r="I140">
        <v>0</v>
      </c>
      <c r="J140" t="s">
        <v>25</v>
      </c>
    </row>
    <row r="141" spans="1:10" x14ac:dyDescent="0.25">
      <c r="A141" s="1">
        <v>36</v>
      </c>
      <c r="B141" t="s">
        <v>19</v>
      </c>
      <c r="C141">
        <v>782</v>
      </c>
      <c r="D141">
        <v>7</v>
      </c>
      <c r="E141" t="s">
        <v>55</v>
      </c>
      <c r="F141" t="s">
        <v>56</v>
      </c>
      <c r="G141" t="str">
        <f>"2026-07-02 01:48:39.135"</f>
        <v>2026-07-02 01:48:39.135</v>
      </c>
      <c r="H141" t="s">
        <v>22</v>
      </c>
      <c r="I141">
        <v>0</v>
      </c>
      <c r="J141" t="s">
        <v>23</v>
      </c>
    </row>
    <row r="142" spans="1:10" x14ac:dyDescent="0.25">
      <c r="A142" s="1">
        <v>39</v>
      </c>
      <c r="B142" t="s">
        <v>26</v>
      </c>
      <c r="C142">
        <v>205</v>
      </c>
      <c r="D142">
        <v>3</v>
      </c>
      <c r="E142" t="s">
        <v>57</v>
      </c>
      <c r="F142" t="s">
        <v>58</v>
      </c>
      <c r="G142" t="str">
        <f>"2026-07-02 01:48:39.124"</f>
        <v>2026-07-02 01:48:39.124</v>
      </c>
      <c r="H142" t="s">
        <v>59</v>
      </c>
    </row>
    <row r="143" spans="1:10" x14ac:dyDescent="0.25">
      <c r="A143" s="1">
        <v>40</v>
      </c>
      <c r="B143" t="s">
        <v>26</v>
      </c>
      <c r="C143">
        <v>105</v>
      </c>
      <c r="D143">
        <v>3</v>
      </c>
      <c r="E143" t="s">
        <v>60</v>
      </c>
      <c r="F143" t="s">
        <v>58</v>
      </c>
      <c r="G143" t="str">
        <f>"2026-07-02 01:48:39.120"</f>
        <v>2026-07-02 01:48:39.120</v>
      </c>
      <c r="H143" t="s">
        <v>61</v>
      </c>
    </row>
    <row r="144" spans="1:10" x14ac:dyDescent="0.25">
      <c r="A144" s="1">
        <v>41</v>
      </c>
      <c r="B144" t="s">
        <v>19</v>
      </c>
      <c r="C144">
        <v>782</v>
      </c>
      <c r="D144">
        <v>7</v>
      </c>
      <c r="E144" t="s">
        <v>55</v>
      </c>
      <c r="F144" t="s">
        <v>56</v>
      </c>
      <c r="G144" t="str">
        <f>"2026-07-02 01:48:39.119"</f>
        <v>2026-07-02 01:48:39.119</v>
      </c>
      <c r="H144" t="s">
        <v>22</v>
      </c>
      <c r="I144">
        <v>0</v>
      </c>
      <c r="J144" t="s">
        <v>23</v>
      </c>
    </row>
    <row r="145" spans="1:10" x14ac:dyDescent="0.25">
      <c r="A145" s="1">
        <v>42</v>
      </c>
      <c r="B145" t="s">
        <v>26</v>
      </c>
      <c r="C145">
        <v>79</v>
      </c>
      <c r="D145">
        <v>9</v>
      </c>
      <c r="E145" t="s">
        <v>62</v>
      </c>
      <c r="F145" t="s">
        <v>63</v>
      </c>
      <c r="G145" t="str">
        <f>"2026-07-02 01:48:19.519"</f>
        <v>2026-07-02 01:48:19.519</v>
      </c>
      <c r="H145" t="s">
        <v>64</v>
      </c>
    </row>
    <row r="146" spans="1:10" x14ac:dyDescent="0.25">
      <c r="A146" s="1">
        <v>43</v>
      </c>
      <c r="B146" t="s">
        <v>26</v>
      </c>
      <c r="C146">
        <v>4</v>
      </c>
      <c r="D146">
        <v>1</v>
      </c>
      <c r="E146" t="s">
        <v>65</v>
      </c>
      <c r="F146" t="s">
        <v>66</v>
      </c>
      <c r="G146" t="str">
        <f>"2026-07-02 01:47:46.478"</f>
        <v>2026-07-02 01:47:46.478</v>
      </c>
      <c r="H146" t="s">
        <v>67</v>
      </c>
    </row>
    <row r="147" spans="1:10" x14ac:dyDescent="0.25">
      <c r="A147" s="1">
        <v>44</v>
      </c>
      <c r="B147" t="s">
        <v>19</v>
      </c>
      <c r="C147">
        <v>700</v>
      </c>
      <c r="D147">
        <v>0</v>
      </c>
      <c r="E147" t="s">
        <v>24</v>
      </c>
      <c r="F147" t="s">
        <v>24</v>
      </c>
      <c r="G147" t="str">
        <f>"2026-07-02 01:47:38.580"</f>
        <v>2026-07-02 01:47:38.580</v>
      </c>
      <c r="H147" t="s">
        <v>22</v>
      </c>
    </row>
    <row r="148" spans="1:10" x14ac:dyDescent="0.25">
      <c r="A148" s="1">
        <v>45</v>
      </c>
      <c r="B148" t="s">
        <v>26</v>
      </c>
      <c r="C148">
        <v>14</v>
      </c>
      <c r="D148">
        <v>10</v>
      </c>
      <c r="E148" t="s">
        <v>68</v>
      </c>
      <c r="F148" t="s">
        <v>69</v>
      </c>
      <c r="G148" t="str">
        <f>"2026-07-02 01:46:11.215"</f>
        <v>2026-07-02 01:46:11.215</v>
      </c>
      <c r="H148" t="s">
        <v>41</v>
      </c>
    </row>
    <row r="149" spans="1:10" x14ac:dyDescent="0.25">
      <c r="A149" s="1">
        <v>46</v>
      </c>
      <c r="B149" t="s">
        <v>26</v>
      </c>
      <c r="C149">
        <v>43</v>
      </c>
      <c r="D149">
        <v>1</v>
      </c>
      <c r="E149" t="s">
        <v>70</v>
      </c>
      <c r="F149" t="s">
        <v>71</v>
      </c>
      <c r="G149" t="str">
        <f>"2026-07-02 01:46:00.716"</f>
        <v>2026-07-02 01:46:00.716</v>
      </c>
      <c r="H149" t="s">
        <v>41</v>
      </c>
    </row>
    <row r="150" spans="1:10" x14ac:dyDescent="0.25">
      <c r="A150" s="1">
        <v>47</v>
      </c>
      <c r="B150" t="s">
        <v>29</v>
      </c>
      <c r="C150">
        <v>4</v>
      </c>
      <c r="D150">
        <v>1</v>
      </c>
      <c r="E150" t="s">
        <v>65</v>
      </c>
      <c r="F150" t="s">
        <v>66</v>
      </c>
      <c r="G150" t="str">
        <f>"2026-07-02 01:45:52.673"</f>
        <v>2026-07-02 01:45:52.673</v>
      </c>
      <c r="H150" t="s">
        <v>67</v>
      </c>
      <c r="I150">
        <v>0</v>
      </c>
      <c r="J150" t="s">
        <v>72</v>
      </c>
    </row>
    <row r="151" spans="1:10" x14ac:dyDescent="0.25">
      <c r="A151" s="1">
        <v>48</v>
      </c>
      <c r="B151" t="s">
        <v>19</v>
      </c>
      <c r="C151">
        <v>700</v>
      </c>
      <c r="D151">
        <v>0</v>
      </c>
      <c r="E151" t="s">
        <v>24</v>
      </c>
      <c r="F151" t="s">
        <v>24</v>
      </c>
      <c r="G151" t="str">
        <f>"2026-07-02 01:45:47.824"</f>
        <v>2026-07-02 01:45:47.824</v>
      </c>
      <c r="H151" t="s">
        <v>22</v>
      </c>
      <c r="I151">
        <v>0</v>
      </c>
      <c r="J151" t="s">
        <v>25</v>
      </c>
    </row>
    <row r="152" spans="1:10" x14ac:dyDescent="0.25">
      <c r="A152" s="1">
        <v>53</v>
      </c>
      <c r="B152" t="s">
        <v>26</v>
      </c>
      <c r="C152">
        <v>49</v>
      </c>
      <c r="D152">
        <v>1</v>
      </c>
      <c r="E152" t="s">
        <v>73</v>
      </c>
      <c r="F152" t="s">
        <v>74</v>
      </c>
      <c r="G152" t="str">
        <f>"2026-07-02 01:29:37.267"</f>
        <v>2026-07-02 01:29:37.267</v>
      </c>
      <c r="H152" t="s">
        <v>75</v>
      </c>
    </row>
    <row r="153" spans="1:10" x14ac:dyDescent="0.25">
      <c r="A153" s="1">
        <v>55</v>
      </c>
      <c r="B153" t="s">
        <v>29</v>
      </c>
      <c r="C153">
        <v>49</v>
      </c>
      <c r="D153">
        <v>1</v>
      </c>
      <c r="E153" t="s">
        <v>73</v>
      </c>
      <c r="F153" t="s">
        <v>74</v>
      </c>
      <c r="G153" t="str">
        <f>"2026-07-02 01:28:57.067"</f>
        <v>2026-07-02 01:28:57.067</v>
      </c>
      <c r="H153" t="s">
        <v>75</v>
      </c>
      <c r="I153">
        <v>0</v>
      </c>
      <c r="J153" t="s">
        <v>23</v>
      </c>
    </row>
    <row r="154" spans="1:10" x14ac:dyDescent="0.25">
      <c r="A154" s="1">
        <v>58</v>
      </c>
      <c r="B154" t="s">
        <v>34</v>
      </c>
      <c r="C154">
        <v>23</v>
      </c>
      <c r="D154">
        <v>1</v>
      </c>
      <c r="E154" t="s">
        <v>76</v>
      </c>
      <c r="F154" t="s">
        <v>77</v>
      </c>
      <c r="G154" t="str">
        <f>"2026-07-02 01:25:47.566"</f>
        <v>2026-07-02 01:25:47.566</v>
      </c>
      <c r="H154" t="s">
        <v>47</v>
      </c>
      <c r="I154">
        <v>0</v>
      </c>
      <c r="J154" t="s">
        <v>72</v>
      </c>
    </row>
    <row r="155" spans="1:10" x14ac:dyDescent="0.25">
      <c r="A155" s="1">
        <v>59</v>
      </c>
      <c r="B155" t="s">
        <v>19</v>
      </c>
      <c r="C155">
        <v>700</v>
      </c>
      <c r="D155">
        <v>0</v>
      </c>
      <c r="E155" t="s">
        <v>24</v>
      </c>
      <c r="F155" t="s">
        <v>24</v>
      </c>
      <c r="G155" t="str">
        <f>"2026-07-02 01:25:44.586"</f>
        <v>2026-07-02 01:25:44.586</v>
      </c>
      <c r="H155" t="s">
        <v>22</v>
      </c>
      <c r="I155">
        <v>0</v>
      </c>
      <c r="J155" t="s">
        <v>25</v>
      </c>
    </row>
    <row r="156" spans="1:10" x14ac:dyDescent="0.25">
      <c r="A156" s="1">
        <v>63</v>
      </c>
      <c r="B156" t="s">
        <v>29</v>
      </c>
      <c r="C156">
        <v>205</v>
      </c>
      <c r="D156">
        <v>3</v>
      </c>
      <c r="E156" t="s">
        <v>57</v>
      </c>
      <c r="F156" t="s">
        <v>58</v>
      </c>
      <c r="G156" t="str">
        <f>"2026-07-02 01:19:24.499"</f>
        <v>2026-07-02 01:19:24.499</v>
      </c>
      <c r="H156" t="s">
        <v>59</v>
      </c>
      <c r="I156">
        <v>0</v>
      </c>
      <c r="J156" t="s">
        <v>23</v>
      </c>
    </row>
    <row r="157" spans="1:10" x14ac:dyDescent="0.25">
      <c r="A157" s="1">
        <v>64</v>
      </c>
      <c r="B157" t="s">
        <v>29</v>
      </c>
      <c r="C157">
        <v>105</v>
      </c>
      <c r="D157">
        <v>3</v>
      </c>
      <c r="E157" t="s">
        <v>60</v>
      </c>
      <c r="F157" t="s">
        <v>58</v>
      </c>
      <c r="G157" t="str">
        <f>"2026-07-02 01:19:24.099"</f>
        <v>2026-07-02 01:19:24.099</v>
      </c>
      <c r="H157" t="s">
        <v>61</v>
      </c>
      <c r="I157">
        <v>0</v>
      </c>
      <c r="J157" t="s">
        <v>23</v>
      </c>
    </row>
    <row r="158" spans="1:10" x14ac:dyDescent="0.25">
      <c r="A158" s="1">
        <v>65</v>
      </c>
      <c r="B158" t="s">
        <v>44</v>
      </c>
      <c r="C158">
        <v>205</v>
      </c>
      <c r="D158">
        <v>3</v>
      </c>
      <c r="E158" t="s">
        <v>57</v>
      </c>
      <c r="F158" t="s">
        <v>58</v>
      </c>
      <c r="G158" t="str">
        <f>"2026-07-02 01:19:23.928"</f>
        <v>2026-07-02 01:19:23.928</v>
      </c>
      <c r="H158" t="s">
        <v>59</v>
      </c>
    </row>
    <row r="159" spans="1:10" x14ac:dyDescent="0.25">
      <c r="A159" s="1">
        <v>66</v>
      </c>
      <c r="B159" t="s">
        <v>44</v>
      </c>
      <c r="C159">
        <v>105</v>
      </c>
      <c r="D159">
        <v>3</v>
      </c>
      <c r="E159" t="s">
        <v>60</v>
      </c>
      <c r="F159" t="s">
        <v>58</v>
      </c>
      <c r="G159" t="str">
        <f>"2026-07-02 01:19:23.828"</f>
        <v>2026-07-02 01:19:23.828</v>
      </c>
      <c r="H159" t="s">
        <v>61</v>
      </c>
    </row>
    <row r="160" spans="1:10" x14ac:dyDescent="0.25">
      <c r="A160" s="1">
        <v>67</v>
      </c>
      <c r="B160" t="s">
        <v>34</v>
      </c>
      <c r="C160">
        <v>105</v>
      </c>
      <c r="D160">
        <v>3</v>
      </c>
      <c r="E160" t="s">
        <v>60</v>
      </c>
      <c r="F160" t="s">
        <v>58</v>
      </c>
      <c r="G160" t="str">
        <f>"2026-07-02 01:19:18.779"</f>
        <v>2026-07-02 01:19:18.779</v>
      </c>
      <c r="H160" t="s">
        <v>61</v>
      </c>
      <c r="I160">
        <v>0</v>
      </c>
      <c r="J160" t="s">
        <v>23</v>
      </c>
    </row>
    <row r="161" spans="1:10" x14ac:dyDescent="0.25">
      <c r="A161" s="1">
        <v>68</v>
      </c>
      <c r="B161" t="s">
        <v>34</v>
      </c>
      <c r="C161">
        <v>205</v>
      </c>
      <c r="D161">
        <v>3</v>
      </c>
      <c r="E161" t="s">
        <v>57</v>
      </c>
      <c r="F161" t="s">
        <v>58</v>
      </c>
      <c r="G161" t="str">
        <f>"2026-07-02 01:19:18.759"</f>
        <v>2026-07-02 01:19:18.759</v>
      </c>
      <c r="H161" t="s">
        <v>59</v>
      </c>
      <c r="I161">
        <v>0</v>
      </c>
      <c r="J161" t="s">
        <v>23</v>
      </c>
    </row>
    <row r="162" spans="1:10" x14ac:dyDescent="0.25">
      <c r="A162" s="1">
        <v>69</v>
      </c>
      <c r="B162" t="s">
        <v>44</v>
      </c>
      <c r="C162">
        <v>205</v>
      </c>
      <c r="D162">
        <v>3</v>
      </c>
      <c r="E162" t="s">
        <v>57</v>
      </c>
      <c r="F162" t="s">
        <v>58</v>
      </c>
      <c r="G162" t="str">
        <f>"2026-07-02 01:19:18.328"</f>
        <v>2026-07-02 01:19:18.328</v>
      </c>
      <c r="H162" t="s">
        <v>59</v>
      </c>
    </row>
    <row r="163" spans="1:10" x14ac:dyDescent="0.25">
      <c r="A163" s="1">
        <v>70</v>
      </c>
      <c r="B163" t="s">
        <v>44</v>
      </c>
      <c r="C163">
        <v>105</v>
      </c>
      <c r="D163">
        <v>3</v>
      </c>
      <c r="E163" t="s">
        <v>60</v>
      </c>
      <c r="F163" t="s">
        <v>58</v>
      </c>
      <c r="G163" t="str">
        <f>"2026-07-02 01:19:18.228"</f>
        <v>2026-07-02 01:19:18.228</v>
      </c>
      <c r="H163" t="s">
        <v>61</v>
      </c>
    </row>
    <row r="164" spans="1:10" x14ac:dyDescent="0.25">
      <c r="A164" s="1">
        <v>71</v>
      </c>
      <c r="B164" t="s">
        <v>29</v>
      </c>
      <c r="C164">
        <v>43</v>
      </c>
      <c r="D164">
        <v>1</v>
      </c>
      <c r="E164" t="s">
        <v>70</v>
      </c>
      <c r="F164" t="s">
        <v>71</v>
      </c>
      <c r="G164" t="str">
        <f>"2026-07-02 01:19:17.456"</f>
        <v>2026-07-02 01:19:17.456</v>
      </c>
      <c r="H164" t="s">
        <v>41</v>
      </c>
      <c r="I164">
        <v>0</v>
      </c>
      <c r="J164" t="s">
        <v>23</v>
      </c>
    </row>
    <row r="165" spans="1:10" x14ac:dyDescent="0.25">
      <c r="A165" s="1">
        <v>72</v>
      </c>
      <c r="B165" t="s">
        <v>34</v>
      </c>
      <c r="C165">
        <v>205</v>
      </c>
      <c r="D165">
        <v>3</v>
      </c>
      <c r="E165" t="s">
        <v>57</v>
      </c>
      <c r="F165" t="s">
        <v>58</v>
      </c>
      <c r="G165" t="str">
        <f>"2026-07-02 01:19:13.164"</f>
        <v>2026-07-02 01:19:13.164</v>
      </c>
      <c r="H165" t="s">
        <v>59</v>
      </c>
      <c r="I165">
        <v>0</v>
      </c>
      <c r="J165" t="s">
        <v>23</v>
      </c>
    </row>
    <row r="166" spans="1:10" x14ac:dyDescent="0.25">
      <c r="A166" s="1">
        <v>73</v>
      </c>
      <c r="B166" t="s">
        <v>34</v>
      </c>
      <c r="C166">
        <v>105</v>
      </c>
      <c r="D166">
        <v>3</v>
      </c>
      <c r="E166" t="s">
        <v>60</v>
      </c>
      <c r="F166" t="s">
        <v>58</v>
      </c>
      <c r="G166" t="str">
        <f>"2026-07-02 01:19:13.159"</f>
        <v>2026-07-02 01:19:13.159</v>
      </c>
      <c r="H166" t="s">
        <v>61</v>
      </c>
      <c r="I166">
        <v>0</v>
      </c>
      <c r="J166" t="s">
        <v>23</v>
      </c>
    </row>
    <row r="167" spans="1:10" x14ac:dyDescent="0.25">
      <c r="A167" s="1">
        <v>74</v>
      </c>
      <c r="B167" t="s">
        <v>44</v>
      </c>
      <c r="C167">
        <v>205</v>
      </c>
      <c r="D167">
        <v>3</v>
      </c>
      <c r="E167" t="s">
        <v>57</v>
      </c>
      <c r="F167" t="s">
        <v>58</v>
      </c>
      <c r="G167" t="str">
        <f>"2026-07-02 01:19:12.628"</f>
        <v>2026-07-02 01:19:12.628</v>
      </c>
      <c r="H167" t="s">
        <v>59</v>
      </c>
    </row>
    <row r="168" spans="1:10" x14ac:dyDescent="0.25">
      <c r="A168" s="1">
        <v>75</v>
      </c>
      <c r="B168" t="s">
        <v>44</v>
      </c>
      <c r="C168">
        <v>105</v>
      </c>
      <c r="D168">
        <v>3</v>
      </c>
      <c r="E168" t="s">
        <v>60</v>
      </c>
      <c r="F168" t="s">
        <v>58</v>
      </c>
      <c r="G168" t="str">
        <f>"2026-07-02 01:19:12.528"</f>
        <v>2026-07-02 01:19:12.528</v>
      </c>
      <c r="H168" t="s">
        <v>61</v>
      </c>
    </row>
    <row r="169" spans="1:10" x14ac:dyDescent="0.25">
      <c r="A169" s="1">
        <v>76</v>
      </c>
      <c r="B169" t="s">
        <v>34</v>
      </c>
      <c r="C169">
        <v>89</v>
      </c>
      <c r="D169">
        <v>4</v>
      </c>
      <c r="E169" t="s">
        <v>42</v>
      </c>
      <c r="F169" t="s">
        <v>78</v>
      </c>
      <c r="G169" t="str">
        <f>"2026-07-02 01:19:10.957"</f>
        <v>2026-07-02 01:19:10.957</v>
      </c>
      <c r="H169" t="s">
        <v>22</v>
      </c>
      <c r="I169">
        <v>0</v>
      </c>
      <c r="J169" t="s">
        <v>23</v>
      </c>
    </row>
    <row r="170" spans="1:10" x14ac:dyDescent="0.25">
      <c r="A170" s="1">
        <v>77</v>
      </c>
      <c r="B170" t="s">
        <v>34</v>
      </c>
      <c r="C170">
        <v>105</v>
      </c>
      <c r="D170">
        <v>3</v>
      </c>
      <c r="E170" t="s">
        <v>60</v>
      </c>
      <c r="F170" t="s">
        <v>58</v>
      </c>
      <c r="G170" t="str">
        <f>"2026-07-02 01:19:07.379"</f>
        <v>2026-07-02 01:19:07.379</v>
      </c>
      <c r="H170" t="s">
        <v>61</v>
      </c>
      <c r="I170">
        <v>0</v>
      </c>
      <c r="J170" t="s">
        <v>23</v>
      </c>
    </row>
    <row r="171" spans="1:10" x14ac:dyDescent="0.25">
      <c r="A171" s="1">
        <v>78</v>
      </c>
      <c r="B171" t="s">
        <v>34</v>
      </c>
      <c r="C171">
        <v>205</v>
      </c>
      <c r="D171">
        <v>3</v>
      </c>
      <c r="E171" t="s">
        <v>57</v>
      </c>
      <c r="F171" t="s">
        <v>58</v>
      </c>
      <c r="G171" t="str">
        <f>"2026-07-02 01:19:07.359"</f>
        <v>2026-07-02 01:19:07.359</v>
      </c>
      <c r="H171" t="s">
        <v>59</v>
      </c>
      <c r="I171">
        <v>0</v>
      </c>
      <c r="J171" t="s">
        <v>23</v>
      </c>
    </row>
    <row r="172" spans="1:10" x14ac:dyDescent="0.25">
      <c r="A172" s="1">
        <v>80</v>
      </c>
      <c r="B172" t="s">
        <v>29</v>
      </c>
      <c r="C172">
        <v>79</v>
      </c>
      <c r="D172">
        <v>9</v>
      </c>
      <c r="E172" t="s">
        <v>62</v>
      </c>
      <c r="F172" t="s">
        <v>63</v>
      </c>
      <c r="G172" t="str">
        <f>"2026-07-02 01:19:03.404"</f>
        <v>2026-07-02 01:19:03.404</v>
      </c>
      <c r="H172" t="s">
        <v>64</v>
      </c>
      <c r="I172">
        <v>0</v>
      </c>
      <c r="J172" t="s">
        <v>72</v>
      </c>
    </row>
    <row r="173" spans="1:10" x14ac:dyDescent="0.25">
      <c r="A173" s="1">
        <v>81</v>
      </c>
      <c r="B173" t="s">
        <v>29</v>
      </c>
      <c r="C173">
        <v>14</v>
      </c>
      <c r="D173">
        <v>10</v>
      </c>
      <c r="E173" t="s">
        <v>68</v>
      </c>
      <c r="F173" t="s">
        <v>69</v>
      </c>
      <c r="G173" t="str">
        <f>"2026-07-02 01:19:03.403"</f>
        <v>2026-07-02 01:19:03.403</v>
      </c>
      <c r="H173" t="s">
        <v>41</v>
      </c>
      <c r="I173">
        <v>0</v>
      </c>
      <c r="J173" t="s">
        <v>72</v>
      </c>
    </row>
    <row r="174" spans="1:10" x14ac:dyDescent="0.25">
      <c r="A174" s="1">
        <v>82</v>
      </c>
      <c r="B174" t="s">
        <v>34</v>
      </c>
      <c r="C174">
        <v>23</v>
      </c>
      <c r="D174">
        <v>1</v>
      </c>
      <c r="E174" t="s">
        <v>76</v>
      </c>
      <c r="F174" t="s">
        <v>77</v>
      </c>
      <c r="G174" t="str">
        <f>"2026-07-02 01:19:02.556"</f>
        <v>2026-07-02 01:19:02.556</v>
      </c>
      <c r="H174" t="s">
        <v>47</v>
      </c>
      <c r="I174">
        <v>0</v>
      </c>
      <c r="J174" t="s">
        <v>72</v>
      </c>
    </row>
    <row r="175" spans="1:10" x14ac:dyDescent="0.25">
      <c r="A175" s="1">
        <v>83</v>
      </c>
      <c r="B175" t="s">
        <v>19</v>
      </c>
      <c r="C175">
        <v>700</v>
      </c>
      <c r="D175">
        <v>0</v>
      </c>
      <c r="E175" t="s">
        <v>24</v>
      </c>
      <c r="F175" t="s">
        <v>24</v>
      </c>
      <c r="G175" t="str">
        <f>"2026-07-02 01:18:59.585"</f>
        <v>2026-07-02 01:18:59.585</v>
      </c>
      <c r="H175" t="s">
        <v>22</v>
      </c>
      <c r="I175">
        <v>0</v>
      </c>
      <c r="J175" t="s">
        <v>25</v>
      </c>
    </row>
    <row r="176" spans="1:10" x14ac:dyDescent="0.25">
      <c r="A176" s="1">
        <v>84</v>
      </c>
      <c r="B176" t="s">
        <v>19</v>
      </c>
      <c r="C176">
        <v>706</v>
      </c>
      <c r="D176">
        <v>2</v>
      </c>
      <c r="E176" t="s">
        <v>20</v>
      </c>
      <c r="F176" t="s">
        <v>54</v>
      </c>
      <c r="G176" t="str">
        <f>"2026-06-30 17:53:12.607"</f>
        <v>2026-06-30 17:53:12.607</v>
      </c>
      <c r="H176" t="s">
        <v>22</v>
      </c>
      <c r="I176">
        <v>0</v>
      </c>
      <c r="J176" t="s">
        <v>23</v>
      </c>
    </row>
    <row r="177" spans="1:10" x14ac:dyDescent="0.25">
      <c r="A177" s="1">
        <v>85</v>
      </c>
      <c r="B177" t="s">
        <v>19</v>
      </c>
      <c r="C177">
        <v>700</v>
      </c>
      <c r="D177">
        <v>0</v>
      </c>
      <c r="E177" t="s">
        <v>24</v>
      </c>
      <c r="F177" t="s">
        <v>24</v>
      </c>
      <c r="G177" t="str">
        <f>"2026-06-30 17:52:54.817"</f>
        <v>2026-06-30 17:52:54.817</v>
      </c>
      <c r="H177" t="s">
        <v>22</v>
      </c>
      <c r="I177">
        <v>0</v>
      </c>
      <c r="J177" t="s">
        <v>25</v>
      </c>
    </row>
    <row r="178" spans="1:10" x14ac:dyDescent="0.25">
      <c r="A178" s="1">
        <v>86</v>
      </c>
      <c r="B178" t="s">
        <v>19</v>
      </c>
      <c r="C178">
        <v>700</v>
      </c>
      <c r="D178">
        <v>0</v>
      </c>
      <c r="E178" t="s">
        <v>24</v>
      </c>
      <c r="F178" t="s">
        <v>24</v>
      </c>
      <c r="G178" t="str">
        <f>"2026-06-30 13:54:48.583"</f>
        <v>2026-06-30 13:54:48.583</v>
      </c>
      <c r="H178" t="s">
        <v>22</v>
      </c>
      <c r="I178">
        <v>0</v>
      </c>
      <c r="J178" t="s">
        <v>25</v>
      </c>
    </row>
    <row r="179" spans="1:10" x14ac:dyDescent="0.25">
      <c r="A179" s="1">
        <v>87</v>
      </c>
      <c r="B179" t="s">
        <v>19</v>
      </c>
      <c r="C179">
        <v>700</v>
      </c>
      <c r="D179">
        <v>0</v>
      </c>
      <c r="E179" t="s">
        <v>24</v>
      </c>
      <c r="F179" t="s">
        <v>24</v>
      </c>
      <c r="G179" t="str">
        <f>"2026-06-30 10:56:20.573"</f>
        <v>2026-06-30 10:56:20.573</v>
      </c>
      <c r="H179" t="s">
        <v>22</v>
      </c>
    </row>
    <row r="180" spans="1:10" x14ac:dyDescent="0.25">
      <c r="A180" s="1">
        <v>88</v>
      </c>
      <c r="B180" t="s">
        <v>19</v>
      </c>
      <c r="C180">
        <v>700</v>
      </c>
      <c r="D180">
        <v>0</v>
      </c>
      <c r="E180" t="s">
        <v>24</v>
      </c>
      <c r="F180" t="s">
        <v>24</v>
      </c>
      <c r="G180" t="str">
        <f>"2026-06-30 10:18:20.576"</f>
        <v>2026-06-30 10:18:20.576</v>
      </c>
      <c r="H180" t="s">
        <v>22</v>
      </c>
    </row>
    <row r="181" spans="1:10" x14ac:dyDescent="0.25">
      <c r="A181" s="1">
        <v>89</v>
      </c>
      <c r="B181" t="s">
        <v>19</v>
      </c>
      <c r="C181">
        <v>700</v>
      </c>
      <c r="D181">
        <v>0</v>
      </c>
      <c r="E181" t="s">
        <v>24</v>
      </c>
      <c r="F181" t="s">
        <v>24</v>
      </c>
      <c r="G181" t="str">
        <f>"2026-06-30 10:02:14.658"</f>
        <v>2026-06-30 10:02:14.658</v>
      </c>
      <c r="H181" t="s">
        <v>22</v>
      </c>
      <c r="I181">
        <v>0</v>
      </c>
      <c r="J181" t="s">
        <v>25</v>
      </c>
    </row>
    <row r="182" spans="1:10" x14ac:dyDescent="0.25">
      <c r="A182" s="1">
        <v>90</v>
      </c>
      <c r="B182" t="s">
        <v>19</v>
      </c>
      <c r="C182">
        <v>700</v>
      </c>
      <c r="D182">
        <v>0</v>
      </c>
      <c r="E182" t="s">
        <v>24</v>
      </c>
      <c r="F182" t="s">
        <v>24</v>
      </c>
      <c r="G182" t="str">
        <f>"2026-06-30 09:18:37.582"</f>
        <v>2026-06-30 09:18:37.582</v>
      </c>
      <c r="H182" t="s">
        <v>22</v>
      </c>
    </row>
    <row r="183" spans="1:10" x14ac:dyDescent="0.25">
      <c r="A183" s="1">
        <v>91</v>
      </c>
      <c r="B183" t="s">
        <v>19</v>
      </c>
      <c r="C183">
        <v>700</v>
      </c>
      <c r="D183">
        <v>0</v>
      </c>
      <c r="E183" t="s">
        <v>24</v>
      </c>
      <c r="F183" t="s">
        <v>24</v>
      </c>
      <c r="G183" t="str">
        <f>"2026-06-30 08:37:13.668"</f>
        <v>2026-06-30 08:37:13.668</v>
      </c>
      <c r="H183" t="s">
        <v>22</v>
      </c>
    </row>
    <row r="184" spans="1:10" x14ac:dyDescent="0.25">
      <c r="A184" s="1">
        <v>92</v>
      </c>
      <c r="B184" t="s">
        <v>19</v>
      </c>
      <c r="C184">
        <v>706</v>
      </c>
      <c r="D184">
        <v>2</v>
      </c>
      <c r="E184" t="s">
        <v>20</v>
      </c>
      <c r="F184" t="s">
        <v>54</v>
      </c>
      <c r="G184" t="str">
        <f>"2026-06-30 01:08:50.574"</f>
        <v>2026-06-30 01:08:50.574</v>
      </c>
      <c r="H184" t="s">
        <v>22</v>
      </c>
      <c r="I184">
        <v>0</v>
      </c>
      <c r="J184" t="s">
        <v>23</v>
      </c>
    </row>
    <row r="185" spans="1:10" x14ac:dyDescent="0.25">
      <c r="A185" s="1">
        <v>93</v>
      </c>
      <c r="B185" t="s">
        <v>19</v>
      </c>
      <c r="C185">
        <v>700</v>
      </c>
      <c r="D185">
        <v>0</v>
      </c>
      <c r="E185" t="s">
        <v>24</v>
      </c>
      <c r="F185" t="s">
        <v>24</v>
      </c>
      <c r="G185" t="str">
        <f>"2026-06-30 01:08:36.594"</f>
        <v>2026-06-30 01:08:36.594</v>
      </c>
      <c r="H185" t="s">
        <v>22</v>
      </c>
    </row>
    <row r="186" spans="1:10" x14ac:dyDescent="0.25">
      <c r="A186" s="1">
        <v>94</v>
      </c>
      <c r="B186" t="s">
        <v>19</v>
      </c>
      <c r="C186">
        <v>700</v>
      </c>
      <c r="D186">
        <v>0</v>
      </c>
      <c r="E186" t="s">
        <v>24</v>
      </c>
      <c r="F186" t="s">
        <v>24</v>
      </c>
      <c r="G186" t="str">
        <f>"2026-06-29 22:38:14.596"</f>
        <v>2026-06-29 22:38:14.596</v>
      </c>
      <c r="H186" t="s">
        <v>22</v>
      </c>
      <c r="I186">
        <v>0</v>
      </c>
      <c r="J186" t="s">
        <v>25</v>
      </c>
    </row>
    <row r="187" spans="1:10" x14ac:dyDescent="0.25">
      <c r="A187" s="1">
        <v>95</v>
      </c>
      <c r="B187" t="s">
        <v>26</v>
      </c>
      <c r="C187">
        <v>4</v>
      </c>
      <c r="D187">
        <v>1</v>
      </c>
      <c r="E187" t="s">
        <v>65</v>
      </c>
      <c r="F187" t="s">
        <v>66</v>
      </c>
      <c r="G187" t="str">
        <f>"2026-06-29 22:04:55.774"</f>
        <v>2026-06-29 22:04:55.774</v>
      </c>
      <c r="H187" t="s">
        <v>67</v>
      </c>
    </row>
    <row r="188" spans="1:10" x14ac:dyDescent="0.25">
      <c r="A188" s="1">
        <v>96</v>
      </c>
      <c r="B188" t="s">
        <v>19</v>
      </c>
      <c r="C188">
        <v>700</v>
      </c>
      <c r="D188">
        <v>0</v>
      </c>
      <c r="E188" t="s">
        <v>24</v>
      </c>
      <c r="F188" t="s">
        <v>24</v>
      </c>
      <c r="G188" t="str">
        <f>"2026-06-29 22:02:47.605"</f>
        <v>2026-06-29 22:02:47.605</v>
      </c>
      <c r="H188" t="s">
        <v>22</v>
      </c>
      <c r="I188">
        <v>0</v>
      </c>
      <c r="J188" t="s">
        <v>25</v>
      </c>
    </row>
    <row r="189" spans="1:10" x14ac:dyDescent="0.25">
      <c r="A189" s="1">
        <v>97</v>
      </c>
      <c r="B189" t="s">
        <v>19</v>
      </c>
      <c r="C189">
        <v>706</v>
      </c>
      <c r="D189">
        <v>2</v>
      </c>
      <c r="E189" t="s">
        <v>20</v>
      </c>
      <c r="F189" t="s">
        <v>54</v>
      </c>
      <c r="G189" t="str">
        <f>"2026-06-29 21:20:44.966"</f>
        <v>2026-06-29 21:20:44.966</v>
      </c>
      <c r="H189" t="s">
        <v>22</v>
      </c>
      <c r="I189">
        <v>0</v>
      </c>
      <c r="J189" t="s">
        <v>23</v>
      </c>
    </row>
    <row r="190" spans="1:10" x14ac:dyDescent="0.25">
      <c r="A190" s="1">
        <v>98</v>
      </c>
      <c r="B190" t="s">
        <v>29</v>
      </c>
      <c r="C190">
        <v>4</v>
      </c>
      <c r="D190">
        <v>1</v>
      </c>
      <c r="E190" t="s">
        <v>65</v>
      </c>
      <c r="F190" t="s">
        <v>66</v>
      </c>
      <c r="G190" t="str">
        <f>"2026-06-29 21:19:46.424"</f>
        <v>2026-06-29 21:19:46.424</v>
      </c>
      <c r="H190" t="s">
        <v>67</v>
      </c>
      <c r="I190">
        <v>0</v>
      </c>
      <c r="J190" t="s">
        <v>72</v>
      </c>
    </row>
    <row r="191" spans="1:10" x14ac:dyDescent="0.25">
      <c r="A191" s="1">
        <v>99</v>
      </c>
      <c r="B191" t="s">
        <v>19</v>
      </c>
      <c r="C191">
        <v>700</v>
      </c>
      <c r="D191">
        <v>0</v>
      </c>
      <c r="E191" t="s">
        <v>24</v>
      </c>
      <c r="F191" t="s">
        <v>24</v>
      </c>
      <c r="G191" t="str">
        <f>"2026-06-29 21:19:41.596"</f>
        <v>2026-06-29 21:19:41.596</v>
      </c>
      <c r="H191" t="s">
        <v>22</v>
      </c>
      <c r="I191">
        <v>0</v>
      </c>
      <c r="J191" t="s">
        <v>25</v>
      </c>
    </row>
    <row r="192" spans="1:10" x14ac:dyDescent="0.25">
      <c r="A192" s="1">
        <v>0</v>
      </c>
      <c r="B192" t="s">
        <v>26</v>
      </c>
      <c r="C192">
        <v>619</v>
      </c>
      <c r="D192">
        <v>1</v>
      </c>
      <c r="E192" t="s">
        <v>79</v>
      </c>
      <c r="F192" t="s">
        <v>28</v>
      </c>
      <c r="G192" t="str">
        <f>"2026-06-28 10:00:27.770"</f>
        <v>2026-06-28 10:00:27.770</v>
      </c>
      <c r="H192" t="s">
        <v>80</v>
      </c>
    </row>
    <row r="193" spans="1:10" x14ac:dyDescent="0.25">
      <c r="A193" s="1">
        <v>1</v>
      </c>
      <c r="B193" t="s">
        <v>29</v>
      </c>
      <c r="C193">
        <v>619</v>
      </c>
      <c r="D193">
        <v>1</v>
      </c>
      <c r="E193" t="s">
        <v>79</v>
      </c>
      <c r="F193" t="s">
        <v>28</v>
      </c>
      <c r="G193" t="str">
        <f>"2026-06-28 09:58:56.670"</f>
        <v>2026-06-28 09:58:56.670</v>
      </c>
      <c r="H193" t="s">
        <v>80</v>
      </c>
      <c r="I193">
        <v>0</v>
      </c>
      <c r="J193" t="s">
        <v>23</v>
      </c>
    </row>
    <row r="194" spans="1:10" x14ac:dyDescent="0.25">
      <c r="A194" s="1">
        <v>2</v>
      </c>
      <c r="B194" t="s">
        <v>19</v>
      </c>
      <c r="C194">
        <v>706</v>
      </c>
      <c r="D194">
        <v>2</v>
      </c>
      <c r="E194" t="s">
        <v>20</v>
      </c>
      <c r="F194" t="s">
        <v>54</v>
      </c>
      <c r="G194" t="str">
        <f>"2026-06-28 09:58:49.392"</f>
        <v>2026-06-28 09:58:49.392</v>
      </c>
      <c r="H194" t="s">
        <v>22</v>
      </c>
      <c r="I194">
        <v>0</v>
      </c>
      <c r="J194" t="s">
        <v>23</v>
      </c>
    </row>
    <row r="195" spans="1:10" x14ac:dyDescent="0.25">
      <c r="A195" s="1">
        <v>3</v>
      </c>
      <c r="B195" t="s">
        <v>19</v>
      </c>
      <c r="C195">
        <v>700</v>
      </c>
      <c r="D195">
        <v>0</v>
      </c>
      <c r="E195" t="s">
        <v>24</v>
      </c>
      <c r="F195" t="s">
        <v>24</v>
      </c>
      <c r="G195" t="str">
        <f>"2026-06-28 09:58:31.602"</f>
        <v>2026-06-28 09:58:31.602</v>
      </c>
      <c r="H195" t="s">
        <v>22</v>
      </c>
    </row>
    <row r="196" spans="1:10" x14ac:dyDescent="0.25">
      <c r="A196" s="1">
        <v>4</v>
      </c>
      <c r="B196" t="s">
        <v>19</v>
      </c>
      <c r="C196">
        <v>700</v>
      </c>
      <c r="D196">
        <v>0</v>
      </c>
      <c r="E196" t="s">
        <v>24</v>
      </c>
      <c r="F196" t="s">
        <v>24</v>
      </c>
      <c r="G196" t="str">
        <f>"2026-06-25 18:52:54.606"</f>
        <v>2026-06-25 18:52:54.606</v>
      </c>
      <c r="H196" t="s">
        <v>22</v>
      </c>
    </row>
    <row r="197" spans="1:10" x14ac:dyDescent="0.25">
      <c r="A197" s="1">
        <v>5</v>
      </c>
      <c r="B197" t="s">
        <v>19</v>
      </c>
      <c r="C197">
        <v>706</v>
      </c>
      <c r="D197">
        <v>3</v>
      </c>
      <c r="E197" t="s">
        <v>20</v>
      </c>
      <c r="F197" t="s">
        <v>48</v>
      </c>
      <c r="G197" t="str">
        <f>"2026-06-25 12:48:55.915"</f>
        <v>2026-06-25 12:48:55.915</v>
      </c>
      <c r="H197" t="s">
        <v>22</v>
      </c>
      <c r="I197">
        <v>0</v>
      </c>
      <c r="J197" t="s">
        <v>23</v>
      </c>
    </row>
    <row r="198" spans="1:10" x14ac:dyDescent="0.25">
      <c r="A198" s="1">
        <v>6</v>
      </c>
      <c r="B198" t="s">
        <v>19</v>
      </c>
      <c r="C198">
        <v>700</v>
      </c>
      <c r="D198">
        <v>0</v>
      </c>
      <c r="E198" t="s">
        <v>24</v>
      </c>
      <c r="F198" t="s">
        <v>24</v>
      </c>
      <c r="G198" t="str">
        <f>"2026-06-25 12:44:25.725"</f>
        <v>2026-06-25 12:44:25.725</v>
      </c>
      <c r="H198" t="s">
        <v>22</v>
      </c>
      <c r="I198">
        <v>0</v>
      </c>
      <c r="J198" t="s">
        <v>25</v>
      </c>
    </row>
    <row r="199" spans="1:10" x14ac:dyDescent="0.25">
      <c r="A199" s="1">
        <v>7</v>
      </c>
      <c r="B199" t="s">
        <v>31</v>
      </c>
      <c r="C199">
        <v>87</v>
      </c>
      <c r="D199">
        <v>1</v>
      </c>
      <c r="E199" t="s">
        <v>32</v>
      </c>
      <c r="F199" t="s">
        <v>33</v>
      </c>
      <c r="G199" t="str">
        <f>"2026-06-25 06:49:10.050"</f>
        <v>2026-06-25 06:49:10.050</v>
      </c>
      <c r="H199" t="s">
        <v>22</v>
      </c>
    </row>
    <row r="200" spans="1:10" x14ac:dyDescent="0.25">
      <c r="A200" s="1">
        <v>8</v>
      </c>
      <c r="B200" t="s">
        <v>34</v>
      </c>
      <c r="C200">
        <v>87</v>
      </c>
      <c r="D200">
        <v>1</v>
      </c>
      <c r="E200" t="s">
        <v>32</v>
      </c>
      <c r="F200" t="s">
        <v>33</v>
      </c>
      <c r="G200" t="str">
        <f>"2026-06-25 06:29:59.601"</f>
        <v>2026-06-25 06:29:59.601</v>
      </c>
      <c r="H200" t="s">
        <v>22</v>
      </c>
      <c r="I200">
        <v>5.31</v>
      </c>
      <c r="J200" t="s">
        <v>30</v>
      </c>
    </row>
    <row r="201" spans="1:10" x14ac:dyDescent="0.25">
      <c r="A201" s="1">
        <v>9</v>
      </c>
      <c r="B201" t="s">
        <v>19</v>
      </c>
      <c r="C201">
        <v>700</v>
      </c>
      <c r="D201">
        <v>0</v>
      </c>
      <c r="E201" t="s">
        <v>24</v>
      </c>
      <c r="F201" t="s">
        <v>24</v>
      </c>
      <c r="G201" t="str">
        <f>"2026-06-25 01:34:27.629"</f>
        <v>2026-06-25 01:34:27.629</v>
      </c>
      <c r="H201" t="s">
        <v>22</v>
      </c>
      <c r="I201">
        <v>0</v>
      </c>
      <c r="J201" t="s">
        <v>25</v>
      </c>
    </row>
    <row r="202" spans="1:10" x14ac:dyDescent="0.25">
      <c r="A202" s="1">
        <v>10</v>
      </c>
      <c r="B202" t="s">
        <v>26</v>
      </c>
      <c r="C202">
        <v>635</v>
      </c>
      <c r="D202">
        <v>1</v>
      </c>
      <c r="E202" t="s">
        <v>27</v>
      </c>
      <c r="F202" t="s">
        <v>28</v>
      </c>
      <c r="G202" t="str">
        <f>"2026-06-24 23:05:52.141"</f>
        <v>2026-06-24 23:05:52.141</v>
      </c>
      <c r="H202" t="s">
        <v>22</v>
      </c>
    </row>
    <row r="203" spans="1:10" x14ac:dyDescent="0.25">
      <c r="A203" s="1">
        <v>11</v>
      </c>
      <c r="B203" t="s">
        <v>29</v>
      </c>
      <c r="C203">
        <v>635</v>
      </c>
      <c r="D203">
        <v>1</v>
      </c>
      <c r="E203" t="s">
        <v>27</v>
      </c>
      <c r="F203" t="s">
        <v>28</v>
      </c>
      <c r="G203" t="str">
        <f>"2026-06-24 23:00:05.642"</f>
        <v>2026-06-24 23:00:05.642</v>
      </c>
      <c r="H203" t="s">
        <v>22</v>
      </c>
      <c r="I203">
        <v>-0.27</v>
      </c>
      <c r="J203" t="s">
        <v>38</v>
      </c>
    </row>
    <row r="204" spans="1:10" x14ac:dyDescent="0.25">
      <c r="A204" s="1">
        <v>12</v>
      </c>
      <c r="B204" t="s">
        <v>19</v>
      </c>
      <c r="C204">
        <v>700</v>
      </c>
      <c r="D204">
        <v>0</v>
      </c>
      <c r="E204" t="s">
        <v>24</v>
      </c>
      <c r="F204" t="s">
        <v>24</v>
      </c>
      <c r="G204" t="str">
        <f>"2026-06-24 21:54:14.593"</f>
        <v>2026-06-24 21:54:14.593</v>
      </c>
      <c r="H204" t="s">
        <v>22</v>
      </c>
      <c r="I204">
        <v>0</v>
      </c>
      <c r="J204" t="s">
        <v>25</v>
      </c>
    </row>
    <row r="205" spans="1:10" x14ac:dyDescent="0.25">
      <c r="A205" s="1">
        <v>13</v>
      </c>
      <c r="B205" t="s">
        <v>19</v>
      </c>
      <c r="C205">
        <v>700</v>
      </c>
      <c r="D205">
        <v>0</v>
      </c>
      <c r="E205" t="s">
        <v>24</v>
      </c>
      <c r="F205" t="s">
        <v>24</v>
      </c>
      <c r="G205" t="str">
        <f>"2026-06-24 20:24:11.006"</f>
        <v>2026-06-24 20:24:11.006</v>
      </c>
      <c r="H205" t="s">
        <v>22</v>
      </c>
    </row>
    <row r="206" spans="1:10" x14ac:dyDescent="0.25">
      <c r="A206" s="1">
        <v>14</v>
      </c>
      <c r="B206" t="s">
        <v>31</v>
      </c>
      <c r="C206">
        <v>87</v>
      </c>
      <c r="D206">
        <v>1</v>
      </c>
      <c r="E206" t="s">
        <v>32</v>
      </c>
      <c r="F206" t="s">
        <v>33</v>
      </c>
      <c r="G206" t="str">
        <f>"2026-06-24 18:58:40.610"</f>
        <v>2026-06-24 18:58:40.610</v>
      </c>
      <c r="H206" t="s">
        <v>22</v>
      </c>
    </row>
    <row r="207" spans="1:10" x14ac:dyDescent="0.25">
      <c r="A207" s="1">
        <v>15</v>
      </c>
      <c r="B207" t="s">
        <v>34</v>
      </c>
      <c r="C207">
        <v>87</v>
      </c>
      <c r="D207">
        <v>1</v>
      </c>
      <c r="E207" t="s">
        <v>32</v>
      </c>
      <c r="F207" t="s">
        <v>33</v>
      </c>
      <c r="G207" t="str">
        <f>"2026-06-24 18:50:21.222"</f>
        <v>2026-06-24 18:50:21.222</v>
      </c>
      <c r="H207" t="s">
        <v>22</v>
      </c>
      <c r="I207">
        <v>5.58</v>
      </c>
      <c r="J207" t="s">
        <v>30</v>
      </c>
    </row>
    <row r="208" spans="1:10" x14ac:dyDescent="0.25">
      <c r="A208" s="1">
        <v>16</v>
      </c>
      <c r="B208" t="s">
        <v>19</v>
      </c>
      <c r="C208">
        <v>700</v>
      </c>
      <c r="D208">
        <v>0</v>
      </c>
      <c r="E208" t="s">
        <v>24</v>
      </c>
      <c r="F208" t="s">
        <v>24</v>
      </c>
      <c r="G208" t="str">
        <f>"2026-06-24 15:13:07.893"</f>
        <v>2026-06-24 15:13:07.893</v>
      </c>
      <c r="H208" t="s">
        <v>22</v>
      </c>
    </row>
    <row r="209" spans="1:10" s="3" customFormat="1" x14ac:dyDescent="0.25">
      <c r="A209" s="2">
        <v>17</v>
      </c>
      <c r="B209" s="3" t="s">
        <v>26</v>
      </c>
      <c r="C209" s="3">
        <v>647</v>
      </c>
      <c r="D209" s="3">
        <v>1</v>
      </c>
      <c r="E209" s="3" t="s">
        <v>35</v>
      </c>
      <c r="F209" s="3" t="s">
        <v>36</v>
      </c>
      <c r="G209" s="3" t="str">
        <f>"2026-06-24 13:35:24.401"</f>
        <v>2026-06-24 13:35:24.401</v>
      </c>
      <c r="H209" s="3" t="s">
        <v>22</v>
      </c>
    </row>
    <row r="210" spans="1:10" s="3" customFormat="1" x14ac:dyDescent="0.25">
      <c r="A210" s="2">
        <v>18</v>
      </c>
      <c r="B210" s="3" t="s">
        <v>29</v>
      </c>
      <c r="C210" s="3">
        <v>647</v>
      </c>
      <c r="D210" s="3">
        <v>1</v>
      </c>
      <c r="E210" s="3" t="s">
        <v>35</v>
      </c>
      <c r="F210" s="3" t="s">
        <v>36</v>
      </c>
      <c r="G210" s="3" t="str">
        <f>"2026-06-24 13:35:20.701"</f>
        <v>2026-06-24 13:35:20.701</v>
      </c>
      <c r="H210" s="3" t="s">
        <v>22</v>
      </c>
      <c r="I210" s="3">
        <v>14.51</v>
      </c>
      <c r="J210" s="3" t="s">
        <v>37</v>
      </c>
    </row>
    <row r="211" spans="1:10" s="3" customFormat="1" x14ac:dyDescent="0.25">
      <c r="A211" s="2">
        <v>19</v>
      </c>
      <c r="B211" s="3" t="s">
        <v>26</v>
      </c>
      <c r="C211" s="3">
        <v>647</v>
      </c>
      <c r="D211" s="3">
        <v>1</v>
      </c>
      <c r="E211" s="3" t="s">
        <v>35</v>
      </c>
      <c r="F211" s="3" t="s">
        <v>36</v>
      </c>
      <c r="G211" s="3" t="str">
        <f>"2026-06-24 13:34:18.701"</f>
        <v>2026-06-24 13:34:18.701</v>
      </c>
      <c r="H211" s="3" t="s">
        <v>22</v>
      </c>
    </row>
    <row r="212" spans="1:10" s="3" customFormat="1" x14ac:dyDescent="0.25">
      <c r="A212" s="2">
        <v>20</v>
      </c>
      <c r="B212" s="3" t="s">
        <v>29</v>
      </c>
      <c r="C212" s="3">
        <v>647</v>
      </c>
      <c r="D212" s="3">
        <v>1</v>
      </c>
      <c r="E212" s="3" t="s">
        <v>35</v>
      </c>
      <c r="F212" s="3" t="s">
        <v>36</v>
      </c>
      <c r="G212" s="3" t="str">
        <f>"2026-06-24 13:34:12.701"</f>
        <v>2026-06-24 13:34:12.701</v>
      </c>
      <c r="H212" s="3" t="s">
        <v>22</v>
      </c>
      <c r="I212" s="3">
        <v>12.73</v>
      </c>
      <c r="J212" s="3" t="s">
        <v>37</v>
      </c>
    </row>
    <row r="213" spans="1:10" x14ac:dyDescent="0.25">
      <c r="A213" s="1">
        <v>21</v>
      </c>
      <c r="B213" t="s">
        <v>19</v>
      </c>
      <c r="C213">
        <v>700</v>
      </c>
      <c r="D213">
        <v>0</v>
      </c>
      <c r="E213" t="s">
        <v>24</v>
      </c>
      <c r="F213" t="s">
        <v>24</v>
      </c>
      <c r="G213" t="str">
        <f>"2026-06-24 11:24:45.640"</f>
        <v>2026-06-24 11:24:45.640</v>
      </c>
      <c r="H213" t="s">
        <v>22</v>
      </c>
      <c r="I213">
        <v>0</v>
      </c>
      <c r="J213" t="s">
        <v>25</v>
      </c>
    </row>
    <row r="214" spans="1:10" x14ac:dyDescent="0.25">
      <c r="A214" s="1">
        <v>22</v>
      </c>
      <c r="B214" t="s">
        <v>31</v>
      </c>
      <c r="C214">
        <v>87</v>
      </c>
      <c r="D214">
        <v>1</v>
      </c>
      <c r="E214" t="s">
        <v>32</v>
      </c>
      <c r="F214" t="s">
        <v>33</v>
      </c>
      <c r="G214" t="str">
        <f>"2026-06-24 06:03:17.006"</f>
        <v>2026-06-24 06:03:17.006</v>
      </c>
      <c r="H214" t="s">
        <v>22</v>
      </c>
    </row>
    <row r="215" spans="1:10" x14ac:dyDescent="0.25">
      <c r="A215" s="1">
        <v>23</v>
      </c>
      <c r="B215" t="s">
        <v>34</v>
      </c>
      <c r="C215">
        <v>87</v>
      </c>
      <c r="D215">
        <v>1</v>
      </c>
      <c r="E215" t="s">
        <v>32</v>
      </c>
      <c r="F215" t="s">
        <v>33</v>
      </c>
      <c r="G215" t="str">
        <f>"2026-06-24 05:50:40.138"</f>
        <v>2026-06-24 05:50:40.138</v>
      </c>
      <c r="H215" t="s">
        <v>22</v>
      </c>
      <c r="I215">
        <v>5.16</v>
      </c>
      <c r="J215" t="s">
        <v>30</v>
      </c>
    </row>
    <row r="216" spans="1:10" x14ac:dyDescent="0.25">
      <c r="A216" s="1">
        <v>24</v>
      </c>
      <c r="B216" t="s">
        <v>31</v>
      </c>
      <c r="C216">
        <v>87</v>
      </c>
      <c r="D216">
        <v>1</v>
      </c>
      <c r="E216" t="s">
        <v>32</v>
      </c>
      <c r="F216" t="s">
        <v>33</v>
      </c>
      <c r="G216" t="str">
        <f>"2026-06-24 05:23:06.759"</f>
        <v>2026-06-24 05:23:06.759</v>
      </c>
      <c r="H216" t="s">
        <v>22</v>
      </c>
    </row>
    <row r="217" spans="1:10" x14ac:dyDescent="0.25">
      <c r="A217" s="1">
        <v>25</v>
      </c>
      <c r="B217" t="s">
        <v>34</v>
      </c>
      <c r="C217">
        <v>87</v>
      </c>
      <c r="D217">
        <v>1</v>
      </c>
      <c r="E217" t="s">
        <v>32</v>
      </c>
      <c r="F217" t="s">
        <v>33</v>
      </c>
      <c r="G217" t="str">
        <f>"2026-06-24 05:11:22.738"</f>
        <v>2026-06-24 05:11:22.738</v>
      </c>
      <c r="H217" t="s">
        <v>22</v>
      </c>
      <c r="I217">
        <v>5.87</v>
      </c>
      <c r="J217" t="s">
        <v>30</v>
      </c>
    </row>
    <row r="218" spans="1:10" x14ac:dyDescent="0.25">
      <c r="A218" s="1">
        <v>26</v>
      </c>
      <c r="B218" t="s">
        <v>31</v>
      </c>
      <c r="C218">
        <v>87</v>
      </c>
      <c r="D218">
        <v>1</v>
      </c>
      <c r="E218" t="s">
        <v>32</v>
      </c>
      <c r="F218" t="s">
        <v>33</v>
      </c>
      <c r="G218" t="str">
        <f>"2026-06-24 04:40:13.406"</f>
        <v>2026-06-24 04:40:13.406</v>
      </c>
      <c r="H218" t="s">
        <v>22</v>
      </c>
    </row>
    <row r="219" spans="1:10" x14ac:dyDescent="0.25">
      <c r="A219" s="1">
        <v>27</v>
      </c>
      <c r="B219" t="s">
        <v>34</v>
      </c>
      <c r="C219">
        <v>87</v>
      </c>
      <c r="D219">
        <v>1</v>
      </c>
      <c r="E219" t="s">
        <v>32</v>
      </c>
      <c r="F219" t="s">
        <v>33</v>
      </c>
      <c r="G219" t="str">
        <f>"2026-06-24 04:26:53.757"</f>
        <v>2026-06-24 04:26:53.757</v>
      </c>
      <c r="H219" t="s">
        <v>22</v>
      </c>
      <c r="I219">
        <v>5.74</v>
      </c>
      <c r="J219" t="s">
        <v>30</v>
      </c>
    </row>
    <row r="220" spans="1:10" x14ac:dyDescent="0.25">
      <c r="A220" s="1">
        <v>28</v>
      </c>
      <c r="B220" t="s">
        <v>31</v>
      </c>
      <c r="C220">
        <v>87</v>
      </c>
      <c r="D220">
        <v>1</v>
      </c>
      <c r="E220" t="s">
        <v>32</v>
      </c>
      <c r="F220" t="s">
        <v>33</v>
      </c>
      <c r="G220" t="str">
        <f>"2026-06-24 04:03:17.060"</f>
        <v>2026-06-24 04:03:17.060</v>
      </c>
      <c r="H220" t="s">
        <v>22</v>
      </c>
    </row>
    <row r="221" spans="1:10" x14ac:dyDescent="0.25">
      <c r="A221" s="1">
        <v>29</v>
      </c>
      <c r="B221" t="s">
        <v>34</v>
      </c>
      <c r="C221">
        <v>87</v>
      </c>
      <c r="D221">
        <v>1</v>
      </c>
      <c r="E221" t="s">
        <v>32</v>
      </c>
      <c r="F221" t="s">
        <v>33</v>
      </c>
      <c r="G221" t="str">
        <f>"2026-06-24 03:52:19.378"</f>
        <v>2026-06-24 03:52:19.378</v>
      </c>
      <c r="H221" t="s">
        <v>22</v>
      </c>
      <c r="I221">
        <v>7.89</v>
      </c>
      <c r="J221" t="s">
        <v>30</v>
      </c>
    </row>
    <row r="222" spans="1:10" x14ac:dyDescent="0.25">
      <c r="A222" s="1">
        <v>30</v>
      </c>
      <c r="B222" t="s">
        <v>19</v>
      </c>
      <c r="C222">
        <v>700</v>
      </c>
      <c r="D222">
        <v>0</v>
      </c>
      <c r="E222" t="s">
        <v>24</v>
      </c>
      <c r="F222" t="s">
        <v>24</v>
      </c>
      <c r="G222" t="str">
        <f>"2026-06-24 00:25:54.588"</f>
        <v>2026-06-24 00:25:54.588</v>
      </c>
      <c r="H222" t="s">
        <v>22</v>
      </c>
    </row>
    <row r="223" spans="1:10" x14ac:dyDescent="0.25">
      <c r="A223" s="1">
        <v>31</v>
      </c>
      <c r="B223" t="s">
        <v>34</v>
      </c>
      <c r="C223">
        <v>630</v>
      </c>
      <c r="D223">
        <v>5</v>
      </c>
      <c r="E223" t="s">
        <v>39</v>
      </c>
      <c r="F223" t="s">
        <v>40</v>
      </c>
      <c r="G223" t="str">
        <f>"2026-06-23 23:00:36.162"</f>
        <v>2026-06-23 23:00:36.162</v>
      </c>
      <c r="H223" t="s">
        <v>41</v>
      </c>
      <c r="I223">
        <v>0</v>
      </c>
      <c r="J223" t="s">
        <v>23</v>
      </c>
    </row>
    <row r="224" spans="1:10" x14ac:dyDescent="0.25">
      <c r="A224" s="1">
        <v>32</v>
      </c>
      <c r="B224" t="s">
        <v>19</v>
      </c>
      <c r="C224">
        <v>700</v>
      </c>
      <c r="D224">
        <v>0</v>
      </c>
      <c r="E224" t="s">
        <v>24</v>
      </c>
      <c r="F224" t="s">
        <v>24</v>
      </c>
      <c r="G224" t="str">
        <f>"2026-06-23 20:52:08.591"</f>
        <v>2026-06-23 20:52:08.591</v>
      </c>
      <c r="H224" t="s">
        <v>22</v>
      </c>
      <c r="I224">
        <v>0</v>
      </c>
      <c r="J224" t="s">
        <v>25</v>
      </c>
    </row>
    <row r="225" spans="1:10" x14ac:dyDescent="0.25">
      <c r="A225" s="1">
        <v>33</v>
      </c>
      <c r="B225" t="s">
        <v>19</v>
      </c>
      <c r="C225">
        <v>700</v>
      </c>
      <c r="D225">
        <v>0</v>
      </c>
      <c r="E225" t="s">
        <v>24</v>
      </c>
      <c r="F225" t="s">
        <v>24</v>
      </c>
      <c r="G225" t="str">
        <f>"2026-06-23 20:49:00.626"</f>
        <v>2026-06-23 20:49:00.626</v>
      </c>
      <c r="H225" t="s">
        <v>22</v>
      </c>
    </row>
    <row r="226" spans="1:10" x14ac:dyDescent="0.25">
      <c r="A226" s="1">
        <v>34</v>
      </c>
      <c r="B226" t="s">
        <v>19</v>
      </c>
      <c r="C226">
        <v>700</v>
      </c>
      <c r="D226">
        <v>0</v>
      </c>
      <c r="E226" t="s">
        <v>24</v>
      </c>
      <c r="F226" t="s">
        <v>24</v>
      </c>
      <c r="G226" t="str">
        <f>"2026-06-23 12:57:49.620"</f>
        <v>2026-06-23 12:57:49.620</v>
      </c>
      <c r="H226" t="s">
        <v>22</v>
      </c>
      <c r="I226">
        <v>0</v>
      </c>
      <c r="J226" t="s">
        <v>25</v>
      </c>
    </row>
    <row r="227" spans="1:10" x14ac:dyDescent="0.25">
      <c r="A227" s="1">
        <v>35</v>
      </c>
      <c r="B227" t="s">
        <v>19</v>
      </c>
      <c r="C227">
        <v>706</v>
      </c>
      <c r="D227">
        <v>2</v>
      </c>
      <c r="E227" t="s">
        <v>20</v>
      </c>
      <c r="F227" t="s">
        <v>54</v>
      </c>
      <c r="G227" t="str">
        <f>"2026-06-23 05:54:55.057"</f>
        <v>2026-06-23 05:54:55.057</v>
      </c>
      <c r="H227" t="s">
        <v>22</v>
      </c>
      <c r="I227">
        <v>0</v>
      </c>
      <c r="J227" t="s">
        <v>23</v>
      </c>
    </row>
    <row r="228" spans="1:10" x14ac:dyDescent="0.25">
      <c r="A228" s="1">
        <v>36</v>
      </c>
      <c r="B228" t="s">
        <v>19</v>
      </c>
      <c r="C228">
        <v>706</v>
      </c>
      <c r="D228">
        <v>4</v>
      </c>
      <c r="E228" t="s">
        <v>20</v>
      </c>
      <c r="F228" t="s">
        <v>21</v>
      </c>
      <c r="G228" t="str">
        <f>"2026-06-23 05:53:55.557"</f>
        <v>2026-06-23 05:53:55.557</v>
      </c>
      <c r="H228" t="s">
        <v>22</v>
      </c>
      <c r="I228">
        <v>0</v>
      </c>
      <c r="J228" t="s">
        <v>23</v>
      </c>
    </row>
    <row r="229" spans="1:10" x14ac:dyDescent="0.25">
      <c r="A229" s="1">
        <v>37</v>
      </c>
      <c r="B229" t="s">
        <v>19</v>
      </c>
      <c r="C229">
        <v>700</v>
      </c>
      <c r="D229">
        <v>0</v>
      </c>
      <c r="E229" t="s">
        <v>24</v>
      </c>
      <c r="F229" t="s">
        <v>24</v>
      </c>
      <c r="G229" t="str">
        <f>"2026-06-23 05:51:15.627"</f>
        <v>2026-06-23 05:51:15.627</v>
      </c>
      <c r="H229" t="s">
        <v>22</v>
      </c>
      <c r="I229">
        <v>0</v>
      </c>
      <c r="J229" t="s">
        <v>25</v>
      </c>
    </row>
    <row r="230" spans="1:10" x14ac:dyDescent="0.25">
      <c r="A230" s="1">
        <v>38</v>
      </c>
      <c r="B230" t="s">
        <v>19</v>
      </c>
      <c r="C230">
        <v>700</v>
      </c>
      <c r="D230">
        <v>0</v>
      </c>
      <c r="E230" t="s">
        <v>24</v>
      </c>
      <c r="F230" t="s">
        <v>24</v>
      </c>
      <c r="G230" t="str">
        <f>"2026-06-22 12:37:32.604"</f>
        <v>2026-06-22 12:37:32.604</v>
      </c>
      <c r="H230" t="s">
        <v>22</v>
      </c>
    </row>
    <row r="231" spans="1:10" x14ac:dyDescent="0.25">
      <c r="A231" s="1">
        <v>39</v>
      </c>
      <c r="B231" t="s">
        <v>19</v>
      </c>
      <c r="C231">
        <v>700</v>
      </c>
      <c r="D231">
        <v>0</v>
      </c>
      <c r="E231" t="s">
        <v>24</v>
      </c>
      <c r="F231" t="s">
        <v>24</v>
      </c>
      <c r="G231" t="str">
        <f>"2026-06-22 10:29:00.598"</f>
        <v>2026-06-22 10:29:00.598</v>
      </c>
      <c r="H231" t="s">
        <v>22</v>
      </c>
    </row>
    <row r="232" spans="1:10" x14ac:dyDescent="0.25">
      <c r="A232" s="1">
        <v>40</v>
      </c>
      <c r="B232" t="s">
        <v>19</v>
      </c>
      <c r="C232">
        <v>706</v>
      </c>
      <c r="D232">
        <v>4</v>
      </c>
      <c r="E232" t="s">
        <v>20</v>
      </c>
      <c r="F232" t="s">
        <v>21</v>
      </c>
      <c r="G232" t="str">
        <f>"2026-06-22 10:19:22.598"</f>
        <v>2026-06-22 10:19:22.598</v>
      </c>
      <c r="H232" t="s">
        <v>22</v>
      </c>
      <c r="I232">
        <v>0</v>
      </c>
      <c r="J232" t="s">
        <v>23</v>
      </c>
    </row>
    <row r="233" spans="1:10" x14ac:dyDescent="0.25">
      <c r="A233" s="1">
        <v>41</v>
      </c>
      <c r="B233" t="s">
        <v>19</v>
      </c>
      <c r="C233">
        <v>706</v>
      </c>
      <c r="D233">
        <v>2</v>
      </c>
      <c r="E233" t="s">
        <v>20</v>
      </c>
      <c r="F233" t="s">
        <v>54</v>
      </c>
      <c r="G233" t="str">
        <f>"2026-06-22 10:19:10.678"</f>
        <v>2026-06-22 10:19:10.678</v>
      </c>
      <c r="H233" t="s">
        <v>22</v>
      </c>
      <c r="I233">
        <v>0</v>
      </c>
      <c r="J233" t="s">
        <v>23</v>
      </c>
    </row>
    <row r="234" spans="1:10" x14ac:dyDescent="0.25">
      <c r="A234" s="1">
        <v>42</v>
      </c>
      <c r="B234" t="s">
        <v>19</v>
      </c>
      <c r="C234">
        <v>706</v>
      </c>
      <c r="D234">
        <v>4</v>
      </c>
      <c r="E234" t="s">
        <v>20</v>
      </c>
      <c r="F234" t="s">
        <v>21</v>
      </c>
      <c r="G234" t="str">
        <f>"2026-06-22 10:17:49.208"</f>
        <v>2026-06-22 10:17:49.208</v>
      </c>
      <c r="H234" t="s">
        <v>22</v>
      </c>
      <c r="I234">
        <v>0</v>
      </c>
      <c r="J234" t="s">
        <v>23</v>
      </c>
    </row>
    <row r="235" spans="1:10" x14ac:dyDescent="0.25">
      <c r="A235" s="1">
        <v>43</v>
      </c>
      <c r="B235" t="s">
        <v>19</v>
      </c>
      <c r="C235">
        <v>706</v>
      </c>
      <c r="D235">
        <v>4</v>
      </c>
      <c r="E235" t="s">
        <v>20</v>
      </c>
      <c r="F235" t="s">
        <v>21</v>
      </c>
      <c r="G235" t="str">
        <f>"2026-06-22 10:16:21.808"</f>
        <v>2026-06-22 10:16:21.808</v>
      </c>
      <c r="H235" t="s">
        <v>22</v>
      </c>
      <c r="I235">
        <v>0</v>
      </c>
      <c r="J235" t="s">
        <v>23</v>
      </c>
    </row>
    <row r="236" spans="1:10" x14ac:dyDescent="0.25">
      <c r="A236" s="1">
        <v>44</v>
      </c>
      <c r="B236" t="s">
        <v>19</v>
      </c>
      <c r="C236">
        <v>706</v>
      </c>
      <c r="D236">
        <v>2</v>
      </c>
      <c r="E236" t="s">
        <v>20</v>
      </c>
      <c r="F236" t="s">
        <v>54</v>
      </c>
      <c r="G236" t="str">
        <f>"2026-06-22 10:15:46.078"</f>
        <v>2026-06-22 10:15:46.078</v>
      </c>
      <c r="H236" t="s">
        <v>22</v>
      </c>
      <c r="I236">
        <v>0</v>
      </c>
      <c r="J236" t="s">
        <v>23</v>
      </c>
    </row>
    <row r="237" spans="1:10" x14ac:dyDescent="0.25">
      <c r="A237" s="1">
        <v>45</v>
      </c>
      <c r="B237" t="s">
        <v>19</v>
      </c>
      <c r="C237">
        <v>700</v>
      </c>
      <c r="D237">
        <v>0</v>
      </c>
      <c r="E237" t="s">
        <v>24</v>
      </c>
      <c r="F237" t="s">
        <v>24</v>
      </c>
      <c r="G237" t="str">
        <f>"2026-06-22 10:15:07.588"</f>
        <v>2026-06-22 10:15:07.588</v>
      </c>
      <c r="H237" t="s">
        <v>22</v>
      </c>
    </row>
    <row r="238" spans="1:10" x14ac:dyDescent="0.25">
      <c r="A238" s="1">
        <v>46</v>
      </c>
      <c r="B238" t="s">
        <v>19</v>
      </c>
      <c r="C238">
        <v>706</v>
      </c>
      <c r="D238">
        <v>4</v>
      </c>
      <c r="E238" t="s">
        <v>20</v>
      </c>
      <c r="F238" t="s">
        <v>21</v>
      </c>
      <c r="G238" t="str">
        <f>"2026-06-22 10:14:11.611"</f>
        <v>2026-06-22 10:14:11.611</v>
      </c>
      <c r="H238" t="s">
        <v>22</v>
      </c>
      <c r="I238">
        <v>0</v>
      </c>
      <c r="J238" t="s">
        <v>23</v>
      </c>
    </row>
    <row r="239" spans="1:10" x14ac:dyDescent="0.25">
      <c r="A239" s="1">
        <v>47</v>
      </c>
      <c r="B239" t="s">
        <v>19</v>
      </c>
      <c r="C239">
        <v>706</v>
      </c>
      <c r="D239">
        <v>4</v>
      </c>
      <c r="E239" t="s">
        <v>20</v>
      </c>
      <c r="F239" t="s">
        <v>21</v>
      </c>
      <c r="G239" t="str">
        <f>"2026-06-22 10:13:03.011"</f>
        <v>2026-06-22 10:13:03.011</v>
      </c>
      <c r="H239" t="s">
        <v>22</v>
      </c>
      <c r="I239">
        <v>0</v>
      </c>
      <c r="J239" t="s">
        <v>23</v>
      </c>
    </row>
    <row r="240" spans="1:10" x14ac:dyDescent="0.25">
      <c r="A240" s="1">
        <v>48</v>
      </c>
      <c r="B240" t="s">
        <v>19</v>
      </c>
      <c r="C240">
        <v>706</v>
      </c>
      <c r="D240">
        <v>4</v>
      </c>
      <c r="E240" t="s">
        <v>20</v>
      </c>
      <c r="F240" t="s">
        <v>21</v>
      </c>
      <c r="G240" t="str">
        <f>"2026-06-22 10:12:30.011"</f>
        <v>2026-06-22 10:12:30.011</v>
      </c>
      <c r="H240" t="s">
        <v>22</v>
      </c>
      <c r="I240">
        <v>0</v>
      </c>
      <c r="J240" t="s">
        <v>23</v>
      </c>
    </row>
    <row r="241" spans="1:10" x14ac:dyDescent="0.25">
      <c r="A241" s="1">
        <v>49</v>
      </c>
      <c r="B241" t="s">
        <v>19</v>
      </c>
      <c r="C241">
        <v>700</v>
      </c>
      <c r="D241">
        <v>0</v>
      </c>
      <c r="E241" t="s">
        <v>24</v>
      </c>
      <c r="F241" t="s">
        <v>24</v>
      </c>
      <c r="G241" t="str">
        <f>"2026-06-22 10:08:33.601"</f>
        <v>2026-06-22 10:08:33.601</v>
      </c>
      <c r="H241" t="s">
        <v>22</v>
      </c>
    </row>
    <row r="242" spans="1:10" x14ac:dyDescent="0.25">
      <c r="A242" s="1">
        <v>50</v>
      </c>
      <c r="B242" t="s">
        <v>19</v>
      </c>
      <c r="C242">
        <v>700</v>
      </c>
      <c r="D242">
        <v>0</v>
      </c>
      <c r="E242" t="s">
        <v>24</v>
      </c>
      <c r="F242" t="s">
        <v>24</v>
      </c>
      <c r="G242" t="str">
        <f>"2026-06-22 09:56:53.604"</f>
        <v>2026-06-22 09:56:53.604</v>
      </c>
      <c r="H242" t="s">
        <v>22</v>
      </c>
    </row>
    <row r="243" spans="1:10" x14ac:dyDescent="0.25">
      <c r="A243" s="1">
        <v>51</v>
      </c>
      <c r="B243" t="s">
        <v>19</v>
      </c>
      <c r="C243">
        <v>700</v>
      </c>
      <c r="D243">
        <v>0</v>
      </c>
      <c r="E243" t="s">
        <v>24</v>
      </c>
      <c r="F243" t="s">
        <v>24</v>
      </c>
      <c r="G243" t="str">
        <f>"2026-06-22 09:28:01.701"</f>
        <v>2026-06-22 09:28:01.701</v>
      </c>
      <c r="H243" t="s">
        <v>22</v>
      </c>
    </row>
    <row r="244" spans="1:10" x14ac:dyDescent="0.25">
      <c r="A244" s="1">
        <v>52</v>
      </c>
      <c r="B244" t="s">
        <v>19</v>
      </c>
      <c r="C244">
        <v>706</v>
      </c>
      <c r="D244">
        <v>4</v>
      </c>
      <c r="E244" t="s">
        <v>20</v>
      </c>
      <c r="F244" t="s">
        <v>21</v>
      </c>
      <c r="G244" t="str">
        <f>"2026-06-22 00:23:45.845"</f>
        <v>2026-06-22 00:23:45.845</v>
      </c>
      <c r="H244" t="s">
        <v>22</v>
      </c>
      <c r="I244">
        <v>0</v>
      </c>
      <c r="J244" t="s">
        <v>23</v>
      </c>
    </row>
    <row r="245" spans="1:10" x14ac:dyDescent="0.25">
      <c r="A245" s="1">
        <v>53</v>
      </c>
      <c r="B245" t="s">
        <v>19</v>
      </c>
      <c r="C245">
        <v>700</v>
      </c>
      <c r="D245">
        <v>0</v>
      </c>
      <c r="E245" t="s">
        <v>24</v>
      </c>
      <c r="F245" t="s">
        <v>24</v>
      </c>
      <c r="G245" t="str">
        <f>"2026-06-22 00:19:14.605"</f>
        <v>2026-06-22 00:19:14.605</v>
      </c>
      <c r="H245" t="s">
        <v>22</v>
      </c>
      <c r="I245">
        <v>0</v>
      </c>
      <c r="J245" t="s">
        <v>25</v>
      </c>
    </row>
    <row r="246" spans="1:10" x14ac:dyDescent="0.25">
      <c r="A246" s="1">
        <v>54</v>
      </c>
      <c r="B246" t="s">
        <v>31</v>
      </c>
      <c r="C246">
        <v>87</v>
      </c>
      <c r="D246">
        <v>1</v>
      </c>
      <c r="E246" t="s">
        <v>32</v>
      </c>
      <c r="F246" t="s">
        <v>33</v>
      </c>
      <c r="G246" t="str">
        <f>"2026-06-21 13:41:22.515"</f>
        <v>2026-06-21 13:41:22.515</v>
      </c>
      <c r="H246" t="s">
        <v>22</v>
      </c>
    </row>
    <row r="247" spans="1:10" x14ac:dyDescent="0.25">
      <c r="A247" s="1">
        <v>55</v>
      </c>
      <c r="B247" t="s">
        <v>26</v>
      </c>
      <c r="C247">
        <v>89</v>
      </c>
      <c r="D247">
        <v>2</v>
      </c>
      <c r="E247" t="s">
        <v>42</v>
      </c>
      <c r="F247" t="s">
        <v>43</v>
      </c>
      <c r="G247" t="str">
        <f>"2026-06-21 13:34:45.675"</f>
        <v>2026-06-21 13:34:45.675</v>
      </c>
      <c r="H247" t="s">
        <v>22</v>
      </c>
    </row>
    <row r="248" spans="1:10" x14ac:dyDescent="0.25">
      <c r="A248" s="1">
        <v>56</v>
      </c>
      <c r="B248" t="s">
        <v>34</v>
      </c>
      <c r="C248">
        <v>87</v>
      </c>
      <c r="D248">
        <v>1</v>
      </c>
      <c r="E248" t="s">
        <v>32</v>
      </c>
      <c r="F248" t="s">
        <v>33</v>
      </c>
      <c r="G248" t="str">
        <f>"2026-06-21 13:33:31.954"</f>
        <v>2026-06-21 13:33:31.954</v>
      </c>
      <c r="H248" t="s">
        <v>22</v>
      </c>
      <c r="I248">
        <v>4.28</v>
      </c>
      <c r="J248" t="s">
        <v>30</v>
      </c>
    </row>
    <row r="249" spans="1:10" x14ac:dyDescent="0.25">
      <c r="A249" s="1">
        <v>57</v>
      </c>
      <c r="B249" t="s">
        <v>34</v>
      </c>
      <c r="C249">
        <v>89</v>
      </c>
      <c r="D249">
        <v>2</v>
      </c>
      <c r="E249" t="s">
        <v>42</v>
      </c>
      <c r="F249" t="s">
        <v>43</v>
      </c>
      <c r="G249" t="str">
        <f>"2026-06-21 13:33:24.376"</f>
        <v>2026-06-21 13:33:24.376</v>
      </c>
      <c r="H249" t="s">
        <v>22</v>
      </c>
      <c r="I249">
        <v>4.16</v>
      </c>
      <c r="J249" t="s">
        <v>30</v>
      </c>
    </row>
    <row r="250" spans="1:10" x14ac:dyDescent="0.25">
      <c r="A250" s="1">
        <v>58</v>
      </c>
      <c r="B250" t="s">
        <v>19</v>
      </c>
      <c r="C250">
        <v>700</v>
      </c>
      <c r="D250">
        <v>0</v>
      </c>
      <c r="E250" t="s">
        <v>24</v>
      </c>
      <c r="F250" t="s">
        <v>24</v>
      </c>
      <c r="G250" t="str">
        <f>"2026-06-21 12:52:23.596"</f>
        <v>2026-06-21 12:52:23.596</v>
      </c>
      <c r="H250" t="s">
        <v>22</v>
      </c>
    </row>
    <row r="251" spans="1:10" x14ac:dyDescent="0.25">
      <c r="A251" s="1">
        <v>59</v>
      </c>
      <c r="B251" t="s">
        <v>19</v>
      </c>
      <c r="C251">
        <v>700</v>
      </c>
      <c r="D251">
        <v>0</v>
      </c>
      <c r="E251" t="s">
        <v>24</v>
      </c>
      <c r="F251" t="s">
        <v>24</v>
      </c>
      <c r="G251" t="str">
        <f>"2026-06-21 12:29:19.614"</f>
        <v>2026-06-21 12:29:19.614</v>
      </c>
      <c r="H251" t="s">
        <v>22</v>
      </c>
      <c r="I251">
        <v>0</v>
      </c>
      <c r="J251" t="s">
        <v>25</v>
      </c>
    </row>
    <row r="252" spans="1:10" x14ac:dyDescent="0.25">
      <c r="A252" s="1">
        <v>60</v>
      </c>
      <c r="B252" t="s">
        <v>19</v>
      </c>
      <c r="C252">
        <v>700</v>
      </c>
      <c r="D252">
        <v>0</v>
      </c>
      <c r="E252" t="s">
        <v>24</v>
      </c>
      <c r="F252" t="s">
        <v>24</v>
      </c>
      <c r="G252" t="str">
        <f>"2026-06-21 10:27:42.837"</f>
        <v>2026-06-21 10:27:42.837</v>
      </c>
      <c r="H252" t="s">
        <v>22</v>
      </c>
    </row>
    <row r="253" spans="1:10" x14ac:dyDescent="0.25">
      <c r="A253" s="1">
        <v>61</v>
      </c>
      <c r="B253" t="s">
        <v>19</v>
      </c>
      <c r="C253">
        <v>706</v>
      </c>
      <c r="D253">
        <v>3</v>
      </c>
      <c r="E253" t="s">
        <v>20</v>
      </c>
      <c r="F253" t="s">
        <v>48</v>
      </c>
      <c r="G253" t="str">
        <f>"2026-06-21 10:18:19.410"</f>
        <v>2026-06-21 10:18:19.410</v>
      </c>
      <c r="H253" t="s">
        <v>22</v>
      </c>
      <c r="I253">
        <v>0</v>
      </c>
      <c r="J253" t="s">
        <v>23</v>
      </c>
    </row>
    <row r="254" spans="1:10" x14ac:dyDescent="0.25">
      <c r="A254" s="1">
        <v>62</v>
      </c>
      <c r="B254" t="s">
        <v>19</v>
      </c>
      <c r="C254">
        <v>700</v>
      </c>
      <c r="D254">
        <v>0</v>
      </c>
      <c r="E254" t="s">
        <v>24</v>
      </c>
      <c r="F254" t="s">
        <v>24</v>
      </c>
      <c r="G254" t="str">
        <f>"2026-06-21 10:14:30.650"</f>
        <v>2026-06-21 10:14:30.650</v>
      </c>
      <c r="H254" t="s">
        <v>22</v>
      </c>
      <c r="I254">
        <v>0</v>
      </c>
      <c r="J254" t="s">
        <v>25</v>
      </c>
    </row>
    <row r="255" spans="1:10" x14ac:dyDescent="0.25">
      <c r="A255" s="1">
        <v>63</v>
      </c>
      <c r="B255" t="s">
        <v>26</v>
      </c>
      <c r="C255">
        <v>630</v>
      </c>
      <c r="D255">
        <v>5</v>
      </c>
      <c r="E255" t="s">
        <v>39</v>
      </c>
      <c r="F255" t="s">
        <v>40</v>
      </c>
      <c r="G255" t="str">
        <f>"2026-06-21 01:38:16.842"</f>
        <v>2026-06-21 01:38:16.842</v>
      </c>
      <c r="H255" t="s">
        <v>41</v>
      </c>
    </row>
    <row r="256" spans="1:10" x14ac:dyDescent="0.25">
      <c r="A256" s="1">
        <v>64</v>
      </c>
      <c r="B256" t="s">
        <v>19</v>
      </c>
      <c r="C256">
        <v>706</v>
      </c>
      <c r="D256">
        <v>2</v>
      </c>
      <c r="E256" t="s">
        <v>20</v>
      </c>
      <c r="F256" t="s">
        <v>54</v>
      </c>
      <c r="G256" t="str">
        <f>"2026-06-21 01:37:46.704"</f>
        <v>2026-06-21 01:37:46.704</v>
      </c>
      <c r="H256" t="s">
        <v>22</v>
      </c>
      <c r="I256">
        <v>0</v>
      </c>
      <c r="J256" t="s">
        <v>23</v>
      </c>
    </row>
    <row r="257" spans="1:10" x14ac:dyDescent="0.25">
      <c r="A257" s="1">
        <v>65</v>
      </c>
      <c r="B257" t="s">
        <v>34</v>
      </c>
      <c r="C257">
        <v>630</v>
      </c>
      <c r="D257">
        <v>5</v>
      </c>
      <c r="E257" t="s">
        <v>39</v>
      </c>
      <c r="F257" t="s">
        <v>40</v>
      </c>
      <c r="G257" t="str">
        <f>"2026-06-21 01:30:00.543"</f>
        <v>2026-06-21 01:30:00.543</v>
      </c>
      <c r="H257" t="s">
        <v>41</v>
      </c>
      <c r="I257">
        <v>0</v>
      </c>
      <c r="J257" t="s">
        <v>23</v>
      </c>
    </row>
    <row r="258" spans="1:10" x14ac:dyDescent="0.25">
      <c r="A258" s="1">
        <v>66</v>
      </c>
      <c r="B258" t="s">
        <v>19</v>
      </c>
      <c r="C258">
        <v>700</v>
      </c>
      <c r="D258">
        <v>0</v>
      </c>
      <c r="E258" t="s">
        <v>24</v>
      </c>
      <c r="F258" t="s">
        <v>24</v>
      </c>
      <c r="G258" t="str">
        <f>"2026-06-21 01:24:57.774"</f>
        <v>2026-06-21 01:24:57.774</v>
      </c>
      <c r="H258" t="s">
        <v>22</v>
      </c>
      <c r="I258">
        <v>0</v>
      </c>
      <c r="J258" t="s">
        <v>25</v>
      </c>
    </row>
    <row r="259" spans="1:10" x14ac:dyDescent="0.25">
      <c r="A259" s="1">
        <v>67</v>
      </c>
      <c r="B259" t="s">
        <v>31</v>
      </c>
      <c r="C259">
        <v>87</v>
      </c>
      <c r="D259">
        <v>1</v>
      </c>
      <c r="E259" t="s">
        <v>32</v>
      </c>
      <c r="F259" t="s">
        <v>33</v>
      </c>
      <c r="G259" t="str">
        <f>"2026-06-20 15:08:40.426"</f>
        <v>2026-06-20 15:08:40.426</v>
      </c>
      <c r="H259" t="s">
        <v>22</v>
      </c>
    </row>
    <row r="260" spans="1:10" x14ac:dyDescent="0.25">
      <c r="A260" s="1">
        <v>68</v>
      </c>
      <c r="B260" t="s">
        <v>26</v>
      </c>
      <c r="C260">
        <v>89</v>
      </c>
      <c r="D260">
        <v>2</v>
      </c>
      <c r="E260" t="s">
        <v>42</v>
      </c>
      <c r="F260" t="s">
        <v>43</v>
      </c>
      <c r="G260" t="str">
        <f>"2026-06-20 15:01:36.566"</f>
        <v>2026-06-20 15:01:36.566</v>
      </c>
      <c r="H260" t="s">
        <v>22</v>
      </c>
    </row>
    <row r="261" spans="1:10" x14ac:dyDescent="0.25">
      <c r="A261" s="1">
        <v>69</v>
      </c>
      <c r="B261" t="s">
        <v>34</v>
      </c>
      <c r="C261">
        <v>87</v>
      </c>
      <c r="D261">
        <v>1</v>
      </c>
      <c r="E261" t="s">
        <v>32</v>
      </c>
      <c r="F261" t="s">
        <v>33</v>
      </c>
      <c r="G261" t="str">
        <f>"2026-06-20 15:00:39.205"</f>
        <v>2026-06-20 15:00:39.205</v>
      </c>
      <c r="H261" t="s">
        <v>22</v>
      </c>
      <c r="I261">
        <v>7.31</v>
      </c>
      <c r="J261" t="s">
        <v>30</v>
      </c>
    </row>
    <row r="262" spans="1:10" x14ac:dyDescent="0.25">
      <c r="A262" s="1">
        <v>70</v>
      </c>
      <c r="B262" t="s">
        <v>34</v>
      </c>
      <c r="C262">
        <v>89</v>
      </c>
      <c r="D262">
        <v>2</v>
      </c>
      <c r="E262" t="s">
        <v>42</v>
      </c>
      <c r="F262" t="s">
        <v>43</v>
      </c>
      <c r="G262" t="str">
        <f>"2026-06-20 15:00:31.266"</f>
        <v>2026-06-20 15:00:31.266</v>
      </c>
      <c r="H262" t="s">
        <v>22</v>
      </c>
      <c r="I262">
        <v>6.6</v>
      </c>
      <c r="J262" t="s">
        <v>30</v>
      </c>
    </row>
    <row r="263" spans="1:10" x14ac:dyDescent="0.25">
      <c r="A263" s="1">
        <v>71</v>
      </c>
      <c r="B263" t="s">
        <v>31</v>
      </c>
      <c r="C263">
        <v>87</v>
      </c>
      <c r="D263">
        <v>1</v>
      </c>
      <c r="E263" t="s">
        <v>32</v>
      </c>
      <c r="F263" t="s">
        <v>33</v>
      </c>
      <c r="G263" t="str">
        <f>"2026-06-20 14:21:05.927"</f>
        <v>2026-06-20 14:21:05.927</v>
      </c>
      <c r="H263" t="s">
        <v>22</v>
      </c>
    </row>
    <row r="264" spans="1:10" x14ac:dyDescent="0.25">
      <c r="A264" s="1">
        <v>72</v>
      </c>
      <c r="B264" t="s">
        <v>26</v>
      </c>
      <c r="C264">
        <v>89</v>
      </c>
      <c r="D264">
        <v>2</v>
      </c>
      <c r="E264" t="s">
        <v>42</v>
      </c>
      <c r="F264" t="s">
        <v>43</v>
      </c>
      <c r="G264" t="str">
        <f>"2026-06-20 14:18:45.767"</f>
        <v>2026-06-20 14:18:45.767</v>
      </c>
      <c r="H264" t="s">
        <v>22</v>
      </c>
    </row>
    <row r="265" spans="1:10" x14ac:dyDescent="0.25">
      <c r="A265" s="1">
        <v>73</v>
      </c>
      <c r="B265" t="s">
        <v>34</v>
      </c>
      <c r="C265">
        <v>87</v>
      </c>
      <c r="D265">
        <v>1</v>
      </c>
      <c r="E265" t="s">
        <v>32</v>
      </c>
      <c r="F265" t="s">
        <v>33</v>
      </c>
      <c r="G265" t="str">
        <f>"2026-06-20 14:18:29.345"</f>
        <v>2026-06-20 14:18:29.345</v>
      </c>
      <c r="H265" t="s">
        <v>22</v>
      </c>
      <c r="I265">
        <v>3.87</v>
      </c>
      <c r="J265" t="s">
        <v>30</v>
      </c>
    </row>
    <row r="266" spans="1:10" x14ac:dyDescent="0.25">
      <c r="A266" s="1">
        <v>74</v>
      </c>
      <c r="B266" t="s">
        <v>34</v>
      </c>
      <c r="C266">
        <v>89</v>
      </c>
      <c r="D266">
        <v>2</v>
      </c>
      <c r="E266" t="s">
        <v>42</v>
      </c>
      <c r="F266" t="s">
        <v>43</v>
      </c>
      <c r="G266" t="str">
        <f>"2026-06-20 14:18:19.666"</f>
        <v>2026-06-20 14:18:19.666</v>
      </c>
      <c r="H266" t="s">
        <v>22</v>
      </c>
      <c r="I266">
        <v>4.25</v>
      </c>
      <c r="J266" t="s">
        <v>30</v>
      </c>
    </row>
    <row r="267" spans="1:10" x14ac:dyDescent="0.25">
      <c r="A267" s="1">
        <v>75</v>
      </c>
      <c r="B267" t="s">
        <v>26</v>
      </c>
      <c r="C267">
        <v>98</v>
      </c>
      <c r="D267">
        <v>1</v>
      </c>
      <c r="E267" t="s">
        <v>52</v>
      </c>
      <c r="F267" t="s">
        <v>53</v>
      </c>
      <c r="G267" t="str">
        <f>"2026-06-20 11:21:11.366"</f>
        <v>2026-06-20 11:21:11.366</v>
      </c>
      <c r="H267" t="s">
        <v>22</v>
      </c>
    </row>
    <row r="268" spans="1:10" x14ac:dyDescent="0.25">
      <c r="A268" s="1">
        <v>76</v>
      </c>
      <c r="B268" t="s">
        <v>29</v>
      </c>
      <c r="C268">
        <v>98</v>
      </c>
      <c r="D268">
        <v>1</v>
      </c>
      <c r="E268" t="s">
        <v>52</v>
      </c>
      <c r="F268" t="s">
        <v>53</v>
      </c>
      <c r="G268" t="str">
        <f>"2026-06-20 11:21:09.767"</f>
        <v>2026-06-20 11:21:09.767</v>
      </c>
      <c r="H268" t="s">
        <v>22</v>
      </c>
      <c r="I268">
        <v>0</v>
      </c>
      <c r="J268" t="s">
        <v>38</v>
      </c>
    </row>
    <row r="269" spans="1:10" x14ac:dyDescent="0.25">
      <c r="A269" s="1">
        <v>77</v>
      </c>
      <c r="B269" t="s">
        <v>19</v>
      </c>
      <c r="C269">
        <v>700</v>
      </c>
      <c r="D269">
        <v>0</v>
      </c>
      <c r="E269" t="s">
        <v>24</v>
      </c>
      <c r="F269" t="s">
        <v>24</v>
      </c>
      <c r="G269" t="str">
        <f>"2026-06-20 06:10:07.606"</f>
        <v>2026-06-20 06:10:07.606</v>
      </c>
      <c r="H269" t="s">
        <v>22</v>
      </c>
    </row>
    <row r="270" spans="1:10" x14ac:dyDescent="0.25">
      <c r="A270" s="1">
        <v>78</v>
      </c>
      <c r="B270" t="s">
        <v>19</v>
      </c>
      <c r="C270">
        <v>700</v>
      </c>
      <c r="D270">
        <v>0</v>
      </c>
      <c r="E270" t="s">
        <v>24</v>
      </c>
      <c r="F270" t="s">
        <v>24</v>
      </c>
      <c r="G270" t="str">
        <f>"2026-06-20 05:43:54.600"</f>
        <v>2026-06-20 05:43:54.600</v>
      </c>
      <c r="H270" t="s">
        <v>22</v>
      </c>
      <c r="I270">
        <v>0</v>
      </c>
      <c r="J270" t="s">
        <v>25</v>
      </c>
    </row>
    <row r="271" spans="1:10" x14ac:dyDescent="0.25">
      <c r="A271" s="1">
        <v>79</v>
      </c>
      <c r="B271" t="s">
        <v>26</v>
      </c>
      <c r="C271">
        <v>630</v>
      </c>
      <c r="D271">
        <v>5</v>
      </c>
      <c r="E271" t="s">
        <v>39</v>
      </c>
      <c r="F271" t="s">
        <v>40</v>
      </c>
      <c r="G271" t="str">
        <f>"2026-06-20 05:33:37.774"</f>
        <v>2026-06-20 05:33:37.774</v>
      </c>
      <c r="H271" t="s">
        <v>41</v>
      </c>
    </row>
    <row r="272" spans="1:10" x14ac:dyDescent="0.25">
      <c r="A272" s="1">
        <v>80</v>
      </c>
      <c r="B272" t="s">
        <v>19</v>
      </c>
      <c r="C272">
        <v>706</v>
      </c>
      <c r="D272">
        <v>2</v>
      </c>
      <c r="E272" t="s">
        <v>20</v>
      </c>
      <c r="F272" t="s">
        <v>54</v>
      </c>
      <c r="G272" t="str">
        <f>"2026-06-20 05:33:07.382"</f>
        <v>2026-06-20 05:33:07.382</v>
      </c>
      <c r="H272" t="s">
        <v>22</v>
      </c>
      <c r="I272">
        <v>0</v>
      </c>
      <c r="J272" t="s">
        <v>23</v>
      </c>
    </row>
    <row r="273" spans="1:10" x14ac:dyDescent="0.25">
      <c r="A273" s="1">
        <v>81</v>
      </c>
      <c r="B273" t="s">
        <v>34</v>
      </c>
      <c r="C273">
        <v>630</v>
      </c>
      <c r="D273">
        <v>5</v>
      </c>
      <c r="E273" t="s">
        <v>39</v>
      </c>
      <c r="F273" t="s">
        <v>40</v>
      </c>
      <c r="G273" t="str">
        <f>"2026-06-20 05:02:25.474"</f>
        <v>2026-06-20 05:02:25.474</v>
      </c>
      <c r="H273" t="s">
        <v>41</v>
      </c>
      <c r="I273">
        <v>0</v>
      </c>
      <c r="J273" t="s">
        <v>23</v>
      </c>
    </row>
    <row r="274" spans="1:10" x14ac:dyDescent="0.25">
      <c r="A274" s="1">
        <v>82</v>
      </c>
      <c r="B274" t="s">
        <v>19</v>
      </c>
      <c r="C274">
        <v>700</v>
      </c>
      <c r="D274">
        <v>0</v>
      </c>
      <c r="E274" t="s">
        <v>24</v>
      </c>
      <c r="F274" t="s">
        <v>24</v>
      </c>
      <c r="G274" t="str">
        <f>"2026-06-20 04:57:22.662"</f>
        <v>2026-06-20 04:57:22.662</v>
      </c>
      <c r="H274" t="s">
        <v>22</v>
      </c>
    </row>
    <row r="275" spans="1:10" x14ac:dyDescent="0.25">
      <c r="A275" s="1">
        <v>83</v>
      </c>
      <c r="B275" t="s">
        <v>19</v>
      </c>
      <c r="C275">
        <v>700</v>
      </c>
      <c r="D275">
        <v>0</v>
      </c>
      <c r="E275" t="s">
        <v>24</v>
      </c>
      <c r="F275" t="s">
        <v>24</v>
      </c>
      <c r="G275" t="str">
        <f>"2026-06-20 01:06:05.739"</f>
        <v>2026-06-20 01:06:05.739</v>
      </c>
      <c r="H275" t="s">
        <v>22</v>
      </c>
    </row>
    <row r="276" spans="1:10" x14ac:dyDescent="0.25">
      <c r="A276" s="1">
        <v>84</v>
      </c>
      <c r="B276" t="s">
        <v>19</v>
      </c>
      <c r="C276">
        <v>706</v>
      </c>
      <c r="D276">
        <v>4</v>
      </c>
      <c r="E276" t="s">
        <v>20</v>
      </c>
      <c r="F276" t="s">
        <v>21</v>
      </c>
      <c r="G276" t="str">
        <f>"2026-06-19 16:14:11.010"</f>
        <v>2026-06-19 16:14:11.010</v>
      </c>
      <c r="H276" t="s">
        <v>22</v>
      </c>
      <c r="I276">
        <v>0</v>
      </c>
      <c r="J276" t="s">
        <v>23</v>
      </c>
    </row>
    <row r="277" spans="1:10" x14ac:dyDescent="0.25">
      <c r="A277" s="1">
        <v>85</v>
      </c>
      <c r="B277" t="s">
        <v>19</v>
      </c>
      <c r="C277">
        <v>700</v>
      </c>
      <c r="D277">
        <v>0</v>
      </c>
      <c r="E277" t="s">
        <v>24</v>
      </c>
      <c r="F277" t="s">
        <v>24</v>
      </c>
      <c r="G277" t="str">
        <f>"2026-06-19 16:12:46.640"</f>
        <v>2026-06-19 16:12:46.640</v>
      </c>
      <c r="H277" t="s">
        <v>22</v>
      </c>
    </row>
    <row r="278" spans="1:10" x14ac:dyDescent="0.25">
      <c r="A278" s="1">
        <v>86</v>
      </c>
      <c r="B278" t="s">
        <v>19</v>
      </c>
      <c r="C278">
        <v>700</v>
      </c>
      <c r="D278">
        <v>0</v>
      </c>
      <c r="E278" t="s">
        <v>24</v>
      </c>
      <c r="F278" t="s">
        <v>24</v>
      </c>
      <c r="G278" t="str">
        <f>"2026-06-19 12:09:46.632"</f>
        <v>2026-06-19 12:09:46.632</v>
      </c>
      <c r="H278" t="s">
        <v>22</v>
      </c>
      <c r="I278">
        <v>0</v>
      </c>
      <c r="J278" t="s">
        <v>25</v>
      </c>
    </row>
    <row r="279" spans="1:10" x14ac:dyDescent="0.25">
      <c r="A279" s="1">
        <v>89</v>
      </c>
      <c r="B279" t="s">
        <v>26</v>
      </c>
      <c r="C279">
        <v>630</v>
      </c>
      <c r="D279">
        <v>5</v>
      </c>
      <c r="E279" t="s">
        <v>39</v>
      </c>
      <c r="F279" t="s">
        <v>40</v>
      </c>
      <c r="G279" t="str">
        <f>"2026-06-18 13:06:48.207"</f>
        <v>2026-06-18 13:06:48.207</v>
      </c>
      <c r="H279" t="s">
        <v>41</v>
      </c>
    </row>
    <row r="280" spans="1:10" x14ac:dyDescent="0.25">
      <c r="A280" s="1">
        <v>90</v>
      </c>
      <c r="B280" t="s">
        <v>19</v>
      </c>
      <c r="C280">
        <v>706</v>
      </c>
      <c r="D280">
        <v>4</v>
      </c>
      <c r="E280" t="s">
        <v>20</v>
      </c>
      <c r="F280" t="s">
        <v>21</v>
      </c>
      <c r="G280" t="str">
        <f>"2026-06-18 13:06:18.175"</f>
        <v>2026-06-18 13:06:18.175</v>
      </c>
      <c r="H280" t="s">
        <v>22</v>
      </c>
      <c r="I280">
        <v>0</v>
      </c>
      <c r="J280" t="s">
        <v>23</v>
      </c>
    </row>
    <row r="281" spans="1:10" x14ac:dyDescent="0.25">
      <c r="A281" s="1">
        <v>91</v>
      </c>
      <c r="B281" t="s">
        <v>34</v>
      </c>
      <c r="C281">
        <v>630</v>
      </c>
      <c r="D281">
        <v>5</v>
      </c>
      <c r="E281" t="s">
        <v>39</v>
      </c>
      <c r="F281" t="s">
        <v>40</v>
      </c>
      <c r="G281" t="str">
        <f>"2026-06-18 12:40:18.007"</f>
        <v>2026-06-18 12:40:18.007</v>
      </c>
      <c r="H281" t="s">
        <v>41</v>
      </c>
      <c r="I281">
        <v>0</v>
      </c>
      <c r="J281" t="s">
        <v>23</v>
      </c>
    </row>
    <row r="282" spans="1:10" x14ac:dyDescent="0.25">
      <c r="A282" s="1">
        <v>92</v>
      </c>
      <c r="B282" t="s">
        <v>19</v>
      </c>
      <c r="C282">
        <v>706</v>
      </c>
      <c r="D282">
        <v>4</v>
      </c>
      <c r="E282" t="s">
        <v>20</v>
      </c>
      <c r="F282" t="s">
        <v>21</v>
      </c>
      <c r="G282" t="str">
        <f>"2026-06-18 09:40:49.815"</f>
        <v>2026-06-18 09:40:49.815</v>
      </c>
      <c r="H282" t="s">
        <v>22</v>
      </c>
      <c r="I282">
        <v>0</v>
      </c>
      <c r="J282" t="s">
        <v>23</v>
      </c>
    </row>
    <row r="283" spans="1:10" x14ac:dyDescent="0.25">
      <c r="A283" s="1">
        <v>93</v>
      </c>
      <c r="B283" t="s">
        <v>19</v>
      </c>
      <c r="C283">
        <v>700</v>
      </c>
      <c r="D283">
        <v>0</v>
      </c>
      <c r="E283" t="s">
        <v>24</v>
      </c>
      <c r="F283" t="s">
        <v>24</v>
      </c>
      <c r="G283" t="str">
        <f>"2026-06-18 09:37:58.625"</f>
        <v>2026-06-18 09:37:58.625</v>
      </c>
      <c r="H283" t="s">
        <v>22</v>
      </c>
    </row>
    <row r="284" spans="1:10" x14ac:dyDescent="0.25">
      <c r="A284" s="1">
        <v>94</v>
      </c>
      <c r="B284" t="s">
        <v>19</v>
      </c>
      <c r="C284">
        <v>700</v>
      </c>
      <c r="D284">
        <v>0</v>
      </c>
      <c r="E284" t="s">
        <v>24</v>
      </c>
      <c r="F284" t="s">
        <v>24</v>
      </c>
      <c r="G284" t="str">
        <f>"2026-06-18 03:26:25.599"</f>
        <v>2026-06-18 03:26:25.599</v>
      </c>
      <c r="H284" t="s">
        <v>22</v>
      </c>
    </row>
    <row r="285" spans="1:10" x14ac:dyDescent="0.25">
      <c r="A285" s="1">
        <v>95</v>
      </c>
      <c r="B285" t="s">
        <v>19</v>
      </c>
      <c r="C285">
        <v>700</v>
      </c>
      <c r="D285">
        <v>0</v>
      </c>
      <c r="E285" t="s">
        <v>24</v>
      </c>
      <c r="F285" t="s">
        <v>24</v>
      </c>
      <c r="G285" t="str">
        <f>"2026-06-18 03:20:00.768"</f>
        <v>2026-06-18 03:20:00.768</v>
      </c>
      <c r="H285" t="s">
        <v>22</v>
      </c>
      <c r="I285">
        <v>0</v>
      </c>
      <c r="J285" t="s">
        <v>25</v>
      </c>
    </row>
    <row r="286" spans="1:10" x14ac:dyDescent="0.25">
      <c r="A286" s="1">
        <v>96</v>
      </c>
      <c r="B286" t="s">
        <v>19</v>
      </c>
      <c r="C286">
        <v>700</v>
      </c>
      <c r="D286">
        <v>0</v>
      </c>
      <c r="E286" t="s">
        <v>24</v>
      </c>
      <c r="F286" t="s">
        <v>24</v>
      </c>
      <c r="G286" t="str">
        <f>"2026-06-18 01:19:17.801"</f>
        <v>2026-06-18 01:19:17.801</v>
      </c>
      <c r="H286" t="s">
        <v>22</v>
      </c>
    </row>
    <row r="287" spans="1:10" x14ac:dyDescent="0.25">
      <c r="A287" s="1">
        <v>97</v>
      </c>
      <c r="B287" t="s">
        <v>19</v>
      </c>
      <c r="C287">
        <v>700</v>
      </c>
      <c r="D287">
        <v>0</v>
      </c>
      <c r="E287" t="s">
        <v>24</v>
      </c>
      <c r="F287" t="s">
        <v>24</v>
      </c>
      <c r="G287" t="str">
        <f>"2026-06-17 14:08:20.845"</f>
        <v>2026-06-17 14:08:20.845</v>
      </c>
      <c r="H287" t="s">
        <v>22</v>
      </c>
      <c r="I287">
        <v>0</v>
      </c>
      <c r="J287" t="s">
        <v>25</v>
      </c>
    </row>
    <row r="288" spans="1:10" x14ac:dyDescent="0.25">
      <c r="A288" s="1">
        <v>98</v>
      </c>
      <c r="B288" t="s">
        <v>19</v>
      </c>
      <c r="C288">
        <v>706</v>
      </c>
      <c r="D288">
        <v>2</v>
      </c>
      <c r="E288" t="s">
        <v>20</v>
      </c>
      <c r="F288" t="s">
        <v>54</v>
      </c>
      <c r="G288" t="str">
        <f>"2026-06-17 09:00:46.631"</f>
        <v>2026-06-17 09:00:46.631</v>
      </c>
      <c r="H288" t="s">
        <v>22</v>
      </c>
      <c r="I288">
        <v>0</v>
      </c>
      <c r="J288" t="s">
        <v>23</v>
      </c>
    </row>
    <row r="289" spans="1:10" x14ac:dyDescent="0.25">
      <c r="A289" s="1">
        <v>99</v>
      </c>
      <c r="B289" t="s">
        <v>19</v>
      </c>
      <c r="C289">
        <v>700</v>
      </c>
      <c r="D289">
        <v>0</v>
      </c>
      <c r="E289" t="s">
        <v>24</v>
      </c>
      <c r="F289" t="s">
        <v>24</v>
      </c>
      <c r="G289" t="str">
        <f>"2026-06-17 08:59:35.631"</f>
        <v>2026-06-17 08:59:35.631</v>
      </c>
      <c r="H289" t="s">
        <v>22</v>
      </c>
      <c r="I289">
        <v>0</v>
      </c>
      <c r="J289" t="s">
        <v>25</v>
      </c>
    </row>
    <row r="290" spans="1:10" x14ac:dyDescent="0.25">
      <c r="A290" s="1">
        <v>0</v>
      </c>
      <c r="B290" t="s">
        <v>26</v>
      </c>
      <c r="C290">
        <v>635</v>
      </c>
      <c r="D290">
        <v>1</v>
      </c>
      <c r="E290" t="s">
        <v>27</v>
      </c>
      <c r="F290" t="s">
        <v>28</v>
      </c>
      <c r="G290" t="str">
        <f>"2026-06-16 15:14:10.117"</f>
        <v>2026-06-16 15:14:10.117</v>
      </c>
      <c r="H290" t="s">
        <v>22</v>
      </c>
    </row>
    <row r="291" spans="1:10" x14ac:dyDescent="0.25">
      <c r="A291" s="1">
        <v>1</v>
      </c>
      <c r="B291" t="s">
        <v>29</v>
      </c>
      <c r="C291">
        <v>635</v>
      </c>
      <c r="D291">
        <v>1</v>
      </c>
      <c r="E291" t="s">
        <v>27</v>
      </c>
      <c r="F291" t="s">
        <v>28</v>
      </c>
      <c r="G291" t="str">
        <f>"2026-06-16 15:03:54.617"</f>
        <v>2026-06-16 15:03:54.617</v>
      </c>
      <c r="H291" t="s">
        <v>22</v>
      </c>
      <c r="I291">
        <v>8.15</v>
      </c>
      <c r="J291" t="s">
        <v>37</v>
      </c>
    </row>
    <row r="292" spans="1:10" x14ac:dyDescent="0.25">
      <c r="A292" s="1">
        <v>2</v>
      </c>
      <c r="B292" t="s">
        <v>26</v>
      </c>
      <c r="C292">
        <v>635</v>
      </c>
      <c r="D292">
        <v>1</v>
      </c>
      <c r="E292" t="s">
        <v>27</v>
      </c>
      <c r="F292" t="s">
        <v>28</v>
      </c>
      <c r="G292" t="str">
        <f>"2026-06-16 14:55:56.117"</f>
        <v>2026-06-16 14:55:56.117</v>
      </c>
      <c r="H292" t="s">
        <v>22</v>
      </c>
    </row>
    <row r="293" spans="1:10" x14ac:dyDescent="0.25">
      <c r="A293" s="1">
        <v>3</v>
      </c>
      <c r="B293" t="s">
        <v>29</v>
      </c>
      <c r="C293">
        <v>635</v>
      </c>
      <c r="D293">
        <v>1</v>
      </c>
      <c r="E293" t="s">
        <v>27</v>
      </c>
      <c r="F293" t="s">
        <v>28</v>
      </c>
      <c r="G293" t="str">
        <f>"2026-06-16 14:49:01.217"</f>
        <v>2026-06-16 14:49:01.217</v>
      </c>
      <c r="H293" t="s">
        <v>22</v>
      </c>
      <c r="I293">
        <v>10.88</v>
      </c>
      <c r="J293" t="s">
        <v>37</v>
      </c>
    </row>
    <row r="294" spans="1:10" x14ac:dyDescent="0.25">
      <c r="A294" s="1">
        <v>4</v>
      </c>
      <c r="B294" t="s">
        <v>19</v>
      </c>
      <c r="C294">
        <v>700</v>
      </c>
      <c r="D294">
        <v>0</v>
      </c>
      <c r="E294" t="s">
        <v>24</v>
      </c>
      <c r="F294" t="s">
        <v>24</v>
      </c>
      <c r="G294" t="str">
        <f>"2026-06-16 08:46:25.598"</f>
        <v>2026-06-16 08:46:25.598</v>
      </c>
      <c r="H294" t="s">
        <v>22</v>
      </c>
    </row>
    <row r="295" spans="1:10" x14ac:dyDescent="0.25">
      <c r="A295" s="1">
        <v>5</v>
      </c>
      <c r="B295" t="s">
        <v>19</v>
      </c>
      <c r="C295">
        <v>700</v>
      </c>
      <c r="D295">
        <v>0</v>
      </c>
      <c r="E295" t="s">
        <v>24</v>
      </c>
      <c r="F295" t="s">
        <v>24</v>
      </c>
      <c r="G295" t="str">
        <f>"2026-06-16 08:43:51.594"</f>
        <v>2026-06-16 08:43:51.594</v>
      </c>
      <c r="H295" t="s">
        <v>22</v>
      </c>
      <c r="I295">
        <v>0</v>
      </c>
      <c r="J295" t="s">
        <v>25</v>
      </c>
    </row>
    <row r="296" spans="1:10" x14ac:dyDescent="0.25">
      <c r="A296" s="1">
        <v>6</v>
      </c>
      <c r="B296" t="s">
        <v>19</v>
      </c>
      <c r="C296">
        <v>700</v>
      </c>
      <c r="D296">
        <v>0</v>
      </c>
      <c r="E296" t="s">
        <v>24</v>
      </c>
      <c r="F296" t="s">
        <v>24</v>
      </c>
      <c r="G296" t="str">
        <f>"2026-06-16 00:52:14.633"</f>
        <v>2026-06-16 00:52:14.633</v>
      </c>
      <c r="H296" t="s">
        <v>22</v>
      </c>
      <c r="I296">
        <v>0</v>
      </c>
      <c r="J296" t="s">
        <v>25</v>
      </c>
    </row>
    <row r="297" spans="1:10" x14ac:dyDescent="0.25">
      <c r="A297" s="1">
        <v>7</v>
      </c>
      <c r="B297" t="s">
        <v>19</v>
      </c>
      <c r="C297">
        <v>700</v>
      </c>
      <c r="D297">
        <v>0</v>
      </c>
      <c r="E297" t="s">
        <v>24</v>
      </c>
      <c r="F297" t="s">
        <v>24</v>
      </c>
      <c r="G297" t="str">
        <f>"2026-06-15 12:56:28.737"</f>
        <v>2026-06-15 12:56:28.737</v>
      </c>
      <c r="H297" t="s">
        <v>22</v>
      </c>
      <c r="I297">
        <v>0</v>
      </c>
      <c r="J297" t="s">
        <v>25</v>
      </c>
    </row>
    <row r="298" spans="1:10" x14ac:dyDescent="0.25">
      <c r="A298" s="1">
        <v>8</v>
      </c>
      <c r="B298" t="s">
        <v>19</v>
      </c>
      <c r="C298">
        <v>706</v>
      </c>
      <c r="D298">
        <v>2</v>
      </c>
      <c r="E298" t="s">
        <v>20</v>
      </c>
      <c r="F298" t="s">
        <v>54</v>
      </c>
      <c r="G298" t="str">
        <f>"2026-06-15 08:33:35.185"</f>
        <v>2026-06-15 08:33:35.185</v>
      </c>
      <c r="H298" t="s">
        <v>22</v>
      </c>
      <c r="I298">
        <v>0</v>
      </c>
      <c r="J298" t="s">
        <v>23</v>
      </c>
    </row>
    <row r="299" spans="1:10" x14ac:dyDescent="0.25">
      <c r="A299" s="1">
        <v>9</v>
      </c>
      <c r="B299" t="s">
        <v>19</v>
      </c>
      <c r="C299">
        <v>700</v>
      </c>
      <c r="D299">
        <v>0</v>
      </c>
      <c r="E299" t="s">
        <v>24</v>
      </c>
      <c r="F299" t="s">
        <v>24</v>
      </c>
      <c r="G299" t="str">
        <f>"2026-06-15 08:33:13.795"</f>
        <v>2026-06-15 08:33:13.795</v>
      </c>
      <c r="H299" t="s">
        <v>22</v>
      </c>
    </row>
    <row r="300" spans="1:10" x14ac:dyDescent="0.25">
      <c r="A300" s="1">
        <v>10</v>
      </c>
      <c r="B300" t="s">
        <v>26</v>
      </c>
      <c r="C300">
        <v>635</v>
      </c>
      <c r="D300">
        <v>1</v>
      </c>
      <c r="E300" t="s">
        <v>27</v>
      </c>
      <c r="F300" t="s">
        <v>28</v>
      </c>
      <c r="G300" t="str">
        <f>"2026-06-14 22:18:44.883"</f>
        <v>2026-06-14 22:18:44.883</v>
      </c>
      <c r="H300" t="s">
        <v>22</v>
      </c>
    </row>
    <row r="301" spans="1:10" x14ac:dyDescent="0.25">
      <c r="A301" s="1">
        <v>11</v>
      </c>
      <c r="B301" t="s">
        <v>29</v>
      </c>
      <c r="C301">
        <v>635</v>
      </c>
      <c r="D301">
        <v>1</v>
      </c>
      <c r="E301" t="s">
        <v>27</v>
      </c>
      <c r="F301" t="s">
        <v>28</v>
      </c>
      <c r="G301" t="str">
        <f>"2026-06-14 22:14:01.883"</f>
        <v>2026-06-14 22:14:01.883</v>
      </c>
      <c r="H301" t="s">
        <v>22</v>
      </c>
      <c r="I301">
        <v>1.32</v>
      </c>
      <c r="J301" t="s">
        <v>30</v>
      </c>
    </row>
    <row r="302" spans="1:10" x14ac:dyDescent="0.25">
      <c r="A302" s="1">
        <v>12</v>
      </c>
      <c r="B302" t="s">
        <v>19</v>
      </c>
      <c r="C302">
        <v>700</v>
      </c>
      <c r="D302">
        <v>0</v>
      </c>
      <c r="E302" t="s">
        <v>24</v>
      </c>
      <c r="F302" t="s">
        <v>24</v>
      </c>
      <c r="G302" t="str">
        <f>"2026-06-14 13:14:29.816"</f>
        <v>2026-06-14 13:14:29.816</v>
      </c>
      <c r="H302" t="s">
        <v>22</v>
      </c>
      <c r="I302">
        <v>0</v>
      </c>
      <c r="J302" t="s">
        <v>25</v>
      </c>
    </row>
    <row r="303" spans="1:10" x14ac:dyDescent="0.25">
      <c r="A303" s="1">
        <v>13</v>
      </c>
      <c r="B303" t="s">
        <v>19</v>
      </c>
      <c r="C303">
        <v>700</v>
      </c>
      <c r="D303">
        <v>0</v>
      </c>
      <c r="E303" t="s">
        <v>24</v>
      </c>
      <c r="F303" t="s">
        <v>24</v>
      </c>
      <c r="G303" t="str">
        <f>"2026-06-14 01:49:56.743"</f>
        <v>2026-06-14 01:49:56.743</v>
      </c>
      <c r="H303" t="s">
        <v>22</v>
      </c>
      <c r="I303">
        <v>0</v>
      </c>
      <c r="J303" t="s">
        <v>25</v>
      </c>
    </row>
    <row r="304" spans="1:10" x14ac:dyDescent="0.25">
      <c r="A304" s="1">
        <v>14</v>
      </c>
      <c r="B304" t="s">
        <v>19</v>
      </c>
      <c r="C304">
        <v>700</v>
      </c>
      <c r="D304">
        <v>0</v>
      </c>
      <c r="E304" t="s">
        <v>24</v>
      </c>
      <c r="F304" t="s">
        <v>24</v>
      </c>
      <c r="G304" t="str">
        <f>"2026-06-13 16:03:59.616"</f>
        <v>2026-06-13 16:03:59.616</v>
      </c>
      <c r="H304" t="s">
        <v>22</v>
      </c>
      <c r="I304">
        <v>0</v>
      </c>
      <c r="J304" t="s">
        <v>25</v>
      </c>
    </row>
    <row r="305" spans="1:10" x14ac:dyDescent="0.25">
      <c r="A305" s="1">
        <v>15</v>
      </c>
      <c r="B305" t="s">
        <v>31</v>
      </c>
      <c r="C305">
        <v>87</v>
      </c>
      <c r="D305">
        <v>1</v>
      </c>
      <c r="E305" t="s">
        <v>32</v>
      </c>
      <c r="F305" t="s">
        <v>33</v>
      </c>
      <c r="G305" t="str">
        <f>"2026-06-13 15:44:40.305"</f>
        <v>2026-06-13 15:44:40.305</v>
      </c>
      <c r="H305" t="s">
        <v>22</v>
      </c>
    </row>
    <row r="306" spans="1:10" x14ac:dyDescent="0.25">
      <c r="A306" s="1">
        <v>16</v>
      </c>
      <c r="B306" t="s">
        <v>34</v>
      </c>
      <c r="C306">
        <v>87</v>
      </c>
      <c r="D306">
        <v>1</v>
      </c>
      <c r="E306" t="s">
        <v>32</v>
      </c>
      <c r="F306" t="s">
        <v>33</v>
      </c>
      <c r="G306" t="str">
        <f>"2026-06-13 15:34:11.863"</f>
        <v>2026-06-13 15:34:11.863</v>
      </c>
      <c r="H306" t="s">
        <v>22</v>
      </c>
      <c r="I306">
        <v>6.04</v>
      </c>
      <c r="J306" t="s">
        <v>30</v>
      </c>
    </row>
    <row r="307" spans="1:10" x14ac:dyDescent="0.25">
      <c r="A307" s="1">
        <v>17</v>
      </c>
      <c r="B307" t="s">
        <v>19</v>
      </c>
      <c r="C307">
        <v>706</v>
      </c>
      <c r="D307">
        <v>2</v>
      </c>
      <c r="E307" t="s">
        <v>20</v>
      </c>
      <c r="F307" t="s">
        <v>54</v>
      </c>
      <c r="G307" t="str">
        <f>"2026-06-13 08:50:25.054"</f>
        <v>2026-06-13 08:50:25.054</v>
      </c>
      <c r="H307" t="s">
        <v>22</v>
      </c>
      <c r="I307">
        <v>0</v>
      </c>
      <c r="J307" t="s">
        <v>23</v>
      </c>
    </row>
    <row r="308" spans="1:10" x14ac:dyDescent="0.25">
      <c r="A308" s="1">
        <v>18</v>
      </c>
      <c r="B308" t="s">
        <v>19</v>
      </c>
      <c r="C308">
        <v>706</v>
      </c>
      <c r="D308">
        <v>3</v>
      </c>
      <c r="E308" t="s">
        <v>20</v>
      </c>
      <c r="F308" t="s">
        <v>48</v>
      </c>
      <c r="G308" t="str">
        <f>"2026-06-13 08:49:55.314"</f>
        <v>2026-06-13 08:49:55.314</v>
      </c>
      <c r="H308" t="s">
        <v>22</v>
      </c>
      <c r="I308">
        <v>0</v>
      </c>
      <c r="J308" t="s">
        <v>23</v>
      </c>
    </row>
    <row r="309" spans="1:10" x14ac:dyDescent="0.25">
      <c r="A309" s="1">
        <v>19</v>
      </c>
      <c r="B309" t="s">
        <v>19</v>
      </c>
      <c r="C309">
        <v>706</v>
      </c>
      <c r="D309">
        <v>2</v>
      </c>
      <c r="E309" t="s">
        <v>20</v>
      </c>
      <c r="F309" t="s">
        <v>54</v>
      </c>
      <c r="G309" t="str">
        <f>"2026-06-13 08:48:58.954"</f>
        <v>2026-06-13 08:48:58.954</v>
      </c>
      <c r="H309" t="s">
        <v>22</v>
      </c>
      <c r="I309">
        <v>0</v>
      </c>
      <c r="J309" t="s">
        <v>23</v>
      </c>
    </row>
    <row r="310" spans="1:10" x14ac:dyDescent="0.25">
      <c r="A310" s="1">
        <v>20</v>
      </c>
      <c r="B310" t="s">
        <v>19</v>
      </c>
      <c r="C310">
        <v>706</v>
      </c>
      <c r="D310">
        <v>2</v>
      </c>
      <c r="E310" t="s">
        <v>20</v>
      </c>
      <c r="F310" t="s">
        <v>54</v>
      </c>
      <c r="G310" t="str">
        <f>"2026-06-13 08:45:57.254"</f>
        <v>2026-06-13 08:45:57.254</v>
      </c>
      <c r="H310" t="s">
        <v>22</v>
      </c>
      <c r="I310">
        <v>0</v>
      </c>
      <c r="J310" t="s">
        <v>23</v>
      </c>
    </row>
    <row r="311" spans="1:10" x14ac:dyDescent="0.25">
      <c r="A311" s="1">
        <v>21</v>
      </c>
      <c r="B311" t="s">
        <v>19</v>
      </c>
      <c r="C311">
        <v>706</v>
      </c>
      <c r="D311">
        <v>3</v>
      </c>
      <c r="E311" t="s">
        <v>20</v>
      </c>
      <c r="F311" t="s">
        <v>48</v>
      </c>
      <c r="G311" t="str">
        <f>"2026-06-13 08:45:13.124"</f>
        <v>2026-06-13 08:45:13.124</v>
      </c>
      <c r="H311" t="s">
        <v>22</v>
      </c>
      <c r="I311">
        <v>0</v>
      </c>
      <c r="J311" t="s">
        <v>23</v>
      </c>
    </row>
    <row r="312" spans="1:10" x14ac:dyDescent="0.25">
      <c r="A312" s="1">
        <v>22</v>
      </c>
      <c r="B312" t="s">
        <v>19</v>
      </c>
      <c r="C312">
        <v>706</v>
      </c>
      <c r="D312">
        <v>2</v>
      </c>
      <c r="E312" t="s">
        <v>20</v>
      </c>
      <c r="F312" t="s">
        <v>54</v>
      </c>
      <c r="G312" t="str">
        <f>"2026-06-13 08:44:25.054"</f>
        <v>2026-06-13 08:44:25.054</v>
      </c>
      <c r="H312" t="s">
        <v>22</v>
      </c>
      <c r="I312">
        <v>0</v>
      </c>
      <c r="J312" t="s">
        <v>23</v>
      </c>
    </row>
    <row r="313" spans="1:10" x14ac:dyDescent="0.25">
      <c r="A313" s="1">
        <v>23</v>
      </c>
      <c r="B313" t="s">
        <v>19</v>
      </c>
      <c r="C313">
        <v>706</v>
      </c>
      <c r="D313">
        <v>2</v>
      </c>
      <c r="E313" t="s">
        <v>20</v>
      </c>
      <c r="F313" t="s">
        <v>54</v>
      </c>
      <c r="G313" t="str">
        <f>"2026-06-13 08:42:48.454"</f>
        <v>2026-06-13 08:42:48.454</v>
      </c>
      <c r="H313" t="s">
        <v>22</v>
      </c>
      <c r="I313">
        <v>0</v>
      </c>
      <c r="J313" t="s">
        <v>23</v>
      </c>
    </row>
    <row r="314" spans="1:10" x14ac:dyDescent="0.25">
      <c r="A314" s="1">
        <v>24</v>
      </c>
      <c r="B314" t="s">
        <v>19</v>
      </c>
      <c r="C314">
        <v>700</v>
      </c>
      <c r="D314">
        <v>0</v>
      </c>
      <c r="E314" t="s">
        <v>24</v>
      </c>
      <c r="F314" t="s">
        <v>24</v>
      </c>
      <c r="G314" t="str">
        <f>"2026-06-13 08:42:14.634"</f>
        <v>2026-06-13 08:42:14.634</v>
      </c>
      <c r="H314" t="s">
        <v>22</v>
      </c>
    </row>
    <row r="315" spans="1:10" x14ac:dyDescent="0.25">
      <c r="A315" s="1">
        <v>25</v>
      </c>
      <c r="B315" t="s">
        <v>26</v>
      </c>
      <c r="C315">
        <v>635</v>
      </c>
      <c r="D315">
        <v>1</v>
      </c>
      <c r="E315" t="s">
        <v>27</v>
      </c>
      <c r="F315" t="s">
        <v>28</v>
      </c>
      <c r="G315" t="str">
        <f>"2026-06-12 14:05:09.723"</f>
        <v>2026-06-12 14:05:09.723</v>
      </c>
      <c r="H315" t="s">
        <v>22</v>
      </c>
    </row>
    <row r="316" spans="1:10" x14ac:dyDescent="0.25">
      <c r="A316" s="1">
        <v>26</v>
      </c>
      <c r="B316" t="s">
        <v>29</v>
      </c>
      <c r="C316">
        <v>635</v>
      </c>
      <c r="D316">
        <v>1</v>
      </c>
      <c r="E316" t="s">
        <v>27</v>
      </c>
      <c r="F316" t="s">
        <v>28</v>
      </c>
      <c r="G316" t="str">
        <f>"2026-06-12 13:48:34.723"</f>
        <v>2026-06-12 13:48:34.723</v>
      </c>
      <c r="H316" t="s">
        <v>22</v>
      </c>
      <c r="I316">
        <v>7.58</v>
      </c>
      <c r="J316" t="s">
        <v>30</v>
      </c>
    </row>
    <row r="317" spans="1:10" x14ac:dyDescent="0.25">
      <c r="A317" s="1">
        <v>27</v>
      </c>
      <c r="B317" t="s">
        <v>19</v>
      </c>
      <c r="C317">
        <v>700</v>
      </c>
      <c r="D317">
        <v>0</v>
      </c>
      <c r="E317" t="s">
        <v>24</v>
      </c>
      <c r="F317" t="s">
        <v>24</v>
      </c>
      <c r="G317" t="str">
        <f>"2026-06-12 08:45:55.604"</f>
        <v>2026-06-12 08:45:55.604</v>
      </c>
      <c r="H317" t="s">
        <v>22</v>
      </c>
      <c r="I317">
        <v>0</v>
      </c>
      <c r="J317" t="s">
        <v>25</v>
      </c>
    </row>
    <row r="318" spans="1:10" x14ac:dyDescent="0.25">
      <c r="A318" s="1">
        <v>28</v>
      </c>
      <c r="B318" t="s">
        <v>19</v>
      </c>
      <c r="C318">
        <v>700</v>
      </c>
      <c r="D318">
        <v>0</v>
      </c>
      <c r="E318" t="s">
        <v>24</v>
      </c>
      <c r="F318" t="s">
        <v>24</v>
      </c>
      <c r="G318" t="str">
        <f>"2026-06-12 00:13:26.642"</f>
        <v>2026-06-12 00:13:26.642</v>
      </c>
      <c r="H318" t="s">
        <v>22</v>
      </c>
    </row>
    <row r="319" spans="1:10" x14ac:dyDescent="0.25">
      <c r="A319" s="1">
        <v>29</v>
      </c>
      <c r="B319" t="s">
        <v>31</v>
      </c>
      <c r="C319">
        <v>87</v>
      </c>
      <c r="D319">
        <v>1</v>
      </c>
      <c r="E319" t="s">
        <v>32</v>
      </c>
      <c r="F319" t="s">
        <v>33</v>
      </c>
      <c r="G319" t="str">
        <f>"2026-06-11 18:26:04.128"</f>
        <v>2026-06-11 18:26:04.128</v>
      </c>
      <c r="H319" t="s">
        <v>22</v>
      </c>
    </row>
    <row r="320" spans="1:10" x14ac:dyDescent="0.25">
      <c r="A320" s="1">
        <v>30</v>
      </c>
      <c r="B320" t="s">
        <v>34</v>
      </c>
      <c r="C320">
        <v>87</v>
      </c>
      <c r="D320">
        <v>1</v>
      </c>
      <c r="E320" t="s">
        <v>32</v>
      </c>
      <c r="F320" t="s">
        <v>33</v>
      </c>
      <c r="G320" t="str">
        <f>"2026-06-11 18:20:40.787"</f>
        <v>2026-06-11 18:20:40.787</v>
      </c>
      <c r="H320" t="s">
        <v>22</v>
      </c>
      <c r="I320">
        <v>5.47</v>
      </c>
      <c r="J320" t="s">
        <v>30</v>
      </c>
    </row>
    <row r="321" spans="1:10" x14ac:dyDescent="0.25">
      <c r="A321" s="1">
        <v>31</v>
      </c>
      <c r="B321" t="s">
        <v>19</v>
      </c>
      <c r="C321">
        <v>700</v>
      </c>
      <c r="D321">
        <v>0</v>
      </c>
      <c r="E321" t="s">
        <v>24</v>
      </c>
      <c r="F321" t="s">
        <v>24</v>
      </c>
      <c r="G321" t="str">
        <f>"2026-06-11 09:33:06.607"</f>
        <v>2026-06-11 09:33:06.607</v>
      </c>
      <c r="H321" t="s">
        <v>22</v>
      </c>
      <c r="I321">
        <v>0</v>
      </c>
      <c r="J321" t="s">
        <v>25</v>
      </c>
    </row>
    <row r="322" spans="1:10" x14ac:dyDescent="0.25">
      <c r="A322" s="1">
        <v>32</v>
      </c>
      <c r="B322" t="s">
        <v>19</v>
      </c>
      <c r="C322">
        <v>700</v>
      </c>
      <c r="D322">
        <v>0</v>
      </c>
      <c r="E322" t="s">
        <v>24</v>
      </c>
      <c r="F322" t="s">
        <v>24</v>
      </c>
      <c r="G322" t="str">
        <f>"2026-06-10 11:28:37.640"</f>
        <v>2026-06-10 11:28:37.640</v>
      </c>
      <c r="H322" t="s">
        <v>22</v>
      </c>
    </row>
    <row r="323" spans="1:10" x14ac:dyDescent="0.25">
      <c r="A323" s="1">
        <v>33</v>
      </c>
      <c r="B323" t="s">
        <v>26</v>
      </c>
      <c r="C323">
        <v>98</v>
      </c>
      <c r="D323">
        <v>1</v>
      </c>
      <c r="E323" t="s">
        <v>52</v>
      </c>
      <c r="F323" t="s">
        <v>53</v>
      </c>
      <c r="G323" t="str">
        <f>"2026-06-10 02:23:20.813"</f>
        <v>2026-06-10 02:23:20.813</v>
      </c>
      <c r="H323" t="s">
        <v>22</v>
      </c>
    </row>
    <row r="324" spans="1:10" x14ac:dyDescent="0.25">
      <c r="A324" s="1">
        <v>34</v>
      </c>
      <c r="B324" t="s">
        <v>29</v>
      </c>
      <c r="C324">
        <v>98</v>
      </c>
      <c r="D324">
        <v>1</v>
      </c>
      <c r="E324" t="s">
        <v>52</v>
      </c>
      <c r="F324" t="s">
        <v>53</v>
      </c>
      <c r="G324" t="str">
        <f>"2026-06-10 02:23:19.414"</f>
        <v>2026-06-10 02:23:19.414</v>
      </c>
      <c r="H324" t="s">
        <v>22</v>
      </c>
      <c r="I324">
        <v>3.58</v>
      </c>
      <c r="J324" t="s">
        <v>30</v>
      </c>
    </row>
    <row r="325" spans="1:10" x14ac:dyDescent="0.25">
      <c r="A325" s="1">
        <v>35</v>
      </c>
      <c r="B325" t="s">
        <v>19</v>
      </c>
      <c r="C325">
        <v>700</v>
      </c>
      <c r="D325">
        <v>0</v>
      </c>
      <c r="E325" t="s">
        <v>24</v>
      </c>
      <c r="F325" t="s">
        <v>24</v>
      </c>
      <c r="G325" t="str">
        <f>"2026-06-10 01:41:41.631"</f>
        <v>2026-06-10 01:41:41.631</v>
      </c>
      <c r="H325" t="s">
        <v>22</v>
      </c>
    </row>
    <row r="326" spans="1:10" x14ac:dyDescent="0.25">
      <c r="A326" s="1">
        <v>36</v>
      </c>
      <c r="B326" t="s">
        <v>26</v>
      </c>
      <c r="C326">
        <v>635</v>
      </c>
      <c r="D326">
        <v>1</v>
      </c>
      <c r="E326" t="s">
        <v>27</v>
      </c>
      <c r="F326" t="s">
        <v>28</v>
      </c>
      <c r="G326" t="str">
        <f>"2026-06-09 22:01:15.476"</f>
        <v>2026-06-09 22:01:15.476</v>
      </c>
      <c r="H326" t="s">
        <v>22</v>
      </c>
    </row>
    <row r="327" spans="1:10" x14ac:dyDescent="0.25">
      <c r="A327" s="1">
        <v>37</v>
      </c>
      <c r="B327" t="s">
        <v>29</v>
      </c>
      <c r="C327">
        <v>635</v>
      </c>
      <c r="D327">
        <v>1</v>
      </c>
      <c r="E327" t="s">
        <v>27</v>
      </c>
      <c r="F327" t="s">
        <v>28</v>
      </c>
      <c r="G327" t="str">
        <f>"2026-06-09 21:56:18.477"</f>
        <v>2026-06-09 21:56:18.477</v>
      </c>
      <c r="H327" t="s">
        <v>22</v>
      </c>
      <c r="I327">
        <v>0.02</v>
      </c>
      <c r="J327" t="s">
        <v>38</v>
      </c>
    </row>
    <row r="328" spans="1:10" x14ac:dyDescent="0.25">
      <c r="A328" s="1">
        <v>38</v>
      </c>
      <c r="B328" t="s">
        <v>19</v>
      </c>
      <c r="C328">
        <v>700</v>
      </c>
      <c r="D328">
        <v>0</v>
      </c>
      <c r="E328" t="s">
        <v>24</v>
      </c>
      <c r="F328" t="s">
        <v>24</v>
      </c>
      <c r="G328" t="str">
        <f>"2026-06-09 10:23:40.597"</f>
        <v>2026-06-09 10:23:40.597</v>
      </c>
      <c r="H328" t="s">
        <v>22</v>
      </c>
    </row>
    <row r="329" spans="1:10" x14ac:dyDescent="0.25">
      <c r="A329" s="1">
        <v>39</v>
      </c>
      <c r="B329" t="s">
        <v>19</v>
      </c>
      <c r="C329">
        <v>700</v>
      </c>
      <c r="D329">
        <v>0</v>
      </c>
      <c r="E329" t="s">
        <v>24</v>
      </c>
      <c r="F329" t="s">
        <v>24</v>
      </c>
      <c r="G329" t="str">
        <f>"2026-06-09 10:18:06.607"</f>
        <v>2026-06-09 10:18:06.607</v>
      </c>
      <c r="H329" t="s">
        <v>22</v>
      </c>
      <c r="I329">
        <v>0</v>
      </c>
      <c r="J329" t="s">
        <v>25</v>
      </c>
    </row>
    <row r="330" spans="1:10" x14ac:dyDescent="0.25">
      <c r="A330" s="1">
        <v>40</v>
      </c>
      <c r="B330" t="s">
        <v>19</v>
      </c>
      <c r="C330">
        <v>700</v>
      </c>
      <c r="D330">
        <v>0</v>
      </c>
      <c r="E330" t="s">
        <v>24</v>
      </c>
      <c r="F330" t="s">
        <v>24</v>
      </c>
      <c r="G330" t="str">
        <f>"2026-06-09 08:21:29.603"</f>
        <v>2026-06-09 08:21:29.603</v>
      </c>
      <c r="H330" t="s">
        <v>22</v>
      </c>
    </row>
    <row r="331" spans="1:10" x14ac:dyDescent="0.25">
      <c r="A331" s="1">
        <v>41</v>
      </c>
      <c r="B331" t="s">
        <v>26</v>
      </c>
      <c r="C331">
        <v>635</v>
      </c>
      <c r="D331">
        <v>1</v>
      </c>
      <c r="E331" t="s">
        <v>27</v>
      </c>
      <c r="F331" t="s">
        <v>28</v>
      </c>
      <c r="G331" t="str">
        <f>"2026-06-08 17:58:33.261"</f>
        <v>2026-06-08 17:58:33.261</v>
      </c>
      <c r="H331" t="s">
        <v>22</v>
      </c>
    </row>
    <row r="332" spans="1:10" x14ac:dyDescent="0.25">
      <c r="A332" s="1">
        <v>42</v>
      </c>
      <c r="B332" t="s">
        <v>29</v>
      </c>
      <c r="C332">
        <v>635</v>
      </c>
      <c r="D332">
        <v>1</v>
      </c>
      <c r="E332" t="s">
        <v>27</v>
      </c>
      <c r="F332" t="s">
        <v>28</v>
      </c>
      <c r="G332" t="str">
        <f>"2026-06-08 17:32:04.261"</f>
        <v>2026-06-08 17:32:04.261</v>
      </c>
      <c r="H332" t="s">
        <v>22</v>
      </c>
      <c r="I332">
        <v>4.0999999999999996</v>
      </c>
      <c r="J332" t="s">
        <v>37</v>
      </c>
    </row>
    <row r="333" spans="1:10" x14ac:dyDescent="0.25">
      <c r="A333" s="1">
        <v>43</v>
      </c>
      <c r="B333" t="s">
        <v>19</v>
      </c>
      <c r="C333">
        <v>706</v>
      </c>
      <c r="D333">
        <v>2</v>
      </c>
      <c r="E333" t="s">
        <v>20</v>
      </c>
      <c r="F333" t="s">
        <v>54</v>
      </c>
      <c r="G333" t="str">
        <f>"2026-06-08 13:05:35.043"</f>
        <v>2026-06-08 13:05:35.043</v>
      </c>
      <c r="H333" t="s">
        <v>22</v>
      </c>
      <c r="I333">
        <v>0</v>
      </c>
      <c r="J333" t="s">
        <v>23</v>
      </c>
    </row>
    <row r="334" spans="1:10" x14ac:dyDescent="0.25">
      <c r="A334" s="1">
        <v>44</v>
      </c>
      <c r="B334" t="s">
        <v>19</v>
      </c>
      <c r="C334">
        <v>700</v>
      </c>
      <c r="D334">
        <v>0</v>
      </c>
      <c r="E334" t="s">
        <v>24</v>
      </c>
      <c r="F334" t="s">
        <v>24</v>
      </c>
      <c r="G334" t="str">
        <f>"2026-06-08 13:05:13.643"</f>
        <v>2026-06-08 13:05:13.643</v>
      </c>
      <c r="H334" t="s">
        <v>22</v>
      </c>
      <c r="I334">
        <v>0</v>
      </c>
      <c r="J334" t="s">
        <v>25</v>
      </c>
    </row>
    <row r="335" spans="1:10" x14ac:dyDescent="0.25">
      <c r="A335" s="1">
        <v>45</v>
      </c>
      <c r="B335" t="s">
        <v>19</v>
      </c>
      <c r="C335">
        <v>706</v>
      </c>
      <c r="D335">
        <v>4</v>
      </c>
      <c r="E335" t="s">
        <v>20</v>
      </c>
      <c r="F335" t="s">
        <v>21</v>
      </c>
      <c r="G335" t="str">
        <f>"2026-06-08 08:47:00.145"</f>
        <v>2026-06-08 08:47:00.145</v>
      </c>
      <c r="H335" t="s">
        <v>22</v>
      </c>
      <c r="I335">
        <v>0</v>
      </c>
      <c r="J335" t="s">
        <v>23</v>
      </c>
    </row>
    <row r="336" spans="1:10" x14ac:dyDescent="0.25">
      <c r="A336" s="1">
        <v>46</v>
      </c>
      <c r="B336" t="s">
        <v>19</v>
      </c>
      <c r="C336">
        <v>700</v>
      </c>
      <c r="D336">
        <v>0</v>
      </c>
      <c r="E336" t="s">
        <v>24</v>
      </c>
      <c r="F336" t="s">
        <v>24</v>
      </c>
      <c r="G336" t="str">
        <f>"2026-06-08 08:46:44.655"</f>
        <v>2026-06-08 08:46:44.655</v>
      </c>
      <c r="H336" t="s">
        <v>22</v>
      </c>
      <c r="I336">
        <v>0</v>
      </c>
      <c r="J336" t="s">
        <v>25</v>
      </c>
    </row>
    <row r="337" spans="1:10" x14ac:dyDescent="0.25">
      <c r="A337" s="1">
        <v>47</v>
      </c>
      <c r="B337" t="s">
        <v>19</v>
      </c>
      <c r="C337">
        <v>700</v>
      </c>
      <c r="D337">
        <v>0</v>
      </c>
      <c r="E337" t="s">
        <v>24</v>
      </c>
      <c r="F337" t="s">
        <v>24</v>
      </c>
      <c r="G337" t="str">
        <f>"2026-06-08 06:35:15.601"</f>
        <v>2026-06-08 06:35:15.601</v>
      </c>
      <c r="H337" t="s">
        <v>22</v>
      </c>
    </row>
    <row r="338" spans="1:10" x14ac:dyDescent="0.25">
      <c r="A338" s="1">
        <v>48</v>
      </c>
      <c r="B338" t="s">
        <v>26</v>
      </c>
      <c r="C338">
        <v>630</v>
      </c>
      <c r="D338">
        <v>5</v>
      </c>
      <c r="E338" t="s">
        <v>39</v>
      </c>
      <c r="F338" t="s">
        <v>40</v>
      </c>
      <c r="G338" t="str">
        <f>"2026-06-08 06:26:00.879"</f>
        <v>2026-06-08 06:26:00.879</v>
      </c>
      <c r="H338" t="s">
        <v>41</v>
      </c>
    </row>
    <row r="339" spans="1:10" x14ac:dyDescent="0.25">
      <c r="A339" s="1">
        <v>49</v>
      </c>
      <c r="B339" t="s">
        <v>19</v>
      </c>
      <c r="C339">
        <v>706</v>
      </c>
      <c r="D339">
        <v>2</v>
      </c>
      <c r="E339" t="s">
        <v>20</v>
      </c>
      <c r="F339" t="s">
        <v>54</v>
      </c>
      <c r="G339" t="str">
        <f>"2026-06-08 06:25:30.627"</f>
        <v>2026-06-08 06:25:30.627</v>
      </c>
      <c r="H339" t="s">
        <v>22</v>
      </c>
      <c r="I339">
        <v>0</v>
      </c>
      <c r="J339" t="s">
        <v>23</v>
      </c>
    </row>
    <row r="340" spans="1:10" x14ac:dyDescent="0.25">
      <c r="A340" s="1">
        <v>50</v>
      </c>
      <c r="B340" t="s">
        <v>34</v>
      </c>
      <c r="C340">
        <v>630</v>
      </c>
      <c r="D340">
        <v>5</v>
      </c>
      <c r="E340" t="s">
        <v>39</v>
      </c>
      <c r="F340" t="s">
        <v>40</v>
      </c>
      <c r="G340" t="str">
        <f>"2026-06-08 06:24:58.379"</f>
        <v>2026-06-08 06:24:58.379</v>
      </c>
      <c r="H340" t="s">
        <v>41</v>
      </c>
      <c r="I340">
        <v>0</v>
      </c>
      <c r="J340" t="s">
        <v>23</v>
      </c>
    </row>
    <row r="341" spans="1:10" x14ac:dyDescent="0.25">
      <c r="A341" s="1">
        <v>51</v>
      </c>
      <c r="B341" t="s">
        <v>19</v>
      </c>
      <c r="C341">
        <v>700</v>
      </c>
      <c r="D341">
        <v>0</v>
      </c>
      <c r="E341" t="s">
        <v>24</v>
      </c>
      <c r="F341" t="s">
        <v>24</v>
      </c>
      <c r="G341" t="str">
        <f>"2026-06-08 06:19:55.607"</f>
        <v>2026-06-08 06:19:55.607</v>
      </c>
      <c r="H341" t="s">
        <v>22</v>
      </c>
    </row>
    <row r="342" spans="1:10" x14ac:dyDescent="0.25">
      <c r="A342" s="1">
        <v>52</v>
      </c>
      <c r="B342" t="s">
        <v>19</v>
      </c>
      <c r="C342">
        <v>700</v>
      </c>
      <c r="D342">
        <v>0</v>
      </c>
      <c r="E342" t="s">
        <v>24</v>
      </c>
      <c r="F342" t="s">
        <v>24</v>
      </c>
      <c r="G342" t="str">
        <f>"2026-06-08 05:43:59.588"</f>
        <v>2026-06-08 05:43:59.588</v>
      </c>
      <c r="H342" t="s">
        <v>22</v>
      </c>
    </row>
    <row r="343" spans="1:10" x14ac:dyDescent="0.25">
      <c r="A343" s="1">
        <v>53</v>
      </c>
      <c r="B343" t="s">
        <v>19</v>
      </c>
      <c r="C343">
        <v>700</v>
      </c>
      <c r="D343">
        <v>0</v>
      </c>
      <c r="E343" t="s">
        <v>24</v>
      </c>
      <c r="F343" t="s">
        <v>24</v>
      </c>
      <c r="G343" t="str">
        <f>"2026-06-08 04:33:45.673"</f>
        <v>2026-06-08 04:33:45.673</v>
      </c>
      <c r="H343" t="s">
        <v>22</v>
      </c>
    </row>
    <row r="344" spans="1:10" x14ac:dyDescent="0.25">
      <c r="A344" s="1">
        <v>54</v>
      </c>
      <c r="B344" t="s">
        <v>19</v>
      </c>
      <c r="C344">
        <v>700</v>
      </c>
      <c r="D344">
        <v>0</v>
      </c>
      <c r="E344" t="s">
        <v>24</v>
      </c>
      <c r="F344" t="s">
        <v>24</v>
      </c>
      <c r="G344" t="str">
        <f>"2026-06-07 13:46:38.601"</f>
        <v>2026-06-07 13:46:38.601</v>
      </c>
      <c r="H344" t="s">
        <v>22</v>
      </c>
      <c r="I344">
        <v>0</v>
      </c>
      <c r="J344" t="s">
        <v>25</v>
      </c>
    </row>
    <row r="345" spans="1:10" x14ac:dyDescent="0.25">
      <c r="A345" s="1">
        <v>55</v>
      </c>
      <c r="B345" t="s">
        <v>26</v>
      </c>
      <c r="C345">
        <v>98</v>
      </c>
      <c r="D345">
        <v>1</v>
      </c>
      <c r="E345" t="s">
        <v>52</v>
      </c>
      <c r="F345" t="s">
        <v>53</v>
      </c>
      <c r="G345" t="str">
        <f>"2026-06-06 17:40:52.090"</f>
        <v>2026-06-06 17:40:52.090</v>
      </c>
      <c r="H345" t="s">
        <v>22</v>
      </c>
    </row>
    <row r="346" spans="1:10" x14ac:dyDescent="0.25">
      <c r="A346" s="1">
        <v>56</v>
      </c>
      <c r="B346" t="s">
        <v>29</v>
      </c>
      <c r="C346">
        <v>98</v>
      </c>
      <c r="D346">
        <v>1</v>
      </c>
      <c r="E346" t="s">
        <v>52</v>
      </c>
      <c r="F346" t="s">
        <v>53</v>
      </c>
      <c r="G346" t="str">
        <f>"2026-06-06 17:40:51.091"</f>
        <v>2026-06-06 17:40:51.091</v>
      </c>
      <c r="H346" t="s">
        <v>22</v>
      </c>
      <c r="I346">
        <v>0</v>
      </c>
      <c r="J346" t="s">
        <v>38</v>
      </c>
    </row>
    <row r="347" spans="1:10" x14ac:dyDescent="0.25">
      <c r="A347" s="1">
        <v>57</v>
      </c>
      <c r="B347" t="s">
        <v>19</v>
      </c>
      <c r="C347">
        <v>700</v>
      </c>
      <c r="D347">
        <v>0</v>
      </c>
      <c r="E347" t="s">
        <v>24</v>
      </c>
      <c r="F347" t="s">
        <v>24</v>
      </c>
      <c r="G347" t="str">
        <f>"2026-06-06 13:58:04.611"</f>
        <v>2026-06-06 13:58:04.611</v>
      </c>
      <c r="H347" t="s">
        <v>22</v>
      </c>
      <c r="I347">
        <v>0</v>
      </c>
      <c r="J347" t="s">
        <v>25</v>
      </c>
    </row>
    <row r="348" spans="1:10" x14ac:dyDescent="0.25">
      <c r="A348" s="1">
        <v>58</v>
      </c>
      <c r="B348" t="s">
        <v>19</v>
      </c>
      <c r="C348">
        <v>700</v>
      </c>
      <c r="D348">
        <v>0</v>
      </c>
      <c r="E348" t="s">
        <v>24</v>
      </c>
      <c r="F348" t="s">
        <v>24</v>
      </c>
      <c r="G348" t="str">
        <f>"2026-06-06 13:13:27.821"</f>
        <v>2026-06-06 13:13:27.821</v>
      </c>
      <c r="H348" t="s">
        <v>22</v>
      </c>
      <c r="I348">
        <v>0</v>
      </c>
      <c r="J348" t="s">
        <v>25</v>
      </c>
    </row>
    <row r="349" spans="1:10" x14ac:dyDescent="0.25">
      <c r="A349" s="1">
        <v>59</v>
      </c>
      <c r="B349" t="s">
        <v>26</v>
      </c>
      <c r="C349">
        <v>630</v>
      </c>
      <c r="D349">
        <v>5</v>
      </c>
      <c r="E349" t="s">
        <v>39</v>
      </c>
      <c r="F349" t="s">
        <v>40</v>
      </c>
      <c r="G349" t="str">
        <f>"2026-06-06 10:15:01.543"</f>
        <v>2026-06-06 10:15:01.543</v>
      </c>
      <c r="H349" t="s">
        <v>41</v>
      </c>
    </row>
    <row r="350" spans="1:10" x14ac:dyDescent="0.25">
      <c r="A350" s="1">
        <v>60</v>
      </c>
      <c r="B350" t="s">
        <v>19</v>
      </c>
      <c r="C350">
        <v>706</v>
      </c>
      <c r="D350">
        <v>4</v>
      </c>
      <c r="E350" t="s">
        <v>20</v>
      </c>
      <c r="F350" t="s">
        <v>21</v>
      </c>
      <c r="G350" t="str">
        <f>"2026-06-06 10:14:31.362"</f>
        <v>2026-06-06 10:14:31.362</v>
      </c>
      <c r="H350" t="s">
        <v>22</v>
      </c>
      <c r="I350">
        <v>0</v>
      </c>
      <c r="J350" t="s">
        <v>23</v>
      </c>
    </row>
    <row r="351" spans="1:10" x14ac:dyDescent="0.25">
      <c r="A351" s="1">
        <v>61</v>
      </c>
      <c r="B351" t="s">
        <v>34</v>
      </c>
      <c r="C351">
        <v>630</v>
      </c>
      <c r="D351">
        <v>5</v>
      </c>
      <c r="E351" t="s">
        <v>39</v>
      </c>
      <c r="F351" t="s">
        <v>40</v>
      </c>
      <c r="G351" t="str">
        <f>"2026-06-06 09:53:31.543"</f>
        <v>2026-06-06 09:53:31.543</v>
      </c>
      <c r="H351" t="s">
        <v>41</v>
      </c>
      <c r="I351">
        <v>0</v>
      </c>
      <c r="J351" t="s">
        <v>23</v>
      </c>
    </row>
    <row r="352" spans="1:10" x14ac:dyDescent="0.25">
      <c r="A352" s="1">
        <v>62</v>
      </c>
      <c r="B352" t="s">
        <v>19</v>
      </c>
      <c r="C352">
        <v>700</v>
      </c>
      <c r="D352">
        <v>0</v>
      </c>
      <c r="E352" t="s">
        <v>24</v>
      </c>
      <c r="F352" t="s">
        <v>24</v>
      </c>
      <c r="G352" t="str">
        <f>"2026-06-06 09:48:28.772"</f>
        <v>2026-06-06 09:48:28.772</v>
      </c>
      <c r="H352" t="s">
        <v>22</v>
      </c>
      <c r="I352">
        <v>0</v>
      </c>
      <c r="J352" t="s">
        <v>25</v>
      </c>
    </row>
    <row r="353" spans="1:10" s="3" customFormat="1" x14ac:dyDescent="0.25">
      <c r="A353" s="2">
        <v>63</v>
      </c>
      <c r="B353" s="3" t="s">
        <v>26</v>
      </c>
      <c r="C353" s="3">
        <v>647</v>
      </c>
      <c r="D353" s="3">
        <v>1</v>
      </c>
      <c r="E353" s="3" t="s">
        <v>35</v>
      </c>
      <c r="F353" s="3" t="s">
        <v>36</v>
      </c>
      <c r="G353" s="3" t="str">
        <f>"2026-06-06 06:43:07.692"</f>
        <v>2026-06-06 06:43:07.692</v>
      </c>
      <c r="H353" s="3" t="s">
        <v>22</v>
      </c>
    </row>
    <row r="354" spans="1:10" s="3" customFormat="1" x14ac:dyDescent="0.25">
      <c r="A354" s="2">
        <v>64</v>
      </c>
      <c r="B354" s="3" t="s">
        <v>29</v>
      </c>
      <c r="C354" s="3">
        <v>647</v>
      </c>
      <c r="D354" s="3">
        <v>1</v>
      </c>
      <c r="E354" s="3" t="s">
        <v>35</v>
      </c>
      <c r="F354" s="3" t="s">
        <v>36</v>
      </c>
      <c r="G354" s="3" t="str">
        <f>"2026-06-06 06:43:05.292"</f>
        <v>2026-06-06 06:43:05.292</v>
      </c>
      <c r="H354" s="3" t="s">
        <v>22</v>
      </c>
      <c r="I354" s="3">
        <v>27.6</v>
      </c>
      <c r="J354" s="3" t="s">
        <v>37</v>
      </c>
    </row>
    <row r="355" spans="1:10" s="3" customFormat="1" x14ac:dyDescent="0.25">
      <c r="A355" s="2">
        <v>65</v>
      </c>
      <c r="B355" s="3" t="s">
        <v>26</v>
      </c>
      <c r="C355" s="3">
        <v>647</v>
      </c>
      <c r="D355" s="3">
        <v>1</v>
      </c>
      <c r="E355" s="3" t="s">
        <v>35</v>
      </c>
      <c r="F355" s="3" t="s">
        <v>36</v>
      </c>
      <c r="G355" s="3" t="str">
        <f>"2026-06-06 06:43:00.592"</f>
        <v>2026-06-06 06:43:00.592</v>
      </c>
      <c r="H355" s="3" t="s">
        <v>22</v>
      </c>
    </row>
    <row r="356" spans="1:10" s="3" customFormat="1" x14ac:dyDescent="0.25">
      <c r="A356" s="2">
        <v>66</v>
      </c>
      <c r="B356" s="3" t="s">
        <v>29</v>
      </c>
      <c r="C356" s="3">
        <v>647</v>
      </c>
      <c r="D356" s="3">
        <v>1</v>
      </c>
      <c r="E356" s="3" t="s">
        <v>35</v>
      </c>
      <c r="F356" s="3" t="s">
        <v>36</v>
      </c>
      <c r="G356" s="3" t="str">
        <f>"2026-06-06 06:42:59.092"</f>
        <v>2026-06-06 06:42:59.092</v>
      </c>
      <c r="H356" s="3" t="s">
        <v>22</v>
      </c>
      <c r="I356" s="3">
        <v>27.85</v>
      </c>
      <c r="J356" s="3" t="s">
        <v>37</v>
      </c>
    </row>
    <row r="357" spans="1:10" x14ac:dyDescent="0.25">
      <c r="A357" s="1">
        <v>67</v>
      </c>
      <c r="B357" t="s">
        <v>26</v>
      </c>
      <c r="C357">
        <v>635</v>
      </c>
      <c r="D357">
        <v>1</v>
      </c>
      <c r="E357" t="s">
        <v>27</v>
      </c>
      <c r="F357" t="s">
        <v>28</v>
      </c>
      <c r="G357" t="str">
        <f>"2026-06-05 11:18:51.344"</f>
        <v>2026-06-05 11:18:51.344</v>
      </c>
      <c r="H357" t="s">
        <v>22</v>
      </c>
    </row>
    <row r="358" spans="1:10" x14ac:dyDescent="0.25">
      <c r="A358" s="1">
        <v>68</v>
      </c>
      <c r="B358" t="s">
        <v>29</v>
      </c>
      <c r="C358">
        <v>635</v>
      </c>
      <c r="D358">
        <v>1</v>
      </c>
      <c r="E358" t="s">
        <v>27</v>
      </c>
      <c r="F358" t="s">
        <v>28</v>
      </c>
      <c r="G358" t="str">
        <f>"2026-06-05 11:14:44.844"</f>
        <v>2026-06-05 11:14:44.844</v>
      </c>
      <c r="H358" t="s">
        <v>22</v>
      </c>
      <c r="I358">
        <v>4.78</v>
      </c>
      <c r="J358" t="s">
        <v>30</v>
      </c>
    </row>
    <row r="359" spans="1:10" x14ac:dyDescent="0.25">
      <c r="A359" s="1">
        <v>69</v>
      </c>
      <c r="B359" t="s">
        <v>26</v>
      </c>
      <c r="C359">
        <v>635</v>
      </c>
      <c r="D359">
        <v>1</v>
      </c>
      <c r="E359" t="s">
        <v>27</v>
      </c>
      <c r="F359" t="s">
        <v>28</v>
      </c>
      <c r="G359" t="str">
        <f>"2026-06-05 09:19:05.044"</f>
        <v>2026-06-05 09:19:05.044</v>
      </c>
      <c r="H359" t="s">
        <v>22</v>
      </c>
    </row>
    <row r="360" spans="1:10" x14ac:dyDescent="0.25">
      <c r="A360" s="1">
        <v>70</v>
      </c>
      <c r="B360" t="s">
        <v>29</v>
      </c>
      <c r="C360">
        <v>635</v>
      </c>
      <c r="D360">
        <v>1</v>
      </c>
      <c r="E360" t="s">
        <v>27</v>
      </c>
      <c r="F360" t="s">
        <v>28</v>
      </c>
      <c r="G360" t="str">
        <f>"2026-06-05 09:15:25.544"</f>
        <v>2026-06-05 09:15:25.544</v>
      </c>
      <c r="H360" t="s">
        <v>22</v>
      </c>
      <c r="I360">
        <v>3.84</v>
      </c>
      <c r="J360" t="s">
        <v>30</v>
      </c>
    </row>
    <row r="361" spans="1:10" x14ac:dyDescent="0.25">
      <c r="A361" s="1">
        <v>71</v>
      </c>
      <c r="B361" t="s">
        <v>19</v>
      </c>
      <c r="C361">
        <v>700</v>
      </c>
      <c r="D361">
        <v>0</v>
      </c>
      <c r="E361" t="s">
        <v>24</v>
      </c>
      <c r="F361" t="s">
        <v>24</v>
      </c>
      <c r="G361" t="str">
        <f>"2026-06-04 13:30:09.625"</f>
        <v>2026-06-04 13:30:09.625</v>
      </c>
      <c r="H361" t="s">
        <v>22</v>
      </c>
      <c r="I361">
        <v>0</v>
      </c>
      <c r="J361" t="s">
        <v>25</v>
      </c>
    </row>
    <row r="362" spans="1:10" s="3" customFormat="1" x14ac:dyDescent="0.25">
      <c r="A362" s="2">
        <v>72</v>
      </c>
      <c r="B362" s="3" t="s">
        <v>26</v>
      </c>
      <c r="C362" s="3">
        <v>647</v>
      </c>
      <c r="D362" s="3">
        <v>1</v>
      </c>
      <c r="E362" s="3" t="s">
        <v>35</v>
      </c>
      <c r="F362" s="3" t="s">
        <v>36</v>
      </c>
      <c r="G362" s="3" t="str">
        <f>"2026-06-04 02:27:09.065"</f>
        <v>2026-06-04 02:27:09.065</v>
      </c>
      <c r="H362" s="3" t="s">
        <v>22</v>
      </c>
    </row>
    <row r="363" spans="1:10" s="3" customFormat="1" x14ac:dyDescent="0.25">
      <c r="A363" s="2">
        <v>73</v>
      </c>
      <c r="B363" s="3" t="s">
        <v>29</v>
      </c>
      <c r="C363" s="3">
        <v>647</v>
      </c>
      <c r="D363" s="3">
        <v>1</v>
      </c>
      <c r="E363" s="3" t="s">
        <v>35</v>
      </c>
      <c r="F363" s="3" t="s">
        <v>36</v>
      </c>
      <c r="G363" s="3" t="str">
        <f>"2026-06-04 02:27:06.765"</f>
        <v>2026-06-04 02:27:06.765</v>
      </c>
      <c r="H363" s="3" t="s">
        <v>22</v>
      </c>
      <c r="I363" s="3">
        <v>17.27</v>
      </c>
      <c r="J363" s="3" t="s">
        <v>37</v>
      </c>
    </row>
    <row r="364" spans="1:10" x14ac:dyDescent="0.25">
      <c r="A364" s="1">
        <v>74</v>
      </c>
      <c r="B364" t="s">
        <v>26</v>
      </c>
      <c r="C364">
        <v>635</v>
      </c>
      <c r="D364">
        <v>1</v>
      </c>
      <c r="E364" t="s">
        <v>27</v>
      </c>
      <c r="F364" t="s">
        <v>28</v>
      </c>
      <c r="G364" t="str">
        <f>"2026-06-03 18:27:32.617"</f>
        <v>2026-06-03 18:27:32.617</v>
      </c>
      <c r="H364" t="s">
        <v>22</v>
      </c>
    </row>
    <row r="365" spans="1:10" x14ac:dyDescent="0.25">
      <c r="A365" s="1">
        <v>75</v>
      </c>
      <c r="B365" t="s">
        <v>29</v>
      </c>
      <c r="C365">
        <v>635</v>
      </c>
      <c r="D365">
        <v>1</v>
      </c>
      <c r="E365" t="s">
        <v>27</v>
      </c>
      <c r="F365" t="s">
        <v>28</v>
      </c>
      <c r="G365" t="str">
        <f>"2026-06-03 18:24:48.117"</f>
        <v>2026-06-03 18:24:48.117</v>
      </c>
      <c r="H365" t="s">
        <v>22</v>
      </c>
      <c r="I365">
        <v>4.8899999999999997</v>
      </c>
      <c r="J365" t="s">
        <v>30</v>
      </c>
    </row>
    <row r="366" spans="1:10" x14ac:dyDescent="0.25">
      <c r="A366" s="1">
        <v>76</v>
      </c>
      <c r="B366" t="s">
        <v>19</v>
      </c>
      <c r="C366">
        <v>700</v>
      </c>
      <c r="D366">
        <v>0</v>
      </c>
      <c r="E366" t="s">
        <v>24</v>
      </c>
      <c r="F366" t="s">
        <v>24</v>
      </c>
      <c r="G366" t="str">
        <f>"2026-06-03 17:09:14.587"</f>
        <v>2026-06-03 17:09:14.587</v>
      </c>
      <c r="H366" t="s">
        <v>22</v>
      </c>
    </row>
    <row r="367" spans="1:10" x14ac:dyDescent="0.25">
      <c r="A367" s="1">
        <v>77</v>
      </c>
      <c r="B367" t="s">
        <v>19</v>
      </c>
      <c r="C367">
        <v>700</v>
      </c>
      <c r="D367">
        <v>0</v>
      </c>
      <c r="E367" t="s">
        <v>24</v>
      </c>
      <c r="F367" t="s">
        <v>24</v>
      </c>
      <c r="G367" t="str">
        <f>"2026-06-03 11:43:20.746"</f>
        <v>2026-06-03 11:43:20.746</v>
      </c>
      <c r="H367" t="s">
        <v>22</v>
      </c>
      <c r="I367">
        <v>0</v>
      </c>
      <c r="J367" t="s">
        <v>25</v>
      </c>
    </row>
    <row r="368" spans="1:10" x14ac:dyDescent="0.25">
      <c r="A368" s="1">
        <v>78</v>
      </c>
      <c r="B368" t="s">
        <v>26</v>
      </c>
      <c r="C368">
        <v>630</v>
      </c>
      <c r="D368">
        <v>5</v>
      </c>
      <c r="E368" t="s">
        <v>39</v>
      </c>
      <c r="F368" t="s">
        <v>40</v>
      </c>
      <c r="G368" t="str">
        <f>"2026-06-03 10:41:45.492"</f>
        <v>2026-06-03 10:41:45.492</v>
      </c>
      <c r="H368" t="s">
        <v>41</v>
      </c>
    </row>
    <row r="369" spans="1:10" x14ac:dyDescent="0.25">
      <c r="A369" s="1">
        <v>79</v>
      </c>
      <c r="B369" t="s">
        <v>19</v>
      </c>
      <c r="C369">
        <v>706</v>
      </c>
      <c r="D369">
        <v>4</v>
      </c>
      <c r="E369" t="s">
        <v>20</v>
      </c>
      <c r="F369" t="s">
        <v>21</v>
      </c>
      <c r="G369" t="str">
        <f>"2026-06-03 10:41:15.281"</f>
        <v>2026-06-03 10:41:15.281</v>
      </c>
      <c r="H369" t="s">
        <v>22</v>
      </c>
      <c r="I369">
        <v>0</v>
      </c>
      <c r="J369" t="s">
        <v>23</v>
      </c>
    </row>
    <row r="370" spans="1:10" x14ac:dyDescent="0.25">
      <c r="A370" s="1">
        <v>80</v>
      </c>
      <c r="B370" t="s">
        <v>34</v>
      </c>
      <c r="C370">
        <v>630</v>
      </c>
      <c r="D370">
        <v>5</v>
      </c>
      <c r="E370" t="s">
        <v>39</v>
      </c>
      <c r="F370" t="s">
        <v>40</v>
      </c>
      <c r="G370" t="str">
        <f>"2026-06-03 10:18:48.192"</f>
        <v>2026-06-03 10:18:48.192</v>
      </c>
      <c r="H370" t="s">
        <v>41</v>
      </c>
      <c r="I370">
        <v>0</v>
      </c>
      <c r="J370" t="s">
        <v>23</v>
      </c>
    </row>
    <row r="371" spans="1:10" x14ac:dyDescent="0.25">
      <c r="A371" s="1">
        <v>81</v>
      </c>
      <c r="B371" t="s">
        <v>19</v>
      </c>
      <c r="C371">
        <v>700</v>
      </c>
      <c r="D371">
        <v>0</v>
      </c>
      <c r="E371" t="s">
        <v>24</v>
      </c>
      <c r="F371" t="s">
        <v>24</v>
      </c>
      <c r="G371" t="str">
        <f>"2026-06-03 09:58:49.611"</f>
        <v>2026-06-03 09:58:49.611</v>
      </c>
      <c r="H371" t="s">
        <v>22</v>
      </c>
      <c r="I371">
        <v>0</v>
      </c>
      <c r="J371" t="s">
        <v>25</v>
      </c>
    </row>
    <row r="372" spans="1:10" x14ac:dyDescent="0.25">
      <c r="A372" s="1">
        <v>82</v>
      </c>
      <c r="B372" t="s">
        <v>19</v>
      </c>
      <c r="C372">
        <v>700</v>
      </c>
      <c r="D372">
        <v>0</v>
      </c>
      <c r="E372" t="s">
        <v>24</v>
      </c>
      <c r="F372" t="s">
        <v>24</v>
      </c>
      <c r="G372" t="str">
        <f>"2026-06-03 09:22:22.614"</f>
        <v>2026-06-03 09:22:22.614</v>
      </c>
      <c r="H372" t="s">
        <v>22</v>
      </c>
      <c r="I372">
        <v>0</v>
      </c>
      <c r="J372" t="s">
        <v>25</v>
      </c>
    </row>
    <row r="373" spans="1:10" x14ac:dyDescent="0.25">
      <c r="A373" s="1">
        <v>83</v>
      </c>
      <c r="B373" t="s">
        <v>19</v>
      </c>
      <c r="C373">
        <v>706</v>
      </c>
      <c r="D373">
        <v>4</v>
      </c>
      <c r="E373" t="s">
        <v>20</v>
      </c>
      <c r="F373" t="s">
        <v>21</v>
      </c>
      <c r="G373" t="str">
        <f>"2026-06-03 09:17:27.373"</f>
        <v>2026-06-03 09:17:27.373</v>
      </c>
      <c r="H373" t="s">
        <v>22</v>
      </c>
      <c r="I373">
        <v>0</v>
      </c>
      <c r="J373" t="s">
        <v>23</v>
      </c>
    </row>
    <row r="374" spans="1:10" x14ac:dyDescent="0.25">
      <c r="A374" s="1">
        <v>84</v>
      </c>
      <c r="B374" t="s">
        <v>19</v>
      </c>
      <c r="C374">
        <v>700</v>
      </c>
      <c r="D374">
        <v>0</v>
      </c>
      <c r="E374" t="s">
        <v>24</v>
      </c>
      <c r="F374" t="s">
        <v>24</v>
      </c>
      <c r="G374" t="str">
        <f>"2026-06-03 09:15:35.593"</f>
        <v>2026-06-03 09:15:35.593</v>
      </c>
      <c r="H374" t="s">
        <v>22</v>
      </c>
    </row>
    <row r="375" spans="1:10" x14ac:dyDescent="0.25">
      <c r="A375" s="1">
        <v>85</v>
      </c>
      <c r="B375" t="s">
        <v>19</v>
      </c>
      <c r="C375">
        <v>700</v>
      </c>
      <c r="D375">
        <v>0</v>
      </c>
      <c r="E375" t="s">
        <v>24</v>
      </c>
      <c r="F375" t="s">
        <v>24</v>
      </c>
      <c r="G375" t="str">
        <f>"2026-06-03 08:36:22.599"</f>
        <v>2026-06-03 08:36:22.599</v>
      </c>
      <c r="H375" t="s">
        <v>22</v>
      </c>
    </row>
    <row r="376" spans="1:10" x14ac:dyDescent="0.25">
      <c r="A376" s="1">
        <v>86</v>
      </c>
      <c r="B376" t="s">
        <v>19</v>
      </c>
      <c r="C376">
        <v>706</v>
      </c>
      <c r="D376">
        <v>4</v>
      </c>
      <c r="E376" t="s">
        <v>20</v>
      </c>
      <c r="F376" t="s">
        <v>21</v>
      </c>
      <c r="G376" t="str">
        <f>"2026-06-03 08:29:50.143"</f>
        <v>2026-06-03 08:29:50.143</v>
      </c>
      <c r="H376" t="s">
        <v>22</v>
      </c>
      <c r="I376">
        <v>0</v>
      </c>
      <c r="J376" t="s">
        <v>23</v>
      </c>
    </row>
    <row r="377" spans="1:10" x14ac:dyDescent="0.25">
      <c r="A377" s="1">
        <v>87</v>
      </c>
      <c r="B377" t="s">
        <v>19</v>
      </c>
      <c r="C377">
        <v>700</v>
      </c>
      <c r="D377">
        <v>0</v>
      </c>
      <c r="E377" t="s">
        <v>24</v>
      </c>
      <c r="F377" t="s">
        <v>24</v>
      </c>
      <c r="G377" t="str">
        <f>"2026-06-03 08:28:21.603"</f>
        <v>2026-06-03 08:28:21.603</v>
      </c>
      <c r="H377" t="s">
        <v>22</v>
      </c>
    </row>
    <row r="378" spans="1:10" x14ac:dyDescent="0.25">
      <c r="A378" s="1">
        <v>88</v>
      </c>
      <c r="B378" t="s">
        <v>19</v>
      </c>
      <c r="C378">
        <v>700</v>
      </c>
      <c r="D378">
        <v>0</v>
      </c>
      <c r="E378" t="s">
        <v>24</v>
      </c>
      <c r="F378" t="s">
        <v>24</v>
      </c>
      <c r="G378" t="str">
        <f>"2026-06-03 07:26:54.684"</f>
        <v>2026-06-03 07:26:54.684</v>
      </c>
      <c r="H378" t="s">
        <v>22</v>
      </c>
      <c r="I378">
        <v>0</v>
      </c>
      <c r="J378" t="s">
        <v>25</v>
      </c>
    </row>
    <row r="379" spans="1:10" x14ac:dyDescent="0.25">
      <c r="A379" s="1">
        <v>89</v>
      </c>
      <c r="B379" t="s">
        <v>19</v>
      </c>
      <c r="C379">
        <v>700</v>
      </c>
      <c r="D379">
        <v>0</v>
      </c>
      <c r="E379" t="s">
        <v>24</v>
      </c>
      <c r="F379" t="s">
        <v>24</v>
      </c>
      <c r="G379" t="str">
        <f>"2026-06-03 05:58:55.607"</f>
        <v>2026-06-03 05:58:55.607</v>
      </c>
      <c r="H379" t="s">
        <v>22</v>
      </c>
      <c r="I379">
        <v>0</v>
      </c>
      <c r="J379" t="s">
        <v>25</v>
      </c>
    </row>
    <row r="380" spans="1:10" x14ac:dyDescent="0.25">
      <c r="A380" s="1">
        <v>90</v>
      </c>
      <c r="B380" t="s">
        <v>19</v>
      </c>
      <c r="C380">
        <v>700</v>
      </c>
      <c r="D380">
        <v>0</v>
      </c>
      <c r="E380" t="s">
        <v>24</v>
      </c>
      <c r="F380" t="s">
        <v>24</v>
      </c>
      <c r="G380" t="str">
        <f>"2026-06-03 05:53:04.613"</f>
        <v>2026-06-03 05:53:04.613</v>
      </c>
      <c r="H380" t="s">
        <v>22</v>
      </c>
      <c r="I380">
        <v>0</v>
      </c>
      <c r="J380" t="s">
        <v>25</v>
      </c>
    </row>
    <row r="381" spans="1:10" x14ac:dyDescent="0.25">
      <c r="A381" s="1">
        <v>91</v>
      </c>
      <c r="B381" t="s">
        <v>19</v>
      </c>
      <c r="C381">
        <v>700</v>
      </c>
      <c r="D381">
        <v>0</v>
      </c>
      <c r="E381" t="s">
        <v>24</v>
      </c>
      <c r="F381" t="s">
        <v>24</v>
      </c>
      <c r="G381" t="str">
        <f>"2026-06-03 05:50:38.599"</f>
        <v>2026-06-03 05:50:38.599</v>
      </c>
      <c r="H381" t="s">
        <v>22</v>
      </c>
    </row>
    <row r="382" spans="1:10" x14ac:dyDescent="0.25">
      <c r="A382" s="1">
        <v>92</v>
      </c>
      <c r="B382" t="s">
        <v>19</v>
      </c>
      <c r="C382">
        <v>706</v>
      </c>
      <c r="D382">
        <v>2</v>
      </c>
      <c r="E382" t="s">
        <v>20</v>
      </c>
      <c r="F382" t="s">
        <v>54</v>
      </c>
      <c r="G382" t="str">
        <f>"2026-06-03 05:47:32.823"</f>
        <v>2026-06-03 05:47:32.823</v>
      </c>
      <c r="H382" t="s">
        <v>22</v>
      </c>
      <c r="I382">
        <v>0</v>
      </c>
      <c r="J382" t="s">
        <v>23</v>
      </c>
    </row>
    <row r="383" spans="1:10" x14ac:dyDescent="0.25">
      <c r="A383" s="1">
        <v>93</v>
      </c>
      <c r="B383" t="s">
        <v>19</v>
      </c>
      <c r="C383">
        <v>700</v>
      </c>
      <c r="D383">
        <v>0</v>
      </c>
      <c r="E383" t="s">
        <v>24</v>
      </c>
      <c r="F383" t="s">
        <v>24</v>
      </c>
      <c r="G383" t="str">
        <f>"2026-06-03 05:47:07.713"</f>
        <v>2026-06-03 05:47:07.713</v>
      </c>
      <c r="H383" t="s">
        <v>22</v>
      </c>
    </row>
    <row r="384" spans="1:10" x14ac:dyDescent="0.25">
      <c r="A384" s="1">
        <v>94</v>
      </c>
      <c r="B384" t="s">
        <v>19</v>
      </c>
      <c r="C384">
        <v>700</v>
      </c>
      <c r="D384">
        <v>0</v>
      </c>
      <c r="E384" t="s">
        <v>24</v>
      </c>
      <c r="F384" t="s">
        <v>24</v>
      </c>
      <c r="G384" t="str">
        <f>"2026-06-03 05:38:02.597"</f>
        <v>2026-06-03 05:38:02.597</v>
      </c>
      <c r="H384" t="s">
        <v>22</v>
      </c>
    </row>
    <row r="385" spans="1:10" x14ac:dyDescent="0.25">
      <c r="A385" s="1">
        <v>95</v>
      </c>
      <c r="B385" t="s">
        <v>19</v>
      </c>
      <c r="C385">
        <v>706</v>
      </c>
      <c r="D385">
        <v>4</v>
      </c>
      <c r="E385" t="s">
        <v>20</v>
      </c>
      <c r="F385" t="s">
        <v>21</v>
      </c>
      <c r="G385" t="str">
        <f>"2026-06-03 05:36:22.953"</f>
        <v>2026-06-03 05:36:22.953</v>
      </c>
      <c r="H385" t="s">
        <v>22</v>
      </c>
      <c r="I385">
        <v>0</v>
      </c>
      <c r="J385" t="s">
        <v>23</v>
      </c>
    </row>
    <row r="386" spans="1:10" x14ac:dyDescent="0.25">
      <c r="A386" s="1">
        <v>96</v>
      </c>
      <c r="B386" t="s">
        <v>19</v>
      </c>
      <c r="C386">
        <v>700</v>
      </c>
      <c r="D386">
        <v>0</v>
      </c>
      <c r="E386" t="s">
        <v>24</v>
      </c>
      <c r="F386" t="s">
        <v>24</v>
      </c>
      <c r="G386" t="str">
        <f>"2026-06-03 05:35:17.583"</f>
        <v>2026-06-03 05:35:17.583</v>
      </c>
      <c r="H386" t="s">
        <v>22</v>
      </c>
    </row>
    <row r="387" spans="1:10" x14ac:dyDescent="0.25">
      <c r="A387" s="1">
        <v>97</v>
      </c>
      <c r="B387" t="s">
        <v>19</v>
      </c>
      <c r="C387">
        <v>700</v>
      </c>
      <c r="D387">
        <v>0</v>
      </c>
      <c r="E387" t="s">
        <v>24</v>
      </c>
      <c r="F387" t="s">
        <v>24</v>
      </c>
      <c r="G387" t="str">
        <f>"2026-06-03 04:21:59.598"</f>
        <v>2026-06-03 04:21:59.598</v>
      </c>
      <c r="H387" t="s">
        <v>22</v>
      </c>
      <c r="I387">
        <v>0</v>
      </c>
      <c r="J387" t="s">
        <v>25</v>
      </c>
    </row>
    <row r="388" spans="1:10" x14ac:dyDescent="0.25">
      <c r="A388" s="1">
        <v>98</v>
      </c>
      <c r="B388" t="s">
        <v>19</v>
      </c>
      <c r="C388">
        <v>706</v>
      </c>
      <c r="D388">
        <v>2</v>
      </c>
      <c r="E388" t="s">
        <v>20</v>
      </c>
      <c r="F388" t="s">
        <v>54</v>
      </c>
      <c r="G388" t="str">
        <f>"2026-06-03 04:19:57.216"</f>
        <v>2026-06-03 04:19:57.216</v>
      </c>
      <c r="H388" t="s">
        <v>22</v>
      </c>
      <c r="I388">
        <v>0</v>
      </c>
      <c r="J388" t="s">
        <v>23</v>
      </c>
    </row>
    <row r="389" spans="1:10" x14ac:dyDescent="0.25">
      <c r="A389" s="1">
        <v>99</v>
      </c>
      <c r="B389" t="s">
        <v>19</v>
      </c>
      <c r="C389">
        <v>700</v>
      </c>
      <c r="D389">
        <v>0</v>
      </c>
      <c r="E389" t="s">
        <v>24</v>
      </c>
      <c r="F389" t="s">
        <v>24</v>
      </c>
      <c r="G389" t="str">
        <f>"2026-06-03 04:17:14.616"</f>
        <v>2026-06-03 04:17:14.616</v>
      </c>
      <c r="H389" t="s">
        <v>22</v>
      </c>
      <c r="I389">
        <v>0</v>
      </c>
      <c r="J389" t="s">
        <v>25</v>
      </c>
    </row>
    <row r="390" spans="1:10" x14ac:dyDescent="0.25">
      <c r="A390" s="1">
        <v>0</v>
      </c>
      <c r="B390" t="s">
        <v>19</v>
      </c>
      <c r="C390">
        <v>700</v>
      </c>
      <c r="D390">
        <v>0</v>
      </c>
      <c r="E390" t="s">
        <v>24</v>
      </c>
      <c r="F390" t="s">
        <v>24</v>
      </c>
      <c r="G390" t="str">
        <f>"2026-06-03 03:29:12.662"</f>
        <v>2026-06-03 03:29:12.662</v>
      </c>
      <c r="H390" t="s">
        <v>22</v>
      </c>
      <c r="I390">
        <v>0</v>
      </c>
      <c r="J390" t="s">
        <v>25</v>
      </c>
    </row>
    <row r="391" spans="1:10" x14ac:dyDescent="0.25">
      <c r="A391" s="1">
        <v>1</v>
      </c>
      <c r="B391" t="s">
        <v>19</v>
      </c>
      <c r="C391">
        <v>706</v>
      </c>
      <c r="D391">
        <v>2</v>
      </c>
      <c r="E391" t="s">
        <v>20</v>
      </c>
      <c r="F391" t="s">
        <v>54</v>
      </c>
      <c r="G391" t="str">
        <f>"2026-06-03 03:24:43.999"</f>
        <v>2026-06-03 03:24:43.999</v>
      </c>
      <c r="H391" t="s">
        <v>22</v>
      </c>
      <c r="I391">
        <v>0</v>
      </c>
      <c r="J391" t="s">
        <v>23</v>
      </c>
    </row>
    <row r="392" spans="1:10" x14ac:dyDescent="0.25">
      <c r="A392" s="1">
        <v>2</v>
      </c>
      <c r="B392" t="s">
        <v>19</v>
      </c>
      <c r="C392">
        <v>700</v>
      </c>
      <c r="D392">
        <v>0</v>
      </c>
      <c r="E392" t="s">
        <v>24</v>
      </c>
      <c r="F392" t="s">
        <v>24</v>
      </c>
      <c r="G392" t="str">
        <f>"2026-06-03 03:20:37.609"</f>
        <v>2026-06-03 03:20:37.609</v>
      </c>
      <c r="H392" t="s">
        <v>22</v>
      </c>
      <c r="I392">
        <v>0</v>
      </c>
      <c r="J392" t="s">
        <v>25</v>
      </c>
    </row>
    <row r="393" spans="1:10" x14ac:dyDescent="0.25">
      <c r="A393" s="1">
        <v>3</v>
      </c>
      <c r="B393" t="s">
        <v>19</v>
      </c>
      <c r="C393">
        <v>706</v>
      </c>
      <c r="D393">
        <v>4</v>
      </c>
      <c r="E393" t="s">
        <v>20</v>
      </c>
      <c r="F393" t="s">
        <v>21</v>
      </c>
      <c r="G393" t="str">
        <f>"2026-06-03 02:27:25.402"</f>
        <v>2026-06-03 02:27:25.402</v>
      </c>
      <c r="H393" t="s">
        <v>22</v>
      </c>
      <c r="I393">
        <v>0</v>
      </c>
      <c r="J393" t="s">
        <v>23</v>
      </c>
    </row>
    <row r="394" spans="1:10" x14ac:dyDescent="0.25">
      <c r="A394" s="1">
        <v>4</v>
      </c>
      <c r="B394" t="s">
        <v>19</v>
      </c>
      <c r="C394">
        <v>700</v>
      </c>
      <c r="D394">
        <v>0</v>
      </c>
      <c r="E394" t="s">
        <v>24</v>
      </c>
      <c r="F394" t="s">
        <v>24</v>
      </c>
      <c r="G394" t="str">
        <f>"2026-06-03 02:24:42.592"</f>
        <v>2026-06-03 02:24:42.592</v>
      </c>
      <c r="H394" t="s">
        <v>22</v>
      </c>
    </row>
    <row r="395" spans="1:10" x14ac:dyDescent="0.25">
      <c r="A395" s="1">
        <v>5</v>
      </c>
      <c r="B395" t="s">
        <v>19</v>
      </c>
      <c r="C395">
        <v>706</v>
      </c>
      <c r="D395">
        <v>4</v>
      </c>
      <c r="E395" t="s">
        <v>20</v>
      </c>
      <c r="F395" t="s">
        <v>21</v>
      </c>
      <c r="G395" t="str">
        <f>"2026-06-03 02:21:52.411"</f>
        <v>2026-06-03 02:21:52.411</v>
      </c>
      <c r="H395" t="s">
        <v>22</v>
      </c>
      <c r="I395">
        <v>0</v>
      </c>
      <c r="J395" t="s">
        <v>23</v>
      </c>
    </row>
    <row r="396" spans="1:10" x14ac:dyDescent="0.25">
      <c r="A396" s="1">
        <v>6</v>
      </c>
      <c r="B396" t="s">
        <v>19</v>
      </c>
      <c r="C396">
        <v>700</v>
      </c>
      <c r="D396">
        <v>0</v>
      </c>
      <c r="E396" t="s">
        <v>24</v>
      </c>
      <c r="F396" t="s">
        <v>24</v>
      </c>
      <c r="G396" t="str">
        <f>"2026-06-03 02:21:37.601"</f>
        <v>2026-06-03 02:21:37.601</v>
      </c>
      <c r="H396" t="s">
        <v>22</v>
      </c>
      <c r="I396">
        <v>0</v>
      </c>
      <c r="J396" t="s">
        <v>25</v>
      </c>
    </row>
    <row r="397" spans="1:10" x14ac:dyDescent="0.25">
      <c r="A397" s="1">
        <v>7</v>
      </c>
      <c r="B397" t="s">
        <v>19</v>
      </c>
      <c r="C397">
        <v>706</v>
      </c>
      <c r="D397">
        <v>4</v>
      </c>
      <c r="E397" t="s">
        <v>20</v>
      </c>
      <c r="F397" t="s">
        <v>21</v>
      </c>
      <c r="G397" t="str">
        <f>"2026-06-03 02:20:18.042"</f>
        <v>2026-06-03 02:20:18.042</v>
      </c>
      <c r="H397" t="s">
        <v>22</v>
      </c>
      <c r="I397">
        <v>0</v>
      </c>
      <c r="J397" t="s">
        <v>23</v>
      </c>
    </row>
    <row r="398" spans="1:10" x14ac:dyDescent="0.25">
      <c r="A398" s="1">
        <v>8</v>
      </c>
      <c r="B398" t="s">
        <v>19</v>
      </c>
      <c r="C398">
        <v>700</v>
      </c>
      <c r="D398">
        <v>0</v>
      </c>
      <c r="E398" t="s">
        <v>24</v>
      </c>
      <c r="F398" t="s">
        <v>24</v>
      </c>
      <c r="G398" t="str">
        <f>"2026-06-03 02:18:50.612"</f>
        <v>2026-06-03 02:18:50.612</v>
      </c>
      <c r="H398" t="s">
        <v>22</v>
      </c>
      <c r="I398">
        <v>0</v>
      </c>
      <c r="J398" t="s">
        <v>25</v>
      </c>
    </row>
    <row r="399" spans="1:10" x14ac:dyDescent="0.25">
      <c r="A399" s="1">
        <v>9</v>
      </c>
      <c r="B399" t="s">
        <v>19</v>
      </c>
      <c r="C399">
        <v>700</v>
      </c>
      <c r="D399">
        <v>0</v>
      </c>
      <c r="E399" t="s">
        <v>24</v>
      </c>
      <c r="F399" t="s">
        <v>24</v>
      </c>
      <c r="G399" t="str">
        <f>"2026-06-01 08:32:33.597"</f>
        <v>2026-06-01 08:32:33.597</v>
      </c>
      <c r="H399" t="s">
        <v>22</v>
      </c>
    </row>
    <row r="400" spans="1:10" x14ac:dyDescent="0.25">
      <c r="A400" s="1">
        <v>10</v>
      </c>
      <c r="B400" t="s">
        <v>34</v>
      </c>
      <c r="C400">
        <v>630</v>
      </c>
      <c r="D400">
        <v>5</v>
      </c>
      <c r="E400" t="s">
        <v>39</v>
      </c>
      <c r="F400" t="s">
        <v>40</v>
      </c>
      <c r="G400" t="str">
        <f>"2026-05-31 15:13:08.549"</f>
        <v>2026-05-31 15:13:08.549</v>
      </c>
      <c r="H400" t="s">
        <v>41</v>
      </c>
      <c r="I400">
        <v>0</v>
      </c>
      <c r="J400" t="s">
        <v>23</v>
      </c>
    </row>
    <row r="401" spans="1:10" x14ac:dyDescent="0.25">
      <c r="A401" s="1">
        <v>11</v>
      </c>
      <c r="B401" t="s">
        <v>19</v>
      </c>
      <c r="C401">
        <v>700</v>
      </c>
      <c r="D401">
        <v>0</v>
      </c>
      <c r="E401" t="s">
        <v>24</v>
      </c>
      <c r="F401" t="s">
        <v>24</v>
      </c>
      <c r="G401" t="str">
        <f>"2026-05-31 15:08:05.778"</f>
        <v>2026-05-31 15:08:05.778</v>
      </c>
      <c r="H401" t="s">
        <v>22</v>
      </c>
      <c r="I401">
        <v>0</v>
      </c>
      <c r="J401" t="s">
        <v>25</v>
      </c>
    </row>
    <row r="402" spans="1:10" x14ac:dyDescent="0.25">
      <c r="A402" s="1">
        <v>12</v>
      </c>
      <c r="B402" t="s">
        <v>26</v>
      </c>
      <c r="C402">
        <v>619</v>
      </c>
      <c r="D402">
        <v>1</v>
      </c>
      <c r="E402" t="s">
        <v>79</v>
      </c>
      <c r="F402" t="s">
        <v>28</v>
      </c>
      <c r="G402" t="str">
        <f>"2026-05-31 11:53:45.116"</f>
        <v>2026-05-31 11:53:45.116</v>
      </c>
      <c r="H402" t="s">
        <v>80</v>
      </c>
    </row>
    <row r="403" spans="1:10" x14ac:dyDescent="0.25">
      <c r="A403" s="1">
        <v>13</v>
      </c>
      <c r="B403" t="s">
        <v>29</v>
      </c>
      <c r="C403">
        <v>619</v>
      </c>
      <c r="D403">
        <v>1</v>
      </c>
      <c r="E403" t="s">
        <v>79</v>
      </c>
      <c r="F403" t="s">
        <v>28</v>
      </c>
      <c r="G403" t="str">
        <f>"2026-05-31 11:53:25.016"</f>
        <v>2026-05-31 11:53:25.016</v>
      </c>
      <c r="H403" t="s">
        <v>80</v>
      </c>
      <c r="I403">
        <v>6.4</v>
      </c>
      <c r="J403" t="s">
        <v>30</v>
      </c>
    </row>
    <row r="404" spans="1:10" x14ac:dyDescent="0.25">
      <c r="A404" s="1">
        <v>14</v>
      </c>
      <c r="B404" t="s">
        <v>19</v>
      </c>
      <c r="C404">
        <v>700</v>
      </c>
      <c r="D404">
        <v>0</v>
      </c>
      <c r="E404" t="s">
        <v>24</v>
      </c>
      <c r="F404" t="s">
        <v>24</v>
      </c>
      <c r="G404" t="str">
        <f>"2026-05-31 05:03:50.587"</f>
        <v>2026-05-31 05:03:50.587</v>
      </c>
      <c r="H404" t="s">
        <v>22</v>
      </c>
    </row>
    <row r="405" spans="1:10" x14ac:dyDescent="0.25">
      <c r="A405" s="1">
        <v>15</v>
      </c>
      <c r="B405" t="s">
        <v>19</v>
      </c>
      <c r="C405">
        <v>706</v>
      </c>
      <c r="D405">
        <v>4</v>
      </c>
      <c r="E405" t="s">
        <v>20</v>
      </c>
      <c r="F405" t="s">
        <v>21</v>
      </c>
      <c r="G405" t="str">
        <f>"2026-05-31 04:06:47.017"</f>
        <v>2026-05-31 04:06:47.017</v>
      </c>
      <c r="H405" t="s">
        <v>22</v>
      </c>
      <c r="I405">
        <v>0</v>
      </c>
      <c r="J405" t="s">
        <v>23</v>
      </c>
    </row>
    <row r="406" spans="1:10" x14ac:dyDescent="0.25">
      <c r="A406" s="1">
        <v>16</v>
      </c>
      <c r="B406" t="s">
        <v>19</v>
      </c>
      <c r="C406">
        <v>700</v>
      </c>
      <c r="D406">
        <v>0</v>
      </c>
      <c r="E406" t="s">
        <v>24</v>
      </c>
      <c r="F406" t="s">
        <v>24</v>
      </c>
      <c r="G406" t="str">
        <f>"2026-05-31 04:06:05.647"</f>
        <v>2026-05-31 04:06:05.647</v>
      </c>
      <c r="H406" t="s">
        <v>22</v>
      </c>
      <c r="I406">
        <v>0</v>
      </c>
      <c r="J406" t="s">
        <v>25</v>
      </c>
    </row>
    <row r="407" spans="1:10" x14ac:dyDescent="0.25">
      <c r="A407" s="1">
        <v>17</v>
      </c>
      <c r="B407" t="s">
        <v>19</v>
      </c>
      <c r="C407">
        <v>700</v>
      </c>
      <c r="D407">
        <v>0</v>
      </c>
      <c r="E407" t="s">
        <v>24</v>
      </c>
      <c r="F407" t="s">
        <v>24</v>
      </c>
      <c r="G407" t="str">
        <f>"2026-05-31 00:27:58.597"</f>
        <v>2026-05-31 00:27:58.597</v>
      </c>
      <c r="H407" t="s">
        <v>22</v>
      </c>
    </row>
    <row r="408" spans="1:10" x14ac:dyDescent="0.25">
      <c r="A408" s="1">
        <v>18</v>
      </c>
      <c r="B408" t="s">
        <v>19</v>
      </c>
      <c r="C408">
        <v>700</v>
      </c>
      <c r="D408">
        <v>0</v>
      </c>
      <c r="E408" t="s">
        <v>24</v>
      </c>
      <c r="F408" t="s">
        <v>24</v>
      </c>
      <c r="G408" t="str">
        <f>"2026-05-30 12:32:14.693"</f>
        <v>2026-05-30 12:32:14.693</v>
      </c>
      <c r="H408" t="s">
        <v>22</v>
      </c>
      <c r="I408">
        <v>0</v>
      </c>
      <c r="J408" t="s">
        <v>25</v>
      </c>
    </row>
    <row r="409" spans="1:10" x14ac:dyDescent="0.25">
      <c r="A409" s="1">
        <v>19</v>
      </c>
      <c r="B409" t="s">
        <v>26</v>
      </c>
      <c r="C409">
        <v>61</v>
      </c>
      <c r="D409">
        <v>2</v>
      </c>
      <c r="E409" t="s">
        <v>81</v>
      </c>
      <c r="F409" t="s">
        <v>82</v>
      </c>
      <c r="G409" t="str">
        <f>"2026-05-30 07:07:15.632"</f>
        <v>2026-05-30 07:07:15.632</v>
      </c>
      <c r="H409" t="s">
        <v>22</v>
      </c>
    </row>
    <row r="410" spans="1:10" x14ac:dyDescent="0.25">
      <c r="A410" s="1">
        <v>20</v>
      </c>
      <c r="B410" t="s">
        <v>34</v>
      </c>
      <c r="C410">
        <v>61</v>
      </c>
      <c r="D410">
        <v>2</v>
      </c>
      <c r="E410" t="s">
        <v>81</v>
      </c>
      <c r="F410" t="s">
        <v>82</v>
      </c>
      <c r="G410" t="str">
        <f>"2026-05-30 07:07:06.032"</f>
        <v>2026-05-30 07:07:06.032</v>
      </c>
      <c r="H410" t="s">
        <v>22</v>
      </c>
      <c r="I410">
        <v>35.71</v>
      </c>
      <c r="J410" t="s">
        <v>37</v>
      </c>
    </row>
    <row r="411" spans="1:10" s="3" customFormat="1" x14ac:dyDescent="0.25">
      <c r="A411" s="2">
        <v>22</v>
      </c>
      <c r="B411" s="3" t="s">
        <v>26</v>
      </c>
      <c r="C411" s="3">
        <v>647</v>
      </c>
      <c r="D411" s="3">
        <v>1</v>
      </c>
      <c r="E411" s="3" t="s">
        <v>35</v>
      </c>
      <c r="F411" s="3" t="s">
        <v>36</v>
      </c>
      <c r="G411" s="3" t="str">
        <f>"2026-05-30 02:23:40.440"</f>
        <v>2026-05-30 02:23:40.440</v>
      </c>
      <c r="H411" s="3" t="s">
        <v>22</v>
      </c>
    </row>
    <row r="412" spans="1:10" s="3" customFormat="1" x14ac:dyDescent="0.25">
      <c r="A412" s="2">
        <v>23</v>
      </c>
      <c r="B412" s="3" t="s">
        <v>29</v>
      </c>
      <c r="C412" s="3">
        <v>647</v>
      </c>
      <c r="D412" s="3">
        <v>1</v>
      </c>
      <c r="E412" s="3" t="s">
        <v>35</v>
      </c>
      <c r="F412" s="3" t="s">
        <v>36</v>
      </c>
      <c r="G412" s="3" t="str">
        <f>"2026-05-30 02:23:36.540"</f>
        <v>2026-05-30 02:23:36.540</v>
      </c>
      <c r="H412" s="3" t="s">
        <v>22</v>
      </c>
      <c r="I412" s="3">
        <v>13.45</v>
      </c>
      <c r="J412" s="3" t="s">
        <v>37</v>
      </c>
    </row>
    <row r="413" spans="1:10" x14ac:dyDescent="0.25">
      <c r="A413" s="1">
        <v>24</v>
      </c>
      <c r="B413" t="s">
        <v>19</v>
      </c>
      <c r="C413">
        <v>700</v>
      </c>
      <c r="D413">
        <v>0</v>
      </c>
      <c r="E413" t="s">
        <v>24</v>
      </c>
      <c r="F413" t="s">
        <v>24</v>
      </c>
      <c r="G413" t="str">
        <f>"2026-05-29 17:08:25.771"</f>
        <v>2026-05-29 17:08:25.771</v>
      </c>
      <c r="H413" t="s">
        <v>22</v>
      </c>
      <c r="I413">
        <v>0</v>
      </c>
      <c r="J413" t="s">
        <v>25</v>
      </c>
    </row>
    <row r="414" spans="1:10" x14ac:dyDescent="0.25">
      <c r="A414" s="1">
        <v>25</v>
      </c>
      <c r="B414" t="s">
        <v>19</v>
      </c>
      <c r="C414">
        <v>700</v>
      </c>
      <c r="D414">
        <v>0</v>
      </c>
      <c r="E414" t="s">
        <v>24</v>
      </c>
      <c r="F414" t="s">
        <v>24</v>
      </c>
      <c r="G414" t="str">
        <f>"2026-05-29 13:28:52.601"</f>
        <v>2026-05-29 13:28:52.601</v>
      </c>
      <c r="H414" t="s">
        <v>22</v>
      </c>
    </row>
    <row r="415" spans="1:10" x14ac:dyDescent="0.25">
      <c r="A415" s="1">
        <v>26</v>
      </c>
      <c r="B415" t="s">
        <v>19</v>
      </c>
      <c r="C415">
        <v>700</v>
      </c>
      <c r="D415">
        <v>0</v>
      </c>
      <c r="E415" t="s">
        <v>24</v>
      </c>
      <c r="F415" t="s">
        <v>24</v>
      </c>
      <c r="G415" t="str">
        <f>"2026-05-29 10:44:54.658"</f>
        <v>2026-05-29 10:44:54.658</v>
      </c>
      <c r="H415" t="s">
        <v>22</v>
      </c>
      <c r="I415">
        <v>0</v>
      </c>
      <c r="J415" t="s">
        <v>25</v>
      </c>
    </row>
    <row r="416" spans="1:10" x14ac:dyDescent="0.25">
      <c r="A416" s="1">
        <v>27</v>
      </c>
      <c r="B416" t="s">
        <v>19</v>
      </c>
      <c r="C416">
        <v>700</v>
      </c>
      <c r="D416">
        <v>0</v>
      </c>
      <c r="E416" t="s">
        <v>24</v>
      </c>
      <c r="F416" t="s">
        <v>24</v>
      </c>
      <c r="G416" t="str">
        <f>"2026-05-28 21:01:04.613"</f>
        <v>2026-05-28 21:01:04.613</v>
      </c>
      <c r="H416" t="s">
        <v>22</v>
      </c>
      <c r="I416">
        <v>0</v>
      </c>
      <c r="J416" t="s">
        <v>25</v>
      </c>
    </row>
    <row r="417" spans="1:10" s="3" customFormat="1" x14ac:dyDescent="0.25">
      <c r="A417" s="2">
        <v>28</v>
      </c>
      <c r="B417" s="3" t="s">
        <v>26</v>
      </c>
      <c r="C417" s="3">
        <v>647</v>
      </c>
      <c r="D417" s="3">
        <v>1</v>
      </c>
      <c r="E417" s="3" t="s">
        <v>35</v>
      </c>
      <c r="F417" s="3" t="s">
        <v>36</v>
      </c>
      <c r="G417" s="3" t="str">
        <f>"2026-05-28 15:59:06.586"</f>
        <v>2026-05-28 15:59:06.586</v>
      </c>
      <c r="H417" s="3" t="s">
        <v>22</v>
      </c>
    </row>
    <row r="418" spans="1:10" s="3" customFormat="1" x14ac:dyDescent="0.25">
      <c r="A418" s="2">
        <v>29</v>
      </c>
      <c r="B418" s="3" t="s">
        <v>29</v>
      </c>
      <c r="C418" s="3">
        <v>647</v>
      </c>
      <c r="D418" s="3">
        <v>1</v>
      </c>
      <c r="E418" s="3" t="s">
        <v>35</v>
      </c>
      <c r="F418" s="3" t="s">
        <v>36</v>
      </c>
      <c r="G418" s="3" t="str">
        <f>"2026-05-28 15:59:05.086"</f>
        <v>2026-05-28 15:59:05.086</v>
      </c>
      <c r="H418" s="3" t="s">
        <v>22</v>
      </c>
      <c r="I418" s="3">
        <v>8.81</v>
      </c>
      <c r="J418" s="3" t="s">
        <v>37</v>
      </c>
    </row>
    <row r="419" spans="1:10" x14ac:dyDescent="0.25">
      <c r="A419" s="1">
        <v>30</v>
      </c>
      <c r="B419" t="s">
        <v>26</v>
      </c>
      <c r="C419">
        <v>630</v>
      </c>
      <c r="D419">
        <v>5</v>
      </c>
      <c r="E419" t="s">
        <v>39</v>
      </c>
      <c r="F419" t="s">
        <v>40</v>
      </c>
      <c r="G419" t="str">
        <f>"2026-05-28 12:43:37.286"</f>
        <v>2026-05-28 12:43:37.286</v>
      </c>
      <c r="H419" t="s">
        <v>41</v>
      </c>
    </row>
    <row r="420" spans="1:10" x14ac:dyDescent="0.25">
      <c r="A420" s="1">
        <v>31</v>
      </c>
      <c r="B420" t="s">
        <v>19</v>
      </c>
      <c r="C420">
        <v>706</v>
      </c>
      <c r="D420">
        <v>4</v>
      </c>
      <c r="E420" t="s">
        <v>20</v>
      </c>
      <c r="F420" t="s">
        <v>21</v>
      </c>
      <c r="G420" t="str">
        <f>"2026-05-28 12:43:07.143"</f>
        <v>2026-05-28 12:43:07.143</v>
      </c>
      <c r="H420" t="s">
        <v>22</v>
      </c>
      <c r="I420">
        <v>0</v>
      </c>
      <c r="J420" t="s">
        <v>23</v>
      </c>
    </row>
    <row r="421" spans="1:10" x14ac:dyDescent="0.25">
      <c r="A421" s="1">
        <v>32</v>
      </c>
      <c r="B421" t="s">
        <v>34</v>
      </c>
      <c r="C421">
        <v>630</v>
      </c>
      <c r="D421">
        <v>5</v>
      </c>
      <c r="E421" t="s">
        <v>39</v>
      </c>
      <c r="F421" t="s">
        <v>40</v>
      </c>
      <c r="G421" t="str">
        <f>"2026-05-28 12:34:22.386"</f>
        <v>2026-05-28 12:34:22.386</v>
      </c>
      <c r="H421" t="s">
        <v>41</v>
      </c>
      <c r="I421">
        <v>0</v>
      </c>
      <c r="J421" t="s">
        <v>23</v>
      </c>
    </row>
    <row r="422" spans="1:10" x14ac:dyDescent="0.25">
      <c r="A422" s="1">
        <v>33</v>
      </c>
      <c r="B422" t="s">
        <v>19</v>
      </c>
      <c r="C422">
        <v>700</v>
      </c>
      <c r="D422">
        <v>0</v>
      </c>
      <c r="E422" t="s">
        <v>24</v>
      </c>
      <c r="F422" t="s">
        <v>24</v>
      </c>
      <c r="G422" t="str">
        <f>"2026-05-28 12:29:19.603"</f>
        <v>2026-05-28 12:29:19.603</v>
      </c>
      <c r="H422" t="s">
        <v>22</v>
      </c>
    </row>
    <row r="423" spans="1:10" x14ac:dyDescent="0.25">
      <c r="A423" s="1">
        <v>34</v>
      </c>
      <c r="B423" t="s">
        <v>19</v>
      </c>
      <c r="C423">
        <v>700</v>
      </c>
      <c r="D423">
        <v>0</v>
      </c>
      <c r="E423" t="s">
        <v>24</v>
      </c>
      <c r="F423" t="s">
        <v>24</v>
      </c>
      <c r="G423" t="str">
        <f>"2026-05-27 12:16:44.634"</f>
        <v>2026-05-27 12:16:44.634</v>
      </c>
      <c r="H423" t="s">
        <v>22</v>
      </c>
      <c r="I423">
        <v>0</v>
      </c>
      <c r="J423" t="s">
        <v>25</v>
      </c>
    </row>
    <row r="424" spans="1:10" x14ac:dyDescent="0.25">
      <c r="A424" s="1">
        <v>36</v>
      </c>
      <c r="B424" t="s">
        <v>19</v>
      </c>
      <c r="C424">
        <v>700</v>
      </c>
      <c r="D424">
        <v>0</v>
      </c>
      <c r="E424" t="s">
        <v>24</v>
      </c>
      <c r="F424" t="s">
        <v>24</v>
      </c>
      <c r="G424" t="str">
        <f>"2026-05-27 00:31:26.819"</f>
        <v>2026-05-27 00:31:26.819</v>
      </c>
      <c r="H424" t="s">
        <v>22</v>
      </c>
      <c r="I424">
        <v>0</v>
      </c>
      <c r="J424" t="s">
        <v>25</v>
      </c>
    </row>
    <row r="425" spans="1:10" x14ac:dyDescent="0.25">
      <c r="A425" s="1">
        <v>37</v>
      </c>
      <c r="B425" t="s">
        <v>26</v>
      </c>
      <c r="C425">
        <v>635</v>
      </c>
      <c r="D425">
        <v>1</v>
      </c>
      <c r="E425" t="s">
        <v>27</v>
      </c>
      <c r="F425" t="s">
        <v>28</v>
      </c>
      <c r="G425" t="str">
        <f>"2026-05-26 17:58:23.269"</f>
        <v>2026-05-26 17:58:23.269</v>
      </c>
      <c r="H425" t="s">
        <v>22</v>
      </c>
    </row>
    <row r="426" spans="1:10" x14ac:dyDescent="0.25">
      <c r="A426" s="1">
        <v>38</v>
      </c>
      <c r="B426" t="s">
        <v>29</v>
      </c>
      <c r="C426">
        <v>635</v>
      </c>
      <c r="D426">
        <v>1</v>
      </c>
      <c r="E426" t="s">
        <v>27</v>
      </c>
      <c r="F426" t="s">
        <v>28</v>
      </c>
      <c r="G426" t="str">
        <f>"2026-05-26 17:53:23.769"</f>
        <v>2026-05-26 17:53:23.769</v>
      </c>
      <c r="H426" t="s">
        <v>22</v>
      </c>
      <c r="I426">
        <v>1.82</v>
      </c>
      <c r="J426" t="s">
        <v>30</v>
      </c>
    </row>
    <row r="427" spans="1:10" x14ac:dyDescent="0.25">
      <c r="A427" s="1">
        <v>39</v>
      </c>
      <c r="B427" t="s">
        <v>19</v>
      </c>
      <c r="C427">
        <v>700</v>
      </c>
      <c r="D427">
        <v>0</v>
      </c>
      <c r="E427" t="s">
        <v>24</v>
      </c>
      <c r="F427" t="s">
        <v>24</v>
      </c>
      <c r="G427" t="str">
        <f>"2026-05-26 13:33:34.601"</f>
        <v>2026-05-26 13:33:34.601</v>
      </c>
      <c r="H427" t="s">
        <v>22</v>
      </c>
      <c r="I427">
        <v>0</v>
      </c>
      <c r="J427" t="s">
        <v>25</v>
      </c>
    </row>
    <row r="428" spans="1:10" x14ac:dyDescent="0.25">
      <c r="A428" s="1">
        <v>40</v>
      </c>
      <c r="B428" t="s">
        <v>19</v>
      </c>
      <c r="C428">
        <v>700</v>
      </c>
      <c r="D428">
        <v>0</v>
      </c>
      <c r="E428" t="s">
        <v>24</v>
      </c>
      <c r="F428" t="s">
        <v>24</v>
      </c>
      <c r="G428" t="str">
        <f>"2026-05-26 12:45:47.601"</f>
        <v>2026-05-26 12:45:47.601</v>
      </c>
      <c r="H428" t="s">
        <v>22</v>
      </c>
      <c r="I428">
        <v>0</v>
      </c>
      <c r="J428" t="s">
        <v>25</v>
      </c>
    </row>
    <row r="429" spans="1:10" x14ac:dyDescent="0.25">
      <c r="A429" s="1">
        <v>41</v>
      </c>
      <c r="B429" t="s">
        <v>26</v>
      </c>
      <c r="C429">
        <v>630</v>
      </c>
      <c r="D429">
        <v>5</v>
      </c>
      <c r="E429" t="s">
        <v>39</v>
      </c>
      <c r="F429" t="s">
        <v>40</v>
      </c>
      <c r="G429" t="str">
        <f>"2026-05-26 11:01:56.790"</f>
        <v>2026-05-26 11:01:56.790</v>
      </c>
      <c r="H429" t="s">
        <v>41</v>
      </c>
    </row>
    <row r="430" spans="1:10" x14ac:dyDescent="0.25">
      <c r="A430" s="1">
        <v>42</v>
      </c>
      <c r="B430" t="s">
        <v>19</v>
      </c>
      <c r="C430">
        <v>706</v>
      </c>
      <c r="D430">
        <v>2</v>
      </c>
      <c r="E430" t="s">
        <v>20</v>
      </c>
      <c r="F430" t="s">
        <v>54</v>
      </c>
      <c r="G430" t="str">
        <f>"2026-05-26 11:01:26.418"</f>
        <v>2026-05-26 11:01:26.418</v>
      </c>
      <c r="H430" t="s">
        <v>22</v>
      </c>
      <c r="I430">
        <v>0</v>
      </c>
      <c r="J430" t="s">
        <v>23</v>
      </c>
    </row>
    <row r="431" spans="1:10" x14ac:dyDescent="0.25">
      <c r="A431" s="1">
        <v>43</v>
      </c>
      <c r="B431" t="s">
        <v>34</v>
      </c>
      <c r="C431">
        <v>630</v>
      </c>
      <c r="D431">
        <v>5</v>
      </c>
      <c r="E431" t="s">
        <v>39</v>
      </c>
      <c r="F431" t="s">
        <v>40</v>
      </c>
      <c r="G431" t="str">
        <f>"2026-05-26 09:36:28.390"</f>
        <v>2026-05-26 09:36:28.390</v>
      </c>
      <c r="H431" t="s">
        <v>41</v>
      </c>
      <c r="I431">
        <v>0</v>
      </c>
      <c r="J431" t="s">
        <v>23</v>
      </c>
    </row>
    <row r="432" spans="1:10" x14ac:dyDescent="0.25">
      <c r="A432" s="1">
        <v>44</v>
      </c>
      <c r="B432" t="s">
        <v>19</v>
      </c>
      <c r="C432">
        <v>700</v>
      </c>
      <c r="D432">
        <v>0</v>
      </c>
      <c r="E432" t="s">
        <v>24</v>
      </c>
      <c r="F432" t="s">
        <v>24</v>
      </c>
      <c r="G432" t="str">
        <f>"2026-05-26 09:31:25.598"</f>
        <v>2026-05-26 09:31:25.598</v>
      </c>
      <c r="H432" t="s">
        <v>22</v>
      </c>
    </row>
    <row r="433" spans="1:10" x14ac:dyDescent="0.25">
      <c r="A433" s="1">
        <v>45</v>
      </c>
      <c r="B433" t="s">
        <v>19</v>
      </c>
      <c r="C433">
        <v>700</v>
      </c>
      <c r="D433">
        <v>0</v>
      </c>
      <c r="E433" t="s">
        <v>24</v>
      </c>
      <c r="F433" t="s">
        <v>24</v>
      </c>
      <c r="G433" t="str">
        <f>"2026-05-26 09:23:08.736"</f>
        <v>2026-05-26 09:23:08.736</v>
      </c>
      <c r="H433" t="s">
        <v>22</v>
      </c>
      <c r="I433">
        <v>0</v>
      </c>
      <c r="J433" t="s">
        <v>25</v>
      </c>
    </row>
    <row r="434" spans="1:10" x14ac:dyDescent="0.25">
      <c r="A434" s="1">
        <v>46</v>
      </c>
      <c r="B434" t="s">
        <v>34</v>
      </c>
      <c r="C434">
        <v>630</v>
      </c>
      <c r="D434">
        <v>5</v>
      </c>
      <c r="E434" t="s">
        <v>39</v>
      </c>
      <c r="F434" t="s">
        <v>40</v>
      </c>
      <c r="G434" t="str">
        <f>"2026-05-26 09:08:36.385"</f>
        <v>2026-05-26 09:08:36.385</v>
      </c>
      <c r="H434" t="s">
        <v>41</v>
      </c>
      <c r="I434">
        <v>0</v>
      </c>
      <c r="J434" t="s">
        <v>23</v>
      </c>
    </row>
    <row r="435" spans="1:10" x14ac:dyDescent="0.25">
      <c r="A435" s="1">
        <v>47</v>
      </c>
      <c r="B435" t="s">
        <v>19</v>
      </c>
      <c r="C435">
        <v>700</v>
      </c>
      <c r="D435">
        <v>0</v>
      </c>
      <c r="E435" t="s">
        <v>24</v>
      </c>
      <c r="F435" t="s">
        <v>24</v>
      </c>
      <c r="G435" t="str">
        <f>"2026-05-26 09:03:33.607"</f>
        <v>2026-05-26 09:03:33.607</v>
      </c>
      <c r="H435" t="s">
        <v>22</v>
      </c>
      <c r="I435">
        <v>0</v>
      </c>
      <c r="J435" t="s">
        <v>25</v>
      </c>
    </row>
    <row r="436" spans="1:10" x14ac:dyDescent="0.25">
      <c r="A436" s="1">
        <v>48</v>
      </c>
      <c r="B436" t="s">
        <v>19</v>
      </c>
      <c r="C436">
        <v>700</v>
      </c>
      <c r="D436">
        <v>0</v>
      </c>
      <c r="E436" t="s">
        <v>24</v>
      </c>
      <c r="F436" t="s">
        <v>24</v>
      </c>
      <c r="G436" t="str">
        <f>"2026-05-26 08:54:40.576"</f>
        <v>2026-05-26 08:54:40.576</v>
      </c>
      <c r="H436" t="s">
        <v>22</v>
      </c>
    </row>
    <row r="437" spans="1:10" x14ac:dyDescent="0.25">
      <c r="A437" s="1">
        <v>49</v>
      </c>
      <c r="B437" t="s">
        <v>19</v>
      </c>
      <c r="C437">
        <v>700</v>
      </c>
      <c r="D437">
        <v>0</v>
      </c>
      <c r="E437" t="s">
        <v>24</v>
      </c>
      <c r="F437" t="s">
        <v>24</v>
      </c>
      <c r="G437" t="str">
        <f>"2026-05-26 01:58:20.603"</f>
        <v>2026-05-26 01:58:20.603</v>
      </c>
      <c r="H437" t="s">
        <v>22</v>
      </c>
      <c r="I437">
        <v>0</v>
      </c>
      <c r="J437" t="s">
        <v>25</v>
      </c>
    </row>
    <row r="438" spans="1:10" x14ac:dyDescent="0.25">
      <c r="A438" s="1">
        <v>50</v>
      </c>
      <c r="B438" t="s">
        <v>19</v>
      </c>
      <c r="C438">
        <v>706</v>
      </c>
      <c r="D438">
        <v>4</v>
      </c>
      <c r="E438" t="s">
        <v>20</v>
      </c>
      <c r="F438" t="s">
        <v>21</v>
      </c>
      <c r="G438" t="str">
        <f>"2026-05-26 01:39:04.580"</f>
        <v>2026-05-26 01:39:04.580</v>
      </c>
      <c r="H438" t="s">
        <v>22</v>
      </c>
      <c r="I438">
        <v>0</v>
      </c>
      <c r="J438" t="s">
        <v>23</v>
      </c>
    </row>
    <row r="439" spans="1:10" x14ac:dyDescent="0.25">
      <c r="A439" s="1">
        <v>51</v>
      </c>
      <c r="B439" t="s">
        <v>44</v>
      </c>
      <c r="C439">
        <v>77</v>
      </c>
      <c r="D439">
        <v>1</v>
      </c>
      <c r="E439" t="s">
        <v>45</v>
      </c>
      <c r="F439" t="s">
        <v>46</v>
      </c>
      <c r="G439" t="str">
        <f>"2026-05-26 01:27:11.065"</f>
        <v>2026-05-26 01:27:11.065</v>
      </c>
      <c r="H439" t="s">
        <v>47</v>
      </c>
    </row>
    <row r="440" spans="1:10" x14ac:dyDescent="0.25">
      <c r="A440" s="1">
        <v>52</v>
      </c>
      <c r="B440" t="s">
        <v>34</v>
      </c>
      <c r="C440">
        <v>77</v>
      </c>
      <c r="D440">
        <v>1</v>
      </c>
      <c r="E440" t="s">
        <v>45</v>
      </c>
      <c r="F440" t="s">
        <v>46</v>
      </c>
      <c r="G440" t="str">
        <f>"2026-05-26 01:27:06.019"</f>
        <v>2026-05-26 01:27:06.019</v>
      </c>
      <c r="H440" t="s">
        <v>47</v>
      </c>
      <c r="I440">
        <v>0</v>
      </c>
      <c r="J440" t="s">
        <v>23</v>
      </c>
    </row>
    <row r="441" spans="1:10" x14ac:dyDescent="0.25">
      <c r="A441" s="1">
        <v>53</v>
      </c>
      <c r="B441" t="s">
        <v>19</v>
      </c>
      <c r="C441">
        <v>700</v>
      </c>
      <c r="D441">
        <v>0</v>
      </c>
      <c r="E441" t="s">
        <v>24</v>
      </c>
      <c r="F441" t="s">
        <v>24</v>
      </c>
      <c r="G441" t="str">
        <f>"2026-05-26 01:26:26.600"</f>
        <v>2026-05-26 01:26:26.600</v>
      </c>
      <c r="H441" t="s">
        <v>22</v>
      </c>
      <c r="I441">
        <v>0</v>
      </c>
      <c r="J441" t="s">
        <v>25</v>
      </c>
    </row>
    <row r="442" spans="1:10" x14ac:dyDescent="0.25">
      <c r="A442" s="1">
        <v>54</v>
      </c>
      <c r="B442" t="s">
        <v>19</v>
      </c>
      <c r="C442">
        <v>700</v>
      </c>
      <c r="D442">
        <v>0</v>
      </c>
      <c r="E442" t="s">
        <v>24</v>
      </c>
      <c r="F442" t="s">
        <v>24</v>
      </c>
      <c r="G442" t="str">
        <f>"2026-05-26 01:19:52.596"</f>
        <v>2026-05-26 01:19:52.596</v>
      </c>
      <c r="H442" t="s">
        <v>22</v>
      </c>
      <c r="I442">
        <v>0</v>
      </c>
      <c r="J442" t="s">
        <v>25</v>
      </c>
    </row>
    <row r="443" spans="1:10" x14ac:dyDescent="0.25">
      <c r="A443" s="1">
        <v>55</v>
      </c>
      <c r="B443" t="s">
        <v>19</v>
      </c>
      <c r="C443">
        <v>700</v>
      </c>
      <c r="D443">
        <v>0</v>
      </c>
      <c r="E443" t="s">
        <v>24</v>
      </c>
      <c r="F443" t="s">
        <v>24</v>
      </c>
      <c r="G443" t="str">
        <f>"2026-05-25 23:59:54.919"</f>
        <v>2026-05-25 23:59:54.919</v>
      </c>
      <c r="H443" t="s">
        <v>22</v>
      </c>
    </row>
    <row r="444" spans="1:10" x14ac:dyDescent="0.25">
      <c r="A444" s="1">
        <v>56</v>
      </c>
      <c r="B444" t="s">
        <v>19</v>
      </c>
      <c r="C444">
        <v>706</v>
      </c>
      <c r="D444">
        <v>4</v>
      </c>
      <c r="E444" t="s">
        <v>20</v>
      </c>
      <c r="F444" t="s">
        <v>21</v>
      </c>
      <c r="G444" t="str">
        <f>"2026-05-25 21:30:19.954"</f>
        <v>2026-05-25 21:30:19.954</v>
      </c>
      <c r="H444" t="s">
        <v>22</v>
      </c>
      <c r="I444">
        <v>0</v>
      </c>
      <c r="J444" t="s">
        <v>23</v>
      </c>
    </row>
    <row r="445" spans="1:10" x14ac:dyDescent="0.25">
      <c r="A445" s="1">
        <v>57</v>
      </c>
      <c r="B445" t="s">
        <v>19</v>
      </c>
      <c r="C445">
        <v>700</v>
      </c>
      <c r="D445">
        <v>0</v>
      </c>
      <c r="E445" t="s">
        <v>24</v>
      </c>
      <c r="F445" t="s">
        <v>24</v>
      </c>
      <c r="G445" t="str">
        <f>"2026-05-25 21:29:56.594"</f>
        <v>2026-05-25 21:29:56.594</v>
      </c>
      <c r="H445" t="s">
        <v>22</v>
      </c>
      <c r="I445">
        <v>0</v>
      </c>
      <c r="J445" t="s">
        <v>25</v>
      </c>
    </row>
    <row r="446" spans="1:10" x14ac:dyDescent="0.25">
      <c r="A446" s="1">
        <v>58</v>
      </c>
      <c r="B446" t="s">
        <v>19</v>
      </c>
      <c r="C446">
        <v>700</v>
      </c>
      <c r="D446">
        <v>0</v>
      </c>
      <c r="E446" t="s">
        <v>24</v>
      </c>
      <c r="F446" t="s">
        <v>24</v>
      </c>
      <c r="G446" t="str">
        <f>"2026-05-25 10:31:34.732"</f>
        <v>2026-05-25 10:31:34.732</v>
      </c>
      <c r="H446" t="s">
        <v>22</v>
      </c>
    </row>
    <row r="447" spans="1:10" x14ac:dyDescent="0.25">
      <c r="A447" s="1">
        <v>59</v>
      </c>
      <c r="B447" t="s">
        <v>19</v>
      </c>
      <c r="C447">
        <v>706</v>
      </c>
      <c r="D447">
        <v>4</v>
      </c>
      <c r="E447" t="s">
        <v>20</v>
      </c>
      <c r="F447" t="s">
        <v>21</v>
      </c>
      <c r="G447" t="str">
        <f>"2026-05-25 09:38:22.949"</f>
        <v>2026-05-25 09:38:22.949</v>
      </c>
      <c r="H447" t="s">
        <v>22</v>
      </c>
      <c r="I447">
        <v>0</v>
      </c>
      <c r="J447" t="s">
        <v>23</v>
      </c>
    </row>
    <row r="448" spans="1:10" x14ac:dyDescent="0.25">
      <c r="A448" s="1">
        <v>60</v>
      </c>
      <c r="B448" t="s">
        <v>19</v>
      </c>
      <c r="C448">
        <v>700</v>
      </c>
      <c r="D448">
        <v>0</v>
      </c>
      <c r="E448" t="s">
        <v>24</v>
      </c>
      <c r="F448" t="s">
        <v>24</v>
      </c>
      <c r="G448" t="str">
        <f>"2026-05-25 09:36:28.669"</f>
        <v>2026-05-25 09:36:28.669</v>
      </c>
      <c r="H448" t="s">
        <v>22</v>
      </c>
      <c r="I448">
        <v>0</v>
      </c>
      <c r="J448" t="s">
        <v>25</v>
      </c>
    </row>
    <row r="449" spans="1:10" x14ac:dyDescent="0.25">
      <c r="A449" s="1">
        <v>61</v>
      </c>
      <c r="B449" t="s">
        <v>19</v>
      </c>
      <c r="C449">
        <v>700</v>
      </c>
      <c r="D449">
        <v>0</v>
      </c>
      <c r="E449" t="s">
        <v>24</v>
      </c>
      <c r="F449" t="s">
        <v>24</v>
      </c>
      <c r="G449" t="str">
        <f>"2026-05-23 13:51:42.970"</f>
        <v>2026-05-23 13:51:42.970</v>
      </c>
      <c r="H449" t="s">
        <v>22</v>
      </c>
    </row>
    <row r="450" spans="1:10" x14ac:dyDescent="0.25">
      <c r="A450" s="1">
        <v>62</v>
      </c>
      <c r="B450" t="s">
        <v>19</v>
      </c>
      <c r="C450">
        <v>700</v>
      </c>
      <c r="D450">
        <v>0</v>
      </c>
      <c r="E450" t="s">
        <v>24</v>
      </c>
      <c r="F450" t="s">
        <v>24</v>
      </c>
      <c r="G450" t="str">
        <f>"2026-05-20 22:52:51.630"</f>
        <v>2026-05-20 22:52:51.630</v>
      </c>
      <c r="H450" t="s">
        <v>22</v>
      </c>
      <c r="I450">
        <v>0</v>
      </c>
      <c r="J450" t="s">
        <v>25</v>
      </c>
    </row>
    <row r="451" spans="1:10" x14ac:dyDescent="0.25">
      <c r="A451" s="1">
        <v>63</v>
      </c>
      <c r="B451" t="s">
        <v>19</v>
      </c>
      <c r="C451">
        <v>700</v>
      </c>
      <c r="D451">
        <v>0</v>
      </c>
      <c r="E451" t="s">
        <v>24</v>
      </c>
      <c r="F451" t="s">
        <v>24</v>
      </c>
      <c r="G451" t="str">
        <f>"2026-05-20 10:30:43.630"</f>
        <v>2026-05-20 10:30:43.630</v>
      </c>
      <c r="H451" t="s">
        <v>22</v>
      </c>
    </row>
    <row r="452" spans="1:10" x14ac:dyDescent="0.25">
      <c r="A452" s="1">
        <v>64</v>
      </c>
      <c r="B452" t="s">
        <v>19</v>
      </c>
      <c r="C452">
        <v>706</v>
      </c>
      <c r="D452">
        <v>4</v>
      </c>
      <c r="E452" t="s">
        <v>20</v>
      </c>
      <c r="F452" t="s">
        <v>21</v>
      </c>
      <c r="G452" t="str">
        <f>"2026-05-20 09:12:34.955"</f>
        <v>2026-05-20 09:12:34.955</v>
      </c>
      <c r="H452" t="s">
        <v>22</v>
      </c>
      <c r="I452">
        <v>0</v>
      </c>
      <c r="J452" t="s">
        <v>23</v>
      </c>
    </row>
    <row r="453" spans="1:10" x14ac:dyDescent="0.25">
      <c r="A453" s="1">
        <v>65</v>
      </c>
      <c r="B453" t="s">
        <v>19</v>
      </c>
      <c r="C453">
        <v>700</v>
      </c>
      <c r="D453">
        <v>0</v>
      </c>
      <c r="E453" t="s">
        <v>24</v>
      </c>
      <c r="F453" t="s">
        <v>24</v>
      </c>
      <c r="G453" t="str">
        <f>"2026-05-20 09:11:57.625"</f>
        <v>2026-05-20 09:11:57.625</v>
      </c>
      <c r="H453" t="s">
        <v>22</v>
      </c>
    </row>
    <row r="454" spans="1:10" x14ac:dyDescent="0.25">
      <c r="A454" s="1">
        <v>66</v>
      </c>
      <c r="B454" t="s">
        <v>26</v>
      </c>
      <c r="C454">
        <v>630</v>
      </c>
      <c r="D454">
        <v>5</v>
      </c>
      <c r="E454" t="s">
        <v>39</v>
      </c>
      <c r="F454" t="s">
        <v>40</v>
      </c>
      <c r="G454" t="str">
        <f>"2026-05-18 09:14:25.582"</f>
        <v>2026-05-18 09:14:25.582</v>
      </c>
      <c r="H454" t="s">
        <v>41</v>
      </c>
    </row>
    <row r="455" spans="1:10" x14ac:dyDescent="0.25">
      <c r="A455" s="1">
        <v>67</v>
      </c>
      <c r="B455" t="s">
        <v>19</v>
      </c>
      <c r="C455">
        <v>706</v>
      </c>
      <c r="D455">
        <v>2</v>
      </c>
      <c r="E455" t="s">
        <v>20</v>
      </c>
      <c r="F455" t="s">
        <v>54</v>
      </c>
      <c r="G455" t="str">
        <f>"2026-05-18 09:13:55.351"</f>
        <v>2026-05-18 09:13:55.351</v>
      </c>
      <c r="H455" t="s">
        <v>22</v>
      </c>
      <c r="I455">
        <v>0</v>
      </c>
      <c r="J455" t="s">
        <v>23</v>
      </c>
    </row>
    <row r="456" spans="1:10" x14ac:dyDescent="0.25">
      <c r="A456" s="1">
        <v>68</v>
      </c>
      <c r="B456" t="s">
        <v>34</v>
      </c>
      <c r="C456">
        <v>630</v>
      </c>
      <c r="D456">
        <v>5</v>
      </c>
      <c r="E456" t="s">
        <v>39</v>
      </c>
      <c r="F456" t="s">
        <v>40</v>
      </c>
      <c r="G456" t="str">
        <f>"2026-05-18 09:11:03.382"</f>
        <v>2026-05-18 09:11:03.382</v>
      </c>
      <c r="H456" t="s">
        <v>41</v>
      </c>
      <c r="I456">
        <v>0</v>
      </c>
      <c r="J456" t="s">
        <v>23</v>
      </c>
    </row>
    <row r="457" spans="1:10" x14ac:dyDescent="0.25">
      <c r="A457" s="1">
        <v>69</v>
      </c>
      <c r="B457" t="s">
        <v>19</v>
      </c>
      <c r="C457">
        <v>706</v>
      </c>
      <c r="D457">
        <v>4</v>
      </c>
      <c r="E457" t="s">
        <v>20</v>
      </c>
      <c r="F457" t="s">
        <v>21</v>
      </c>
      <c r="G457" t="str">
        <f>"2026-05-18 09:05:18.241"</f>
        <v>2026-05-18 09:05:18.241</v>
      </c>
      <c r="H457" t="s">
        <v>22</v>
      </c>
      <c r="I457">
        <v>0</v>
      </c>
      <c r="J457" t="s">
        <v>23</v>
      </c>
    </row>
    <row r="458" spans="1:10" x14ac:dyDescent="0.25">
      <c r="A458" s="1">
        <v>70</v>
      </c>
      <c r="B458" t="s">
        <v>19</v>
      </c>
      <c r="C458">
        <v>700</v>
      </c>
      <c r="D458">
        <v>0</v>
      </c>
      <c r="E458" t="s">
        <v>24</v>
      </c>
      <c r="F458" t="s">
        <v>24</v>
      </c>
      <c r="G458" t="str">
        <f>"2026-05-18 09:04:56.601"</f>
        <v>2026-05-18 09:04:56.601</v>
      </c>
      <c r="H458" t="s">
        <v>22</v>
      </c>
    </row>
    <row r="459" spans="1:10" x14ac:dyDescent="0.25">
      <c r="A459" s="1">
        <v>71</v>
      </c>
      <c r="B459" t="s">
        <v>26</v>
      </c>
      <c r="C459">
        <v>4</v>
      </c>
      <c r="D459">
        <v>1</v>
      </c>
      <c r="E459" t="s">
        <v>65</v>
      </c>
      <c r="F459" t="s">
        <v>66</v>
      </c>
      <c r="G459" t="str">
        <f>"2026-05-18 00:45:58.537"</f>
        <v>2026-05-18 00:45:58.537</v>
      </c>
      <c r="H459" t="s">
        <v>67</v>
      </c>
    </row>
    <row r="460" spans="1:10" x14ac:dyDescent="0.25">
      <c r="A460" s="1">
        <v>72</v>
      </c>
      <c r="B460" t="s">
        <v>29</v>
      </c>
      <c r="C460">
        <v>4</v>
      </c>
      <c r="D460">
        <v>1</v>
      </c>
      <c r="E460" t="s">
        <v>65</v>
      </c>
      <c r="F460" t="s">
        <v>66</v>
      </c>
      <c r="G460" t="str">
        <f>"2026-05-18 00:45:33.037"</f>
        <v>2026-05-18 00:45:33.037</v>
      </c>
      <c r="H460" t="s">
        <v>67</v>
      </c>
      <c r="I460">
        <v>0</v>
      </c>
      <c r="J460" t="s">
        <v>23</v>
      </c>
    </row>
    <row r="461" spans="1:10" x14ac:dyDescent="0.25">
      <c r="A461" s="1">
        <v>73</v>
      </c>
      <c r="B461" t="s">
        <v>19</v>
      </c>
      <c r="C461">
        <v>700</v>
      </c>
      <c r="D461">
        <v>0</v>
      </c>
      <c r="E461" t="s">
        <v>24</v>
      </c>
      <c r="F461" t="s">
        <v>24</v>
      </c>
      <c r="G461" t="str">
        <f>"2026-05-18 00:34:58.628"</f>
        <v>2026-05-18 00:34:58.628</v>
      </c>
      <c r="H461" t="s">
        <v>22</v>
      </c>
      <c r="I461">
        <v>0</v>
      </c>
      <c r="J461" t="s">
        <v>25</v>
      </c>
    </row>
    <row r="462" spans="1:10" x14ac:dyDescent="0.25">
      <c r="A462" s="1">
        <v>74</v>
      </c>
      <c r="B462" t="s">
        <v>19</v>
      </c>
      <c r="C462">
        <v>700</v>
      </c>
      <c r="D462">
        <v>0</v>
      </c>
      <c r="E462" t="s">
        <v>24</v>
      </c>
      <c r="F462" t="s">
        <v>24</v>
      </c>
      <c r="G462" t="str">
        <f>"2026-05-17 23:43:58.614"</f>
        <v>2026-05-17 23:43:58.614</v>
      </c>
      <c r="H462" t="s">
        <v>22</v>
      </c>
      <c r="I462">
        <v>0</v>
      </c>
      <c r="J462" t="s">
        <v>25</v>
      </c>
    </row>
    <row r="463" spans="1:10" x14ac:dyDescent="0.25">
      <c r="A463" s="1">
        <v>75</v>
      </c>
      <c r="B463" t="s">
        <v>26</v>
      </c>
      <c r="C463">
        <v>635</v>
      </c>
      <c r="D463">
        <v>1</v>
      </c>
      <c r="E463" t="s">
        <v>27</v>
      </c>
      <c r="F463" t="s">
        <v>28</v>
      </c>
      <c r="G463" t="str">
        <f>"2026-05-17 21:57:30.707"</f>
        <v>2026-05-17 21:57:30.707</v>
      </c>
      <c r="H463" t="s">
        <v>22</v>
      </c>
    </row>
    <row r="464" spans="1:10" x14ac:dyDescent="0.25">
      <c r="A464" s="1">
        <v>76</v>
      </c>
      <c r="B464" t="s">
        <v>29</v>
      </c>
      <c r="C464">
        <v>635</v>
      </c>
      <c r="D464">
        <v>1</v>
      </c>
      <c r="E464" t="s">
        <v>27</v>
      </c>
      <c r="F464" t="s">
        <v>28</v>
      </c>
      <c r="G464" t="str">
        <f>"2026-05-17 21:53:17.707"</f>
        <v>2026-05-17 21:53:17.707</v>
      </c>
      <c r="H464" t="s">
        <v>22</v>
      </c>
      <c r="I464">
        <v>6.92</v>
      </c>
      <c r="J464" t="s">
        <v>30</v>
      </c>
    </row>
    <row r="465" spans="1:10" x14ac:dyDescent="0.25">
      <c r="A465" s="1">
        <v>77</v>
      </c>
      <c r="B465" t="s">
        <v>19</v>
      </c>
      <c r="C465">
        <v>706</v>
      </c>
      <c r="D465">
        <v>4</v>
      </c>
      <c r="E465" t="s">
        <v>20</v>
      </c>
      <c r="F465" t="s">
        <v>21</v>
      </c>
      <c r="G465" t="str">
        <f>"2026-05-17 21:34:34.217"</f>
        <v>2026-05-17 21:34:34.217</v>
      </c>
      <c r="H465" t="s">
        <v>22</v>
      </c>
      <c r="I465">
        <v>0</v>
      </c>
      <c r="J465" t="s">
        <v>23</v>
      </c>
    </row>
    <row r="466" spans="1:10" x14ac:dyDescent="0.25">
      <c r="A466" s="1">
        <v>78</v>
      </c>
      <c r="B466" t="s">
        <v>19</v>
      </c>
      <c r="C466">
        <v>700</v>
      </c>
      <c r="D466">
        <v>0</v>
      </c>
      <c r="E466" t="s">
        <v>24</v>
      </c>
      <c r="F466" t="s">
        <v>24</v>
      </c>
      <c r="G466" t="str">
        <f>"2026-05-17 21:33:43.677"</f>
        <v>2026-05-17 21:33:43.677</v>
      </c>
      <c r="H466" t="s">
        <v>22</v>
      </c>
      <c r="I466">
        <v>0</v>
      </c>
      <c r="J466" t="s">
        <v>25</v>
      </c>
    </row>
    <row r="467" spans="1:10" x14ac:dyDescent="0.25">
      <c r="A467" s="1">
        <v>79</v>
      </c>
      <c r="B467" t="s">
        <v>19</v>
      </c>
      <c r="C467">
        <v>700</v>
      </c>
      <c r="D467">
        <v>0</v>
      </c>
      <c r="E467" t="s">
        <v>24</v>
      </c>
      <c r="F467" t="s">
        <v>24</v>
      </c>
      <c r="G467" t="str">
        <f>"2026-05-17 19:44:56.632"</f>
        <v>2026-05-17 19:44:56.632</v>
      </c>
      <c r="H467" t="s">
        <v>22</v>
      </c>
    </row>
    <row r="468" spans="1:10" x14ac:dyDescent="0.25">
      <c r="A468" s="1">
        <v>80</v>
      </c>
      <c r="B468" t="s">
        <v>19</v>
      </c>
      <c r="C468">
        <v>706</v>
      </c>
      <c r="D468">
        <v>2</v>
      </c>
      <c r="E468" t="s">
        <v>20</v>
      </c>
      <c r="F468" t="s">
        <v>54</v>
      </c>
      <c r="G468" t="str">
        <f>"2026-05-17 17:30:10.051"</f>
        <v>2026-05-17 17:30:10.051</v>
      </c>
      <c r="H468" t="s">
        <v>22</v>
      </c>
      <c r="I468">
        <v>0</v>
      </c>
      <c r="J468" t="s">
        <v>23</v>
      </c>
    </row>
    <row r="469" spans="1:10" x14ac:dyDescent="0.25">
      <c r="A469" s="1">
        <v>81</v>
      </c>
      <c r="B469" t="s">
        <v>19</v>
      </c>
      <c r="C469">
        <v>700</v>
      </c>
      <c r="D469">
        <v>0</v>
      </c>
      <c r="E469" t="s">
        <v>24</v>
      </c>
      <c r="F469" t="s">
        <v>24</v>
      </c>
      <c r="G469" t="str">
        <f>"2026-05-17 17:29:50.631"</f>
        <v>2026-05-17 17:29:50.631</v>
      </c>
      <c r="H469" t="s">
        <v>22</v>
      </c>
      <c r="I469">
        <v>0</v>
      </c>
      <c r="J469" t="s">
        <v>25</v>
      </c>
    </row>
    <row r="470" spans="1:10" x14ac:dyDescent="0.25">
      <c r="A470" s="1">
        <v>82</v>
      </c>
      <c r="B470" t="s">
        <v>19</v>
      </c>
      <c r="C470">
        <v>700</v>
      </c>
      <c r="D470">
        <v>0</v>
      </c>
      <c r="E470" t="s">
        <v>24</v>
      </c>
      <c r="F470" t="s">
        <v>24</v>
      </c>
      <c r="G470" t="str">
        <f>"2026-05-17 16:57:38.662"</f>
        <v>2026-05-17 16:57:38.662</v>
      </c>
      <c r="H470" t="s">
        <v>22</v>
      </c>
    </row>
    <row r="471" spans="1:10" x14ac:dyDescent="0.25">
      <c r="A471" s="1">
        <v>83</v>
      </c>
      <c r="B471" t="s">
        <v>19</v>
      </c>
      <c r="C471">
        <v>700</v>
      </c>
      <c r="D471">
        <v>0</v>
      </c>
      <c r="E471" t="s">
        <v>24</v>
      </c>
      <c r="F471" t="s">
        <v>24</v>
      </c>
      <c r="G471" t="str">
        <f>"2026-05-17 13:15:41.660"</f>
        <v>2026-05-17 13:15:41.660</v>
      </c>
      <c r="H471" t="s">
        <v>22</v>
      </c>
      <c r="I471">
        <v>0</v>
      </c>
      <c r="J471" t="s">
        <v>25</v>
      </c>
    </row>
    <row r="472" spans="1:10" x14ac:dyDescent="0.25">
      <c r="A472" s="1">
        <v>84</v>
      </c>
      <c r="B472" t="s">
        <v>34</v>
      </c>
      <c r="C472">
        <v>630</v>
      </c>
      <c r="D472">
        <v>5</v>
      </c>
      <c r="E472" t="s">
        <v>39</v>
      </c>
      <c r="F472" t="s">
        <v>40</v>
      </c>
      <c r="G472" t="str">
        <f>"2026-05-17 12:55:32.270"</f>
        <v>2026-05-17 12:55:32.270</v>
      </c>
      <c r="H472" t="s">
        <v>41</v>
      </c>
      <c r="I472">
        <v>0</v>
      </c>
      <c r="J472" t="s">
        <v>23</v>
      </c>
    </row>
    <row r="473" spans="1:10" x14ac:dyDescent="0.25">
      <c r="A473" s="1">
        <v>85</v>
      </c>
      <c r="B473" t="s">
        <v>19</v>
      </c>
      <c r="C473">
        <v>700</v>
      </c>
      <c r="D473">
        <v>0</v>
      </c>
      <c r="E473" t="s">
        <v>24</v>
      </c>
      <c r="F473" t="s">
        <v>24</v>
      </c>
      <c r="G473" t="str">
        <f>"2026-05-17 09:59:27.801"</f>
        <v>2026-05-17 09:59:27.801</v>
      </c>
      <c r="H473" t="s">
        <v>22</v>
      </c>
      <c r="I473">
        <v>0</v>
      </c>
      <c r="J473" t="s">
        <v>25</v>
      </c>
    </row>
    <row r="474" spans="1:10" x14ac:dyDescent="0.25">
      <c r="A474" s="1">
        <v>86</v>
      </c>
      <c r="B474" t="s">
        <v>26</v>
      </c>
      <c r="C474">
        <v>635</v>
      </c>
      <c r="D474">
        <v>1</v>
      </c>
      <c r="E474" t="s">
        <v>27</v>
      </c>
      <c r="F474" t="s">
        <v>28</v>
      </c>
      <c r="G474" t="str">
        <f>"2026-05-16 22:18:33.833"</f>
        <v>2026-05-16 22:18:33.833</v>
      </c>
      <c r="H474" t="s">
        <v>22</v>
      </c>
    </row>
    <row r="475" spans="1:10" x14ac:dyDescent="0.25">
      <c r="A475" s="1">
        <v>87</v>
      </c>
      <c r="B475" t="s">
        <v>29</v>
      </c>
      <c r="C475">
        <v>635</v>
      </c>
      <c r="D475">
        <v>1</v>
      </c>
      <c r="E475" t="s">
        <v>27</v>
      </c>
      <c r="F475" t="s">
        <v>28</v>
      </c>
      <c r="G475" t="str">
        <f>"2026-05-16 22:14:42.333"</f>
        <v>2026-05-16 22:14:42.333</v>
      </c>
      <c r="H475" t="s">
        <v>22</v>
      </c>
      <c r="I475">
        <v>3.29</v>
      </c>
      <c r="J475" t="s">
        <v>38</v>
      </c>
    </row>
    <row r="476" spans="1:10" x14ac:dyDescent="0.25">
      <c r="A476" s="1">
        <v>88</v>
      </c>
      <c r="B476" t="s">
        <v>26</v>
      </c>
      <c r="C476">
        <v>630</v>
      </c>
      <c r="D476">
        <v>5</v>
      </c>
      <c r="E476" t="s">
        <v>39</v>
      </c>
      <c r="F476" t="s">
        <v>40</v>
      </c>
      <c r="G476" t="str">
        <f>"2026-05-16 18:05:59.733"</f>
        <v>2026-05-16 18:05:59.733</v>
      </c>
      <c r="H476" t="s">
        <v>41</v>
      </c>
    </row>
    <row r="477" spans="1:10" x14ac:dyDescent="0.25">
      <c r="A477" s="1">
        <v>89</v>
      </c>
      <c r="B477" t="s">
        <v>19</v>
      </c>
      <c r="C477">
        <v>706</v>
      </c>
      <c r="D477">
        <v>2</v>
      </c>
      <c r="E477" t="s">
        <v>20</v>
      </c>
      <c r="F477" t="s">
        <v>54</v>
      </c>
      <c r="G477" t="str">
        <f>"2026-05-16 18:05:29.435"</f>
        <v>2026-05-16 18:05:29.435</v>
      </c>
      <c r="H477" t="s">
        <v>22</v>
      </c>
      <c r="I477">
        <v>0</v>
      </c>
      <c r="J477" t="s">
        <v>23</v>
      </c>
    </row>
    <row r="478" spans="1:10" x14ac:dyDescent="0.25">
      <c r="A478" s="1">
        <v>90</v>
      </c>
      <c r="B478" t="s">
        <v>34</v>
      </c>
      <c r="C478">
        <v>630</v>
      </c>
      <c r="D478">
        <v>5</v>
      </c>
      <c r="E478" t="s">
        <v>39</v>
      </c>
      <c r="F478" t="s">
        <v>40</v>
      </c>
      <c r="G478" t="str">
        <f>"2026-05-16 18:03:31.334"</f>
        <v>2026-05-16 18:03:31.334</v>
      </c>
      <c r="H478" t="s">
        <v>41</v>
      </c>
      <c r="I478">
        <v>0</v>
      </c>
      <c r="J478" t="s">
        <v>23</v>
      </c>
    </row>
    <row r="479" spans="1:10" x14ac:dyDescent="0.25">
      <c r="A479" s="1">
        <v>91</v>
      </c>
      <c r="B479" t="s">
        <v>19</v>
      </c>
      <c r="C479">
        <v>700</v>
      </c>
      <c r="D479">
        <v>0</v>
      </c>
      <c r="E479" t="s">
        <v>24</v>
      </c>
      <c r="F479" t="s">
        <v>24</v>
      </c>
      <c r="G479" t="str">
        <f>"2026-05-16 17:58:28.615"</f>
        <v>2026-05-16 17:58:28.615</v>
      </c>
      <c r="H479" t="s">
        <v>22</v>
      </c>
      <c r="I479">
        <v>0</v>
      </c>
      <c r="J479" t="s">
        <v>25</v>
      </c>
    </row>
    <row r="480" spans="1:10" x14ac:dyDescent="0.25">
      <c r="A480" s="1">
        <v>92</v>
      </c>
      <c r="B480" t="s">
        <v>19</v>
      </c>
      <c r="C480">
        <v>700</v>
      </c>
      <c r="D480">
        <v>0</v>
      </c>
      <c r="E480" t="s">
        <v>24</v>
      </c>
      <c r="F480" t="s">
        <v>24</v>
      </c>
      <c r="G480" t="str">
        <f>"2026-05-16 17:48:36.606"</f>
        <v>2026-05-16 17:48:36.606</v>
      </c>
      <c r="H480" t="s">
        <v>22</v>
      </c>
    </row>
    <row r="481" spans="1:10" x14ac:dyDescent="0.25">
      <c r="A481" s="1">
        <v>93</v>
      </c>
      <c r="B481" t="s">
        <v>26</v>
      </c>
      <c r="C481">
        <v>630</v>
      </c>
      <c r="D481">
        <v>5</v>
      </c>
      <c r="E481" t="s">
        <v>39</v>
      </c>
      <c r="F481" t="s">
        <v>40</v>
      </c>
      <c r="G481" t="str">
        <f>"2026-05-16 17:39:53.957"</f>
        <v>2026-05-16 17:39:53.957</v>
      </c>
      <c r="H481" t="s">
        <v>41</v>
      </c>
    </row>
    <row r="482" spans="1:10" x14ac:dyDescent="0.25">
      <c r="A482" s="1">
        <v>94</v>
      </c>
      <c r="B482" t="s">
        <v>19</v>
      </c>
      <c r="C482">
        <v>706</v>
      </c>
      <c r="D482">
        <v>4</v>
      </c>
      <c r="E482" t="s">
        <v>20</v>
      </c>
      <c r="F482" t="s">
        <v>21</v>
      </c>
      <c r="G482" t="str">
        <f>"2026-05-16 17:39:23.999"</f>
        <v>2026-05-16 17:39:23.999</v>
      </c>
      <c r="H482" t="s">
        <v>22</v>
      </c>
      <c r="I482">
        <v>0</v>
      </c>
      <c r="J482" t="s">
        <v>23</v>
      </c>
    </row>
    <row r="483" spans="1:10" x14ac:dyDescent="0.25">
      <c r="A483" s="1">
        <v>95</v>
      </c>
      <c r="B483" t="s">
        <v>34</v>
      </c>
      <c r="C483">
        <v>630</v>
      </c>
      <c r="D483">
        <v>5</v>
      </c>
      <c r="E483" t="s">
        <v>39</v>
      </c>
      <c r="F483" t="s">
        <v>40</v>
      </c>
      <c r="G483" t="str">
        <f>"2026-05-16 17:33:23.358"</f>
        <v>2026-05-16 17:33:23.358</v>
      </c>
      <c r="H483" t="s">
        <v>41</v>
      </c>
      <c r="I483">
        <v>0</v>
      </c>
      <c r="J483" t="s">
        <v>23</v>
      </c>
    </row>
    <row r="484" spans="1:10" x14ac:dyDescent="0.25">
      <c r="A484" s="1">
        <v>96</v>
      </c>
      <c r="B484" t="s">
        <v>19</v>
      </c>
      <c r="C484">
        <v>700</v>
      </c>
      <c r="D484">
        <v>0</v>
      </c>
      <c r="E484" t="s">
        <v>24</v>
      </c>
      <c r="F484" t="s">
        <v>24</v>
      </c>
      <c r="G484" t="str">
        <f>"2026-05-16 17:28:20.609"</f>
        <v>2026-05-16 17:28:20.609</v>
      </c>
      <c r="H484" t="s">
        <v>22</v>
      </c>
    </row>
    <row r="485" spans="1:10" x14ac:dyDescent="0.25">
      <c r="A485" s="1">
        <v>97</v>
      </c>
      <c r="B485" t="s">
        <v>19</v>
      </c>
      <c r="C485">
        <v>706</v>
      </c>
      <c r="D485">
        <v>4</v>
      </c>
      <c r="E485" t="s">
        <v>20</v>
      </c>
      <c r="F485" t="s">
        <v>21</v>
      </c>
      <c r="G485" t="str">
        <f>"2026-05-16 17:27:02.444"</f>
        <v>2026-05-16 17:27:02.444</v>
      </c>
      <c r="H485" t="s">
        <v>22</v>
      </c>
      <c r="I485">
        <v>0</v>
      </c>
      <c r="J485" t="s">
        <v>23</v>
      </c>
    </row>
    <row r="486" spans="1:10" x14ac:dyDescent="0.25">
      <c r="A486" s="1">
        <v>98</v>
      </c>
      <c r="B486" t="s">
        <v>19</v>
      </c>
      <c r="C486">
        <v>706</v>
      </c>
      <c r="D486">
        <v>3</v>
      </c>
      <c r="E486" t="s">
        <v>20</v>
      </c>
      <c r="F486" t="s">
        <v>48</v>
      </c>
      <c r="G486" t="str">
        <f>"2026-05-16 17:26:52.024"</f>
        <v>2026-05-16 17:26:52.024</v>
      </c>
      <c r="H486" t="s">
        <v>22</v>
      </c>
      <c r="I486">
        <v>0</v>
      </c>
      <c r="J486" t="s">
        <v>23</v>
      </c>
    </row>
    <row r="487" spans="1:10" x14ac:dyDescent="0.25">
      <c r="A487" s="1">
        <v>99</v>
      </c>
      <c r="B487" t="s">
        <v>19</v>
      </c>
      <c r="C487">
        <v>706</v>
      </c>
      <c r="D487">
        <v>2</v>
      </c>
      <c r="E487" t="s">
        <v>20</v>
      </c>
      <c r="F487" t="s">
        <v>54</v>
      </c>
      <c r="G487" t="str">
        <f>"2026-05-16 17:26:12.054"</f>
        <v>2026-05-16 17:26:12.054</v>
      </c>
      <c r="H487" t="s">
        <v>22</v>
      </c>
      <c r="I487">
        <v>0</v>
      </c>
      <c r="J487" t="s">
        <v>23</v>
      </c>
    </row>
    <row r="488" spans="1:10" x14ac:dyDescent="0.25">
      <c r="A488" s="1">
        <v>0</v>
      </c>
      <c r="B488" t="s">
        <v>19</v>
      </c>
      <c r="C488">
        <v>706</v>
      </c>
      <c r="D488">
        <v>4</v>
      </c>
      <c r="E488" t="s">
        <v>20</v>
      </c>
      <c r="F488" t="s">
        <v>21</v>
      </c>
      <c r="G488" t="str">
        <f>"2026-05-16 17:25:50.154"</f>
        <v>2026-05-16 17:25:50.154</v>
      </c>
      <c r="H488" t="s">
        <v>22</v>
      </c>
      <c r="I488">
        <v>0</v>
      </c>
      <c r="J488" t="s">
        <v>23</v>
      </c>
    </row>
    <row r="489" spans="1:10" x14ac:dyDescent="0.25">
      <c r="A489" s="1">
        <v>1</v>
      </c>
      <c r="B489" t="s">
        <v>34</v>
      </c>
      <c r="C489">
        <v>630</v>
      </c>
      <c r="D489">
        <v>5</v>
      </c>
      <c r="E489" t="s">
        <v>39</v>
      </c>
      <c r="F489" t="s">
        <v>40</v>
      </c>
      <c r="G489" t="str">
        <f>"2026-05-16 17:20:36.423"</f>
        <v>2026-05-16 17:20:36.423</v>
      </c>
      <c r="H489" t="s">
        <v>41</v>
      </c>
      <c r="I489">
        <v>0</v>
      </c>
      <c r="J489" t="s">
        <v>23</v>
      </c>
    </row>
    <row r="490" spans="1:10" x14ac:dyDescent="0.25">
      <c r="A490" s="1">
        <v>2</v>
      </c>
      <c r="B490" t="s">
        <v>19</v>
      </c>
      <c r="C490">
        <v>700</v>
      </c>
      <c r="D490">
        <v>0</v>
      </c>
      <c r="E490" t="s">
        <v>24</v>
      </c>
      <c r="F490" t="s">
        <v>24</v>
      </c>
      <c r="G490" t="str">
        <f>"2026-05-16 17:15:33.624"</f>
        <v>2026-05-16 17:15:33.624</v>
      </c>
      <c r="H490" t="s">
        <v>22</v>
      </c>
      <c r="I490">
        <v>0</v>
      </c>
      <c r="J490" t="s">
        <v>25</v>
      </c>
    </row>
    <row r="491" spans="1:10" x14ac:dyDescent="0.25">
      <c r="A491" s="1">
        <v>3</v>
      </c>
      <c r="B491" t="s">
        <v>19</v>
      </c>
      <c r="C491">
        <v>700</v>
      </c>
      <c r="D491">
        <v>0</v>
      </c>
      <c r="E491" t="s">
        <v>24</v>
      </c>
      <c r="F491" t="s">
        <v>24</v>
      </c>
      <c r="G491" t="str">
        <f>"2026-05-16 15:20:49.620"</f>
        <v>2026-05-16 15:20:49.620</v>
      </c>
      <c r="H491" t="s">
        <v>22</v>
      </c>
    </row>
    <row r="492" spans="1:10" x14ac:dyDescent="0.25">
      <c r="A492" s="1">
        <v>4</v>
      </c>
      <c r="B492" t="s">
        <v>19</v>
      </c>
      <c r="C492">
        <v>700</v>
      </c>
      <c r="D492">
        <v>0</v>
      </c>
      <c r="E492" t="s">
        <v>24</v>
      </c>
      <c r="F492" t="s">
        <v>24</v>
      </c>
      <c r="G492" t="str">
        <f>"2026-05-16 13:47:03.618"</f>
        <v>2026-05-16 13:47:03.618</v>
      </c>
      <c r="H492" t="s">
        <v>22</v>
      </c>
      <c r="I492">
        <v>0</v>
      </c>
      <c r="J492" t="s">
        <v>25</v>
      </c>
    </row>
    <row r="493" spans="1:10" x14ac:dyDescent="0.25">
      <c r="A493" s="1">
        <v>5</v>
      </c>
      <c r="B493" t="s">
        <v>19</v>
      </c>
      <c r="C493">
        <v>700</v>
      </c>
      <c r="D493">
        <v>0</v>
      </c>
      <c r="E493" t="s">
        <v>24</v>
      </c>
      <c r="F493" t="s">
        <v>24</v>
      </c>
      <c r="G493" t="str">
        <f>"2026-05-16 13:07:47.616"</f>
        <v>2026-05-16 13:07:47.616</v>
      </c>
      <c r="H493" t="s">
        <v>22</v>
      </c>
      <c r="I493">
        <v>0</v>
      </c>
      <c r="J493" t="s">
        <v>25</v>
      </c>
    </row>
    <row r="494" spans="1:10" x14ac:dyDescent="0.25">
      <c r="A494" s="1">
        <v>6</v>
      </c>
      <c r="B494" t="s">
        <v>26</v>
      </c>
      <c r="C494">
        <v>635</v>
      </c>
      <c r="D494">
        <v>1</v>
      </c>
      <c r="E494" t="s">
        <v>27</v>
      </c>
      <c r="F494" t="s">
        <v>28</v>
      </c>
      <c r="G494" t="str">
        <f>"2026-05-15 23:03:46.364"</f>
        <v>2026-05-15 23:03:46.364</v>
      </c>
      <c r="H494" t="s">
        <v>22</v>
      </c>
    </row>
    <row r="495" spans="1:10" x14ac:dyDescent="0.25">
      <c r="A495" s="1">
        <v>7</v>
      </c>
      <c r="B495" t="s">
        <v>29</v>
      </c>
      <c r="C495">
        <v>635</v>
      </c>
      <c r="D495">
        <v>1</v>
      </c>
      <c r="E495" t="s">
        <v>27</v>
      </c>
      <c r="F495" t="s">
        <v>28</v>
      </c>
      <c r="G495" t="str">
        <f>"2026-05-15 23:00:28.864"</f>
        <v>2026-05-15 23:00:28.864</v>
      </c>
      <c r="H495" t="s">
        <v>22</v>
      </c>
      <c r="I495">
        <v>2.91</v>
      </c>
      <c r="J495" t="s">
        <v>38</v>
      </c>
    </row>
    <row r="496" spans="1:10" x14ac:dyDescent="0.25">
      <c r="A496" s="1">
        <v>8</v>
      </c>
      <c r="B496" t="s">
        <v>26</v>
      </c>
      <c r="C496">
        <v>635</v>
      </c>
      <c r="D496">
        <v>1</v>
      </c>
      <c r="E496" t="s">
        <v>27</v>
      </c>
      <c r="F496" t="s">
        <v>28</v>
      </c>
      <c r="G496" t="str">
        <f>"2026-05-15 15:36:03.064"</f>
        <v>2026-05-15 15:36:03.064</v>
      </c>
      <c r="H496" t="s">
        <v>22</v>
      </c>
    </row>
    <row r="497" spans="1:10" x14ac:dyDescent="0.25">
      <c r="A497" s="1">
        <v>9</v>
      </c>
      <c r="B497" t="s">
        <v>29</v>
      </c>
      <c r="C497">
        <v>635</v>
      </c>
      <c r="D497">
        <v>1</v>
      </c>
      <c r="E497" t="s">
        <v>27</v>
      </c>
      <c r="F497" t="s">
        <v>28</v>
      </c>
      <c r="G497" t="str">
        <f>"2026-05-15 15:33:45.564"</f>
        <v>2026-05-15 15:33:45.564</v>
      </c>
      <c r="H497" t="s">
        <v>22</v>
      </c>
      <c r="I497">
        <v>3.35</v>
      </c>
      <c r="J497" t="s">
        <v>30</v>
      </c>
    </row>
    <row r="498" spans="1:10" x14ac:dyDescent="0.25">
      <c r="A498" s="1">
        <v>10</v>
      </c>
      <c r="B498" t="s">
        <v>19</v>
      </c>
      <c r="C498">
        <v>700</v>
      </c>
      <c r="D498">
        <v>0</v>
      </c>
      <c r="E498" t="s">
        <v>24</v>
      </c>
      <c r="F498" t="s">
        <v>24</v>
      </c>
      <c r="G498" t="str">
        <f>"2026-05-15 13:21:08.635"</f>
        <v>2026-05-15 13:21:08.635</v>
      </c>
      <c r="H498" t="s">
        <v>22</v>
      </c>
      <c r="I498">
        <v>0</v>
      </c>
      <c r="J498" t="s">
        <v>25</v>
      </c>
    </row>
    <row r="499" spans="1:10" s="3" customFormat="1" x14ac:dyDescent="0.25">
      <c r="A499" s="2">
        <v>11</v>
      </c>
      <c r="B499" s="3" t="s">
        <v>26</v>
      </c>
      <c r="C499" s="3">
        <v>647</v>
      </c>
      <c r="D499" s="3">
        <v>1</v>
      </c>
      <c r="E499" s="3" t="s">
        <v>35</v>
      </c>
      <c r="F499" s="3" t="s">
        <v>36</v>
      </c>
      <c r="G499" s="3" t="str">
        <f>"2026-05-15 06:25:49.292"</f>
        <v>2026-05-15 06:25:49.292</v>
      </c>
      <c r="H499" s="3" t="s">
        <v>22</v>
      </c>
    </row>
    <row r="500" spans="1:10" s="3" customFormat="1" x14ac:dyDescent="0.25">
      <c r="A500" s="2">
        <v>12</v>
      </c>
      <c r="B500" s="3" t="s">
        <v>29</v>
      </c>
      <c r="C500" s="3">
        <v>647</v>
      </c>
      <c r="D500" s="3">
        <v>1</v>
      </c>
      <c r="E500" s="3" t="s">
        <v>35</v>
      </c>
      <c r="F500" s="3" t="s">
        <v>36</v>
      </c>
      <c r="G500" s="3" t="str">
        <f>"2026-05-15 06:25:47.093"</f>
        <v>2026-05-15 06:25:47.093</v>
      </c>
      <c r="H500" s="3" t="s">
        <v>22</v>
      </c>
      <c r="I500" s="3">
        <v>22.93</v>
      </c>
      <c r="J500" s="3" t="s">
        <v>37</v>
      </c>
    </row>
    <row r="501" spans="1:10" x14ac:dyDescent="0.25">
      <c r="A501" s="1">
        <v>13</v>
      </c>
      <c r="B501" t="s">
        <v>19</v>
      </c>
      <c r="C501">
        <v>700</v>
      </c>
      <c r="D501">
        <v>0</v>
      </c>
      <c r="E501" t="s">
        <v>24</v>
      </c>
      <c r="F501" t="s">
        <v>24</v>
      </c>
      <c r="G501" t="str">
        <f>"2026-05-15 00:10:39.613"</f>
        <v>2026-05-15 00:10:39.613</v>
      </c>
      <c r="H501" t="s">
        <v>22</v>
      </c>
    </row>
    <row r="502" spans="1:10" x14ac:dyDescent="0.25">
      <c r="A502" s="1">
        <v>14</v>
      </c>
      <c r="B502" t="s">
        <v>19</v>
      </c>
      <c r="C502">
        <v>706</v>
      </c>
      <c r="D502">
        <v>3</v>
      </c>
      <c r="E502" t="s">
        <v>20</v>
      </c>
      <c r="F502" t="s">
        <v>48</v>
      </c>
      <c r="G502" t="str">
        <f>"2026-05-14 23:52:07.520"</f>
        <v>2026-05-14 23:52:07.520</v>
      </c>
      <c r="H502" t="s">
        <v>22</v>
      </c>
      <c r="I502">
        <v>0</v>
      </c>
      <c r="J502" t="s">
        <v>23</v>
      </c>
    </row>
    <row r="503" spans="1:10" x14ac:dyDescent="0.25">
      <c r="A503" s="1">
        <v>15</v>
      </c>
      <c r="B503" t="s">
        <v>19</v>
      </c>
      <c r="C503">
        <v>700</v>
      </c>
      <c r="D503">
        <v>0</v>
      </c>
      <c r="E503" t="s">
        <v>24</v>
      </c>
      <c r="F503" t="s">
        <v>24</v>
      </c>
      <c r="G503" t="str">
        <f>"2026-05-14 13:43:19.650"</f>
        <v>2026-05-14 13:43:19.650</v>
      </c>
      <c r="H503" t="s">
        <v>22</v>
      </c>
      <c r="I503">
        <v>0</v>
      </c>
      <c r="J503" t="s">
        <v>25</v>
      </c>
    </row>
    <row r="504" spans="1:10" x14ac:dyDescent="0.25">
      <c r="A504" s="1">
        <v>16</v>
      </c>
      <c r="B504" t="s">
        <v>19</v>
      </c>
      <c r="C504">
        <v>700</v>
      </c>
      <c r="D504">
        <v>0</v>
      </c>
      <c r="E504" t="s">
        <v>24</v>
      </c>
      <c r="F504" t="s">
        <v>24</v>
      </c>
      <c r="G504" t="str">
        <f>"2026-05-14 10:20:03.674"</f>
        <v>2026-05-14 10:20:03.674</v>
      </c>
      <c r="H504" t="s">
        <v>22</v>
      </c>
    </row>
    <row r="505" spans="1:10" x14ac:dyDescent="0.25">
      <c r="A505" s="1">
        <v>17</v>
      </c>
      <c r="B505" t="s">
        <v>19</v>
      </c>
      <c r="C505">
        <v>700</v>
      </c>
      <c r="D505">
        <v>0</v>
      </c>
      <c r="E505" t="s">
        <v>24</v>
      </c>
      <c r="F505" t="s">
        <v>24</v>
      </c>
      <c r="G505" t="str">
        <f>"2026-05-13 13:38:29.608"</f>
        <v>2026-05-13 13:38:29.608</v>
      </c>
      <c r="H505" t="s">
        <v>22</v>
      </c>
    </row>
    <row r="506" spans="1:10" x14ac:dyDescent="0.25">
      <c r="A506" s="1">
        <v>18</v>
      </c>
      <c r="B506" t="s">
        <v>19</v>
      </c>
      <c r="C506">
        <v>700</v>
      </c>
      <c r="D506">
        <v>0</v>
      </c>
      <c r="E506" t="s">
        <v>24</v>
      </c>
      <c r="F506" t="s">
        <v>24</v>
      </c>
      <c r="G506" t="str">
        <f>"2026-05-13 13:19:31.617"</f>
        <v>2026-05-13 13:19:31.617</v>
      </c>
      <c r="H506" t="s">
        <v>22</v>
      </c>
    </row>
    <row r="507" spans="1:10" x14ac:dyDescent="0.25">
      <c r="A507" s="1">
        <v>19</v>
      </c>
      <c r="B507" t="s">
        <v>26</v>
      </c>
      <c r="C507">
        <v>630</v>
      </c>
      <c r="D507">
        <v>5</v>
      </c>
      <c r="E507" t="s">
        <v>39</v>
      </c>
      <c r="F507" t="s">
        <v>40</v>
      </c>
      <c r="G507" t="str">
        <f>"2026-05-13 12:48:43.924"</f>
        <v>2026-05-13 12:48:43.924</v>
      </c>
      <c r="H507" t="s">
        <v>41</v>
      </c>
    </row>
    <row r="508" spans="1:10" x14ac:dyDescent="0.25">
      <c r="A508" s="1">
        <v>20</v>
      </c>
      <c r="B508" t="s">
        <v>19</v>
      </c>
      <c r="C508">
        <v>706</v>
      </c>
      <c r="D508">
        <v>4</v>
      </c>
      <c r="E508" t="s">
        <v>20</v>
      </c>
      <c r="F508" t="s">
        <v>21</v>
      </c>
      <c r="G508" t="str">
        <f>"2026-05-13 12:48:13.782"</f>
        <v>2026-05-13 12:48:13.782</v>
      </c>
      <c r="H508" t="s">
        <v>22</v>
      </c>
      <c r="I508">
        <v>0</v>
      </c>
      <c r="J508" t="s">
        <v>23</v>
      </c>
    </row>
    <row r="509" spans="1:10" x14ac:dyDescent="0.25">
      <c r="A509" s="1">
        <v>21</v>
      </c>
      <c r="B509" t="s">
        <v>34</v>
      </c>
      <c r="C509">
        <v>630</v>
      </c>
      <c r="D509">
        <v>5</v>
      </c>
      <c r="E509" t="s">
        <v>39</v>
      </c>
      <c r="F509" t="s">
        <v>40</v>
      </c>
      <c r="G509" t="str">
        <f>"2026-05-13 12:34:09.424"</f>
        <v>2026-05-13 12:34:09.424</v>
      </c>
      <c r="H509" t="s">
        <v>41</v>
      </c>
      <c r="I509">
        <v>0</v>
      </c>
      <c r="J509" t="s">
        <v>23</v>
      </c>
    </row>
    <row r="510" spans="1:10" x14ac:dyDescent="0.25">
      <c r="A510" s="1">
        <v>22</v>
      </c>
      <c r="B510" t="s">
        <v>19</v>
      </c>
      <c r="C510">
        <v>700</v>
      </c>
      <c r="D510">
        <v>0</v>
      </c>
      <c r="E510" t="s">
        <v>24</v>
      </c>
      <c r="F510" t="s">
        <v>24</v>
      </c>
      <c r="G510" t="str">
        <f>"2026-05-13 12:29:06.652"</f>
        <v>2026-05-13 12:29:06.652</v>
      </c>
      <c r="H510" t="s">
        <v>22</v>
      </c>
      <c r="I510">
        <v>0</v>
      </c>
      <c r="J510" t="s">
        <v>25</v>
      </c>
    </row>
    <row r="511" spans="1:10" x14ac:dyDescent="0.25">
      <c r="A511" s="1">
        <v>23</v>
      </c>
      <c r="B511" t="s">
        <v>26</v>
      </c>
      <c r="C511">
        <v>635</v>
      </c>
      <c r="D511">
        <v>1</v>
      </c>
      <c r="E511" t="s">
        <v>27</v>
      </c>
      <c r="F511" t="s">
        <v>28</v>
      </c>
      <c r="G511" t="str">
        <f>"2026-05-13 10:31:19.151"</f>
        <v>2026-05-13 10:31:19.151</v>
      </c>
      <c r="H511" t="s">
        <v>22</v>
      </c>
    </row>
    <row r="512" spans="1:10" x14ac:dyDescent="0.25">
      <c r="A512" s="1">
        <v>24</v>
      </c>
      <c r="B512" t="s">
        <v>29</v>
      </c>
      <c r="C512">
        <v>635</v>
      </c>
      <c r="D512">
        <v>1</v>
      </c>
      <c r="E512" t="s">
        <v>27</v>
      </c>
      <c r="F512" t="s">
        <v>28</v>
      </c>
      <c r="G512" t="str">
        <f>"2026-05-13 10:23:54.651"</f>
        <v>2026-05-13 10:23:54.651</v>
      </c>
      <c r="H512" t="s">
        <v>22</v>
      </c>
      <c r="I512">
        <v>5.07</v>
      </c>
      <c r="J512" t="s">
        <v>37</v>
      </c>
    </row>
    <row r="513" spans="1:10" x14ac:dyDescent="0.25">
      <c r="A513" s="1">
        <v>25</v>
      </c>
      <c r="B513" t="s">
        <v>26</v>
      </c>
      <c r="C513">
        <v>630</v>
      </c>
      <c r="D513">
        <v>5</v>
      </c>
      <c r="E513" t="s">
        <v>39</v>
      </c>
      <c r="F513" t="s">
        <v>40</v>
      </c>
      <c r="G513" t="str">
        <f>"2026-05-13 09:07:57.851"</f>
        <v>2026-05-13 09:07:57.851</v>
      </c>
      <c r="H513" t="s">
        <v>41</v>
      </c>
    </row>
    <row r="514" spans="1:10" x14ac:dyDescent="0.25">
      <c r="A514" s="1">
        <v>26</v>
      </c>
      <c r="B514" t="s">
        <v>19</v>
      </c>
      <c r="C514">
        <v>706</v>
      </c>
      <c r="D514">
        <v>4</v>
      </c>
      <c r="E514" t="s">
        <v>20</v>
      </c>
      <c r="F514" t="s">
        <v>21</v>
      </c>
      <c r="G514" t="str">
        <f>"2026-05-13 09:07:27.702"</f>
        <v>2026-05-13 09:07:27.702</v>
      </c>
      <c r="H514" t="s">
        <v>22</v>
      </c>
      <c r="I514">
        <v>0</v>
      </c>
      <c r="J514" t="s">
        <v>23</v>
      </c>
    </row>
    <row r="515" spans="1:10" x14ac:dyDescent="0.25">
      <c r="A515" s="1">
        <v>27</v>
      </c>
      <c r="B515" t="s">
        <v>34</v>
      </c>
      <c r="C515">
        <v>630</v>
      </c>
      <c r="D515">
        <v>5</v>
      </c>
      <c r="E515" t="s">
        <v>39</v>
      </c>
      <c r="F515" t="s">
        <v>40</v>
      </c>
      <c r="G515" t="str">
        <f>"2026-05-13 09:06:09.952"</f>
        <v>2026-05-13 09:06:09.952</v>
      </c>
      <c r="H515" t="s">
        <v>41</v>
      </c>
      <c r="I515">
        <v>0</v>
      </c>
      <c r="J515" t="s">
        <v>23</v>
      </c>
    </row>
    <row r="516" spans="1:10" x14ac:dyDescent="0.25">
      <c r="A516" s="1">
        <v>28</v>
      </c>
      <c r="B516" t="s">
        <v>19</v>
      </c>
      <c r="C516">
        <v>706</v>
      </c>
      <c r="D516">
        <v>2</v>
      </c>
      <c r="E516" t="s">
        <v>20</v>
      </c>
      <c r="F516" t="s">
        <v>54</v>
      </c>
      <c r="G516" t="str">
        <f>"2026-05-13 08:59:15.912"</f>
        <v>2026-05-13 08:59:15.912</v>
      </c>
      <c r="H516" t="s">
        <v>22</v>
      </c>
      <c r="I516">
        <v>0</v>
      </c>
      <c r="J516" t="s">
        <v>23</v>
      </c>
    </row>
    <row r="517" spans="1:10" x14ac:dyDescent="0.25">
      <c r="A517" s="1">
        <v>29</v>
      </c>
      <c r="B517" t="s">
        <v>19</v>
      </c>
      <c r="C517">
        <v>700</v>
      </c>
      <c r="D517">
        <v>0</v>
      </c>
      <c r="E517" t="s">
        <v>24</v>
      </c>
      <c r="F517" t="s">
        <v>24</v>
      </c>
      <c r="G517" t="str">
        <f>"2026-05-13 08:57:58.622"</f>
        <v>2026-05-13 08:57:58.622</v>
      </c>
      <c r="H517" t="s">
        <v>22</v>
      </c>
      <c r="I517">
        <v>0</v>
      </c>
      <c r="J517" t="s">
        <v>25</v>
      </c>
    </row>
    <row r="518" spans="1:10" x14ac:dyDescent="0.25">
      <c r="A518" s="1">
        <v>30</v>
      </c>
      <c r="B518" t="s">
        <v>19</v>
      </c>
      <c r="C518">
        <v>700</v>
      </c>
      <c r="D518">
        <v>0</v>
      </c>
      <c r="E518" t="s">
        <v>24</v>
      </c>
      <c r="F518" t="s">
        <v>24</v>
      </c>
      <c r="G518" t="str">
        <f>"2026-05-13 08:32:19.676"</f>
        <v>2026-05-13 08:32:19.676</v>
      </c>
      <c r="H518" t="s">
        <v>22</v>
      </c>
    </row>
    <row r="519" spans="1:10" x14ac:dyDescent="0.25">
      <c r="A519" s="1">
        <v>31</v>
      </c>
      <c r="B519" t="s">
        <v>19</v>
      </c>
      <c r="C519">
        <v>700</v>
      </c>
      <c r="D519">
        <v>0</v>
      </c>
      <c r="E519" t="s">
        <v>24</v>
      </c>
      <c r="F519" t="s">
        <v>24</v>
      </c>
      <c r="G519" t="str">
        <f>"2026-05-13 08:17:23.698"</f>
        <v>2026-05-13 08:17:23.698</v>
      </c>
      <c r="H519" t="s">
        <v>22</v>
      </c>
    </row>
    <row r="520" spans="1:10" x14ac:dyDescent="0.25">
      <c r="A520" s="1">
        <v>32</v>
      </c>
      <c r="B520" t="s">
        <v>19</v>
      </c>
      <c r="C520">
        <v>700</v>
      </c>
      <c r="D520">
        <v>0</v>
      </c>
      <c r="E520" t="s">
        <v>24</v>
      </c>
      <c r="F520" t="s">
        <v>24</v>
      </c>
      <c r="G520" t="str">
        <f>"2026-05-13 08:04:27.619"</f>
        <v>2026-05-13 08:04:27.619</v>
      </c>
      <c r="H520" t="s">
        <v>22</v>
      </c>
      <c r="I520">
        <v>0</v>
      </c>
      <c r="J520" t="s">
        <v>25</v>
      </c>
    </row>
    <row r="521" spans="1:10" x14ac:dyDescent="0.25">
      <c r="A521" s="1">
        <v>33</v>
      </c>
      <c r="B521" t="s">
        <v>19</v>
      </c>
      <c r="C521">
        <v>700</v>
      </c>
      <c r="D521">
        <v>0</v>
      </c>
      <c r="E521" t="s">
        <v>24</v>
      </c>
      <c r="F521" t="s">
        <v>24</v>
      </c>
      <c r="G521" t="str">
        <f>"2026-05-13 08:00:23.600"</f>
        <v>2026-05-13 08:00:23.600</v>
      </c>
      <c r="H521" t="s">
        <v>22</v>
      </c>
    </row>
    <row r="522" spans="1:10" x14ac:dyDescent="0.25">
      <c r="A522" s="1">
        <v>34</v>
      </c>
      <c r="B522" t="s">
        <v>19</v>
      </c>
      <c r="C522">
        <v>700</v>
      </c>
      <c r="D522">
        <v>0</v>
      </c>
      <c r="E522" t="s">
        <v>24</v>
      </c>
      <c r="F522" t="s">
        <v>24</v>
      </c>
      <c r="G522" t="str">
        <f>"2026-05-13 01:41:30.717"</f>
        <v>2026-05-13 01:41:30.717</v>
      </c>
      <c r="H522" t="s">
        <v>22</v>
      </c>
    </row>
    <row r="523" spans="1:10" x14ac:dyDescent="0.25">
      <c r="A523" s="1">
        <v>35</v>
      </c>
      <c r="B523" t="s">
        <v>19</v>
      </c>
      <c r="C523">
        <v>700</v>
      </c>
      <c r="D523">
        <v>0</v>
      </c>
      <c r="E523" t="s">
        <v>24</v>
      </c>
      <c r="F523" t="s">
        <v>24</v>
      </c>
      <c r="G523" t="str">
        <f>"2026-05-13 00:05:25.661"</f>
        <v>2026-05-13 00:05:25.661</v>
      </c>
      <c r="H523" t="s">
        <v>22</v>
      </c>
    </row>
    <row r="524" spans="1:10" x14ac:dyDescent="0.25">
      <c r="A524" s="1">
        <v>36</v>
      </c>
      <c r="B524" t="s">
        <v>19</v>
      </c>
      <c r="C524">
        <v>706</v>
      </c>
      <c r="D524">
        <v>2</v>
      </c>
      <c r="E524" t="s">
        <v>20</v>
      </c>
      <c r="F524" t="s">
        <v>54</v>
      </c>
      <c r="G524" t="str">
        <f>"2026-05-12 22:31:00.841"</f>
        <v>2026-05-12 22:31:00.841</v>
      </c>
      <c r="H524" t="s">
        <v>22</v>
      </c>
      <c r="I524">
        <v>0</v>
      </c>
      <c r="J524" t="s">
        <v>23</v>
      </c>
    </row>
    <row r="525" spans="1:10" x14ac:dyDescent="0.25">
      <c r="A525" s="1">
        <v>37</v>
      </c>
      <c r="B525" t="s">
        <v>19</v>
      </c>
      <c r="C525">
        <v>700</v>
      </c>
      <c r="D525">
        <v>0</v>
      </c>
      <c r="E525" t="s">
        <v>24</v>
      </c>
      <c r="F525" t="s">
        <v>24</v>
      </c>
      <c r="G525" t="str">
        <f>"2026-05-12 22:28:56.621"</f>
        <v>2026-05-12 22:28:56.621</v>
      </c>
      <c r="H525" t="s">
        <v>22</v>
      </c>
    </row>
    <row r="526" spans="1:10" x14ac:dyDescent="0.25">
      <c r="A526" s="1">
        <v>38</v>
      </c>
      <c r="B526" t="s">
        <v>19</v>
      </c>
      <c r="C526">
        <v>700</v>
      </c>
      <c r="D526">
        <v>0</v>
      </c>
      <c r="E526" t="s">
        <v>24</v>
      </c>
      <c r="F526" t="s">
        <v>24</v>
      </c>
      <c r="G526" t="str">
        <f>"2026-05-12 22:17:18.623"</f>
        <v>2026-05-12 22:17:18.623</v>
      </c>
      <c r="H526" t="s">
        <v>22</v>
      </c>
      <c r="I526">
        <v>0</v>
      </c>
      <c r="J526" t="s">
        <v>25</v>
      </c>
    </row>
    <row r="527" spans="1:10" x14ac:dyDescent="0.25">
      <c r="A527" s="1">
        <v>39</v>
      </c>
      <c r="B527" t="s">
        <v>19</v>
      </c>
      <c r="C527">
        <v>700</v>
      </c>
      <c r="D527">
        <v>0</v>
      </c>
      <c r="E527" t="s">
        <v>24</v>
      </c>
      <c r="F527" t="s">
        <v>24</v>
      </c>
      <c r="G527" t="str">
        <f>"2026-05-12 22:06:13.602"</f>
        <v>2026-05-12 22:06:13.602</v>
      </c>
      <c r="H527" t="s">
        <v>22</v>
      </c>
      <c r="I527">
        <v>0</v>
      </c>
      <c r="J527" t="s">
        <v>25</v>
      </c>
    </row>
    <row r="528" spans="1:10" x14ac:dyDescent="0.25">
      <c r="A528" s="1">
        <v>40</v>
      </c>
      <c r="B528" t="s">
        <v>34</v>
      </c>
      <c r="C528">
        <v>47</v>
      </c>
      <c r="D528">
        <v>2</v>
      </c>
      <c r="E528" t="s">
        <v>83</v>
      </c>
      <c r="F528" t="s">
        <v>84</v>
      </c>
      <c r="G528" t="str">
        <f>"2026-05-12 20:37:30.687"</f>
        <v>2026-05-12 20:37:30.687</v>
      </c>
      <c r="H528" t="s">
        <v>47</v>
      </c>
      <c r="I528">
        <v>0</v>
      </c>
      <c r="J528" t="s">
        <v>72</v>
      </c>
    </row>
    <row r="529" spans="1:10" x14ac:dyDescent="0.25">
      <c r="A529" s="1">
        <v>41</v>
      </c>
      <c r="B529" t="s">
        <v>19</v>
      </c>
      <c r="C529">
        <v>700</v>
      </c>
      <c r="D529">
        <v>0</v>
      </c>
      <c r="E529" t="s">
        <v>24</v>
      </c>
      <c r="F529" t="s">
        <v>24</v>
      </c>
      <c r="G529" t="str">
        <f>"2026-05-12 20:37:24.606"</f>
        <v>2026-05-12 20:37:24.606</v>
      </c>
      <c r="H529" t="s">
        <v>22</v>
      </c>
    </row>
    <row r="530" spans="1:10" x14ac:dyDescent="0.25">
      <c r="A530" s="1">
        <v>42</v>
      </c>
      <c r="B530" t="s">
        <v>19</v>
      </c>
      <c r="C530">
        <v>700</v>
      </c>
      <c r="D530">
        <v>0</v>
      </c>
      <c r="E530" t="s">
        <v>24</v>
      </c>
      <c r="F530" t="s">
        <v>24</v>
      </c>
      <c r="G530" t="str">
        <f>"2026-05-12 20:19:10.614"</f>
        <v>2026-05-12 20:19:10.614</v>
      </c>
      <c r="H530" t="s">
        <v>22</v>
      </c>
    </row>
    <row r="531" spans="1:10" x14ac:dyDescent="0.25">
      <c r="A531" s="1">
        <v>43</v>
      </c>
      <c r="B531" t="s">
        <v>19</v>
      </c>
      <c r="C531">
        <v>700</v>
      </c>
      <c r="D531">
        <v>0</v>
      </c>
      <c r="E531" t="s">
        <v>24</v>
      </c>
      <c r="F531" t="s">
        <v>24</v>
      </c>
      <c r="G531" t="str">
        <f>"2026-05-12 20:18:02.619"</f>
        <v>2026-05-12 20:18:02.619</v>
      </c>
      <c r="H531" t="s">
        <v>22</v>
      </c>
      <c r="I531">
        <v>0</v>
      </c>
      <c r="J531" t="s">
        <v>25</v>
      </c>
    </row>
    <row r="532" spans="1:10" x14ac:dyDescent="0.25">
      <c r="A532" s="1">
        <v>44</v>
      </c>
      <c r="B532" t="s">
        <v>19</v>
      </c>
      <c r="C532">
        <v>700</v>
      </c>
      <c r="D532">
        <v>0</v>
      </c>
      <c r="E532" t="s">
        <v>24</v>
      </c>
      <c r="F532" t="s">
        <v>24</v>
      </c>
      <c r="G532" t="str">
        <f>"2026-05-12 17:25:13.621"</f>
        <v>2026-05-12 17:25:13.621</v>
      </c>
      <c r="H532" t="s">
        <v>22</v>
      </c>
    </row>
    <row r="533" spans="1:10" x14ac:dyDescent="0.25">
      <c r="A533" s="1">
        <v>45</v>
      </c>
      <c r="B533" t="s">
        <v>19</v>
      </c>
      <c r="C533">
        <v>706</v>
      </c>
      <c r="D533">
        <v>4</v>
      </c>
      <c r="E533" t="s">
        <v>20</v>
      </c>
      <c r="F533" t="s">
        <v>21</v>
      </c>
      <c r="G533" t="str">
        <f>"2026-05-12 16:33:43.793"</f>
        <v>2026-05-12 16:33:43.793</v>
      </c>
      <c r="H533" t="s">
        <v>22</v>
      </c>
      <c r="I533">
        <v>0</v>
      </c>
      <c r="J533" t="s">
        <v>23</v>
      </c>
    </row>
    <row r="534" spans="1:10" x14ac:dyDescent="0.25">
      <c r="A534" s="1">
        <v>46</v>
      </c>
      <c r="B534" t="s">
        <v>19</v>
      </c>
      <c r="C534">
        <v>700</v>
      </c>
      <c r="D534">
        <v>0</v>
      </c>
      <c r="E534" t="s">
        <v>24</v>
      </c>
      <c r="F534" t="s">
        <v>24</v>
      </c>
      <c r="G534" t="str">
        <f>"2026-05-12 16:30:46.633"</f>
        <v>2026-05-12 16:30:46.633</v>
      </c>
      <c r="H534" t="s">
        <v>22</v>
      </c>
      <c r="I534">
        <v>0</v>
      </c>
      <c r="J534" t="s">
        <v>25</v>
      </c>
    </row>
    <row r="535" spans="1:10" x14ac:dyDescent="0.25">
      <c r="A535" s="1">
        <v>47</v>
      </c>
      <c r="B535" t="s">
        <v>19</v>
      </c>
      <c r="C535">
        <v>700</v>
      </c>
      <c r="D535">
        <v>0</v>
      </c>
      <c r="E535" t="s">
        <v>24</v>
      </c>
      <c r="F535" t="s">
        <v>24</v>
      </c>
      <c r="G535" t="str">
        <f>"2026-05-12 16:16:10.622"</f>
        <v>2026-05-12 16:16:10.622</v>
      </c>
      <c r="H535" t="s">
        <v>22</v>
      </c>
    </row>
    <row r="536" spans="1:10" x14ac:dyDescent="0.25">
      <c r="A536" s="1">
        <v>48</v>
      </c>
      <c r="B536" t="s">
        <v>19</v>
      </c>
      <c r="C536">
        <v>706</v>
      </c>
      <c r="D536">
        <v>2</v>
      </c>
      <c r="E536" t="s">
        <v>20</v>
      </c>
      <c r="F536" t="s">
        <v>54</v>
      </c>
      <c r="G536" t="str">
        <f>"2026-05-12 15:28:15.627"</f>
        <v>2026-05-12 15:28:15.627</v>
      </c>
      <c r="H536" t="s">
        <v>22</v>
      </c>
      <c r="I536">
        <v>0</v>
      </c>
      <c r="J536" t="s">
        <v>23</v>
      </c>
    </row>
    <row r="537" spans="1:10" x14ac:dyDescent="0.25">
      <c r="A537" s="1">
        <v>49</v>
      </c>
      <c r="B537" t="s">
        <v>19</v>
      </c>
      <c r="C537">
        <v>700</v>
      </c>
      <c r="D537">
        <v>0</v>
      </c>
      <c r="E537" t="s">
        <v>24</v>
      </c>
      <c r="F537" t="s">
        <v>24</v>
      </c>
      <c r="G537" t="str">
        <f>"2026-05-12 15:25:57.627"</f>
        <v>2026-05-12 15:25:57.627</v>
      </c>
      <c r="H537" t="s">
        <v>22</v>
      </c>
      <c r="I537">
        <v>0</v>
      </c>
      <c r="J537" t="s">
        <v>25</v>
      </c>
    </row>
    <row r="538" spans="1:10" x14ac:dyDescent="0.25">
      <c r="A538" s="1">
        <v>50</v>
      </c>
      <c r="B538" t="s">
        <v>19</v>
      </c>
      <c r="C538">
        <v>706</v>
      </c>
      <c r="D538">
        <v>2</v>
      </c>
      <c r="E538" t="s">
        <v>20</v>
      </c>
      <c r="F538" t="s">
        <v>54</v>
      </c>
      <c r="G538" t="str">
        <f>"2026-05-12 14:57:56.020"</f>
        <v>2026-05-12 14:57:56.020</v>
      </c>
      <c r="H538" t="s">
        <v>22</v>
      </c>
      <c r="I538">
        <v>0</v>
      </c>
      <c r="J538" t="s">
        <v>23</v>
      </c>
    </row>
    <row r="539" spans="1:10" x14ac:dyDescent="0.25">
      <c r="A539" s="1">
        <v>51</v>
      </c>
      <c r="B539" t="s">
        <v>26</v>
      </c>
      <c r="C539">
        <v>630</v>
      </c>
      <c r="D539">
        <v>5</v>
      </c>
      <c r="E539" t="s">
        <v>39</v>
      </c>
      <c r="F539" t="s">
        <v>40</v>
      </c>
      <c r="G539" t="str">
        <f>"2026-05-12 14:52:52.583"</f>
        <v>2026-05-12 14:52:52.583</v>
      </c>
      <c r="H539" t="s">
        <v>41</v>
      </c>
    </row>
    <row r="540" spans="1:10" x14ac:dyDescent="0.25">
      <c r="A540" s="1">
        <v>52</v>
      </c>
      <c r="B540" t="s">
        <v>19</v>
      </c>
      <c r="C540">
        <v>706</v>
      </c>
      <c r="D540">
        <v>2</v>
      </c>
      <c r="E540" t="s">
        <v>20</v>
      </c>
      <c r="F540" t="s">
        <v>54</v>
      </c>
      <c r="G540" t="str">
        <f>"2026-05-12 14:52:22.420"</f>
        <v>2026-05-12 14:52:22.420</v>
      </c>
      <c r="H540" t="s">
        <v>22</v>
      </c>
      <c r="I540">
        <v>0</v>
      </c>
      <c r="J540" t="s">
        <v>23</v>
      </c>
    </row>
    <row r="541" spans="1:10" x14ac:dyDescent="0.25">
      <c r="A541" s="1">
        <v>53</v>
      </c>
      <c r="B541" t="s">
        <v>34</v>
      </c>
      <c r="C541">
        <v>630</v>
      </c>
      <c r="D541">
        <v>5</v>
      </c>
      <c r="E541" t="s">
        <v>39</v>
      </c>
      <c r="F541" t="s">
        <v>40</v>
      </c>
      <c r="G541" t="str">
        <f>"2026-05-12 14:50:46.383"</f>
        <v>2026-05-12 14:50:46.383</v>
      </c>
      <c r="H541" t="s">
        <v>41</v>
      </c>
      <c r="I541">
        <v>0</v>
      </c>
      <c r="J541" t="s">
        <v>23</v>
      </c>
    </row>
    <row r="542" spans="1:10" x14ac:dyDescent="0.25">
      <c r="A542" s="1">
        <v>54</v>
      </c>
      <c r="B542" t="s">
        <v>19</v>
      </c>
      <c r="C542">
        <v>700</v>
      </c>
      <c r="D542">
        <v>0</v>
      </c>
      <c r="E542" t="s">
        <v>24</v>
      </c>
      <c r="F542" t="s">
        <v>24</v>
      </c>
      <c r="G542" t="str">
        <f>"2026-05-12 14:45:43.610"</f>
        <v>2026-05-12 14:45:43.610</v>
      </c>
      <c r="H542" t="s">
        <v>22</v>
      </c>
    </row>
    <row r="543" spans="1:10" x14ac:dyDescent="0.25">
      <c r="A543" s="1">
        <v>55</v>
      </c>
      <c r="B543" t="s">
        <v>34</v>
      </c>
      <c r="C543">
        <v>630</v>
      </c>
      <c r="D543">
        <v>5</v>
      </c>
      <c r="E543" t="s">
        <v>39</v>
      </c>
      <c r="F543" t="s">
        <v>40</v>
      </c>
      <c r="G543" t="str">
        <f>"2026-05-12 14:23:42.436"</f>
        <v>2026-05-12 14:23:42.436</v>
      </c>
      <c r="H543" t="s">
        <v>41</v>
      </c>
      <c r="I543">
        <v>0</v>
      </c>
      <c r="J543" t="s">
        <v>23</v>
      </c>
    </row>
    <row r="544" spans="1:10" x14ac:dyDescent="0.25">
      <c r="A544" s="1">
        <v>56</v>
      </c>
      <c r="B544" t="s">
        <v>19</v>
      </c>
      <c r="C544">
        <v>700</v>
      </c>
      <c r="D544">
        <v>0</v>
      </c>
      <c r="E544" t="s">
        <v>24</v>
      </c>
      <c r="F544" t="s">
        <v>24</v>
      </c>
      <c r="G544" t="str">
        <f>"2026-05-12 14:18:39.658"</f>
        <v>2026-05-12 14:18:39.658</v>
      </c>
      <c r="H544" t="s">
        <v>22</v>
      </c>
    </row>
    <row r="545" spans="1:10" x14ac:dyDescent="0.25">
      <c r="A545" s="1">
        <v>57</v>
      </c>
      <c r="B545" t="s">
        <v>19</v>
      </c>
      <c r="C545">
        <v>706</v>
      </c>
      <c r="D545">
        <v>4</v>
      </c>
      <c r="E545" t="s">
        <v>20</v>
      </c>
      <c r="F545" t="s">
        <v>21</v>
      </c>
      <c r="G545" t="str">
        <f>"2026-05-12 14:09:50.144"</f>
        <v>2026-05-12 14:09:50.144</v>
      </c>
      <c r="H545" t="s">
        <v>22</v>
      </c>
      <c r="I545">
        <v>0</v>
      </c>
      <c r="J545" t="s">
        <v>23</v>
      </c>
    </row>
    <row r="546" spans="1:10" x14ac:dyDescent="0.25">
      <c r="A546" s="1">
        <v>58</v>
      </c>
      <c r="B546" t="s">
        <v>19</v>
      </c>
      <c r="C546">
        <v>706</v>
      </c>
      <c r="D546">
        <v>4</v>
      </c>
      <c r="E546" t="s">
        <v>20</v>
      </c>
      <c r="F546" t="s">
        <v>21</v>
      </c>
      <c r="G546" t="str">
        <f>"2026-05-12 14:07:44.354"</f>
        <v>2026-05-12 14:07:44.354</v>
      </c>
      <c r="H546" t="s">
        <v>22</v>
      </c>
      <c r="I546">
        <v>0</v>
      </c>
      <c r="J546" t="s">
        <v>23</v>
      </c>
    </row>
    <row r="547" spans="1:10" x14ac:dyDescent="0.25">
      <c r="A547" s="1">
        <v>59</v>
      </c>
      <c r="B547" t="s">
        <v>19</v>
      </c>
      <c r="C547">
        <v>700</v>
      </c>
      <c r="D547">
        <v>0</v>
      </c>
      <c r="E547" t="s">
        <v>24</v>
      </c>
      <c r="F547" t="s">
        <v>24</v>
      </c>
      <c r="G547" t="str">
        <f>"2026-05-12 14:05:37.614"</f>
        <v>2026-05-12 14:05:37.614</v>
      </c>
      <c r="H547" t="s">
        <v>22</v>
      </c>
      <c r="I547">
        <v>0</v>
      </c>
      <c r="J547" t="s">
        <v>25</v>
      </c>
    </row>
    <row r="548" spans="1:10" x14ac:dyDescent="0.25">
      <c r="A548" s="1">
        <v>60</v>
      </c>
      <c r="B548" t="s">
        <v>19</v>
      </c>
      <c r="C548">
        <v>700</v>
      </c>
      <c r="D548">
        <v>0</v>
      </c>
      <c r="E548" t="s">
        <v>24</v>
      </c>
      <c r="F548" t="s">
        <v>24</v>
      </c>
      <c r="G548" t="str">
        <f>"2026-05-12 13:53:27.614"</f>
        <v>2026-05-12 13:53:27.614</v>
      </c>
      <c r="H548" t="s">
        <v>22</v>
      </c>
      <c r="I548">
        <v>0</v>
      </c>
      <c r="J548" t="s">
        <v>25</v>
      </c>
    </row>
    <row r="549" spans="1:10" x14ac:dyDescent="0.25">
      <c r="A549" s="1">
        <v>61</v>
      </c>
      <c r="B549" t="s">
        <v>26</v>
      </c>
      <c r="C549">
        <v>630</v>
      </c>
      <c r="D549">
        <v>5</v>
      </c>
      <c r="E549" t="s">
        <v>39</v>
      </c>
      <c r="F549" t="s">
        <v>40</v>
      </c>
      <c r="G549" t="str">
        <f>"2026-05-12 13:41:40.995"</f>
        <v>2026-05-12 13:41:40.995</v>
      </c>
      <c r="H549" t="s">
        <v>41</v>
      </c>
    </row>
    <row r="550" spans="1:10" x14ac:dyDescent="0.25">
      <c r="A550" s="1">
        <v>62</v>
      </c>
      <c r="B550" t="s">
        <v>19</v>
      </c>
      <c r="C550">
        <v>706</v>
      </c>
      <c r="D550">
        <v>4</v>
      </c>
      <c r="E550" t="s">
        <v>20</v>
      </c>
      <c r="F550" t="s">
        <v>21</v>
      </c>
      <c r="G550" t="str">
        <f>"2026-05-12 13:41:11.028"</f>
        <v>2026-05-12 13:41:11.028</v>
      </c>
      <c r="H550" t="s">
        <v>22</v>
      </c>
      <c r="I550">
        <v>0</v>
      </c>
      <c r="J550" t="s">
        <v>23</v>
      </c>
    </row>
    <row r="551" spans="1:10" x14ac:dyDescent="0.25">
      <c r="A551" s="1">
        <v>63</v>
      </c>
      <c r="B551" t="s">
        <v>34</v>
      </c>
      <c r="C551">
        <v>630</v>
      </c>
      <c r="D551">
        <v>5</v>
      </c>
      <c r="E551" t="s">
        <v>39</v>
      </c>
      <c r="F551" t="s">
        <v>40</v>
      </c>
      <c r="G551" t="str">
        <f>"2026-05-12 13:39:09.396"</f>
        <v>2026-05-12 13:39:09.396</v>
      </c>
      <c r="H551" t="s">
        <v>41</v>
      </c>
      <c r="I551">
        <v>0</v>
      </c>
      <c r="J551" t="s">
        <v>23</v>
      </c>
    </row>
    <row r="552" spans="1:10" x14ac:dyDescent="0.25">
      <c r="A552" s="1">
        <v>64</v>
      </c>
      <c r="B552" t="s">
        <v>19</v>
      </c>
      <c r="C552">
        <v>700</v>
      </c>
      <c r="D552">
        <v>0</v>
      </c>
      <c r="E552" t="s">
        <v>24</v>
      </c>
      <c r="F552" t="s">
        <v>24</v>
      </c>
      <c r="G552" t="str">
        <f>"2026-05-12 13:34:06.618"</f>
        <v>2026-05-12 13:34:06.618</v>
      </c>
      <c r="H552" t="s">
        <v>22</v>
      </c>
    </row>
    <row r="553" spans="1:10" x14ac:dyDescent="0.25">
      <c r="A553" s="1">
        <v>65</v>
      </c>
      <c r="B553" t="s">
        <v>26</v>
      </c>
      <c r="C553">
        <v>630</v>
      </c>
      <c r="D553">
        <v>5</v>
      </c>
      <c r="E553" t="s">
        <v>39</v>
      </c>
      <c r="F553" t="s">
        <v>40</v>
      </c>
      <c r="G553" t="str">
        <f>"2026-05-12 12:35:33.198"</f>
        <v>2026-05-12 12:35:33.198</v>
      </c>
      <c r="H553" t="s">
        <v>41</v>
      </c>
    </row>
    <row r="554" spans="1:10" x14ac:dyDescent="0.25">
      <c r="A554" s="1">
        <v>66</v>
      </c>
      <c r="B554" t="s">
        <v>19</v>
      </c>
      <c r="C554">
        <v>706</v>
      </c>
      <c r="D554">
        <v>2</v>
      </c>
      <c r="E554" t="s">
        <v>20</v>
      </c>
      <c r="F554" t="s">
        <v>54</v>
      </c>
      <c r="G554" t="str">
        <f>"2026-05-12 12:35:03.226"</f>
        <v>2026-05-12 12:35:03.226</v>
      </c>
      <c r="H554" t="s">
        <v>22</v>
      </c>
      <c r="I554">
        <v>0</v>
      </c>
      <c r="J554" t="s">
        <v>23</v>
      </c>
    </row>
    <row r="555" spans="1:10" x14ac:dyDescent="0.25">
      <c r="A555" s="1">
        <v>67</v>
      </c>
      <c r="B555" t="s">
        <v>34</v>
      </c>
      <c r="C555">
        <v>630</v>
      </c>
      <c r="D555">
        <v>5</v>
      </c>
      <c r="E555" t="s">
        <v>39</v>
      </c>
      <c r="F555" t="s">
        <v>40</v>
      </c>
      <c r="G555" t="str">
        <f>"2026-05-12 12:18:03.398"</f>
        <v>2026-05-12 12:18:03.398</v>
      </c>
      <c r="H555" t="s">
        <v>41</v>
      </c>
      <c r="I555">
        <v>0</v>
      </c>
      <c r="J555" t="s">
        <v>23</v>
      </c>
    </row>
    <row r="556" spans="1:10" x14ac:dyDescent="0.25">
      <c r="A556" s="1">
        <v>68</v>
      </c>
      <c r="B556" t="s">
        <v>19</v>
      </c>
      <c r="C556">
        <v>700</v>
      </c>
      <c r="D556">
        <v>0</v>
      </c>
      <c r="E556" t="s">
        <v>24</v>
      </c>
      <c r="F556" t="s">
        <v>24</v>
      </c>
      <c r="G556" t="str">
        <f>"2026-05-12 12:13:00.616"</f>
        <v>2026-05-12 12:13:00.616</v>
      </c>
      <c r="H556" t="s">
        <v>22</v>
      </c>
    </row>
    <row r="557" spans="1:10" x14ac:dyDescent="0.25">
      <c r="A557" s="1">
        <v>69</v>
      </c>
      <c r="B557" t="s">
        <v>19</v>
      </c>
      <c r="C557">
        <v>706</v>
      </c>
      <c r="D557">
        <v>3</v>
      </c>
      <c r="E557" t="s">
        <v>20</v>
      </c>
      <c r="F557" t="s">
        <v>48</v>
      </c>
      <c r="G557" t="str">
        <f>"2026-05-12 11:55:28.241"</f>
        <v>2026-05-12 11:55:28.241</v>
      </c>
      <c r="H557" t="s">
        <v>22</v>
      </c>
      <c r="I557">
        <v>0</v>
      </c>
      <c r="J557" t="s">
        <v>23</v>
      </c>
    </row>
    <row r="558" spans="1:10" x14ac:dyDescent="0.25">
      <c r="A558" s="1">
        <v>70</v>
      </c>
      <c r="B558" t="s">
        <v>19</v>
      </c>
      <c r="C558">
        <v>700</v>
      </c>
      <c r="D558">
        <v>0</v>
      </c>
      <c r="E558" t="s">
        <v>24</v>
      </c>
      <c r="F558" t="s">
        <v>24</v>
      </c>
      <c r="G558" t="str">
        <f>"2026-05-12 11:53:54.621"</f>
        <v>2026-05-12 11:53:54.621</v>
      </c>
      <c r="H558" t="s">
        <v>22</v>
      </c>
      <c r="I558">
        <v>0</v>
      </c>
      <c r="J558" t="s">
        <v>25</v>
      </c>
    </row>
    <row r="559" spans="1:10" x14ac:dyDescent="0.25">
      <c r="A559" s="1">
        <v>71</v>
      </c>
      <c r="B559" t="s">
        <v>44</v>
      </c>
      <c r="C559">
        <v>86</v>
      </c>
      <c r="D559">
        <v>17</v>
      </c>
      <c r="E559" t="s">
        <v>85</v>
      </c>
      <c r="F559" t="s">
        <v>86</v>
      </c>
      <c r="G559" t="str">
        <f>"2026-05-12 11:51:07.979"</f>
        <v>2026-05-12 11:51:07.979</v>
      </c>
      <c r="H559" t="s">
        <v>22</v>
      </c>
    </row>
    <row r="560" spans="1:10" x14ac:dyDescent="0.25">
      <c r="A560" s="1">
        <v>72</v>
      </c>
      <c r="B560" t="s">
        <v>34</v>
      </c>
      <c r="C560">
        <v>86</v>
      </c>
      <c r="D560">
        <v>17</v>
      </c>
      <c r="E560" t="s">
        <v>85</v>
      </c>
      <c r="F560" t="s">
        <v>86</v>
      </c>
      <c r="G560" t="str">
        <f>"2026-05-12 11:50:37.974"</f>
        <v>2026-05-12 11:50:37.974</v>
      </c>
      <c r="H560" t="s">
        <v>22</v>
      </c>
      <c r="I560">
        <v>-0.37</v>
      </c>
      <c r="J560" t="s">
        <v>23</v>
      </c>
    </row>
    <row r="561" spans="1:10" x14ac:dyDescent="0.25">
      <c r="A561" s="1">
        <v>73</v>
      </c>
      <c r="B561" t="s">
        <v>19</v>
      </c>
      <c r="C561">
        <v>700</v>
      </c>
      <c r="D561">
        <v>0</v>
      </c>
      <c r="E561" t="s">
        <v>24</v>
      </c>
      <c r="F561" t="s">
        <v>24</v>
      </c>
      <c r="G561" t="str">
        <f>"2026-05-12 11:50:30.653"</f>
        <v>2026-05-12 11:50:30.653</v>
      </c>
      <c r="H561" t="s">
        <v>22</v>
      </c>
      <c r="I561">
        <v>0</v>
      </c>
      <c r="J561" t="s">
        <v>25</v>
      </c>
    </row>
    <row r="562" spans="1:10" x14ac:dyDescent="0.25">
      <c r="A562" s="1">
        <v>74</v>
      </c>
      <c r="B562" t="s">
        <v>26</v>
      </c>
      <c r="C562">
        <v>635</v>
      </c>
      <c r="D562">
        <v>1</v>
      </c>
      <c r="E562" t="s">
        <v>27</v>
      </c>
      <c r="F562" t="s">
        <v>28</v>
      </c>
      <c r="G562" t="str">
        <f>"2026-05-12 07:56:55.861"</f>
        <v>2026-05-12 07:56:55.861</v>
      </c>
      <c r="H562" t="s">
        <v>22</v>
      </c>
    </row>
    <row r="563" spans="1:10" x14ac:dyDescent="0.25">
      <c r="A563" s="1">
        <v>75</v>
      </c>
      <c r="B563" t="s">
        <v>29</v>
      </c>
      <c r="C563">
        <v>635</v>
      </c>
      <c r="D563">
        <v>1</v>
      </c>
      <c r="E563" t="s">
        <v>27</v>
      </c>
      <c r="F563" t="s">
        <v>28</v>
      </c>
      <c r="G563" t="str">
        <f>"2026-05-12 07:53:58.361"</f>
        <v>2026-05-12 07:53:58.361</v>
      </c>
      <c r="H563" t="s">
        <v>22</v>
      </c>
      <c r="I563">
        <v>8.0500000000000007</v>
      </c>
      <c r="J563" t="s">
        <v>30</v>
      </c>
    </row>
    <row r="564" spans="1:10" x14ac:dyDescent="0.25">
      <c r="A564" s="1">
        <v>76</v>
      </c>
      <c r="B564" t="s">
        <v>26</v>
      </c>
      <c r="C564">
        <v>61</v>
      </c>
      <c r="D564">
        <v>2</v>
      </c>
      <c r="E564" t="s">
        <v>81</v>
      </c>
      <c r="F564" t="s">
        <v>82</v>
      </c>
      <c r="G564" t="str">
        <f>"2026-05-12 07:01:44.315"</f>
        <v>2026-05-12 07:01:44.315</v>
      </c>
      <c r="H564" t="s">
        <v>22</v>
      </c>
    </row>
    <row r="565" spans="1:10" x14ac:dyDescent="0.25">
      <c r="A565" s="1">
        <v>77</v>
      </c>
      <c r="B565" t="s">
        <v>34</v>
      </c>
      <c r="C565">
        <v>61</v>
      </c>
      <c r="D565">
        <v>2</v>
      </c>
      <c r="E565" t="s">
        <v>81</v>
      </c>
      <c r="F565" t="s">
        <v>82</v>
      </c>
      <c r="G565" t="str">
        <f>"2026-05-12 07:01:28.115"</f>
        <v>2026-05-12 07:01:28.115</v>
      </c>
      <c r="H565" t="s">
        <v>22</v>
      </c>
      <c r="I565">
        <v>35.64</v>
      </c>
      <c r="J565" t="s">
        <v>37</v>
      </c>
    </row>
    <row r="566" spans="1:10" x14ac:dyDescent="0.25">
      <c r="A566" s="1">
        <v>78</v>
      </c>
      <c r="B566" t="s">
        <v>26</v>
      </c>
      <c r="C566">
        <v>635</v>
      </c>
      <c r="D566">
        <v>1</v>
      </c>
      <c r="E566" t="s">
        <v>27</v>
      </c>
      <c r="F566" t="s">
        <v>28</v>
      </c>
      <c r="G566" t="str">
        <f>"2026-05-12 06:44:56.961"</f>
        <v>2026-05-12 06:44:56.961</v>
      </c>
      <c r="H566" t="s">
        <v>22</v>
      </c>
    </row>
    <row r="567" spans="1:10" x14ac:dyDescent="0.25">
      <c r="A567" s="1">
        <v>79</v>
      </c>
      <c r="B567" t="s">
        <v>29</v>
      </c>
      <c r="C567">
        <v>635</v>
      </c>
      <c r="D567">
        <v>1</v>
      </c>
      <c r="E567" t="s">
        <v>27</v>
      </c>
      <c r="F567" t="s">
        <v>28</v>
      </c>
      <c r="G567" t="str">
        <f>"2026-05-12 06:20:18.461"</f>
        <v>2026-05-12 06:20:18.461</v>
      </c>
      <c r="H567" t="s">
        <v>22</v>
      </c>
      <c r="I567">
        <v>8.09</v>
      </c>
      <c r="J567" t="s">
        <v>30</v>
      </c>
    </row>
    <row r="568" spans="1:10" x14ac:dyDescent="0.25">
      <c r="A568" s="1">
        <v>80</v>
      </c>
      <c r="B568" t="s">
        <v>26</v>
      </c>
      <c r="C568">
        <v>635</v>
      </c>
      <c r="D568">
        <v>1</v>
      </c>
      <c r="E568" t="s">
        <v>27</v>
      </c>
      <c r="F568" t="s">
        <v>28</v>
      </c>
      <c r="G568" t="str">
        <f>"2026-05-11 16:57:22.661"</f>
        <v>2026-05-11 16:57:22.661</v>
      </c>
      <c r="H568" t="s">
        <v>22</v>
      </c>
    </row>
    <row r="569" spans="1:10" x14ac:dyDescent="0.25">
      <c r="A569" s="1">
        <v>81</v>
      </c>
      <c r="B569" t="s">
        <v>29</v>
      </c>
      <c r="C569">
        <v>635</v>
      </c>
      <c r="D569">
        <v>1</v>
      </c>
      <c r="E569" t="s">
        <v>27</v>
      </c>
      <c r="F569" t="s">
        <v>28</v>
      </c>
      <c r="G569" t="str">
        <f>"2026-05-11 16:55:26.761"</f>
        <v>2026-05-11 16:55:26.761</v>
      </c>
      <c r="H569" t="s">
        <v>22</v>
      </c>
      <c r="I569">
        <v>5.78</v>
      </c>
      <c r="J569" t="s">
        <v>30</v>
      </c>
    </row>
    <row r="570" spans="1:10" x14ac:dyDescent="0.25">
      <c r="A570" s="1">
        <v>82</v>
      </c>
      <c r="B570" t="s">
        <v>19</v>
      </c>
      <c r="C570">
        <v>700</v>
      </c>
      <c r="D570">
        <v>0</v>
      </c>
      <c r="E570" t="s">
        <v>24</v>
      </c>
      <c r="F570" t="s">
        <v>24</v>
      </c>
      <c r="G570" t="str">
        <f>"2026-05-11 16:46:16.643"</f>
        <v>2026-05-11 16:46:16.643</v>
      </c>
      <c r="H570" t="s">
        <v>22</v>
      </c>
      <c r="I570">
        <v>0</v>
      </c>
      <c r="J570" t="s">
        <v>25</v>
      </c>
    </row>
    <row r="571" spans="1:10" x14ac:dyDescent="0.25">
      <c r="A571" s="1">
        <v>83</v>
      </c>
      <c r="B571" t="s">
        <v>26</v>
      </c>
      <c r="C571">
        <v>630</v>
      </c>
      <c r="D571">
        <v>5</v>
      </c>
      <c r="E571" t="s">
        <v>39</v>
      </c>
      <c r="F571" t="s">
        <v>40</v>
      </c>
      <c r="G571" t="str">
        <f>"2026-05-11 13:13:18.724"</f>
        <v>2026-05-11 13:13:18.724</v>
      </c>
      <c r="H571" t="s">
        <v>41</v>
      </c>
    </row>
    <row r="572" spans="1:10" x14ac:dyDescent="0.25">
      <c r="A572" s="1">
        <v>84</v>
      </c>
      <c r="B572" t="s">
        <v>19</v>
      </c>
      <c r="C572">
        <v>706</v>
      </c>
      <c r="D572">
        <v>4</v>
      </c>
      <c r="E572" t="s">
        <v>20</v>
      </c>
      <c r="F572" t="s">
        <v>21</v>
      </c>
      <c r="G572" t="str">
        <f>"2026-05-11 13:12:48.613"</f>
        <v>2026-05-11 13:12:48.613</v>
      </c>
      <c r="H572" t="s">
        <v>22</v>
      </c>
      <c r="I572">
        <v>0</v>
      </c>
      <c r="J572" t="s">
        <v>23</v>
      </c>
    </row>
    <row r="573" spans="1:10" x14ac:dyDescent="0.25">
      <c r="A573" s="1">
        <v>85</v>
      </c>
      <c r="B573" t="s">
        <v>34</v>
      </c>
      <c r="C573">
        <v>630</v>
      </c>
      <c r="D573">
        <v>5</v>
      </c>
      <c r="E573" t="s">
        <v>39</v>
      </c>
      <c r="F573" t="s">
        <v>40</v>
      </c>
      <c r="G573" t="str">
        <f>"2026-05-11 12:53:54.324"</f>
        <v>2026-05-11 12:53:54.324</v>
      </c>
      <c r="H573" t="s">
        <v>41</v>
      </c>
      <c r="I573">
        <v>0</v>
      </c>
      <c r="J573" t="s">
        <v>23</v>
      </c>
    </row>
    <row r="574" spans="1:10" x14ac:dyDescent="0.25">
      <c r="A574" s="1">
        <v>86</v>
      </c>
      <c r="B574" t="s">
        <v>26</v>
      </c>
      <c r="C574">
        <v>635</v>
      </c>
      <c r="D574">
        <v>1</v>
      </c>
      <c r="E574" t="s">
        <v>27</v>
      </c>
      <c r="F574" t="s">
        <v>28</v>
      </c>
      <c r="G574" t="str">
        <f>"2026-05-11 10:50:06.623"</f>
        <v>2026-05-11 10:50:06.623</v>
      </c>
      <c r="H574" t="s">
        <v>22</v>
      </c>
    </row>
    <row r="575" spans="1:10" x14ac:dyDescent="0.25">
      <c r="A575" s="1">
        <v>87</v>
      </c>
      <c r="B575" t="s">
        <v>29</v>
      </c>
      <c r="C575">
        <v>635</v>
      </c>
      <c r="D575">
        <v>1</v>
      </c>
      <c r="E575" t="s">
        <v>27</v>
      </c>
      <c r="F575" t="s">
        <v>28</v>
      </c>
      <c r="G575" t="str">
        <f>"2026-05-11 10:47:58.623"</f>
        <v>2026-05-11 10:47:58.623</v>
      </c>
      <c r="H575" t="s">
        <v>22</v>
      </c>
      <c r="I575">
        <v>7.14</v>
      </c>
      <c r="J575" t="s">
        <v>30</v>
      </c>
    </row>
    <row r="576" spans="1:10" x14ac:dyDescent="0.25">
      <c r="A576" s="1">
        <v>89</v>
      </c>
      <c r="B576" t="s">
        <v>19</v>
      </c>
      <c r="C576">
        <v>700</v>
      </c>
      <c r="D576">
        <v>0</v>
      </c>
      <c r="E576" t="s">
        <v>24</v>
      </c>
      <c r="F576" t="s">
        <v>24</v>
      </c>
      <c r="G576" t="str">
        <f>"2026-05-11 09:18:28.633"</f>
        <v>2026-05-11 09:18:28.633</v>
      </c>
      <c r="H576" t="s">
        <v>22</v>
      </c>
    </row>
    <row r="577" spans="1:10" x14ac:dyDescent="0.25">
      <c r="A577" s="1">
        <v>90</v>
      </c>
      <c r="B577" t="s">
        <v>19</v>
      </c>
      <c r="C577">
        <v>700</v>
      </c>
      <c r="D577">
        <v>0</v>
      </c>
      <c r="E577" t="s">
        <v>24</v>
      </c>
      <c r="F577" t="s">
        <v>24</v>
      </c>
      <c r="G577" t="str">
        <f>"2026-05-10 18:39:32.633"</f>
        <v>2026-05-10 18:39:32.633</v>
      </c>
      <c r="H577" t="s">
        <v>22</v>
      </c>
      <c r="I577">
        <v>0</v>
      </c>
      <c r="J577" t="s">
        <v>25</v>
      </c>
    </row>
    <row r="578" spans="1:10" x14ac:dyDescent="0.25">
      <c r="A578" s="1">
        <v>91</v>
      </c>
      <c r="B578" t="s">
        <v>19</v>
      </c>
      <c r="C578">
        <v>700</v>
      </c>
      <c r="D578">
        <v>0</v>
      </c>
      <c r="E578" t="s">
        <v>24</v>
      </c>
      <c r="F578" t="s">
        <v>24</v>
      </c>
      <c r="G578" t="str">
        <f>"2026-05-10 09:48:38.658"</f>
        <v>2026-05-10 09:48:38.658</v>
      </c>
      <c r="H578" t="s">
        <v>22</v>
      </c>
      <c r="I578">
        <v>0</v>
      </c>
      <c r="J578" t="s">
        <v>25</v>
      </c>
    </row>
    <row r="579" spans="1:10" x14ac:dyDescent="0.25">
      <c r="A579" s="1">
        <v>92</v>
      </c>
      <c r="B579" t="s">
        <v>19</v>
      </c>
      <c r="C579">
        <v>706</v>
      </c>
      <c r="D579">
        <v>4</v>
      </c>
      <c r="E579" t="s">
        <v>20</v>
      </c>
      <c r="F579" t="s">
        <v>21</v>
      </c>
      <c r="G579" t="str">
        <f>"2026-05-09 13:42:04.561"</f>
        <v>2026-05-09 13:42:04.561</v>
      </c>
      <c r="H579" t="s">
        <v>22</v>
      </c>
      <c r="I579">
        <v>0</v>
      </c>
      <c r="J579" t="s">
        <v>23</v>
      </c>
    </row>
    <row r="580" spans="1:10" x14ac:dyDescent="0.25">
      <c r="A580" s="1">
        <v>93</v>
      </c>
      <c r="B580" t="s">
        <v>19</v>
      </c>
      <c r="C580">
        <v>700</v>
      </c>
      <c r="D580">
        <v>0</v>
      </c>
      <c r="E580" t="s">
        <v>24</v>
      </c>
      <c r="F580" t="s">
        <v>24</v>
      </c>
      <c r="G580" t="str">
        <f>"2026-05-09 13:41:20.801"</f>
        <v>2026-05-09 13:41:20.801</v>
      </c>
      <c r="H580" t="s">
        <v>22</v>
      </c>
      <c r="I580">
        <v>0</v>
      </c>
      <c r="J580" t="s">
        <v>25</v>
      </c>
    </row>
    <row r="581" spans="1:10" x14ac:dyDescent="0.25">
      <c r="A581" s="1">
        <v>94</v>
      </c>
      <c r="B581" t="s">
        <v>34</v>
      </c>
      <c r="C581">
        <v>630</v>
      </c>
      <c r="D581">
        <v>5</v>
      </c>
      <c r="E581" t="s">
        <v>39</v>
      </c>
      <c r="F581" t="s">
        <v>40</v>
      </c>
      <c r="G581" t="str">
        <f>"2026-05-09 12:49:03.926"</f>
        <v>2026-05-09 12:49:03.926</v>
      </c>
      <c r="H581" t="s">
        <v>41</v>
      </c>
      <c r="I581">
        <v>0</v>
      </c>
      <c r="J581" t="s">
        <v>23</v>
      </c>
    </row>
    <row r="582" spans="1:10" x14ac:dyDescent="0.25">
      <c r="A582" s="1">
        <v>95</v>
      </c>
      <c r="B582" t="s">
        <v>19</v>
      </c>
      <c r="C582">
        <v>700</v>
      </c>
      <c r="D582">
        <v>0</v>
      </c>
      <c r="E582" t="s">
        <v>24</v>
      </c>
      <c r="F582" t="s">
        <v>24</v>
      </c>
      <c r="G582" t="str">
        <f>"2026-05-08 14:12:03.744"</f>
        <v>2026-05-08 14:12:03.744</v>
      </c>
      <c r="H582" t="s">
        <v>22</v>
      </c>
      <c r="I582">
        <v>0</v>
      </c>
      <c r="J582" t="s">
        <v>25</v>
      </c>
    </row>
    <row r="583" spans="1:10" x14ac:dyDescent="0.25">
      <c r="A583" s="1">
        <v>96</v>
      </c>
      <c r="B583" t="s">
        <v>34</v>
      </c>
      <c r="C583">
        <v>630</v>
      </c>
      <c r="D583">
        <v>5</v>
      </c>
      <c r="E583" t="s">
        <v>39</v>
      </c>
      <c r="F583" t="s">
        <v>40</v>
      </c>
      <c r="G583" t="str">
        <f>"2026-05-08 13:57:42.075"</f>
        <v>2026-05-08 13:57:42.075</v>
      </c>
      <c r="H583" t="s">
        <v>41</v>
      </c>
      <c r="I583">
        <v>0</v>
      </c>
      <c r="J583" t="s">
        <v>23</v>
      </c>
    </row>
    <row r="584" spans="1:10" x14ac:dyDescent="0.25">
      <c r="A584" s="1">
        <v>97</v>
      </c>
      <c r="B584" t="s">
        <v>19</v>
      </c>
      <c r="C584">
        <v>706</v>
      </c>
      <c r="D584">
        <v>3</v>
      </c>
      <c r="E584" t="s">
        <v>20</v>
      </c>
      <c r="F584" t="s">
        <v>48</v>
      </c>
      <c r="G584" t="str">
        <f>"2026-05-08 13:52:39.306"</f>
        <v>2026-05-08 13:52:39.306</v>
      </c>
      <c r="H584" t="s">
        <v>22</v>
      </c>
      <c r="I584">
        <v>0</v>
      </c>
      <c r="J584" t="s">
        <v>23</v>
      </c>
    </row>
    <row r="585" spans="1:10" x14ac:dyDescent="0.25">
      <c r="A585" s="1">
        <v>98</v>
      </c>
      <c r="B585" t="s">
        <v>19</v>
      </c>
      <c r="C585">
        <v>700</v>
      </c>
      <c r="D585">
        <v>0</v>
      </c>
      <c r="E585" t="s">
        <v>24</v>
      </c>
      <c r="F585" t="s">
        <v>24</v>
      </c>
      <c r="G585" t="str">
        <f>"2026-05-08 13:45:22.806"</f>
        <v>2026-05-08 13:45:22.806</v>
      </c>
      <c r="H585" t="s">
        <v>22</v>
      </c>
      <c r="I585">
        <v>0</v>
      </c>
      <c r="J585" t="s">
        <v>25</v>
      </c>
    </row>
    <row r="586" spans="1:10" x14ac:dyDescent="0.25">
      <c r="A586" s="1">
        <v>99</v>
      </c>
      <c r="B586" t="s">
        <v>26</v>
      </c>
      <c r="C586">
        <v>635</v>
      </c>
      <c r="D586">
        <v>1</v>
      </c>
      <c r="E586" t="s">
        <v>27</v>
      </c>
      <c r="F586" t="s">
        <v>28</v>
      </c>
      <c r="G586" t="str">
        <f>"2026-05-08 07:57:55.586"</f>
        <v>2026-05-08 07:57:55.586</v>
      </c>
      <c r="H586" t="s">
        <v>22</v>
      </c>
    </row>
    <row r="587" spans="1:10" x14ac:dyDescent="0.25">
      <c r="A587" s="1">
        <v>0</v>
      </c>
      <c r="B587" t="s">
        <v>29</v>
      </c>
      <c r="C587">
        <v>635</v>
      </c>
      <c r="D587">
        <v>1</v>
      </c>
      <c r="E587" t="s">
        <v>27</v>
      </c>
      <c r="F587" t="s">
        <v>28</v>
      </c>
      <c r="G587" t="str">
        <f>"2026-05-08 07:54:08.586"</f>
        <v>2026-05-08 07:54:08.586</v>
      </c>
      <c r="H587" t="s">
        <v>22</v>
      </c>
      <c r="I587">
        <v>4.68</v>
      </c>
      <c r="J587" t="s">
        <v>30</v>
      </c>
    </row>
    <row r="588" spans="1:10" x14ac:dyDescent="0.25">
      <c r="A588" s="1">
        <v>1</v>
      </c>
      <c r="B588" t="s">
        <v>26</v>
      </c>
      <c r="C588">
        <v>98</v>
      </c>
      <c r="D588">
        <v>1</v>
      </c>
      <c r="E588" t="s">
        <v>52</v>
      </c>
      <c r="F588" t="s">
        <v>53</v>
      </c>
      <c r="G588" t="str">
        <f>"2026-05-07 18:14:45.686"</f>
        <v>2026-05-07 18:14:45.686</v>
      </c>
      <c r="H588" t="s">
        <v>22</v>
      </c>
    </row>
    <row r="589" spans="1:10" x14ac:dyDescent="0.25">
      <c r="A589" s="1">
        <v>2</v>
      </c>
      <c r="B589" t="s">
        <v>29</v>
      </c>
      <c r="C589">
        <v>98</v>
      </c>
      <c r="D589">
        <v>1</v>
      </c>
      <c r="E589" t="s">
        <v>52</v>
      </c>
      <c r="F589" t="s">
        <v>53</v>
      </c>
      <c r="G589" t="str">
        <f>"2026-05-07 18:14:44.686"</f>
        <v>2026-05-07 18:14:44.686</v>
      </c>
      <c r="H589" t="s">
        <v>22</v>
      </c>
      <c r="I589">
        <v>5.13</v>
      </c>
      <c r="J589" t="s">
        <v>38</v>
      </c>
    </row>
    <row r="590" spans="1:10" x14ac:dyDescent="0.25">
      <c r="A590" s="1">
        <v>3</v>
      </c>
      <c r="B590" t="s">
        <v>26</v>
      </c>
      <c r="C590">
        <v>98</v>
      </c>
      <c r="D590">
        <v>1</v>
      </c>
      <c r="E590" t="s">
        <v>52</v>
      </c>
      <c r="F590" t="s">
        <v>53</v>
      </c>
      <c r="G590" t="str">
        <f>"2026-05-07 18:14:43.986"</f>
        <v>2026-05-07 18:14:43.986</v>
      </c>
      <c r="H590" t="s">
        <v>22</v>
      </c>
    </row>
    <row r="591" spans="1:10" x14ac:dyDescent="0.25">
      <c r="A591" s="1">
        <v>4</v>
      </c>
      <c r="B591" t="s">
        <v>29</v>
      </c>
      <c r="C591">
        <v>98</v>
      </c>
      <c r="D591">
        <v>1</v>
      </c>
      <c r="E591" t="s">
        <v>52</v>
      </c>
      <c r="F591" t="s">
        <v>53</v>
      </c>
      <c r="G591" t="str">
        <f>"2026-05-07 18:14:42.986"</f>
        <v>2026-05-07 18:14:42.986</v>
      </c>
      <c r="H591" t="s">
        <v>22</v>
      </c>
      <c r="I591">
        <v>4.71</v>
      </c>
      <c r="J591" t="s">
        <v>38</v>
      </c>
    </row>
    <row r="592" spans="1:10" x14ac:dyDescent="0.25">
      <c r="A592" s="1">
        <v>5</v>
      </c>
      <c r="B592" t="s">
        <v>26</v>
      </c>
      <c r="C592">
        <v>98</v>
      </c>
      <c r="D592">
        <v>1</v>
      </c>
      <c r="E592" t="s">
        <v>52</v>
      </c>
      <c r="F592" t="s">
        <v>53</v>
      </c>
      <c r="G592" t="str">
        <f>"2026-05-07 18:14:42.286"</f>
        <v>2026-05-07 18:14:42.286</v>
      </c>
      <c r="H592" t="s">
        <v>22</v>
      </c>
    </row>
    <row r="593" spans="1:10" x14ac:dyDescent="0.25">
      <c r="A593" s="1">
        <v>6</v>
      </c>
      <c r="B593" t="s">
        <v>29</v>
      </c>
      <c r="C593">
        <v>98</v>
      </c>
      <c r="D593">
        <v>1</v>
      </c>
      <c r="E593" t="s">
        <v>52</v>
      </c>
      <c r="F593" t="s">
        <v>53</v>
      </c>
      <c r="G593" t="str">
        <f>"2026-05-07 18:14:41.286"</f>
        <v>2026-05-07 18:14:41.286</v>
      </c>
      <c r="H593" t="s">
        <v>22</v>
      </c>
      <c r="I593">
        <v>3.2</v>
      </c>
      <c r="J593" t="s">
        <v>38</v>
      </c>
    </row>
    <row r="594" spans="1:10" x14ac:dyDescent="0.25">
      <c r="A594" s="1">
        <v>7</v>
      </c>
      <c r="B594" t="s">
        <v>26</v>
      </c>
      <c r="C594">
        <v>98</v>
      </c>
      <c r="D594">
        <v>1</v>
      </c>
      <c r="E594" t="s">
        <v>52</v>
      </c>
      <c r="F594" t="s">
        <v>53</v>
      </c>
      <c r="G594" t="str">
        <f>"2026-05-07 18:14:40.686"</f>
        <v>2026-05-07 18:14:40.686</v>
      </c>
      <c r="H594" t="s">
        <v>22</v>
      </c>
    </row>
    <row r="595" spans="1:10" x14ac:dyDescent="0.25">
      <c r="A595" s="1">
        <v>8</v>
      </c>
      <c r="B595" t="s">
        <v>29</v>
      </c>
      <c r="C595">
        <v>98</v>
      </c>
      <c r="D595">
        <v>1</v>
      </c>
      <c r="E595" t="s">
        <v>52</v>
      </c>
      <c r="F595" t="s">
        <v>53</v>
      </c>
      <c r="G595" t="str">
        <f>"2026-05-07 18:14:39.686"</f>
        <v>2026-05-07 18:14:39.686</v>
      </c>
      <c r="H595" t="s">
        <v>22</v>
      </c>
      <c r="I595">
        <v>3.33</v>
      </c>
      <c r="J595" t="s">
        <v>38</v>
      </c>
    </row>
    <row r="596" spans="1:10" x14ac:dyDescent="0.25">
      <c r="A596" s="1">
        <v>9</v>
      </c>
      <c r="B596" t="s">
        <v>26</v>
      </c>
      <c r="C596">
        <v>98</v>
      </c>
      <c r="D596">
        <v>1</v>
      </c>
      <c r="E596" t="s">
        <v>52</v>
      </c>
      <c r="F596" t="s">
        <v>53</v>
      </c>
      <c r="G596" t="str">
        <f>"2026-05-07 18:14:39.586"</f>
        <v>2026-05-07 18:14:39.586</v>
      </c>
      <c r="H596" t="s">
        <v>22</v>
      </c>
    </row>
    <row r="597" spans="1:10" x14ac:dyDescent="0.25">
      <c r="A597" s="1">
        <v>10</v>
      </c>
      <c r="B597" t="s">
        <v>29</v>
      </c>
      <c r="C597">
        <v>98</v>
      </c>
      <c r="D597">
        <v>1</v>
      </c>
      <c r="E597" t="s">
        <v>52</v>
      </c>
      <c r="F597" t="s">
        <v>53</v>
      </c>
      <c r="G597" t="str">
        <f>"2026-05-07 18:14:38.087"</f>
        <v>2026-05-07 18:14:38.087</v>
      </c>
      <c r="H597" t="s">
        <v>22</v>
      </c>
      <c r="I597">
        <v>4.22</v>
      </c>
      <c r="J597" t="s">
        <v>38</v>
      </c>
    </row>
    <row r="598" spans="1:10" x14ac:dyDescent="0.25">
      <c r="A598" s="1">
        <v>11</v>
      </c>
      <c r="B598" t="s">
        <v>19</v>
      </c>
      <c r="C598">
        <v>700</v>
      </c>
      <c r="D598">
        <v>0</v>
      </c>
      <c r="E598" t="s">
        <v>24</v>
      </c>
      <c r="F598" t="s">
        <v>24</v>
      </c>
      <c r="G598" t="str">
        <f>"2026-05-07 18:13:57.604"</f>
        <v>2026-05-07 18:13:57.604</v>
      </c>
      <c r="H598" t="s">
        <v>22</v>
      </c>
    </row>
    <row r="599" spans="1:10" x14ac:dyDescent="0.25">
      <c r="A599" s="1">
        <v>12</v>
      </c>
      <c r="B599" t="s">
        <v>26</v>
      </c>
      <c r="C599">
        <v>98</v>
      </c>
      <c r="D599">
        <v>1</v>
      </c>
      <c r="E599" t="s">
        <v>52</v>
      </c>
      <c r="F599" t="s">
        <v>53</v>
      </c>
      <c r="G599" t="str">
        <f>"2026-05-07 18:10:00.512"</f>
        <v>2026-05-07 18:10:00.512</v>
      </c>
      <c r="H599" t="s">
        <v>22</v>
      </c>
    </row>
    <row r="600" spans="1:10" x14ac:dyDescent="0.25">
      <c r="A600" s="1">
        <v>13</v>
      </c>
      <c r="B600" t="s">
        <v>29</v>
      </c>
      <c r="C600">
        <v>98</v>
      </c>
      <c r="D600">
        <v>1</v>
      </c>
      <c r="E600" t="s">
        <v>52</v>
      </c>
      <c r="F600" t="s">
        <v>53</v>
      </c>
      <c r="G600" t="str">
        <f>"2026-05-07 18:09:59.312"</f>
        <v>2026-05-07 18:09:59.312</v>
      </c>
      <c r="H600" t="s">
        <v>22</v>
      </c>
      <c r="I600">
        <v>8.6999999999999993</v>
      </c>
      <c r="J600" t="s">
        <v>30</v>
      </c>
    </row>
    <row r="601" spans="1:10" x14ac:dyDescent="0.25">
      <c r="A601" s="1">
        <v>14</v>
      </c>
      <c r="B601" t="s">
        <v>26</v>
      </c>
      <c r="C601">
        <v>98</v>
      </c>
      <c r="D601">
        <v>1</v>
      </c>
      <c r="E601" t="s">
        <v>52</v>
      </c>
      <c r="F601" t="s">
        <v>53</v>
      </c>
      <c r="G601" t="str">
        <f>"2026-05-07 18:09:58.813"</f>
        <v>2026-05-07 18:09:58.813</v>
      </c>
      <c r="H601" t="s">
        <v>22</v>
      </c>
    </row>
    <row r="602" spans="1:10" x14ac:dyDescent="0.25">
      <c r="A602" s="1">
        <v>15</v>
      </c>
      <c r="B602" t="s">
        <v>29</v>
      </c>
      <c r="C602">
        <v>98</v>
      </c>
      <c r="D602">
        <v>1</v>
      </c>
      <c r="E602" t="s">
        <v>52</v>
      </c>
      <c r="F602" t="s">
        <v>53</v>
      </c>
      <c r="G602" t="str">
        <f>"2026-05-07 18:09:57.513"</f>
        <v>2026-05-07 18:09:57.513</v>
      </c>
      <c r="H602" t="s">
        <v>22</v>
      </c>
      <c r="I602">
        <v>8.8000000000000007</v>
      </c>
      <c r="J602" t="s">
        <v>30</v>
      </c>
    </row>
    <row r="603" spans="1:10" x14ac:dyDescent="0.25">
      <c r="A603" s="1">
        <v>16</v>
      </c>
      <c r="B603" t="s">
        <v>19</v>
      </c>
      <c r="C603">
        <v>700</v>
      </c>
      <c r="D603">
        <v>0</v>
      </c>
      <c r="E603" t="s">
        <v>24</v>
      </c>
      <c r="F603" t="s">
        <v>24</v>
      </c>
      <c r="G603" t="str">
        <f>"2026-05-07 16:56:46.642"</f>
        <v>2026-05-07 16:56:46.642</v>
      </c>
      <c r="H603" t="s">
        <v>22</v>
      </c>
      <c r="I603">
        <v>0</v>
      </c>
      <c r="J603" t="s">
        <v>25</v>
      </c>
    </row>
    <row r="604" spans="1:10" x14ac:dyDescent="0.25">
      <c r="A604" s="1">
        <v>17</v>
      </c>
      <c r="B604" t="s">
        <v>19</v>
      </c>
      <c r="C604">
        <v>706</v>
      </c>
      <c r="D604">
        <v>4</v>
      </c>
      <c r="E604" t="s">
        <v>20</v>
      </c>
      <c r="F604" t="s">
        <v>21</v>
      </c>
      <c r="G604" t="str">
        <f>"2026-05-07 13:34:42.556"</f>
        <v>2026-05-07 13:34:42.556</v>
      </c>
      <c r="H604" t="s">
        <v>22</v>
      </c>
      <c r="I604">
        <v>0</v>
      </c>
      <c r="J604" t="s">
        <v>23</v>
      </c>
    </row>
    <row r="605" spans="1:10" x14ac:dyDescent="0.25">
      <c r="A605" s="1">
        <v>18</v>
      </c>
      <c r="B605" t="s">
        <v>19</v>
      </c>
      <c r="C605">
        <v>700</v>
      </c>
      <c r="D605">
        <v>0</v>
      </c>
      <c r="E605" t="s">
        <v>24</v>
      </c>
      <c r="F605" t="s">
        <v>24</v>
      </c>
      <c r="G605" t="str">
        <f>"2026-05-07 13:32:13.626"</f>
        <v>2026-05-07 13:32:13.626</v>
      </c>
      <c r="H605" t="s">
        <v>22</v>
      </c>
      <c r="I605">
        <v>0</v>
      </c>
      <c r="J605" t="s">
        <v>25</v>
      </c>
    </row>
    <row r="606" spans="1:10" x14ac:dyDescent="0.25">
      <c r="A606" s="1">
        <v>19</v>
      </c>
      <c r="B606" t="s">
        <v>19</v>
      </c>
      <c r="C606">
        <v>700</v>
      </c>
      <c r="D606">
        <v>0</v>
      </c>
      <c r="E606" t="s">
        <v>24</v>
      </c>
      <c r="F606" t="s">
        <v>24</v>
      </c>
      <c r="G606" t="str">
        <f>"2026-05-07 11:52:30.635"</f>
        <v>2026-05-07 11:52:30.635</v>
      </c>
      <c r="H606" t="s">
        <v>22</v>
      </c>
    </row>
    <row r="607" spans="1:10" x14ac:dyDescent="0.25">
      <c r="A607" s="1">
        <v>20</v>
      </c>
      <c r="B607" t="s">
        <v>26</v>
      </c>
      <c r="C607">
        <v>630</v>
      </c>
      <c r="D607">
        <v>5</v>
      </c>
      <c r="E607" t="s">
        <v>39</v>
      </c>
      <c r="F607" t="s">
        <v>40</v>
      </c>
      <c r="G607" t="str">
        <f>"2026-05-07 10:25:10.666"</f>
        <v>2026-05-07 10:25:10.666</v>
      </c>
      <c r="H607" t="s">
        <v>41</v>
      </c>
    </row>
    <row r="608" spans="1:10" x14ac:dyDescent="0.25">
      <c r="A608" s="1">
        <v>21</v>
      </c>
      <c r="B608" t="s">
        <v>19</v>
      </c>
      <c r="C608">
        <v>706</v>
      </c>
      <c r="D608">
        <v>4</v>
      </c>
      <c r="E608" t="s">
        <v>20</v>
      </c>
      <c r="F608" t="s">
        <v>21</v>
      </c>
      <c r="G608" t="str">
        <f>"2026-05-07 10:24:40.703"</f>
        <v>2026-05-07 10:24:40.703</v>
      </c>
      <c r="H608" t="s">
        <v>22</v>
      </c>
      <c r="I608">
        <v>0</v>
      </c>
      <c r="J608" t="s">
        <v>23</v>
      </c>
    </row>
    <row r="609" spans="1:10" x14ac:dyDescent="0.25">
      <c r="A609" s="1">
        <v>22</v>
      </c>
      <c r="B609" t="s">
        <v>34</v>
      </c>
      <c r="C609">
        <v>630</v>
      </c>
      <c r="D609">
        <v>5</v>
      </c>
      <c r="E609" t="s">
        <v>39</v>
      </c>
      <c r="F609" t="s">
        <v>40</v>
      </c>
      <c r="G609" t="str">
        <f>"2026-05-07 10:19:22.266"</f>
        <v>2026-05-07 10:19:22.266</v>
      </c>
      <c r="H609" t="s">
        <v>41</v>
      </c>
      <c r="I609">
        <v>0</v>
      </c>
      <c r="J609" t="s">
        <v>23</v>
      </c>
    </row>
    <row r="610" spans="1:10" x14ac:dyDescent="0.25">
      <c r="A610" s="1">
        <v>23</v>
      </c>
      <c r="B610" t="s">
        <v>26</v>
      </c>
      <c r="C610">
        <v>98</v>
      </c>
      <c r="D610">
        <v>1</v>
      </c>
      <c r="E610" t="s">
        <v>52</v>
      </c>
      <c r="F610" t="s">
        <v>53</v>
      </c>
      <c r="G610" t="str">
        <f>"2026-05-07 09:52:34.865"</f>
        <v>2026-05-07 09:52:34.865</v>
      </c>
      <c r="H610" t="s">
        <v>22</v>
      </c>
    </row>
    <row r="611" spans="1:10" x14ac:dyDescent="0.25">
      <c r="A611" s="1">
        <v>24</v>
      </c>
      <c r="B611" t="s">
        <v>29</v>
      </c>
      <c r="C611">
        <v>98</v>
      </c>
      <c r="D611">
        <v>1</v>
      </c>
      <c r="E611" t="s">
        <v>52</v>
      </c>
      <c r="F611" t="s">
        <v>53</v>
      </c>
      <c r="G611" t="str">
        <f>"2026-05-07 09:52:33.465"</f>
        <v>2026-05-07 09:52:33.465</v>
      </c>
      <c r="H611" t="s">
        <v>22</v>
      </c>
      <c r="I611">
        <v>8.17</v>
      </c>
      <c r="J611" t="s">
        <v>30</v>
      </c>
    </row>
    <row r="612" spans="1:10" x14ac:dyDescent="0.25">
      <c r="A612" s="1">
        <v>25</v>
      </c>
      <c r="B612" t="s">
        <v>26</v>
      </c>
      <c r="C612">
        <v>98</v>
      </c>
      <c r="D612">
        <v>1</v>
      </c>
      <c r="E612" t="s">
        <v>52</v>
      </c>
      <c r="F612" t="s">
        <v>53</v>
      </c>
      <c r="G612" t="str">
        <f>"2026-05-07 09:52:33.065"</f>
        <v>2026-05-07 09:52:33.065</v>
      </c>
      <c r="H612" t="s">
        <v>22</v>
      </c>
    </row>
    <row r="613" spans="1:10" x14ac:dyDescent="0.25">
      <c r="A613" s="1">
        <v>26</v>
      </c>
      <c r="B613" t="s">
        <v>29</v>
      </c>
      <c r="C613">
        <v>98</v>
      </c>
      <c r="D613">
        <v>1</v>
      </c>
      <c r="E613" t="s">
        <v>52</v>
      </c>
      <c r="F613" t="s">
        <v>53</v>
      </c>
      <c r="G613" t="str">
        <f>"2026-05-07 09:52:31.465"</f>
        <v>2026-05-07 09:52:31.465</v>
      </c>
      <c r="H613" t="s">
        <v>22</v>
      </c>
      <c r="I613">
        <v>7.62</v>
      </c>
      <c r="J613" t="s">
        <v>30</v>
      </c>
    </row>
    <row r="614" spans="1:10" x14ac:dyDescent="0.25">
      <c r="A614" s="1">
        <v>27</v>
      </c>
      <c r="B614" t="s">
        <v>26</v>
      </c>
      <c r="C614">
        <v>89</v>
      </c>
      <c r="D614">
        <v>2</v>
      </c>
      <c r="E614" t="s">
        <v>42</v>
      </c>
      <c r="F614" t="s">
        <v>43</v>
      </c>
      <c r="G614" t="str">
        <f>"2026-05-06 21:39:48.065"</f>
        <v>2026-05-06 21:39:48.065</v>
      </c>
      <c r="H614" t="s">
        <v>22</v>
      </c>
    </row>
    <row r="615" spans="1:10" x14ac:dyDescent="0.25">
      <c r="A615" s="1">
        <v>28</v>
      </c>
      <c r="B615" t="s">
        <v>34</v>
      </c>
      <c r="C615">
        <v>89</v>
      </c>
      <c r="D615">
        <v>2</v>
      </c>
      <c r="E615" t="s">
        <v>42</v>
      </c>
      <c r="F615" t="s">
        <v>43</v>
      </c>
      <c r="G615" t="str">
        <f>"2026-05-06 21:37:45.165"</f>
        <v>2026-05-06 21:37:45.165</v>
      </c>
      <c r="H615" t="s">
        <v>22</v>
      </c>
      <c r="I615">
        <v>6.44</v>
      </c>
      <c r="J615" t="s">
        <v>30</v>
      </c>
    </row>
    <row r="616" spans="1:10" x14ac:dyDescent="0.25">
      <c r="A616" s="1">
        <v>29</v>
      </c>
      <c r="B616" t="s">
        <v>26</v>
      </c>
      <c r="C616">
        <v>98</v>
      </c>
      <c r="D616">
        <v>1</v>
      </c>
      <c r="E616" t="s">
        <v>52</v>
      </c>
      <c r="F616" t="s">
        <v>53</v>
      </c>
      <c r="G616" t="str">
        <f>"2026-05-06 19:04:35.365"</f>
        <v>2026-05-06 19:04:35.365</v>
      </c>
      <c r="H616" t="s">
        <v>22</v>
      </c>
    </row>
    <row r="617" spans="1:10" x14ac:dyDescent="0.25">
      <c r="A617" s="1">
        <v>30</v>
      </c>
      <c r="B617" t="s">
        <v>29</v>
      </c>
      <c r="C617">
        <v>98</v>
      </c>
      <c r="D617">
        <v>1</v>
      </c>
      <c r="E617" t="s">
        <v>52</v>
      </c>
      <c r="F617" t="s">
        <v>53</v>
      </c>
      <c r="G617" t="str">
        <f>"2026-05-06 19:04:34.365"</f>
        <v>2026-05-06 19:04:34.365</v>
      </c>
      <c r="H617" t="s">
        <v>22</v>
      </c>
      <c r="I617">
        <v>0</v>
      </c>
      <c r="J617" t="s">
        <v>38</v>
      </c>
    </row>
    <row r="618" spans="1:10" x14ac:dyDescent="0.25">
      <c r="A618" s="1">
        <v>31</v>
      </c>
      <c r="B618" t="s">
        <v>19</v>
      </c>
      <c r="C618">
        <v>706</v>
      </c>
      <c r="D618">
        <v>4</v>
      </c>
      <c r="E618" t="s">
        <v>20</v>
      </c>
      <c r="F618" t="s">
        <v>21</v>
      </c>
      <c r="G618" t="str">
        <f>"2026-05-06 13:40:11.153"</f>
        <v>2026-05-06 13:40:11.153</v>
      </c>
      <c r="H618" t="s">
        <v>22</v>
      </c>
      <c r="I618">
        <v>0</v>
      </c>
      <c r="J618" t="s">
        <v>23</v>
      </c>
    </row>
    <row r="619" spans="1:10" x14ac:dyDescent="0.25">
      <c r="A619" s="1">
        <v>32</v>
      </c>
      <c r="B619" t="s">
        <v>26</v>
      </c>
      <c r="C619">
        <v>54</v>
      </c>
      <c r="D619">
        <v>1</v>
      </c>
      <c r="E619" t="s">
        <v>87</v>
      </c>
      <c r="F619" t="s">
        <v>88</v>
      </c>
      <c r="G619" t="str">
        <f>"2026-05-06 13:39:16.365"</f>
        <v>2026-05-06 13:39:16.365</v>
      </c>
      <c r="H619" t="s">
        <v>22</v>
      </c>
    </row>
    <row r="620" spans="1:10" x14ac:dyDescent="0.25">
      <c r="A620" s="1">
        <v>33</v>
      </c>
      <c r="B620" t="s">
        <v>19</v>
      </c>
      <c r="C620">
        <v>700</v>
      </c>
      <c r="D620">
        <v>0</v>
      </c>
      <c r="E620" t="s">
        <v>24</v>
      </c>
      <c r="F620" t="s">
        <v>24</v>
      </c>
      <c r="G620" t="str">
        <f>"2026-05-06 13:39:03.623"</f>
        <v>2026-05-06 13:39:03.623</v>
      </c>
      <c r="H620" t="s">
        <v>22</v>
      </c>
    </row>
    <row r="621" spans="1:10" x14ac:dyDescent="0.25">
      <c r="A621" s="1">
        <v>34</v>
      </c>
      <c r="B621" t="s">
        <v>31</v>
      </c>
      <c r="C621">
        <v>87</v>
      </c>
      <c r="D621">
        <v>1</v>
      </c>
      <c r="E621" t="s">
        <v>32</v>
      </c>
      <c r="F621" t="s">
        <v>33</v>
      </c>
      <c r="G621" t="str">
        <f>"2026-05-06 08:03:23.908"</f>
        <v>2026-05-06 08:03:23.908</v>
      </c>
      <c r="H621" t="s">
        <v>22</v>
      </c>
    </row>
    <row r="622" spans="1:10" x14ac:dyDescent="0.25">
      <c r="A622" s="1">
        <v>35</v>
      </c>
      <c r="B622" t="s">
        <v>26</v>
      </c>
      <c r="C622">
        <v>89</v>
      </c>
      <c r="D622">
        <v>2</v>
      </c>
      <c r="E622" t="s">
        <v>42</v>
      </c>
      <c r="F622" t="s">
        <v>43</v>
      </c>
      <c r="G622" t="str">
        <f>"2026-05-06 08:01:42.900"</f>
        <v>2026-05-06 08:01:42.900</v>
      </c>
      <c r="H622" t="s">
        <v>22</v>
      </c>
    </row>
    <row r="623" spans="1:10" x14ac:dyDescent="0.25">
      <c r="A623" s="1">
        <v>36</v>
      </c>
      <c r="B623" t="s">
        <v>34</v>
      </c>
      <c r="C623">
        <v>87</v>
      </c>
      <c r="D623">
        <v>1</v>
      </c>
      <c r="E623" t="s">
        <v>32</v>
      </c>
      <c r="F623" t="s">
        <v>33</v>
      </c>
      <c r="G623" t="str">
        <f>"2026-05-06 08:01:28.339"</f>
        <v>2026-05-06 08:01:28.339</v>
      </c>
      <c r="H623" t="s">
        <v>22</v>
      </c>
      <c r="I623">
        <v>4.5999999999999996</v>
      </c>
      <c r="J623" t="s">
        <v>30</v>
      </c>
    </row>
    <row r="624" spans="1:10" x14ac:dyDescent="0.25">
      <c r="A624" s="1">
        <v>37</v>
      </c>
      <c r="B624" t="s">
        <v>34</v>
      </c>
      <c r="C624">
        <v>89</v>
      </c>
      <c r="D624">
        <v>2</v>
      </c>
      <c r="E624" t="s">
        <v>42</v>
      </c>
      <c r="F624" t="s">
        <v>43</v>
      </c>
      <c r="G624" t="str">
        <f>"2026-05-06 08:01:19.501"</f>
        <v>2026-05-06 08:01:19.501</v>
      </c>
      <c r="H624" t="s">
        <v>22</v>
      </c>
      <c r="I624">
        <v>4.59</v>
      </c>
      <c r="J624" t="s">
        <v>30</v>
      </c>
    </row>
    <row r="625" spans="1:10" x14ac:dyDescent="0.25">
      <c r="A625" s="1">
        <v>38</v>
      </c>
      <c r="B625" t="s">
        <v>31</v>
      </c>
      <c r="C625">
        <v>87</v>
      </c>
      <c r="D625">
        <v>1</v>
      </c>
      <c r="E625" t="s">
        <v>32</v>
      </c>
      <c r="F625" t="s">
        <v>33</v>
      </c>
      <c r="G625" t="str">
        <f>"2026-05-06 05:43:51.461"</f>
        <v>2026-05-06 05:43:51.461</v>
      </c>
      <c r="H625" t="s">
        <v>22</v>
      </c>
    </row>
    <row r="626" spans="1:10" x14ac:dyDescent="0.25">
      <c r="A626" s="1">
        <v>39</v>
      </c>
      <c r="B626" t="s">
        <v>34</v>
      </c>
      <c r="C626">
        <v>87</v>
      </c>
      <c r="D626">
        <v>1</v>
      </c>
      <c r="E626" t="s">
        <v>32</v>
      </c>
      <c r="F626" t="s">
        <v>33</v>
      </c>
      <c r="G626" t="str">
        <f>"2026-05-06 05:42:21.279"</f>
        <v>2026-05-06 05:42:21.279</v>
      </c>
      <c r="H626" t="s">
        <v>22</v>
      </c>
      <c r="I626">
        <v>6.76</v>
      </c>
      <c r="J626" t="s">
        <v>30</v>
      </c>
    </row>
    <row r="627" spans="1:10" x14ac:dyDescent="0.25">
      <c r="A627" s="1">
        <v>40</v>
      </c>
      <c r="B627" t="s">
        <v>26</v>
      </c>
      <c r="C627">
        <v>635</v>
      </c>
      <c r="D627">
        <v>1</v>
      </c>
      <c r="E627" t="s">
        <v>27</v>
      </c>
      <c r="F627" t="s">
        <v>28</v>
      </c>
      <c r="G627" t="str">
        <f>"2026-05-06 04:15:20.908"</f>
        <v>2026-05-06 04:15:20.908</v>
      </c>
      <c r="H627" t="s">
        <v>22</v>
      </c>
    </row>
    <row r="628" spans="1:10" x14ac:dyDescent="0.25">
      <c r="A628" s="1">
        <v>41</v>
      </c>
      <c r="B628" t="s">
        <v>29</v>
      </c>
      <c r="C628">
        <v>635</v>
      </c>
      <c r="D628">
        <v>1</v>
      </c>
      <c r="E628" t="s">
        <v>27</v>
      </c>
      <c r="F628" t="s">
        <v>28</v>
      </c>
      <c r="G628" t="str">
        <f>"2026-05-06 04:10:39.408"</f>
        <v>2026-05-06 04:10:39.408</v>
      </c>
      <c r="H628" t="s">
        <v>22</v>
      </c>
      <c r="I628">
        <v>5.25</v>
      </c>
      <c r="J628" t="s">
        <v>30</v>
      </c>
    </row>
    <row r="629" spans="1:10" x14ac:dyDescent="0.25">
      <c r="A629" s="1">
        <v>42</v>
      </c>
      <c r="B629" t="s">
        <v>29</v>
      </c>
      <c r="C629">
        <v>54</v>
      </c>
      <c r="D629">
        <v>1</v>
      </c>
      <c r="E629" t="s">
        <v>87</v>
      </c>
      <c r="F629" t="s">
        <v>88</v>
      </c>
      <c r="G629" t="str">
        <f>"2026-05-05 13:54:24.100"</f>
        <v>2026-05-05 13:54:24.100</v>
      </c>
      <c r="H629" t="s">
        <v>22</v>
      </c>
      <c r="I629">
        <v>6.66</v>
      </c>
      <c r="J629" t="s">
        <v>30</v>
      </c>
    </row>
    <row r="630" spans="1:10" x14ac:dyDescent="0.25">
      <c r="A630" s="1">
        <v>43</v>
      </c>
      <c r="B630" t="s">
        <v>26</v>
      </c>
      <c r="C630">
        <v>54</v>
      </c>
      <c r="D630">
        <v>1</v>
      </c>
      <c r="E630" t="s">
        <v>87</v>
      </c>
      <c r="F630" t="s">
        <v>88</v>
      </c>
      <c r="G630" t="str">
        <f>"2026-05-05 13:51:22.400"</f>
        <v>2026-05-05 13:51:22.400</v>
      </c>
      <c r="H630" t="s">
        <v>22</v>
      </c>
    </row>
    <row r="631" spans="1:10" x14ac:dyDescent="0.25">
      <c r="A631" s="1">
        <v>44</v>
      </c>
      <c r="B631" t="s">
        <v>19</v>
      </c>
      <c r="C631">
        <v>700</v>
      </c>
      <c r="D631">
        <v>0</v>
      </c>
      <c r="E631" t="s">
        <v>24</v>
      </c>
      <c r="F631" t="s">
        <v>24</v>
      </c>
      <c r="G631" t="str">
        <f>"2026-05-05 13:51:09.630"</f>
        <v>2026-05-05 13:51:09.630</v>
      </c>
      <c r="H631" t="s">
        <v>22</v>
      </c>
    </row>
    <row r="632" spans="1:10" x14ac:dyDescent="0.25">
      <c r="A632" s="1">
        <v>45</v>
      </c>
      <c r="B632" t="s">
        <v>34</v>
      </c>
      <c r="C632">
        <v>630</v>
      </c>
      <c r="D632">
        <v>5</v>
      </c>
      <c r="E632" t="s">
        <v>39</v>
      </c>
      <c r="F632" t="s">
        <v>40</v>
      </c>
      <c r="G632" t="str">
        <f>"2026-05-05 13:05:45.884"</f>
        <v>2026-05-05 13:05:45.884</v>
      </c>
      <c r="H632" t="s">
        <v>41</v>
      </c>
      <c r="I632">
        <v>0</v>
      </c>
      <c r="J632" t="s">
        <v>23</v>
      </c>
    </row>
    <row r="633" spans="1:10" x14ac:dyDescent="0.25">
      <c r="A633" s="1">
        <v>46</v>
      </c>
      <c r="B633" t="s">
        <v>26</v>
      </c>
      <c r="C633">
        <v>630</v>
      </c>
      <c r="D633">
        <v>5</v>
      </c>
      <c r="E633" t="s">
        <v>39</v>
      </c>
      <c r="F633" t="s">
        <v>40</v>
      </c>
      <c r="G633" t="str">
        <f>"2026-05-05 10:27:46.484"</f>
        <v>2026-05-05 10:27:46.484</v>
      </c>
      <c r="H633" t="s">
        <v>41</v>
      </c>
    </row>
    <row r="634" spans="1:10" x14ac:dyDescent="0.25">
      <c r="A634" s="1">
        <v>47</v>
      </c>
      <c r="B634" t="s">
        <v>19</v>
      </c>
      <c r="C634">
        <v>706</v>
      </c>
      <c r="D634">
        <v>4</v>
      </c>
      <c r="E634" t="s">
        <v>20</v>
      </c>
      <c r="F634" t="s">
        <v>21</v>
      </c>
      <c r="G634" t="str">
        <f>"2026-05-05 10:27:16.362"</f>
        <v>2026-05-05 10:27:16.362</v>
      </c>
      <c r="H634" t="s">
        <v>22</v>
      </c>
      <c r="I634">
        <v>0</v>
      </c>
      <c r="J634" t="s">
        <v>23</v>
      </c>
    </row>
    <row r="635" spans="1:10" x14ac:dyDescent="0.25">
      <c r="A635" s="1">
        <v>48</v>
      </c>
      <c r="B635" t="s">
        <v>34</v>
      </c>
      <c r="C635">
        <v>630</v>
      </c>
      <c r="D635">
        <v>5</v>
      </c>
      <c r="E635" t="s">
        <v>39</v>
      </c>
      <c r="F635" t="s">
        <v>40</v>
      </c>
      <c r="G635" t="str">
        <f>"2026-05-05 10:15:58.884"</f>
        <v>2026-05-05 10:15:58.884</v>
      </c>
      <c r="H635" t="s">
        <v>41</v>
      </c>
      <c r="I635">
        <v>0</v>
      </c>
      <c r="J635" t="s">
        <v>23</v>
      </c>
    </row>
    <row r="636" spans="1:10" x14ac:dyDescent="0.25">
      <c r="A636" s="1">
        <v>49</v>
      </c>
      <c r="B636" t="s">
        <v>29</v>
      </c>
      <c r="C636">
        <v>54</v>
      </c>
      <c r="D636">
        <v>1</v>
      </c>
      <c r="E636" t="s">
        <v>87</v>
      </c>
      <c r="F636" t="s">
        <v>88</v>
      </c>
      <c r="G636" t="str">
        <f>"2026-05-05 10:01:42.084"</f>
        <v>2026-05-05 10:01:42.084</v>
      </c>
      <c r="H636" t="s">
        <v>22</v>
      </c>
      <c r="I636">
        <v>4.57</v>
      </c>
      <c r="J636" t="s">
        <v>30</v>
      </c>
    </row>
    <row r="637" spans="1:10" x14ac:dyDescent="0.25">
      <c r="A637" s="1">
        <v>50</v>
      </c>
      <c r="B637" t="s">
        <v>19</v>
      </c>
      <c r="C637">
        <v>700</v>
      </c>
      <c r="D637">
        <v>0</v>
      </c>
      <c r="E637" t="s">
        <v>24</v>
      </c>
      <c r="F637" t="s">
        <v>24</v>
      </c>
      <c r="G637" t="str">
        <f>"2026-05-05 09:58:21.602"</f>
        <v>2026-05-05 09:58:21.602</v>
      </c>
      <c r="H637" t="s">
        <v>22</v>
      </c>
      <c r="I637">
        <v>0</v>
      </c>
      <c r="J637" t="s">
        <v>25</v>
      </c>
    </row>
    <row r="638" spans="1:10" x14ac:dyDescent="0.25">
      <c r="A638" s="1">
        <v>51</v>
      </c>
      <c r="B638" t="s">
        <v>26</v>
      </c>
      <c r="C638">
        <v>630</v>
      </c>
      <c r="D638">
        <v>5</v>
      </c>
      <c r="E638" t="s">
        <v>39</v>
      </c>
      <c r="F638" t="s">
        <v>40</v>
      </c>
      <c r="G638" t="str">
        <f>"2026-05-05 09:34:01.057"</f>
        <v>2026-05-05 09:34:01.057</v>
      </c>
      <c r="H638" t="s">
        <v>41</v>
      </c>
    </row>
    <row r="639" spans="1:10" x14ac:dyDescent="0.25">
      <c r="A639" s="1">
        <v>52</v>
      </c>
      <c r="B639" t="s">
        <v>19</v>
      </c>
      <c r="C639">
        <v>706</v>
      </c>
      <c r="D639">
        <v>2</v>
      </c>
      <c r="E639" t="s">
        <v>20</v>
      </c>
      <c r="F639" t="s">
        <v>54</v>
      </c>
      <c r="G639" t="str">
        <f>"2026-05-05 09:33:30.819"</f>
        <v>2026-05-05 09:33:30.819</v>
      </c>
      <c r="H639" t="s">
        <v>22</v>
      </c>
      <c r="I639">
        <v>0</v>
      </c>
      <c r="J639" t="s">
        <v>23</v>
      </c>
    </row>
    <row r="640" spans="1:10" x14ac:dyDescent="0.25">
      <c r="A640" s="1">
        <v>53</v>
      </c>
      <c r="B640" t="s">
        <v>19</v>
      </c>
      <c r="C640">
        <v>706</v>
      </c>
      <c r="D640">
        <v>4</v>
      </c>
      <c r="E640" t="s">
        <v>20</v>
      </c>
      <c r="F640" t="s">
        <v>21</v>
      </c>
      <c r="G640" t="str">
        <f>"2026-05-05 09:33:16.329"</f>
        <v>2026-05-05 09:33:16.329</v>
      </c>
      <c r="H640" t="s">
        <v>22</v>
      </c>
      <c r="I640">
        <v>0</v>
      </c>
      <c r="J640" t="s">
        <v>23</v>
      </c>
    </row>
    <row r="641" spans="1:10" x14ac:dyDescent="0.25">
      <c r="A641" s="1">
        <v>54</v>
      </c>
      <c r="B641" t="s">
        <v>34</v>
      </c>
      <c r="C641">
        <v>630</v>
      </c>
      <c r="D641">
        <v>5</v>
      </c>
      <c r="E641" t="s">
        <v>39</v>
      </c>
      <c r="F641" t="s">
        <v>40</v>
      </c>
      <c r="G641" t="str">
        <f>"2026-05-05 09:15:33.258"</f>
        <v>2026-05-05 09:15:33.258</v>
      </c>
      <c r="H641" t="s">
        <v>41</v>
      </c>
      <c r="I641">
        <v>0</v>
      </c>
      <c r="J641" t="s">
        <v>23</v>
      </c>
    </row>
    <row r="642" spans="1:10" x14ac:dyDescent="0.25">
      <c r="A642" s="1">
        <v>55</v>
      </c>
      <c r="B642" t="s">
        <v>19</v>
      </c>
      <c r="C642">
        <v>700</v>
      </c>
      <c r="D642">
        <v>0</v>
      </c>
      <c r="E642" t="s">
        <v>24</v>
      </c>
      <c r="F642" t="s">
        <v>24</v>
      </c>
      <c r="G642" t="str">
        <f>"2026-05-05 09:10:30.599"</f>
        <v>2026-05-05 09:10:30.599</v>
      </c>
      <c r="H642" t="s">
        <v>22</v>
      </c>
      <c r="I642">
        <v>0</v>
      </c>
      <c r="J642" t="s">
        <v>25</v>
      </c>
    </row>
    <row r="643" spans="1:10" x14ac:dyDescent="0.25">
      <c r="A643" s="1">
        <v>56</v>
      </c>
      <c r="B643" t="s">
        <v>26</v>
      </c>
      <c r="C643">
        <v>54</v>
      </c>
      <c r="D643">
        <v>1</v>
      </c>
      <c r="E643" t="s">
        <v>87</v>
      </c>
      <c r="F643" t="s">
        <v>88</v>
      </c>
      <c r="G643" t="str">
        <f>"2026-05-05 06:12:36.432"</f>
        <v>2026-05-05 06:12:36.432</v>
      </c>
      <c r="H643" t="s">
        <v>22</v>
      </c>
    </row>
    <row r="644" spans="1:10" x14ac:dyDescent="0.25">
      <c r="A644" s="1">
        <v>57</v>
      </c>
      <c r="B644" t="s">
        <v>19</v>
      </c>
      <c r="C644">
        <v>700</v>
      </c>
      <c r="D644">
        <v>0</v>
      </c>
      <c r="E644" t="s">
        <v>24</v>
      </c>
      <c r="F644" t="s">
        <v>24</v>
      </c>
      <c r="G644" t="str">
        <f>"2026-05-05 06:12:23.603"</f>
        <v>2026-05-05 06:12:23.603</v>
      </c>
      <c r="H644" t="s">
        <v>22</v>
      </c>
    </row>
    <row r="645" spans="1:10" x14ac:dyDescent="0.25">
      <c r="A645" s="1">
        <v>58</v>
      </c>
      <c r="B645" t="s">
        <v>31</v>
      </c>
      <c r="C645">
        <v>87</v>
      </c>
      <c r="D645">
        <v>1</v>
      </c>
      <c r="E645" t="s">
        <v>32</v>
      </c>
      <c r="F645" t="s">
        <v>33</v>
      </c>
      <c r="G645" t="str">
        <f>"2026-05-05 01:34:24.315"</f>
        <v>2026-05-05 01:34:24.315</v>
      </c>
      <c r="H645" t="s">
        <v>22</v>
      </c>
    </row>
    <row r="646" spans="1:10" x14ac:dyDescent="0.25">
      <c r="A646" s="1">
        <v>59</v>
      </c>
      <c r="B646" t="s">
        <v>34</v>
      </c>
      <c r="C646">
        <v>87</v>
      </c>
      <c r="D646">
        <v>1</v>
      </c>
      <c r="E646" t="s">
        <v>32</v>
      </c>
      <c r="F646" t="s">
        <v>33</v>
      </c>
      <c r="G646" t="str">
        <f>"2026-05-05 01:26:28.147"</f>
        <v>2026-05-05 01:26:28.147</v>
      </c>
      <c r="H646" t="s">
        <v>22</v>
      </c>
      <c r="I646">
        <v>6.95</v>
      </c>
      <c r="J646" t="s">
        <v>30</v>
      </c>
    </row>
    <row r="647" spans="1:10" x14ac:dyDescent="0.25">
      <c r="A647" s="1">
        <v>60</v>
      </c>
      <c r="B647" t="s">
        <v>29</v>
      </c>
      <c r="C647">
        <v>54</v>
      </c>
      <c r="D647">
        <v>1</v>
      </c>
      <c r="E647" t="s">
        <v>87</v>
      </c>
      <c r="F647" t="s">
        <v>88</v>
      </c>
      <c r="G647" t="str">
        <f>"2026-05-04 15:00:15.668"</f>
        <v>2026-05-04 15:00:15.668</v>
      </c>
      <c r="H647" t="s">
        <v>22</v>
      </c>
      <c r="I647">
        <v>6.27</v>
      </c>
      <c r="J647" t="s">
        <v>38</v>
      </c>
    </row>
    <row r="648" spans="1:10" x14ac:dyDescent="0.25">
      <c r="A648" s="1">
        <v>61</v>
      </c>
      <c r="B648" t="s">
        <v>26</v>
      </c>
      <c r="C648">
        <v>54</v>
      </c>
      <c r="D648">
        <v>1</v>
      </c>
      <c r="E648" t="s">
        <v>87</v>
      </c>
      <c r="F648" t="s">
        <v>88</v>
      </c>
      <c r="G648" t="str">
        <f>"2026-05-04 14:59:05.368"</f>
        <v>2026-05-04 14:59:05.368</v>
      </c>
      <c r="H648" t="s">
        <v>22</v>
      </c>
    </row>
    <row r="649" spans="1:10" x14ac:dyDescent="0.25">
      <c r="A649" s="1">
        <v>62</v>
      </c>
      <c r="B649" t="s">
        <v>19</v>
      </c>
      <c r="C649">
        <v>700</v>
      </c>
      <c r="D649">
        <v>0</v>
      </c>
      <c r="E649" t="s">
        <v>24</v>
      </c>
      <c r="F649" t="s">
        <v>24</v>
      </c>
      <c r="G649" t="str">
        <f>"2026-05-04 14:58:52.596"</f>
        <v>2026-05-04 14:58:52.596</v>
      </c>
      <c r="H649" t="s">
        <v>22</v>
      </c>
      <c r="I649">
        <v>0</v>
      </c>
      <c r="J649" t="s">
        <v>25</v>
      </c>
    </row>
    <row r="650" spans="1:10" x14ac:dyDescent="0.25">
      <c r="A650" s="1">
        <v>63</v>
      </c>
      <c r="B650" t="s">
        <v>29</v>
      </c>
      <c r="C650">
        <v>54</v>
      </c>
      <c r="D650">
        <v>1</v>
      </c>
      <c r="E650" t="s">
        <v>87</v>
      </c>
      <c r="F650" t="s">
        <v>88</v>
      </c>
      <c r="G650" t="str">
        <f>"2026-05-04 13:06:49.913"</f>
        <v>2026-05-04 13:06:49.913</v>
      </c>
      <c r="H650" t="s">
        <v>22</v>
      </c>
      <c r="I650">
        <v>6.77</v>
      </c>
      <c r="J650" t="s">
        <v>30</v>
      </c>
    </row>
    <row r="651" spans="1:10" x14ac:dyDescent="0.25">
      <c r="A651" s="1">
        <v>64</v>
      </c>
      <c r="B651" t="s">
        <v>26</v>
      </c>
      <c r="C651">
        <v>54</v>
      </c>
      <c r="D651">
        <v>1</v>
      </c>
      <c r="E651" t="s">
        <v>87</v>
      </c>
      <c r="F651" t="s">
        <v>88</v>
      </c>
      <c r="G651" t="str">
        <f>"2026-05-04 12:48:27.513"</f>
        <v>2026-05-04 12:48:27.513</v>
      </c>
      <c r="H651" t="s">
        <v>22</v>
      </c>
    </row>
    <row r="652" spans="1:10" x14ac:dyDescent="0.25">
      <c r="A652" s="1">
        <v>65</v>
      </c>
      <c r="B652" t="s">
        <v>19</v>
      </c>
      <c r="C652">
        <v>700</v>
      </c>
      <c r="D652">
        <v>0</v>
      </c>
      <c r="E652" t="s">
        <v>24</v>
      </c>
      <c r="F652" t="s">
        <v>24</v>
      </c>
      <c r="G652" t="str">
        <f>"2026-05-04 12:48:14.714"</f>
        <v>2026-05-04 12:48:14.714</v>
      </c>
      <c r="H652" t="s">
        <v>22</v>
      </c>
    </row>
    <row r="653" spans="1:10" x14ac:dyDescent="0.25">
      <c r="A653" s="1">
        <v>66</v>
      </c>
      <c r="B653" t="s">
        <v>34</v>
      </c>
      <c r="C653">
        <v>630</v>
      </c>
      <c r="D653">
        <v>5</v>
      </c>
      <c r="E653" t="s">
        <v>39</v>
      </c>
      <c r="F653" t="s">
        <v>40</v>
      </c>
      <c r="G653" t="str">
        <f>"2026-05-04 12:17:56.085"</f>
        <v>2026-05-04 12:17:56.085</v>
      </c>
      <c r="H653" t="s">
        <v>41</v>
      </c>
      <c r="I653">
        <v>0</v>
      </c>
      <c r="J653" t="s">
        <v>23</v>
      </c>
    </row>
    <row r="654" spans="1:10" x14ac:dyDescent="0.25">
      <c r="A654" s="1">
        <v>67</v>
      </c>
      <c r="B654" t="s">
        <v>29</v>
      </c>
      <c r="C654">
        <v>54</v>
      </c>
      <c r="D654">
        <v>1</v>
      </c>
      <c r="E654" t="s">
        <v>87</v>
      </c>
      <c r="F654" t="s">
        <v>88</v>
      </c>
      <c r="G654" t="str">
        <f>"2026-05-04 10:56:01.784"</f>
        <v>2026-05-04 10:56:01.784</v>
      </c>
      <c r="H654" t="s">
        <v>22</v>
      </c>
      <c r="I654">
        <v>6.7</v>
      </c>
      <c r="J654" t="s">
        <v>30</v>
      </c>
    </row>
    <row r="655" spans="1:10" x14ac:dyDescent="0.25">
      <c r="A655" s="1">
        <v>68</v>
      </c>
      <c r="B655" t="s">
        <v>26</v>
      </c>
      <c r="C655">
        <v>54</v>
      </c>
      <c r="D655">
        <v>1</v>
      </c>
      <c r="E655" t="s">
        <v>87</v>
      </c>
      <c r="F655" t="s">
        <v>88</v>
      </c>
      <c r="G655" t="str">
        <f>"2026-05-04 10:39:22.384"</f>
        <v>2026-05-04 10:39:22.384</v>
      </c>
      <c r="H655" t="s">
        <v>22</v>
      </c>
    </row>
    <row r="656" spans="1:10" x14ac:dyDescent="0.25">
      <c r="A656" s="1">
        <v>69</v>
      </c>
      <c r="B656" t="s">
        <v>19</v>
      </c>
      <c r="C656">
        <v>700</v>
      </c>
      <c r="D656">
        <v>0</v>
      </c>
      <c r="E656" t="s">
        <v>24</v>
      </c>
      <c r="F656" t="s">
        <v>24</v>
      </c>
      <c r="G656" t="str">
        <f>"2026-05-04 10:39:09.603"</f>
        <v>2026-05-04 10:39:09.603</v>
      </c>
      <c r="H656" t="s">
        <v>22</v>
      </c>
    </row>
    <row r="657" spans="1:10" x14ac:dyDescent="0.25">
      <c r="A657" s="1">
        <v>70</v>
      </c>
      <c r="B657" t="s">
        <v>19</v>
      </c>
      <c r="C657">
        <v>706</v>
      </c>
      <c r="D657">
        <v>4</v>
      </c>
      <c r="E657" t="s">
        <v>20</v>
      </c>
      <c r="F657" t="s">
        <v>21</v>
      </c>
      <c r="G657" t="str">
        <f>"2026-05-04 10:34:01.743"</f>
        <v>2026-05-04 10:34:01.743</v>
      </c>
      <c r="H657" t="s">
        <v>22</v>
      </c>
      <c r="I657">
        <v>0</v>
      </c>
      <c r="J657" t="s">
        <v>23</v>
      </c>
    </row>
    <row r="658" spans="1:10" x14ac:dyDescent="0.25">
      <c r="A658" s="1">
        <v>71</v>
      </c>
      <c r="B658" t="s">
        <v>34</v>
      </c>
      <c r="C658">
        <v>630</v>
      </c>
      <c r="D658">
        <v>5</v>
      </c>
      <c r="E658" t="s">
        <v>39</v>
      </c>
      <c r="F658" t="s">
        <v>40</v>
      </c>
      <c r="G658" t="str">
        <f>"2026-05-04 10:32:05.366"</f>
        <v>2026-05-04 10:32:05.366</v>
      </c>
      <c r="H658" t="s">
        <v>41</v>
      </c>
      <c r="I658">
        <v>0</v>
      </c>
      <c r="J658" t="s">
        <v>23</v>
      </c>
    </row>
    <row r="659" spans="1:10" x14ac:dyDescent="0.25">
      <c r="A659" s="1">
        <v>73</v>
      </c>
      <c r="B659" t="s">
        <v>31</v>
      </c>
      <c r="C659">
        <v>87</v>
      </c>
      <c r="D659">
        <v>1</v>
      </c>
      <c r="E659" t="s">
        <v>32</v>
      </c>
      <c r="F659" t="s">
        <v>33</v>
      </c>
      <c r="G659" t="str">
        <f>"2026-05-04 01:46:21.265"</f>
        <v>2026-05-04 01:46:21.265</v>
      </c>
      <c r="H659" t="s">
        <v>22</v>
      </c>
    </row>
    <row r="660" spans="1:10" x14ac:dyDescent="0.25">
      <c r="A660" s="1">
        <v>74</v>
      </c>
      <c r="B660" t="s">
        <v>26</v>
      </c>
      <c r="C660">
        <v>89</v>
      </c>
      <c r="D660">
        <v>2</v>
      </c>
      <c r="E660" t="s">
        <v>42</v>
      </c>
      <c r="F660" t="s">
        <v>43</v>
      </c>
      <c r="G660" t="str">
        <f>"2026-05-04 01:37:17.365"</f>
        <v>2026-05-04 01:37:17.365</v>
      </c>
      <c r="H660" t="s">
        <v>22</v>
      </c>
    </row>
    <row r="661" spans="1:10" x14ac:dyDescent="0.25">
      <c r="A661" s="1">
        <v>75</v>
      </c>
      <c r="B661" t="s">
        <v>34</v>
      </c>
      <c r="C661">
        <v>89</v>
      </c>
      <c r="D661">
        <v>2</v>
      </c>
      <c r="E661" t="s">
        <v>42</v>
      </c>
      <c r="F661" t="s">
        <v>43</v>
      </c>
      <c r="G661" t="str">
        <f>"2026-05-04 01:36:46.665"</f>
        <v>2026-05-04 01:36:46.665</v>
      </c>
      <c r="H661" t="s">
        <v>22</v>
      </c>
      <c r="I661">
        <v>4.38</v>
      </c>
      <c r="J661" t="s">
        <v>30</v>
      </c>
    </row>
    <row r="662" spans="1:10" x14ac:dyDescent="0.25">
      <c r="A662" s="1">
        <v>76</v>
      </c>
      <c r="B662" t="s">
        <v>34</v>
      </c>
      <c r="C662">
        <v>87</v>
      </c>
      <c r="D662">
        <v>1</v>
      </c>
      <c r="E662" t="s">
        <v>32</v>
      </c>
      <c r="F662" t="s">
        <v>33</v>
      </c>
      <c r="G662" t="str">
        <f>"2026-05-04 01:35:46.003"</f>
        <v>2026-05-04 01:35:46.003</v>
      </c>
      <c r="H662" t="s">
        <v>22</v>
      </c>
      <c r="I662">
        <v>5.49</v>
      </c>
      <c r="J662" t="s">
        <v>30</v>
      </c>
    </row>
    <row r="663" spans="1:10" x14ac:dyDescent="0.25">
      <c r="A663" s="1">
        <v>77</v>
      </c>
      <c r="B663" t="s">
        <v>29</v>
      </c>
      <c r="C663">
        <v>54</v>
      </c>
      <c r="D663">
        <v>1</v>
      </c>
      <c r="E663" t="s">
        <v>87</v>
      </c>
      <c r="F663" t="s">
        <v>88</v>
      </c>
      <c r="G663" t="str">
        <f>"2026-05-03 15:08:34.765"</f>
        <v>2026-05-03 15:08:34.765</v>
      </c>
      <c r="H663" t="s">
        <v>22</v>
      </c>
      <c r="I663">
        <v>7.18</v>
      </c>
      <c r="J663" t="s">
        <v>30</v>
      </c>
    </row>
    <row r="664" spans="1:10" x14ac:dyDescent="0.25">
      <c r="A664" s="1">
        <v>78</v>
      </c>
      <c r="B664" t="s">
        <v>19</v>
      </c>
      <c r="C664">
        <v>700</v>
      </c>
      <c r="D664">
        <v>0</v>
      </c>
      <c r="E664" t="s">
        <v>24</v>
      </c>
      <c r="F664" t="s">
        <v>24</v>
      </c>
      <c r="G664" t="str">
        <f>"2026-05-03 14:28:19.603"</f>
        <v>2026-05-03 14:28:19.603</v>
      </c>
      <c r="H664" t="s">
        <v>22</v>
      </c>
      <c r="I664">
        <v>0</v>
      </c>
      <c r="J664" t="s">
        <v>25</v>
      </c>
    </row>
    <row r="665" spans="1:10" x14ac:dyDescent="0.25">
      <c r="A665" s="1">
        <v>79</v>
      </c>
      <c r="B665" t="s">
        <v>19</v>
      </c>
      <c r="C665">
        <v>700</v>
      </c>
      <c r="D665">
        <v>0</v>
      </c>
      <c r="E665" t="s">
        <v>24</v>
      </c>
      <c r="F665" t="s">
        <v>24</v>
      </c>
      <c r="G665" t="str">
        <f>"2026-05-03 14:10:40.611"</f>
        <v>2026-05-03 14:10:40.611</v>
      </c>
      <c r="H665" t="s">
        <v>22</v>
      </c>
      <c r="I665">
        <v>0</v>
      </c>
      <c r="J665" t="s">
        <v>25</v>
      </c>
    </row>
    <row r="666" spans="1:10" x14ac:dyDescent="0.25">
      <c r="A666" s="1">
        <v>80</v>
      </c>
      <c r="B666" t="s">
        <v>26</v>
      </c>
      <c r="C666">
        <v>54</v>
      </c>
      <c r="D666">
        <v>1</v>
      </c>
      <c r="E666" t="s">
        <v>87</v>
      </c>
      <c r="F666" t="s">
        <v>88</v>
      </c>
      <c r="G666" t="str">
        <f>"2026-05-03 13:53:50.376"</f>
        <v>2026-05-03 13:53:50.376</v>
      </c>
      <c r="H666" t="s">
        <v>22</v>
      </c>
    </row>
    <row r="667" spans="1:10" x14ac:dyDescent="0.25">
      <c r="A667" s="1">
        <v>81</v>
      </c>
      <c r="B667" t="s">
        <v>19</v>
      </c>
      <c r="C667">
        <v>700</v>
      </c>
      <c r="D667">
        <v>0</v>
      </c>
      <c r="E667" t="s">
        <v>24</v>
      </c>
      <c r="F667" t="s">
        <v>24</v>
      </c>
      <c r="G667" t="str">
        <f>"2026-05-03 13:53:37.605"</f>
        <v>2026-05-03 13:53:37.605</v>
      </c>
      <c r="H667" t="s">
        <v>22</v>
      </c>
      <c r="I667">
        <v>0</v>
      </c>
      <c r="J667" t="s">
        <v>25</v>
      </c>
    </row>
    <row r="668" spans="1:10" x14ac:dyDescent="0.25">
      <c r="A668" s="1">
        <v>82</v>
      </c>
      <c r="B668" t="s">
        <v>29</v>
      </c>
      <c r="C668">
        <v>54</v>
      </c>
      <c r="D668">
        <v>1</v>
      </c>
      <c r="E668" t="s">
        <v>87</v>
      </c>
      <c r="F668" t="s">
        <v>88</v>
      </c>
      <c r="G668" t="str">
        <f>"2026-05-03 13:49:51.886"</f>
        <v>2026-05-03 13:49:51.886</v>
      </c>
      <c r="H668" t="s">
        <v>22</v>
      </c>
      <c r="I668">
        <v>4.34</v>
      </c>
      <c r="J668" t="s">
        <v>30</v>
      </c>
    </row>
    <row r="669" spans="1:10" x14ac:dyDescent="0.25">
      <c r="A669" s="1">
        <v>83</v>
      </c>
      <c r="B669" t="s">
        <v>26</v>
      </c>
      <c r="C669">
        <v>54</v>
      </c>
      <c r="D669">
        <v>1</v>
      </c>
      <c r="E669" t="s">
        <v>87</v>
      </c>
      <c r="F669" t="s">
        <v>88</v>
      </c>
      <c r="G669" t="str">
        <f>"2026-05-03 13:48:42.386"</f>
        <v>2026-05-03 13:48:42.386</v>
      </c>
      <c r="H669" t="s">
        <v>22</v>
      </c>
    </row>
    <row r="670" spans="1:10" x14ac:dyDescent="0.25">
      <c r="A670" s="1">
        <v>84</v>
      </c>
      <c r="B670" t="s">
        <v>19</v>
      </c>
      <c r="C670">
        <v>700</v>
      </c>
      <c r="D670">
        <v>0</v>
      </c>
      <c r="E670" t="s">
        <v>24</v>
      </c>
      <c r="F670" t="s">
        <v>24</v>
      </c>
      <c r="G670" t="str">
        <f>"2026-05-03 13:48:29.595"</f>
        <v>2026-05-03 13:48:29.595</v>
      </c>
      <c r="H670" t="s">
        <v>22</v>
      </c>
    </row>
    <row r="671" spans="1:10" x14ac:dyDescent="0.25">
      <c r="A671" s="1">
        <v>85</v>
      </c>
      <c r="B671" t="s">
        <v>26</v>
      </c>
      <c r="C671">
        <v>630</v>
      </c>
      <c r="D671">
        <v>5</v>
      </c>
      <c r="E671" t="s">
        <v>39</v>
      </c>
      <c r="F671" t="s">
        <v>40</v>
      </c>
      <c r="G671" t="str">
        <f>"2026-05-03 13:17:38.088"</f>
        <v>2026-05-03 13:17:38.088</v>
      </c>
      <c r="H671" t="s">
        <v>41</v>
      </c>
    </row>
    <row r="672" spans="1:10" x14ac:dyDescent="0.25">
      <c r="A672" s="1">
        <v>86</v>
      </c>
      <c r="B672" t="s">
        <v>19</v>
      </c>
      <c r="C672">
        <v>706</v>
      </c>
      <c r="D672">
        <v>2</v>
      </c>
      <c r="E672" t="s">
        <v>20</v>
      </c>
      <c r="F672" t="s">
        <v>54</v>
      </c>
      <c r="G672" t="str">
        <f>"2026-05-03 13:17:07.779"</f>
        <v>2026-05-03 13:17:07.779</v>
      </c>
      <c r="H672" t="s">
        <v>22</v>
      </c>
      <c r="I672">
        <v>0</v>
      </c>
      <c r="J672" t="s">
        <v>23</v>
      </c>
    </row>
    <row r="673" spans="1:10" x14ac:dyDescent="0.25">
      <c r="A673" s="1">
        <v>87</v>
      </c>
      <c r="B673" t="s">
        <v>34</v>
      </c>
      <c r="C673">
        <v>630</v>
      </c>
      <c r="D673">
        <v>5</v>
      </c>
      <c r="E673" t="s">
        <v>39</v>
      </c>
      <c r="F673" t="s">
        <v>40</v>
      </c>
      <c r="G673" t="str">
        <f>"2026-05-03 13:02:51.489"</f>
        <v>2026-05-03 13:02:51.489</v>
      </c>
      <c r="H673" t="s">
        <v>41</v>
      </c>
      <c r="I673">
        <v>0</v>
      </c>
      <c r="J673" t="s">
        <v>23</v>
      </c>
    </row>
    <row r="674" spans="1:10" x14ac:dyDescent="0.25">
      <c r="A674" s="1">
        <v>88</v>
      </c>
      <c r="B674" t="s">
        <v>29</v>
      </c>
      <c r="C674">
        <v>54</v>
      </c>
      <c r="D674">
        <v>1</v>
      </c>
      <c r="E674" t="s">
        <v>87</v>
      </c>
      <c r="F674" t="s">
        <v>88</v>
      </c>
      <c r="G674" t="str">
        <f>"2026-05-02 17:32:08.000"</f>
        <v>2026-05-02 17:32:08.000</v>
      </c>
      <c r="H674" t="s">
        <v>22</v>
      </c>
      <c r="I674">
        <v>5.21</v>
      </c>
      <c r="J674" t="s">
        <v>30</v>
      </c>
    </row>
    <row r="675" spans="1:10" x14ac:dyDescent="0.25">
      <c r="A675" s="1">
        <v>89</v>
      </c>
      <c r="B675" t="s">
        <v>26</v>
      </c>
      <c r="C675">
        <v>54</v>
      </c>
      <c r="D675">
        <v>1</v>
      </c>
      <c r="E675" t="s">
        <v>87</v>
      </c>
      <c r="F675" t="s">
        <v>88</v>
      </c>
      <c r="G675" t="str">
        <f>"2026-05-02 17:05:05.500"</f>
        <v>2026-05-02 17:05:05.500</v>
      </c>
      <c r="H675" t="s">
        <v>22</v>
      </c>
    </row>
    <row r="676" spans="1:10" x14ac:dyDescent="0.25">
      <c r="A676" s="1">
        <v>90</v>
      </c>
      <c r="B676" t="s">
        <v>19</v>
      </c>
      <c r="C676">
        <v>700</v>
      </c>
      <c r="D676">
        <v>0</v>
      </c>
      <c r="E676" t="s">
        <v>24</v>
      </c>
      <c r="F676" t="s">
        <v>24</v>
      </c>
      <c r="G676" t="str">
        <f>"2026-05-02 17:04:52.819"</f>
        <v>2026-05-02 17:04:52.819</v>
      </c>
      <c r="H676" t="s">
        <v>22</v>
      </c>
      <c r="I676">
        <v>0</v>
      </c>
      <c r="J676" t="s">
        <v>25</v>
      </c>
    </row>
    <row r="677" spans="1:10" x14ac:dyDescent="0.25">
      <c r="A677" s="1">
        <v>92</v>
      </c>
      <c r="B677" t="s">
        <v>26</v>
      </c>
      <c r="C677">
        <v>630</v>
      </c>
      <c r="D677">
        <v>5</v>
      </c>
      <c r="E677" t="s">
        <v>39</v>
      </c>
      <c r="F677" t="s">
        <v>40</v>
      </c>
      <c r="G677" t="str">
        <f>"2026-05-02 13:59:39.228"</f>
        <v>2026-05-02 13:59:39.228</v>
      </c>
      <c r="H677" t="s">
        <v>41</v>
      </c>
    </row>
    <row r="678" spans="1:10" x14ac:dyDescent="0.25">
      <c r="A678" s="1">
        <v>93</v>
      </c>
      <c r="B678" t="s">
        <v>19</v>
      </c>
      <c r="C678">
        <v>706</v>
      </c>
      <c r="D678">
        <v>4</v>
      </c>
      <c r="E678" t="s">
        <v>20</v>
      </c>
      <c r="F678" t="s">
        <v>21</v>
      </c>
      <c r="G678" t="str">
        <f>"2026-05-02 13:59:09.100"</f>
        <v>2026-05-02 13:59:09.100</v>
      </c>
      <c r="H678" t="s">
        <v>22</v>
      </c>
      <c r="I678">
        <v>0</v>
      </c>
      <c r="J678" t="s">
        <v>23</v>
      </c>
    </row>
    <row r="679" spans="1:10" x14ac:dyDescent="0.25">
      <c r="A679" s="1">
        <v>94</v>
      </c>
      <c r="B679" t="s">
        <v>34</v>
      </c>
      <c r="C679">
        <v>630</v>
      </c>
      <c r="D679">
        <v>5</v>
      </c>
      <c r="E679" t="s">
        <v>39</v>
      </c>
      <c r="F679" t="s">
        <v>40</v>
      </c>
      <c r="G679" t="str">
        <f>"2026-05-02 13:28:42.728"</f>
        <v>2026-05-02 13:28:42.728</v>
      </c>
      <c r="H679" t="s">
        <v>41</v>
      </c>
      <c r="I679">
        <v>0</v>
      </c>
      <c r="J679" t="s">
        <v>23</v>
      </c>
    </row>
    <row r="680" spans="1:10" x14ac:dyDescent="0.25">
      <c r="A680" s="1">
        <v>95</v>
      </c>
      <c r="B680" t="s">
        <v>31</v>
      </c>
      <c r="C680">
        <v>87</v>
      </c>
      <c r="D680">
        <v>1</v>
      </c>
      <c r="E680" t="s">
        <v>32</v>
      </c>
      <c r="F680" t="s">
        <v>33</v>
      </c>
      <c r="G680" t="str">
        <f>"2026-05-02 13:03:50.429"</f>
        <v>2026-05-02 13:03:50.429</v>
      </c>
      <c r="H680" t="s">
        <v>22</v>
      </c>
    </row>
    <row r="681" spans="1:10" x14ac:dyDescent="0.25">
      <c r="A681" s="1">
        <v>96</v>
      </c>
      <c r="B681" t="s">
        <v>34</v>
      </c>
      <c r="C681">
        <v>87</v>
      </c>
      <c r="D681">
        <v>1</v>
      </c>
      <c r="E681" t="s">
        <v>32</v>
      </c>
      <c r="F681" t="s">
        <v>33</v>
      </c>
      <c r="G681" t="str">
        <f>"2026-05-02 12:45:16.319"</f>
        <v>2026-05-02 12:45:16.319</v>
      </c>
      <c r="H681" t="s">
        <v>22</v>
      </c>
      <c r="I681">
        <v>9.0500000000000007</v>
      </c>
      <c r="J681" t="s">
        <v>30</v>
      </c>
    </row>
    <row r="682" spans="1:10" x14ac:dyDescent="0.25">
      <c r="A682" s="1">
        <v>97</v>
      </c>
      <c r="B682" t="s">
        <v>26</v>
      </c>
      <c r="C682">
        <v>635</v>
      </c>
      <c r="D682">
        <v>1</v>
      </c>
      <c r="E682" t="s">
        <v>27</v>
      </c>
      <c r="F682" t="s">
        <v>28</v>
      </c>
      <c r="G682" t="str">
        <f>"2026-05-02 01:13:33.628"</f>
        <v>2026-05-02 01:13:33.628</v>
      </c>
      <c r="H682" t="s">
        <v>22</v>
      </c>
    </row>
    <row r="683" spans="1:10" x14ac:dyDescent="0.25">
      <c r="A683" s="1">
        <v>98</v>
      </c>
      <c r="B683" t="s">
        <v>29</v>
      </c>
      <c r="C683">
        <v>635</v>
      </c>
      <c r="D683">
        <v>1</v>
      </c>
      <c r="E683" t="s">
        <v>27</v>
      </c>
      <c r="F683" t="s">
        <v>28</v>
      </c>
      <c r="G683" t="str">
        <f>"2026-05-02 00:47:46.728"</f>
        <v>2026-05-02 00:47:46.728</v>
      </c>
      <c r="H683" t="s">
        <v>22</v>
      </c>
      <c r="I683">
        <v>9.44</v>
      </c>
      <c r="J683" t="s">
        <v>30</v>
      </c>
    </row>
    <row r="684" spans="1:10" x14ac:dyDescent="0.25">
      <c r="A684" s="1">
        <v>99</v>
      </c>
      <c r="B684" t="s">
        <v>26</v>
      </c>
      <c r="C684">
        <v>635</v>
      </c>
      <c r="D684">
        <v>1</v>
      </c>
      <c r="E684" t="s">
        <v>27</v>
      </c>
      <c r="F684" t="s">
        <v>28</v>
      </c>
      <c r="G684" t="str">
        <f>"2026-05-02 00:30:06.728"</f>
        <v>2026-05-02 00:30:06.728</v>
      </c>
      <c r="H684" t="s">
        <v>22</v>
      </c>
    </row>
    <row r="685" spans="1:10" x14ac:dyDescent="0.25">
      <c r="A685" s="1">
        <v>0</v>
      </c>
      <c r="B685" t="s">
        <v>29</v>
      </c>
      <c r="C685">
        <v>635</v>
      </c>
      <c r="D685">
        <v>1</v>
      </c>
      <c r="E685" t="s">
        <v>27</v>
      </c>
      <c r="F685" t="s">
        <v>28</v>
      </c>
      <c r="G685" t="str">
        <f>"2026-05-01 23:54:59.329"</f>
        <v>2026-05-01 23:54:59.329</v>
      </c>
      <c r="H685" t="s">
        <v>22</v>
      </c>
      <c r="I685">
        <v>8.14</v>
      </c>
      <c r="J685" t="s">
        <v>30</v>
      </c>
    </row>
    <row r="686" spans="1:10" x14ac:dyDescent="0.25">
      <c r="A686" s="1">
        <v>1</v>
      </c>
      <c r="B686" t="s">
        <v>29</v>
      </c>
      <c r="C686">
        <v>54</v>
      </c>
      <c r="D686">
        <v>1</v>
      </c>
      <c r="E686" t="s">
        <v>87</v>
      </c>
      <c r="F686" t="s">
        <v>88</v>
      </c>
      <c r="G686" t="str">
        <f>"2026-05-01 19:30:48.820"</f>
        <v>2026-05-01 19:30:48.820</v>
      </c>
      <c r="H686" t="s">
        <v>22</v>
      </c>
      <c r="I686">
        <v>6.01</v>
      </c>
      <c r="J686" t="s">
        <v>30</v>
      </c>
    </row>
    <row r="687" spans="1:10" x14ac:dyDescent="0.25">
      <c r="A687" s="1">
        <v>2</v>
      </c>
      <c r="B687" t="s">
        <v>26</v>
      </c>
      <c r="C687">
        <v>54</v>
      </c>
      <c r="D687">
        <v>1</v>
      </c>
      <c r="E687" t="s">
        <v>87</v>
      </c>
      <c r="F687" t="s">
        <v>88</v>
      </c>
      <c r="G687" t="str">
        <f>"2026-05-01 19:13:53.520"</f>
        <v>2026-05-01 19:13:53.520</v>
      </c>
      <c r="H687" t="s">
        <v>22</v>
      </c>
    </row>
    <row r="688" spans="1:10" x14ac:dyDescent="0.25">
      <c r="A688" s="1">
        <v>3</v>
      </c>
      <c r="B688" t="s">
        <v>19</v>
      </c>
      <c r="C688">
        <v>700</v>
      </c>
      <c r="D688">
        <v>0</v>
      </c>
      <c r="E688" t="s">
        <v>24</v>
      </c>
      <c r="F688" t="s">
        <v>24</v>
      </c>
      <c r="G688" t="str">
        <f>"2026-05-01 19:13:40.760"</f>
        <v>2026-05-01 19:13:40.760</v>
      </c>
      <c r="H688" t="s">
        <v>22</v>
      </c>
      <c r="I688">
        <v>0</v>
      </c>
      <c r="J688" t="s">
        <v>25</v>
      </c>
    </row>
    <row r="689" spans="1:10" x14ac:dyDescent="0.25">
      <c r="A689" s="1">
        <v>4</v>
      </c>
      <c r="B689" t="s">
        <v>29</v>
      </c>
      <c r="C689">
        <v>54</v>
      </c>
      <c r="D689">
        <v>1</v>
      </c>
      <c r="E689" t="s">
        <v>87</v>
      </c>
      <c r="F689" t="s">
        <v>88</v>
      </c>
      <c r="G689" t="str">
        <f>"2026-05-01 14:49:21.873"</f>
        <v>2026-05-01 14:49:21.873</v>
      </c>
      <c r="H689" t="s">
        <v>22</v>
      </c>
      <c r="I689">
        <v>3</v>
      </c>
      <c r="J689" t="s">
        <v>37</v>
      </c>
    </row>
    <row r="690" spans="1:10" x14ac:dyDescent="0.25">
      <c r="A690" s="1">
        <v>5</v>
      </c>
      <c r="B690" t="s">
        <v>19</v>
      </c>
      <c r="C690">
        <v>700</v>
      </c>
      <c r="D690">
        <v>0</v>
      </c>
      <c r="E690" t="s">
        <v>24</v>
      </c>
      <c r="F690" t="s">
        <v>24</v>
      </c>
      <c r="G690" t="str">
        <f>"2026-05-01 14:34:47.601"</f>
        <v>2026-05-01 14:34:47.601</v>
      </c>
      <c r="H690" t="s">
        <v>22</v>
      </c>
      <c r="I690">
        <v>0</v>
      </c>
      <c r="J690" t="s">
        <v>25</v>
      </c>
    </row>
    <row r="691" spans="1:10" x14ac:dyDescent="0.25">
      <c r="A691" s="1">
        <v>6</v>
      </c>
      <c r="B691" t="s">
        <v>26</v>
      </c>
      <c r="C691">
        <v>54</v>
      </c>
      <c r="D691">
        <v>1</v>
      </c>
      <c r="E691" t="s">
        <v>87</v>
      </c>
      <c r="F691" t="s">
        <v>88</v>
      </c>
      <c r="G691" t="str">
        <f>"2026-05-01 13:55:01.369"</f>
        <v>2026-05-01 13:55:01.369</v>
      </c>
      <c r="H691" t="s">
        <v>22</v>
      </c>
    </row>
    <row r="692" spans="1:10" x14ac:dyDescent="0.25">
      <c r="A692" s="1">
        <v>7</v>
      </c>
      <c r="B692" t="s">
        <v>19</v>
      </c>
      <c r="C692">
        <v>700</v>
      </c>
      <c r="D692">
        <v>0</v>
      </c>
      <c r="E692" t="s">
        <v>24</v>
      </c>
      <c r="F692" t="s">
        <v>24</v>
      </c>
      <c r="G692" t="str">
        <f>"2026-05-01 13:54:48.589"</f>
        <v>2026-05-01 13:54:48.589</v>
      </c>
      <c r="H692" t="s">
        <v>22</v>
      </c>
      <c r="I692">
        <v>0</v>
      </c>
      <c r="J692" t="s">
        <v>25</v>
      </c>
    </row>
    <row r="693" spans="1:10" x14ac:dyDescent="0.25">
      <c r="A693" s="1">
        <v>8</v>
      </c>
      <c r="B693" t="s">
        <v>34</v>
      </c>
      <c r="C693">
        <v>630</v>
      </c>
      <c r="D693">
        <v>5</v>
      </c>
      <c r="E693" t="s">
        <v>39</v>
      </c>
      <c r="F693" t="s">
        <v>40</v>
      </c>
      <c r="G693" t="str">
        <f>"2026-05-01 13:19:20.735"</f>
        <v>2026-05-01 13:19:20.735</v>
      </c>
      <c r="H693" t="s">
        <v>41</v>
      </c>
      <c r="I693">
        <v>0</v>
      </c>
      <c r="J693" t="s">
        <v>23</v>
      </c>
    </row>
    <row r="694" spans="1:10" x14ac:dyDescent="0.25">
      <c r="A694" s="1">
        <v>9</v>
      </c>
      <c r="B694" t="s">
        <v>31</v>
      </c>
      <c r="C694">
        <v>33</v>
      </c>
      <c r="D694">
        <v>1</v>
      </c>
      <c r="E694" t="s">
        <v>49</v>
      </c>
      <c r="F694" t="s">
        <v>50</v>
      </c>
      <c r="G694" t="str">
        <f>"2026-05-01 05:06:40.581"</f>
        <v>2026-05-01 05:06:40.581</v>
      </c>
      <c r="H694" t="s">
        <v>51</v>
      </c>
    </row>
    <row r="695" spans="1:10" x14ac:dyDescent="0.25">
      <c r="A695" s="1">
        <v>10</v>
      </c>
      <c r="B695" t="s">
        <v>34</v>
      </c>
      <c r="C695">
        <v>33</v>
      </c>
      <c r="D695">
        <v>1</v>
      </c>
      <c r="E695" t="s">
        <v>49</v>
      </c>
      <c r="F695" t="s">
        <v>50</v>
      </c>
      <c r="G695" t="str">
        <f>"2026-05-01 05:06:33.792"</f>
        <v>2026-05-01 05:06:33.792</v>
      </c>
      <c r="H695" t="s">
        <v>51</v>
      </c>
      <c r="I695">
        <v>9.43</v>
      </c>
      <c r="J695" t="s">
        <v>30</v>
      </c>
    </row>
    <row r="696" spans="1:10" x14ac:dyDescent="0.25">
      <c r="A696" s="1">
        <v>11</v>
      </c>
      <c r="B696" t="s">
        <v>31</v>
      </c>
      <c r="C696">
        <v>87</v>
      </c>
      <c r="D696">
        <v>1</v>
      </c>
      <c r="E696" t="s">
        <v>32</v>
      </c>
      <c r="F696" t="s">
        <v>33</v>
      </c>
      <c r="G696" t="str">
        <f>"2026-04-30 17:37:35.881"</f>
        <v>2026-04-30 17:37:35.881</v>
      </c>
      <c r="H696" t="s">
        <v>22</v>
      </c>
    </row>
    <row r="697" spans="1:10" x14ac:dyDescent="0.25">
      <c r="A697" s="1">
        <v>12</v>
      </c>
      <c r="B697" t="s">
        <v>34</v>
      </c>
      <c r="C697">
        <v>87</v>
      </c>
      <c r="D697">
        <v>1</v>
      </c>
      <c r="E697" t="s">
        <v>32</v>
      </c>
      <c r="F697" t="s">
        <v>33</v>
      </c>
      <c r="G697" t="str">
        <f>"2026-04-30 17:34:18.152"</f>
        <v>2026-04-30 17:34:18.152</v>
      </c>
      <c r="H697" t="s">
        <v>22</v>
      </c>
      <c r="I697">
        <v>4.8899999999999997</v>
      </c>
      <c r="J697" t="s">
        <v>30</v>
      </c>
    </row>
    <row r="698" spans="1:10" x14ac:dyDescent="0.25">
      <c r="A698" s="1">
        <v>13</v>
      </c>
      <c r="B698" t="s">
        <v>29</v>
      </c>
      <c r="C698">
        <v>54</v>
      </c>
      <c r="D698">
        <v>1</v>
      </c>
      <c r="E698" t="s">
        <v>87</v>
      </c>
      <c r="F698" t="s">
        <v>88</v>
      </c>
      <c r="G698" t="str">
        <f>"2026-04-30 16:49:49.835"</f>
        <v>2026-04-30 16:49:49.835</v>
      </c>
      <c r="H698" t="s">
        <v>22</v>
      </c>
      <c r="I698">
        <v>6.23</v>
      </c>
      <c r="J698" t="s">
        <v>30</v>
      </c>
    </row>
    <row r="699" spans="1:10" x14ac:dyDescent="0.25">
      <c r="A699" s="1">
        <v>14</v>
      </c>
      <c r="B699" t="s">
        <v>26</v>
      </c>
      <c r="C699">
        <v>630</v>
      </c>
      <c r="D699">
        <v>5</v>
      </c>
      <c r="E699" t="s">
        <v>39</v>
      </c>
      <c r="F699" t="s">
        <v>40</v>
      </c>
      <c r="G699" t="str">
        <f>"2026-04-30 14:33:51.935"</f>
        <v>2026-04-30 14:33:51.935</v>
      </c>
      <c r="H699" t="s">
        <v>41</v>
      </c>
    </row>
    <row r="700" spans="1:10" x14ac:dyDescent="0.25">
      <c r="A700" s="1">
        <v>15</v>
      </c>
      <c r="B700" t="s">
        <v>19</v>
      </c>
      <c r="C700">
        <v>706</v>
      </c>
      <c r="D700">
        <v>4</v>
      </c>
      <c r="E700" t="s">
        <v>20</v>
      </c>
      <c r="F700" t="s">
        <v>21</v>
      </c>
      <c r="G700" t="str">
        <f>"2026-04-30 14:33:21.734"</f>
        <v>2026-04-30 14:33:21.734</v>
      </c>
      <c r="H700" t="s">
        <v>22</v>
      </c>
      <c r="I700">
        <v>0</v>
      </c>
      <c r="J700" t="s">
        <v>23</v>
      </c>
    </row>
    <row r="701" spans="1:10" x14ac:dyDescent="0.25">
      <c r="A701" s="1">
        <v>16</v>
      </c>
      <c r="B701" t="s">
        <v>34</v>
      </c>
      <c r="C701">
        <v>630</v>
      </c>
      <c r="D701">
        <v>5</v>
      </c>
      <c r="E701" t="s">
        <v>39</v>
      </c>
      <c r="F701" t="s">
        <v>40</v>
      </c>
      <c r="G701" t="str">
        <f>"2026-04-30 14:25:55.235"</f>
        <v>2026-04-30 14:25:55.235</v>
      </c>
      <c r="H701" t="s">
        <v>41</v>
      </c>
      <c r="I701">
        <v>0</v>
      </c>
      <c r="J701" t="s">
        <v>23</v>
      </c>
    </row>
    <row r="702" spans="1:10" x14ac:dyDescent="0.25">
      <c r="A702" s="1">
        <v>17</v>
      </c>
      <c r="B702" t="s">
        <v>19</v>
      </c>
      <c r="C702">
        <v>700</v>
      </c>
      <c r="D702">
        <v>0</v>
      </c>
      <c r="E702" t="s">
        <v>24</v>
      </c>
      <c r="F702" t="s">
        <v>24</v>
      </c>
      <c r="G702" t="str">
        <f>"2026-04-30 14:20:52.614"</f>
        <v>2026-04-30 14:20:52.614</v>
      </c>
      <c r="H702" t="s">
        <v>22</v>
      </c>
      <c r="I702">
        <v>0</v>
      </c>
      <c r="J702" t="s">
        <v>25</v>
      </c>
    </row>
    <row r="703" spans="1:10" x14ac:dyDescent="0.25">
      <c r="A703" s="1">
        <v>18</v>
      </c>
      <c r="B703" t="s">
        <v>34</v>
      </c>
      <c r="C703">
        <v>630</v>
      </c>
      <c r="D703">
        <v>5</v>
      </c>
      <c r="E703" t="s">
        <v>39</v>
      </c>
      <c r="F703" t="s">
        <v>40</v>
      </c>
      <c r="G703" t="str">
        <f>"2026-04-30 14:02:45.385"</f>
        <v>2026-04-30 14:02:45.385</v>
      </c>
      <c r="H703" t="s">
        <v>41</v>
      </c>
      <c r="I703">
        <v>0</v>
      </c>
      <c r="J703" t="s">
        <v>23</v>
      </c>
    </row>
    <row r="704" spans="1:10" x14ac:dyDescent="0.25">
      <c r="A704" s="1">
        <v>19</v>
      </c>
      <c r="B704" t="s">
        <v>19</v>
      </c>
      <c r="C704">
        <v>700</v>
      </c>
      <c r="D704">
        <v>0</v>
      </c>
      <c r="E704" t="s">
        <v>24</v>
      </c>
      <c r="F704" t="s">
        <v>24</v>
      </c>
      <c r="G704" t="str">
        <f>"2026-04-30 13:54:15.602"</f>
        <v>2026-04-30 13:54:15.602</v>
      </c>
      <c r="H704" t="s">
        <v>22</v>
      </c>
    </row>
    <row r="705" spans="1:10" x14ac:dyDescent="0.25">
      <c r="A705" s="1">
        <v>20</v>
      </c>
      <c r="B705" t="s">
        <v>34</v>
      </c>
      <c r="C705">
        <v>630</v>
      </c>
      <c r="D705">
        <v>5</v>
      </c>
      <c r="E705" t="s">
        <v>39</v>
      </c>
      <c r="F705" t="s">
        <v>40</v>
      </c>
      <c r="G705" t="str">
        <f>"2026-04-30 13:48:56.324"</f>
        <v>2026-04-30 13:48:56.324</v>
      </c>
      <c r="H705" t="s">
        <v>41</v>
      </c>
      <c r="I705">
        <v>0</v>
      </c>
      <c r="J705" t="s">
        <v>23</v>
      </c>
    </row>
    <row r="706" spans="1:10" x14ac:dyDescent="0.25">
      <c r="A706" s="1">
        <v>21</v>
      </c>
      <c r="B706" t="s">
        <v>26</v>
      </c>
      <c r="C706">
        <v>54</v>
      </c>
      <c r="D706">
        <v>1</v>
      </c>
      <c r="E706" t="s">
        <v>87</v>
      </c>
      <c r="F706" t="s">
        <v>88</v>
      </c>
      <c r="G706" t="str">
        <f>"2026-04-30 13:44:06.236"</f>
        <v>2026-04-30 13:44:06.236</v>
      </c>
      <c r="H706" t="s">
        <v>22</v>
      </c>
    </row>
    <row r="707" spans="1:10" x14ac:dyDescent="0.25">
      <c r="A707" s="1">
        <v>22</v>
      </c>
      <c r="B707" t="s">
        <v>19</v>
      </c>
      <c r="C707">
        <v>700</v>
      </c>
      <c r="D707">
        <v>0</v>
      </c>
      <c r="E707" t="s">
        <v>24</v>
      </c>
      <c r="F707" t="s">
        <v>24</v>
      </c>
      <c r="G707" t="str">
        <f>"2026-04-30 13:43:53.615"</f>
        <v>2026-04-30 13:43:53.615</v>
      </c>
      <c r="H707" t="s">
        <v>22</v>
      </c>
      <c r="I707">
        <v>0</v>
      </c>
      <c r="J707" t="s">
        <v>25</v>
      </c>
    </row>
    <row r="708" spans="1:10" x14ac:dyDescent="0.25">
      <c r="A708" s="1">
        <v>23</v>
      </c>
      <c r="B708" t="s">
        <v>26</v>
      </c>
      <c r="C708">
        <v>630</v>
      </c>
      <c r="D708">
        <v>5</v>
      </c>
      <c r="E708" t="s">
        <v>39</v>
      </c>
      <c r="F708" t="s">
        <v>40</v>
      </c>
      <c r="G708" t="str">
        <f>"2026-04-30 13:23:39.109"</f>
        <v>2026-04-30 13:23:39.109</v>
      </c>
      <c r="H708" t="s">
        <v>41</v>
      </c>
    </row>
    <row r="709" spans="1:10" x14ac:dyDescent="0.25">
      <c r="A709" s="1">
        <v>24</v>
      </c>
      <c r="B709" t="s">
        <v>19</v>
      </c>
      <c r="C709">
        <v>706</v>
      </c>
      <c r="D709">
        <v>4</v>
      </c>
      <c r="E709" t="s">
        <v>20</v>
      </c>
      <c r="F709" t="s">
        <v>21</v>
      </c>
      <c r="G709" t="str">
        <f>"2026-04-30 13:23:08.997"</f>
        <v>2026-04-30 13:23:08.997</v>
      </c>
      <c r="H709" t="s">
        <v>22</v>
      </c>
      <c r="I709">
        <v>0</v>
      </c>
      <c r="J709" t="s">
        <v>23</v>
      </c>
    </row>
    <row r="710" spans="1:10" x14ac:dyDescent="0.25">
      <c r="A710" s="1">
        <v>25</v>
      </c>
      <c r="B710" t="s">
        <v>34</v>
      </c>
      <c r="C710">
        <v>630</v>
      </c>
      <c r="D710">
        <v>5</v>
      </c>
      <c r="E710" t="s">
        <v>39</v>
      </c>
      <c r="F710" t="s">
        <v>40</v>
      </c>
      <c r="G710" t="str">
        <f>"2026-04-30 13:01:17.609"</f>
        <v>2026-04-30 13:01:17.609</v>
      </c>
      <c r="H710" t="s">
        <v>41</v>
      </c>
      <c r="I710">
        <v>0</v>
      </c>
      <c r="J710" t="s">
        <v>23</v>
      </c>
    </row>
    <row r="711" spans="1:10" x14ac:dyDescent="0.25">
      <c r="A711" s="1">
        <v>26</v>
      </c>
      <c r="B711" t="s">
        <v>26</v>
      </c>
      <c r="C711">
        <v>635</v>
      </c>
      <c r="D711">
        <v>1</v>
      </c>
      <c r="E711" t="s">
        <v>27</v>
      </c>
      <c r="F711" t="s">
        <v>28</v>
      </c>
      <c r="G711" t="str">
        <f>"2026-04-30 12:34:16.108"</f>
        <v>2026-04-30 12:34:16.108</v>
      </c>
      <c r="H711" t="s">
        <v>22</v>
      </c>
    </row>
    <row r="712" spans="1:10" x14ac:dyDescent="0.25">
      <c r="A712" s="1">
        <v>27</v>
      </c>
      <c r="B712" t="s">
        <v>29</v>
      </c>
      <c r="C712">
        <v>635</v>
      </c>
      <c r="D712">
        <v>1</v>
      </c>
      <c r="E712" t="s">
        <v>27</v>
      </c>
      <c r="F712" t="s">
        <v>28</v>
      </c>
      <c r="G712" t="str">
        <f>"2026-04-30 12:32:17.608"</f>
        <v>2026-04-30 12:32:17.608</v>
      </c>
      <c r="H712" t="s">
        <v>22</v>
      </c>
      <c r="I712">
        <v>7.1</v>
      </c>
      <c r="J712" t="s">
        <v>30</v>
      </c>
    </row>
    <row r="713" spans="1:10" x14ac:dyDescent="0.25">
      <c r="A713" s="1">
        <v>28</v>
      </c>
      <c r="B713" t="s">
        <v>26</v>
      </c>
      <c r="C713">
        <v>89</v>
      </c>
      <c r="D713">
        <v>2</v>
      </c>
      <c r="E713" t="s">
        <v>42</v>
      </c>
      <c r="F713" t="s">
        <v>43</v>
      </c>
      <c r="G713" t="str">
        <f>"2026-04-30 04:05:57.808"</f>
        <v>2026-04-30 04:05:57.808</v>
      </c>
      <c r="H713" t="s">
        <v>22</v>
      </c>
    </row>
    <row r="714" spans="1:10" x14ac:dyDescent="0.25">
      <c r="A714" s="1">
        <v>29</v>
      </c>
      <c r="B714" t="s">
        <v>34</v>
      </c>
      <c r="C714">
        <v>89</v>
      </c>
      <c r="D714">
        <v>2</v>
      </c>
      <c r="E714" t="s">
        <v>42</v>
      </c>
      <c r="F714" t="s">
        <v>43</v>
      </c>
      <c r="G714" t="str">
        <f>"2026-04-30 04:04:37.208"</f>
        <v>2026-04-30 04:04:37.208</v>
      </c>
      <c r="H714" t="s">
        <v>22</v>
      </c>
      <c r="I714">
        <v>4.99</v>
      </c>
      <c r="J714" t="s">
        <v>30</v>
      </c>
    </row>
    <row r="715" spans="1:10" x14ac:dyDescent="0.25">
      <c r="A715" s="1">
        <v>30</v>
      </c>
      <c r="B715" t="s">
        <v>31</v>
      </c>
      <c r="C715">
        <v>87</v>
      </c>
      <c r="D715">
        <v>1</v>
      </c>
      <c r="E715" t="s">
        <v>32</v>
      </c>
      <c r="F715" t="s">
        <v>33</v>
      </c>
      <c r="G715" t="str">
        <f>"2026-04-30 02:22:01.408"</f>
        <v>2026-04-30 02:22:01.408</v>
      </c>
      <c r="H715" t="s">
        <v>22</v>
      </c>
    </row>
    <row r="716" spans="1:10" x14ac:dyDescent="0.25">
      <c r="A716" s="1">
        <v>31</v>
      </c>
      <c r="B716" t="s">
        <v>34</v>
      </c>
      <c r="C716">
        <v>87</v>
      </c>
      <c r="D716">
        <v>1</v>
      </c>
      <c r="E716" t="s">
        <v>32</v>
      </c>
      <c r="F716" t="s">
        <v>33</v>
      </c>
      <c r="G716" t="str">
        <f>"2026-04-30 02:20:07.146"</f>
        <v>2026-04-30 02:20:07.146</v>
      </c>
      <c r="H716" t="s">
        <v>22</v>
      </c>
      <c r="I716">
        <v>12.14</v>
      </c>
      <c r="J716" t="s">
        <v>30</v>
      </c>
    </row>
    <row r="717" spans="1:10" x14ac:dyDescent="0.25">
      <c r="A717" s="1">
        <v>33</v>
      </c>
      <c r="B717" t="s">
        <v>29</v>
      </c>
      <c r="C717">
        <v>54</v>
      </c>
      <c r="D717">
        <v>1</v>
      </c>
      <c r="E717" t="s">
        <v>87</v>
      </c>
      <c r="F717" t="s">
        <v>88</v>
      </c>
      <c r="G717" t="str">
        <f>"2026-04-29 22:32:38.708"</f>
        <v>2026-04-29 22:32:38.708</v>
      </c>
      <c r="H717" t="s">
        <v>22</v>
      </c>
      <c r="I717">
        <v>9.1999999999999993</v>
      </c>
      <c r="J717" t="s">
        <v>30</v>
      </c>
    </row>
    <row r="718" spans="1:10" x14ac:dyDescent="0.25">
      <c r="A718" s="1">
        <v>34</v>
      </c>
      <c r="B718" t="s">
        <v>26</v>
      </c>
      <c r="C718">
        <v>54</v>
      </c>
      <c r="D718">
        <v>1</v>
      </c>
      <c r="E718" t="s">
        <v>87</v>
      </c>
      <c r="F718" t="s">
        <v>88</v>
      </c>
      <c r="G718" t="str">
        <f>"2026-04-29 18:23:17.408"</f>
        <v>2026-04-29 18:23:17.408</v>
      </c>
      <c r="H718" t="s">
        <v>22</v>
      </c>
    </row>
    <row r="719" spans="1:10" x14ac:dyDescent="0.25">
      <c r="A719" s="1">
        <v>35</v>
      </c>
      <c r="B719" t="s">
        <v>19</v>
      </c>
      <c r="C719">
        <v>700</v>
      </c>
      <c r="D719">
        <v>0</v>
      </c>
      <c r="E719" t="s">
        <v>24</v>
      </c>
      <c r="F719" t="s">
        <v>24</v>
      </c>
      <c r="G719" t="str">
        <f>"2026-04-29 18:23:04.637"</f>
        <v>2026-04-29 18:23:04.637</v>
      </c>
      <c r="H719" t="s">
        <v>22</v>
      </c>
      <c r="I719">
        <v>0</v>
      </c>
      <c r="J719" t="s">
        <v>25</v>
      </c>
    </row>
    <row r="720" spans="1:10" x14ac:dyDescent="0.25">
      <c r="A720" s="1">
        <v>36</v>
      </c>
      <c r="B720" t="s">
        <v>29</v>
      </c>
      <c r="C720">
        <v>54</v>
      </c>
      <c r="D720">
        <v>1</v>
      </c>
      <c r="E720" t="s">
        <v>87</v>
      </c>
      <c r="F720" t="s">
        <v>88</v>
      </c>
      <c r="G720" t="str">
        <f>"2026-04-29 15:50:06.091"</f>
        <v>2026-04-29 15:50:06.091</v>
      </c>
      <c r="H720" t="s">
        <v>22</v>
      </c>
      <c r="I720">
        <v>7.03</v>
      </c>
      <c r="J720" t="s">
        <v>30</v>
      </c>
    </row>
    <row r="721" spans="1:10" x14ac:dyDescent="0.25">
      <c r="A721" s="1">
        <v>37</v>
      </c>
      <c r="B721" t="s">
        <v>19</v>
      </c>
      <c r="C721">
        <v>700</v>
      </c>
      <c r="D721">
        <v>0</v>
      </c>
      <c r="E721" t="s">
        <v>24</v>
      </c>
      <c r="F721" t="s">
        <v>24</v>
      </c>
      <c r="G721" t="str">
        <f>"2026-04-29 15:19:35.631"</f>
        <v>2026-04-29 15:19:35.631</v>
      </c>
      <c r="H721" t="s">
        <v>22</v>
      </c>
      <c r="I721">
        <v>0</v>
      </c>
      <c r="J721" t="s">
        <v>25</v>
      </c>
    </row>
    <row r="722" spans="1:10" x14ac:dyDescent="0.25">
      <c r="A722" s="1">
        <v>38</v>
      </c>
      <c r="B722" t="s">
        <v>34</v>
      </c>
      <c r="C722">
        <v>630</v>
      </c>
      <c r="D722">
        <v>5</v>
      </c>
      <c r="E722" t="s">
        <v>39</v>
      </c>
      <c r="F722" t="s">
        <v>40</v>
      </c>
      <c r="G722" t="str">
        <f>"2026-04-29 14:58:31.911"</f>
        <v>2026-04-29 14:58:31.911</v>
      </c>
      <c r="H722" t="s">
        <v>41</v>
      </c>
      <c r="I722">
        <v>0</v>
      </c>
      <c r="J722" t="s">
        <v>23</v>
      </c>
    </row>
    <row r="723" spans="1:10" x14ac:dyDescent="0.25">
      <c r="A723" s="1">
        <v>39</v>
      </c>
      <c r="B723" t="s">
        <v>26</v>
      </c>
      <c r="C723">
        <v>54</v>
      </c>
      <c r="D723">
        <v>1</v>
      </c>
      <c r="E723" t="s">
        <v>87</v>
      </c>
      <c r="F723" t="s">
        <v>88</v>
      </c>
      <c r="G723" t="str">
        <f>"2026-04-29 12:29:02.422"</f>
        <v>2026-04-29 12:29:02.422</v>
      </c>
      <c r="H723" t="s">
        <v>22</v>
      </c>
    </row>
    <row r="724" spans="1:10" x14ac:dyDescent="0.25">
      <c r="A724" s="1">
        <v>40</v>
      </c>
      <c r="B724" t="s">
        <v>19</v>
      </c>
      <c r="C724">
        <v>700</v>
      </c>
      <c r="D724">
        <v>0</v>
      </c>
      <c r="E724" t="s">
        <v>24</v>
      </c>
      <c r="F724" t="s">
        <v>24</v>
      </c>
      <c r="G724" t="str">
        <f>"2026-04-29 12:28:49.643"</f>
        <v>2026-04-29 12:28:49.643</v>
      </c>
      <c r="H724" t="s">
        <v>22</v>
      </c>
      <c r="I724">
        <v>0</v>
      </c>
      <c r="J724" t="s">
        <v>25</v>
      </c>
    </row>
    <row r="725" spans="1:10" x14ac:dyDescent="0.25">
      <c r="A725" s="1">
        <v>41</v>
      </c>
      <c r="B725" t="s">
        <v>31</v>
      </c>
      <c r="C725">
        <v>87</v>
      </c>
      <c r="D725">
        <v>1</v>
      </c>
      <c r="E725" t="s">
        <v>32</v>
      </c>
      <c r="F725" t="s">
        <v>33</v>
      </c>
      <c r="G725" t="str">
        <f>"2026-04-28 21:35:00.380"</f>
        <v>2026-04-28 21:35:00.380</v>
      </c>
      <c r="H725" t="s">
        <v>22</v>
      </c>
    </row>
    <row r="726" spans="1:10" x14ac:dyDescent="0.25">
      <c r="A726" s="1">
        <v>42</v>
      </c>
      <c r="B726" t="s">
        <v>34</v>
      </c>
      <c r="C726">
        <v>87</v>
      </c>
      <c r="D726">
        <v>1</v>
      </c>
      <c r="E726" t="s">
        <v>32</v>
      </c>
      <c r="F726" t="s">
        <v>33</v>
      </c>
      <c r="G726" t="str">
        <f>"2026-04-28 21:21:51.358"</f>
        <v>2026-04-28 21:21:51.358</v>
      </c>
      <c r="H726" t="s">
        <v>22</v>
      </c>
      <c r="I726">
        <v>4.6100000000000003</v>
      </c>
      <c r="J726" t="s">
        <v>30</v>
      </c>
    </row>
    <row r="727" spans="1:10" x14ac:dyDescent="0.25">
      <c r="A727" s="1">
        <v>43</v>
      </c>
      <c r="B727" t="s">
        <v>19</v>
      </c>
      <c r="C727">
        <v>706</v>
      </c>
      <c r="D727">
        <v>3</v>
      </c>
      <c r="E727" t="s">
        <v>20</v>
      </c>
      <c r="F727" t="s">
        <v>48</v>
      </c>
      <c r="G727" t="str">
        <f>"2026-04-28 20:01:57.127"</f>
        <v>2026-04-28 20:01:57.127</v>
      </c>
      <c r="H727" t="s">
        <v>22</v>
      </c>
      <c r="I727">
        <v>0</v>
      </c>
      <c r="J727" t="s">
        <v>23</v>
      </c>
    </row>
    <row r="728" spans="1:10" x14ac:dyDescent="0.25">
      <c r="A728" s="1">
        <v>44</v>
      </c>
      <c r="B728" t="s">
        <v>29</v>
      </c>
      <c r="C728">
        <v>54</v>
      </c>
      <c r="D728">
        <v>1</v>
      </c>
      <c r="E728" t="s">
        <v>87</v>
      </c>
      <c r="F728" t="s">
        <v>88</v>
      </c>
      <c r="G728" t="str">
        <f>"2026-04-28 15:25:35.080"</f>
        <v>2026-04-28 15:25:35.080</v>
      </c>
      <c r="H728" t="s">
        <v>22</v>
      </c>
      <c r="I728">
        <v>5.26</v>
      </c>
      <c r="J728" t="s">
        <v>37</v>
      </c>
    </row>
    <row r="729" spans="1:10" x14ac:dyDescent="0.25">
      <c r="A729" s="1">
        <v>45</v>
      </c>
      <c r="B729" t="s">
        <v>19</v>
      </c>
      <c r="C729">
        <v>700</v>
      </c>
      <c r="D729">
        <v>0</v>
      </c>
      <c r="E729" t="s">
        <v>24</v>
      </c>
      <c r="F729" t="s">
        <v>24</v>
      </c>
      <c r="G729" t="str">
        <f>"2026-04-28 14:48:54.597"</f>
        <v>2026-04-28 14:48:54.597</v>
      </c>
      <c r="H729" t="s">
        <v>22</v>
      </c>
    </row>
    <row r="730" spans="1:10" x14ac:dyDescent="0.25">
      <c r="A730" s="1">
        <v>46</v>
      </c>
      <c r="B730" t="s">
        <v>19</v>
      </c>
      <c r="C730">
        <v>700</v>
      </c>
      <c r="D730">
        <v>0</v>
      </c>
      <c r="E730" t="s">
        <v>24</v>
      </c>
      <c r="F730" t="s">
        <v>24</v>
      </c>
      <c r="G730" t="str">
        <f>"2026-04-28 14:25:56.604"</f>
        <v>2026-04-28 14:25:56.604</v>
      </c>
      <c r="H730" t="s">
        <v>22</v>
      </c>
      <c r="I730">
        <v>0</v>
      </c>
      <c r="J730" t="s">
        <v>25</v>
      </c>
    </row>
    <row r="731" spans="1:10" x14ac:dyDescent="0.25">
      <c r="A731" s="1">
        <v>47</v>
      </c>
      <c r="B731" t="s">
        <v>26</v>
      </c>
      <c r="C731">
        <v>54</v>
      </c>
      <c r="D731">
        <v>1</v>
      </c>
      <c r="E731" t="s">
        <v>87</v>
      </c>
      <c r="F731" t="s">
        <v>88</v>
      </c>
      <c r="G731" t="str">
        <f>"2026-04-28 13:42:34.499"</f>
        <v>2026-04-28 13:42:34.499</v>
      </c>
      <c r="H731" t="s">
        <v>22</v>
      </c>
    </row>
    <row r="732" spans="1:10" x14ac:dyDescent="0.25">
      <c r="A732" s="1">
        <v>48</v>
      </c>
      <c r="B732" t="s">
        <v>19</v>
      </c>
      <c r="C732">
        <v>700</v>
      </c>
      <c r="D732">
        <v>0</v>
      </c>
      <c r="E732" t="s">
        <v>24</v>
      </c>
      <c r="F732" t="s">
        <v>24</v>
      </c>
      <c r="G732" t="str">
        <f>"2026-04-28 13:42:21.729"</f>
        <v>2026-04-28 13:42:21.729</v>
      </c>
      <c r="H732" t="s">
        <v>22</v>
      </c>
    </row>
    <row r="733" spans="1:10" x14ac:dyDescent="0.25">
      <c r="A733" s="1">
        <v>49</v>
      </c>
      <c r="B733" t="s">
        <v>29</v>
      </c>
      <c r="C733">
        <v>54</v>
      </c>
      <c r="D733">
        <v>1</v>
      </c>
      <c r="E733" t="s">
        <v>87</v>
      </c>
      <c r="F733" t="s">
        <v>88</v>
      </c>
      <c r="G733" t="str">
        <f>"2026-04-27 17:30:37.660"</f>
        <v>2026-04-27 17:30:37.660</v>
      </c>
      <c r="H733" t="s">
        <v>22</v>
      </c>
      <c r="I733">
        <v>6.9</v>
      </c>
      <c r="J733" t="s">
        <v>30</v>
      </c>
    </row>
    <row r="734" spans="1:10" x14ac:dyDescent="0.25">
      <c r="A734" s="1">
        <v>50</v>
      </c>
      <c r="B734" t="s">
        <v>19</v>
      </c>
      <c r="C734">
        <v>700</v>
      </c>
      <c r="D734">
        <v>0</v>
      </c>
      <c r="E734" t="s">
        <v>24</v>
      </c>
      <c r="F734" t="s">
        <v>24</v>
      </c>
      <c r="G734" t="str">
        <f>"2026-04-27 16:32:11.671"</f>
        <v>2026-04-27 16:32:11.671</v>
      </c>
      <c r="H734" t="s">
        <v>22</v>
      </c>
    </row>
    <row r="735" spans="1:10" x14ac:dyDescent="0.25">
      <c r="A735" s="1">
        <v>51</v>
      </c>
      <c r="B735" t="s">
        <v>34</v>
      </c>
      <c r="C735">
        <v>630</v>
      </c>
      <c r="D735">
        <v>5</v>
      </c>
      <c r="E735" t="s">
        <v>39</v>
      </c>
      <c r="F735" t="s">
        <v>40</v>
      </c>
      <c r="G735" t="str">
        <f>"2026-04-27 16:15:32.337"</f>
        <v>2026-04-27 16:15:32.337</v>
      </c>
      <c r="H735" t="s">
        <v>41</v>
      </c>
      <c r="I735">
        <v>0</v>
      </c>
      <c r="J735" t="s">
        <v>23</v>
      </c>
    </row>
    <row r="736" spans="1:10" x14ac:dyDescent="0.25">
      <c r="A736" s="1">
        <v>52</v>
      </c>
      <c r="B736" t="s">
        <v>26</v>
      </c>
      <c r="C736">
        <v>54</v>
      </c>
      <c r="D736">
        <v>1</v>
      </c>
      <c r="E736" t="s">
        <v>87</v>
      </c>
      <c r="F736" t="s">
        <v>88</v>
      </c>
      <c r="G736" t="str">
        <f>"2026-04-27 16:10:42.336"</f>
        <v>2026-04-27 16:10:42.336</v>
      </c>
      <c r="H736" t="s">
        <v>22</v>
      </c>
    </row>
    <row r="737" spans="1:10" x14ac:dyDescent="0.25">
      <c r="A737" s="1">
        <v>53</v>
      </c>
      <c r="B737" t="s">
        <v>19</v>
      </c>
      <c r="C737">
        <v>700</v>
      </c>
      <c r="D737">
        <v>0</v>
      </c>
      <c r="E737" t="s">
        <v>24</v>
      </c>
      <c r="F737" t="s">
        <v>24</v>
      </c>
      <c r="G737" t="str">
        <f>"2026-04-27 16:10:29.606"</f>
        <v>2026-04-27 16:10:29.606</v>
      </c>
      <c r="H737" t="s">
        <v>22</v>
      </c>
    </row>
    <row r="738" spans="1:10" x14ac:dyDescent="0.25">
      <c r="A738" s="1">
        <v>54</v>
      </c>
      <c r="B738" t="s">
        <v>26</v>
      </c>
      <c r="C738">
        <v>635</v>
      </c>
      <c r="D738">
        <v>1</v>
      </c>
      <c r="E738" t="s">
        <v>27</v>
      </c>
      <c r="F738" t="s">
        <v>28</v>
      </c>
      <c r="G738" t="str">
        <f>"2026-04-26 20:30:44.680"</f>
        <v>2026-04-26 20:30:44.680</v>
      </c>
      <c r="H738" t="s">
        <v>22</v>
      </c>
    </row>
    <row r="739" spans="1:10" x14ac:dyDescent="0.25">
      <c r="A739" s="1">
        <v>55</v>
      </c>
      <c r="B739" t="s">
        <v>29</v>
      </c>
      <c r="C739">
        <v>635</v>
      </c>
      <c r="D739">
        <v>1</v>
      </c>
      <c r="E739" t="s">
        <v>27</v>
      </c>
      <c r="F739" t="s">
        <v>28</v>
      </c>
      <c r="G739" t="str">
        <f>"2026-04-26 20:26:58.180"</f>
        <v>2026-04-26 20:26:58.180</v>
      </c>
      <c r="H739" t="s">
        <v>22</v>
      </c>
      <c r="I739">
        <v>2.15</v>
      </c>
      <c r="J739" t="s">
        <v>38</v>
      </c>
    </row>
    <row r="740" spans="1:10" x14ac:dyDescent="0.25">
      <c r="A740" s="1">
        <v>56</v>
      </c>
      <c r="B740" t="s">
        <v>26</v>
      </c>
      <c r="C740">
        <v>635</v>
      </c>
      <c r="D740">
        <v>1</v>
      </c>
      <c r="E740" t="s">
        <v>27</v>
      </c>
      <c r="F740" t="s">
        <v>28</v>
      </c>
      <c r="G740" t="str">
        <f>"2026-04-26 17:52:28.480"</f>
        <v>2026-04-26 17:52:28.480</v>
      </c>
      <c r="H740" t="s">
        <v>22</v>
      </c>
    </row>
    <row r="741" spans="1:10" x14ac:dyDescent="0.25">
      <c r="A741" s="1">
        <v>57</v>
      </c>
      <c r="B741" t="s">
        <v>29</v>
      </c>
      <c r="C741">
        <v>635</v>
      </c>
      <c r="D741">
        <v>1</v>
      </c>
      <c r="E741" t="s">
        <v>27</v>
      </c>
      <c r="F741" t="s">
        <v>28</v>
      </c>
      <c r="G741" t="str">
        <f>"2026-04-26 17:49:08.480"</f>
        <v>2026-04-26 17:49:08.480</v>
      </c>
      <c r="H741" t="s">
        <v>22</v>
      </c>
      <c r="I741">
        <v>9.6199999999999992</v>
      </c>
      <c r="J741" t="s">
        <v>37</v>
      </c>
    </row>
    <row r="742" spans="1:10" x14ac:dyDescent="0.25">
      <c r="A742" s="1">
        <v>58</v>
      </c>
      <c r="B742" t="s">
        <v>26</v>
      </c>
      <c r="C742">
        <v>630</v>
      </c>
      <c r="D742">
        <v>5</v>
      </c>
      <c r="E742" t="s">
        <v>39</v>
      </c>
      <c r="F742" t="s">
        <v>40</v>
      </c>
      <c r="G742" t="str">
        <f>"2026-04-26 14:07:11.880"</f>
        <v>2026-04-26 14:07:11.880</v>
      </c>
      <c r="H742" t="s">
        <v>41</v>
      </c>
    </row>
    <row r="743" spans="1:10" x14ac:dyDescent="0.25">
      <c r="A743" s="1">
        <v>59</v>
      </c>
      <c r="B743" t="s">
        <v>19</v>
      </c>
      <c r="C743">
        <v>706</v>
      </c>
      <c r="D743">
        <v>2</v>
      </c>
      <c r="E743" t="s">
        <v>20</v>
      </c>
      <c r="F743" t="s">
        <v>54</v>
      </c>
      <c r="G743" t="str">
        <f>"2026-04-26 14:06:41.662"</f>
        <v>2026-04-26 14:06:41.662</v>
      </c>
      <c r="H743" t="s">
        <v>22</v>
      </c>
      <c r="I743">
        <v>0</v>
      </c>
      <c r="J743" t="s">
        <v>23</v>
      </c>
    </row>
    <row r="744" spans="1:10" x14ac:dyDescent="0.25">
      <c r="A744" s="1">
        <v>60</v>
      </c>
      <c r="B744" t="s">
        <v>34</v>
      </c>
      <c r="C744">
        <v>630</v>
      </c>
      <c r="D744">
        <v>5</v>
      </c>
      <c r="E744" t="s">
        <v>39</v>
      </c>
      <c r="F744" t="s">
        <v>40</v>
      </c>
      <c r="G744" t="str">
        <f>"2026-04-26 13:58:36.380"</f>
        <v>2026-04-26 13:58:36.380</v>
      </c>
      <c r="H744" t="s">
        <v>41</v>
      </c>
      <c r="I744">
        <v>0</v>
      </c>
      <c r="J744" t="s">
        <v>23</v>
      </c>
    </row>
    <row r="745" spans="1:10" x14ac:dyDescent="0.25">
      <c r="A745" s="1">
        <v>61</v>
      </c>
      <c r="B745" t="s">
        <v>26</v>
      </c>
      <c r="C745">
        <v>630</v>
      </c>
      <c r="D745">
        <v>5</v>
      </c>
      <c r="E745" t="s">
        <v>39</v>
      </c>
      <c r="F745" t="s">
        <v>40</v>
      </c>
      <c r="G745" t="str">
        <f>"2026-04-26 13:51:55.880"</f>
        <v>2026-04-26 13:51:55.880</v>
      </c>
      <c r="H745" t="s">
        <v>41</v>
      </c>
    </row>
    <row r="746" spans="1:10" x14ac:dyDescent="0.25">
      <c r="A746" s="1">
        <v>62</v>
      </c>
      <c r="B746" t="s">
        <v>19</v>
      </c>
      <c r="C746">
        <v>706</v>
      </c>
      <c r="D746">
        <v>4</v>
      </c>
      <c r="E746" t="s">
        <v>20</v>
      </c>
      <c r="F746" t="s">
        <v>21</v>
      </c>
      <c r="G746" t="str">
        <f>"2026-04-26 13:51:25.652"</f>
        <v>2026-04-26 13:51:25.652</v>
      </c>
      <c r="H746" t="s">
        <v>22</v>
      </c>
      <c r="I746">
        <v>0</v>
      </c>
      <c r="J746" t="s">
        <v>23</v>
      </c>
    </row>
    <row r="747" spans="1:10" x14ac:dyDescent="0.25">
      <c r="A747" s="1">
        <v>63</v>
      </c>
      <c r="B747" t="s">
        <v>34</v>
      </c>
      <c r="C747">
        <v>630</v>
      </c>
      <c r="D747">
        <v>5</v>
      </c>
      <c r="E747" t="s">
        <v>39</v>
      </c>
      <c r="F747" t="s">
        <v>40</v>
      </c>
      <c r="G747" t="str">
        <f>"2026-04-26 13:29:14.681"</f>
        <v>2026-04-26 13:29:14.681</v>
      </c>
      <c r="H747" t="s">
        <v>41</v>
      </c>
      <c r="I747">
        <v>0</v>
      </c>
      <c r="J747" t="s">
        <v>23</v>
      </c>
    </row>
    <row r="748" spans="1:10" x14ac:dyDescent="0.25">
      <c r="A748" s="1">
        <v>64</v>
      </c>
      <c r="B748" t="s">
        <v>29</v>
      </c>
      <c r="C748">
        <v>54</v>
      </c>
      <c r="D748">
        <v>1</v>
      </c>
      <c r="E748" t="s">
        <v>87</v>
      </c>
      <c r="F748" t="s">
        <v>88</v>
      </c>
      <c r="G748" t="str">
        <f>"2026-04-25 14:06:50.192"</f>
        <v>2026-04-25 14:06:50.192</v>
      </c>
      <c r="H748" t="s">
        <v>22</v>
      </c>
      <c r="I748">
        <v>4.24</v>
      </c>
      <c r="J748" t="s">
        <v>30</v>
      </c>
    </row>
    <row r="749" spans="1:10" x14ac:dyDescent="0.25">
      <c r="A749" s="1">
        <v>65</v>
      </c>
      <c r="B749" t="s">
        <v>26</v>
      </c>
      <c r="C749">
        <v>54</v>
      </c>
      <c r="D749">
        <v>1</v>
      </c>
      <c r="E749" t="s">
        <v>87</v>
      </c>
      <c r="F749" t="s">
        <v>88</v>
      </c>
      <c r="G749" t="str">
        <f>"2026-04-25 13:46:36.392"</f>
        <v>2026-04-25 13:46:36.392</v>
      </c>
      <c r="H749" t="s">
        <v>22</v>
      </c>
    </row>
    <row r="750" spans="1:10" x14ac:dyDescent="0.25">
      <c r="A750" s="1">
        <v>66</v>
      </c>
      <c r="B750" t="s">
        <v>19</v>
      </c>
      <c r="C750">
        <v>700</v>
      </c>
      <c r="D750">
        <v>0</v>
      </c>
      <c r="E750" t="s">
        <v>24</v>
      </c>
      <c r="F750" t="s">
        <v>24</v>
      </c>
      <c r="G750" t="str">
        <f>"2026-04-25 13:46:23.602"</f>
        <v>2026-04-25 13:46:23.602</v>
      </c>
      <c r="H750" t="s">
        <v>22</v>
      </c>
    </row>
    <row r="751" spans="1:10" x14ac:dyDescent="0.25">
      <c r="A751" s="1">
        <v>67</v>
      </c>
      <c r="B751" t="s">
        <v>26</v>
      </c>
      <c r="C751">
        <v>630</v>
      </c>
      <c r="D751">
        <v>5</v>
      </c>
      <c r="E751" t="s">
        <v>39</v>
      </c>
      <c r="F751" t="s">
        <v>40</v>
      </c>
      <c r="G751" t="str">
        <f>"2026-04-25 13:28:57.562"</f>
        <v>2026-04-25 13:28:57.562</v>
      </c>
      <c r="H751" t="s">
        <v>41</v>
      </c>
    </row>
    <row r="752" spans="1:10" x14ac:dyDescent="0.25">
      <c r="A752" s="1">
        <v>68</v>
      </c>
      <c r="B752" t="s">
        <v>19</v>
      </c>
      <c r="C752">
        <v>706</v>
      </c>
      <c r="D752">
        <v>2</v>
      </c>
      <c r="E752" t="s">
        <v>20</v>
      </c>
      <c r="F752" t="s">
        <v>54</v>
      </c>
      <c r="G752" t="str">
        <f>"2026-04-25 13:28:12.949"</f>
        <v>2026-04-25 13:28:12.949</v>
      </c>
      <c r="H752" t="s">
        <v>22</v>
      </c>
      <c r="I752">
        <v>0</v>
      </c>
      <c r="J752" t="s">
        <v>23</v>
      </c>
    </row>
    <row r="753" spans="1:10" x14ac:dyDescent="0.25">
      <c r="A753" s="1">
        <v>69</v>
      </c>
      <c r="B753" t="s">
        <v>34</v>
      </c>
      <c r="C753">
        <v>630</v>
      </c>
      <c r="D753">
        <v>5</v>
      </c>
      <c r="E753" t="s">
        <v>39</v>
      </c>
      <c r="F753" t="s">
        <v>40</v>
      </c>
      <c r="G753" t="str">
        <f>"2026-04-25 12:58:06.262"</f>
        <v>2026-04-25 12:58:06.262</v>
      </c>
      <c r="H753" t="s">
        <v>41</v>
      </c>
      <c r="I753">
        <v>0</v>
      </c>
      <c r="J753" t="s">
        <v>23</v>
      </c>
    </row>
    <row r="754" spans="1:10" x14ac:dyDescent="0.25">
      <c r="A754" s="1">
        <v>70</v>
      </c>
      <c r="B754" t="s">
        <v>29</v>
      </c>
      <c r="C754">
        <v>54</v>
      </c>
      <c r="D754">
        <v>1</v>
      </c>
      <c r="E754" t="s">
        <v>87</v>
      </c>
      <c r="F754" t="s">
        <v>88</v>
      </c>
      <c r="G754" t="str">
        <f>"2026-04-24 19:04:56.461"</f>
        <v>2026-04-24 19:04:56.461</v>
      </c>
      <c r="H754" t="s">
        <v>22</v>
      </c>
      <c r="I754">
        <v>4.8600000000000003</v>
      </c>
      <c r="J754" t="s">
        <v>37</v>
      </c>
    </row>
    <row r="755" spans="1:10" x14ac:dyDescent="0.25">
      <c r="A755" s="1">
        <v>71</v>
      </c>
      <c r="B755" t="s">
        <v>26</v>
      </c>
      <c r="C755">
        <v>54</v>
      </c>
      <c r="D755">
        <v>1</v>
      </c>
      <c r="E755" t="s">
        <v>87</v>
      </c>
      <c r="F755" t="s">
        <v>88</v>
      </c>
      <c r="G755" t="str">
        <f>"2026-04-24 18:30:37.561"</f>
        <v>2026-04-24 18:30:37.561</v>
      </c>
      <c r="H755" t="s">
        <v>22</v>
      </c>
    </row>
    <row r="756" spans="1:10" x14ac:dyDescent="0.25">
      <c r="A756" s="1">
        <v>72</v>
      </c>
      <c r="B756" t="s">
        <v>19</v>
      </c>
      <c r="C756">
        <v>700</v>
      </c>
      <c r="D756">
        <v>0</v>
      </c>
      <c r="E756" t="s">
        <v>24</v>
      </c>
      <c r="F756" t="s">
        <v>24</v>
      </c>
      <c r="G756" t="str">
        <f>"2026-04-24 18:30:24.789"</f>
        <v>2026-04-24 18:30:24.789</v>
      </c>
      <c r="H756" t="s">
        <v>22</v>
      </c>
      <c r="I756">
        <v>0</v>
      </c>
      <c r="J756" t="s">
        <v>25</v>
      </c>
    </row>
    <row r="757" spans="1:10" x14ac:dyDescent="0.25">
      <c r="A757" s="1">
        <v>73</v>
      </c>
      <c r="B757" t="s">
        <v>29</v>
      </c>
      <c r="C757">
        <v>54</v>
      </c>
      <c r="D757">
        <v>1</v>
      </c>
      <c r="E757" t="s">
        <v>87</v>
      </c>
      <c r="F757" t="s">
        <v>88</v>
      </c>
      <c r="G757" t="str">
        <f>"2026-04-24 14:44:39.897"</f>
        <v>2026-04-24 14:44:39.897</v>
      </c>
      <c r="H757" t="s">
        <v>22</v>
      </c>
      <c r="I757">
        <v>5.78</v>
      </c>
      <c r="J757" t="s">
        <v>30</v>
      </c>
    </row>
    <row r="758" spans="1:10" x14ac:dyDescent="0.25">
      <c r="A758" s="1">
        <v>74</v>
      </c>
      <c r="B758" t="s">
        <v>19</v>
      </c>
      <c r="C758">
        <v>700</v>
      </c>
      <c r="D758">
        <v>0</v>
      </c>
      <c r="E758" t="s">
        <v>24</v>
      </c>
      <c r="F758" t="s">
        <v>24</v>
      </c>
      <c r="G758" t="str">
        <f>"2026-04-24 13:21:25.627"</f>
        <v>2026-04-24 13:21:25.627</v>
      </c>
      <c r="H758" t="s">
        <v>22</v>
      </c>
      <c r="I758">
        <v>0</v>
      </c>
      <c r="J758" t="s">
        <v>25</v>
      </c>
    </row>
    <row r="759" spans="1:10" x14ac:dyDescent="0.25">
      <c r="A759" s="1">
        <v>75</v>
      </c>
      <c r="B759" t="s">
        <v>26</v>
      </c>
      <c r="C759">
        <v>54</v>
      </c>
      <c r="D759">
        <v>1</v>
      </c>
      <c r="E759" t="s">
        <v>87</v>
      </c>
      <c r="F759" t="s">
        <v>88</v>
      </c>
      <c r="G759" t="str">
        <f>"2026-04-24 12:00:51.423"</f>
        <v>2026-04-24 12:00:51.423</v>
      </c>
      <c r="H759" t="s">
        <v>22</v>
      </c>
    </row>
    <row r="760" spans="1:10" x14ac:dyDescent="0.25">
      <c r="A760" s="1">
        <v>76</v>
      </c>
      <c r="B760" t="s">
        <v>19</v>
      </c>
      <c r="C760">
        <v>700</v>
      </c>
      <c r="D760">
        <v>0</v>
      </c>
      <c r="E760" t="s">
        <v>24</v>
      </c>
      <c r="F760" t="s">
        <v>24</v>
      </c>
      <c r="G760" t="str">
        <f>"2026-04-24 12:00:38.641"</f>
        <v>2026-04-24 12:00:38.641</v>
      </c>
      <c r="H760" t="s">
        <v>22</v>
      </c>
    </row>
    <row r="761" spans="1:10" x14ac:dyDescent="0.25">
      <c r="A761" s="1">
        <v>77</v>
      </c>
      <c r="B761" t="s">
        <v>29</v>
      </c>
      <c r="C761">
        <v>54</v>
      </c>
      <c r="D761">
        <v>1</v>
      </c>
      <c r="E761" t="s">
        <v>87</v>
      </c>
      <c r="F761" t="s">
        <v>88</v>
      </c>
      <c r="G761" t="str">
        <f>"2026-04-24 08:13:02.888"</f>
        <v>2026-04-24 08:13:02.888</v>
      </c>
      <c r="H761" t="s">
        <v>22</v>
      </c>
      <c r="I761">
        <v>6</v>
      </c>
      <c r="J761" t="s">
        <v>30</v>
      </c>
    </row>
    <row r="762" spans="1:10" x14ac:dyDescent="0.25">
      <c r="A762" s="1">
        <v>78</v>
      </c>
      <c r="B762" t="s">
        <v>19</v>
      </c>
      <c r="C762">
        <v>700</v>
      </c>
      <c r="D762">
        <v>0</v>
      </c>
      <c r="E762" t="s">
        <v>24</v>
      </c>
      <c r="F762" t="s">
        <v>24</v>
      </c>
      <c r="G762" t="str">
        <f>"2026-04-24 07:51:19.607"</f>
        <v>2026-04-24 07:51:19.607</v>
      </c>
      <c r="H762" t="s">
        <v>22</v>
      </c>
      <c r="I762">
        <v>0</v>
      </c>
      <c r="J762" t="s">
        <v>25</v>
      </c>
    </row>
    <row r="763" spans="1:10" x14ac:dyDescent="0.25">
      <c r="A763" s="1">
        <v>79</v>
      </c>
      <c r="B763" t="s">
        <v>19</v>
      </c>
      <c r="C763">
        <v>700</v>
      </c>
      <c r="D763">
        <v>0</v>
      </c>
      <c r="E763" t="s">
        <v>24</v>
      </c>
      <c r="F763" t="s">
        <v>24</v>
      </c>
      <c r="G763" t="str">
        <f>"2026-04-24 05:59:35.613"</f>
        <v>2026-04-24 05:59:35.613</v>
      </c>
      <c r="H763" t="s">
        <v>22</v>
      </c>
      <c r="I763">
        <v>0</v>
      </c>
      <c r="J763" t="s">
        <v>25</v>
      </c>
    </row>
    <row r="764" spans="1:10" x14ac:dyDescent="0.25">
      <c r="A764" s="1">
        <v>80</v>
      </c>
      <c r="B764" t="s">
        <v>26</v>
      </c>
      <c r="C764">
        <v>630</v>
      </c>
      <c r="D764">
        <v>5</v>
      </c>
      <c r="E764" t="s">
        <v>39</v>
      </c>
      <c r="F764" t="s">
        <v>40</v>
      </c>
      <c r="G764" t="str">
        <f>"2026-04-24 04:32:31.980"</f>
        <v>2026-04-24 04:32:31.980</v>
      </c>
      <c r="H764" t="s">
        <v>41</v>
      </c>
    </row>
    <row r="765" spans="1:10" x14ac:dyDescent="0.25">
      <c r="A765" s="1">
        <v>81</v>
      </c>
      <c r="B765" t="s">
        <v>19</v>
      </c>
      <c r="C765">
        <v>706</v>
      </c>
      <c r="D765">
        <v>4</v>
      </c>
      <c r="E765" t="s">
        <v>20</v>
      </c>
      <c r="F765" t="s">
        <v>21</v>
      </c>
      <c r="G765" t="str">
        <f>"2026-04-24 04:32:01.862"</f>
        <v>2026-04-24 04:32:01.862</v>
      </c>
      <c r="H765" t="s">
        <v>22</v>
      </c>
      <c r="I765">
        <v>0</v>
      </c>
      <c r="J765" t="s">
        <v>23</v>
      </c>
    </row>
    <row r="766" spans="1:10" x14ac:dyDescent="0.25">
      <c r="A766" s="1">
        <v>82</v>
      </c>
      <c r="B766" t="s">
        <v>34</v>
      </c>
      <c r="C766">
        <v>630</v>
      </c>
      <c r="D766">
        <v>5</v>
      </c>
      <c r="E766" t="s">
        <v>39</v>
      </c>
      <c r="F766" t="s">
        <v>40</v>
      </c>
      <c r="G766" t="str">
        <f>"2026-04-24 04:21:01.680"</f>
        <v>2026-04-24 04:21:01.680</v>
      </c>
      <c r="H766" t="s">
        <v>41</v>
      </c>
      <c r="I766">
        <v>0</v>
      </c>
      <c r="J766" t="s">
        <v>23</v>
      </c>
    </row>
    <row r="767" spans="1:10" x14ac:dyDescent="0.25">
      <c r="A767" s="1">
        <v>83</v>
      </c>
      <c r="B767" t="s">
        <v>26</v>
      </c>
      <c r="C767">
        <v>630</v>
      </c>
      <c r="D767">
        <v>5</v>
      </c>
      <c r="E767" t="s">
        <v>39</v>
      </c>
      <c r="F767" t="s">
        <v>40</v>
      </c>
      <c r="G767" t="str">
        <f>"2026-04-24 04:09:57.980"</f>
        <v>2026-04-24 04:09:57.980</v>
      </c>
      <c r="H767" t="s">
        <v>41</v>
      </c>
    </row>
    <row r="768" spans="1:10" x14ac:dyDescent="0.25">
      <c r="A768" s="1">
        <v>84</v>
      </c>
      <c r="B768" t="s">
        <v>19</v>
      </c>
      <c r="C768">
        <v>706</v>
      </c>
      <c r="D768">
        <v>2</v>
      </c>
      <c r="E768" t="s">
        <v>20</v>
      </c>
      <c r="F768" t="s">
        <v>54</v>
      </c>
      <c r="G768" t="str">
        <f>"2026-04-24 04:09:27.962"</f>
        <v>2026-04-24 04:09:27.962</v>
      </c>
      <c r="H768" t="s">
        <v>22</v>
      </c>
      <c r="I768">
        <v>0</v>
      </c>
      <c r="J768" t="s">
        <v>23</v>
      </c>
    </row>
    <row r="769" spans="1:10" x14ac:dyDescent="0.25">
      <c r="A769" s="1">
        <v>85</v>
      </c>
      <c r="B769" t="s">
        <v>34</v>
      </c>
      <c r="C769">
        <v>630</v>
      </c>
      <c r="D769">
        <v>5</v>
      </c>
      <c r="E769" t="s">
        <v>39</v>
      </c>
      <c r="F769" t="s">
        <v>40</v>
      </c>
      <c r="G769" t="str">
        <f>"2026-04-24 03:49:14.381"</f>
        <v>2026-04-24 03:49:14.381</v>
      </c>
      <c r="H769" t="s">
        <v>41</v>
      </c>
      <c r="I769">
        <v>0</v>
      </c>
      <c r="J769" t="s">
        <v>23</v>
      </c>
    </row>
    <row r="770" spans="1:10" x14ac:dyDescent="0.25">
      <c r="A770" s="1">
        <v>86</v>
      </c>
      <c r="B770" t="s">
        <v>19</v>
      </c>
      <c r="C770">
        <v>700</v>
      </c>
      <c r="D770">
        <v>0</v>
      </c>
      <c r="E770" t="s">
        <v>24</v>
      </c>
      <c r="F770" t="s">
        <v>24</v>
      </c>
      <c r="G770" t="str">
        <f>"2026-04-24 03:44:11.602"</f>
        <v>2026-04-24 03:44:11.602</v>
      </c>
      <c r="H770" t="s">
        <v>22</v>
      </c>
    </row>
    <row r="771" spans="1:10" x14ac:dyDescent="0.25">
      <c r="A771" s="1">
        <v>87</v>
      </c>
      <c r="B771" t="s">
        <v>34</v>
      </c>
      <c r="C771">
        <v>630</v>
      </c>
      <c r="D771">
        <v>5</v>
      </c>
      <c r="E771" t="s">
        <v>39</v>
      </c>
      <c r="F771" t="s">
        <v>40</v>
      </c>
      <c r="G771" t="str">
        <f>"2026-04-24 03:03:21.435"</f>
        <v>2026-04-24 03:03:21.435</v>
      </c>
      <c r="H771" t="s">
        <v>41</v>
      </c>
      <c r="I771">
        <v>0</v>
      </c>
      <c r="J771" t="s">
        <v>23</v>
      </c>
    </row>
    <row r="772" spans="1:10" x14ac:dyDescent="0.25">
      <c r="A772" s="1">
        <v>88</v>
      </c>
      <c r="B772" t="s">
        <v>19</v>
      </c>
      <c r="C772">
        <v>700</v>
      </c>
      <c r="D772">
        <v>0</v>
      </c>
      <c r="E772" t="s">
        <v>24</v>
      </c>
      <c r="F772" t="s">
        <v>24</v>
      </c>
      <c r="G772" t="str">
        <f>"2026-04-24 02:58:18.706"</f>
        <v>2026-04-24 02:58:18.706</v>
      </c>
      <c r="H772" t="s">
        <v>22</v>
      </c>
    </row>
    <row r="773" spans="1:10" x14ac:dyDescent="0.25">
      <c r="A773" s="1">
        <v>89</v>
      </c>
      <c r="B773" t="s">
        <v>19</v>
      </c>
      <c r="C773">
        <v>700</v>
      </c>
      <c r="D773">
        <v>0</v>
      </c>
      <c r="E773" t="s">
        <v>24</v>
      </c>
      <c r="F773" t="s">
        <v>24</v>
      </c>
      <c r="G773" t="str">
        <f>"2026-04-24 02:54:46.597"</f>
        <v>2026-04-24 02:54:46.597</v>
      </c>
      <c r="H773" t="s">
        <v>22</v>
      </c>
      <c r="I773">
        <v>0</v>
      </c>
      <c r="J773" t="s">
        <v>25</v>
      </c>
    </row>
    <row r="774" spans="1:10" x14ac:dyDescent="0.25">
      <c r="A774" s="1">
        <v>90</v>
      </c>
      <c r="B774" t="s">
        <v>19</v>
      </c>
      <c r="C774">
        <v>700</v>
      </c>
      <c r="D774">
        <v>0</v>
      </c>
      <c r="E774" t="s">
        <v>24</v>
      </c>
      <c r="F774" t="s">
        <v>24</v>
      </c>
      <c r="G774" t="str">
        <f>"2026-04-24 02:40:29.606"</f>
        <v>2026-04-24 02:40:29.606</v>
      </c>
      <c r="H774" t="s">
        <v>22</v>
      </c>
      <c r="I774">
        <v>0</v>
      </c>
      <c r="J774" t="s">
        <v>25</v>
      </c>
    </row>
    <row r="775" spans="1:10" x14ac:dyDescent="0.25">
      <c r="A775" s="1">
        <v>91</v>
      </c>
      <c r="B775" t="s">
        <v>34</v>
      </c>
      <c r="C775">
        <v>630</v>
      </c>
      <c r="D775">
        <v>5</v>
      </c>
      <c r="E775" t="s">
        <v>39</v>
      </c>
      <c r="F775" t="s">
        <v>40</v>
      </c>
      <c r="G775" t="str">
        <f>"2026-04-24 00:32:08.452"</f>
        <v>2026-04-24 00:32:08.452</v>
      </c>
      <c r="H775" t="s">
        <v>41</v>
      </c>
      <c r="I775">
        <v>0</v>
      </c>
      <c r="J775" t="s">
        <v>23</v>
      </c>
    </row>
    <row r="776" spans="1:10" x14ac:dyDescent="0.25">
      <c r="A776" s="1">
        <v>92</v>
      </c>
      <c r="B776" t="s">
        <v>26</v>
      </c>
      <c r="C776">
        <v>54</v>
      </c>
      <c r="D776">
        <v>1</v>
      </c>
      <c r="E776" t="s">
        <v>87</v>
      </c>
      <c r="F776" t="s">
        <v>88</v>
      </c>
      <c r="G776" t="str">
        <f>"2026-04-24 00:27:18.952"</f>
        <v>2026-04-24 00:27:18.952</v>
      </c>
      <c r="H776" t="s">
        <v>22</v>
      </c>
    </row>
    <row r="777" spans="1:10" x14ac:dyDescent="0.25">
      <c r="A777" s="1">
        <v>93</v>
      </c>
      <c r="B777" t="s">
        <v>19</v>
      </c>
      <c r="C777">
        <v>700</v>
      </c>
      <c r="D777">
        <v>0</v>
      </c>
      <c r="E777" t="s">
        <v>24</v>
      </c>
      <c r="F777" t="s">
        <v>24</v>
      </c>
      <c r="G777" t="str">
        <f>"2026-04-24 00:27:05.631"</f>
        <v>2026-04-24 00:27:05.631</v>
      </c>
      <c r="H777" t="s">
        <v>22</v>
      </c>
    </row>
    <row r="778" spans="1:10" x14ac:dyDescent="0.25">
      <c r="A778" s="1">
        <v>94</v>
      </c>
      <c r="B778" t="s">
        <v>29</v>
      </c>
      <c r="C778">
        <v>54</v>
      </c>
      <c r="D778">
        <v>1</v>
      </c>
      <c r="E778" t="s">
        <v>87</v>
      </c>
      <c r="F778" t="s">
        <v>88</v>
      </c>
      <c r="G778" t="str">
        <f>"2026-04-23 14:11:17.113"</f>
        <v>2026-04-23 14:11:17.113</v>
      </c>
      <c r="H778" t="s">
        <v>22</v>
      </c>
      <c r="I778">
        <v>7.16</v>
      </c>
      <c r="J778" t="s">
        <v>30</v>
      </c>
    </row>
    <row r="779" spans="1:10" x14ac:dyDescent="0.25">
      <c r="A779" s="1">
        <v>95</v>
      </c>
      <c r="B779" t="s">
        <v>19</v>
      </c>
      <c r="C779">
        <v>700</v>
      </c>
      <c r="D779">
        <v>0</v>
      </c>
      <c r="E779" t="s">
        <v>24</v>
      </c>
      <c r="F779" t="s">
        <v>24</v>
      </c>
      <c r="G779" t="str">
        <f>"2026-04-23 13:39:07.742"</f>
        <v>2026-04-23 13:39:07.742</v>
      </c>
      <c r="H779" t="s">
        <v>22</v>
      </c>
    </row>
    <row r="780" spans="1:10" x14ac:dyDescent="0.25">
      <c r="A780" s="1">
        <v>96</v>
      </c>
      <c r="B780" t="s">
        <v>26</v>
      </c>
      <c r="C780">
        <v>54</v>
      </c>
      <c r="D780">
        <v>1</v>
      </c>
      <c r="E780" t="s">
        <v>87</v>
      </c>
      <c r="F780" t="s">
        <v>88</v>
      </c>
      <c r="G780" t="str">
        <f>"2026-04-23 12:58:10.390"</f>
        <v>2026-04-23 12:58:10.390</v>
      </c>
      <c r="H780" t="s">
        <v>22</v>
      </c>
    </row>
    <row r="781" spans="1:10" x14ac:dyDescent="0.25">
      <c r="A781" s="1">
        <v>97</v>
      </c>
      <c r="B781" t="s">
        <v>19</v>
      </c>
      <c r="C781">
        <v>700</v>
      </c>
      <c r="D781">
        <v>0</v>
      </c>
      <c r="E781" t="s">
        <v>24</v>
      </c>
      <c r="F781" t="s">
        <v>24</v>
      </c>
      <c r="G781" t="str">
        <f>"2026-04-23 12:57:57.609"</f>
        <v>2026-04-23 12:57:57.609</v>
      </c>
      <c r="H781" t="s">
        <v>22</v>
      </c>
    </row>
    <row r="782" spans="1:10" x14ac:dyDescent="0.25">
      <c r="A782" s="1">
        <v>98</v>
      </c>
      <c r="B782" t="s">
        <v>29</v>
      </c>
      <c r="C782">
        <v>54</v>
      </c>
      <c r="D782">
        <v>1</v>
      </c>
      <c r="E782" t="s">
        <v>87</v>
      </c>
      <c r="F782" t="s">
        <v>88</v>
      </c>
      <c r="G782" t="str">
        <f>"2026-04-22 16:44:30.828"</f>
        <v>2026-04-22 16:44:30.828</v>
      </c>
      <c r="H782" t="s">
        <v>22</v>
      </c>
      <c r="I782">
        <v>5.91</v>
      </c>
      <c r="J782" t="s">
        <v>30</v>
      </c>
    </row>
    <row r="783" spans="1:10" x14ac:dyDescent="0.25">
      <c r="A783" s="1">
        <v>99</v>
      </c>
      <c r="B783" t="s">
        <v>26</v>
      </c>
      <c r="C783">
        <v>54</v>
      </c>
      <c r="D783">
        <v>1</v>
      </c>
      <c r="E783" t="s">
        <v>87</v>
      </c>
      <c r="F783" t="s">
        <v>88</v>
      </c>
      <c r="G783" t="str">
        <f>"2026-04-22 15:54:48.429"</f>
        <v>2026-04-22 15:54:48.429</v>
      </c>
      <c r="H783" t="s">
        <v>22</v>
      </c>
    </row>
    <row r="784" spans="1:10" x14ac:dyDescent="0.25">
      <c r="A784" s="1">
        <v>0</v>
      </c>
      <c r="B784" t="s">
        <v>19</v>
      </c>
      <c r="C784">
        <v>700</v>
      </c>
      <c r="D784">
        <v>0</v>
      </c>
      <c r="E784" t="s">
        <v>24</v>
      </c>
      <c r="F784" t="s">
        <v>24</v>
      </c>
      <c r="G784" t="str">
        <f>"2026-04-22 15:54:35.640"</f>
        <v>2026-04-22 15:54:35.640</v>
      </c>
      <c r="H784" t="s">
        <v>22</v>
      </c>
      <c r="I784">
        <v>0</v>
      </c>
      <c r="J784" t="s">
        <v>25</v>
      </c>
    </row>
    <row r="785" spans="1:10" x14ac:dyDescent="0.25">
      <c r="A785" s="1">
        <v>1</v>
      </c>
      <c r="B785" t="s">
        <v>26</v>
      </c>
      <c r="C785">
        <v>635</v>
      </c>
      <c r="D785">
        <v>1</v>
      </c>
      <c r="E785" t="s">
        <v>27</v>
      </c>
      <c r="F785" t="s">
        <v>28</v>
      </c>
      <c r="G785" t="str">
        <f>"2026-04-22 15:09:47.980"</f>
        <v>2026-04-22 15:09:47.980</v>
      </c>
      <c r="H785" t="s">
        <v>22</v>
      </c>
    </row>
    <row r="786" spans="1:10" x14ac:dyDescent="0.25">
      <c r="A786" s="1">
        <v>2</v>
      </c>
      <c r="B786" t="s">
        <v>29</v>
      </c>
      <c r="C786">
        <v>635</v>
      </c>
      <c r="D786">
        <v>1</v>
      </c>
      <c r="E786" t="s">
        <v>27</v>
      </c>
      <c r="F786" t="s">
        <v>28</v>
      </c>
      <c r="G786" t="str">
        <f>"2026-04-22 15:04:24.480"</f>
        <v>2026-04-22 15:04:24.480</v>
      </c>
      <c r="H786" t="s">
        <v>22</v>
      </c>
      <c r="I786">
        <v>6.08</v>
      </c>
      <c r="J786" t="s">
        <v>30</v>
      </c>
    </row>
    <row r="787" spans="1:10" x14ac:dyDescent="0.25">
      <c r="A787" s="1">
        <v>3</v>
      </c>
      <c r="B787" t="s">
        <v>29</v>
      </c>
      <c r="C787">
        <v>54</v>
      </c>
      <c r="D787">
        <v>1</v>
      </c>
      <c r="E787" t="s">
        <v>87</v>
      </c>
      <c r="F787" t="s">
        <v>88</v>
      </c>
      <c r="G787" t="str">
        <f>"2026-04-22 14:19:35.680"</f>
        <v>2026-04-22 14:19:35.680</v>
      </c>
      <c r="H787" t="s">
        <v>22</v>
      </c>
      <c r="I787">
        <v>7.47</v>
      </c>
      <c r="J787" t="s">
        <v>30</v>
      </c>
    </row>
    <row r="788" spans="1:10" x14ac:dyDescent="0.25">
      <c r="A788" s="1">
        <v>4</v>
      </c>
      <c r="B788" t="s">
        <v>19</v>
      </c>
      <c r="C788">
        <v>700</v>
      </c>
      <c r="D788">
        <v>0</v>
      </c>
      <c r="E788" t="s">
        <v>24</v>
      </c>
      <c r="F788" t="s">
        <v>24</v>
      </c>
      <c r="G788" t="str">
        <f>"2026-04-22 12:24:39.709"</f>
        <v>2026-04-22 12:24:39.709</v>
      </c>
      <c r="H788" t="s">
        <v>22</v>
      </c>
      <c r="I788">
        <v>0</v>
      </c>
      <c r="J788" t="s">
        <v>25</v>
      </c>
    </row>
    <row r="789" spans="1:10" x14ac:dyDescent="0.25">
      <c r="A789" s="1">
        <v>5</v>
      </c>
      <c r="B789" t="s">
        <v>34</v>
      </c>
      <c r="C789">
        <v>630</v>
      </c>
      <c r="D789">
        <v>5</v>
      </c>
      <c r="E789" t="s">
        <v>39</v>
      </c>
      <c r="F789" t="s">
        <v>40</v>
      </c>
      <c r="G789" t="str">
        <f>"2026-04-22 11:54:15.620"</f>
        <v>2026-04-22 11:54:15.620</v>
      </c>
      <c r="H789" t="s">
        <v>41</v>
      </c>
      <c r="I789">
        <v>0</v>
      </c>
      <c r="J789" t="s">
        <v>23</v>
      </c>
    </row>
    <row r="790" spans="1:10" x14ac:dyDescent="0.25">
      <c r="A790" s="1">
        <v>6</v>
      </c>
      <c r="B790" t="s">
        <v>19</v>
      </c>
      <c r="C790">
        <v>700</v>
      </c>
      <c r="D790">
        <v>0</v>
      </c>
      <c r="E790" t="s">
        <v>24</v>
      </c>
      <c r="F790" t="s">
        <v>24</v>
      </c>
      <c r="G790" t="str">
        <f>"2026-04-22 10:22:16.641"</f>
        <v>2026-04-22 10:22:16.641</v>
      </c>
      <c r="H790" t="s">
        <v>22</v>
      </c>
    </row>
    <row r="791" spans="1:10" x14ac:dyDescent="0.25">
      <c r="A791" s="1">
        <v>7</v>
      </c>
      <c r="B791" t="s">
        <v>26</v>
      </c>
      <c r="C791">
        <v>635</v>
      </c>
      <c r="D791">
        <v>1</v>
      </c>
      <c r="E791" t="s">
        <v>27</v>
      </c>
      <c r="F791" t="s">
        <v>28</v>
      </c>
      <c r="G791" t="str">
        <f>"2026-04-22 08:12:46.744"</f>
        <v>2026-04-22 08:12:46.744</v>
      </c>
      <c r="H791" t="s">
        <v>22</v>
      </c>
    </row>
    <row r="792" spans="1:10" x14ac:dyDescent="0.25">
      <c r="A792" s="1">
        <v>8</v>
      </c>
      <c r="B792" t="s">
        <v>29</v>
      </c>
      <c r="C792">
        <v>635</v>
      </c>
      <c r="D792">
        <v>1</v>
      </c>
      <c r="E792" t="s">
        <v>27</v>
      </c>
      <c r="F792" t="s">
        <v>28</v>
      </c>
      <c r="G792" t="str">
        <f>"2026-04-22 08:09:45.244"</f>
        <v>2026-04-22 08:09:45.244</v>
      </c>
      <c r="H792" t="s">
        <v>22</v>
      </c>
      <c r="I792">
        <v>7.7</v>
      </c>
      <c r="J792" t="s">
        <v>30</v>
      </c>
    </row>
    <row r="793" spans="1:10" s="3" customFormat="1" x14ac:dyDescent="0.25">
      <c r="A793" s="2">
        <v>9</v>
      </c>
      <c r="B793" s="3" t="s">
        <v>26</v>
      </c>
      <c r="C793" s="3">
        <v>647</v>
      </c>
      <c r="D793" s="3">
        <v>1</v>
      </c>
      <c r="E793" s="3" t="s">
        <v>35</v>
      </c>
      <c r="F793" s="3" t="s">
        <v>36</v>
      </c>
      <c r="G793" s="3" t="str">
        <f>"2026-04-22 06:25:50.045"</f>
        <v>2026-04-22 06:25:50.045</v>
      </c>
      <c r="H793" s="3" t="s">
        <v>22</v>
      </c>
    </row>
    <row r="794" spans="1:10" s="3" customFormat="1" x14ac:dyDescent="0.25">
      <c r="A794" s="2">
        <v>10</v>
      </c>
      <c r="B794" s="3" t="s">
        <v>29</v>
      </c>
      <c r="C794" s="3">
        <v>647</v>
      </c>
      <c r="D794" s="3">
        <v>1</v>
      </c>
      <c r="E794" s="3" t="s">
        <v>35</v>
      </c>
      <c r="F794" s="3" t="s">
        <v>36</v>
      </c>
      <c r="G794" s="3" t="str">
        <f>"2026-04-22 06:25:47.545"</f>
        <v>2026-04-22 06:25:47.545</v>
      </c>
      <c r="H794" s="3" t="s">
        <v>22</v>
      </c>
      <c r="I794" s="3">
        <v>17.2</v>
      </c>
      <c r="J794" s="3" t="s">
        <v>37</v>
      </c>
    </row>
    <row r="795" spans="1:10" x14ac:dyDescent="0.25">
      <c r="A795" s="1">
        <v>11</v>
      </c>
      <c r="B795" t="s">
        <v>19</v>
      </c>
      <c r="C795">
        <v>706</v>
      </c>
      <c r="D795">
        <v>2</v>
      </c>
      <c r="E795" t="s">
        <v>20</v>
      </c>
      <c r="F795" t="s">
        <v>54</v>
      </c>
      <c r="G795" t="str">
        <f>"2026-04-21 14:11:45.803"</f>
        <v>2026-04-21 14:11:45.803</v>
      </c>
      <c r="H795" t="s">
        <v>22</v>
      </c>
      <c r="I795">
        <v>0</v>
      </c>
      <c r="J795" t="s">
        <v>23</v>
      </c>
    </row>
    <row r="796" spans="1:10" x14ac:dyDescent="0.25">
      <c r="A796" s="1">
        <v>12</v>
      </c>
      <c r="B796" t="s">
        <v>19</v>
      </c>
      <c r="C796">
        <v>700</v>
      </c>
      <c r="D796">
        <v>0</v>
      </c>
      <c r="E796" t="s">
        <v>24</v>
      </c>
      <c r="F796" t="s">
        <v>24</v>
      </c>
      <c r="G796" t="str">
        <f>"2026-04-21 14:06:53.613"</f>
        <v>2026-04-21 14:06:53.613</v>
      </c>
      <c r="H796" t="s">
        <v>22</v>
      </c>
      <c r="I796">
        <v>0</v>
      </c>
      <c r="J796" t="s">
        <v>25</v>
      </c>
    </row>
    <row r="797" spans="1:10" x14ac:dyDescent="0.25">
      <c r="A797" s="1">
        <v>13</v>
      </c>
      <c r="B797" t="s">
        <v>34</v>
      </c>
      <c r="C797">
        <v>630</v>
      </c>
      <c r="D797">
        <v>5</v>
      </c>
      <c r="E797" t="s">
        <v>39</v>
      </c>
      <c r="F797" t="s">
        <v>40</v>
      </c>
      <c r="G797" t="str">
        <f>"2026-04-21 13:27:07.235"</f>
        <v>2026-04-21 13:27:07.235</v>
      </c>
      <c r="H797" t="s">
        <v>41</v>
      </c>
      <c r="I797">
        <v>0</v>
      </c>
      <c r="J797" t="s">
        <v>23</v>
      </c>
    </row>
    <row r="798" spans="1:10" x14ac:dyDescent="0.25">
      <c r="A798" s="1">
        <v>14</v>
      </c>
      <c r="B798" t="s">
        <v>19</v>
      </c>
      <c r="C798">
        <v>700</v>
      </c>
      <c r="D798">
        <v>0</v>
      </c>
      <c r="E798" t="s">
        <v>24</v>
      </c>
      <c r="F798" t="s">
        <v>24</v>
      </c>
      <c r="G798" t="str">
        <f>"2026-04-21 13:22:04.617"</f>
        <v>2026-04-21 13:22:04.617</v>
      </c>
      <c r="H798" t="s">
        <v>22</v>
      </c>
      <c r="I798">
        <v>0</v>
      </c>
      <c r="J798" t="s">
        <v>25</v>
      </c>
    </row>
    <row r="799" spans="1:10" x14ac:dyDescent="0.25">
      <c r="A799" s="1">
        <v>15</v>
      </c>
      <c r="B799" t="s">
        <v>19</v>
      </c>
      <c r="C799">
        <v>706</v>
      </c>
      <c r="D799">
        <v>2</v>
      </c>
      <c r="E799" t="s">
        <v>20</v>
      </c>
      <c r="F799" t="s">
        <v>54</v>
      </c>
      <c r="G799" t="str">
        <f>"2026-04-21 12:58:15.040"</f>
        <v>2026-04-21 12:58:15.040</v>
      </c>
      <c r="H799" t="s">
        <v>22</v>
      </c>
      <c r="I799">
        <v>0</v>
      </c>
      <c r="J799" t="s">
        <v>23</v>
      </c>
    </row>
    <row r="800" spans="1:10" x14ac:dyDescent="0.25">
      <c r="A800" s="1">
        <v>16</v>
      </c>
      <c r="B800" t="s">
        <v>19</v>
      </c>
      <c r="C800">
        <v>700</v>
      </c>
      <c r="D800">
        <v>0</v>
      </c>
      <c r="E800" t="s">
        <v>24</v>
      </c>
      <c r="F800" t="s">
        <v>24</v>
      </c>
      <c r="G800" t="str">
        <f>"2026-04-21 12:57:59.650"</f>
        <v>2026-04-21 12:57:59.650</v>
      </c>
      <c r="H800" t="s">
        <v>22</v>
      </c>
    </row>
    <row r="801" spans="1:10" x14ac:dyDescent="0.25">
      <c r="A801" s="1">
        <v>17</v>
      </c>
      <c r="B801" t="s">
        <v>26</v>
      </c>
      <c r="C801">
        <v>630</v>
      </c>
      <c r="D801">
        <v>5</v>
      </c>
      <c r="E801" t="s">
        <v>39</v>
      </c>
      <c r="F801" t="s">
        <v>40</v>
      </c>
      <c r="G801" t="str">
        <f>"2026-04-20 15:47:53.572"</f>
        <v>2026-04-20 15:47:53.572</v>
      </c>
      <c r="H801" t="s">
        <v>41</v>
      </c>
    </row>
    <row r="802" spans="1:10" x14ac:dyDescent="0.25">
      <c r="A802" s="1">
        <v>18</v>
      </c>
      <c r="B802" t="s">
        <v>19</v>
      </c>
      <c r="C802">
        <v>706</v>
      </c>
      <c r="D802">
        <v>4</v>
      </c>
      <c r="E802" t="s">
        <v>20</v>
      </c>
      <c r="F802" t="s">
        <v>21</v>
      </c>
      <c r="G802" t="str">
        <f>"2026-04-20 15:47:23.531"</f>
        <v>2026-04-20 15:47:23.531</v>
      </c>
      <c r="H802" t="s">
        <v>22</v>
      </c>
      <c r="I802">
        <v>0</v>
      </c>
      <c r="J802" t="s">
        <v>23</v>
      </c>
    </row>
    <row r="803" spans="1:10" x14ac:dyDescent="0.25">
      <c r="A803" s="1">
        <v>19</v>
      </c>
      <c r="B803" t="s">
        <v>34</v>
      </c>
      <c r="C803">
        <v>630</v>
      </c>
      <c r="D803">
        <v>5</v>
      </c>
      <c r="E803" t="s">
        <v>39</v>
      </c>
      <c r="F803" t="s">
        <v>40</v>
      </c>
      <c r="G803" t="str">
        <f>"2026-04-20 15:42:24.173"</f>
        <v>2026-04-20 15:42:24.173</v>
      </c>
      <c r="H803" t="s">
        <v>41</v>
      </c>
      <c r="I803">
        <v>0</v>
      </c>
      <c r="J803" t="s">
        <v>23</v>
      </c>
    </row>
    <row r="804" spans="1:10" x14ac:dyDescent="0.25">
      <c r="A804" s="1">
        <v>20</v>
      </c>
      <c r="B804" t="s">
        <v>19</v>
      </c>
      <c r="C804">
        <v>700</v>
      </c>
      <c r="D804">
        <v>0</v>
      </c>
      <c r="E804" t="s">
        <v>24</v>
      </c>
      <c r="F804" t="s">
        <v>24</v>
      </c>
      <c r="G804" t="str">
        <f>"2026-04-20 12:44:43.791"</f>
        <v>2026-04-20 12:44:43.791</v>
      </c>
      <c r="H804" t="s">
        <v>22</v>
      </c>
      <c r="I804">
        <v>0</v>
      </c>
      <c r="J804" t="s">
        <v>25</v>
      </c>
    </row>
    <row r="805" spans="1:10" x14ac:dyDescent="0.25">
      <c r="A805" s="1">
        <v>21</v>
      </c>
      <c r="B805" t="s">
        <v>26</v>
      </c>
      <c r="C805">
        <v>635</v>
      </c>
      <c r="D805">
        <v>1</v>
      </c>
      <c r="E805" t="s">
        <v>27</v>
      </c>
      <c r="F805" t="s">
        <v>28</v>
      </c>
      <c r="G805" t="str">
        <f>"2026-04-19 14:58:54.237"</f>
        <v>2026-04-19 14:58:54.237</v>
      </c>
      <c r="H805" t="s">
        <v>22</v>
      </c>
    </row>
    <row r="806" spans="1:10" x14ac:dyDescent="0.25">
      <c r="A806" s="1">
        <v>22</v>
      </c>
      <c r="B806" t="s">
        <v>29</v>
      </c>
      <c r="C806">
        <v>635</v>
      </c>
      <c r="D806">
        <v>1</v>
      </c>
      <c r="E806" t="s">
        <v>27</v>
      </c>
      <c r="F806" t="s">
        <v>28</v>
      </c>
      <c r="G806" t="str">
        <f>"2026-04-19 14:57:10.737"</f>
        <v>2026-04-19 14:57:10.737</v>
      </c>
      <c r="H806" t="s">
        <v>22</v>
      </c>
      <c r="I806">
        <v>6.08</v>
      </c>
      <c r="J806" t="s">
        <v>30</v>
      </c>
    </row>
    <row r="807" spans="1:10" x14ac:dyDescent="0.25">
      <c r="A807" s="1">
        <v>23</v>
      </c>
      <c r="B807" t="s">
        <v>26</v>
      </c>
      <c r="C807">
        <v>54</v>
      </c>
      <c r="D807">
        <v>1</v>
      </c>
      <c r="E807" t="s">
        <v>87</v>
      </c>
      <c r="F807" t="s">
        <v>88</v>
      </c>
      <c r="G807" t="str">
        <f>"2026-04-19 14:40:44.398"</f>
        <v>2026-04-19 14:40:44.398</v>
      </c>
      <c r="H807" t="s">
        <v>22</v>
      </c>
    </row>
    <row r="808" spans="1:10" x14ac:dyDescent="0.25">
      <c r="A808" s="1">
        <v>24</v>
      </c>
      <c r="B808" t="s">
        <v>19</v>
      </c>
      <c r="C808">
        <v>700</v>
      </c>
      <c r="D808">
        <v>0</v>
      </c>
      <c r="E808" t="s">
        <v>24</v>
      </c>
      <c r="F808" t="s">
        <v>24</v>
      </c>
      <c r="G808" t="str">
        <f>"2026-04-19 14:40:31.626"</f>
        <v>2026-04-19 14:40:31.626</v>
      </c>
      <c r="H808" t="s">
        <v>22</v>
      </c>
      <c r="I808">
        <v>0</v>
      </c>
      <c r="J808" t="s">
        <v>25</v>
      </c>
    </row>
    <row r="809" spans="1:10" x14ac:dyDescent="0.25">
      <c r="A809" s="1">
        <v>25</v>
      </c>
      <c r="B809" t="s">
        <v>26</v>
      </c>
      <c r="C809">
        <v>61</v>
      </c>
      <c r="D809">
        <v>2</v>
      </c>
      <c r="E809" t="s">
        <v>81</v>
      </c>
      <c r="F809" t="s">
        <v>82</v>
      </c>
      <c r="G809" t="str">
        <f>"2026-04-19 11:10:52.230"</f>
        <v>2026-04-19 11:10:52.230</v>
      </c>
      <c r="H809" t="s">
        <v>22</v>
      </c>
    </row>
    <row r="810" spans="1:10" x14ac:dyDescent="0.25">
      <c r="A810" s="1">
        <v>26</v>
      </c>
      <c r="B810" t="s">
        <v>34</v>
      </c>
      <c r="C810">
        <v>61</v>
      </c>
      <c r="D810">
        <v>2</v>
      </c>
      <c r="E810" t="s">
        <v>81</v>
      </c>
      <c r="F810" t="s">
        <v>82</v>
      </c>
      <c r="G810" t="str">
        <f>"2026-04-19 11:10:45.430"</f>
        <v>2026-04-19 11:10:45.430</v>
      </c>
      <c r="H810" t="s">
        <v>22</v>
      </c>
      <c r="I810">
        <v>35.32</v>
      </c>
      <c r="J810" t="s">
        <v>37</v>
      </c>
    </row>
    <row r="811" spans="1:10" x14ac:dyDescent="0.25">
      <c r="A811" s="1">
        <v>27</v>
      </c>
      <c r="B811" t="s">
        <v>26</v>
      </c>
      <c r="C811">
        <v>61</v>
      </c>
      <c r="D811">
        <v>2</v>
      </c>
      <c r="E811" t="s">
        <v>81</v>
      </c>
      <c r="F811" t="s">
        <v>82</v>
      </c>
      <c r="G811" t="str">
        <f>"2026-04-19 10:29:25.730"</f>
        <v>2026-04-19 10:29:25.730</v>
      </c>
      <c r="H811" t="s">
        <v>22</v>
      </c>
    </row>
    <row r="812" spans="1:10" x14ac:dyDescent="0.25">
      <c r="A812" s="1">
        <v>28</v>
      </c>
      <c r="B812" t="s">
        <v>34</v>
      </c>
      <c r="C812">
        <v>61</v>
      </c>
      <c r="D812">
        <v>2</v>
      </c>
      <c r="E812" t="s">
        <v>81</v>
      </c>
      <c r="F812" t="s">
        <v>82</v>
      </c>
      <c r="G812" t="str">
        <f>"2026-04-19 10:29:17.130"</f>
        <v>2026-04-19 10:29:17.130</v>
      </c>
      <c r="H812" t="s">
        <v>22</v>
      </c>
      <c r="I812">
        <v>35.11</v>
      </c>
      <c r="J812" t="s">
        <v>37</v>
      </c>
    </row>
    <row r="813" spans="1:10" x14ac:dyDescent="0.25">
      <c r="A813" s="1">
        <v>29</v>
      </c>
      <c r="B813" t="s">
        <v>26</v>
      </c>
      <c r="C813">
        <v>635</v>
      </c>
      <c r="D813">
        <v>1</v>
      </c>
      <c r="E813" t="s">
        <v>27</v>
      </c>
      <c r="F813" t="s">
        <v>28</v>
      </c>
      <c r="G813" t="str">
        <f>"2026-04-19 06:19:05.489"</f>
        <v>2026-04-19 06:19:05.489</v>
      </c>
      <c r="H813" t="s">
        <v>22</v>
      </c>
    </row>
    <row r="814" spans="1:10" x14ac:dyDescent="0.25">
      <c r="A814" s="1">
        <v>30</v>
      </c>
      <c r="B814" t="s">
        <v>29</v>
      </c>
      <c r="C814">
        <v>635</v>
      </c>
      <c r="D814">
        <v>1</v>
      </c>
      <c r="E814" t="s">
        <v>27</v>
      </c>
      <c r="F814" t="s">
        <v>28</v>
      </c>
      <c r="G814" t="str">
        <f>"2026-04-19 06:16:20.489"</f>
        <v>2026-04-19 06:16:20.489</v>
      </c>
      <c r="H814" t="s">
        <v>22</v>
      </c>
      <c r="I814">
        <v>2.57</v>
      </c>
      <c r="J814" t="s">
        <v>30</v>
      </c>
    </row>
    <row r="815" spans="1:10" x14ac:dyDescent="0.25">
      <c r="A815" s="1">
        <v>31</v>
      </c>
      <c r="B815" t="s">
        <v>26</v>
      </c>
      <c r="C815">
        <v>635</v>
      </c>
      <c r="D815">
        <v>1</v>
      </c>
      <c r="E815" t="s">
        <v>27</v>
      </c>
      <c r="F815" t="s">
        <v>28</v>
      </c>
      <c r="G815" t="str">
        <f>"2026-04-19 01:51:06.389"</f>
        <v>2026-04-19 01:51:06.389</v>
      </c>
      <c r="H815" t="s">
        <v>22</v>
      </c>
    </row>
    <row r="816" spans="1:10" x14ac:dyDescent="0.25">
      <c r="A816" s="1">
        <v>32</v>
      </c>
      <c r="B816" t="s">
        <v>29</v>
      </c>
      <c r="C816">
        <v>635</v>
      </c>
      <c r="D816">
        <v>1</v>
      </c>
      <c r="E816" t="s">
        <v>27</v>
      </c>
      <c r="F816" t="s">
        <v>28</v>
      </c>
      <c r="G816" t="str">
        <f>"2026-04-19 01:48:36.890"</f>
        <v>2026-04-19 01:48:36.890</v>
      </c>
      <c r="H816" t="s">
        <v>22</v>
      </c>
      <c r="I816">
        <v>3.96</v>
      </c>
      <c r="J816" t="s">
        <v>30</v>
      </c>
    </row>
    <row r="817" spans="1:10" x14ac:dyDescent="0.25">
      <c r="A817" s="1">
        <v>33</v>
      </c>
      <c r="B817" t="s">
        <v>29</v>
      </c>
      <c r="C817">
        <v>54</v>
      </c>
      <c r="D817">
        <v>1</v>
      </c>
      <c r="E817" t="s">
        <v>87</v>
      </c>
      <c r="F817" t="s">
        <v>88</v>
      </c>
      <c r="G817" t="str">
        <f>"2026-04-18 20:09:55.229"</f>
        <v>2026-04-18 20:09:55.229</v>
      </c>
      <c r="H817" t="s">
        <v>22</v>
      </c>
      <c r="I817">
        <v>5.87</v>
      </c>
      <c r="J817" t="s">
        <v>30</v>
      </c>
    </row>
    <row r="818" spans="1:10" x14ac:dyDescent="0.25">
      <c r="A818" s="1">
        <v>34</v>
      </c>
      <c r="B818" t="s">
        <v>26</v>
      </c>
      <c r="C818">
        <v>54</v>
      </c>
      <c r="D818">
        <v>1</v>
      </c>
      <c r="E818" t="s">
        <v>87</v>
      </c>
      <c r="F818" t="s">
        <v>88</v>
      </c>
      <c r="G818" t="str">
        <f>"2026-04-18 13:29:37.330"</f>
        <v>2026-04-18 13:29:37.330</v>
      </c>
      <c r="H818" t="s">
        <v>22</v>
      </c>
    </row>
    <row r="819" spans="1:10" x14ac:dyDescent="0.25">
      <c r="A819" s="1">
        <v>35</v>
      </c>
      <c r="B819" t="s">
        <v>19</v>
      </c>
      <c r="C819">
        <v>700</v>
      </c>
      <c r="D819">
        <v>0</v>
      </c>
      <c r="E819" t="s">
        <v>24</v>
      </c>
      <c r="F819" t="s">
        <v>24</v>
      </c>
      <c r="G819" t="str">
        <f>"2026-04-18 13:29:24.609"</f>
        <v>2026-04-18 13:29:24.609</v>
      </c>
      <c r="H819" t="s">
        <v>22</v>
      </c>
      <c r="I819">
        <v>0</v>
      </c>
      <c r="J819" t="s">
        <v>25</v>
      </c>
    </row>
    <row r="820" spans="1:10" x14ac:dyDescent="0.25">
      <c r="A820" s="1">
        <v>36</v>
      </c>
      <c r="B820" t="s">
        <v>26</v>
      </c>
      <c r="C820">
        <v>630</v>
      </c>
      <c r="D820">
        <v>5</v>
      </c>
      <c r="E820" t="s">
        <v>39</v>
      </c>
      <c r="F820" t="s">
        <v>40</v>
      </c>
      <c r="G820" t="str">
        <f>"2026-04-17 20:54:23.894"</f>
        <v>2026-04-17 20:54:23.894</v>
      </c>
      <c r="H820" t="s">
        <v>41</v>
      </c>
    </row>
    <row r="821" spans="1:10" x14ac:dyDescent="0.25">
      <c r="A821" s="1">
        <v>37</v>
      </c>
      <c r="B821" t="s">
        <v>19</v>
      </c>
      <c r="C821">
        <v>706</v>
      </c>
      <c r="D821">
        <v>2</v>
      </c>
      <c r="E821" t="s">
        <v>20</v>
      </c>
      <c r="F821" t="s">
        <v>54</v>
      </c>
      <c r="G821" t="str">
        <f>"2026-04-17 20:53:53.676"</f>
        <v>2026-04-17 20:53:53.676</v>
      </c>
      <c r="H821" t="s">
        <v>22</v>
      </c>
      <c r="I821">
        <v>0</v>
      </c>
      <c r="J821" t="s">
        <v>23</v>
      </c>
    </row>
    <row r="822" spans="1:10" x14ac:dyDescent="0.25">
      <c r="A822" s="1">
        <v>38</v>
      </c>
      <c r="B822" t="s">
        <v>34</v>
      </c>
      <c r="C822">
        <v>630</v>
      </c>
      <c r="D822">
        <v>5</v>
      </c>
      <c r="E822" t="s">
        <v>39</v>
      </c>
      <c r="F822" t="s">
        <v>40</v>
      </c>
      <c r="G822" t="str">
        <f>"2026-04-17 20:51:14.795"</f>
        <v>2026-04-17 20:51:14.795</v>
      </c>
      <c r="H822" t="s">
        <v>41</v>
      </c>
      <c r="I822">
        <v>0</v>
      </c>
      <c r="J822" t="s">
        <v>23</v>
      </c>
    </row>
    <row r="823" spans="1:10" x14ac:dyDescent="0.25">
      <c r="A823" s="1">
        <v>39</v>
      </c>
      <c r="B823" t="s">
        <v>29</v>
      </c>
      <c r="C823">
        <v>54</v>
      </c>
      <c r="D823">
        <v>1</v>
      </c>
      <c r="E823" t="s">
        <v>87</v>
      </c>
      <c r="F823" t="s">
        <v>88</v>
      </c>
      <c r="G823" t="str">
        <f>"2026-04-17 17:21:57.686"</f>
        <v>2026-04-17 17:21:57.686</v>
      </c>
      <c r="H823" t="s">
        <v>22</v>
      </c>
      <c r="I823">
        <v>7.59</v>
      </c>
      <c r="J823" t="s">
        <v>30</v>
      </c>
    </row>
    <row r="824" spans="1:10" x14ac:dyDescent="0.25">
      <c r="A824" s="1">
        <v>40</v>
      </c>
      <c r="B824" t="s">
        <v>26</v>
      </c>
      <c r="C824">
        <v>54</v>
      </c>
      <c r="D824">
        <v>1</v>
      </c>
      <c r="E824" t="s">
        <v>87</v>
      </c>
      <c r="F824" t="s">
        <v>88</v>
      </c>
      <c r="G824" t="str">
        <f>"2026-04-17 13:53:24.386"</f>
        <v>2026-04-17 13:53:24.386</v>
      </c>
      <c r="H824" t="s">
        <v>22</v>
      </c>
    </row>
    <row r="825" spans="1:10" x14ac:dyDescent="0.25">
      <c r="A825" s="1">
        <v>41</v>
      </c>
      <c r="B825" t="s">
        <v>19</v>
      </c>
      <c r="C825">
        <v>700</v>
      </c>
      <c r="D825">
        <v>0</v>
      </c>
      <c r="E825" t="s">
        <v>24</v>
      </c>
      <c r="F825" t="s">
        <v>24</v>
      </c>
      <c r="G825" t="str">
        <f>"2026-04-17 13:53:11.616"</f>
        <v>2026-04-17 13:53:11.616</v>
      </c>
      <c r="H825" t="s">
        <v>22</v>
      </c>
    </row>
    <row r="826" spans="1:10" x14ac:dyDescent="0.25">
      <c r="A826" s="1">
        <v>42</v>
      </c>
      <c r="B826" t="s">
        <v>26</v>
      </c>
      <c r="C826">
        <v>630</v>
      </c>
      <c r="D826">
        <v>5</v>
      </c>
      <c r="E826" t="s">
        <v>39</v>
      </c>
      <c r="F826" t="s">
        <v>40</v>
      </c>
      <c r="G826" t="str">
        <f>"2026-04-17 05:44:26.479"</f>
        <v>2026-04-17 05:44:26.479</v>
      </c>
      <c r="H826" t="s">
        <v>41</v>
      </c>
    </row>
    <row r="827" spans="1:10" x14ac:dyDescent="0.25">
      <c r="A827" s="1">
        <v>43</v>
      </c>
      <c r="B827" t="s">
        <v>19</v>
      </c>
      <c r="C827">
        <v>706</v>
      </c>
      <c r="D827">
        <v>2</v>
      </c>
      <c r="E827" t="s">
        <v>20</v>
      </c>
      <c r="F827" t="s">
        <v>54</v>
      </c>
      <c r="G827" t="str">
        <f>"2026-04-17 05:43:56.422"</f>
        <v>2026-04-17 05:43:56.422</v>
      </c>
      <c r="H827" t="s">
        <v>22</v>
      </c>
      <c r="I827">
        <v>0</v>
      </c>
      <c r="J827" t="s">
        <v>23</v>
      </c>
    </row>
    <row r="828" spans="1:10" x14ac:dyDescent="0.25">
      <c r="A828" s="1">
        <v>44</v>
      </c>
      <c r="B828" t="s">
        <v>34</v>
      </c>
      <c r="C828">
        <v>630</v>
      </c>
      <c r="D828">
        <v>5</v>
      </c>
      <c r="E828" t="s">
        <v>39</v>
      </c>
      <c r="F828" t="s">
        <v>40</v>
      </c>
      <c r="G828" t="str">
        <f>"2026-04-17 05:37:50.179"</f>
        <v>2026-04-17 05:37:50.179</v>
      </c>
      <c r="H828" t="s">
        <v>41</v>
      </c>
      <c r="I828">
        <v>0</v>
      </c>
      <c r="J828" t="s">
        <v>23</v>
      </c>
    </row>
    <row r="829" spans="1:10" x14ac:dyDescent="0.25">
      <c r="A829" s="1">
        <v>45</v>
      </c>
      <c r="B829" t="s">
        <v>31</v>
      </c>
      <c r="C829">
        <v>87</v>
      </c>
      <c r="D829">
        <v>1</v>
      </c>
      <c r="E829" t="s">
        <v>32</v>
      </c>
      <c r="F829" t="s">
        <v>33</v>
      </c>
      <c r="G829" t="str">
        <f>"2026-04-16 10:15:35.231"</f>
        <v>2026-04-16 10:15:35.231</v>
      </c>
      <c r="H829" t="s">
        <v>22</v>
      </c>
    </row>
    <row r="830" spans="1:10" x14ac:dyDescent="0.25">
      <c r="A830" s="1">
        <v>46</v>
      </c>
      <c r="B830" t="s">
        <v>34</v>
      </c>
      <c r="C830">
        <v>87</v>
      </c>
      <c r="D830">
        <v>1</v>
      </c>
      <c r="E830" t="s">
        <v>32</v>
      </c>
      <c r="F830" t="s">
        <v>33</v>
      </c>
      <c r="G830" t="str">
        <f>"2026-04-16 10:07:35.510"</f>
        <v>2026-04-16 10:07:35.510</v>
      </c>
      <c r="H830" t="s">
        <v>22</v>
      </c>
      <c r="I830">
        <v>4.2699999999999996</v>
      </c>
      <c r="J830" t="s">
        <v>30</v>
      </c>
    </row>
    <row r="831" spans="1:10" s="3" customFormat="1" x14ac:dyDescent="0.25">
      <c r="A831" s="2">
        <v>47</v>
      </c>
      <c r="B831" s="3" t="s">
        <v>26</v>
      </c>
      <c r="C831" s="3">
        <v>647</v>
      </c>
      <c r="D831" s="3">
        <v>1</v>
      </c>
      <c r="E831" s="3" t="s">
        <v>35</v>
      </c>
      <c r="F831" s="3" t="s">
        <v>36</v>
      </c>
      <c r="G831" s="3" t="str">
        <f>"2026-04-16 07:55:00.979"</f>
        <v>2026-04-16 07:55:00.979</v>
      </c>
      <c r="H831" s="3" t="s">
        <v>22</v>
      </c>
    </row>
    <row r="832" spans="1:10" s="3" customFormat="1" x14ac:dyDescent="0.25">
      <c r="A832" s="2">
        <v>48</v>
      </c>
      <c r="B832" s="3" t="s">
        <v>29</v>
      </c>
      <c r="C832" s="3">
        <v>647</v>
      </c>
      <c r="D832" s="3">
        <v>1</v>
      </c>
      <c r="E832" s="3" t="s">
        <v>35</v>
      </c>
      <c r="F832" s="3" t="s">
        <v>36</v>
      </c>
      <c r="G832" s="3" t="str">
        <f>"2026-04-16 07:54:58.879"</f>
        <v>2026-04-16 07:54:58.879</v>
      </c>
      <c r="H832" s="3" t="s">
        <v>22</v>
      </c>
      <c r="I832" s="3">
        <v>15.13</v>
      </c>
      <c r="J832" s="3" t="s">
        <v>37</v>
      </c>
    </row>
    <row r="833" spans="1:10" s="3" customFormat="1" x14ac:dyDescent="0.25">
      <c r="A833" s="2">
        <v>49</v>
      </c>
      <c r="B833" s="3" t="s">
        <v>26</v>
      </c>
      <c r="C833" s="3">
        <v>647</v>
      </c>
      <c r="D833" s="3">
        <v>1</v>
      </c>
      <c r="E833" s="3" t="s">
        <v>35</v>
      </c>
      <c r="F833" s="3" t="s">
        <v>36</v>
      </c>
      <c r="G833" s="3" t="str">
        <f>"2026-04-16 07:18:57.279"</f>
        <v>2026-04-16 07:18:57.279</v>
      </c>
      <c r="H833" s="3" t="s">
        <v>22</v>
      </c>
    </row>
    <row r="834" spans="1:10" s="3" customFormat="1" x14ac:dyDescent="0.25">
      <c r="A834" s="2">
        <v>50</v>
      </c>
      <c r="B834" s="3" t="s">
        <v>29</v>
      </c>
      <c r="C834" s="3">
        <v>647</v>
      </c>
      <c r="D834" s="3">
        <v>1</v>
      </c>
      <c r="E834" s="3" t="s">
        <v>35</v>
      </c>
      <c r="F834" s="3" t="s">
        <v>36</v>
      </c>
      <c r="G834" s="3" t="str">
        <f>"2026-04-16 07:18:53.180"</f>
        <v>2026-04-16 07:18:53.180</v>
      </c>
      <c r="H834" s="3" t="s">
        <v>22</v>
      </c>
      <c r="I834" s="3">
        <v>14.59</v>
      </c>
      <c r="J834" s="3" t="s">
        <v>37</v>
      </c>
    </row>
    <row r="835" spans="1:10" x14ac:dyDescent="0.25">
      <c r="A835" s="1">
        <v>51</v>
      </c>
      <c r="B835" t="s">
        <v>29</v>
      </c>
      <c r="C835">
        <v>54</v>
      </c>
      <c r="D835">
        <v>1</v>
      </c>
      <c r="E835" t="s">
        <v>87</v>
      </c>
      <c r="F835" t="s">
        <v>88</v>
      </c>
      <c r="G835" t="str">
        <f>"2026-04-16 02:56:37.591"</f>
        <v>2026-04-16 02:56:37.591</v>
      </c>
      <c r="H835" t="s">
        <v>22</v>
      </c>
      <c r="I835">
        <v>4.3899999999999997</v>
      </c>
      <c r="J835" t="s">
        <v>30</v>
      </c>
    </row>
    <row r="836" spans="1:10" x14ac:dyDescent="0.25">
      <c r="A836" s="1">
        <v>52</v>
      </c>
      <c r="B836" t="s">
        <v>26</v>
      </c>
      <c r="C836">
        <v>54</v>
      </c>
      <c r="D836">
        <v>1</v>
      </c>
      <c r="E836" t="s">
        <v>87</v>
      </c>
      <c r="F836" t="s">
        <v>88</v>
      </c>
      <c r="G836" t="str">
        <f>"2026-04-15 18:28:29.391"</f>
        <v>2026-04-15 18:28:29.391</v>
      </c>
      <c r="H836" t="s">
        <v>22</v>
      </c>
    </row>
    <row r="837" spans="1:10" x14ac:dyDescent="0.25">
      <c r="A837" s="1">
        <v>53</v>
      </c>
      <c r="B837" t="s">
        <v>19</v>
      </c>
      <c r="C837">
        <v>700</v>
      </c>
      <c r="D837">
        <v>0</v>
      </c>
      <c r="E837" t="s">
        <v>24</v>
      </c>
      <c r="F837" t="s">
        <v>24</v>
      </c>
      <c r="G837" t="str">
        <f>"2026-04-15 18:28:16.612"</f>
        <v>2026-04-15 18:28:16.612</v>
      </c>
      <c r="H837" t="s">
        <v>22</v>
      </c>
      <c r="I837">
        <v>0</v>
      </c>
      <c r="J837" t="s">
        <v>25</v>
      </c>
    </row>
    <row r="838" spans="1:10" x14ac:dyDescent="0.25">
      <c r="A838" s="1">
        <v>54</v>
      </c>
      <c r="B838" t="s">
        <v>26</v>
      </c>
      <c r="C838">
        <v>635</v>
      </c>
      <c r="D838">
        <v>1</v>
      </c>
      <c r="E838" t="s">
        <v>27</v>
      </c>
      <c r="F838" t="s">
        <v>28</v>
      </c>
      <c r="G838" t="str">
        <f>"2026-04-14 20:34:49.181"</f>
        <v>2026-04-14 20:34:49.181</v>
      </c>
      <c r="H838" t="s">
        <v>22</v>
      </c>
    </row>
    <row r="839" spans="1:10" x14ac:dyDescent="0.25">
      <c r="A839" s="1">
        <v>55</v>
      </c>
      <c r="B839" t="s">
        <v>29</v>
      </c>
      <c r="C839">
        <v>54</v>
      </c>
      <c r="D839">
        <v>1</v>
      </c>
      <c r="E839" t="s">
        <v>87</v>
      </c>
      <c r="F839" t="s">
        <v>88</v>
      </c>
      <c r="G839" t="str">
        <f>"2026-04-14 20:28:28.281"</f>
        <v>2026-04-14 20:28:28.281</v>
      </c>
      <c r="H839" t="s">
        <v>22</v>
      </c>
      <c r="I839">
        <v>4.68</v>
      </c>
      <c r="J839" t="s">
        <v>30</v>
      </c>
    </row>
    <row r="840" spans="1:10" x14ac:dyDescent="0.25">
      <c r="A840" s="1">
        <v>56</v>
      </c>
      <c r="B840" t="s">
        <v>29</v>
      </c>
      <c r="C840">
        <v>635</v>
      </c>
      <c r="D840">
        <v>1</v>
      </c>
      <c r="E840" t="s">
        <v>27</v>
      </c>
      <c r="F840" t="s">
        <v>28</v>
      </c>
      <c r="G840" t="str">
        <f>"2026-04-14 20:28:15.681"</f>
        <v>2026-04-14 20:28:15.681</v>
      </c>
      <c r="H840" t="s">
        <v>22</v>
      </c>
      <c r="I840">
        <v>3.34</v>
      </c>
      <c r="J840" t="s">
        <v>37</v>
      </c>
    </row>
    <row r="841" spans="1:10" x14ac:dyDescent="0.25">
      <c r="A841" s="1">
        <v>59</v>
      </c>
      <c r="B841" t="s">
        <v>19</v>
      </c>
      <c r="C841">
        <v>782</v>
      </c>
      <c r="D841">
        <v>7</v>
      </c>
      <c r="E841" t="s">
        <v>55</v>
      </c>
      <c r="F841" t="s">
        <v>56</v>
      </c>
      <c r="G841" t="str">
        <f>"2026-04-14 17:13:01.493"</f>
        <v>2026-04-14 17:13:01.493</v>
      </c>
      <c r="H841" t="s">
        <v>22</v>
      </c>
      <c r="I841">
        <v>0</v>
      </c>
      <c r="J841" t="s">
        <v>38</v>
      </c>
    </row>
    <row r="842" spans="1:10" x14ac:dyDescent="0.25">
      <c r="A842" s="1">
        <v>62</v>
      </c>
      <c r="B842" t="s">
        <v>26</v>
      </c>
      <c r="C842">
        <v>54</v>
      </c>
      <c r="D842">
        <v>1</v>
      </c>
      <c r="E842" t="s">
        <v>87</v>
      </c>
      <c r="F842" t="s">
        <v>88</v>
      </c>
      <c r="G842" t="str">
        <f>"2026-04-14 17:13:01.482"</f>
        <v>2026-04-14 17:13:01.482</v>
      </c>
      <c r="H842" t="s">
        <v>22</v>
      </c>
    </row>
    <row r="843" spans="1:10" x14ac:dyDescent="0.25">
      <c r="A843" s="1">
        <v>63</v>
      </c>
      <c r="B843" t="s">
        <v>19</v>
      </c>
      <c r="C843">
        <v>782</v>
      </c>
      <c r="D843">
        <v>7</v>
      </c>
      <c r="E843" t="s">
        <v>55</v>
      </c>
      <c r="F843" t="s">
        <v>56</v>
      </c>
      <c r="G843" t="str">
        <f>"2026-04-14 17:13:01.481"</f>
        <v>2026-04-14 17:13:01.481</v>
      </c>
      <c r="H843" t="s">
        <v>22</v>
      </c>
      <c r="I843">
        <v>0</v>
      </c>
      <c r="J843" t="s">
        <v>38</v>
      </c>
    </row>
    <row r="844" spans="1:10" x14ac:dyDescent="0.25">
      <c r="A844" s="1">
        <v>64</v>
      </c>
      <c r="B844" t="s">
        <v>26</v>
      </c>
      <c r="C844">
        <v>89</v>
      </c>
      <c r="D844">
        <v>2</v>
      </c>
      <c r="E844" t="s">
        <v>42</v>
      </c>
      <c r="F844" t="s">
        <v>43</v>
      </c>
      <c r="G844" t="str">
        <f>"2026-04-14 11:24:54.181"</f>
        <v>2026-04-14 11:24:54.181</v>
      </c>
      <c r="H844" t="s">
        <v>22</v>
      </c>
    </row>
    <row r="845" spans="1:10" x14ac:dyDescent="0.25">
      <c r="A845" s="1">
        <v>65</v>
      </c>
      <c r="B845" t="s">
        <v>34</v>
      </c>
      <c r="C845">
        <v>89</v>
      </c>
      <c r="D845">
        <v>2</v>
      </c>
      <c r="E845" t="s">
        <v>42</v>
      </c>
      <c r="F845" t="s">
        <v>43</v>
      </c>
      <c r="G845" t="str">
        <f>"2026-04-14 11:24:22.381"</f>
        <v>2026-04-14 11:24:22.381</v>
      </c>
      <c r="H845" t="s">
        <v>22</v>
      </c>
      <c r="I845">
        <v>4.12</v>
      </c>
      <c r="J845" t="s">
        <v>30</v>
      </c>
    </row>
    <row r="846" spans="1:10" x14ac:dyDescent="0.25">
      <c r="A846" s="1">
        <v>66</v>
      </c>
      <c r="B846" t="s">
        <v>26</v>
      </c>
      <c r="C846">
        <v>61</v>
      </c>
      <c r="D846">
        <v>2</v>
      </c>
      <c r="E846" t="s">
        <v>81</v>
      </c>
      <c r="F846" t="s">
        <v>82</v>
      </c>
      <c r="G846" t="str">
        <f>"2026-04-14 07:13:47.882"</f>
        <v>2026-04-14 07:13:47.882</v>
      </c>
      <c r="H846" t="s">
        <v>22</v>
      </c>
    </row>
    <row r="847" spans="1:10" x14ac:dyDescent="0.25">
      <c r="A847" s="1">
        <v>67</v>
      </c>
      <c r="B847" t="s">
        <v>34</v>
      </c>
      <c r="C847">
        <v>61</v>
      </c>
      <c r="D847">
        <v>2</v>
      </c>
      <c r="E847" t="s">
        <v>81</v>
      </c>
      <c r="F847" t="s">
        <v>82</v>
      </c>
      <c r="G847" t="str">
        <f>"2026-04-14 07:13:38.882"</f>
        <v>2026-04-14 07:13:38.882</v>
      </c>
      <c r="H847" t="s">
        <v>22</v>
      </c>
      <c r="I847">
        <v>37.06</v>
      </c>
      <c r="J847" t="s">
        <v>37</v>
      </c>
    </row>
    <row r="848" spans="1:10" x14ac:dyDescent="0.25">
      <c r="A848" s="1">
        <v>68</v>
      </c>
      <c r="B848" t="s">
        <v>26</v>
      </c>
      <c r="C848">
        <v>635</v>
      </c>
      <c r="D848">
        <v>1</v>
      </c>
      <c r="E848" t="s">
        <v>27</v>
      </c>
      <c r="F848" t="s">
        <v>28</v>
      </c>
      <c r="G848" t="str">
        <f>"2026-04-14 04:53:57.781"</f>
        <v>2026-04-14 04:53:57.781</v>
      </c>
      <c r="H848" t="s">
        <v>22</v>
      </c>
    </row>
    <row r="849" spans="1:10" x14ac:dyDescent="0.25">
      <c r="A849" s="1">
        <v>69</v>
      </c>
      <c r="B849" t="s">
        <v>29</v>
      </c>
      <c r="C849">
        <v>635</v>
      </c>
      <c r="D849">
        <v>1</v>
      </c>
      <c r="E849" t="s">
        <v>27</v>
      </c>
      <c r="F849" t="s">
        <v>28</v>
      </c>
      <c r="G849" t="str">
        <f>"2026-04-14 04:46:25.281"</f>
        <v>2026-04-14 04:46:25.281</v>
      </c>
      <c r="H849" t="s">
        <v>22</v>
      </c>
      <c r="I849">
        <v>4.4400000000000004</v>
      </c>
      <c r="J849" t="s">
        <v>30</v>
      </c>
    </row>
    <row r="850" spans="1:10" x14ac:dyDescent="0.25">
      <c r="A850" s="1">
        <v>70</v>
      </c>
      <c r="B850" t="s">
        <v>26</v>
      </c>
      <c r="C850">
        <v>635</v>
      </c>
      <c r="D850">
        <v>1</v>
      </c>
      <c r="E850" t="s">
        <v>27</v>
      </c>
      <c r="F850" t="s">
        <v>28</v>
      </c>
      <c r="G850" t="str">
        <f>"2026-04-13 19:31:15.481"</f>
        <v>2026-04-13 19:31:15.481</v>
      </c>
      <c r="H850" t="s">
        <v>22</v>
      </c>
    </row>
    <row r="851" spans="1:10" x14ac:dyDescent="0.25">
      <c r="A851" s="1">
        <v>71</v>
      </c>
      <c r="B851" t="s">
        <v>29</v>
      </c>
      <c r="C851">
        <v>54</v>
      </c>
      <c r="D851">
        <v>1</v>
      </c>
      <c r="E851" t="s">
        <v>87</v>
      </c>
      <c r="F851" t="s">
        <v>88</v>
      </c>
      <c r="G851" t="str">
        <f>"2026-04-13 19:27:36.781"</f>
        <v>2026-04-13 19:27:36.781</v>
      </c>
      <c r="H851" t="s">
        <v>22</v>
      </c>
      <c r="I851">
        <v>2.0699999999999998</v>
      </c>
      <c r="J851" t="s">
        <v>30</v>
      </c>
    </row>
    <row r="852" spans="1:10" x14ac:dyDescent="0.25">
      <c r="A852" s="1">
        <v>72</v>
      </c>
      <c r="B852" t="s">
        <v>29</v>
      </c>
      <c r="C852">
        <v>635</v>
      </c>
      <c r="D852">
        <v>1</v>
      </c>
      <c r="E852" t="s">
        <v>27</v>
      </c>
      <c r="F852" t="s">
        <v>28</v>
      </c>
      <c r="G852" t="str">
        <f>"2026-04-13 19:25:28.481"</f>
        <v>2026-04-13 19:25:28.481</v>
      </c>
      <c r="H852" t="s">
        <v>22</v>
      </c>
      <c r="I852">
        <v>5.82</v>
      </c>
      <c r="J852" t="s">
        <v>38</v>
      </c>
    </row>
    <row r="853" spans="1:10" s="3" customFormat="1" x14ac:dyDescent="0.25">
      <c r="A853" s="2">
        <v>74</v>
      </c>
      <c r="B853" s="3" t="s">
        <v>26</v>
      </c>
      <c r="C853" s="3">
        <v>647</v>
      </c>
      <c r="D853" s="3">
        <v>1</v>
      </c>
      <c r="E853" s="3" t="s">
        <v>35</v>
      </c>
      <c r="F853" s="3" t="s">
        <v>36</v>
      </c>
      <c r="G853" s="3" t="str">
        <f>"2026-04-13 07:24:14.082"</f>
        <v>2026-04-13 07:24:14.082</v>
      </c>
      <c r="H853" s="3" t="s">
        <v>22</v>
      </c>
    </row>
    <row r="854" spans="1:10" s="3" customFormat="1" x14ac:dyDescent="0.25">
      <c r="A854" s="2">
        <v>75</v>
      </c>
      <c r="B854" s="3" t="s">
        <v>29</v>
      </c>
      <c r="C854" s="3">
        <v>647</v>
      </c>
      <c r="D854" s="3">
        <v>1</v>
      </c>
      <c r="E854" s="3" t="s">
        <v>35</v>
      </c>
      <c r="F854" s="3" t="s">
        <v>36</v>
      </c>
      <c r="G854" s="3" t="str">
        <f>"2026-04-13 07:24:08.482"</f>
        <v>2026-04-13 07:24:08.482</v>
      </c>
      <c r="H854" s="3" t="s">
        <v>22</v>
      </c>
      <c r="I854" s="3">
        <v>11.64</v>
      </c>
      <c r="J854" s="3" t="s">
        <v>37</v>
      </c>
    </row>
    <row r="855" spans="1:10" x14ac:dyDescent="0.25">
      <c r="A855" s="1">
        <v>76</v>
      </c>
      <c r="B855" t="s">
        <v>19</v>
      </c>
      <c r="C855">
        <v>700</v>
      </c>
      <c r="D855">
        <v>0</v>
      </c>
      <c r="E855" t="s">
        <v>24</v>
      </c>
      <c r="F855" t="s">
        <v>24</v>
      </c>
      <c r="G855" t="str">
        <f>"2026-04-13 02:36:48.600"</f>
        <v>2026-04-13 02:36:48.600</v>
      </c>
      <c r="H855" t="s">
        <v>22</v>
      </c>
    </row>
    <row r="856" spans="1:10" x14ac:dyDescent="0.25">
      <c r="A856" s="1">
        <v>77</v>
      </c>
      <c r="B856" t="s">
        <v>26</v>
      </c>
      <c r="C856">
        <v>630</v>
      </c>
      <c r="D856">
        <v>5</v>
      </c>
      <c r="E856" t="s">
        <v>39</v>
      </c>
      <c r="F856" t="s">
        <v>40</v>
      </c>
      <c r="G856" t="str">
        <f>"2026-04-13 02:21:21.446"</f>
        <v>2026-04-13 02:21:21.446</v>
      </c>
      <c r="H856" t="s">
        <v>41</v>
      </c>
    </row>
    <row r="857" spans="1:10" x14ac:dyDescent="0.25">
      <c r="A857" s="1">
        <v>78</v>
      </c>
      <c r="B857" t="s">
        <v>19</v>
      </c>
      <c r="C857">
        <v>706</v>
      </c>
      <c r="D857">
        <v>2</v>
      </c>
      <c r="E857" t="s">
        <v>20</v>
      </c>
      <c r="F857" t="s">
        <v>54</v>
      </c>
      <c r="G857" t="str">
        <f>"2026-04-13 02:20:51.414"</f>
        <v>2026-04-13 02:20:51.414</v>
      </c>
      <c r="H857" t="s">
        <v>22</v>
      </c>
      <c r="I857">
        <v>0</v>
      </c>
      <c r="J857" t="s">
        <v>23</v>
      </c>
    </row>
    <row r="858" spans="1:10" x14ac:dyDescent="0.25">
      <c r="A858" s="1">
        <v>79</v>
      </c>
      <c r="B858" t="s">
        <v>34</v>
      </c>
      <c r="C858">
        <v>630</v>
      </c>
      <c r="D858">
        <v>5</v>
      </c>
      <c r="E858" t="s">
        <v>39</v>
      </c>
      <c r="F858" t="s">
        <v>40</v>
      </c>
      <c r="G858" t="str">
        <f>"2026-04-13 02:19:17.846"</f>
        <v>2026-04-13 02:19:17.846</v>
      </c>
      <c r="H858" t="s">
        <v>41</v>
      </c>
      <c r="I858">
        <v>0</v>
      </c>
      <c r="J858" t="s">
        <v>23</v>
      </c>
    </row>
    <row r="859" spans="1:10" x14ac:dyDescent="0.25">
      <c r="A859" s="1">
        <v>82</v>
      </c>
      <c r="B859" t="s">
        <v>19</v>
      </c>
      <c r="C859">
        <v>782</v>
      </c>
      <c r="D859">
        <v>7</v>
      </c>
      <c r="E859" t="s">
        <v>55</v>
      </c>
      <c r="F859" t="s">
        <v>56</v>
      </c>
      <c r="G859" t="str">
        <f>"2026-04-13 02:17:21.757"</f>
        <v>2026-04-13 02:17:21.757</v>
      </c>
      <c r="H859" t="s">
        <v>22</v>
      </c>
      <c r="I859">
        <v>0</v>
      </c>
      <c r="J859" t="s">
        <v>23</v>
      </c>
    </row>
    <row r="860" spans="1:10" x14ac:dyDescent="0.25">
      <c r="A860" s="1">
        <v>85</v>
      </c>
      <c r="B860" t="s">
        <v>26</v>
      </c>
      <c r="C860">
        <v>630</v>
      </c>
      <c r="D860">
        <v>5</v>
      </c>
      <c r="E860" t="s">
        <v>39</v>
      </c>
      <c r="F860" t="s">
        <v>40</v>
      </c>
      <c r="G860" t="str">
        <f>"2026-04-13 02:17:21.746"</f>
        <v>2026-04-13 02:17:21.746</v>
      </c>
      <c r="H860" t="s">
        <v>41</v>
      </c>
    </row>
    <row r="861" spans="1:10" x14ac:dyDescent="0.25">
      <c r="A861" s="1">
        <v>86</v>
      </c>
      <c r="B861" t="s">
        <v>19</v>
      </c>
      <c r="C861">
        <v>782</v>
      </c>
      <c r="D861">
        <v>7</v>
      </c>
      <c r="E861" t="s">
        <v>55</v>
      </c>
      <c r="F861" t="s">
        <v>56</v>
      </c>
      <c r="G861" t="str">
        <f>"2026-04-13 02:17:21.745"</f>
        <v>2026-04-13 02:17:21.745</v>
      </c>
      <c r="H861" t="s">
        <v>22</v>
      </c>
      <c r="I861">
        <v>0</v>
      </c>
      <c r="J861" t="s">
        <v>23</v>
      </c>
    </row>
    <row r="862" spans="1:10" x14ac:dyDescent="0.25">
      <c r="A862" s="1">
        <v>87</v>
      </c>
      <c r="B862" t="s">
        <v>19</v>
      </c>
      <c r="C862">
        <v>706</v>
      </c>
      <c r="D862">
        <v>4</v>
      </c>
      <c r="E862" t="s">
        <v>20</v>
      </c>
      <c r="F862" t="s">
        <v>21</v>
      </c>
      <c r="G862" t="str">
        <f>"2026-04-13 02:14:10.534"</f>
        <v>2026-04-13 02:14:10.534</v>
      </c>
      <c r="H862" t="s">
        <v>22</v>
      </c>
      <c r="I862">
        <v>0</v>
      </c>
      <c r="J862" t="s">
        <v>23</v>
      </c>
    </row>
    <row r="863" spans="1:10" x14ac:dyDescent="0.25">
      <c r="A863" s="1">
        <v>88</v>
      </c>
      <c r="B863" t="s">
        <v>19</v>
      </c>
      <c r="C863">
        <v>706</v>
      </c>
      <c r="D863">
        <v>2</v>
      </c>
      <c r="E863" t="s">
        <v>20</v>
      </c>
      <c r="F863" t="s">
        <v>54</v>
      </c>
      <c r="G863" t="str">
        <f>"2026-04-13 02:13:46.214"</f>
        <v>2026-04-13 02:13:46.214</v>
      </c>
      <c r="H863" t="s">
        <v>22</v>
      </c>
      <c r="I863">
        <v>0</v>
      </c>
      <c r="J863" t="s">
        <v>23</v>
      </c>
    </row>
    <row r="864" spans="1:10" x14ac:dyDescent="0.25">
      <c r="A864" s="1">
        <v>89</v>
      </c>
      <c r="B864" t="s">
        <v>34</v>
      </c>
      <c r="C864">
        <v>630</v>
      </c>
      <c r="D864">
        <v>5</v>
      </c>
      <c r="E864" t="s">
        <v>39</v>
      </c>
      <c r="F864" t="s">
        <v>40</v>
      </c>
      <c r="G864" t="str">
        <f>"2026-04-13 02:01:30.546"</f>
        <v>2026-04-13 02:01:30.546</v>
      </c>
      <c r="H864" t="s">
        <v>41</v>
      </c>
      <c r="I864">
        <v>0</v>
      </c>
      <c r="J864" t="s">
        <v>23</v>
      </c>
    </row>
    <row r="865" spans="1:10" x14ac:dyDescent="0.25">
      <c r="A865" s="1">
        <v>90</v>
      </c>
      <c r="B865" t="s">
        <v>26</v>
      </c>
      <c r="C865">
        <v>54</v>
      </c>
      <c r="D865">
        <v>1</v>
      </c>
      <c r="E865" t="s">
        <v>87</v>
      </c>
      <c r="F865" t="s">
        <v>88</v>
      </c>
      <c r="G865" t="str">
        <f>"2026-04-13 01:56:40.545"</f>
        <v>2026-04-13 01:56:40.545</v>
      </c>
      <c r="H865" t="s">
        <v>22</v>
      </c>
    </row>
    <row r="866" spans="1:10" x14ac:dyDescent="0.25">
      <c r="A866" s="1">
        <v>91</v>
      </c>
      <c r="B866" t="s">
        <v>19</v>
      </c>
      <c r="C866">
        <v>700</v>
      </c>
      <c r="D866">
        <v>0</v>
      </c>
      <c r="E866" t="s">
        <v>24</v>
      </c>
      <c r="F866" t="s">
        <v>24</v>
      </c>
      <c r="G866" t="str">
        <f>"2026-04-13 01:56:27.624"</f>
        <v>2026-04-13 01:56:27.624</v>
      </c>
      <c r="H866" t="s">
        <v>22</v>
      </c>
    </row>
    <row r="867" spans="1:10" x14ac:dyDescent="0.25">
      <c r="A867" s="1">
        <v>92</v>
      </c>
      <c r="B867" t="s">
        <v>29</v>
      </c>
      <c r="C867">
        <v>54</v>
      </c>
      <c r="D867">
        <v>1</v>
      </c>
      <c r="E867" t="s">
        <v>87</v>
      </c>
      <c r="F867" t="s">
        <v>88</v>
      </c>
      <c r="G867" t="str">
        <f>"2026-04-12 19:15:25.082"</f>
        <v>2026-04-12 19:15:25.082</v>
      </c>
      <c r="H867" t="s">
        <v>22</v>
      </c>
      <c r="I867">
        <v>4.58</v>
      </c>
      <c r="J867" t="s">
        <v>37</v>
      </c>
    </row>
    <row r="868" spans="1:10" x14ac:dyDescent="0.25">
      <c r="A868" s="1">
        <v>93</v>
      </c>
      <c r="B868" t="s">
        <v>26</v>
      </c>
      <c r="C868">
        <v>630</v>
      </c>
      <c r="D868">
        <v>5</v>
      </c>
      <c r="E868" t="s">
        <v>39</v>
      </c>
      <c r="F868" t="s">
        <v>40</v>
      </c>
      <c r="G868" t="str">
        <f>"2026-04-12 03:14:55.183"</f>
        <v>2026-04-12 03:14:55.183</v>
      </c>
      <c r="H868" t="s">
        <v>41</v>
      </c>
    </row>
    <row r="869" spans="1:10" x14ac:dyDescent="0.25">
      <c r="A869" s="1">
        <v>94</v>
      </c>
      <c r="B869" t="s">
        <v>19</v>
      </c>
      <c r="C869">
        <v>706</v>
      </c>
      <c r="D869">
        <v>4</v>
      </c>
      <c r="E869" t="s">
        <v>20</v>
      </c>
      <c r="F869" t="s">
        <v>21</v>
      </c>
      <c r="G869" t="str">
        <f>"2026-04-12 03:14:24.991"</f>
        <v>2026-04-12 03:14:24.991</v>
      </c>
      <c r="H869" t="s">
        <v>22</v>
      </c>
      <c r="I869">
        <v>0</v>
      </c>
      <c r="J869" t="s">
        <v>23</v>
      </c>
    </row>
    <row r="870" spans="1:10" x14ac:dyDescent="0.25">
      <c r="A870" s="1">
        <v>95</v>
      </c>
      <c r="B870" t="s">
        <v>34</v>
      </c>
      <c r="C870">
        <v>630</v>
      </c>
      <c r="D870">
        <v>5</v>
      </c>
      <c r="E870" t="s">
        <v>39</v>
      </c>
      <c r="F870" t="s">
        <v>40</v>
      </c>
      <c r="G870" t="str">
        <f>"2026-04-12 03:08:06.383"</f>
        <v>2026-04-12 03:08:06.383</v>
      </c>
      <c r="H870" t="s">
        <v>41</v>
      </c>
      <c r="I870">
        <v>0</v>
      </c>
      <c r="J870" t="s">
        <v>23</v>
      </c>
    </row>
    <row r="871" spans="1:10" x14ac:dyDescent="0.25">
      <c r="A871" s="1">
        <v>96</v>
      </c>
      <c r="B871" t="s">
        <v>19</v>
      </c>
      <c r="C871">
        <v>700</v>
      </c>
      <c r="D871">
        <v>0</v>
      </c>
      <c r="E871" t="s">
        <v>24</v>
      </c>
      <c r="F871" t="s">
        <v>24</v>
      </c>
      <c r="G871" t="str">
        <f>"2026-04-12 03:03:03.631"</f>
        <v>2026-04-12 03:03:03.631</v>
      </c>
      <c r="H871" t="s">
        <v>22</v>
      </c>
    </row>
    <row r="872" spans="1:10" s="3" customFormat="1" x14ac:dyDescent="0.25">
      <c r="A872" s="2">
        <v>97</v>
      </c>
      <c r="B872" s="3" t="s">
        <v>26</v>
      </c>
      <c r="C872" s="3">
        <v>647</v>
      </c>
      <c r="D872" s="3">
        <v>1</v>
      </c>
      <c r="E872" s="3" t="s">
        <v>35</v>
      </c>
      <c r="F872" s="3" t="s">
        <v>36</v>
      </c>
      <c r="G872" s="3" t="str">
        <f>"2026-04-11 19:01:16.193"</f>
        <v>2026-04-11 19:01:16.193</v>
      </c>
      <c r="H872" s="3" t="s">
        <v>22</v>
      </c>
    </row>
    <row r="873" spans="1:10" s="3" customFormat="1" x14ac:dyDescent="0.25">
      <c r="A873" s="2">
        <v>98</v>
      </c>
      <c r="B873" s="3" t="s">
        <v>29</v>
      </c>
      <c r="C873" s="3">
        <v>647</v>
      </c>
      <c r="D873" s="3">
        <v>1</v>
      </c>
      <c r="E873" s="3" t="s">
        <v>35</v>
      </c>
      <c r="F873" s="3" t="s">
        <v>36</v>
      </c>
      <c r="G873" s="3" t="str">
        <f>"2026-04-11 19:01:08.393"</f>
        <v>2026-04-11 19:01:08.393</v>
      </c>
      <c r="H873" s="3" t="s">
        <v>22</v>
      </c>
      <c r="I873" s="3">
        <v>20.58</v>
      </c>
      <c r="J873" s="3" t="s">
        <v>37</v>
      </c>
    </row>
    <row r="874" spans="1:10" x14ac:dyDescent="0.25">
      <c r="A874" s="1">
        <v>99</v>
      </c>
      <c r="B874" t="s">
        <v>26</v>
      </c>
      <c r="C874">
        <v>54</v>
      </c>
      <c r="D874">
        <v>1</v>
      </c>
      <c r="E874" t="s">
        <v>87</v>
      </c>
      <c r="F874" t="s">
        <v>88</v>
      </c>
      <c r="G874" t="str">
        <f>"2026-04-11 12:38:41.392"</f>
        <v>2026-04-11 12:38:41.392</v>
      </c>
      <c r="H874" t="s">
        <v>22</v>
      </c>
    </row>
    <row r="875" spans="1:10" x14ac:dyDescent="0.25">
      <c r="A875" s="1">
        <v>0</v>
      </c>
      <c r="B875" t="s">
        <v>19</v>
      </c>
      <c r="C875">
        <v>700</v>
      </c>
      <c r="D875">
        <v>0</v>
      </c>
      <c r="E875" t="s">
        <v>24</v>
      </c>
      <c r="F875" t="s">
        <v>24</v>
      </c>
      <c r="G875" t="str">
        <f>"2026-04-11 12:38:28.601"</f>
        <v>2026-04-11 12:38:28.601</v>
      </c>
      <c r="H875" t="s">
        <v>22</v>
      </c>
      <c r="I875">
        <v>0</v>
      </c>
      <c r="J875" t="s">
        <v>25</v>
      </c>
    </row>
    <row r="876" spans="1:10" x14ac:dyDescent="0.25">
      <c r="A876" s="1">
        <v>1</v>
      </c>
      <c r="B876" t="s">
        <v>29</v>
      </c>
      <c r="C876">
        <v>54</v>
      </c>
      <c r="D876">
        <v>1</v>
      </c>
      <c r="E876" t="s">
        <v>87</v>
      </c>
      <c r="F876" t="s">
        <v>88</v>
      </c>
      <c r="G876" t="str">
        <f>"2026-04-10 22:46:22.311"</f>
        <v>2026-04-10 22:46:22.311</v>
      </c>
      <c r="H876" t="s">
        <v>22</v>
      </c>
      <c r="I876">
        <v>5.24</v>
      </c>
      <c r="J876" t="s">
        <v>37</v>
      </c>
    </row>
    <row r="877" spans="1:10" s="3" customFormat="1" x14ac:dyDescent="0.25">
      <c r="A877" s="2">
        <v>2</v>
      </c>
      <c r="B877" s="3" t="s">
        <v>26</v>
      </c>
      <c r="C877" s="3">
        <v>647</v>
      </c>
      <c r="D877" s="3">
        <v>1</v>
      </c>
      <c r="E877" s="3" t="s">
        <v>35</v>
      </c>
      <c r="F877" s="3" t="s">
        <v>36</v>
      </c>
      <c r="G877" s="3" t="str">
        <f>"2026-04-09 21:29:20.611"</f>
        <v>2026-04-09 21:29:20.611</v>
      </c>
      <c r="H877" s="3" t="s">
        <v>22</v>
      </c>
    </row>
    <row r="878" spans="1:10" s="3" customFormat="1" x14ac:dyDescent="0.25">
      <c r="A878" s="2">
        <v>3</v>
      </c>
      <c r="B878" s="3" t="s">
        <v>29</v>
      </c>
      <c r="C878" s="3">
        <v>647</v>
      </c>
      <c r="D878" s="3">
        <v>1</v>
      </c>
      <c r="E878" s="3" t="s">
        <v>35</v>
      </c>
      <c r="F878" s="3" t="s">
        <v>36</v>
      </c>
      <c r="G878" s="3" t="str">
        <f>"2026-04-09 21:29:17.911"</f>
        <v>2026-04-09 21:29:17.911</v>
      </c>
      <c r="H878" s="3" t="s">
        <v>22</v>
      </c>
      <c r="I878" s="3">
        <v>17.760000000000002</v>
      </c>
      <c r="J878" s="3" t="s">
        <v>37</v>
      </c>
    </row>
    <row r="879" spans="1:10" x14ac:dyDescent="0.25">
      <c r="A879" s="1">
        <v>4</v>
      </c>
      <c r="B879" t="s">
        <v>26</v>
      </c>
      <c r="C879">
        <v>635</v>
      </c>
      <c r="D879">
        <v>1</v>
      </c>
      <c r="E879" t="s">
        <v>27</v>
      </c>
      <c r="F879" t="s">
        <v>28</v>
      </c>
      <c r="G879" t="str">
        <f>"2026-04-09 04:16:18.410"</f>
        <v>2026-04-09 04:16:18.410</v>
      </c>
      <c r="H879" t="s">
        <v>22</v>
      </c>
    </row>
    <row r="880" spans="1:10" x14ac:dyDescent="0.25">
      <c r="A880" s="1">
        <v>5</v>
      </c>
      <c r="B880" t="s">
        <v>29</v>
      </c>
      <c r="C880">
        <v>635</v>
      </c>
      <c r="D880">
        <v>1</v>
      </c>
      <c r="E880" t="s">
        <v>27</v>
      </c>
      <c r="F880" t="s">
        <v>28</v>
      </c>
      <c r="G880" t="str">
        <f>"2026-04-09 04:13:31.910"</f>
        <v>2026-04-09 04:13:31.910</v>
      </c>
      <c r="H880" t="s">
        <v>22</v>
      </c>
      <c r="I880">
        <v>6.4</v>
      </c>
      <c r="J880" t="s">
        <v>30</v>
      </c>
    </row>
    <row r="881" spans="1:10" x14ac:dyDescent="0.25">
      <c r="A881" s="1">
        <v>6</v>
      </c>
      <c r="B881" t="s">
        <v>19</v>
      </c>
      <c r="C881">
        <v>700</v>
      </c>
      <c r="D881">
        <v>0</v>
      </c>
      <c r="E881" t="s">
        <v>24</v>
      </c>
      <c r="F881" t="s">
        <v>24</v>
      </c>
      <c r="G881" t="str">
        <f>"2026-04-08 17:07:46.629"</f>
        <v>2026-04-08 17:07:46.629</v>
      </c>
      <c r="H881" t="s">
        <v>22</v>
      </c>
    </row>
    <row r="882" spans="1:10" x14ac:dyDescent="0.25">
      <c r="A882" s="1">
        <v>7</v>
      </c>
      <c r="B882" t="s">
        <v>26</v>
      </c>
      <c r="C882">
        <v>635</v>
      </c>
      <c r="D882">
        <v>1</v>
      </c>
      <c r="E882" t="s">
        <v>27</v>
      </c>
      <c r="F882" t="s">
        <v>28</v>
      </c>
      <c r="G882" t="str">
        <f>"2026-04-08 15:20:25.837"</f>
        <v>2026-04-08 15:20:25.837</v>
      </c>
      <c r="H882" t="s">
        <v>22</v>
      </c>
    </row>
    <row r="883" spans="1:10" x14ac:dyDescent="0.25">
      <c r="A883" s="1">
        <v>8</v>
      </c>
      <c r="B883" t="s">
        <v>29</v>
      </c>
      <c r="C883">
        <v>635</v>
      </c>
      <c r="D883">
        <v>1</v>
      </c>
      <c r="E883" t="s">
        <v>27</v>
      </c>
      <c r="F883" t="s">
        <v>28</v>
      </c>
      <c r="G883" t="str">
        <f>"2026-04-08 15:16:54.837"</f>
        <v>2026-04-08 15:16:54.837</v>
      </c>
      <c r="H883" t="s">
        <v>22</v>
      </c>
      <c r="I883">
        <v>5.0999999999999996</v>
      </c>
      <c r="J883" t="s">
        <v>37</v>
      </c>
    </row>
    <row r="884" spans="1:10" x14ac:dyDescent="0.25">
      <c r="A884" s="1">
        <v>9</v>
      </c>
      <c r="B884" t="s">
        <v>26</v>
      </c>
      <c r="C884">
        <v>635</v>
      </c>
      <c r="D884">
        <v>1</v>
      </c>
      <c r="E884" t="s">
        <v>27</v>
      </c>
      <c r="F884" t="s">
        <v>28</v>
      </c>
      <c r="G884" t="str">
        <f>"2026-04-08 14:39:02.937"</f>
        <v>2026-04-08 14:39:02.937</v>
      </c>
      <c r="H884" t="s">
        <v>22</v>
      </c>
    </row>
    <row r="885" spans="1:10" x14ac:dyDescent="0.25">
      <c r="A885" s="1">
        <v>10</v>
      </c>
      <c r="B885" t="s">
        <v>29</v>
      </c>
      <c r="C885">
        <v>635</v>
      </c>
      <c r="D885">
        <v>1</v>
      </c>
      <c r="E885" t="s">
        <v>27</v>
      </c>
      <c r="F885" t="s">
        <v>28</v>
      </c>
      <c r="G885" t="str">
        <f>"2026-04-08 14:35:07.937"</f>
        <v>2026-04-08 14:35:07.937</v>
      </c>
      <c r="H885" t="s">
        <v>22</v>
      </c>
      <c r="I885">
        <v>5.39</v>
      </c>
      <c r="J885" t="s">
        <v>37</v>
      </c>
    </row>
    <row r="886" spans="1:10" x14ac:dyDescent="0.25">
      <c r="A886" s="1">
        <v>11</v>
      </c>
      <c r="B886" t="s">
        <v>19</v>
      </c>
      <c r="C886">
        <v>700</v>
      </c>
      <c r="D886">
        <v>0</v>
      </c>
      <c r="E886" t="s">
        <v>24</v>
      </c>
      <c r="F886" t="s">
        <v>24</v>
      </c>
      <c r="G886" t="str">
        <f>"2026-04-07 12:47:32.710"</f>
        <v>2026-04-07 12:47:32.710</v>
      </c>
      <c r="H886" t="s">
        <v>22</v>
      </c>
      <c r="I886">
        <v>0</v>
      </c>
      <c r="J886" t="s">
        <v>25</v>
      </c>
    </row>
    <row r="887" spans="1:10" x14ac:dyDescent="0.25">
      <c r="A887" s="1">
        <v>12</v>
      </c>
      <c r="B887" t="s">
        <v>26</v>
      </c>
      <c r="C887">
        <v>61</v>
      </c>
      <c r="D887">
        <v>2</v>
      </c>
      <c r="E887" t="s">
        <v>81</v>
      </c>
      <c r="F887" t="s">
        <v>82</v>
      </c>
      <c r="G887" t="str">
        <f>"2026-04-06 02:01:14.932"</f>
        <v>2026-04-06 02:01:14.932</v>
      </c>
      <c r="H887" t="s">
        <v>22</v>
      </c>
    </row>
    <row r="888" spans="1:10" x14ac:dyDescent="0.25">
      <c r="A888" s="1">
        <v>13</v>
      </c>
      <c r="B888" t="s">
        <v>34</v>
      </c>
      <c r="C888">
        <v>61</v>
      </c>
      <c r="D888">
        <v>2</v>
      </c>
      <c r="E888" t="s">
        <v>81</v>
      </c>
      <c r="F888" t="s">
        <v>82</v>
      </c>
      <c r="G888" t="str">
        <f>"2026-04-06 02:01:07.932"</f>
        <v>2026-04-06 02:01:07.932</v>
      </c>
      <c r="H888" t="s">
        <v>22</v>
      </c>
      <c r="I888">
        <v>35.53</v>
      </c>
      <c r="J888" t="s">
        <v>37</v>
      </c>
    </row>
    <row r="889" spans="1:10" x14ac:dyDescent="0.25">
      <c r="A889" s="1">
        <v>16</v>
      </c>
      <c r="B889" t="s">
        <v>19</v>
      </c>
      <c r="C889">
        <v>782</v>
      </c>
      <c r="D889">
        <v>7</v>
      </c>
      <c r="E889" t="s">
        <v>55</v>
      </c>
      <c r="F889" t="s">
        <v>56</v>
      </c>
      <c r="G889" t="str">
        <f>"2026-04-04 18:02:14.443"</f>
        <v>2026-04-04 18:02:14.443</v>
      </c>
      <c r="H889" t="s">
        <v>22</v>
      </c>
      <c r="I889">
        <v>0</v>
      </c>
      <c r="J889" t="s">
        <v>38</v>
      </c>
    </row>
    <row r="890" spans="1:10" x14ac:dyDescent="0.25">
      <c r="A890" s="1">
        <v>19</v>
      </c>
      <c r="B890" t="s">
        <v>26</v>
      </c>
      <c r="C890">
        <v>54</v>
      </c>
      <c r="D890">
        <v>1</v>
      </c>
      <c r="E890" t="s">
        <v>87</v>
      </c>
      <c r="F890" t="s">
        <v>88</v>
      </c>
      <c r="G890" t="str">
        <f>"2026-04-04 18:02:14.433"</f>
        <v>2026-04-04 18:02:14.433</v>
      </c>
      <c r="H890" t="s">
        <v>22</v>
      </c>
    </row>
    <row r="891" spans="1:10" x14ac:dyDescent="0.25">
      <c r="A891" s="1">
        <v>20</v>
      </c>
      <c r="B891" t="s">
        <v>19</v>
      </c>
      <c r="C891">
        <v>782</v>
      </c>
      <c r="D891">
        <v>7</v>
      </c>
      <c r="E891" t="s">
        <v>55</v>
      </c>
      <c r="F891" t="s">
        <v>56</v>
      </c>
      <c r="G891" t="str">
        <f>"2026-04-04 18:02:14.431"</f>
        <v>2026-04-04 18:02:14.431</v>
      </c>
      <c r="H891" t="s">
        <v>22</v>
      </c>
      <c r="I891">
        <v>0</v>
      </c>
      <c r="J891" t="s">
        <v>38</v>
      </c>
    </row>
    <row r="892" spans="1:10" x14ac:dyDescent="0.25">
      <c r="A892" s="1">
        <v>21</v>
      </c>
      <c r="B892" t="s">
        <v>31</v>
      </c>
      <c r="C892">
        <v>87</v>
      </c>
      <c r="D892">
        <v>1</v>
      </c>
      <c r="E892" t="s">
        <v>32</v>
      </c>
      <c r="F892" t="s">
        <v>33</v>
      </c>
      <c r="G892" t="str">
        <f>"2026-04-03 22:32:28.932"</f>
        <v>2026-04-03 22:32:28.932</v>
      </c>
      <c r="H892" t="s">
        <v>22</v>
      </c>
    </row>
    <row r="893" spans="1:10" x14ac:dyDescent="0.25">
      <c r="A893" s="1">
        <v>22</v>
      </c>
      <c r="B893" t="s">
        <v>34</v>
      </c>
      <c r="C893">
        <v>87</v>
      </c>
      <c r="D893">
        <v>1</v>
      </c>
      <c r="E893" t="s">
        <v>32</v>
      </c>
      <c r="F893" t="s">
        <v>33</v>
      </c>
      <c r="G893" t="str">
        <f>"2026-04-03 22:28:35.770"</f>
        <v>2026-04-03 22:28:35.770</v>
      </c>
      <c r="H893" t="s">
        <v>22</v>
      </c>
      <c r="I893">
        <v>7.32</v>
      </c>
      <c r="J893" t="s">
        <v>30</v>
      </c>
    </row>
    <row r="894" spans="1:10" x14ac:dyDescent="0.25">
      <c r="A894" s="1">
        <v>23</v>
      </c>
      <c r="B894" t="s">
        <v>29</v>
      </c>
      <c r="C894">
        <v>54</v>
      </c>
      <c r="D894">
        <v>1</v>
      </c>
      <c r="E894" t="s">
        <v>87</v>
      </c>
      <c r="F894" t="s">
        <v>88</v>
      </c>
      <c r="G894" t="str">
        <f>"2026-04-03 20:43:36.232"</f>
        <v>2026-04-03 20:43:36.232</v>
      </c>
      <c r="H894" t="s">
        <v>22</v>
      </c>
      <c r="I894">
        <v>6.27</v>
      </c>
      <c r="J894" t="s">
        <v>38</v>
      </c>
    </row>
    <row r="895" spans="1:10" x14ac:dyDescent="0.25">
      <c r="A895" s="1">
        <v>24</v>
      </c>
      <c r="B895" t="s">
        <v>31</v>
      </c>
      <c r="C895">
        <v>87</v>
      </c>
      <c r="D895">
        <v>1</v>
      </c>
      <c r="E895" t="s">
        <v>32</v>
      </c>
      <c r="F895" t="s">
        <v>33</v>
      </c>
      <c r="G895" t="str">
        <f>"2026-04-03 17:36:16.732"</f>
        <v>2026-04-03 17:36:16.732</v>
      </c>
      <c r="H895" t="s">
        <v>22</v>
      </c>
    </row>
    <row r="896" spans="1:10" x14ac:dyDescent="0.25">
      <c r="A896" s="1">
        <v>25</v>
      </c>
      <c r="B896" t="s">
        <v>26</v>
      </c>
      <c r="C896">
        <v>89</v>
      </c>
      <c r="D896">
        <v>2</v>
      </c>
      <c r="E896" t="s">
        <v>42</v>
      </c>
      <c r="F896" t="s">
        <v>43</v>
      </c>
      <c r="G896" t="str">
        <f>"2026-04-03 17:28:56.232"</f>
        <v>2026-04-03 17:28:56.232</v>
      </c>
      <c r="H896" t="s">
        <v>22</v>
      </c>
    </row>
    <row r="897" spans="1:10" x14ac:dyDescent="0.25">
      <c r="A897" s="1">
        <v>26</v>
      </c>
      <c r="B897" t="s">
        <v>34</v>
      </c>
      <c r="C897">
        <v>87</v>
      </c>
      <c r="D897">
        <v>1</v>
      </c>
      <c r="E897" t="s">
        <v>32</v>
      </c>
      <c r="F897" t="s">
        <v>33</v>
      </c>
      <c r="G897" t="str">
        <f>"2026-04-03 17:28:21.570"</f>
        <v>2026-04-03 17:28:21.570</v>
      </c>
      <c r="H897" t="s">
        <v>22</v>
      </c>
      <c r="I897">
        <v>4.3</v>
      </c>
      <c r="J897" t="s">
        <v>30</v>
      </c>
    </row>
    <row r="898" spans="1:10" x14ac:dyDescent="0.25">
      <c r="A898" s="1">
        <v>27</v>
      </c>
      <c r="B898" t="s">
        <v>34</v>
      </c>
      <c r="C898">
        <v>89</v>
      </c>
      <c r="D898">
        <v>2</v>
      </c>
      <c r="E898" t="s">
        <v>42</v>
      </c>
      <c r="F898" t="s">
        <v>43</v>
      </c>
      <c r="G898" t="str">
        <f>"2026-04-03 17:28:11.332"</f>
        <v>2026-04-03 17:28:11.332</v>
      </c>
      <c r="H898" t="s">
        <v>22</v>
      </c>
      <c r="I898">
        <v>4.22</v>
      </c>
      <c r="J898" t="s">
        <v>30</v>
      </c>
    </row>
    <row r="899" spans="1:10" x14ac:dyDescent="0.25">
      <c r="A899" s="1">
        <v>28</v>
      </c>
      <c r="B899" t="s">
        <v>26</v>
      </c>
      <c r="C899">
        <v>635</v>
      </c>
      <c r="D899">
        <v>1</v>
      </c>
      <c r="E899" t="s">
        <v>27</v>
      </c>
      <c r="F899" t="s">
        <v>28</v>
      </c>
      <c r="G899" t="str">
        <f>"2026-04-03 01:29:21.332"</f>
        <v>2026-04-03 01:29:21.332</v>
      </c>
      <c r="H899" t="s">
        <v>22</v>
      </c>
    </row>
    <row r="900" spans="1:10" x14ac:dyDescent="0.25">
      <c r="A900" s="1">
        <v>29</v>
      </c>
      <c r="B900" t="s">
        <v>29</v>
      </c>
      <c r="C900">
        <v>635</v>
      </c>
      <c r="D900">
        <v>1</v>
      </c>
      <c r="E900" t="s">
        <v>27</v>
      </c>
      <c r="F900" t="s">
        <v>28</v>
      </c>
      <c r="G900" t="str">
        <f>"2026-04-03 01:24:38.832"</f>
        <v>2026-04-03 01:24:38.832</v>
      </c>
      <c r="H900" t="s">
        <v>22</v>
      </c>
      <c r="I900">
        <v>4.53</v>
      </c>
      <c r="J900" t="s">
        <v>30</v>
      </c>
    </row>
    <row r="901" spans="1:10" x14ac:dyDescent="0.25">
      <c r="A901" s="1">
        <v>30</v>
      </c>
      <c r="B901" t="s">
        <v>26</v>
      </c>
      <c r="C901">
        <v>635</v>
      </c>
      <c r="D901">
        <v>1</v>
      </c>
      <c r="E901" t="s">
        <v>27</v>
      </c>
      <c r="F901" t="s">
        <v>28</v>
      </c>
      <c r="G901" t="str">
        <f>"2026-04-03 01:16:48.332"</f>
        <v>2026-04-03 01:16:48.332</v>
      </c>
      <c r="H901" t="s">
        <v>22</v>
      </c>
    </row>
    <row r="902" spans="1:10" x14ac:dyDescent="0.25">
      <c r="A902" s="1">
        <v>31</v>
      </c>
      <c r="B902" t="s">
        <v>29</v>
      </c>
      <c r="C902">
        <v>635</v>
      </c>
      <c r="D902">
        <v>1</v>
      </c>
      <c r="E902" t="s">
        <v>27</v>
      </c>
      <c r="F902" t="s">
        <v>28</v>
      </c>
      <c r="G902" t="str">
        <f>"2026-04-03 01:09:22.332"</f>
        <v>2026-04-03 01:09:22.332</v>
      </c>
      <c r="H902" t="s">
        <v>22</v>
      </c>
      <c r="I902">
        <v>7.19</v>
      </c>
      <c r="J902" t="s">
        <v>30</v>
      </c>
    </row>
    <row r="903" spans="1:10" x14ac:dyDescent="0.25">
      <c r="A903" s="1">
        <v>32</v>
      </c>
      <c r="B903" t="s">
        <v>44</v>
      </c>
      <c r="C903">
        <v>77</v>
      </c>
      <c r="D903">
        <v>1</v>
      </c>
      <c r="E903" t="s">
        <v>45</v>
      </c>
      <c r="F903" t="s">
        <v>46</v>
      </c>
      <c r="G903" t="str">
        <f>"2026-04-02 20:02:37.156"</f>
        <v>2026-04-02 20:02:37.156</v>
      </c>
      <c r="H903" t="s">
        <v>47</v>
      </c>
    </row>
    <row r="904" spans="1:10" x14ac:dyDescent="0.25">
      <c r="A904" s="1">
        <v>33</v>
      </c>
      <c r="B904" t="s">
        <v>34</v>
      </c>
      <c r="C904">
        <v>77</v>
      </c>
      <c r="D904">
        <v>1</v>
      </c>
      <c r="E904" t="s">
        <v>45</v>
      </c>
      <c r="F904" t="s">
        <v>46</v>
      </c>
      <c r="G904" t="str">
        <f>"2026-04-02 20:02:32.130"</f>
        <v>2026-04-02 20:02:32.130</v>
      </c>
      <c r="H904" t="s">
        <v>47</v>
      </c>
      <c r="I904">
        <v>0</v>
      </c>
      <c r="J904" t="s">
        <v>23</v>
      </c>
    </row>
    <row r="905" spans="1:10" x14ac:dyDescent="0.25">
      <c r="A905" s="1">
        <v>34</v>
      </c>
      <c r="B905" t="s">
        <v>19</v>
      </c>
      <c r="C905">
        <v>700</v>
      </c>
      <c r="D905">
        <v>0</v>
      </c>
      <c r="E905" t="s">
        <v>24</v>
      </c>
      <c r="F905" t="s">
        <v>24</v>
      </c>
      <c r="G905" t="str">
        <f>"2026-04-02 20:01:52.592"</f>
        <v>2026-04-02 20:01:52.592</v>
      </c>
      <c r="H905" t="s">
        <v>22</v>
      </c>
    </row>
    <row r="906" spans="1:10" x14ac:dyDescent="0.25">
      <c r="A906" s="1">
        <v>35</v>
      </c>
      <c r="B906" t="s">
        <v>19</v>
      </c>
      <c r="C906">
        <v>706</v>
      </c>
      <c r="D906">
        <v>2</v>
      </c>
      <c r="E906" t="s">
        <v>20</v>
      </c>
      <c r="F906" t="s">
        <v>54</v>
      </c>
      <c r="G906" t="str">
        <f>"2026-04-02 17:20:37.383"</f>
        <v>2026-04-02 17:20:37.383</v>
      </c>
      <c r="H906" t="s">
        <v>22</v>
      </c>
      <c r="I906">
        <v>0</v>
      </c>
      <c r="J906" t="s">
        <v>23</v>
      </c>
    </row>
    <row r="907" spans="1:10" x14ac:dyDescent="0.25">
      <c r="A907" s="1">
        <v>36</v>
      </c>
      <c r="B907" t="s">
        <v>19</v>
      </c>
      <c r="C907">
        <v>700</v>
      </c>
      <c r="D907">
        <v>0</v>
      </c>
      <c r="E907" t="s">
        <v>24</v>
      </c>
      <c r="F907" t="s">
        <v>24</v>
      </c>
      <c r="G907" t="str">
        <f>"2026-04-02 17:15:08.603"</f>
        <v>2026-04-02 17:15:08.603</v>
      </c>
      <c r="H907" t="s">
        <v>22</v>
      </c>
    </row>
    <row r="908" spans="1:10" x14ac:dyDescent="0.25">
      <c r="A908" s="1">
        <v>37</v>
      </c>
      <c r="B908" t="s">
        <v>19</v>
      </c>
      <c r="C908">
        <v>700</v>
      </c>
      <c r="D908">
        <v>0</v>
      </c>
      <c r="E908" t="s">
        <v>24</v>
      </c>
      <c r="F908" t="s">
        <v>24</v>
      </c>
      <c r="G908" t="str">
        <f>"2026-04-02 15:46:56.852"</f>
        <v>2026-04-02 15:46:56.852</v>
      </c>
      <c r="H908" t="s">
        <v>22</v>
      </c>
      <c r="I908">
        <v>0</v>
      </c>
      <c r="J908" t="s">
        <v>25</v>
      </c>
    </row>
    <row r="909" spans="1:10" x14ac:dyDescent="0.25">
      <c r="A909" s="1">
        <v>38</v>
      </c>
      <c r="B909" t="s">
        <v>19</v>
      </c>
      <c r="C909">
        <v>706</v>
      </c>
      <c r="D909">
        <v>2</v>
      </c>
      <c r="E909" t="s">
        <v>20</v>
      </c>
      <c r="F909" t="s">
        <v>54</v>
      </c>
      <c r="G909" t="str">
        <f>"2026-04-02 14:50:23.954"</f>
        <v>2026-04-02 14:50:23.954</v>
      </c>
      <c r="H909" t="s">
        <v>22</v>
      </c>
      <c r="I909">
        <v>0</v>
      </c>
      <c r="J909" t="s">
        <v>23</v>
      </c>
    </row>
    <row r="910" spans="1:10" x14ac:dyDescent="0.25">
      <c r="A910" s="1">
        <v>39</v>
      </c>
      <c r="B910" t="s">
        <v>19</v>
      </c>
      <c r="C910">
        <v>700</v>
      </c>
      <c r="D910">
        <v>0</v>
      </c>
      <c r="E910" t="s">
        <v>24</v>
      </c>
      <c r="F910" t="s">
        <v>24</v>
      </c>
      <c r="G910" t="str">
        <f>"2026-04-02 14:49:45.614"</f>
        <v>2026-04-02 14:49:45.614</v>
      </c>
      <c r="H910" t="s">
        <v>22</v>
      </c>
    </row>
    <row r="911" spans="1:10" x14ac:dyDescent="0.25">
      <c r="A911" s="1">
        <v>40</v>
      </c>
      <c r="B911" t="s">
        <v>34</v>
      </c>
      <c r="C911">
        <v>630</v>
      </c>
      <c r="D911">
        <v>5</v>
      </c>
      <c r="E911" t="s">
        <v>39</v>
      </c>
      <c r="F911" t="s">
        <v>40</v>
      </c>
      <c r="G911" t="str">
        <f>"2026-04-02 14:26:30.079"</f>
        <v>2026-04-02 14:26:30.079</v>
      </c>
      <c r="H911" t="s">
        <v>41</v>
      </c>
      <c r="I911">
        <v>0</v>
      </c>
      <c r="J911" t="s">
        <v>23</v>
      </c>
    </row>
    <row r="912" spans="1:10" x14ac:dyDescent="0.25">
      <c r="A912" s="1">
        <v>41</v>
      </c>
      <c r="B912" t="s">
        <v>26</v>
      </c>
      <c r="C912">
        <v>54</v>
      </c>
      <c r="D912">
        <v>1</v>
      </c>
      <c r="E912" t="s">
        <v>87</v>
      </c>
      <c r="F912" t="s">
        <v>88</v>
      </c>
      <c r="G912" t="str">
        <f>"2026-04-02 10:11:31.370"</f>
        <v>2026-04-02 10:11:31.370</v>
      </c>
      <c r="H912" t="s">
        <v>22</v>
      </c>
    </row>
    <row r="913" spans="1:10" x14ac:dyDescent="0.25">
      <c r="A913" s="1">
        <v>42</v>
      </c>
      <c r="B913" t="s">
        <v>19</v>
      </c>
      <c r="C913">
        <v>700</v>
      </c>
      <c r="D913">
        <v>0</v>
      </c>
      <c r="E913" t="s">
        <v>24</v>
      </c>
      <c r="F913" t="s">
        <v>24</v>
      </c>
      <c r="G913" t="str">
        <f>"2026-04-02 10:11:18.610"</f>
        <v>2026-04-02 10:11:18.610</v>
      </c>
      <c r="H913" t="s">
        <v>22</v>
      </c>
      <c r="I913">
        <v>0</v>
      </c>
      <c r="J913" t="s">
        <v>25</v>
      </c>
    </row>
    <row r="914" spans="1:10" x14ac:dyDescent="0.25">
      <c r="A914" s="1">
        <v>43</v>
      </c>
      <c r="B914" t="s">
        <v>26</v>
      </c>
      <c r="C914">
        <v>635</v>
      </c>
      <c r="D914">
        <v>1</v>
      </c>
      <c r="E914" t="s">
        <v>27</v>
      </c>
      <c r="F914" t="s">
        <v>28</v>
      </c>
      <c r="G914" t="str">
        <f>"2026-04-01 22:12:08.261"</f>
        <v>2026-04-01 22:12:08.261</v>
      </c>
      <c r="H914" t="s">
        <v>22</v>
      </c>
    </row>
    <row r="915" spans="1:10" x14ac:dyDescent="0.25">
      <c r="A915" s="1">
        <v>44</v>
      </c>
      <c r="B915" t="s">
        <v>29</v>
      </c>
      <c r="C915">
        <v>635</v>
      </c>
      <c r="D915">
        <v>1</v>
      </c>
      <c r="E915" t="s">
        <v>27</v>
      </c>
      <c r="F915" t="s">
        <v>28</v>
      </c>
      <c r="G915" t="str">
        <f>"2026-04-01 22:09:49.261"</f>
        <v>2026-04-01 22:09:49.261</v>
      </c>
      <c r="H915" t="s">
        <v>22</v>
      </c>
      <c r="I915">
        <v>1.47</v>
      </c>
      <c r="J915" t="s">
        <v>30</v>
      </c>
    </row>
    <row r="916" spans="1:10" x14ac:dyDescent="0.25">
      <c r="A916" s="1">
        <v>45</v>
      </c>
      <c r="B916" t="s">
        <v>29</v>
      </c>
      <c r="C916">
        <v>54</v>
      </c>
      <c r="D916">
        <v>1</v>
      </c>
      <c r="E916" t="s">
        <v>87</v>
      </c>
      <c r="F916" t="s">
        <v>88</v>
      </c>
      <c r="G916" t="str">
        <f>"2026-03-31 19:17:45.953"</f>
        <v>2026-03-31 19:17:45.953</v>
      </c>
      <c r="H916" t="s">
        <v>22</v>
      </c>
      <c r="I916">
        <v>5.71</v>
      </c>
      <c r="J916" t="s">
        <v>30</v>
      </c>
    </row>
    <row r="917" spans="1:10" x14ac:dyDescent="0.25">
      <c r="A917" s="1">
        <v>46</v>
      </c>
      <c r="B917" t="s">
        <v>26</v>
      </c>
      <c r="C917">
        <v>54</v>
      </c>
      <c r="D917">
        <v>1</v>
      </c>
      <c r="E917" t="s">
        <v>87</v>
      </c>
      <c r="F917" t="s">
        <v>88</v>
      </c>
      <c r="G917" t="str">
        <f>"2026-03-31 13:58:54.454"</f>
        <v>2026-03-31 13:58:54.454</v>
      </c>
      <c r="H917" t="s">
        <v>22</v>
      </c>
    </row>
    <row r="918" spans="1:10" x14ac:dyDescent="0.25">
      <c r="A918" s="1">
        <v>47</v>
      </c>
      <c r="B918" t="s">
        <v>19</v>
      </c>
      <c r="C918">
        <v>700</v>
      </c>
      <c r="D918">
        <v>0</v>
      </c>
      <c r="E918" t="s">
        <v>24</v>
      </c>
      <c r="F918" t="s">
        <v>24</v>
      </c>
      <c r="G918" t="str">
        <f>"2026-03-31 13:58:41.713"</f>
        <v>2026-03-31 13:58:41.713</v>
      </c>
      <c r="H918" t="s">
        <v>22</v>
      </c>
      <c r="I918">
        <v>0</v>
      </c>
      <c r="J918" t="s">
        <v>25</v>
      </c>
    </row>
    <row r="919" spans="1:10" x14ac:dyDescent="0.25">
      <c r="A919" s="1">
        <v>48</v>
      </c>
      <c r="B919" t="s">
        <v>26</v>
      </c>
      <c r="C919">
        <v>98</v>
      </c>
      <c r="D919">
        <v>1</v>
      </c>
      <c r="E919" t="s">
        <v>52</v>
      </c>
      <c r="F919" t="s">
        <v>53</v>
      </c>
      <c r="G919" t="str">
        <f>"2026-03-31 12:40:04.278"</f>
        <v>2026-03-31 12:40:04.278</v>
      </c>
      <c r="H919" t="s">
        <v>22</v>
      </c>
    </row>
    <row r="920" spans="1:10" x14ac:dyDescent="0.25">
      <c r="A920" s="1">
        <v>49</v>
      </c>
      <c r="B920" t="s">
        <v>29</v>
      </c>
      <c r="C920">
        <v>98</v>
      </c>
      <c r="D920">
        <v>1</v>
      </c>
      <c r="E920" t="s">
        <v>52</v>
      </c>
      <c r="F920" t="s">
        <v>53</v>
      </c>
      <c r="G920" t="str">
        <f>"2026-03-31 12:40:03.278"</f>
        <v>2026-03-31 12:40:03.278</v>
      </c>
      <c r="H920" t="s">
        <v>22</v>
      </c>
      <c r="I920">
        <v>6.52</v>
      </c>
      <c r="J920" t="s">
        <v>30</v>
      </c>
    </row>
    <row r="921" spans="1:10" s="3" customFormat="1" x14ac:dyDescent="0.25">
      <c r="A921" s="2">
        <v>50</v>
      </c>
      <c r="B921" s="3" t="s">
        <v>26</v>
      </c>
      <c r="C921" s="3">
        <v>647</v>
      </c>
      <c r="D921" s="3">
        <v>1</v>
      </c>
      <c r="E921" s="3" t="s">
        <v>35</v>
      </c>
      <c r="F921" s="3" t="s">
        <v>36</v>
      </c>
      <c r="G921" s="3" t="str">
        <f>"2026-03-31 08:38:35.357"</f>
        <v>2026-03-31 08:38:35.357</v>
      </c>
      <c r="H921" s="3" t="s">
        <v>22</v>
      </c>
    </row>
    <row r="922" spans="1:10" s="3" customFormat="1" x14ac:dyDescent="0.25">
      <c r="A922" s="2">
        <v>51</v>
      </c>
      <c r="B922" s="3" t="s">
        <v>29</v>
      </c>
      <c r="C922" s="3">
        <v>647</v>
      </c>
      <c r="D922" s="3">
        <v>1</v>
      </c>
      <c r="E922" s="3" t="s">
        <v>35</v>
      </c>
      <c r="F922" s="3" t="s">
        <v>36</v>
      </c>
      <c r="G922" s="3" t="str">
        <f>"2026-03-31 08:38:27.758"</f>
        <v>2026-03-31 08:38:27.758</v>
      </c>
      <c r="H922" s="3" t="s">
        <v>22</v>
      </c>
      <c r="I922" s="3">
        <v>17.239999999999998</v>
      </c>
      <c r="J922" s="3" t="s">
        <v>37</v>
      </c>
    </row>
    <row r="923" spans="1:10" x14ac:dyDescent="0.25">
      <c r="A923" s="1">
        <v>52</v>
      </c>
      <c r="B923" t="s">
        <v>26</v>
      </c>
      <c r="C923">
        <v>635</v>
      </c>
      <c r="D923">
        <v>1</v>
      </c>
      <c r="E923" t="s">
        <v>27</v>
      </c>
      <c r="F923" t="s">
        <v>28</v>
      </c>
      <c r="G923" t="str">
        <f>"2026-03-31 05:45:47.157"</f>
        <v>2026-03-31 05:45:47.157</v>
      </c>
      <c r="H923" t="s">
        <v>22</v>
      </c>
    </row>
    <row r="924" spans="1:10" x14ac:dyDescent="0.25">
      <c r="A924" s="1">
        <v>53</v>
      </c>
      <c r="B924" t="s">
        <v>29</v>
      </c>
      <c r="C924">
        <v>635</v>
      </c>
      <c r="D924">
        <v>1</v>
      </c>
      <c r="E924" t="s">
        <v>27</v>
      </c>
      <c r="F924" t="s">
        <v>28</v>
      </c>
      <c r="G924" t="str">
        <f>"2026-03-31 05:42:00.158"</f>
        <v>2026-03-31 05:42:00.158</v>
      </c>
      <c r="H924" t="s">
        <v>22</v>
      </c>
      <c r="I924">
        <v>7.66</v>
      </c>
      <c r="J924" t="s">
        <v>30</v>
      </c>
    </row>
    <row r="925" spans="1:10" x14ac:dyDescent="0.25">
      <c r="A925" s="1">
        <v>54</v>
      </c>
      <c r="B925" t="s">
        <v>29</v>
      </c>
      <c r="C925">
        <v>54</v>
      </c>
      <c r="D925">
        <v>1</v>
      </c>
      <c r="E925" t="s">
        <v>87</v>
      </c>
      <c r="F925" t="s">
        <v>88</v>
      </c>
      <c r="G925" t="str">
        <f>"2026-03-30 19:10:38.778"</f>
        <v>2026-03-30 19:10:38.778</v>
      </c>
      <c r="H925" t="s">
        <v>22</v>
      </c>
      <c r="I925">
        <v>3.79</v>
      </c>
      <c r="J925" t="s">
        <v>38</v>
      </c>
    </row>
    <row r="926" spans="1:10" x14ac:dyDescent="0.25">
      <c r="A926" s="1">
        <v>55</v>
      </c>
      <c r="B926" t="s">
        <v>19</v>
      </c>
      <c r="C926">
        <v>700</v>
      </c>
      <c r="D926">
        <v>0</v>
      </c>
      <c r="E926" t="s">
        <v>24</v>
      </c>
      <c r="F926" t="s">
        <v>24</v>
      </c>
      <c r="G926" t="str">
        <f>"2026-03-30 13:44:35.801"</f>
        <v>2026-03-30 13:44:35.801</v>
      </c>
      <c r="H926" t="s">
        <v>22</v>
      </c>
      <c r="I926">
        <v>0</v>
      </c>
      <c r="J926" t="s">
        <v>25</v>
      </c>
    </row>
    <row r="927" spans="1:10" x14ac:dyDescent="0.25">
      <c r="A927" s="1">
        <v>56</v>
      </c>
      <c r="B927" t="s">
        <v>26</v>
      </c>
      <c r="C927">
        <v>630</v>
      </c>
      <c r="D927">
        <v>5</v>
      </c>
      <c r="E927" t="s">
        <v>39</v>
      </c>
      <c r="F927" t="s">
        <v>40</v>
      </c>
      <c r="G927" t="str">
        <f>"2026-03-29 20:38:25.023"</f>
        <v>2026-03-29 20:38:25.023</v>
      </c>
      <c r="H927" t="s">
        <v>41</v>
      </c>
    </row>
    <row r="928" spans="1:10" x14ac:dyDescent="0.25">
      <c r="A928" s="1">
        <v>57</v>
      </c>
      <c r="B928" t="s">
        <v>19</v>
      </c>
      <c r="C928">
        <v>706</v>
      </c>
      <c r="D928">
        <v>4</v>
      </c>
      <c r="E928" t="s">
        <v>20</v>
      </c>
      <c r="F928" t="s">
        <v>21</v>
      </c>
      <c r="G928" t="str">
        <f>"2026-03-29 20:37:54.991"</f>
        <v>2026-03-29 20:37:54.991</v>
      </c>
      <c r="H928" t="s">
        <v>22</v>
      </c>
      <c r="I928">
        <v>0</v>
      </c>
      <c r="J928" t="s">
        <v>23</v>
      </c>
    </row>
    <row r="929" spans="1:10" x14ac:dyDescent="0.25">
      <c r="A929" s="1">
        <v>58</v>
      </c>
      <c r="B929" t="s">
        <v>34</v>
      </c>
      <c r="C929">
        <v>630</v>
      </c>
      <c r="D929">
        <v>5</v>
      </c>
      <c r="E929" t="s">
        <v>39</v>
      </c>
      <c r="F929" t="s">
        <v>40</v>
      </c>
      <c r="G929" t="str">
        <f>"2026-03-29 20:34:27.523"</f>
        <v>2026-03-29 20:34:27.523</v>
      </c>
      <c r="H929" t="s">
        <v>41</v>
      </c>
      <c r="I929">
        <v>0</v>
      </c>
      <c r="J929" t="s">
        <v>23</v>
      </c>
    </row>
    <row r="930" spans="1:10" x14ac:dyDescent="0.25">
      <c r="A930" s="1">
        <v>59</v>
      </c>
      <c r="B930" t="s">
        <v>26</v>
      </c>
      <c r="C930">
        <v>54</v>
      </c>
      <c r="D930">
        <v>1</v>
      </c>
      <c r="E930" t="s">
        <v>87</v>
      </c>
      <c r="F930" t="s">
        <v>88</v>
      </c>
      <c r="G930" t="str">
        <f>"2026-03-29 20:29:37.923"</f>
        <v>2026-03-29 20:29:37.923</v>
      </c>
      <c r="H930" t="s">
        <v>22</v>
      </c>
    </row>
    <row r="931" spans="1:10" x14ac:dyDescent="0.25">
      <c r="A931" s="1">
        <v>60</v>
      </c>
      <c r="B931" t="s">
        <v>19</v>
      </c>
      <c r="C931">
        <v>700</v>
      </c>
      <c r="D931">
        <v>0</v>
      </c>
      <c r="E931" t="s">
        <v>24</v>
      </c>
      <c r="F931" t="s">
        <v>24</v>
      </c>
      <c r="G931" t="str">
        <f>"2026-03-29 20:29:24.761"</f>
        <v>2026-03-29 20:29:24.761</v>
      </c>
      <c r="H931" t="s">
        <v>22</v>
      </c>
    </row>
    <row r="932" spans="1:10" x14ac:dyDescent="0.25">
      <c r="A932" s="1">
        <v>61</v>
      </c>
      <c r="B932" t="s">
        <v>29</v>
      </c>
      <c r="C932">
        <v>54</v>
      </c>
      <c r="D932">
        <v>1</v>
      </c>
      <c r="E932" t="s">
        <v>87</v>
      </c>
      <c r="F932" t="s">
        <v>88</v>
      </c>
      <c r="G932" t="str">
        <f>"2026-03-29 19:10:39.498"</f>
        <v>2026-03-29 19:10:39.498</v>
      </c>
      <c r="H932" t="s">
        <v>22</v>
      </c>
      <c r="I932">
        <v>3.79</v>
      </c>
      <c r="J932" t="s">
        <v>30</v>
      </c>
    </row>
    <row r="933" spans="1:10" x14ac:dyDescent="0.25">
      <c r="A933" s="1">
        <v>62</v>
      </c>
      <c r="B933" t="s">
        <v>26</v>
      </c>
      <c r="C933">
        <v>61</v>
      </c>
      <c r="D933">
        <v>2</v>
      </c>
      <c r="E933" t="s">
        <v>81</v>
      </c>
      <c r="F933" t="s">
        <v>82</v>
      </c>
      <c r="G933" t="str">
        <f>"2026-03-29 07:00:37.499"</f>
        <v>2026-03-29 07:00:37.499</v>
      </c>
      <c r="H933" t="s">
        <v>22</v>
      </c>
    </row>
    <row r="934" spans="1:10" x14ac:dyDescent="0.25">
      <c r="A934" s="1">
        <v>63</v>
      </c>
      <c r="B934" t="s">
        <v>34</v>
      </c>
      <c r="C934">
        <v>61</v>
      </c>
      <c r="D934">
        <v>2</v>
      </c>
      <c r="E934" t="s">
        <v>81</v>
      </c>
      <c r="F934" t="s">
        <v>82</v>
      </c>
      <c r="G934" t="str">
        <f>"2026-03-29 07:00:29.499"</f>
        <v>2026-03-29 07:00:29.499</v>
      </c>
      <c r="H934" t="s">
        <v>22</v>
      </c>
      <c r="I934">
        <v>35.020000000000003</v>
      </c>
      <c r="J934" t="s">
        <v>37</v>
      </c>
    </row>
    <row r="935" spans="1:10" x14ac:dyDescent="0.25">
      <c r="A935" s="1">
        <v>64</v>
      </c>
      <c r="B935" t="s">
        <v>26</v>
      </c>
      <c r="C935">
        <v>630</v>
      </c>
      <c r="D935">
        <v>5</v>
      </c>
      <c r="E935" t="s">
        <v>39</v>
      </c>
      <c r="F935" t="s">
        <v>40</v>
      </c>
      <c r="G935" t="str">
        <f>"2026-03-27 20:13:06.286"</f>
        <v>2026-03-27 20:13:06.286</v>
      </c>
      <c r="H935" t="s">
        <v>41</v>
      </c>
    </row>
    <row r="936" spans="1:10" x14ac:dyDescent="0.25">
      <c r="A936" s="1">
        <v>65</v>
      </c>
      <c r="B936" t="s">
        <v>19</v>
      </c>
      <c r="C936">
        <v>706</v>
      </c>
      <c r="D936">
        <v>4</v>
      </c>
      <c r="E936" t="s">
        <v>20</v>
      </c>
      <c r="F936" t="s">
        <v>21</v>
      </c>
      <c r="G936" t="str">
        <f>"2026-03-27 20:12:36.148"</f>
        <v>2026-03-27 20:12:36.148</v>
      </c>
      <c r="H936" t="s">
        <v>22</v>
      </c>
      <c r="I936">
        <v>0</v>
      </c>
      <c r="J936" t="s">
        <v>23</v>
      </c>
    </row>
    <row r="937" spans="1:10" x14ac:dyDescent="0.25">
      <c r="A937" s="1">
        <v>66</v>
      </c>
      <c r="B937" t="s">
        <v>34</v>
      </c>
      <c r="C937">
        <v>630</v>
      </c>
      <c r="D937">
        <v>5</v>
      </c>
      <c r="E937" t="s">
        <v>39</v>
      </c>
      <c r="F937" t="s">
        <v>40</v>
      </c>
      <c r="G937" t="str">
        <f>"2026-03-27 20:08:17.187"</f>
        <v>2026-03-27 20:08:17.187</v>
      </c>
      <c r="H937" t="s">
        <v>41</v>
      </c>
      <c r="I937">
        <v>0</v>
      </c>
      <c r="J937" t="s">
        <v>23</v>
      </c>
    </row>
    <row r="938" spans="1:10" x14ac:dyDescent="0.25">
      <c r="A938" s="1">
        <v>67</v>
      </c>
      <c r="B938" t="s">
        <v>26</v>
      </c>
      <c r="C938">
        <v>54</v>
      </c>
      <c r="D938">
        <v>1</v>
      </c>
      <c r="E938" t="s">
        <v>87</v>
      </c>
      <c r="F938" t="s">
        <v>88</v>
      </c>
      <c r="G938" t="str">
        <f>"2026-03-26 13:01:07.398"</f>
        <v>2026-03-26 13:01:07.398</v>
      </c>
      <c r="H938" t="s">
        <v>22</v>
      </c>
    </row>
    <row r="939" spans="1:10" x14ac:dyDescent="0.25">
      <c r="A939" s="1">
        <v>68</v>
      </c>
      <c r="B939" t="s">
        <v>19</v>
      </c>
      <c r="C939">
        <v>700</v>
      </c>
      <c r="D939">
        <v>0</v>
      </c>
      <c r="E939" t="s">
        <v>24</v>
      </c>
      <c r="F939" t="s">
        <v>24</v>
      </c>
      <c r="G939" t="str">
        <f>"2026-03-26 13:00:54.618"</f>
        <v>2026-03-26 13:00:54.618</v>
      </c>
      <c r="H939" t="s">
        <v>22</v>
      </c>
      <c r="I939">
        <v>0</v>
      </c>
      <c r="J939" t="s">
        <v>25</v>
      </c>
    </row>
    <row r="940" spans="1:10" x14ac:dyDescent="0.25">
      <c r="A940" s="1">
        <v>69</v>
      </c>
      <c r="B940" t="s">
        <v>26</v>
      </c>
      <c r="C940">
        <v>630</v>
      </c>
      <c r="D940">
        <v>5</v>
      </c>
      <c r="E940" t="s">
        <v>39</v>
      </c>
      <c r="F940" t="s">
        <v>40</v>
      </c>
      <c r="G940" t="str">
        <f>"2026-03-24 21:26:51.572"</f>
        <v>2026-03-24 21:26:51.572</v>
      </c>
      <c r="H940" t="s">
        <v>41</v>
      </c>
    </row>
    <row r="941" spans="1:10" x14ac:dyDescent="0.25">
      <c r="A941" s="1">
        <v>70</v>
      </c>
      <c r="B941" t="s">
        <v>19</v>
      </c>
      <c r="C941">
        <v>706</v>
      </c>
      <c r="D941">
        <v>4</v>
      </c>
      <c r="E941" t="s">
        <v>20</v>
      </c>
      <c r="F941" t="s">
        <v>21</v>
      </c>
      <c r="G941" t="str">
        <f>"2026-03-24 21:26:21.579"</f>
        <v>2026-03-24 21:26:21.579</v>
      </c>
      <c r="H941" t="s">
        <v>22</v>
      </c>
      <c r="I941">
        <v>0</v>
      </c>
      <c r="J941" t="s">
        <v>23</v>
      </c>
    </row>
    <row r="942" spans="1:10" x14ac:dyDescent="0.25">
      <c r="A942" s="1">
        <v>71</v>
      </c>
      <c r="B942" t="s">
        <v>34</v>
      </c>
      <c r="C942">
        <v>630</v>
      </c>
      <c r="D942">
        <v>5</v>
      </c>
      <c r="E942" t="s">
        <v>39</v>
      </c>
      <c r="F942" t="s">
        <v>40</v>
      </c>
      <c r="G942" t="str">
        <f>"2026-03-24 21:24:00.572"</f>
        <v>2026-03-24 21:24:00.572</v>
      </c>
      <c r="H942" t="s">
        <v>41</v>
      </c>
      <c r="I942">
        <v>0</v>
      </c>
      <c r="J942" t="s">
        <v>23</v>
      </c>
    </row>
    <row r="943" spans="1:10" x14ac:dyDescent="0.25">
      <c r="A943" s="1">
        <v>72</v>
      </c>
      <c r="B943" t="s">
        <v>29</v>
      </c>
      <c r="C943">
        <v>54</v>
      </c>
      <c r="D943">
        <v>1</v>
      </c>
      <c r="E943" t="s">
        <v>87</v>
      </c>
      <c r="F943" t="s">
        <v>88</v>
      </c>
      <c r="G943" t="str">
        <f>"2026-03-24 17:54:50.971"</f>
        <v>2026-03-24 17:54:50.971</v>
      </c>
      <c r="H943" t="s">
        <v>22</v>
      </c>
      <c r="I943">
        <v>7.73</v>
      </c>
      <c r="J943" t="s">
        <v>30</v>
      </c>
    </row>
    <row r="944" spans="1:10" x14ac:dyDescent="0.25">
      <c r="A944" s="1">
        <v>73</v>
      </c>
      <c r="B944" t="s">
        <v>26</v>
      </c>
      <c r="C944">
        <v>635</v>
      </c>
      <c r="D944">
        <v>1</v>
      </c>
      <c r="E944" t="s">
        <v>27</v>
      </c>
      <c r="F944" t="s">
        <v>28</v>
      </c>
      <c r="G944" t="str">
        <f>"2026-03-24 08:21:41.571"</f>
        <v>2026-03-24 08:21:41.571</v>
      </c>
      <c r="H944" t="s">
        <v>22</v>
      </c>
    </row>
    <row r="945" spans="1:10" x14ac:dyDescent="0.25">
      <c r="A945" s="1">
        <v>74</v>
      </c>
      <c r="B945" t="s">
        <v>29</v>
      </c>
      <c r="C945">
        <v>635</v>
      </c>
      <c r="D945">
        <v>1</v>
      </c>
      <c r="E945" t="s">
        <v>27</v>
      </c>
      <c r="F945" t="s">
        <v>28</v>
      </c>
      <c r="G945" t="str">
        <f>"2026-03-24 08:18:19.571"</f>
        <v>2026-03-24 08:18:19.571</v>
      </c>
      <c r="H945" t="s">
        <v>22</v>
      </c>
      <c r="I945">
        <v>0.25</v>
      </c>
      <c r="J945" t="s">
        <v>38</v>
      </c>
    </row>
    <row r="946" spans="1:10" s="3" customFormat="1" x14ac:dyDescent="0.25">
      <c r="A946" s="2">
        <v>75</v>
      </c>
      <c r="B946" s="3" t="s">
        <v>26</v>
      </c>
      <c r="C946" s="3">
        <v>647</v>
      </c>
      <c r="D946" s="3">
        <v>1</v>
      </c>
      <c r="E946" s="3" t="s">
        <v>35</v>
      </c>
      <c r="F946" s="3" t="s">
        <v>36</v>
      </c>
      <c r="G946" s="3" t="str">
        <f>"2026-03-23 22:14:37.072"</f>
        <v>2026-03-23 22:14:37.072</v>
      </c>
      <c r="H946" s="3" t="s">
        <v>22</v>
      </c>
    </row>
    <row r="947" spans="1:10" s="3" customFormat="1" x14ac:dyDescent="0.25">
      <c r="A947" s="2">
        <v>76</v>
      </c>
      <c r="B947" s="3" t="s">
        <v>29</v>
      </c>
      <c r="C947" s="3">
        <v>647</v>
      </c>
      <c r="D947" s="3">
        <v>1</v>
      </c>
      <c r="E947" s="3" t="s">
        <v>35</v>
      </c>
      <c r="F947" s="3" t="s">
        <v>36</v>
      </c>
      <c r="G947" s="3" t="str">
        <f>"2026-03-23 22:14:15.672"</f>
        <v>2026-03-23 22:14:15.672</v>
      </c>
      <c r="H947" s="3" t="s">
        <v>22</v>
      </c>
      <c r="I947" s="3">
        <v>8.27</v>
      </c>
      <c r="J947" s="3" t="s">
        <v>38</v>
      </c>
    </row>
    <row r="948" spans="1:10" x14ac:dyDescent="0.25">
      <c r="A948" s="1">
        <v>77</v>
      </c>
      <c r="B948" t="s">
        <v>26</v>
      </c>
      <c r="C948">
        <v>635</v>
      </c>
      <c r="D948">
        <v>1</v>
      </c>
      <c r="E948" t="s">
        <v>27</v>
      </c>
      <c r="F948" t="s">
        <v>28</v>
      </c>
      <c r="G948" t="str">
        <f>"2026-03-23 21:52:00.871"</f>
        <v>2026-03-23 21:52:00.871</v>
      </c>
      <c r="H948" t="s">
        <v>22</v>
      </c>
    </row>
    <row r="949" spans="1:10" x14ac:dyDescent="0.25">
      <c r="A949" s="1">
        <v>78</v>
      </c>
      <c r="B949" t="s">
        <v>29</v>
      </c>
      <c r="C949">
        <v>635</v>
      </c>
      <c r="D949">
        <v>1</v>
      </c>
      <c r="E949" t="s">
        <v>27</v>
      </c>
      <c r="F949" t="s">
        <v>28</v>
      </c>
      <c r="G949" t="str">
        <f>"2026-03-23 21:50:02.371"</f>
        <v>2026-03-23 21:50:02.371</v>
      </c>
      <c r="H949" t="s">
        <v>22</v>
      </c>
      <c r="I949">
        <v>4.26</v>
      </c>
      <c r="J949" t="s">
        <v>30</v>
      </c>
    </row>
    <row r="950" spans="1:10" x14ac:dyDescent="0.25">
      <c r="A950" s="1">
        <v>79</v>
      </c>
      <c r="B950" t="s">
        <v>26</v>
      </c>
      <c r="C950">
        <v>89</v>
      </c>
      <c r="D950">
        <v>2</v>
      </c>
      <c r="E950" t="s">
        <v>42</v>
      </c>
      <c r="F950" t="s">
        <v>43</v>
      </c>
      <c r="G950" t="str">
        <f>"2026-03-23 20:59:32.671"</f>
        <v>2026-03-23 20:59:32.671</v>
      </c>
      <c r="H950" t="s">
        <v>22</v>
      </c>
    </row>
    <row r="951" spans="1:10" x14ac:dyDescent="0.25">
      <c r="A951" s="1">
        <v>80</v>
      </c>
      <c r="B951" t="s">
        <v>34</v>
      </c>
      <c r="C951">
        <v>89</v>
      </c>
      <c r="D951">
        <v>2</v>
      </c>
      <c r="E951" t="s">
        <v>42</v>
      </c>
      <c r="F951" t="s">
        <v>43</v>
      </c>
      <c r="G951" t="str">
        <f>"2026-03-23 20:57:59.472"</f>
        <v>2026-03-23 20:57:59.472</v>
      </c>
      <c r="H951" t="s">
        <v>22</v>
      </c>
      <c r="I951">
        <v>16.2</v>
      </c>
      <c r="J951" t="s">
        <v>30</v>
      </c>
    </row>
    <row r="952" spans="1:10" x14ac:dyDescent="0.25">
      <c r="A952" s="1">
        <v>81</v>
      </c>
      <c r="B952" t="s">
        <v>19</v>
      </c>
      <c r="C952">
        <v>706</v>
      </c>
      <c r="D952">
        <v>4</v>
      </c>
      <c r="E952" t="s">
        <v>20</v>
      </c>
      <c r="F952" t="s">
        <v>21</v>
      </c>
      <c r="G952" t="str">
        <f>"2026-03-23 05:50:07.529"</f>
        <v>2026-03-23 05:50:07.529</v>
      </c>
      <c r="H952" t="s">
        <v>22</v>
      </c>
      <c r="I952">
        <v>0</v>
      </c>
      <c r="J952" t="s">
        <v>23</v>
      </c>
    </row>
    <row r="953" spans="1:10" x14ac:dyDescent="0.25">
      <c r="A953" s="1">
        <v>82</v>
      </c>
      <c r="B953" t="s">
        <v>19</v>
      </c>
      <c r="C953">
        <v>706</v>
      </c>
      <c r="D953">
        <v>2</v>
      </c>
      <c r="E953" t="s">
        <v>20</v>
      </c>
      <c r="F953" t="s">
        <v>54</v>
      </c>
      <c r="G953" t="str">
        <f>"2026-03-23 05:49:58.249"</f>
        <v>2026-03-23 05:49:58.249</v>
      </c>
      <c r="H953" t="s">
        <v>22</v>
      </c>
      <c r="I953">
        <v>0</v>
      </c>
      <c r="J953" t="s">
        <v>23</v>
      </c>
    </row>
    <row r="954" spans="1:10" x14ac:dyDescent="0.25">
      <c r="A954" s="1">
        <v>83</v>
      </c>
      <c r="B954" t="s">
        <v>19</v>
      </c>
      <c r="C954">
        <v>706</v>
      </c>
      <c r="D954">
        <v>3</v>
      </c>
      <c r="E954" t="s">
        <v>20</v>
      </c>
      <c r="F954" t="s">
        <v>48</v>
      </c>
      <c r="G954" t="str">
        <f>"2026-03-23 05:48:39.509"</f>
        <v>2026-03-23 05:48:39.509</v>
      </c>
      <c r="H954" t="s">
        <v>22</v>
      </c>
      <c r="I954">
        <v>0</v>
      </c>
      <c r="J954" t="s">
        <v>23</v>
      </c>
    </row>
    <row r="955" spans="1:10" x14ac:dyDescent="0.25">
      <c r="A955" s="1">
        <v>84</v>
      </c>
      <c r="B955" t="s">
        <v>19</v>
      </c>
      <c r="C955">
        <v>706</v>
      </c>
      <c r="D955">
        <v>4</v>
      </c>
      <c r="E955" t="s">
        <v>20</v>
      </c>
      <c r="F955" t="s">
        <v>21</v>
      </c>
      <c r="G955" t="str">
        <f>"2026-03-23 05:47:08.439"</f>
        <v>2026-03-23 05:47:08.439</v>
      </c>
      <c r="H955" t="s">
        <v>22</v>
      </c>
      <c r="I955">
        <v>0</v>
      </c>
      <c r="J955" t="s">
        <v>23</v>
      </c>
    </row>
    <row r="956" spans="1:10" x14ac:dyDescent="0.25">
      <c r="A956" s="1">
        <v>85</v>
      </c>
      <c r="B956" t="s">
        <v>19</v>
      </c>
      <c r="C956">
        <v>706</v>
      </c>
      <c r="D956">
        <v>4</v>
      </c>
      <c r="E956" t="s">
        <v>20</v>
      </c>
      <c r="F956" t="s">
        <v>21</v>
      </c>
      <c r="G956" t="str">
        <f>"2026-03-23 05:36:19.359"</f>
        <v>2026-03-23 05:36:19.359</v>
      </c>
      <c r="H956" t="s">
        <v>22</v>
      </c>
      <c r="I956">
        <v>0</v>
      </c>
      <c r="J956" t="s">
        <v>23</v>
      </c>
    </row>
    <row r="957" spans="1:10" x14ac:dyDescent="0.25">
      <c r="A957" s="1">
        <v>86</v>
      </c>
      <c r="B957" t="s">
        <v>19</v>
      </c>
      <c r="C957">
        <v>700</v>
      </c>
      <c r="D957">
        <v>0</v>
      </c>
      <c r="E957" t="s">
        <v>24</v>
      </c>
      <c r="F957" t="s">
        <v>24</v>
      </c>
      <c r="G957" t="str">
        <f>"2026-03-23 05:30:50.589"</f>
        <v>2026-03-23 05:30:50.589</v>
      </c>
      <c r="H957" t="s">
        <v>22</v>
      </c>
    </row>
    <row r="958" spans="1:10" x14ac:dyDescent="0.25">
      <c r="A958" s="1">
        <v>87</v>
      </c>
      <c r="B958" t="s">
        <v>19</v>
      </c>
      <c r="C958">
        <v>700</v>
      </c>
      <c r="D958">
        <v>0</v>
      </c>
      <c r="E958" t="s">
        <v>24</v>
      </c>
      <c r="F958" t="s">
        <v>24</v>
      </c>
      <c r="G958" t="str">
        <f>"2026-03-23 03:43:34.611"</f>
        <v>2026-03-23 03:43:34.611</v>
      </c>
      <c r="H958" t="s">
        <v>22</v>
      </c>
      <c r="I958">
        <v>0</v>
      </c>
      <c r="J958" t="s">
        <v>25</v>
      </c>
    </row>
    <row r="959" spans="1:10" x14ac:dyDescent="0.25">
      <c r="A959" s="1">
        <v>88</v>
      </c>
      <c r="B959" t="s">
        <v>26</v>
      </c>
      <c r="C959">
        <v>54</v>
      </c>
      <c r="D959">
        <v>1</v>
      </c>
      <c r="E959" t="s">
        <v>87</v>
      </c>
      <c r="F959" t="s">
        <v>88</v>
      </c>
      <c r="G959" t="str">
        <f>"2026-03-23 03:18:54.517"</f>
        <v>2026-03-23 03:18:54.517</v>
      </c>
      <c r="H959" t="s">
        <v>22</v>
      </c>
    </row>
    <row r="960" spans="1:10" x14ac:dyDescent="0.25">
      <c r="A960" s="1">
        <v>89</v>
      </c>
      <c r="B960" t="s">
        <v>19</v>
      </c>
      <c r="C960">
        <v>700</v>
      </c>
      <c r="D960">
        <v>0</v>
      </c>
      <c r="E960" t="s">
        <v>24</v>
      </c>
      <c r="F960" t="s">
        <v>24</v>
      </c>
      <c r="G960" t="str">
        <f>"2026-03-23 03:18:41.692"</f>
        <v>2026-03-23 03:18:41.692</v>
      </c>
      <c r="H960" t="s">
        <v>22</v>
      </c>
    </row>
    <row r="961" spans="1:10" x14ac:dyDescent="0.25">
      <c r="A961" s="1">
        <v>90</v>
      </c>
      <c r="B961" t="s">
        <v>26</v>
      </c>
      <c r="C961">
        <v>635</v>
      </c>
      <c r="D961">
        <v>1</v>
      </c>
      <c r="E961" t="s">
        <v>27</v>
      </c>
      <c r="F961" t="s">
        <v>28</v>
      </c>
      <c r="G961" t="str">
        <f>"2026-03-22 23:59:18.187"</f>
        <v>2026-03-22 23:59:18.187</v>
      </c>
      <c r="H961" t="s">
        <v>22</v>
      </c>
    </row>
    <row r="962" spans="1:10" x14ac:dyDescent="0.25">
      <c r="A962" s="1">
        <v>91</v>
      </c>
      <c r="B962" t="s">
        <v>29</v>
      </c>
      <c r="C962">
        <v>635</v>
      </c>
      <c r="D962">
        <v>1</v>
      </c>
      <c r="E962" t="s">
        <v>27</v>
      </c>
      <c r="F962" t="s">
        <v>28</v>
      </c>
      <c r="G962" t="str">
        <f>"2026-03-22 23:56:40.688"</f>
        <v>2026-03-22 23:56:40.688</v>
      </c>
      <c r="H962" t="s">
        <v>22</v>
      </c>
      <c r="I962">
        <v>9.7200000000000006</v>
      </c>
      <c r="J962" t="s">
        <v>37</v>
      </c>
    </row>
    <row r="963" spans="1:10" x14ac:dyDescent="0.25">
      <c r="A963" s="1">
        <v>92</v>
      </c>
      <c r="B963" t="s">
        <v>29</v>
      </c>
      <c r="C963">
        <v>54</v>
      </c>
      <c r="D963">
        <v>1</v>
      </c>
      <c r="E963" t="s">
        <v>87</v>
      </c>
      <c r="F963" t="s">
        <v>88</v>
      </c>
      <c r="G963" t="str">
        <f>"2026-03-22 23:56:22.447"</f>
        <v>2026-03-22 23:56:22.447</v>
      </c>
      <c r="H963" t="s">
        <v>22</v>
      </c>
      <c r="I963">
        <v>5.98</v>
      </c>
      <c r="J963" t="s">
        <v>38</v>
      </c>
    </row>
    <row r="964" spans="1:10" x14ac:dyDescent="0.25">
      <c r="A964" s="1">
        <v>93</v>
      </c>
      <c r="B964" t="s">
        <v>19</v>
      </c>
      <c r="C964">
        <v>706</v>
      </c>
      <c r="D964">
        <v>4</v>
      </c>
      <c r="E964" t="s">
        <v>20</v>
      </c>
      <c r="F964" t="s">
        <v>21</v>
      </c>
      <c r="G964" t="str">
        <f>"2026-03-22 22:48:27.867"</f>
        <v>2026-03-22 22:48:27.867</v>
      </c>
      <c r="H964" t="s">
        <v>22</v>
      </c>
      <c r="I964">
        <v>0</v>
      </c>
      <c r="J964" t="s">
        <v>23</v>
      </c>
    </row>
    <row r="965" spans="1:10" x14ac:dyDescent="0.25">
      <c r="A965" s="1">
        <v>94</v>
      </c>
      <c r="B965" t="s">
        <v>26</v>
      </c>
      <c r="C965">
        <v>54</v>
      </c>
      <c r="D965">
        <v>1</v>
      </c>
      <c r="E965" t="s">
        <v>87</v>
      </c>
      <c r="F965" t="s">
        <v>88</v>
      </c>
      <c r="G965" t="str">
        <f>"2026-03-22 22:03:37.048"</f>
        <v>2026-03-22 22:03:37.048</v>
      </c>
      <c r="H965" t="s">
        <v>22</v>
      </c>
    </row>
    <row r="966" spans="1:10" x14ac:dyDescent="0.25">
      <c r="A966" s="1">
        <v>95</v>
      </c>
      <c r="B966" t="s">
        <v>19</v>
      </c>
      <c r="C966">
        <v>700</v>
      </c>
      <c r="D966">
        <v>0</v>
      </c>
      <c r="E966" t="s">
        <v>24</v>
      </c>
      <c r="F966" t="s">
        <v>24</v>
      </c>
      <c r="G966" t="str">
        <f>"2026-03-22 22:03:23.747"</f>
        <v>2026-03-22 22:03:23.747</v>
      </c>
      <c r="H966" t="s">
        <v>22</v>
      </c>
    </row>
    <row r="967" spans="1:10" x14ac:dyDescent="0.25">
      <c r="A967" s="1">
        <v>96</v>
      </c>
      <c r="B967" t="s">
        <v>26</v>
      </c>
      <c r="C967">
        <v>98</v>
      </c>
      <c r="D967">
        <v>1</v>
      </c>
      <c r="E967" t="s">
        <v>52</v>
      </c>
      <c r="F967" t="s">
        <v>53</v>
      </c>
      <c r="G967" t="str">
        <f>"2026-03-22 21:52:23.189"</f>
        <v>2026-03-22 21:52:23.189</v>
      </c>
      <c r="H967" t="s">
        <v>22</v>
      </c>
    </row>
    <row r="968" spans="1:10" x14ac:dyDescent="0.25">
      <c r="A968" s="1">
        <v>97</v>
      </c>
      <c r="B968" t="s">
        <v>29</v>
      </c>
      <c r="C968">
        <v>98</v>
      </c>
      <c r="D968">
        <v>1</v>
      </c>
      <c r="E968" t="s">
        <v>52</v>
      </c>
      <c r="F968" t="s">
        <v>53</v>
      </c>
      <c r="G968" t="str">
        <f>"2026-03-22 21:52:22.189"</f>
        <v>2026-03-22 21:52:22.189</v>
      </c>
      <c r="H968" t="s">
        <v>22</v>
      </c>
      <c r="I968">
        <v>8.65</v>
      </c>
      <c r="J968" t="s">
        <v>30</v>
      </c>
    </row>
    <row r="969" spans="1:10" x14ac:dyDescent="0.25">
      <c r="A969" s="1">
        <v>98</v>
      </c>
      <c r="B969" t="s">
        <v>26</v>
      </c>
      <c r="C969">
        <v>98</v>
      </c>
      <c r="D969">
        <v>1</v>
      </c>
      <c r="E969" t="s">
        <v>52</v>
      </c>
      <c r="F969" t="s">
        <v>53</v>
      </c>
      <c r="G969" t="str">
        <f>"2026-03-22 21:52:21.389"</f>
        <v>2026-03-22 21:52:21.389</v>
      </c>
      <c r="H969" t="s">
        <v>22</v>
      </c>
    </row>
    <row r="970" spans="1:10" x14ac:dyDescent="0.25">
      <c r="A970" s="1">
        <v>99</v>
      </c>
      <c r="B970" t="s">
        <v>29</v>
      </c>
      <c r="C970">
        <v>98</v>
      </c>
      <c r="D970">
        <v>1</v>
      </c>
      <c r="E970" t="s">
        <v>52</v>
      </c>
      <c r="F970" t="s">
        <v>53</v>
      </c>
      <c r="G970" t="str">
        <f>"2026-03-22 21:52:18.589"</f>
        <v>2026-03-22 21:52:18.589</v>
      </c>
      <c r="H970" t="s">
        <v>22</v>
      </c>
      <c r="I970">
        <v>8.44</v>
      </c>
      <c r="J970" t="s">
        <v>30</v>
      </c>
    </row>
    <row r="971" spans="1:10" x14ac:dyDescent="0.25">
      <c r="A971" s="1">
        <v>0</v>
      </c>
      <c r="B971" t="s">
        <v>29</v>
      </c>
      <c r="C971">
        <v>54</v>
      </c>
      <c r="D971">
        <v>1</v>
      </c>
      <c r="E971" t="s">
        <v>87</v>
      </c>
      <c r="F971" t="s">
        <v>88</v>
      </c>
      <c r="G971" t="str">
        <f>"2026-03-22 19:14:01.889"</f>
        <v>2026-03-22 19:14:01.889</v>
      </c>
      <c r="H971" t="s">
        <v>22</v>
      </c>
      <c r="I971">
        <v>4.78</v>
      </c>
      <c r="J971" t="s">
        <v>38</v>
      </c>
    </row>
    <row r="972" spans="1:10" x14ac:dyDescent="0.25">
      <c r="A972" s="1">
        <v>1</v>
      </c>
      <c r="B972" t="s">
        <v>26</v>
      </c>
      <c r="C972">
        <v>630</v>
      </c>
      <c r="D972">
        <v>5</v>
      </c>
      <c r="E972" t="s">
        <v>39</v>
      </c>
      <c r="F972" t="s">
        <v>40</v>
      </c>
      <c r="G972" t="str">
        <f>"2026-03-22 18:26:51.690"</f>
        <v>2026-03-22 18:26:51.690</v>
      </c>
      <c r="H972" t="s">
        <v>41</v>
      </c>
    </row>
    <row r="973" spans="1:10" x14ac:dyDescent="0.25">
      <c r="A973" s="1">
        <v>2</v>
      </c>
      <c r="B973" t="s">
        <v>19</v>
      </c>
      <c r="C973">
        <v>706</v>
      </c>
      <c r="D973">
        <v>2</v>
      </c>
      <c r="E973" t="s">
        <v>20</v>
      </c>
      <c r="F973" t="s">
        <v>54</v>
      </c>
      <c r="G973" t="str">
        <f>"2026-03-22 18:26:21.634"</f>
        <v>2026-03-22 18:26:21.634</v>
      </c>
      <c r="H973" t="s">
        <v>22</v>
      </c>
      <c r="I973">
        <v>0</v>
      </c>
      <c r="J973" t="s">
        <v>23</v>
      </c>
    </row>
    <row r="974" spans="1:10" x14ac:dyDescent="0.25">
      <c r="A974" s="1">
        <v>3</v>
      </c>
      <c r="B974" t="s">
        <v>34</v>
      </c>
      <c r="C974">
        <v>630</v>
      </c>
      <c r="D974">
        <v>5</v>
      </c>
      <c r="E974" t="s">
        <v>39</v>
      </c>
      <c r="F974" t="s">
        <v>40</v>
      </c>
      <c r="G974" t="str">
        <f>"2026-03-22 18:14:06.390"</f>
        <v>2026-03-22 18:14:06.390</v>
      </c>
      <c r="H974" t="s">
        <v>41</v>
      </c>
      <c r="I974">
        <v>0</v>
      </c>
      <c r="J974" t="s">
        <v>23</v>
      </c>
    </row>
    <row r="975" spans="1:10" x14ac:dyDescent="0.25">
      <c r="A975" s="1">
        <v>4</v>
      </c>
      <c r="B975" t="s">
        <v>19</v>
      </c>
      <c r="C975">
        <v>700</v>
      </c>
      <c r="D975">
        <v>0</v>
      </c>
      <c r="E975" t="s">
        <v>24</v>
      </c>
      <c r="F975" t="s">
        <v>24</v>
      </c>
      <c r="G975" t="str">
        <f>"2026-03-22 18:09:03.614"</f>
        <v>2026-03-22 18:09:03.614</v>
      </c>
      <c r="H975" t="s">
        <v>22</v>
      </c>
      <c r="I975">
        <v>0</v>
      </c>
      <c r="J975" t="s">
        <v>25</v>
      </c>
    </row>
    <row r="976" spans="1:10" x14ac:dyDescent="0.25">
      <c r="A976" s="1">
        <v>5</v>
      </c>
      <c r="B976" t="s">
        <v>34</v>
      </c>
      <c r="C976">
        <v>630</v>
      </c>
      <c r="D976">
        <v>5</v>
      </c>
      <c r="E976" t="s">
        <v>39</v>
      </c>
      <c r="F976" t="s">
        <v>40</v>
      </c>
      <c r="G976" t="str">
        <f>"2026-03-22 18:07:50.714"</f>
        <v>2026-03-22 18:07:50.714</v>
      </c>
      <c r="H976" t="s">
        <v>41</v>
      </c>
      <c r="I976">
        <v>0</v>
      </c>
      <c r="J976" t="s">
        <v>23</v>
      </c>
    </row>
    <row r="977" spans="1:10" x14ac:dyDescent="0.25">
      <c r="A977" s="1">
        <v>6</v>
      </c>
      <c r="B977" t="s">
        <v>19</v>
      </c>
      <c r="C977">
        <v>700</v>
      </c>
      <c r="D977">
        <v>0</v>
      </c>
      <c r="E977" t="s">
        <v>24</v>
      </c>
      <c r="F977" t="s">
        <v>24</v>
      </c>
      <c r="G977" t="str">
        <f>"2026-03-22 17:11:15.642"</f>
        <v>2026-03-22 17:11:15.642</v>
      </c>
      <c r="H977" t="s">
        <v>22</v>
      </c>
    </row>
    <row r="978" spans="1:10" x14ac:dyDescent="0.25">
      <c r="A978" s="1">
        <v>7</v>
      </c>
      <c r="B978" t="s">
        <v>19</v>
      </c>
      <c r="C978">
        <v>700</v>
      </c>
      <c r="D978">
        <v>0</v>
      </c>
      <c r="E978" t="s">
        <v>24</v>
      </c>
      <c r="F978" t="s">
        <v>24</v>
      </c>
      <c r="G978" t="str">
        <f>"2026-03-22 12:01:39.608"</f>
        <v>2026-03-22 12:01:39.608</v>
      </c>
      <c r="H978" t="s">
        <v>22</v>
      </c>
      <c r="I978">
        <v>0</v>
      </c>
      <c r="J978" t="s">
        <v>25</v>
      </c>
    </row>
    <row r="979" spans="1:10" x14ac:dyDescent="0.25">
      <c r="A979" s="1">
        <v>8</v>
      </c>
      <c r="B979" t="s">
        <v>26</v>
      </c>
      <c r="C979">
        <v>61</v>
      </c>
      <c r="D979">
        <v>2</v>
      </c>
      <c r="E979" t="s">
        <v>81</v>
      </c>
      <c r="F979" t="s">
        <v>82</v>
      </c>
      <c r="G979" t="str">
        <f>"2026-03-21 03:56:22.377"</f>
        <v>2026-03-21 03:56:22.377</v>
      </c>
      <c r="H979" t="s">
        <v>22</v>
      </c>
    </row>
    <row r="980" spans="1:10" x14ac:dyDescent="0.25">
      <c r="A980" s="1">
        <v>9</v>
      </c>
      <c r="B980" t="s">
        <v>34</v>
      </c>
      <c r="C980">
        <v>61</v>
      </c>
      <c r="D980">
        <v>2</v>
      </c>
      <c r="E980" t="s">
        <v>81</v>
      </c>
      <c r="F980" t="s">
        <v>82</v>
      </c>
      <c r="G980" t="str">
        <f>"2026-03-21 03:56:19.177"</f>
        <v>2026-03-21 03:56:19.177</v>
      </c>
      <c r="H980" t="s">
        <v>22</v>
      </c>
      <c r="I980">
        <v>35.28</v>
      </c>
      <c r="J980" t="s">
        <v>37</v>
      </c>
    </row>
    <row r="981" spans="1:10" x14ac:dyDescent="0.25">
      <c r="A981" s="1">
        <v>10</v>
      </c>
      <c r="B981" t="s">
        <v>26</v>
      </c>
      <c r="C981">
        <v>61</v>
      </c>
      <c r="D981">
        <v>2</v>
      </c>
      <c r="E981" t="s">
        <v>81</v>
      </c>
      <c r="F981" t="s">
        <v>82</v>
      </c>
      <c r="G981" t="str">
        <f>"2026-03-20 22:09:48.777"</f>
        <v>2026-03-20 22:09:48.777</v>
      </c>
      <c r="H981" t="s">
        <v>22</v>
      </c>
    </row>
    <row r="982" spans="1:10" x14ac:dyDescent="0.25">
      <c r="A982" s="1">
        <v>11</v>
      </c>
      <c r="B982" t="s">
        <v>34</v>
      </c>
      <c r="C982">
        <v>61</v>
      </c>
      <c r="D982">
        <v>2</v>
      </c>
      <c r="E982" t="s">
        <v>81</v>
      </c>
      <c r="F982" t="s">
        <v>82</v>
      </c>
      <c r="G982" t="str">
        <f>"2026-03-20 22:09:43.278"</f>
        <v>2026-03-20 22:09:43.278</v>
      </c>
      <c r="H982" t="s">
        <v>22</v>
      </c>
      <c r="I982">
        <v>37.159999999999997</v>
      </c>
      <c r="J982" t="s">
        <v>37</v>
      </c>
    </row>
    <row r="983" spans="1:10" x14ac:dyDescent="0.25">
      <c r="A983" s="1">
        <v>12</v>
      </c>
      <c r="B983" t="s">
        <v>26</v>
      </c>
      <c r="C983">
        <v>635</v>
      </c>
      <c r="D983">
        <v>1</v>
      </c>
      <c r="E983" t="s">
        <v>27</v>
      </c>
      <c r="F983" t="s">
        <v>28</v>
      </c>
      <c r="G983" t="str">
        <f>"2026-03-20 22:00:39.224"</f>
        <v>2026-03-20 22:00:39.224</v>
      </c>
      <c r="H983" t="s">
        <v>22</v>
      </c>
    </row>
    <row r="984" spans="1:10" x14ac:dyDescent="0.25">
      <c r="A984" s="1">
        <v>13</v>
      </c>
      <c r="B984" t="s">
        <v>29</v>
      </c>
      <c r="C984">
        <v>635</v>
      </c>
      <c r="D984">
        <v>1</v>
      </c>
      <c r="E984" t="s">
        <v>27</v>
      </c>
      <c r="F984" t="s">
        <v>28</v>
      </c>
      <c r="G984" t="str">
        <f>"2026-03-20 21:53:18.724"</f>
        <v>2026-03-20 21:53:18.724</v>
      </c>
      <c r="H984" t="s">
        <v>22</v>
      </c>
      <c r="I984">
        <v>8.82</v>
      </c>
      <c r="J984" t="s">
        <v>37</v>
      </c>
    </row>
    <row r="985" spans="1:10" s="3" customFormat="1" x14ac:dyDescent="0.25">
      <c r="A985" s="2">
        <v>15</v>
      </c>
      <c r="B985" s="3" t="s">
        <v>26</v>
      </c>
      <c r="C985" s="3">
        <v>647</v>
      </c>
      <c r="D985" s="3">
        <v>1</v>
      </c>
      <c r="E985" s="3" t="s">
        <v>35</v>
      </c>
      <c r="F985" s="3" t="s">
        <v>36</v>
      </c>
      <c r="G985" s="3" t="str">
        <f>"2026-03-20 07:17:27.478"</f>
        <v>2026-03-20 07:17:27.478</v>
      </c>
      <c r="H985" s="3" t="s">
        <v>22</v>
      </c>
    </row>
    <row r="986" spans="1:10" s="3" customFormat="1" x14ac:dyDescent="0.25">
      <c r="A986" s="2">
        <v>16</v>
      </c>
      <c r="B986" s="3" t="s">
        <v>29</v>
      </c>
      <c r="C986" s="3">
        <v>647</v>
      </c>
      <c r="D986" s="3">
        <v>1</v>
      </c>
      <c r="E986" s="3" t="s">
        <v>35</v>
      </c>
      <c r="F986" s="3" t="s">
        <v>36</v>
      </c>
      <c r="G986" s="3" t="str">
        <f>"2026-03-20 07:17:25.378"</f>
        <v>2026-03-20 07:17:25.378</v>
      </c>
      <c r="H986" s="3" t="s">
        <v>22</v>
      </c>
      <c r="I986" s="3">
        <v>14.37</v>
      </c>
      <c r="J986" s="3" t="s">
        <v>37</v>
      </c>
    </row>
    <row r="987" spans="1:10" x14ac:dyDescent="0.25">
      <c r="A987" s="1">
        <v>17</v>
      </c>
      <c r="B987" t="s">
        <v>19</v>
      </c>
      <c r="C987">
        <v>706</v>
      </c>
      <c r="D987">
        <v>4</v>
      </c>
      <c r="E987" t="s">
        <v>20</v>
      </c>
      <c r="F987" t="s">
        <v>21</v>
      </c>
      <c r="G987" t="str">
        <f>"2026-03-20 03:19:13.406"</f>
        <v>2026-03-20 03:19:13.406</v>
      </c>
      <c r="H987" t="s">
        <v>22</v>
      </c>
      <c r="I987">
        <v>0</v>
      </c>
      <c r="J987" t="s">
        <v>23</v>
      </c>
    </row>
    <row r="988" spans="1:10" x14ac:dyDescent="0.25">
      <c r="A988" s="1">
        <v>18</v>
      </c>
      <c r="B988" t="s">
        <v>26</v>
      </c>
      <c r="C988">
        <v>54</v>
      </c>
      <c r="D988">
        <v>1</v>
      </c>
      <c r="E988" t="s">
        <v>87</v>
      </c>
      <c r="F988" t="s">
        <v>88</v>
      </c>
      <c r="G988" t="str">
        <f>"2026-03-20 03:09:49.777"</f>
        <v>2026-03-20 03:09:49.777</v>
      </c>
      <c r="H988" t="s">
        <v>22</v>
      </c>
    </row>
    <row r="989" spans="1:10" x14ac:dyDescent="0.25">
      <c r="A989" s="1">
        <v>19</v>
      </c>
      <c r="B989" t="s">
        <v>19</v>
      </c>
      <c r="C989">
        <v>700</v>
      </c>
      <c r="D989">
        <v>0</v>
      </c>
      <c r="E989" t="s">
        <v>24</v>
      </c>
      <c r="F989" t="s">
        <v>24</v>
      </c>
      <c r="G989" t="str">
        <f>"2026-03-20 03:09:36.636"</f>
        <v>2026-03-20 03:09:36.636</v>
      </c>
      <c r="H989" t="s">
        <v>22</v>
      </c>
      <c r="I989">
        <v>0</v>
      </c>
      <c r="J989" t="s">
        <v>25</v>
      </c>
    </row>
    <row r="990" spans="1:10" x14ac:dyDescent="0.25">
      <c r="A990" s="1">
        <v>20</v>
      </c>
      <c r="B990" t="s">
        <v>26</v>
      </c>
      <c r="C990">
        <v>635</v>
      </c>
      <c r="D990">
        <v>1</v>
      </c>
      <c r="E990" t="s">
        <v>27</v>
      </c>
      <c r="F990" t="s">
        <v>28</v>
      </c>
      <c r="G990" t="str">
        <f>"2026-03-19 22:21:58.014"</f>
        <v>2026-03-19 22:21:58.014</v>
      </c>
      <c r="H990" t="s">
        <v>22</v>
      </c>
    </row>
    <row r="991" spans="1:10" x14ac:dyDescent="0.25">
      <c r="A991" s="1">
        <v>21</v>
      </c>
      <c r="B991" t="s">
        <v>29</v>
      </c>
      <c r="C991">
        <v>635</v>
      </c>
      <c r="D991">
        <v>1</v>
      </c>
      <c r="E991" t="s">
        <v>27</v>
      </c>
      <c r="F991" t="s">
        <v>28</v>
      </c>
      <c r="G991" t="str">
        <f>"2026-03-19 22:20:07.014"</f>
        <v>2026-03-19 22:20:07.014</v>
      </c>
      <c r="H991" t="s">
        <v>22</v>
      </c>
      <c r="I991">
        <v>5.88</v>
      </c>
      <c r="J991" t="s">
        <v>30</v>
      </c>
    </row>
    <row r="992" spans="1:10" x14ac:dyDescent="0.25">
      <c r="A992" s="1">
        <v>22</v>
      </c>
      <c r="B992" t="s">
        <v>29</v>
      </c>
      <c r="C992">
        <v>54</v>
      </c>
      <c r="D992">
        <v>1</v>
      </c>
      <c r="E992" t="s">
        <v>87</v>
      </c>
      <c r="F992" t="s">
        <v>88</v>
      </c>
      <c r="G992" t="str">
        <f>"2026-03-19 20:51:00.414"</f>
        <v>2026-03-19 20:51:00.414</v>
      </c>
      <c r="H992" t="s">
        <v>22</v>
      </c>
      <c r="I992">
        <v>7.54</v>
      </c>
      <c r="J992" t="s">
        <v>30</v>
      </c>
    </row>
    <row r="993" spans="1:10" x14ac:dyDescent="0.25">
      <c r="A993" s="1">
        <v>23</v>
      </c>
      <c r="B993" t="s">
        <v>19</v>
      </c>
      <c r="C993">
        <v>700</v>
      </c>
      <c r="D993">
        <v>0</v>
      </c>
      <c r="E993" t="s">
        <v>24</v>
      </c>
      <c r="F993" t="s">
        <v>24</v>
      </c>
      <c r="G993" t="str">
        <f>"2026-03-19 13:40:16.633"</f>
        <v>2026-03-19 13:40:16.633</v>
      </c>
      <c r="H993" t="s">
        <v>22</v>
      </c>
    </row>
    <row r="994" spans="1:10" x14ac:dyDescent="0.25">
      <c r="A994" s="1">
        <v>24</v>
      </c>
      <c r="B994" t="s">
        <v>26</v>
      </c>
      <c r="C994">
        <v>98</v>
      </c>
      <c r="D994">
        <v>1</v>
      </c>
      <c r="E994" t="s">
        <v>52</v>
      </c>
      <c r="F994" t="s">
        <v>53</v>
      </c>
      <c r="G994" t="str">
        <f>"2026-03-19 02:33:29.347"</f>
        <v>2026-03-19 02:33:29.347</v>
      </c>
      <c r="H994" t="s">
        <v>22</v>
      </c>
    </row>
    <row r="995" spans="1:10" x14ac:dyDescent="0.25">
      <c r="A995" s="1">
        <v>25</v>
      </c>
      <c r="B995" t="s">
        <v>29</v>
      </c>
      <c r="C995">
        <v>98</v>
      </c>
      <c r="D995">
        <v>1</v>
      </c>
      <c r="E995" t="s">
        <v>52</v>
      </c>
      <c r="F995" t="s">
        <v>53</v>
      </c>
      <c r="G995" t="str">
        <f>"2026-03-19 02:33:28.347"</f>
        <v>2026-03-19 02:33:28.347</v>
      </c>
      <c r="H995" t="s">
        <v>22</v>
      </c>
      <c r="I995">
        <v>8.65</v>
      </c>
      <c r="J995" t="s">
        <v>30</v>
      </c>
    </row>
    <row r="996" spans="1:10" x14ac:dyDescent="0.25">
      <c r="A996" s="1">
        <v>26</v>
      </c>
      <c r="B996" t="s">
        <v>26</v>
      </c>
      <c r="C996">
        <v>54</v>
      </c>
      <c r="D996">
        <v>1</v>
      </c>
      <c r="E996" t="s">
        <v>87</v>
      </c>
      <c r="F996" t="s">
        <v>88</v>
      </c>
      <c r="G996" t="str">
        <f>"2026-03-18 22:15:33.446"</f>
        <v>2026-03-18 22:15:33.446</v>
      </c>
      <c r="H996" t="s">
        <v>22</v>
      </c>
    </row>
    <row r="997" spans="1:10" x14ac:dyDescent="0.25">
      <c r="A997" s="1">
        <v>27</v>
      </c>
      <c r="B997" t="s">
        <v>19</v>
      </c>
      <c r="C997">
        <v>700</v>
      </c>
      <c r="D997">
        <v>0</v>
      </c>
      <c r="E997" t="s">
        <v>24</v>
      </c>
      <c r="F997" t="s">
        <v>24</v>
      </c>
      <c r="G997" t="str">
        <f>"2026-03-18 22:15:20.655"</f>
        <v>2026-03-18 22:15:20.655</v>
      </c>
      <c r="H997" t="s">
        <v>22</v>
      </c>
      <c r="I997">
        <v>0</v>
      </c>
      <c r="J997" t="s">
        <v>25</v>
      </c>
    </row>
    <row r="998" spans="1:10" x14ac:dyDescent="0.25">
      <c r="A998" s="1">
        <v>28</v>
      </c>
      <c r="B998" t="s">
        <v>29</v>
      </c>
      <c r="C998">
        <v>54</v>
      </c>
      <c r="D998">
        <v>1</v>
      </c>
      <c r="E998" t="s">
        <v>87</v>
      </c>
      <c r="F998" t="s">
        <v>88</v>
      </c>
      <c r="G998" t="str">
        <f>"2026-03-18 19:14:51.187"</f>
        <v>2026-03-18 19:14:51.187</v>
      </c>
      <c r="H998" t="s">
        <v>22</v>
      </c>
      <c r="I998">
        <v>3.98</v>
      </c>
      <c r="J998" t="s">
        <v>30</v>
      </c>
    </row>
    <row r="999" spans="1:10" x14ac:dyDescent="0.25">
      <c r="A999" s="1">
        <v>29</v>
      </c>
      <c r="B999" t="s">
        <v>26</v>
      </c>
      <c r="C999">
        <v>61</v>
      </c>
      <c r="D999">
        <v>2</v>
      </c>
      <c r="E999" t="s">
        <v>81</v>
      </c>
      <c r="F999" t="s">
        <v>82</v>
      </c>
      <c r="G999" t="str">
        <f>"2026-03-18 19:00:25.688"</f>
        <v>2026-03-18 19:00:25.688</v>
      </c>
      <c r="H999" t="s">
        <v>22</v>
      </c>
    </row>
    <row r="1000" spans="1:10" x14ac:dyDescent="0.25">
      <c r="A1000" s="1">
        <v>30</v>
      </c>
      <c r="B1000" t="s">
        <v>34</v>
      </c>
      <c r="C1000">
        <v>61</v>
      </c>
      <c r="D1000">
        <v>2</v>
      </c>
      <c r="E1000" t="s">
        <v>81</v>
      </c>
      <c r="F1000" t="s">
        <v>82</v>
      </c>
      <c r="G1000" t="str">
        <f>"2026-03-18 19:00:17.288"</f>
        <v>2026-03-18 19:00:17.288</v>
      </c>
      <c r="H1000" t="s">
        <v>22</v>
      </c>
      <c r="I1000">
        <v>36.479999999999997</v>
      </c>
      <c r="J1000" t="s">
        <v>37</v>
      </c>
    </row>
    <row r="1001" spans="1:10" x14ac:dyDescent="0.25">
      <c r="A1001" s="1">
        <v>31</v>
      </c>
      <c r="B1001" t="s">
        <v>26</v>
      </c>
      <c r="C1001">
        <v>61</v>
      </c>
      <c r="D1001">
        <v>2</v>
      </c>
      <c r="E1001" t="s">
        <v>81</v>
      </c>
      <c r="F1001" t="s">
        <v>82</v>
      </c>
      <c r="G1001" t="str">
        <f>"2026-03-18 07:02:59.488"</f>
        <v>2026-03-18 07:02:59.488</v>
      </c>
      <c r="H1001" t="s">
        <v>22</v>
      </c>
    </row>
    <row r="1002" spans="1:10" x14ac:dyDescent="0.25">
      <c r="A1002" s="1">
        <v>32</v>
      </c>
      <c r="B1002" t="s">
        <v>34</v>
      </c>
      <c r="C1002">
        <v>61</v>
      </c>
      <c r="D1002">
        <v>2</v>
      </c>
      <c r="E1002" t="s">
        <v>81</v>
      </c>
      <c r="F1002" t="s">
        <v>82</v>
      </c>
      <c r="G1002" t="str">
        <f>"2026-03-18 07:02:51.788"</f>
        <v>2026-03-18 07:02:51.788</v>
      </c>
      <c r="H1002" t="s">
        <v>22</v>
      </c>
      <c r="I1002">
        <v>35.94</v>
      </c>
      <c r="J1002" t="s">
        <v>37</v>
      </c>
    </row>
    <row r="1003" spans="1:10" x14ac:dyDescent="0.25">
      <c r="A1003" s="1">
        <v>33</v>
      </c>
      <c r="B1003" t="s">
        <v>19</v>
      </c>
      <c r="C1003">
        <v>706</v>
      </c>
      <c r="D1003">
        <v>4</v>
      </c>
      <c r="E1003" t="s">
        <v>20</v>
      </c>
      <c r="F1003" t="s">
        <v>21</v>
      </c>
      <c r="G1003" t="str">
        <f>"2026-03-18 05:24:26.957"</f>
        <v>2026-03-18 05:24:26.957</v>
      </c>
      <c r="H1003" t="s">
        <v>22</v>
      </c>
      <c r="I1003">
        <v>0</v>
      </c>
      <c r="J1003" t="s">
        <v>23</v>
      </c>
    </row>
    <row r="1004" spans="1:10" x14ac:dyDescent="0.25">
      <c r="A1004" s="1">
        <v>34</v>
      </c>
      <c r="B1004" t="s">
        <v>19</v>
      </c>
      <c r="C1004">
        <v>700</v>
      </c>
      <c r="D1004">
        <v>0</v>
      </c>
      <c r="E1004" t="s">
        <v>24</v>
      </c>
      <c r="F1004" t="s">
        <v>24</v>
      </c>
      <c r="G1004" t="str">
        <f>"2026-03-18 04:49:03.607"</f>
        <v>2026-03-18 04:49:03.607</v>
      </c>
      <c r="H1004" t="s">
        <v>22</v>
      </c>
      <c r="I1004">
        <v>0</v>
      </c>
      <c r="J1004" t="s">
        <v>25</v>
      </c>
    </row>
    <row r="1005" spans="1:10" x14ac:dyDescent="0.25">
      <c r="A1005" s="1">
        <v>35</v>
      </c>
      <c r="B1005" t="s">
        <v>26</v>
      </c>
      <c r="C1005">
        <v>54</v>
      </c>
      <c r="D1005">
        <v>1</v>
      </c>
      <c r="E1005" t="s">
        <v>87</v>
      </c>
      <c r="F1005" t="s">
        <v>88</v>
      </c>
      <c r="G1005" t="str">
        <f>"2026-03-18 04:42:09.256"</f>
        <v>2026-03-18 04:42:09.256</v>
      </c>
      <c r="H1005" t="s">
        <v>22</v>
      </c>
    </row>
    <row r="1006" spans="1:10" x14ac:dyDescent="0.25">
      <c r="A1006" s="1">
        <v>36</v>
      </c>
      <c r="B1006" t="s">
        <v>19</v>
      </c>
      <c r="C1006">
        <v>700</v>
      </c>
      <c r="D1006">
        <v>0</v>
      </c>
      <c r="E1006" t="s">
        <v>24</v>
      </c>
      <c r="F1006" t="s">
        <v>24</v>
      </c>
      <c r="G1006" t="str">
        <f>"2026-03-18 04:41:56.596"</f>
        <v>2026-03-18 04:41:56.596</v>
      </c>
      <c r="H1006" t="s">
        <v>22</v>
      </c>
      <c r="I1006">
        <v>0</v>
      </c>
      <c r="J1006" t="s">
        <v>25</v>
      </c>
    </row>
    <row r="1007" spans="1:10" x14ac:dyDescent="0.25">
      <c r="A1007" s="1">
        <v>38</v>
      </c>
      <c r="B1007" t="s">
        <v>29</v>
      </c>
      <c r="C1007">
        <v>54</v>
      </c>
      <c r="D1007">
        <v>1</v>
      </c>
      <c r="E1007" t="s">
        <v>87</v>
      </c>
      <c r="F1007" t="s">
        <v>88</v>
      </c>
      <c r="G1007" t="str">
        <f>"2026-03-16 22:51:42.087"</f>
        <v>2026-03-16 22:51:42.087</v>
      </c>
      <c r="H1007" t="s">
        <v>22</v>
      </c>
      <c r="I1007">
        <v>2.64</v>
      </c>
      <c r="J1007" t="s">
        <v>38</v>
      </c>
    </row>
    <row r="1008" spans="1:10" x14ac:dyDescent="0.25">
      <c r="A1008" s="1">
        <v>39</v>
      </c>
      <c r="B1008" t="s">
        <v>26</v>
      </c>
      <c r="C1008">
        <v>54</v>
      </c>
      <c r="D1008">
        <v>1</v>
      </c>
      <c r="E1008" t="s">
        <v>87</v>
      </c>
      <c r="F1008" t="s">
        <v>88</v>
      </c>
      <c r="G1008" t="str">
        <f>"2026-03-16 13:36:02.387"</f>
        <v>2026-03-16 13:36:02.387</v>
      </c>
      <c r="H1008" t="s">
        <v>22</v>
      </c>
    </row>
    <row r="1009" spans="1:10" x14ac:dyDescent="0.25">
      <c r="A1009" s="1">
        <v>40</v>
      </c>
      <c r="B1009" t="s">
        <v>19</v>
      </c>
      <c r="C1009">
        <v>700</v>
      </c>
      <c r="D1009">
        <v>0</v>
      </c>
      <c r="E1009" t="s">
        <v>24</v>
      </c>
      <c r="F1009" t="s">
        <v>24</v>
      </c>
      <c r="G1009" t="str">
        <f>"2026-03-16 13:35:49.617"</f>
        <v>2026-03-16 13:35:49.617</v>
      </c>
      <c r="H1009" t="s">
        <v>22</v>
      </c>
      <c r="I1009">
        <v>0</v>
      </c>
      <c r="J1009" t="s">
        <v>25</v>
      </c>
    </row>
    <row r="1010" spans="1:10" x14ac:dyDescent="0.25">
      <c r="A1010" s="1">
        <v>41</v>
      </c>
      <c r="B1010" t="s">
        <v>29</v>
      </c>
      <c r="C1010">
        <v>54</v>
      </c>
      <c r="D1010">
        <v>1</v>
      </c>
      <c r="E1010" t="s">
        <v>87</v>
      </c>
      <c r="F1010" t="s">
        <v>88</v>
      </c>
      <c r="G1010" t="str">
        <f>"2026-03-15 19:14:04.576"</f>
        <v>2026-03-15 19:14:04.576</v>
      </c>
      <c r="H1010" t="s">
        <v>22</v>
      </c>
      <c r="I1010">
        <v>6.44</v>
      </c>
      <c r="J1010" t="s">
        <v>30</v>
      </c>
    </row>
    <row r="1011" spans="1:10" x14ac:dyDescent="0.25">
      <c r="A1011" s="1">
        <v>44</v>
      </c>
      <c r="B1011" t="s">
        <v>19</v>
      </c>
      <c r="C1011">
        <v>782</v>
      </c>
      <c r="D1011">
        <v>7</v>
      </c>
      <c r="E1011" t="s">
        <v>55</v>
      </c>
      <c r="F1011" t="s">
        <v>56</v>
      </c>
      <c r="G1011" t="str">
        <f>"2026-03-15 19:08:25.496"</f>
        <v>2026-03-15 19:08:25.496</v>
      </c>
      <c r="H1011" t="s">
        <v>22</v>
      </c>
      <c r="I1011">
        <v>0</v>
      </c>
      <c r="J1011" t="s">
        <v>38</v>
      </c>
    </row>
    <row r="1012" spans="1:10" x14ac:dyDescent="0.25">
      <c r="A1012" s="1">
        <v>47</v>
      </c>
      <c r="B1012" t="s">
        <v>26</v>
      </c>
      <c r="C1012">
        <v>54</v>
      </c>
      <c r="D1012">
        <v>1</v>
      </c>
      <c r="E1012" t="s">
        <v>87</v>
      </c>
      <c r="F1012" t="s">
        <v>88</v>
      </c>
      <c r="G1012" t="str">
        <f>"2026-03-15 19:08:25.485"</f>
        <v>2026-03-15 19:08:25.485</v>
      </c>
      <c r="H1012" t="s">
        <v>22</v>
      </c>
    </row>
    <row r="1013" spans="1:10" x14ac:dyDescent="0.25">
      <c r="A1013" s="1">
        <v>48</v>
      </c>
      <c r="B1013" t="s">
        <v>19</v>
      </c>
      <c r="C1013">
        <v>782</v>
      </c>
      <c r="D1013">
        <v>7</v>
      </c>
      <c r="E1013" t="s">
        <v>55</v>
      </c>
      <c r="F1013" t="s">
        <v>56</v>
      </c>
      <c r="G1013" t="str">
        <f>"2026-03-15 19:08:25.484"</f>
        <v>2026-03-15 19:08:25.484</v>
      </c>
      <c r="H1013" t="s">
        <v>22</v>
      </c>
      <c r="I1013">
        <v>0</v>
      </c>
      <c r="J1013" t="s">
        <v>38</v>
      </c>
    </row>
    <row r="1014" spans="1:10" x14ac:dyDescent="0.25">
      <c r="A1014" s="1">
        <v>49</v>
      </c>
      <c r="B1014" t="s">
        <v>31</v>
      </c>
      <c r="C1014">
        <v>87</v>
      </c>
      <c r="D1014">
        <v>1</v>
      </c>
      <c r="E1014" t="s">
        <v>32</v>
      </c>
      <c r="F1014" t="s">
        <v>33</v>
      </c>
      <c r="G1014" t="str">
        <f>"2026-03-15 05:40:01.336"</f>
        <v>2026-03-15 05:40:01.336</v>
      </c>
      <c r="H1014" t="s">
        <v>22</v>
      </c>
    </row>
    <row r="1015" spans="1:10" x14ac:dyDescent="0.25">
      <c r="A1015" s="1">
        <v>50</v>
      </c>
      <c r="B1015" t="s">
        <v>34</v>
      </c>
      <c r="C1015">
        <v>87</v>
      </c>
      <c r="D1015">
        <v>1</v>
      </c>
      <c r="E1015" t="s">
        <v>32</v>
      </c>
      <c r="F1015" t="s">
        <v>33</v>
      </c>
      <c r="G1015" t="str">
        <f>"2026-03-15 05:29:37.315"</f>
        <v>2026-03-15 05:29:37.315</v>
      </c>
      <c r="H1015" t="s">
        <v>22</v>
      </c>
      <c r="I1015">
        <v>7.19</v>
      </c>
      <c r="J1015" t="s">
        <v>30</v>
      </c>
    </row>
    <row r="1016" spans="1:10" x14ac:dyDescent="0.25">
      <c r="A1016" s="1">
        <v>51</v>
      </c>
      <c r="B1016" t="s">
        <v>44</v>
      </c>
      <c r="C1016">
        <v>128</v>
      </c>
      <c r="D1016">
        <v>4</v>
      </c>
      <c r="E1016" t="s">
        <v>89</v>
      </c>
      <c r="F1016" t="s">
        <v>90</v>
      </c>
      <c r="G1016" t="str">
        <f>"2026-03-15 01:01:09.165"</f>
        <v>2026-03-15 01:01:09.165</v>
      </c>
      <c r="H1016" t="s">
        <v>61</v>
      </c>
    </row>
    <row r="1017" spans="1:10" x14ac:dyDescent="0.25">
      <c r="A1017" s="1">
        <v>52</v>
      </c>
      <c r="B1017" t="s">
        <v>34</v>
      </c>
      <c r="C1017">
        <v>128</v>
      </c>
      <c r="D1017">
        <v>4</v>
      </c>
      <c r="E1017" t="s">
        <v>89</v>
      </c>
      <c r="F1017" t="s">
        <v>90</v>
      </c>
      <c r="G1017" t="str">
        <f>"2026-03-15 01:01:04.070"</f>
        <v>2026-03-15 01:01:04.070</v>
      </c>
      <c r="H1017" t="s">
        <v>61</v>
      </c>
      <c r="I1017">
        <v>7.61</v>
      </c>
      <c r="J1017" t="s">
        <v>30</v>
      </c>
    </row>
    <row r="1018" spans="1:10" s="3" customFormat="1" x14ac:dyDescent="0.25">
      <c r="A1018" s="2">
        <v>53</v>
      </c>
      <c r="B1018" s="3" t="s">
        <v>26</v>
      </c>
      <c r="C1018" s="3">
        <v>647</v>
      </c>
      <c r="D1018" s="3">
        <v>1</v>
      </c>
      <c r="E1018" s="3" t="s">
        <v>35</v>
      </c>
      <c r="F1018" s="3" t="s">
        <v>36</v>
      </c>
      <c r="G1018" s="3" t="str">
        <f>"2026-03-14 21:06:53.884"</f>
        <v>2026-03-14 21:06:53.884</v>
      </c>
      <c r="H1018" s="3" t="s">
        <v>22</v>
      </c>
    </row>
    <row r="1019" spans="1:10" s="3" customFormat="1" x14ac:dyDescent="0.25">
      <c r="A1019" s="2">
        <v>54</v>
      </c>
      <c r="B1019" s="3" t="s">
        <v>29</v>
      </c>
      <c r="C1019" s="3">
        <v>647</v>
      </c>
      <c r="D1019" s="3">
        <v>1</v>
      </c>
      <c r="E1019" s="3" t="s">
        <v>35</v>
      </c>
      <c r="F1019" s="3" t="s">
        <v>36</v>
      </c>
      <c r="G1019" s="3" t="str">
        <f>"2026-03-14 21:06:48.784"</f>
        <v>2026-03-14 21:06:48.784</v>
      </c>
      <c r="H1019" s="3" t="s">
        <v>22</v>
      </c>
      <c r="I1019" s="3">
        <v>8.94</v>
      </c>
      <c r="J1019" s="3" t="s">
        <v>37</v>
      </c>
    </row>
    <row r="1020" spans="1:10" x14ac:dyDescent="0.25">
      <c r="A1020" s="1">
        <v>55</v>
      </c>
      <c r="B1020" t="s">
        <v>29</v>
      </c>
      <c r="C1020">
        <v>54</v>
      </c>
      <c r="D1020">
        <v>1</v>
      </c>
      <c r="E1020" t="s">
        <v>87</v>
      </c>
      <c r="F1020" t="s">
        <v>88</v>
      </c>
      <c r="G1020" t="str">
        <f>"2026-03-14 15:06:41.276"</f>
        <v>2026-03-14 15:06:41.276</v>
      </c>
      <c r="H1020" t="s">
        <v>22</v>
      </c>
      <c r="I1020">
        <v>6.8</v>
      </c>
      <c r="J1020" t="s">
        <v>30</v>
      </c>
    </row>
    <row r="1021" spans="1:10" x14ac:dyDescent="0.25">
      <c r="A1021" s="1">
        <v>56</v>
      </c>
      <c r="B1021" t="s">
        <v>31</v>
      </c>
      <c r="C1021">
        <v>87</v>
      </c>
      <c r="D1021">
        <v>1</v>
      </c>
      <c r="E1021" t="s">
        <v>32</v>
      </c>
      <c r="F1021" t="s">
        <v>33</v>
      </c>
      <c r="G1021" t="str">
        <f>"2026-03-13 12:01:27.285"</f>
        <v>2026-03-13 12:01:27.285</v>
      </c>
      <c r="H1021" t="s">
        <v>22</v>
      </c>
    </row>
    <row r="1022" spans="1:10" x14ac:dyDescent="0.25">
      <c r="A1022" s="1">
        <v>57</v>
      </c>
      <c r="B1022" t="s">
        <v>34</v>
      </c>
      <c r="C1022">
        <v>87</v>
      </c>
      <c r="D1022">
        <v>1</v>
      </c>
      <c r="E1022" t="s">
        <v>32</v>
      </c>
      <c r="F1022" t="s">
        <v>33</v>
      </c>
      <c r="G1022" t="str">
        <f>"2026-03-13 11:52:23.636"</f>
        <v>2026-03-13 11:52:23.636</v>
      </c>
      <c r="H1022" t="s">
        <v>22</v>
      </c>
      <c r="I1022">
        <v>5.13</v>
      </c>
      <c r="J1022" t="s">
        <v>30</v>
      </c>
    </row>
    <row r="1023" spans="1:10" s="3" customFormat="1" x14ac:dyDescent="0.25">
      <c r="A1023" s="2">
        <v>58</v>
      </c>
      <c r="B1023" s="3" t="s">
        <v>26</v>
      </c>
      <c r="C1023" s="3">
        <v>647</v>
      </c>
      <c r="D1023" s="3">
        <v>1</v>
      </c>
      <c r="E1023" s="3" t="s">
        <v>35</v>
      </c>
      <c r="F1023" s="3" t="s">
        <v>36</v>
      </c>
      <c r="G1023" s="3" t="str">
        <f>"2026-03-13 06:45:45.184"</f>
        <v>2026-03-13 06:45:45.184</v>
      </c>
      <c r="H1023" s="3" t="s">
        <v>22</v>
      </c>
    </row>
    <row r="1024" spans="1:10" s="3" customFormat="1" x14ac:dyDescent="0.25">
      <c r="A1024" s="2">
        <v>59</v>
      </c>
      <c r="B1024" s="3" t="s">
        <v>29</v>
      </c>
      <c r="C1024" s="3">
        <v>647</v>
      </c>
      <c r="D1024" s="3">
        <v>1</v>
      </c>
      <c r="E1024" s="3" t="s">
        <v>35</v>
      </c>
      <c r="F1024" s="3" t="s">
        <v>36</v>
      </c>
      <c r="G1024" s="3" t="str">
        <f>"2026-03-13 06:45:43.685"</f>
        <v>2026-03-13 06:45:43.685</v>
      </c>
      <c r="H1024" s="3" t="s">
        <v>22</v>
      </c>
      <c r="I1024" s="3">
        <v>8.81</v>
      </c>
      <c r="J1024" s="3" t="s">
        <v>37</v>
      </c>
    </row>
    <row r="1025" spans="1:10" x14ac:dyDescent="0.25">
      <c r="A1025" s="1">
        <v>60</v>
      </c>
      <c r="B1025" t="s">
        <v>19</v>
      </c>
      <c r="C1025">
        <v>700</v>
      </c>
      <c r="D1025">
        <v>0</v>
      </c>
      <c r="E1025" t="s">
        <v>24</v>
      </c>
      <c r="F1025" t="s">
        <v>24</v>
      </c>
      <c r="G1025" t="str">
        <f>"2026-03-12 10:34:59.616"</f>
        <v>2026-03-12 10:34:59.616</v>
      </c>
      <c r="H1025" t="s">
        <v>22</v>
      </c>
      <c r="I1025">
        <v>0</v>
      </c>
      <c r="J1025" t="s">
        <v>25</v>
      </c>
    </row>
    <row r="1026" spans="1:10" x14ac:dyDescent="0.25">
      <c r="A1026" s="1">
        <v>61</v>
      </c>
      <c r="B1026" t="s">
        <v>19</v>
      </c>
      <c r="C1026">
        <v>706</v>
      </c>
      <c r="D1026">
        <v>4</v>
      </c>
      <c r="E1026" t="s">
        <v>20</v>
      </c>
      <c r="F1026" t="s">
        <v>21</v>
      </c>
      <c r="G1026" t="str">
        <f>"2026-03-12 10:10:16.868"</f>
        <v>2026-03-12 10:10:16.868</v>
      </c>
      <c r="H1026" t="s">
        <v>22</v>
      </c>
      <c r="I1026">
        <v>0</v>
      </c>
      <c r="J1026" t="s">
        <v>23</v>
      </c>
    </row>
    <row r="1027" spans="1:10" x14ac:dyDescent="0.25">
      <c r="A1027" s="1">
        <v>62</v>
      </c>
      <c r="B1027" t="s">
        <v>26</v>
      </c>
      <c r="C1027">
        <v>630</v>
      </c>
      <c r="D1027">
        <v>5</v>
      </c>
      <c r="E1027" t="s">
        <v>39</v>
      </c>
      <c r="F1027" t="s">
        <v>40</v>
      </c>
      <c r="G1027" t="str">
        <f>"2026-03-12 09:38:52.250"</f>
        <v>2026-03-12 09:38:52.250</v>
      </c>
      <c r="H1027" t="s">
        <v>41</v>
      </c>
    </row>
    <row r="1028" spans="1:10" x14ac:dyDescent="0.25">
      <c r="A1028" s="1">
        <v>63</v>
      </c>
      <c r="B1028" t="s">
        <v>19</v>
      </c>
      <c r="C1028">
        <v>706</v>
      </c>
      <c r="D1028">
        <v>4</v>
      </c>
      <c r="E1028" t="s">
        <v>20</v>
      </c>
      <c r="F1028" t="s">
        <v>21</v>
      </c>
      <c r="G1028" t="str">
        <f>"2026-03-12 09:38:22.128"</f>
        <v>2026-03-12 09:38:22.128</v>
      </c>
      <c r="H1028" t="s">
        <v>22</v>
      </c>
      <c r="I1028">
        <v>0</v>
      </c>
      <c r="J1028" t="s">
        <v>23</v>
      </c>
    </row>
    <row r="1029" spans="1:10" x14ac:dyDescent="0.25">
      <c r="A1029" s="1">
        <v>64</v>
      </c>
      <c r="B1029" t="s">
        <v>19</v>
      </c>
      <c r="C1029">
        <v>706</v>
      </c>
      <c r="D1029">
        <v>4</v>
      </c>
      <c r="E1029" t="s">
        <v>20</v>
      </c>
      <c r="F1029" t="s">
        <v>21</v>
      </c>
      <c r="G1029" t="str">
        <f>"2026-03-12 09:36:59.728"</f>
        <v>2026-03-12 09:36:59.728</v>
      </c>
      <c r="H1029" t="s">
        <v>22</v>
      </c>
      <c r="I1029">
        <v>0</v>
      </c>
      <c r="J1029" t="s">
        <v>23</v>
      </c>
    </row>
    <row r="1030" spans="1:10" x14ac:dyDescent="0.25">
      <c r="A1030" s="1">
        <v>67</v>
      </c>
      <c r="B1030" t="s">
        <v>34</v>
      </c>
      <c r="C1030">
        <v>630</v>
      </c>
      <c r="D1030">
        <v>5</v>
      </c>
      <c r="E1030" t="s">
        <v>39</v>
      </c>
      <c r="F1030" t="s">
        <v>40</v>
      </c>
      <c r="G1030" t="str">
        <f>"2026-03-12 09:35:49.850"</f>
        <v>2026-03-12 09:35:49.850</v>
      </c>
      <c r="H1030" t="s">
        <v>41</v>
      </c>
      <c r="I1030">
        <v>0</v>
      </c>
      <c r="J1030" t="s">
        <v>23</v>
      </c>
    </row>
    <row r="1031" spans="1:10" x14ac:dyDescent="0.25">
      <c r="A1031" s="1">
        <v>68</v>
      </c>
      <c r="B1031" t="s">
        <v>19</v>
      </c>
      <c r="C1031">
        <v>782</v>
      </c>
      <c r="D1031">
        <v>7</v>
      </c>
      <c r="E1031" t="s">
        <v>55</v>
      </c>
      <c r="F1031" t="s">
        <v>56</v>
      </c>
      <c r="G1031" t="str">
        <f>"2026-03-12 09:35:49.807"</f>
        <v>2026-03-12 09:35:49.807</v>
      </c>
      <c r="H1031" t="s">
        <v>22</v>
      </c>
      <c r="I1031">
        <v>0</v>
      </c>
      <c r="J1031" t="s">
        <v>23</v>
      </c>
    </row>
    <row r="1032" spans="1:10" x14ac:dyDescent="0.25">
      <c r="A1032" s="1">
        <v>71</v>
      </c>
      <c r="B1032" t="s">
        <v>26</v>
      </c>
      <c r="C1032">
        <v>630</v>
      </c>
      <c r="D1032">
        <v>5</v>
      </c>
      <c r="E1032" t="s">
        <v>39</v>
      </c>
      <c r="F1032" t="s">
        <v>40</v>
      </c>
      <c r="G1032" t="str">
        <f>"2026-03-12 09:35:49.797"</f>
        <v>2026-03-12 09:35:49.797</v>
      </c>
      <c r="H1032" t="s">
        <v>41</v>
      </c>
    </row>
    <row r="1033" spans="1:10" x14ac:dyDescent="0.25">
      <c r="A1033" s="1">
        <v>72</v>
      </c>
      <c r="B1033" t="s">
        <v>19</v>
      </c>
      <c r="C1033">
        <v>782</v>
      </c>
      <c r="D1033">
        <v>7</v>
      </c>
      <c r="E1033" t="s">
        <v>55</v>
      </c>
      <c r="F1033" t="s">
        <v>56</v>
      </c>
      <c r="G1033" t="str">
        <f>"2026-03-12 09:35:49.796"</f>
        <v>2026-03-12 09:35:49.796</v>
      </c>
      <c r="H1033" t="s">
        <v>22</v>
      </c>
      <c r="I1033">
        <v>0</v>
      </c>
      <c r="J1033" t="s">
        <v>23</v>
      </c>
    </row>
    <row r="1034" spans="1:10" x14ac:dyDescent="0.25">
      <c r="A1034" s="1">
        <v>73</v>
      </c>
      <c r="B1034" t="s">
        <v>34</v>
      </c>
      <c r="C1034">
        <v>630</v>
      </c>
      <c r="D1034">
        <v>5</v>
      </c>
      <c r="E1034" t="s">
        <v>39</v>
      </c>
      <c r="F1034" t="s">
        <v>40</v>
      </c>
      <c r="G1034" t="str">
        <f>"2026-03-12 09:26:25.350"</f>
        <v>2026-03-12 09:26:25.350</v>
      </c>
      <c r="H1034" t="s">
        <v>41</v>
      </c>
      <c r="I1034">
        <v>0</v>
      </c>
      <c r="J1034" t="s">
        <v>23</v>
      </c>
    </row>
    <row r="1035" spans="1:10" x14ac:dyDescent="0.25">
      <c r="A1035" s="1">
        <v>74</v>
      </c>
      <c r="B1035" t="s">
        <v>19</v>
      </c>
      <c r="C1035">
        <v>700</v>
      </c>
      <c r="D1035">
        <v>0</v>
      </c>
      <c r="E1035" t="s">
        <v>24</v>
      </c>
      <c r="F1035" t="s">
        <v>24</v>
      </c>
      <c r="G1035" t="str">
        <f>"2026-03-12 09:21:22.628"</f>
        <v>2026-03-12 09:21:22.628</v>
      </c>
      <c r="H1035" t="s">
        <v>22</v>
      </c>
    </row>
    <row r="1036" spans="1:10" x14ac:dyDescent="0.25">
      <c r="A1036" s="1">
        <v>77</v>
      </c>
      <c r="B1036" t="s">
        <v>19</v>
      </c>
      <c r="C1036">
        <v>782</v>
      </c>
      <c r="D1036">
        <v>7</v>
      </c>
      <c r="E1036" t="s">
        <v>55</v>
      </c>
      <c r="F1036" t="s">
        <v>56</v>
      </c>
      <c r="G1036" t="str">
        <f>"2026-03-12 08:08:05.689"</f>
        <v>2026-03-12 08:08:05.689</v>
      </c>
      <c r="H1036" t="s">
        <v>22</v>
      </c>
      <c r="I1036">
        <v>0</v>
      </c>
      <c r="J1036" t="s">
        <v>23</v>
      </c>
    </row>
    <row r="1037" spans="1:10" x14ac:dyDescent="0.25">
      <c r="A1037" s="1">
        <v>80</v>
      </c>
      <c r="B1037" t="s">
        <v>26</v>
      </c>
      <c r="C1037">
        <v>54</v>
      </c>
      <c r="D1037">
        <v>1</v>
      </c>
      <c r="E1037" t="s">
        <v>87</v>
      </c>
      <c r="F1037" t="s">
        <v>88</v>
      </c>
      <c r="G1037" t="str">
        <f>"2026-03-12 08:08:05.677"</f>
        <v>2026-03-12 08:08:05.677</v>
      </c>
      <c r="H1037" t="s">
        <v>22</v>
      </c>
    </row>
    <row r="1038" spans="1:10" x14ac:dyDescent="0.25">
      <c r="A1038" s="1">
        <v>81</v>
      </c>
      <c r="B1038" t="s">
        <v>19</v>
      </c>
      <c r="C1038">
        <v>782</v>
      </c>
      <c r="D1038">
        <v>7</v>
      </c>
      <c r="E1038" t="s">
        <v>55</v>
      </c>
      <c r="F1038" t="s">
        <v>56</v>
      </c>
      <c r="G1038" t="str">
        <f>"2026-03-12 08:08:05.676"</f>
        <v>2026-03-12 08:08:05.676</v>
      </c>
      <c r="H1038" t="s">
        <v>22</v>
      </c>
      <c r="I1038">
        <v>0</v>
      </c>
      <c r="J1038" t="s">
        <v>23</v>
      </c>
    </row>
    <row r="1039" spans="1:10" s="3" customFormat="1" x14ac:dyDescent="0.25">
      <c r="A1039" s="2">
        <v>82</v>
      </c>
      <c r="B1039" s="3" t="s">
        <v>26</v>
      </c>
      <c r="C1039" s="3">
        <v>647</v>
      </c>
      <c r="D1039" s="3">
        <v>1</v>
      </c>
      <c r="E1039" s="3" t="s">
        <v>35</v>
      </c>
      <c r="F1039" s="3" t="s">
        <v>36</v>
      </c>
      <c r="G1039" s="3" t="str">
        <f>"2026-03-11 15:32:51.777"</f>
        <v>2026-03-11 15:32:51.777</v>
      </c>
      <c r="H1039" s="3" t="s">
        <v>22</v>
      </c>
    </row>
    <row r="1040" spans="1:10" s="3" customFormat="1" x14ac:dyDescent="0.25">
      <c r="A1040" s="2">
        <v>83</v>
      </c>
      <c r="B1040" s="3" t="s">
        <v>29</v>
      </c>
      <c r="C1040" s="3">
        <v>647</v>
      </c>
      <c r="D1040" s="3">
        <v>1</v>
      </c>
      <c r="E1040" s="3" t="s">
        <v>35</v>
      </c>
      <c r="F1040" s="3" t="s">
        <v>36</v>
      </c>
      <c r="G1040" s="3" t="str">
        <f>"2026-03-11 15:32:49.277"</f>
        <v>2026-03-11 15:32:49.277</v>
      </c>
      <c r="H1040" s="3" t="s">
        <v>22</v>
      </c>
      <c r="I1040" s="3">
        <v>16.97</v>
      </c>
      <c r="J1040" s="3" t="s">
        <v>37</v>
      </c>
    </row>
    <row r="1041" spans="1:10" x14ac:dyDescent="0.25">
      <c r="A1041" s="1">
        <v>84</v>
      </c>
      <c r="B1041" t="s">
        <v>29</v>
      </c>
      <c r="C1041">
        <v>54</v>
      </c>
      <c r="D1041">
        <v>1</v>
      </c>
      <c r="E1041" t="s">
        <v>87</v>
      </c>
      <c r="F1041" t="s">
        <v>88</v>
      </c>
      <c r="G1041" t="str">
        <f>"2026-03-10 19:15:59.968"</f>
        <v>2026-03-10 19:15:59.968</v>
      </c>
      <c r="H1041" t="s">
        <v>22</v>
      </c>
      <c r="I1041">
        <v>5.59</v>
      </c>
      <c r="J1041" t="s">
        <v>30</v>
      </c>
    </row>
    <row r="1042" spans="1:10" x14ac:dyDescent="0.25">
      <c r="A1042" s="1">
        <v>85</v>
      </c>
      <c r="B1042" t="s">
        <v>19</v>
      </c>
      <c r="C1042">
        <v>700</v>
      </c>
      <c r="D1042">
        <v>0</v>
      </c>
      <c r="E1042" t="s">
        <v>24</v>
      </c>
      <c r="F1042" t="s">
        <v>24</v>
      </c>
      <c r="G1042" t="str">
        <f>"2026-03-10 13:51:56.598"</f>
        <v>2026-03-10 13:51:56.598</v>
      </c>
      <c r="H1042" t="s">
        <v>22</v>
      </c>
      <c r="I1042">
        <v>0</v>
      </c>
      <c r="J1042" t="s">
        <v>25</v>
      </c>
    </row>
    <row r="1043" spans="1:10" x14ac:dyDescent="0.25">
      <c r="A1043" s="1">
        <v>86</v>
      </c>
      <c r="B1043" t="s">
        <v>26</v>
      </c>
      <c r="C1043">
        <v>635</v>
      </c>
      <c r="D1043">
        <v>1</v>
      </c>
      <c r="E1043" t="s">
        <v>27</v>
      </c>
      <c r="F1043" t="s">
        <v>28</v>
      </c>
      <c r="G1043" t="str">
        <f>"2026-03-10 09:10:48.491"</f>
        <v>2026-03-10 09:10:48.491</v>
      </c>
      <c r="H1043" t="s">
        <v>22</v>
      </c>
    </row>
    <row r="1044" spans="1:10" x14ac:dyDescent="0.25">
      <c r="A1044" s="1">
        <v>87</v>
      </c>
      <c r="B1044" t="s">
        <v>29</v>
      </c>
      <c r="C1044">
        <v>635</v>
      </c>
      <c r="D1044">
        <v>1</v>
      </c>
      <c r="E1044" t="s">
        <v>27</v>
      </c>
      <c r="F1044" t="s">
        <v>28</v>
      </c>
      <c r="G1044" t="str">
        <f>"2026-03-10 09:07:21.991"</f>
        <v>2026-03-10 09:07:21.991</v>
      </c>
      <c r="H1044" t="s">
        <v>22</v>
      </c>
      <c r="I1044">
        <v>5.44</v>
      </c>
      <c r="J1044" t="s">
        <v>30</v>
      </c>
    </row>
    <row r="1045" spans="1:10" s="3" customFormat="1" x14ac:dyDescent="0.25">
      <c r="A1045" s="2">
        <v>88</v>
      </c>
      <c r="B1045" s="3" t="s">
        <v>26</v>
      </c>
      <c r="C1045" s="3">
        <v>647</v>
      </c>
      <c r="D1045" s="3">
        <v>1</v>
      </c>
      <c r="E1045" s="3" t="s">
        <v>35</v>
      </c>
      <c r="F1045" s="3" t="s">
        <v>36</v>
      </c>
      <c r="G1045" s="3" t="str">
        <f>"2026-03-09 15:03:46.792"</f>
        <v>2026-03-09 15:03:46.792</v>
      </c>
      <c r="H1045" s="3" t="s">
        <v>22</v>
      </c>
    </row>
    <row r="1046" spans="1:10" s="3" customFormat="1" x14ac:dyDescent="0.25">
      <c r="A1046" s="2">
        <v>89</v>
      </c>
      <c r="B1046" s="3" t="s">
        <v>29</v>
      </c>
      <c r="C1046" s="3">
        <v>647</v>
      </c>
      <c r="D1046" s="3">
        <v>1</v>
      </c>
      <c r="E1046" s="3" t="s">
        <v>35</v>
      </c>
      <c r="F1046" s="3" t="s">
        <v>36</v>
      </c>
      <c r="G1046" s="3" t="str">
        <f>"2026-03-09 15:03:43.692"</f>
        <v>2026-03-09 15:03:43.692</v>
      </c>
      <c r="H1046" s="3" t="s">
        <v>22</v>
      </c>
      <c r="I1046" s="3">
        <v>13.94</v>
      </c>
      <c r="J1046" s="3" t="s">
        <v>37</v>
      </c>
    </row>
    <row r="1047" spans="1:10" x14ac:dyDescent="0.25">
      <c r="A1047" s="1">
        <v>90</v>
      </c>
      <c r="B1047" t="s">
        <v>44</v>
      </c>
      <c r="C1047">
        <v>128</v>
      </c>
      <c r="D1047">
        <v>4</v>
      </c>
      <c r="E1047" t="s">
        <v>89</v>
      </c>
      <c r="F1047" t="s">
        <v>90</v>
      </c>
      <c r="G1047" t="str">
        <f>"2026-03-09 03:13:43.870"</f>
        <v>2026-03-09 03:13:43.870</v>
      </c>
      <c r="H1047" t="s">
        <v>61</v>
      </c>
    </row>
    <row r="1048" spans="1:10" x14ac:dyDescent="0.25">
      <c r="A1048" s="1">
        <v>91</v>
      </c>
      <c r="B1048" t="s">
        <v>34</v>
      </c>
      <c r="C1048">
        <v>128</v>
      </c>
      <c r="D1048">
        <v>4</v>
      </c>
      <c r="E1048" t="s">
        <v>89</v>
      </c>
      <c r="F1048" t="s">
        <v>90</v>
      </c>
      <c r="G1048" t="str">
        <f>"2026-03-09 03:13:38.834"</f>
        <v>2026-03-09 03:13:38.834</v>
      </c>
      <c r="H1048" t="s">
        <v>61</v>
      </c>
      <c r="I1048">
        <v>6.83</v>
      </c>
      <c r="J1048" t="s">
        <v>30</v>
      </c>
    </row>
    <row r="1049" spans="1:10" x14ac:dyDescent="0.25">
      <c r="A1049" s="1">
        <v>92</v>
      </c>
      <c r="B1049" t="s">
        <v>44</v>
      </c>
      <c r="C1049">
        <v>128</v>
      </c>
      <c r="D1049">
        <v>4</v>
      </c>
      <c r="E1049" t="s">
        <v>89</v>
      </c>
      <c r="F1049" t="s">
        <v>90</v>
      </c>
      <c r="G1049" t="str">
        <f>"2026-03-08 06:07:25.071"</f>
        <v>2026-03-08 06:07:25.071</v>
      </c>
      <c r="H1049" t="s">
        <v>61</v>
      </c>
    </row>
    <row r="1050" spans="1:10" x14ac:dyDescent="0.25">
      <c r="A1050" s="1">
        <v>93</v>
      </c>
      <c r="B1050" t="s">
        <v>34</v>
      </c>
      <c r="C1050">
        <v>128</v>
      </c>
      <c r="D1050">
        <v>4</v>
      </c>
      <c r="E1050" t="s">
        <v>89</v>
      </c>
      <c r="F1050" t="s">
        <v>90</v>
      </c>
      <c r="G1050" t="str">
        <f>"2026-03-08 06:07:19.974"</f>
        <v>2026-03-08 06:07:19.974</v>
      </c>
      <c r="H1050" t="s">
        <v>61</v>
      </c>
      <c r="I1050">
        <v>15.36</v>
      </c>
      <c r="J1050" t="s">
        <v>30</v>
      </c>
    </row>
    <row r="1051" spans="1:10" x14ac:dyDescent="0.25">
      <c r="A1051" s="1">
        <v>94</v>
      </c>
      <c r="B1051" t="s">
        <v>19</v>
      </c>
      <c r="C1051">
        <v>700</v>
      </c>
      <c r="D1051">
        <v>0</v>
      </c>
      <c r="E1051" t="s">
        <v>24</v>
      </c>
      <c r="F1051" t="s">
        <v>24</v>
      </c>
      <c r="G1051" t="str">
        <f>"2026-03-07 14:02:45.620"</f>
        <v>2026-03-07 14:02:45.620</v>
      </c>
      <c r="H1051" t="s">
        <v>22</v>
      </c>
      <c r="I1051">
        <v>0</v>
      </c>
      <c r="J1051" t="s">
        <v>25</v>
      </c>
    </row>
    <row r="1052" spans="1:10" x14ac:dyDescent="0.25">
      <c r="A1052" s="1">
        <v>96</v>
      </c>
      <c r="B1052" t="s">
        <v>26</v>
      </c>
      <c r="C1052">
        <v>61</v>
      </c>
      <c r="D1052">
        <v>2</v>
      </c>
      <c r="E1052" t="s">
        <v>81</v>
      </c>
      <c r="F1052" t="s">
        <v>82</v>
      </c>
      <c r="G1052" t="str">
        <f>"2026-03-06 07:08:49.179"</f>
        <v>2026-03-06 07:08:49.179</v>
      </c>
      <c r="H1052" t="s">
        <v>22</v>
      </c>
    </row>
    <row r="1053" spans="1:10" x14ac:dyDescent="0.25">
      <c r="A1053" s="1">
        <v>97</v>
      </c>
      <c r="B1053" t="s">
        <v>34</v>
      </c>
      <c r="C1053">
        <v>61</v>
      </c>
      <c r="D1053">
        <v>2</v>
      </c>
      <c r="E1053" t="s">
        <v>81</v>
      </c>
      <c r="F1053" t="s">
        <v>82</v>
      </c>
      <c r="G1053" t="str">
        <f>"2026-03-06 07:08:30.280"</f>
        <v>2026-03-06 07:08:30.280</v>
      </c>
      <c r="H1053" t="s">
        <v>22</v>
      </c>
      <c r="I1053">
        <v>36.96</v>
      </c>
      <c r="J1053" t="s">
        <v>37</v>
      </c>
    </row>
    <row r="1054" spans="1:10" x14ac:dyDescent="0.25">
      <c r="A1054" s="1">
        <v>98</v>
      </c>
      <c r="B1054" t="s">
        <v>26</v>
      </c>
      <c r="C1054">
        <v>635</v>
      </c>
      <c r="D1054">
        <v>1</v>
      </c>
      <c r="E1054" t="s">
        <v>27</v>
      </c>
      <c r="F1054" t="s">
        <v>28</v>
      </c>
      <c r="G1054" t="str">
        <f>"2026-03-06 06:57:03.067"</f>
        <v>2026-03-06 06:57:03.067</v>
      </c>
      <c r="H1054" t="s">
        <v>22</v>
      </c>
    </row>
    <row r="1055" spans="1:10" x14ac:dyDescent="0.25">
      <c r="A1055" s="1">
        <v>99</v>
      </c>
      <c r="B1055" t="s">
        <v>29</v>
      </c>
      <c r="C1055">
        <v>635</v>
      </c>
      <c r="D1055">
        <v>1</v>
      </c>
      <c r="E1055" t="s">
        <v>27</v>
      </c>
      <c r="F1055" t="s">
        <v>28</v>
      </c>
      <c r="G1055" t="str">
        <f>"2026-03-06 06:49:50.068"</f>
        <v>2026-03-06 06:49:50.068</v>
      </c>
      <c r="H1055" t="s">
        <v>22</v>
      </c>
      <c r="I1055">
        <v>4.3499999999999996</v>
      </c>
      <c r="J1055" t="s">
        <v>30</v>
      </c>
    </row>
    <row r="1056" spans="1:10" x14ac:dyDescent="0.25">
      <c r="A1056" s="1">
        <v>100</v>
      </c>
      <c r="B1056" t="s">
        <v>31</v>
      </c>
      <c r="C1056">
        <v>125</v>
      </c>
      <c r="D1056">
        <v>5</v>
      </c>
      <c r="E1056" t="s">
        <v>91</v>
      </c>
      <c r="F1056" t="s">
        <v>92</v>
      </c>
      <c r="G1056" t="str">
        <f>"2026-03-05 23:53:43.855"</f>
        <v>2026-03-05 23:53:43.855</v>
      </c>
      <c r="H1056" t="s">
        <v>61</v>
      </c>
    </row>
    <row r="1057" spans="1:10" x14ac:dyDescent="0.25">
      <c r="A1057" s="1">
        <v>101</v>
      </c>
      <c r="B1057" t="s">
        <v>34</v>
      </c>
      <c r="C1057">
        <v>125</v>
      </c>
      <c r="D1057">
        <v>5</v>
      </c>
      <c r="E1057" t="s">
        <v>91</v>
      </c>
      <c r="F1057" t="s">
        <v>92</v>
      </c>
      <c r="G1057" t="str">
        <f>"2026-03-05 23:53:40.633"</f>
        <v>2026-03-05 23:53:40.633</v>
      </c>
      <c r="H1057" t="s">
        <v>61</v>
      </c>
      <c r="I1057">
        <v>8.6199999999999992</v>
      </c>
      <c r="J1057" t="s">
        <v>30</v>
      </c>
    </row>
    <row r="1058" spans="1:10" x14ac:dyDescent="0.25">
      <c r="A1058" s="1">
        <v>102</v>
      </c>
      <c r="B1058" t="s">
        <v>19</v>
      </c>
      <c r="C1058">
        <v>700</v>
      </c>
      <c r="D1058">
        <v>0</v>
      </c>
      <c r="E1058" t="s">
        <v>24</v>
      </c>
      <c r="F1058" t="s">
        <v>24</v>
      </c>
      <c r="G1058" t="str">
        <f>"2026-03-05 13:06:22.590"</f>
        <v>2026-03-05 13:06:22.590</v>
      </c>
      <c r="H1058" t="s">
        <v>22</v>
      </c>
    </row>
    <row r="1059" spans="1:10" x14ac:dyDescent="0.25">
      <c r="A1059" s="1">
        <v>103</v>
      </c>
      <c r="B1059" t="s">
        <v>44</v>
      </c>
      <c r="C1059">
        <v>128</v>
      </c>
      <c r="D1059">
        <v>4</v>
      </c>
      <c r="E1059" t="s">
        <v>89</v>
      </c>
      <c r="F1059" t="s">
        <v>90</v>
      </c>
      <c r="G1059" t="str">
        <f>"2026-03-05 00:54:40.171"</f>
        <v>2026-03-05 00:54:40.171</v>
      </c>
      <c r="H1059" t="s">
        <v>61</v>
      </c>
    </row>
    <row r="1060" spans="1:10" x14ac:dyDescent="0.25">
      <c r="A1060" s="1">
        <v>104</v>
      </c>
      <c r="B1060" t="s">
        <v>34</v>
      </c>
      <c r="C1060">
        <v>128</v>
      </c>
      <c r="D1060">
        <v>4</v>
      </c>
      <c r="E1060" t="s">
        <v>89</v>
      </c>
      <c r="F1060" t="s">
        <v>90</v>
      </c>
      <c r="G1060" t="str">
        <f>"2026-03-05 00:54:35.094"</f>
        <v>2026-03-05 00:54:35.094</v>
      </c>
      <c r="H1060" t="s">
        <v>61</v>
      </c>
      <c r="I1060">
        <v>16.100000000000001</v>
      </c>
      <c r="J1060" t="s">
        <v>30</v>
      </c>
    </row>
    <row r="1061" spans="1:10" x14ac:dyDescent="0.25">
      <c r="A1061" s="1">
        <v>105</v>
      </c>
      <c r="B1061" t="s">
        <v>19</v>
      </c>
      <c r="C1061">
        <v>700</v>
      </c>
      <c r="D1061">
        <v>0</v>
      </c>
      <c r="E1061" t="s">
        <v>24</v>
      </c>
      <c r="F1061" t="s">
        <v>24</v>
      </c>
      <c r="G1061" t="str">
        <f>"2026-03-04 19:52:14.620"</f>
        <v>2026-03-04 19:52:14.620</v>
      </c>
      <c r="H1061" t="s">
        <v>22</v>
      </c>
    </row>
    <row r="1062" spans="1:10" x14ac:dyDescent="0.25">
      <c r="A1062" s="1">
        <v>106</v>
      </c>
      <c r="B1062" t="s">
        <v>34</v>
      </c>
      <c r="C1062">
        <v>630</v>
      </c>
      <c r="D1062">
        <v>5</v>
      </c>
      <c r="E1062" t="s">
        <v>39</v>
      </c>
      <c r="F1062" t="s">
        <v>40</v>
      </c>
      <c r="G1062" t="str">
        <f>"2026-03-04 14:43:19.775"</f>
        <v>2026-03-04 14:43:19.775</v>
      </c>
      <c r="H1062" t="s">
        <v>41</v>
      </c>
      <c r="I1062">
        <v>0</v>
      </c>
      <c r="J1062" t="s">
        <v>23</v>
      </c>
    </row>
    <row r="1063" spans="1:10" x14ac:dyDescent="0.25">
      <c r="A1063" s="1">
        <v>107</v>
      </c>
      <c r="B1063" t="s">
        <v>26</v>
      </c>
      <c r="C1063">
        <v>630</v>
      </c>
      <c r="D1063">
        <v>5</v>
      </c>
      <c r="E1063" t="s">
        <v>39</v>
      </c>
      <c r="F1063" t="s">
        <v>40</v>
      </c>
      <c r="G1063" t="str">
        <f>"2026-03-04 14:36:39.675"</f>
        <v>2026-03-04 14:36:39.675</v>
      </c>
      <c r="H1063" t="s">
        <v>41</v>
      </c>
    </row>
    <row r="1064" spans="1:10" x14ac:dyDescent="0.25">
      <c r="A1064" s="1">
        <v>108</v>
      </c>
      <c r="B1064" t="s">
        <v>19</v>
      </c>
      <c r="C1064">
        <v>706</v>
      </c>
      <c r="D1064">
        <v>4</v>
      </c>
      <c r="E1064" t="s">
        <v>20</v>
      </c>
      <c r="F1064" t="s">
        <v>21</v>
      </c>
      <c r="G1064" t="str">
        <f>"2026-03-04 14:36:09.538"</f>
        <v>2026-03-04 14:36:09.538</v>
      </c>
      <c r="H1064" t="s">
        <v>22</v>
      </c>
      <c r="I1064">
        <v>0</v>
      </c>
      <c r="J1064" t="s">
        <v>23</v>
      </c>
    </row>
    <row r="1065" spans="1:10" x14ac:dyDescent="0.25">
      <c r="A1065" s="1">
        <v>109</v>
      </c>
      <c r="B1065" t="s">
        <v>34</v>
      </c>
      <c r="C1065">
        <v>630</v>
      </c>
      <c r="D1065">
        <v>5</v>
      </c>
      <c r="E1065" t="s">
        <v>39</v>
      </c>
      <c r="F1065" t="s">
        <v>40</v>
      </c>
      <c r="G1065" t="str">
        <f>"2026-03-04 14:34:18.376"</f>
        <v>2026-03-04 14:34:18.376</v>
      </c>
      <c r="H1065" t="s">
        <v>41</v>
      </c>
      <c r="I1065">
        <v>0</v>
      </c>
      <c r="J1065" t="s">
        <v>23</v>
      </c>
    </row>
    <row r="1066" spans="1:10" x14ac:dyDescent="0.25">
      <c r="A1066" s="1">
        <v>110</v>
      </c>
      <c r="B1066" t="s">
        <v>19</v>
      </c>
      <c r="C1066">
        <v>700</v>
      </c>
      <c r="D1066">
        <v>0</v>
      </c>
      <c r="E1066" t="s">
        <v>24</v>
      </c>
      <c r="F1066" t="s">
        <v>24</v>
      </c>
      <c r="G1066" t="str">
        <f>"2026-03-04 14:29:15.598"</f>
        <v>2026-03-04 14:29:15.598</v>
      </c>
      <c r="H1066" t="s">
        <v>22</v>
      </c>
      <c r="I1066">
        <v>0</v>
      </c>
      <c r="J1066" t="s">
        <v>25</v>
      </c>
    </row>
    <row r="1067" spans="1:10" x14ac:dyDescent="0.25">
      <c r="A1067" s="1">
        <v>111</v>
      </c>
      <c r="B1067" t="s">
        <v>19</v>
      </c>
      <c r="C1067">
        <v>700</v>
      </c>
      <c r="D1067">
        <v>0</v>
      </c>
      <c r="E1067" t="s">
        <v>24</v>
      </c>
      <c r="F1067" t="s">
        <v>24</v>
      </c>
      <c r="G1067" t="str">
        <f>"2026-03-04 14:04:52.609"</f>
        <v>2026-03-04 14:04:52.609</v>
      </c>
      <c r="H1067" t="s">
        <v>22</v>
      </c>
      <c r="I1067">
        <v>0</v>
      </c>
      <c r="J1067" t="s">
        <v>25</v>
      </c>
    </row>
    <row r="1068" spans="1:10" x14ac:dyDescent="0.25">
      <c r="A1068" s="1">
        <v>112</v>
      </c>
      <c r="B1068" t="s">
        <v>34</v>
      </c>
      <c r="C1068">
        <v>630</v>
      </c>
      <c r="D1068">
        <v>5</v>
      </c>
      <c r="E1068" t="s">
        <v>39</v>
      </c>
      <c r="F1068" t="s">
        <v>40</v>
      </c>
      <c r="G1068" t="str">
        <f>"2026-03-04 13:47:05.270"</f>
        <v>2026-03-04 13:47:05.270</v>
      </c>
      <c r="H1068" t="s">
        <v>41</v>
      </c>
      <c r="I1068">
        <v>0</v>
      </c>
      <c r="J1068" t="s">
        <v>23</v>
      </c>
    </row>
    <row r="1069" spans="1:10" x14ac:dyDescent="0.25">
      <c r="A1069" s="1">
        <v>113</v>
      </c>
      <c r="B1069" t="s">
        <v>19</v>
      </c>
      <c r="C1069">
        <v>700</v>
      </c>
      <c r="D1069">
        <v>0</v>
      </c>
      <c r="E1069" t="s">
        <v>24</v>
      </c>
      <c r="F1069" t="s">
        <v>24</v>
      </c>
      <c r="G1069" t="str">
        <f>"2026-03-04 13:42:02.601"</f>
        <v>2026-03-04 13:42:02.601</v>
      </c>
      <c r="H1069" t="s">
        <v>22</v>
      </c>
      <c r="I1069">
        <v>0</v>
      </c>
      <c r="J1069" t="s">
        <v>25</v>
      </c>
    </row>
    <row r="1070" spans="1:10" x14ac:dyDescent="0.25">
      <c r="A1070" s="1">
        <v>114</v>
      </c>
      <c r="B1070" t="s">
        <v>19</v>
      </c>
      <c r="C1070">
        <v>700</v>
      </c>
      <c r="D1070">
        <v>0</v>
      </c>
      <c r="E1070" t="s">
        <v>24</v>
      </c>
      <c r="F1070" t="s">
        <v>24</v>
      </c>
      <c r="G1070" t="str">
        <f>"2026-03-04 13:37:35.602"</f>
        <v>2026-03-04 13:37:35.602</v>
      </c>
      <c r="H1070" t="s">
        <v>22</v>
      </c>
    </row>
    <row r="1071" spans="1:10" x14ac:dyDescent="0.25">
      <c r="A1071" s="1">
        <v>115</v>
      </c>
      <c r="B1071" t="s">
        <v>34</v>
      </c>
      <c r="C1071">
        <v>630</v>
      </c>
      <c r="D1071">
        <v>5</v>
      </c>
      <c r="E1071" t="s">
        <v>39</v>
      </c>
      <c r="F1071" t="s">
        <v>40</v>
      </c>
      <c r="G1071" t="str">
        <f>"2026-03-04 12:37:50.395"</f>
        <v>2026-03-04 12:37:50.395</v>
      </c>
      <c r="H1071" t="s">
        <v>41</v>
      </c>
      <c r="I1071">
        <v>0</v>
      </c>
      <c r="J1071" t="s">
        <v>23</v>
      </c>
    </row>
    <row r="1072" spans="1:10" x14ac:dyDescent="0.25">
      <c r="A1072" s="1">
        <v>116</v>
      </c>
      <c r="B1072" t="s">
        <v>19</v>
      </c>
      <c r="C1072">
        <v>700</v>
      </c>
      <c r="D1072">
        <v>0</v>
      </c>
      <c r="E1072" t="s">
        <v>24</v>
      </c>
      <c r="F1072" t="s">
        <v>24</v>
      </c>
      <c r="G1072" t="str">
        <f>"2026-03-04 12:32:47.626"</f>
        <v>2026-03-04 12:32:47.626</v>
      </c>
      <c r="H1072" t="s">
        <v>22</v>
      </c>
    </row>
    <row r="1073" spans="1:10" x14ac:dyDescent="0.25">
      <c r="A1073" s="1">
        <v>117</v>
      </c>
      <c r="B1073" t="s">
        <v>34</v>
      </c>
      <c r="C1073">
        <v>630</v>
      </c>
      <c r="D1073">
        <v>5</v>
      </c>
      <c r="E1073" t="s">
        <v>39</v>
      </c>
      <c r="F1073" t="s">
        <v>40</v>
      </c>
      <c r="G1073" t="str">
        <f>"2026-03-04 12:23:48.273"</f>
        <v>2026-03-04 12:23:48.273</v>
      </c>
      <c r="H1073" t="s">
        <v>41</v>
      </c>
      <c r="I1073">
        <v>0</v>
      </c>
      <c r="J1073" t="s">
        <v>23</v>
      </c>
    </row>
    <row r="1074" spans="1:10" x14ac:dyDescent="0.25">
      <c r="A1074" s="1">
        <v>118</v>
      </c>
      <c r="B1074" t="s">
        <v>19</v>
      </c>
      <c r="C1074">
        <v>700</v>
      </c>
      <c r="D1074">
        <v>0</v>
      </c>
      <c r="E1074" t="s">
        <v>24</v>
      </c>
      <c r="F1074" t="s">
        <v>24</v>
      </c>
      <c r="G1074" t="str">
        <f>"2026-03-04 12:18:45.602"</f>
        <v>2026-03-04 12:18:45.602</v>
      </c>
      <c r="H1074" t="s">
        <v>22</v>
      </c>
    </row>
    <row r="1075" spans="1:10" x14ac:dyDescent="0.25">
      <c r="A1075" s="1">
        <v>119</v>
      </c>
      <c r="B1075" t="s">
        <v>19</v>
      </c>
      <c r="C1075">
        <v>700</v>
      </c>
      <c r="D1075">
        <v>0</v>
      </c>
      <c r="E1075" t="s">
        <v>24</v>
      </c>
      <c r="F1075" t="s">
        <v>24</v>
      </c>
      <c r="G1075" t="str">
        <f>"2026-03-04 12:15:19.592"</f>
        <v>2026-03-04 12:15:19.592</v>
      </c>
      <c r="H1075" t="s">
        <v>22</v>
      </c>
    </row>
    <row r="1076" spans="1:10" x14ac:dyDescent="0.25">
      <c r="A1076" s="1">
        <v>120</v>
      </c>
      <c r="B1076" t="s">
        <v>19</v>
      </c>
      <c r="C1076">
        <v>700</v>
      </c>
      <c r="D1076">
        <v>0</v>
      </c>
      <c r="E1076" t="s">
        <v>24</v>
      </c>
      <c r="F1076" t="s">
        <v>24</v>
      </c>
      <c r="G1076" t="str">
        <f>"2026-03-04 12:13:43.605"</f>
        <v>2026-03-04 12:13:43.605</v>
      </c>
      <c r="H1076" t="s">
        <v>22</v>
      </c>
      <c r="I1076">
        <v>0</v>
      </c>
      <c r="J1076" t="s">
        <v>25</v>
      </c>
    </row>
    <row r="1077" spans="1:10" x14ac:dyDescent="0.25">
      <c r="A1077" s="1">
        <v>121</v>
      </c>
      <c r="B1077" t="s">
        <v>34</v>
      </c>
      <c r="C1077">
        <v>630</v>
      </c>
      <c r="D1077">
        <v>5</v>
      </c>
      <c r="E1077" t="s">
        <v>39</v>
      </c>
      <c r="F1077" t="s">
        <v>40</v>
      </c>
      <c r="G1077" t="str">
        <f>"2026-03-04 12:04:15.376"</f>
        <v>2026-03-04 12:04:15.376</v>
      </c>
      <c r="H1077" t="s">
        <v>41</v>
      </c>
      <c r="I1077">
        <v>0</v>
      </c>
      <c r="J1077" t="s">
        <v>23</v>
      </c>
    </row>
    <row r="1078" spans="1:10" x14ac:dyDescent="0.25">
      <c r="A1078" s="1">
        <v>122</v>
      </c>
      <c r="B1078" t="s">
        <v>19</v>
      </c>
      <c r="C1078">
        <v>700</v>
      </c>
      <c r="D1078">
        <v>0</v>
      </c>
      <c r="E1078" t="s">
        <v>24</v>
      </c>
      <c r="F1078" t="s">
        <v>24</v>
      </c>
      <c r="G1078" t="str">
        <f>"2026-03-04 11:59:12.593"</f>
        <v>2026-03-04 11:59:12.593</v>
      </c>
      <c r="H1078" t="s">
        <v>22</v>
      </c>
    </row>
    <row r="1079" spans="1:10" x14ac:dyDescent="0.25">
      <c r="A1079" s="1">
        <v>123</v>
      </c>
      <c r="B1079" t="s">
        <v>19</v>
      </c>
      <c r="C1079">
        <v>706</v>
      </c>
      <c r="D1079">
        <v>2</v>
      </c>
      <c r="E1079" t="s">
        <v>20</v>
      </c>
      <c r="F1079" t="s">
        <v>54</v>
      </c>
      <c r="G1079" t="str">
        <f>"2026-03-04 11:40:43.239"</f>
        <v>2026-03-04 11:40:43.239</v>
      </c>
      <c r="H1079" t="s">
        <v>22</v>
      </c>
      <c r="I1079">
        <v>0</v>
      </c>
      <c r="J1079" t="s">
        <v>23</v>
      </c>
    </row>
    <row r="1080" spans="1:10" x14ac:dyDescent="0.25">
      <c r="A1080" s="1">
        <v>124</v>
      </c>
      <c r="B1080" t="s">
        <v>19</v>
      </c>
      <c r="C1080">
        <v>700</v>
      </c>
      <c r="D1080">
        <v>0</v>
      </c>
      <c r="E1080" t="s">
        <v>24</v>
      </c>
      <c r="F1080" t="s">
        <v>24</v>
      </c>
      <c r="G1080" t="str">
        <f>"2026-03-04 11:39:01.599"</f>
        <v>2026-03-04 11:39:01.599</v>
      </c>
      <c r="H1080" t="s">
        <v>22</v>
      </c>
      <c r="I1080">
        <v>0</v>
      </c>
      <c r="J1080" t="s">
        <v>25</v>
      </c>
    </row>
    <row r="1081" spans="1:10" x14ac:dyDescent="0.25">
      <c r="A1081" s="1">
        <v>125</v>
      </c>
      <c r="B1081" t="s">
        <v>19</v>
      </c>
      <c r="C1081">
        <v>706</v>
      </c>
      <c r="D1081">
        <v>4</v>
      </c>
      <c r="E1081" t="s">
        <v>20</v>
      </c>
      <c r="F1081" t="s">
        <v>21</v>
      </c>
      <c r="G1081" t="str">
        <f>"2026-03-04 11:34:02.014"</f>
        <v>2026-03-04 11:34:02.014</v>
      </c>
      <c r="H1081" t="s">
        <v>22</v>
      </c>
      <c r="I1081">
        <v>0</v>
      </c>
      <c r="J1081" t="s">
        <v>23</v>
      </c>
    </row>
    <row r="1082" spans="1:10" x14ac:dyDescent="0.25">
      <c r="A1082" s="1">
        <v>126</v>
      </c>
      <c r="B1082" t="s">
        <v>19</v>
      </c>
      <c r="C1082">
        <v>700</v>
      </c>
      <c r="D1082">
        <v>0</v>
      </c>
      <c r="E1082" t="s">
        <v>24</v>
      </c>
      <c r="F1082" t="s">
        <v>24</v>
      </c>
      <c r="G1082" t="str">
        <f>"2026-03-04 11:33:19.604"</f>
        <v>2026-03-04 11:33:19.604</v>
      </c>
      <c r="H1082" t="s">
        <v>22</v>
      </c>
    </row>
    <row r="1083" spans="1:10" x14ac:dyDescent="0.25">
      <c r="A1083" s="1">
        <v>127</v>
      </c>
      <c r="B1083" t="s">
        <v>19</v>
      </c>
      <c r="C1083">
        <v>700</v>
      </c>
      <c r="D1083">
        <v>0</v>
      </c>
      <c r="E1083" t="s">
        <v>24</v>
      </c>
      <c r="F1083" t="s">
        <v>24</v>
      </c>
      <c r="G1083" t="str">
        <f>"2026-03-04 11:30:34.602"</f>
        <v>2026-03-04 11:30:34.602</v>
      </c>
      <c r="H1083" t="s">
        <v>22</v>
      </c>
    </row>
    <row r="1084" spans="1:10" x14ac:dyDescent="0.25">
      <c r="A1084" s="1">
        <v>128</v>
      </c>
      <c r="B1084" t="s">
        <v>19</v>
      </c>
      <c r="C1084">
        <v>706</v>
      </c>
      <c r="D1084">
        <v>2</v>
      </c>
      <c r="E1084" t="s">
        <v>20</v>
      </c>
      <c r="F1084" t="s">
        <v>54</v>
      </c>
      <c r="G1084" t="str">
        <f>"2026-03-04 08:46:50.440"</f>
        <v>2026-03-04 08:46:50.440</v>
      </c>
      <c r="H1084" t="s">
        <v>22</v>
      </c>
      <c r="I1084">
        <v>0</v>
      </c>
      <c r="J1084" t="s">
        <v>23</v>
      </c>
    </row>
    <row r="1085" spans="1:10" x14ac:dyDescent="0.25">
      <c r="A1085" s="1">
        <v>129</v>
      </c>
      <c r="B1085" t="s">
        <v>19</v>
      </c>
      <c r="C1085">
        <v>700</v>
      </c>
      <c r="D1085">
        <v>0</v>
      </c>
      <c r="E1085" t="s">
        <v>24</v>
      </c>
      <c r="F1085" t="s">
        <v>24</v>
      </c>
      <c r="G1085" t="str">
        <f>"2026-03-04 08:43:30.030"</f>
        <v>2026-03-04 08:43:30.030</v>
      </c>
      <c r="H1085" t="s">
        <v>22</v>
      </c>
      <c r="I1085">
        <v>0</v>
      </c>
      <c r="J1085" t="s">
        <v>25</v>
      </c>
    </row>
    <row r="1086" spans="1:10" x14ac:dyDescent="0.25">
      <c r="A1086" s="1">
        <v>130</v>
      </c>
      <c r="B1086" t="s">
        <v>26</v>
      </c>
      <c r="C1086">
        <v>619</v>
      </c>
      <c r="D1086">
        <v>1</v>
      </c>
      <c r="E1086" t="s">
        <v>79</v>
      </c>
      <c r="F1086" t="s">
        <v>28</v>
      </c>
      <c r="G1086" t="str">
        <f>"2026-03-04 08:22:39.712"</f>
        <v>2026-03-04 08:22:39.712</v>
      </c>
      <c r="H1086" t="s">
        <v>80</v>
      </c>
    </row>
    <row r="1087" spans="1:10" x14ac:dyDescent="0.25">
      <c r="A1087" s="1">
        <v>131</v>
      </c>
      <c r="B1087" t="s">
        <v>29</v>
      </c>
      <c r="C1087">
        <v>619</v>
      </c>
      <c r="D1087">
        <v>1</v>
      </c>
      <c r="E1087" t="s">
        <v>79</v>
      </c>
      <c r="F1087" t="s">
        <v>28</v>
      </c>
      <c r="G1087" t="str">
        <f>"2026-03-04 08:17:40.112"</f>
        <v>2026-03-04 08:17:40.112</v>
      </c>
      <c r="H1087" t="s">
        <v>80</v>
      </c>
      <c r="I1087">
        <v>0</v>
      </c>
      <c r="J1087" t="s">
        <v>93</v>
      </c>
    </row>
    <row r="1088" spans="1:10" x14ac:dyDescent="0.25">
      <c r="A1088" s="1">
        <v>132</v>
      </c>
      <c r="B1088" t="s">
        <v>19</v>
      </c>
      <c r="C1088">
        <v>700</v>
      </c>
      <c r="D1088">
        <v>0</v>
      </c>
      <c r="E1088" t="s">
        <v>24</v>
      </c>
      <c r="F1088" t="s">
        <v>24</v>
      </c>
      <c r="G1088" t="str">
        <f>"2026-03-04 08:17:33.584"</f>
        <v>2026-03-04 08:17:33.584</v>
      </c>
      <c r="H1088" t="s">
        <v>22</v>
      </c>
    </row>
    <row r="1089" spans="1:10" x14ac:dyDescent="0.25">
      <c r="A1089" s="1">
        <v>133</v>
      </c>
      <c r="B1089" t="s">
        <v>26</v>
      </c>
      <c r="C1089">
        <v>619</v>
      </c>
      <c r="D1089">
        <v>1</v>
      </c>
      <c r="E1089" t="s">
        <v>79</v>
      </c>
      <c r="F1089" t="s">
        <v>28</v>
      </c>
      <c r="G1089" t="str">
        <f>"2026-03-04 08:16:06.875"</f>
        <v>2026-03-04 08:16:06.875</v>
      </c>
      <c r="H1089" t="s">
        <v>80</v>
      </c>
    </row>
    <row r="1090" spans="1:10" x14ac:dyDescent="0.25">
      <c r="A1090" s="1">
        <v>134</v>
      </c>
      <c r="B1090" t="s">
        <v>29</v>
      </c>
      <c r="C1090">
        <v>619</v>
      </c>
      <c r="D1090">
        <v>1</v>
      </c>
      <c r="E1090" t="s">
        <v>79</v>
      </c>
      <c r="F1090" t="s">
        <v>28</v>
      </c>
      <c r="G1090" t="str">
        <f>"2026-03-04 08:15:30.327"</f>
        <v>2026-03-04 08:15:30.327</v>
      </c>
      <c r="H1090" t="s">
        <v>80</v>
      </c>
      <c r="I1090">
        <v>0</v>
      </c>
      <c r="J1090" t="s">
        <v>23</v>
      </c>
    </row>
    <row r="1091" spans="1:10" x14ac:dyDescent="0.25">
      <c r="A1091" s="1">
        <v>135</v>
      </c>
      <c r="B1091" t="s">
        <v>19</v>
      </c>
      <c r="C1091">
        <v>700</v>
      </c>
      <c r="D1091">
        <v>0</v>
      </c>
      <c r="E1091" t="s">
        <v>24</v>
      </c>
      <c r="F1091" t="s">
        <v>24</v>
      </c>
      <c r="G1091" t="str">
        <f>"2026-03-04 08:15:18.598"</f>
        <v>2026-03-04 08:15:18.598</v>
      </c>
      <c r="H1091" t="s">
        <v>22</v>
      </c>
      <c r="I1091">
        <v>0</v>
      </c>
      <c r="J1091" t="s">
        <v>25</v>
      </c>
    </row>
    <row r="1092" spans="1:10" x14ac:dyDescent="0.25">
      <c r="A1092" s="1">
        <v>136</v>
      </c>
      <c r="B1092" t="s">
        <v>26</v>
      </c>
      <c r="C1092">
        <v>619</v>
      </c>
      <c r="D1092">
        <v>1</v>
      </c>
      <c r="E1092" t="s">
        <v>79</v>
      </c>
      <c r="F1092" t="s">
        <v>28</v>
      </c>
      <c r="G1092" t="str">
        <f>"2026-03-04 08:14:23.386"</f>
        <v>2026-03-04 08:14:23.386</v>
      </c>
      <c r="H1092" t="s">
        <v>80</v>
      </c>
    </row>
    <row r="1093" spans="1:10" x14ac:dyDescent="0.25">
      <c r="A1093" s="1">
        <v>137</v>
      </c>
      <c r="B1093" t="s">
        <v>29</v>
      </c>
      <c r="C1093">
        <v>619</v>
      </c>
      <c r="D1093">
        <v>1</v>
      </c>
      <c r="E1093" t="s">
        <v>79</v>
      </c>
      <c r="F1093" t="s">
        <v>28</v>
      </c>
      <c r="G1093" t="str">
        <f>"2026-03-04 08:12:30.338"</f>
        <v>2026-03-04 08:12:30.338</v>
      </c>
      <c r="H1093" t="s">
        <v>80</v>
      </c>
      <c r="I1093">
        <v>7.52</v>
      </c>
      <c r="J1093" t="s">
        <v>30</v>
      </c>
    </row>
    <row r="1094" spans="1:10" x14ac:dyDescent="0.25">
      <c r="A1094" s="1">
        <v>138</v>
      </c>
      <c r="B1094" t="s">
        <v>19</v>
      </c>
      <c r="C1094">
        <v>700</v>
      </c>
      <c r="D1094">
        <v>0</v>
      </c>
      <c r="E1094" t="s">
        <v>24</v>
      </c>
      <c r="F1094" t="s">
        <v>24</v>
      </c>
      <c r="G1094" t="str">
        <f>"2026-03-04 07:41:32.619"</f>
        <v>2026-03-04 07:41:32.619</v>
      </c>
      <c r="H1094" t="s">
        <v>22</v>
      </c>
      <c r="I1094">
        <v>0</v>
      </c>
      <c r="J1094" t="s">
        <v>25</v>
      </c>
    </row>
    <row r="1095" spans="1:10" x14ac:dyDescent="0.25">
      <c r="A1095" s="1">
        <v>139</v>
      </c>
      <c r="B1095" t="s">
        <v>26</v>
      </c>
      <c r="C1095">
        <v>619</v>
      </c>
      <c r="D1095">
        <v>1</v>
      </c>
      <c r="E1095" t="s">
        <v>79</v>
      </c>
      <c r="F1095" t="s">
        <v>28</v>
      </c>
      <c r="G1095" t="str">
        <f>"2026-03-04 07:35:45.340"</f>
        <v>2026-03-04 07:35:45.340</v>
      </c>
      <c r="H1095" t="s">
        <v>80</v>
      </c>
    </row>
    <row r="1096" spans="1:10" x14ac:dyDescent="0.25">
      <c r="A1096" s="1">
        <v>140</v>
      </c>
      <c r="B1096" t="s">
        <v>29</v>
      </c>
      <c r="C1096">
        <v>619</v>
      </c>
      <c r="D1096">
        <v>1</v>
      </c>
      <c r="E1096" t="s">
        <v>79</v>
      </c>
      <c r="F1096" t="s">
        <v>28</v>
      </c>
      <c r="G1096" t="str">
        <f>"2026-03-04 07:35:17.740"</f>
        <v>2026-03-04 07:35:17.740</v>
      </c>
      <c r="H1096" t="s">
        <v>80</v>
      </c>
      <c r="I1096">
        <v>0</v>
      </c>
      <c r="J1096" t="s">
        <v>38</v>
      </c>
    </row>
    <row r="1097" spans="1:10" x14ac:dyDescent="0.25">
      <c r="A1097" s="1">
        <v>141</v>
      </c>
      <c r="B1097" t="s">
        <v>26</v>
      </c>
      <c r="C1097">
        <v>619</v>
      </c>
      <c r="D1097">
        <v>1</v>
      </c>
      <c r="E1097" t="s">
        <v>79</v>
      </c>
      <c r="F1097" t="s">
        <v>28</v>
      </c>
      <c r="G1097" t="str">
        <f>"2026-03-04 07:33:31.040"</f>
        <v>2026-03-04 07:33:31.040</v>
      </c>
      <c r="H1097" t="s">
        <v>80</v>
      </c>
    </row>
    <row r="1098" spans="1:10" x14ac:dyDescent="0.25">
      <c r="A1098" s="1">
        <v>142</v>
      </c>
      <c r="B1098" t="s">
        <v>29</v>
      </c>
      <c r="C1098">
        <v>619</v>
      </c>
      <c r="D1098">
        <v>1</v>
      </c>
      <c r="E1098" t="s">
        <v>79</v>
      </c>
      <c r="F1098" t="s">
        <v>28</v>
      </c>
      <c r="G1098" t="str">
        <f>"2026-03-04 07:33:01.540"</f>
        <v>2026-03-04 07:33:01.540</v>
      </c>
      <c r="H1098" t="s">
        <v>80</v>
      </c>
      <c r="I1098">
        <v>0</v>
      </c>
      <c r="J1098" t="s">
        <v>38</v>
      </c>
    </row>
    <row r="1099" spans="1:10" x14ac:dyDescent="0.25">
      <c r="A1099" s="1">
        <v>143</v>
      </c>
      <c r="B1099" t="s">
        <v>26</v>
      </c>
      <c r="C1099">
        <v>619</v>
      </c>
      <c r="D1099">
        <v>1</v>
      </c>
      <c r="E1099" t="s">
        <v>79</v>
      </c>
      <c r="F1099" t="s">
        <v>28</v>
      </c>
      <c r="G1099" t="str">
        <f>"2026-03-04 07:32:17.188"</f>
        <v>2026-03-04 07:32:17.188</v>
      </c>
      <c r="H1099" t="s">
        <v>80</v>
      </c>
    </row>
    <row r="1100" spans="1:10" x14ac:dyDescent="0.25">
      <c r="A1100" s="1">
        <v>144</v>
      </c>
      <c r="B1100" t="s">
        <v>29</v>
      </c>
      <c r="C1100">
        <v>619</v>
      </c>
      <c r="D1100">
        <v>1</v>
      </c>
      <c r="E1100" t="s">
        <v>79</v>
      </c>
      <c r="F1100" t="s">
        <v>28</v>
      </c>
      <c r="G1100" t="str">
        <f>"2026-03-04 07:32:09.540"</f>
        <v>2026-03-04 07:32:09.540</v>
      </c>
      <c r="H1100" t="s">
        <v>80</v>
      </c>
      <c r="I1100">
        <v>-2.04</v>
      </c>
      <c r="J1100" t="s">
        <v>30</v>
      </c>
    </row>
    <row r="1101" spans="1:10" x14ac:dyDescent="0.25">
      <c r="A1101" s="1">
        <v>145</v>
      </c>
      <c r="B1101" t="s">
        <v>26</v>
      </c>
      <c r="C1101">
        <v>619</v>
      </c>
      <c r="D1101">
        <v>1</v>
      </c>
      <c r="E1101" t="s">
        <v>79</v>
      </c>
      <c r="F1101" t="s">
        <v>28</v>
      </c>
      <c r="G1101" t="str">
        <f>"2026-03-04 07:31:30.388"</f>
        <v>2026-03-04 07:31:30.388</v>
      </c>
      <c r="H1101" t="s">
        <v>80</v>
      </c>
    </row>
    <row r="1102" spans="1:10" x14ac:dyDescent="0.25">
      <c r="A1102" s="1">
        <v>146</v>
      </c>
      <c r="B1102" t="s">
        <v>29</v>
      </c>
      <c r="C1102">
        <v>619</v>
      </c>
      <c r="D1102">
        <v>1</v>
      </c>
      <c r="E1102" t="s">
        <v>79</v>
      </c>
      <c r="F1102" t="s">
        <v>28</v>
      </c>
      <c r="G1102" t="str">
        <f>"2026-03-04 07:31:10.240"</f>
        <v>2026-03-04 07:31:10.240</v>
      </c>
      <c r="H1102" t="s">
        <v>80</v>
      </c>
      <c r="I1102">
        <v>13.36</v>
      </c>
      <c r="J1102" t="s">
        <v>30</v>
      </c>
    </row>
    <row r="1103" spans="1:10" x14ac:dyDescent="0.25">
      <c r="A1103" s="1">
        <v>147</v>
      </c>
      <c r="B1103" t="s">
        <v>26</v>
      </c>
      <c r="C1103">
        <v>619</v>
      </c>
      <c r="D1103">
        <v>1</v>
      </c>
      <c r="E1103" t="s">
        <v>79</v>
      </c>
      <c r="F1103" t="s">
        <v>28</v>
      </c>
      <c r="G1103" t="str">
        <f>"2026-03-04 07:30:53.988"</f>
        <v>2026-03-04 07:30:53.988</v>
      </c>
      <c r="H1103" t="s">
        <v>80</v>
      </c>
    </row>
    <row r="1104" spans="1:10" x14ac:dyDescent="0.25">
      <c r="A1104" s="1">
        <v>148</v>
      </c>
      <c r="B1104" t="s">
        <v>29</v>
      </c>
      <c r="C1104">
        <v>619</v>
      </c>
      <c r="D1104">
        <v>1</v>
      </c>
      <c r="E1104" t="s">
        <v>79</v>
      </c>
      <c r="F1104" t="s">
        <v>28</v>
      </c>
      <c r="G1104" t="str">
        <f>"2026-03-04 07:30:27.589"</f>
        <v>2026-03-04 07:30:27.589</v>
      </c>
      <c r="H1104" t="s">
        <v>80</v>
      </c>
      <c r="I1104">
        <v>17.670000000000002</v>
      </c>
      <c r="J1104" t="s">
        <v>30</v>
      </c>
    </row>
    <row r="1105" spans="1:10" x14ac:dyDescent="0.25">
      <c r="A1105" s="1">
        <v>149</v>
      </c>
      <c r="B1105" t="s">
        <v>19</v>
      </c>
      <c r="C1105">
        <v>700</v>
      </c>
      <c r="D1105">
        <v>0</v>
      </c>
      <c r="E1105" t="s">
        <v>24</v>
      </c>
      <c r="F1105" t="s">
        <v>24</v>
      </c>
      <c r="G1105" t="str">
        <f>"2026-03-04 06:06:30.611"</f>
        <v>2026-03-04 06:06:30.611</v>
      </c>
      <c r="H1105" t="s">
        <v>22</v>
      </c>
      <c r="I1105">
        <v>0</v>
      </c>
      <c r="J1105" t="s">
        <v>25</v>
      </c>
    </row>
    <row r="1106" spans="1:10" x14ac:dyDescent="0.25">
      <c r="A1106" s="1">
        <v>150</v>
      </c>
      <c r="B1106" t="s">
        <v>26</v>
      </c>
      <c r="C1106">
        <v>619</v>
      </c>
      <c r="D1106">
        <v>1</v>
      </c>
      <c r="E1106" t="s">
        <v>79</v>
      </c>
      <c r="F1106" t="s">
        <v>28</v>
      </c>
      <c r="G1106" t="str">
        <f>"2026-03-04 06:02:40.770"</f>
        <v>2026-03-04 06:02:40.770</v>
      </c>
      <c r="H1106" t="s">
        <v>80</v>
      </c>
    </row>
    <row r="1107" spans="1:10" x14ac:dyDescent="0.25">
      <c r="A1107" s="1">
        <v>151</v>
      </c>
      <c r="B1107" t="s">
        <v>29</v>
      </c>
      <c r="C1107">
        <v>619</v>
      </c>
      <c r="D1107">
        <v>1</v>
      </c>
      <c r="E1107" t="s">
        <v>79</v>
      </c>
      <c r="F1107" t="s">
        <v>28</v>
      </c>
      <c r="G1107" t="str">
        <f>"2026-03-04 06:02:28.570"</f>
        <v>2026-03-04 06:02:28.570</v>
      </c>
      <c r="H1107" t="s">
        <v>80</v>
      </c>
      <c r="I1107">
        <v>0</v>
      </c>
      <c r="J1107" t="s">
        <v>38</v>
      </c>
    </row>
    <row r="1108" spans="1:10" x14ac:dyDescent="0.25">
      <c r="A1108" s="1">
        <v>152</v>
      </c>
      <c r="B1108" t="s">
        <v>26</v>
      </c>
      <c r="C1108">
        <v>619</v>
      </c>
      <c r="D1108">
        <v>1</v>
      </c>
      <c r="E1108" t="s">
        <v>79</v>
      </c>
      <c r="F1108" t="s">
        <v>28</v>
      </c>
      <c r="G1108" t="str">
        <f>"2026-03-04 06:02:22.717"</f>
        <v>2026-03-04 06:02:22.717</v>
      </c>
      <c r="H1108" t="s">
        <v>80</v>
      </c>
    </row>
    <row r="1109" spans="1:10" x14ac:dyDescent="0.25">
      <c r="A1109" s="1">
        <v>153</v>
      </c>
      <c r="B1109" t="s">
        <v>29</v>
      </c>
      <c r="C1109">
        <v>619</v>
      </c>
      <c r="D1109">
        <v>1</v>
      </c>
      <c r="E1109" t="s">
        <v>79</v>
      </c>
      <c r="F1109" t="s">
        <v>28</v>
      </c>
      <c r="G1109" t="str">
        <f>"2026-03-04 06:01:56.317"</f>
        <v>2026-03-04 06:01:56.317</v>
      </c>
      <c r="H1109" t="s">
        <v>80</v>
      </c>
      <c r="I1109">
        <v>0</v>
      </c>
      <c r="J1109" t="s">
        <v>38</v>
      </c>
    </row>
    <row r="1110" spans="1:10" x14ac:dyDescent="0.25">
      <c r="A1110" s="1">
        <v>154</v>
      </c>
      <c r="B1110" t="s">
        <v>19</v>
      </c>
      <c r="C1110">
        <v>706</v>
      </c>
      <c r="D1110">
        <v>4</v>
      </c>
      <c r="E1110" t="s">
        <v>20</v>
      </c>
      <c r="F1110" t="s">
        <v>21</v>
      </c>
      <c r="G1110" t="str">
        <f>"2026-03-04 05:51:23.670"</f>
        <v>2026-03-04 05:51:23.670</v>
      </c>
      <c r="H1110" t="s">
        <v>22</v>
      </c>
      <c r="I1110">
        <v>0</v>
      </c>
      <c r="J1110" t="s">
        <v>23</v>
      </c>
    </row>
    <row r="1111" spans="1:10" x14ac:dyDescent="0.25">
      <c r="A1111" s="1">
        <v>155</v>
      </c>
      <c r="B1111" t="s">
        <v>26</v>
      </c>
      <c r="C1111">
        <v>619</v>
      </c>
      <c r="D1111">
        <v>1</v>
      </c>
      <c r="E1111" t="s">
        <v>79</v>
      </c>
      <c r="F1111" t="s">
        <v>28</v>
      </c>
      <c r="G1111" t="str">
        <f>"2026-03-04 05:51:02.370"</f>
        <v>2026-03-04 05:51:02.370</v>
      </c>
      <c r="H1111" t="s">
        <v>80</v>
      </c>
    </row>
    <row r="1112" spans="1:10" x14ac:dyDescent="0.25">
      <c r="A1112" s="1">
        <v>156</v>
      </c>
      <c r="B1112" t="s">
        <v>29</v>
      </c>
      <c r="C1112">
        <v>619</v>
      </c>
      <c r="D1112">
        <v>1</v>
      </c>
      <c r="E1112" t="s">
        <v>79</v>
      </c>
      <c r="F1112" t="s">
        <v>28</v>
      </c>
      <c r="G1112" t="str">
        <f>"2026-03-04 05:49:43.117"</f>
        <v>2026-03-04 05:49:43.117</v>
      </c>
      <c r="H1112" t="s">
        <v>80</v>
      </c>
      <c r="I1112">
        <v>3.48</v>
      </c>
      <c r="J1112" t="s">
        <v>30</v>
      </c>
    </row>
    <row r="1113" spans="1:10" x14ac:dyDescent="0.25">
      <c r="A1113" s="1">
        <v>157</v>
      </c>
      <c r="B1113" t="s">
        <v>19</v>
      </c>
      <c r="C1113">
        <v>706</v>
      </c>
      <c r="D1113">
        <v>2</v>
      </c>
      <c r="E1113" t="s">
        <v>20</v>
      </c>
      <c r="F1113" t="s">
        <v>54</v>
      </c>
      <c r="G1113" t="str">
        <f>"2026-03-04 01:11:13.340"</f>
        <v>2026-03-04 01:11:13.340</v>
      </c>
      <c r="H1113" t="s">
        <v>22</v>
      </c>
      <c r="I1113">
        <v>0</v>
      </c>
      <c r="J1113" t="s">
        <v>23</v>
      </c>
    </row>
    <row r="1114" spans="1:10" x14ac:dyDescent="0.25">
      <c r="A1114" s="1">
        <v>158</v>
      </c>
      <c r="B1114" t="s">
        <v>19</v>
      </c>
      <c r="C1114">
        <v>706</v>
      </c>
      <c r="D1114">
        <v>3</v>
      </c>
      <c r="E1114" t="s">
        <v>20</v>
      </c>
      <c r="F1114" t="s">
        <v>48</v>
      </c>
      <c r="G1114" t="str">
        <f>"2026-03-04 01:11:07.110"</f>
        <v>2026-03-04 01:11:07.110</v>
      </c>
      <c r="H1114" t="s">
        <v>22</v>
      </c>
      <c r="I1114">
        <v>0</v>
      </c>
      <c r="J1114" t="s">
        <v>23</v>
      </c>
    </row>
    <row r="1115" spans="1:10" x14ac:dyDescent="0.25">
      <c r="A1115" s="1">
        <v>159</v>
      </c>
      <c r="B1115" t="s">
        <v>26</v>
      </c>
      <c r="C1115">
        <v>619</v>
      </c>
      <c r="D1115">
        <v>1</v>
      </c>
      <c r="E1115" t="s">
        <v>79</v>
      </c>
      <c r="F1115" t="s">
        <v>28</v>
      </c>
      <c r="G1115" t="str">
        <f>"2026-03-04 01:10:41.970"</f>
        <v>2026-03-04 01:10:41.970</v>
      </c>
      <c r="H1115" t="s">
        <v>80</v>
      </c>
    </row>
    <row r="1116" spans="1:10" x14ac:dyDescent="0.25">
      <c r="A1116" s="1">
        <v>160</v>
      </c>
      <c r="B1116" t="s">
        <v>29</v>
      </c>
      <c r="C1116">
        <v>619</v>
      </c>
      <c r="D1116">
        <v>1</v>
      </c>
      <c r="E1116" t="s">
        <v>79</v>
      </c>
      <c r="F1116" t="s">
        <v>28</v>
      </c>
      <c r="G1116" t="str">
        <f>"2026-03-04 01:09:32.570"</f>
        <v>2026-03-04 01:09:32.570</v>
      </c>
      <c r="H1116" t="s">
        <v>80</v>
      </c>
      <c r="I1116">
        <v>13.24</v>
      </c>
      <c r="J1116" t="s">
        <v>37</v>
      </c>
    </row>
    <row r="1117" spans="1:10" x14ac:dyDescent="0.25">
      <c r="A1117" s="1">
        <v>161</v>
      </c>
      <c r="B1117" t="s">
        <v>26</v>
      </c>
      <c r="C1117">
        <v>619</v>
      </c>
      <c r="D1117">
        <v>1</v>
      </c>
      <c r="E1117" t="s">
        <v>79</v>
      </c>
      <c r="F1117" t="s">
        <v>28</v>
      </c>
      <c r="G1117" t="str">
        <f>"2026-03-04 00:29:21.217"</f>
        <v>2026-03-04 00:29:21.217</v>
      </c>
      <c r="H1117" t="s">
        <v>80</v>
      </c>
    </row>
    <row r="1118" spans="1:10" x14ac:dyDescent="0.25">
      <c r="A1118" s="1">
        <v>162</v>
      </c>
      <c r="B1118" t="s">
        <v>29</v>
      </c>
      <c r="C1118">
        <v>619</v>
      </c>
      <c r="D1118">
        <v>1</v>
      </c>
      <c r="E1118" t="s">
        <v>79</v>
      </c>
      <c r="F1118" t="s">
        <v>28</v>
      </c>
      <c r="G1118" t="str">
        <f>"2026-03-04 00:28:31.917"</f>
        <v>2026-03-04 00:28:31.917</v>
      </c>
      <c r="H1118" t="s">
        <v>80</v>
      </c>
      <c r="I1118">
        <v>5.18</v>
      </c>
      <c r="J1118" t="s">
        <v>30</v>
      </c>
    </row>
    <row r="1119" spans="1:10" x14ac:dyDescent="0.25">
      <c r="A1119" s="1">
        <v>163</v>
      </c>
      <c r="B1119" t="s">
        <v>26</v>
      </c>
      <c r="C1119">
        <v>619</v>
      </c>
      <c r="D1119">
        <v>1</v>
      </c>
      <c r="E1119" t="s">
        <v>79</v>
      </c>
      <c r="F1119" t="s">
        <v>28</v>
      </c>
      <c r="G1119" t="str">
        <f>"2026-03-03 23:00:24.970"</f>
        <v>2026-03-03 23:00:24.970</v>
      </c>
      <c r="H1119" t="s">
        <v>80</v>
      </c>
    </row>
    <row r="1120" spans="1:10" x14ac:dyDescent="0.25">
      <c r="A1120" s="1">
        <v>164</v>
      </c>
      <c r="B1120" t="s">
        <v>29</v>
      </c>
      <c r="C1120">
        <v>619</v>
      </c>
      <c r="D1120">
        <v>1</v>
      </c>
      <c r="E1120" t="s">
        <v>79</v>
      </c>
      <c r="F1120" t="s">
        <v>28</v>
      </c>
      <c r="G1120" t="str">
        <f>"2026-03-03 22:59:58.570"</f>
        <v>2026-03-03 22:59:58.570</v>
      </c>
      <c r="H1120" t="s">
        <v>80</v>
      </c>
      <c r="I1120">
        <v>18.66</v>
      </c>
      <c r="J1120" t="s">
        <v>37</v>
      </c>
    </row>
    <row r="1121" spans="1:10" x14ac:dyDescent="0.25">
      <c r="A1121" s="1">
        <v>165</v>
      </c>
      <c r="B1121" t="s">
        <v>26</v>
      </c>
      <c r="C1121">
        <v>619</v>
      </c>
      <c r="D1121">
        <v>1</v>
      </c>
      <c r="E1121" t="s">
        <v>79</v>
      </c>
      <c r="F1121" t="s">
        <v>28</v>
      </c>
      <c r="G1121" t="str">
        <f>"2026-03-03 22:59:06.970"</f>
        <v>2026-03-03 22:59:06.970</v>
      </c>
      <c r="H1121" t="s">
        <v>80</v>
      </c>
    </row>
    <row r="1122" spans="1:10" x14ac:dyDescent="0.25">
      <c r="A1122" s="1">
        <v>166</v>
      </c>
      <c r="B1122" t="s">
        <v>29</v>
      </c>
      <c r="C1122">
        <v>619</v>
      </c>
      <c r="D1122">
        <v>1</v>
      </c>
      <c r="E1122" t="s">
        <v>79</v>
      </c>
      <c r="F1122" t="s">
        <v>28</v>
      </c>
      <c r="G1122" t="str">
        <f>"2026-03-03 22:58:44.717"</f>
        <v>2026-03-03 22:58:44.717</v>
      </c>
      <c r="H1122" t="s">
        <v>80</v>
      </c>
      <c r="I1122">
        <v>0</v>
      </c>
      <c r="J1122" t="s">
        <v>38</v>
      </c>
    </row>
    <row r="1123" spans="1:10" x14ac:dyDescent="0.25">
      <c r="A1123" s="1">
        <v>167</v>
      </c>
      <c r="B1123" t="s">
        <v>19</v>
      </c>
      <c r="C1123">
        <v>706</v>
      </c>
      <c r="D1123">
        <v>4</v>
      </c>
      <c r="E1123" t="s">
        <v>20</v>
      </c>
      <c r="F1123" t="s">
        <v>21</v>
      </c>
      <c r="G1123" t="str">
        <f>"2026-03-03 22:58:25.460"</f>
        <v>2026-03-03 22:58:25.460</v>
      </c>
      <c r="H1123" t="s">
        <v>22</v>
      </c>
      <c r="I1123">
        <v>0</v>
      </c>
      <c r="J1123" t="s">
        <v>23</v>
      </c>
    </row>
    <row r="1124" spans="1:10" x14ac:dyDescent="0.25">
      <c r="A1124" s="1">
        <v>168</v>
      </c>
      <c r="B1124" t="s">
        <v>26</v>
      </c>
      <c r="C1124">
        <v>619</v>
      </c>
      <c r="D1124">
        <v>1</v>
      </c>
      <c r="E1124" t="s">
        <v>79</v>
      </c>
      <c r="F1124" t="s">
        <v>28</v>
      </c>
      <c r="G1124" t="str">
        <f>"2026-03-03 22:58:03.370"</f>
        <v>2026-03-03 22:58:03.370</v>
      </c>
      <c r="H1124" t="s">
        <v>80</v>
      </c>
    </row>
    <row r="1125" spans="1:10" x14ac:dyDescent="0.25">
      <c r="A1125" s="1">
        <v>169</v>
      </c>
      <c r="B1125" t="s">
        <v>29</v>
      </c>
      <c r="C1125">
        <v>619</v>
      </c>
      <c r="D1125">
        <v>1</v>
      </c>
      <c r="E1125" t="s">
        <v>79</v>
      </c>
      <c r="F1125" t="s">
        <v>28</v>
      </c>
      <c r="G1125" t="str">
        <f>"2026-03-03 22:56:49.270"</f>
        <v>2026-03-03 22:56:49.270</v>
      </c>
      <c r="H1125" t="s">
        <v>80</v>
      </c>
      <c r="I1125">
        <v>12.52</v>
      </c>
      <c r="J1125" t="s">
        <v>37</v>
      </c>
    </row>
    <row r="1126" spans="1:10" x14ac:dyDescent="0.25">
      <c r="A1126" s="1">
        <v>170</v>
      </c>
      <c r="B1126" t="s">
        <v>26</v>
      </c>
      <c r="C1126">
        <v>619</v>
      </c>
      <c r="D1126">
        <v>1</v>
      </c>
      <c r="E1126" t="s">
        <v>79</v>
      </c>
      <c r="F1126" t="s">
        <v>28</v>
      </c>
      <c r="G1126" t="str">
        <f>"2026-03-03 22:56:32.017"</f>
        <v>2026-03-03 22:56:32.017</v>
      </c>
      <c r="H1126" t="s">
        <v>80</v>
      </c>
    </row>
    <row r="1127" spans="1:10" x14ac:dyDescent="0.25">
      <c r="A1127" s="1">
        <v>171</v>
      </c>
      <c r="B1127" t="s">
        <v>29</v>
      </c>
      <c r="C1127">
        <v>619</v>
      </c>
      <c r="D1127">
        <v>1</v>
      </c>
      <c r="E1127" t="s">
        <v>79</v>
      </c>
      <c r="F1127" t="s">
        <v>28</v>
      </c>
      <c r="G1127" t="str">
        <f>"2026-03-03 22:56:12.870"</f>
        <v>2026-03-03 22:56:12.870</v>
      </c>
      <c r="H1127" t="s">
        <v>80</v>
      </c>
      <c r="I1127">
        <v>17.690000000000001</v>
      </c>
      <c r="J1127" t="s">
        <v>37</v>
      </c>
    </row>
    <row r="1128" spans="1:10" x14ac:dyDescent="0.25">
      <c r="A1128" s="1">
        <v>172</v>
      </c>
      <c r="B1128" t="s">
        <v>26</v>
      </c>
      <c r="C1128">
        <v>619</v>
      </c>
      <c r="D1128">
        <v>1</v>
      </c>
      <c r="E1128" t="s">
        <v>79</v>
      </c>
      <c r="F1128" t="s">
        <v>28</v>
      </c>
      <c r="G1128" t="str">
        <f>"2026-03-03 18:16:48.517"</f>
        <v>2026-03-03 18:16:48.517</v>
      </c>
      <c r="H1128" t="s">
        <v>80</v>
      </c>
    </row>
    <row r="1129" spans="1:10" x14ac:dyDescent="0.25">
      <c r="A1129" s="1">
        <v>173</v>
      </c>
      <c r="B1129" t="s">
        <v>29</v>
      </c>
      <c r="C1129">
        <v>619</v>
      </c>
      <c r="D1129">
        <v>1</v>
      </c>
      <c r="E1129" t="s">
        <v>79</v>
      </c>
      <c r="F1129" t="s">
        <v>28</v>
      </c>
      <c r="G1129" t="str">
        <f>"2026-03-03 18:16:33.517"</f>
        <v>2026-03-03 18:16:33.517</v>
      </c>
      <c r="H1129" t="s">
        <v>80</v>
      </c>
      <c r="I1129">
        <v>27.1</v>
      </c>
      <c r="J1129" t="s">
        <v>30</v>
      </c>
    </row>
    <row r="1130" spans="1:10" x14ac:dyDescent="0.25">
      <c r="A1130" s="1">
        <v>174</v>
      </c>
      <c r="B1130" t="s">
        <v>19</v>
      </c>
      <c r="C1130">
        <v>700</v>
      </c>
      <c r="D1130">
        <v>0</v>
      </c>
      <c r="E1130" t="s">
        <v>24</v>
      </c>
      <c r="F1130" t="s">
        <v>24</v>
      </c>
      <c r="G1130" t="str">
        <f>"2026-03-03 17:55:03.590"</f>
        <v>2026-03-03 17:55:03.590</v>
      </c>
      <c r="H1130" t="s">
        <v>22</v>
      </c>
    </row>
    <row r="1131" spans="1:10" x14ac:dyDescent="0.25">
      <c r="A1131" s="1">
        <v>175</v>
      </c>
      <c r="B1131" t="s">
        <v>19</v>
      </c>
      <c r="C1131">
        <v>700</v>
      </c>
      <c r="D1131">
        <v>0</v>
      </c>
      <c r="E1131" t="s">
        <v>24</v>
      </c>
      <c r="F1131" t="s">
        <v>24</v>
      </c>
      <c r="G1131" t="str">
        <f>"2026-03-03 17:53:18.631"</f>
        <v>2026-03-03 17:53:18.631</v>
      </c>
      <c r="H1131" t="s">
        <v>22</v>
      </c>
      <c r="I1131">
        <v>0</v>
      </c>
      <c r="J1131" t="s">
        <v>25</v>
      </c>
    </row>
    <row r="1132" spans="1:10" x14ac:dyDescent="0.25">
      <c r="A1132" s="1">
        <v>176</v>
      </c>
      <c r="B1132" t="s">
        <v>26</v>
      </c>
      <c r="C1132">
        <v>619</v>
      </c>
      <c r="D1132">
        <v>1</v>
      </c>
      <c r="E1132" t="s">
        <v>79</v>
      </c>
      <c r="F1132" t="s">
        <v>28</v>
      </c>
      <c r="G1132" t="str">
        <f>"2026-03-03 09:28:43.926"</f>
        <v>2026-03-03 09:28:43.926</v>
      </c>
      <c r="H1132" t="s">
        <v>80</v>
      </c>
    </row>
    <row r="1133" spans="1:10" x14ac:dyDescent="0.25">
      <c r="A1133" s="1">
        <v>177</v>
      </c>
      <c r="B1133" t="s">
        <v>29</v>
      </c>
      <c r="C1133">
        <v>619</v>
      </c>
      <c r="D1133">
        <v>1</v>
      </c>
      <c r="E1133" t="s">
        <v>79</v>
      </c>
      <c r="F1133" t="s">
        <v>28</v>
      </c>
      <c r="G1133" t="str">
        <f>"2026-03-03 09:28:15.479"</f>
        <v>2026-03-03 09:28:15.479</v>
      </c>
      <c r="H1133" t="s">
        <v>80</v>
      </c>
      <c r="I1133">
        <v>0</v>
      </c>
      <c r="J1133" t="s">
        <v>38</v>
      </c>
    </row>
    <row r="1134" spans="1:10" x14ac:dyDescent="0.25">
      <c r="A1134" s="1">
        <v>178</v>
      </c>
      <c r="B1134" t="s">
        <v>19</v>
      </c>
      <c r="C1134">
        <v>700</v>
      </c>
      <c r="D1134">
        <v>0</v>
      </c>
      <c r="E1134" t="s">
        <v>24</v>
      </c>
      <c r="F1134" t="s">
        <v>24</v>
      </c>
      <c r="G1134" t="str">
        <f>"2026-03-02 13:35:29.588"</f>
        <v>2026-03-02 13:35:29.588</v>
      </c>
      <c r="H1134" t="s">
        <v>22</v>
      </c>
      <c r="I1134">
        <v>0</v>
      </c>
      <c r="J1134" t="s">
        <v>25</v>
      </c>
    </row>
    <row r="1135" spans="1:10" x14ac:dyDescent="0.25">
      <c r="A1135" s="1">
        <v>179</v>
      </c>
      <c r="B1135" t="s">
        <v>19</v>
      </c>
      <c r="C1135">
        <v>700</v>
      </c>
      <c r="D1135">
        <v>0</v>
      </c>
      <c r="E1135" t="s">
        <v>24</v>
      </c>
      <c r="F1135" t="s">
        <v>24</v>
      </c>
      <c r="G1135" t="str">
        <f>"2026-03-01 16:48:17.597"</f>
        <v>2026-03-01 16:48:17.597</v>
      </c>
      <c r="H1135" t="s">
        <v>22</v>
      </c>
      <c r="I1135">
        <v>0</v>
      </c>
      <c r="J1135" t="s">
        <v>25</v>
      </c>
    </row>
    <row r="1136" spans="1:10" x14ac:dyDescent="0.25">
      <c r="A1136" s="1">
        <v>180</v>
      </c>
      <c r="B1136" t="s">
        <v>19</v>
      </c>
      <c r="C1136">
        <v>706</v>
      </c>
      <c r="D1136">
        <v>4</v>
      </c>
      <c r="E1136" t="s">
        <v>20</v>
      </c>
      <c r="F1136" t="s">
        <v>21</v>
      </c>
      <c r="G1136" t="str">
        <f>"2026-03-01 16:34:48.151"</f>
        <v>2026-03-01 16:34:48.151</v>
      </c>
      <c r="H1136" t="s">
        <v>22</v>
      </c>
      <c r="I1136">
        <v>0</v>
      </c>
      <c r="J1136" t="s">
        <v>23</v>
      </c>
    </row>
    <row r="1137" spans="1:10" x14ac:dyDescent="0.25">
      <c r="A1137" s="1">
        <v>181</v>
      </c>
      <c r="B1137" t="s">
        <v>19</v>
      </c>
      <c r="C1137">
        <v>700</v>
      </c>
      <c r="D1137">
        <v>0</v>
      </c>
      <c r="E1137" t="s">
        <v>24</v>
      </c>
      <c r="F1137" t="s">
        <v>24</v>
      </c>
      <c r="G1137" t="str">
        <f>"2026-03-01 16:31:40.611"</f>
        <v>2026-03-01 16:31:40.611</v>
      </c>
      <c r="H1137" t="s">
        <v>22</v>
      </c>
    </row>
    <row r="1138" spans="1:10" x14ac:dyDescent="0.25">
      <c r="A1138" s="1">
        <v>182</v>
      </c>
      <c r="B1138" t="s">
        <v>34</v>
      </c>
      <c r="C1138">
        <v>630</v>
      </c>
      <c r="D1138">
        <v>5</v>
      </c>
      <c r="E1138" t="s">
        <v>39</v>
      </c>
      <c r="F1138" t="s">
        <v>40</v>
      </c>
      <c r="G1138" t="str">
        <f>"2026-03-01 13:38:42.368"</f>
        <v>2026-03-01 13:38:42.368</v>
      </c>
      <c r="H1138" t="s">
        <v>41</v>
      </c>
      <c r="I1138">
        <v>0</v>
      </c>
      <c r="J1138" t="s">
        <v>23</v>
      </c>
    </row>
    <row r="1139" spans="1:10" x14ac:dyDescent="0.25">
      <c r="A1139" s="1">
        <v>183</v>
      </c>
      <c r="B1139" t="s">
        <v>19</v>
      </c>
      <c r="C1139">
        <v>700</v>
      </c>
      <c r="D1139">
        <v>0</v>
      </c>
      <c r="E1139" t="s">
        <v>24</v>
      </c>
      <c r="F1139" t="s">
        <v>24</v>
      </c>
      <c r="G1139" t="str">
        <f>"2026-03-01 13:33:39.599"</f>
        <v>2026-03-01 13:33:39.599</v>
      </c>
      <c r="H1139" t="s">
        <v>22</v>
      </c>
      <c r="I1139">
        <v>0</v>
      </c>
      <c r="J1139" t="s">
        <v>25</v>
      </c>
    </row>
    <row r="1140" spans="1:10" x14ac:dyDescent="0.25">
      <c r="A1140" s="1">
        <v>184</v>
      </c>
      <c r="B1140" t="s">
        <v>34</v>
      </c>
      <c r="C1140">
        <v>630</v>
      </c>
      <c r="D1140">
        <v>5</v>
      </c>
      <c r="E1140" t="s">
        <v>39</v>
      </c>
      <c r="F1140" t="s">
        <v>40</v>
      </c>
      <c r="G1140" t="str">
        <f>"2026-03-01 12:42:42.406"</f>
        <v>2026-03-01 12:42:42.406</v>
      </c>
      <c r="H1140" t="s">
        <v>41</v>
      </c>
      <c r="I1140">
        <v>0</v>
      </c>
      <c r="J1140" t="s">
        <v>23</v>
      </c>
    </row>
    <row r="1141" spans="1:10" x14ac:dyDescent="0.25">
      <c r="A1141" s="1">
        <v>185</v>
      </c>
      <c r="B1141" t="s">
        <v>19</v>
      </c>
      <c r="C1141">
        <v>700</v>
      </c>
      <c r="D1141">
        <v>0</v>
      </c>
      <c r="E1141" t="s">
        <v>24</v>
      </c>
      <c r="F1141" t="s">
        <v>24</v>
      </c>
      <c r="G1141" t="str">
        <f>"2026-03-01 12:37:39.587"</f>
        <v>2026-03-01 12:37:39.587</v>
      </c>
      <c r="H1141" t="s">
        <v>22</v>
      </c>
      <c r="I1141">
        <v>0</v>
      </c>
      <c r="J1141" t="s">
        <v>25</v>
      </c>
    </row>
    <row r="1142" spans="1:10" x14ac:dyDescent="0.25">
      <c r="A1142" s="1">
        <v>186</v>
      </c>
      <c r="B1142" t="s">
        <v>26</v>
      </c>
      <c r="C1142">
        <v>54</v>
      </c>
      <c r="D1142">
        <v>1</v>
      </c>
      <c r="E1142" t="s">
        <v>87</v>
      </c>
      <c r="F1142" t="s">
        <v>88</v>
      </c>
      <c r="G1142" t="str">
        <f>"2026-03-01 12:13:00.830"</f>
        <v>2026-03-01 12:13:00.830</v>
      </c>
      <c r="H1142" t="s">
        <v>22</v>
      </c>
    </row>
    <row r="1143" spans="1:10" x14ac:dyDescent="0.25">
      <c r="A1143" s="1">
        <v>187</v>
      </c>
      <c r="B1143" t="s">
        <v>19</v>
      </c>
      <c r="C1143">
        <v>700</v>
      </c>
      <c r="D1143">
        <v>0</v>
      </c>
      <c r="E1143" t="s">
        <v>24</v>
      </c>
      <c r="F1143" t="s">
        <v>24</v>
      </c>
      <c r="G1143" t="str">
        <f>"2026-03-01 12:12:47.853"</f>
        <v>2026-03-01 12:12:47.853</v>
      </c>
      <c r="H1143" t="s">
        <v>22</v>
      </c>
    </row>
    <row r="1144" spans="1:10" x14ac:dyDescent="0.25">
      <c r="A1144" s="1">
        <v>189</v>
      </c>
      <c r="B1144" t="s">
        <v>29</v>
      </c>
      <c r="C1144">
        <v>54</v>
      </c>
      <c r="D1144">
        <v>1</v>
      </c>
      <c r="E1144" t="s">
        <v>87</v>
      </c>
      <c r="F1144" t="s">
        <v>88</v>
      </c>
      <c r="G1144" t="str">
        <f>"2026-02-28 07:20:17.871"</f>
        <v>2026-02-28 07:20:17.871</v>
      </c>
      <c r="H1144" t="s">
        <v>22</v>
      </c>
      <c r="I1144">
        <v>7.46</v>
      </c>
      <c r="J1144" t="s">
        <v>37</v>
      </c>
    </row>
    <row r="1145" spans="1:10" x14ac:dyDescent="0.25">
      <c r="A1145" s="1">
        <v>190</v>
      </c>
      <c r="B1145" t="s">
        <v>26</v>
      </c>
      <c r="C1145">
        <v>619</v>
      </c>
      <c r="D1145">
        <v>1</v>
      </c>
      <c r="E1145" t="s">
        <v>79</v>
      </c>
      <c r="F1145" t="s">
        <v>28</v>
      </c>
      <c r="G1145" t="str">
        <f>"2026-02-28 06:45:12.010"</f>
        <v>2026-02-28 06:45:12.010</v>
      </c>
      <c r="H1145" t="s">
        <v>80</v>
      </c>
    </row>
    <row r="1146" spans="1:10" x14ac:dyDescent="0.25">
      <c r="A1146" s="1">
        <v>191</v>
      </c>
      <c r="B1146" t="s">
        <v>29</v>
      </c>
      <c r="C1146">
        <v>619</v>
      </c>
      <c r="D1146">
        <v>1</v>
      </c>
      <c r="E1146" t="s">
        <v>79</v>
      </c>
      <c r="F1146" t="s">
        <v>28</v>
      </c>
      <c r="G1146" t="str">
        <f>"2026-02-28 06:45:01.210"</f>
        <v>2026-02-28 06:45:01.210</v>
      </c>
      <c r="H1146" t="s">
        <v>80</v>
      </c>
      <c r="I1146">
        <v>24.09</v>
      </c>
      <c r="J1146" t="s">
        <v>30</v>
      </c>
    </row>
    <row r="1147" spans="1:10" x14ac:dyDescent="0.25">
      <c r="A1147" s="1">
        <v>192</v>
      </c>
      <c r="B1147" t="s">
        <v>26</v>
      </c>
      <c r="C1147">
        <v>619</v>
      </c>
      <c r="D1147">
        <v>1</v>
      </c>
      <c r="E1147" t="s">
        <v>79</v>
      </c>
      <c r="F1147" t="s">
        <v>28</v>
      </c>
      <c r="G1147" t="str">
        <f>"2026-02-28 03:56:08.910"</f>
        <v>2026-02-28 03:56:08.910</v>
      </c>
      <c r="H1147" t="s">
        <v>80</v>
      </c>
    </row>
    <row r="1148" spans="1:10" x14ac:dyDescent="0.25">
      <c r="A1148" s="1">
        <v>193</v>
      </c>
      <c r="B1148" t="s">
        <v>29</v>
      </c>
      <c r="C1148">
        <v>619</v>
      </c>
      <c r="D1148">
        <v>1</v>
      </c>
      <c r="E1148" t="s">
        <v>79</v>
      </c>
      <c r="F1148" t="s">
        <v>28</v>
      </c>
      <c r="G1148" t="str">
        <f>"2026-02-28 03:56:01.210"</f>
        <v>2026-02-28 03:56:01.210</v>
      </c>
      <c r="H1148" t="s">
        <v>80</v>
      </c>
      <c r="I1148">
        <v>28.9</v>
      </c>
      <c r="J1148" t="s">
        <v>37</v>
      </c>
    </row>
    <row r="1149" spans="1:10" x14ac:dyDescent="0.25">
      <c r="A1149" s="1">
        <v>194</v>
      </c>
      <c r="B1149" t="s">
        <v>26</v>
      </c>
      <c r="C1149">
        <v>619</v>
      </c>
      <c r="D1149">
        <v>1</v>
      </c>
      <c r="E1149" t="s">
        <v>79</v>
      </c>
      <c r="F1149" t="s">
        <v>28</v>
      </c>
      <c r="G1149" t="str">
        <f>"2026-02-27 14:13:25.310"</f>
        <v>2026-02-27 14:13:25.310</v>
      </c>
      <c r="H1149" t="s">
        <v>80</v>
      </c>
    </row>
    <row r="1150" spans="1:10" x14ac:dyDescent="0.25">
      <c r="A1150" s="1">
        <v>195</v>
      </c>
      <c r="B1150" t="s">
        <v>29</v>
      </c>
      <c r="C1150">
        <v>619</v>
      </c>
      <c r="D1150">
        <v>1</v>
      </c>
      <c r="E1150" t="s">
        <v>79</v>
      </c>
      <c r="F1150" t="s">
        <v>28</v>
      </c>
      <c r="G1150" t="str">
        <f>"2026-02-27 14:13:13.458"</f>
        <v>2026-02-27 14:13:13.458</v>
      </c>
      <c r="H1150" t="s">
        <v>80</v>
      </c>
      <c r="I1150">
        <v>0</v>
      </c>
      <c r="J1150" t="s">
        <v>38</v>
      </c>
    </row>
    <row r="1151" spans="1:10" x14ac:dyDescent="0.25">
      <c r="A1151" s="1">
        <v>196</v>
      </c>
      <c r="B1151" t="s">
        <v>44</v>
      </c>
      <c r="C1151">
        <v>137</v>
      </c>
      <c r="D1151">
        <v>7</v>
      </c>
      <c r="E1151" t="s">
        <v>94</v>
      </c>
      <c r="F1151" t="s">
        <v>95</v>
      </c>
      <c r="G1151" t="str">
        <f>"2026-02-27 10:15:59.139"</f>
        <v>2026-02-27 10:15:59.139</v>
      </c>
      <c r="H1151" t="s">
        <v>61</v>
      </c>
    </row>
    <row r="1152" spans="1:10" x14ac:dyDescent="0.25">
      <c r="A1152" s="1">
        <v>197</v>
      </c>
      <c r="B1152" t="s">
        <v>34</v>
      </c>
      <c r="C1152">
        <v>137</v>
      </c>
      <c r="D1152">
        <v>7</v>
      </c>
      <c r="E1152" t="s">
        <v>94</v>
      </c>
      <c r="F1152" t="s">
        <v>95</v>
      </c>
      <c r="G1152" t="str">
        <f>"2026-02-27 10:15:54.105"</f>
        <v>2026-02-27 10:15:54.105</v>
      </c>
      <c r="H1152" t="s">
        <v>61</v>
      </c>
      <c r="I1152">
        <v>19.52</v>
      </c>
      <c r="J1152" t="s">
        <v>30</v>
      </c>
    </row>
    <row r="1153" spans="1:10" x14ac:dyDescent="0.25">
      <c r="A1153" s="1">
        <v>198</v>
      </c>
      <c r="B1153" t="s">
        <v>26</v>
      </c>
      <c r="C1153">
        <v>630</v>
      </c>
      <c r="D1153">
        <v>5</v>
      </c>
      <c r="E1153" t="s">
        <v>39</v>
      </c>
      <c r="F1153" t="s">
        <v>40</v>
      </c>
      <c r="G1153" t="str">
        <f>"2026-02-27 09:03:12.658"</f>
        <v>2026-02-27 09:03:12.658</v>
      </c>
      <c r="H1153" t="s">
        <v>41</v>
      </c>
    </row>
    <row r="1154" spans="1:10" x14ac:dyDescent="0.25">
      <c r="A1154" s="1">
        <v>199</v>
      </c>
      <c r="B1154" t="s">
        <v>19</v>
      </c>
      <c r="C1154">
        <v>706</v>
      </c>
      <c r="D1154">
        <v>2</v>
      </c>
      <c r="E1154" t="s">
        <v>20</v>
      </c>
      <c r="F1154" t="s">
        <v>54</v>
      </c>
      <c r="G1154" t="str">
        <f>"2026-02-27 09:02:42.601"</f>
        <v>2026-02-27 09:02:42.601</v>
      </c>
      <c r="H1154" t="s">
        <v>22</v>
      </c>
      <c r="I1154">
        <v>0</v>
      </c>
      <c r="J1154" t="s">
        <v>23</v>
      </c>
    </row>
    <row r="1155" spans="1:10" x14ac:dyDescent="0.25">
      <c r="A1155" s="1">
        <v>200</v>
      </c>
      <c r="B1155" t="s">
        <v>19</v>
      </c>
      <c r="C1155">
        <v>706</v>
      </c>
      <c r="D1155">
        <v>4</v>
      </c>
      <c r="E1155" t="s">
        <v>20</v>
      </c>
      <c r="F1155" t="s">
        <v>21</v>
      </c>
      <c r="G1155" t="str">
        <f>"2026-02-27 09:01:46.221"</f>
        <v>2026-02-27 09:01:46.221</v>
      </c>
      <c r="H1155" t="s">
        <v>22</v>
      </c>
      <c r="I1155">
        <v>0</v>
      </c>
      <c r="J1155" t="s">
        <v>23</v>
      </c>
    </row>
    <row r="1156" spans="1:10" x14ac:dyDescent="0.25">
      <c r="A1156" s="1">
        <v>201</v>
      </c>
      <c r="B1156" t="s">
        <v>34</v>
      </c>
      <c r="C1156">
        <v>630</v>
      </c>
      <c r="D1156">
        <v>5</v>
      </c>
      <c r="E1156" t="s">
        <v>39</v>
      </c>
      <c r="F1156" t="s">
        <v>40</v>
      </c>
      <c r="G1156" t="str">
        <f>"2026-02-27 09:00:23.359"</f>
        <v>2026-02-27 09:00:23.359</v>
      </c>
      <c r="H1156" t="s">
        <v>41</v>
      </c>
      <c r="I1156">
        <v>0</v>
      </c>
      <c r="J1156" t="s">
        <v>23</v>
      </c>
    </row>
    <row r="1157" spans="1:10" x14ac:dyDescent="0.25">
      <c r="A1157" s="1">
        <v>202</v>
      </c>
      <c r="B1157" t="s">
        <v>19</v>
      </c>
      <c r="C1157">
        <v>700</v>
      </c>
      <c r="D1157">
        <v>0</v>
      </c>
      <c r="E1157" t="s">
        <v>24</v>
      </c>
      <c r="F1157" t="s">
        <v>24</v>
      </c>
      <c r="G1157" t="str">
        <f>"2026-02-27 08:55:20.591"</f>
        <v>2026-02-27 08:55:20.591</v>
      </c>
      <c r="H1157" t="s">
        <v>22</v>
      </c>
      <c r="I1157">
        <v>0</v>
      </c>
      <c r="J1157" t="s">
        <v>25</v>
      </c>
    </row>
    <row r="1158" spans="1:10" x14ac:dyDescent="0.25">
      <c r="A1158" s="1">
        <v>203</v>
      </c>
      <c r="B1158" t="s">
        <v>19</v>
      </c>
      <c r="C1158">
        <v>700</v>
      </c>
      <c r="D1158">
        <v>0</v>
      </c>
      <c r="E1158" t="s">
        <v>24</v>
      </c>
      <c r="F1158" t="s">
        <v>24</v>
      </c>
      <c r="G1158" t="str">
        <f>"2026-02-27 08:53:07.599"</f>
        <v>2026-02-27 08:53:07.599</v>
      </c>
      <c r="H1158" t="s">
        <v>22</v>
      </c>
      <c r="I1158">
        <v>0</v>
      </c>
      <c r="J1158" t="s">
        <v>25</v>
      </c>
    </row>
    <row r="1159" spans="1:10" x14ac:dyDescent="0.25">
      <c r="A1159" s="1">
        <v>204</v>
      </c>
      <c r="B1159" t="s">
        <v>19</v>
      </c>
      <c r="C1159">
        <v>700</v>
      </c>
      <c r="D1159">
        <v>0</v>
      </c>
      <c r="E1159" t="s">
        <v>24</v>
      </c>
      <c r="F1159" t="s">
        <v>24</v>
      </c>
      <c r="G1159" t="str">
        <f>"2026-02-27 08:48:21.640"</f>
        <v>2026-02-27 08:48:21.640</v>
      </c>
      <c r="H1159" t="s">
        <v>22</v>
      </c>
    </row>
    <row r="1160" spans="1:10" x14ac:dyDescent="0.25">
      <c r="A1160" s="1">
        <v>205</v>
      </c>
      <c r="B1160" t="s">
        <v>19</v>
      </c>
      <c r="C1160">
        <v>700</v>
      </c>
      <c r="D1160">
        <v>0</v>
      </c>
      <c r="E1160" t="s">
        <v>24</v>
      </c>
      <c r="F1160" t="s">
        <v>24</v>
      </c>
      <c r="G1160" t="str">
        <f>"2026-02-27 08:26:05.590"</f>
        <v>2026-02-27 08:26:05.590</v>
      </c>
      <c r="H1160" t="s">
        <v>22</v>
      </c>
      <c r="I1160">
        <v>0</v>
      </c>
      <c r="J1160" t="s">
        <v>25</v>
      </c>
    </row>
    <row r="1161" spans="1:10" x14ac:dyDescent="0.25">
      <c r="A1161" s="1">
        <v>206</v>
      </c>
      <c r="B1161" t="s">
        <v>19</v>
      </c>
      <c r="C1161">
        <v>706</v>
      </c>
      <c r="D1161">
        <v>2</v>
      </c>
      <c r="E1161" t="s">
        <v>20</v>
      </c>
      <c r="F1161" t="s">
        <v>54</v>
      </c>
      <c r="G1161" t="str">
        <f>"2026-02-27 08:22:50.422"</f>
        <v>2026-02-27 08:22:50.422</v>
      </c>
      <c r="H1161" t="s">
        <v>22</v>
      </c>
      <c r="I1161">
        <v>0</v>
      </c>
      <c r="J1161" t="s">
        <v>23</v>
      </c>
    </row>
    <row r="1162" spans="1:10" x14ac:dyDescent="0.25">
      <c r="A1162" s="1">
        <v>207</v>
      </c>
      <c r="B1162" t="s">
        <v>19</v>
      </c>
      <c r="C1162">
        <v>706</v>
      </c>
      <c r="D1162">
        <v>2</v>
      </c>
      <c r="E1162" t="s">
        <v>20</v>
      </c>
      <c r="F1162" t="s">
        <v>54</v>
      </c>
      <c r="G1162" t="str">
        <f>"2026-02-27 08:22:17.222"</f>
        <v>2026-02-27 08:22:17.222</v>
      </c>
      <c r="H1162" t="s">
        <v>22</v>
      </c>
      <c r="I1162">
        <v>0</v>
      </c>
      <c r="J1162" t="s">
        <v>23</v>
      </c>
    </row>
    <row r="1163" spans="1:10" x14ac:dyDescent="0.25">
      <c r="A1163" s="1">
        <v>208</v>
      </c>
      <c r="B1163" t="s">
        <v>19</v>
      </c>
      <c r="C1163">
        <v>706</v>
      </c>
      <c r="D1163">
        <v>2</v>
      </c>
      <c r="E1163" t="s">
        <v>20</v>
      </c>
      <c r="F1163" t="s">
        <v>54</v>
      </c>
      <c r="G1163" t="str">
        <f>"2026-02-27 08:20:46.422"</f>
        <v>2026-02-27 08:20:46.422</v>
      </c>
      <c r="H1163" t="s">
        <v>22</v>
      </c>
      <c r="I1163">
        <v>0</v>
      </c>
      <c r="J1163" t="s">
        <v>23</v>
      </c>
    </row>
    <row r="1164" spans="1:10" x14ac:dyDescent="0.25">
      <c r="A1164" s="1">
        <v>209</v>
      </c>
      <c r="B1164" t="s">
        <v>19</v>
      </c>
      <c r="C1164">
        <v>700</v>
      </c>
      <c r="D1164">
        <v>0</v>
      </c>
      <c r="E1164" t="s">
        <v>24</v>
      </c>
      <c r="F1164" t="s">
        <v>24</v>
      </c>
      <c r="G1164" t="str">
        <f>"2026-02-27 08:20:20.722"</f>
        <v>2026-02-27 08:20:20.722</v>
      </c>
      <c r="H1164" t="s">
        <v>22</v>
      </c>
      <c r="I1164">
        <v>0</v>
      </c>
      <c r="J1164" t="s">
        <v>25</v>
      </c>
    </row>
    <row r="1165" spans="1:10" x14ac:dyDescent="0.25">
      <c r="A1165" s="1">
        <v>210</v>
      </c>
      <c r="B1165" t="s">
        <v>19</v>
      </c>
      <c r="C1165">
        <v>700</v>
      </c>
      <c r="D1165">
        <v>0</v>
      </c>
      <c r="E1165" t="s">
        <v>24</v>
      </c>
      <c r="F1165" t="s">
        <v>24</v>
      </c>
      <c r="G1165" t="str">
        <f>"2026-02-27 08:19:09.619"</f>
        <v>2026-02-27 08:19:09.619</v>
      </c>
      <c r="H1165" t="s">
        <v>22</v>
      </c>
      <c r="I1165">
        <v>0</v>
      </c>
      <c r="J1165" t="s">
        <v>25</v>
      </c>
    </row>
    <row r="1166" spans="1:10" x14ac:dyDescent="0.25">
      <c r="A1166" s="1">
        <v>211</v>
      </c>
      <c r="B1166" t="s">
        <v>26</v>
      </c>
      <c r="C1166">
        <v>619</v>
      </c>
      <c r="D1166">
        <v>1</v>
      </c>
      <c r="E1166" t="s">
        <v>79</v>
      </c>
      <c r="F1166" t="s">
        <v>28</v>
      </c>
      <c r="G1166" t="str">
        <f>"2026-02-27 08:11:40.239"</f>
        <v>2026-02-27 08:11:40.239</v>
      </c>
      <c r="H1166" t="s">
        <v>80</v>
      </c>
    </row>
    <row r="1167" spans="1:10" x14ac:dyDescent="0.25">
      <c r="A1167" s="1">
        <v>212</v>
      </c>
      <c r="B1167" t="s">
        <v>29</v>
      </c>
      <c r="C1167">
        <v>619</v>
      </c>
      <c r="D1167">
        <v>1</v>
      </c>
      <c r="E1167" t="s">
        <v>79</v>
      </c>
      <c r="F1167" t="s">
        <v>28</v>
      </c>
      <c r="G1167" t="str">
        <f>"2026-02-27 08:11:30.887"</f>
        <v>2026-02-27 08:11:30.887</v>
      </c>
      <c r="H1167" t="s">
        <v>80</v>
      </c>
      <c r="I1167">
        <v>0</v>
      </c>
      <c r="J1167" t="s">
        <v>38</v>
      </c>
    </row>
    <row r="1168" spans="1:10" x14ac:dyDescent="0.25">
      <c r="A1168" s="1">
        <v>213</v>
      </c>
      <c r="B1168" t="s">
        <v>26</v>
      </c>
      <c r="C1168">
        <v>619</v>
      </c>
      <c r="D1168">
        <v>1</v>
      </c>
      <c r="E1168" t="s">
        <v>79</v>
      </c>
      <c r="F1168" t="s">
        <v>28</v>
      </c>
      <c r="G1168" t="str">
        <f>"2026-02-27 08:11:22.987"</f>
        <v>2026-02-27 08:11:22.987</v>
      </c>
      <c r="H1168" t="s">
        <v>80</v>
      </c>
    </row>
    <row r="1169" spans="1:10" x14ac:dyDescent="0.25">
      <c r="A1169" s="1">
        <v>214</v>
      </c>
      <c r="B1169" t="s">
        <v>29</v>
      </c>
      <c r="C1169">
        <v>619</v>
      </c>
      <c r="D1169">
        <v>1</v>
      </c>
      <c r="E1169" t="s">
        <v>79</v>
      </c>
      <c r="F1169" t="s">
        <v>28</v>
      </c>
      <c r="G1169" t="str">
        <f>"2026-02-27 08:10:37.839"</f>
        <v>2026-02-27 08:10:37.839</v>
      </c>
      <c r="H1169" t="s">
        <v>80</v>
      </c>
      <c r="I1169">
        <v>0</v>
      </c>
      <c r="J1169" t="s">
        <v>38</v>
      </c>
    </row>
    <row r="1170" spans="1:10" x14ac:dyDescent="0.25">
      <c r="A1170" s="1">
        <v>215</v>
      </c>
      <c r="B1170" t="s">
        <v>26</v>
      </c>
      <c r="C1170">
        <v>619</v>
      </c>
      <c r="D1170">
        <v>1</v>
      </c>
      <c r="E1170" t="s">
        <v>79</v>
      </c>
      <c r="F1170" t="s">
        <v>28</v>
      </c>
      <c r="G1170" t="str">
        <f>"2026-02-27 08:10:31.987"</f>
        <v>2026-02-27 08:10:31.987</v>
      </c>
      <c r="H1170" t="s">
        <v>80</v>
      </c>
    </row>
    <row r="1171" spans="1:10" x14ac:dyDescent="0.25">
      <c r="A1171" s="1">
        <v>216</v>
      </c>
      <c r="B1171" t="s">
        <v>29</v>
      </c>
      <c r="C1171">
        <v>619</v>
      </c>
      <c r="D1171">
        <v>1</v>
      </c>
      <c r="E1171" t="s">
        <v>79</v>
      </c>
      <c r="F1171" t="s">
        <v>28</v>
      </c>
      <c r="G1171" t="str">
        <f>"2026-02-27 08:10:24.339"</f>
        <v>2026-02-27 08:10:24.339</v>
      </c>
      <c r="H1171" t="s">
        <v>80</v>
      </c>
      <c r="I1171">
        <v>0</v>
      </c>
      <c r="J1171" t="s">
        <v>38</v>
      </c>
    </row>
    <row r="1172" spans="1:10" x14ac:dyDescent="0.25">
      <c r="A1172" s="1">
        <v>217</v>
      </c>
      <c r="B1172" t="s">
        <v>26</v>
      </c>
      <c r="C1172">
        <v>619</v>
      </c>
      <c r="D1172">
        <v>1</v>
      </c>
      <c r="E1172" t="s">
        <v>79</v>
      </c>
      <c r="F1172" t="s">
        <v>28</v>
      </c>
      <c r="G1172" t="str">
        <f>"2026-02-27 08:10:20.587"</f>
        <v>2026-02-27 08:10:20.587</v>
      </c>
      <c r="H1172" t="s">
        <v>80</v>
      </c>
    </row>
    <row r="1173" spans="1:10" x14ac:dyDescent="0.25">
      <c r="A1173" s="1">
        <v>218</v>
      </c>
      <c r="B1173" t="s">
        <v>29</v>
      </c>
      <c r="C1173">
        <v>619</v>
      </c>
      <c r="D1173">
        <v>1</v>
      </c>
      <c r="E1173" t="s">
        <v>79</v>
      </c>
      <c r="F1173" t="s">
        <v>28</v>
      </c>
      <c r="G1173" t="str">
        <f>"2026-02-27 08:08:54.887"</f>
        <v>2026-02-27 08:08:54.887</v>
      </c>
      <c r="H1173" t="s">
        <v>80</v>
      </c>
      <c r="I1173">
        <v>0</v>
      </c>
      <c r="J1173" t="s">
        <v>38</v>
      </c>
    </row>
    <row r="1174" spans="1:10" x14ac:dyDescent="0.25">
      <c r="A1174" s="1">
        <v>219</v>
      </c>
      <c r="B1174" t="s">
        <v>26</v>
      </c>
      <c r="C1174">
        <v>619</v>
      </c>
      <c r="D1174">
        <v>1</v>
      </c>
      <c r="E1174" t="s">
        <v>79</v>
      </c>
      <c r="F1174" t="s">
        <v>28</v>
      </c>
      <c r="G1174" t="str">
        <f>"2026-02-27 07:14:23.439"</f>
        <v>2026-02-27 07:14:23.439</v>
      </c>
      <c r="H1174" t="s">
        <v>80</v>
      </c>
    </row>
    <row r="1175" spans="1:10" x14ac:dyDescent="0.25">
      <c r="A1175" s="1">
        <v>220</v>
      </c>
      <c r="B1175" t="s">
        <v>29</v>
      </c>
      <c r="C1175">
        <v>619</v>
      </c>
      <c r="D1175">
        <v>1</v>
      </c>
      <c r="E1175" t="s">
        <v>79</v>
      </c>
      <c r="F1175" t="s">
        <v>28</v>
      </c>
      <c r="G1175" t="str">
        <f>"2026-02-27 07:14:14.739"</f>
        <v>2026-02-27 07:14:14.739</v>
      </c>
      <c r="H1175" t="s">
        <v>80</v>
      </c>
      <c r="I1175">
        <v>0</v>
      </c>
      <c r="J1175" t="s">
        <v>38</v>
      </c>
    </row>
    <row r="1176" spans="1:10" x14ac:dyDescent="0.25">
      <c r="A1176" s="1">
        <v>221</v>
      </c>
      <c r="B1176" t="s">
        <v>26</v>
      </c>
      <c r="C1176">
        <v>619</v>
      </c>
      <c r="D1176">
        <v>1</v>
      </c>
      <c r="E1176" t="s">
        <v>79</v>
      </c>
      <c r="F1176" t="s">
        <v>28</v>
      </c>
      <c r="G1176" t="str">
        <f>"2026-02-27 06:54:54.487"</f>
        <v>2026-02-27 06:54:54.487</v>
      </c>
      <c r="H1176" t="s">
        <v>80</v>
      </c>
    </row>
    <row r="1177" spans="1:10" x14ac:dyDescent="0.25">
      <c r="A1177" s="1">
        <v>222</v>
      </c>
      <c r="B1177" t="s">
        <v>29</v>
      </c>
      <c r="C1177">
        <v>619</v>
      </c>
      <c r="D1177">
        <v>1</v>
      </c>
      <c r="E1177" t="s">
        <v>79</v>
      </c>
      <c r="F1177" t="s">
        <v>28</v>
      </c>
      <c r="G1177" t="str">
        <f>"2026-02-27 06:54:44.739"</f>
        <v>2026-02-27 06:54:44.739</v>
      </c>
      <c r="H1177" t="s">
        <v>80</v>
      </c>
      <c r="I1177">
        <v>0</v>
      </c>
      <c r="J1177" t="s">
        <v>38</v>
      </c>
    </row>
    <row r="1178" spans="1:10" x14ac:dyDescent="0.25">
      <c r="A1178" s="1">
        <v>223</v>
      </c>
      <c r="B1178" t="s">
        <v>26</v>
      </c>
      <c r="C1178">
        <v>619</v>
      </c>
      <c r="D1178">
        <v>1</v>
      </c>
      <c r="E1178" t="s">
        <v>79</v>
      </c>
      <c r="F1178" t="s">
        <v>28</v>
      </c>
      <c r="G1178" t="str">
        <f>"2026-02-27 06:29:11.139"</f>
        <v>2026-02-27 06:29:11.139</v>
      </c>
      <c r="H1178" t="s">
        <v>80</v>
      </c>
    </row>
    <row r="1179" spans="1:10" x14ac:dyDescent="0.25">
      <c r="A1179" s="1">
        <v>224</v>
      </c>
      <c r="B1179" t="s">
        <v>29</v>
      </c>
      <c r="C1179">
        <v>619</v>
      </c>
      <c r="D1179">
        <v>1</v>
      </c>
      <c r="E1179" t="s">
        <v>79</v>
      </c>
      <c r="F1179" t="s">
        <v>28</v>
      </c>
      <c r="G1179" t="str">
        <f>"2026-02-27 06:29:04.487"</f>
        <v>2026-02-27 06:29:04.487</v>
      </c>
      <c r="H1179" t="s">
        <v>80</v>
      </c>
      <c r="I1179">
        <v>0</v>
      </c>
      <c r="J1179" t="s">
        <v>38</v>
      </c>
    </row>
    <row r="1180" spans="1:10" x14ac:dyDescent="0.25">
      <c r="A1180" s="1">
        <v>225</v>
      </c>
      <c r="B1180" t="s">
        <v>19</v>
      </c>
      <c r="C1180">
        <v>700</v>
      </c>
      <c r="D1180">
        <v>0</v>
      </c>
      <c r="E1180" t="s">
        <v>24</v>
      </c>
      <c r="F1180" t="s">
        <v>24</v>
      </c>
      <c r="G1180" t="str">
        <f>"2026-02-26 19:37:53.592"</f>
        <v>2026-02-26 19:37:53.592</v>
      </c>
      <c r="H1180" t="s">
        <v>22</v>
      </c>
    </row>
    <row r="1181" spans="1:10" x14ac:dyDescent="0.25">
      <c r="A1181" s="1">
        <v>226</v>
      </c>
      <c r="B1181" t="s">
        <v>26</v>
      </c>
      <c r="C1181">
        <v>619</v>
      </c>
      <c r="D1181">
        <v>1</v>
      </c>
      <c r="E1181" t="s">
        <v>79</v>
      </c>
      <c r="F1181" t="s">
        <v>28</v>
      </c>
      <c r="G1181" t="str">
        <f>"2026-02-26 19:31:25.872"</f>
        <v>2026-02-26 19:31:25.872</v>
      </c>
      <c r="H1181" t="s">
        <v>80</v>
      </c>
    </row>
    <row r="1182" spans="1:10" x14ac:dyDescent="0.25">
      <c r="A1182" s="1">
        <v>227</v>
      </c>
      <c r="B1182" t="s">
        <v>29</v>
      </c>
      <c r="C1182">
        <v>619</v>
      </c>
      <c r="D1182">
        <v>1</v>
      </c>
      <c r="E1182" t="s">
        <v>79</v>
      </c>
      <c r="F1182" t="s">
        <v>28</v>
      </c>
      <c r="G1182" t="str">
        <f>"2026-02-26 19:30:59.719"</f>
        <v>2026-02-26 19:30:59.719</v>
      </c>
      <c r="H1182" t="s">
        <v>80</v>
      </c>
      <c r="I1182">
        <v>0</v>
      </c>
      <c r="J1182" t="s">
        <v>38</v>
      </c>
    </row>
    <row r="1183" spans="1:10" x14ac:dyDescent="0.25">
      <c r="A1183" s="1">
        <v>228</v>
      </c>
      <c r="B1183" t="s">
        <v>26</v>
      </c>
      <c r="C1183">
        <v>619</v>
      </c>
      <c r="D1183">
        <v>1</v>
      </c>
      <c r="E1183" t="s">
        <v>79</v>
      </c>
      <c r="F1183" t="s">
        <v>28</v>
      </c>
      <c r="G1183" t="str">
        <f>"2026-02-26 19:30:52.872"</f>
        <v>2026-02-26 19:30:52.872</v>
      </c>
      <c r="H1183" t="s">
        <v>80</v>
      </c>
    </row>
    <row r="1184" spans="1:10" x14ac:dyDescent="0.25">
      <c r="A1184" s="1">
        <v>229</v>
      </c>
      <c r="B1184" t="s">
        <v>29</v>
      </c>
      <c r="C1184">
        <v>619</v>
      </c>
      <c r="D1184">
        <v>1</v>
      </c>
      <c r="E1184" t="s">
        <v>79</v>
      </c>
      <c r="F1184" t="s">
        <v>28</v>
      </c>
      <c r="G1184" t="str">
        <f>"2026-02-26 19:30:35.819"</f>
        <v>2026-02-26 19:30:35.819</v>
      </c>
      <c r="H1184" t="s">
        <v>80</v>
      </c>
      <c r="I1184">
        <v>0</v>
      </c>
      <c r="J1184" t="s">
        <v>38</v>
      </c>
    </row>
    <row r="1185" spans="1:10" x14ac:dyDescent="0.25">
      <c r="A1185" s="1">
        <v>230</v>
      </c>
      <c r="B1185" t="s">
        <v>26</v>
      </c>
      <c r="C1185">
        <v>619</v>
      </c>
      <c r="D1185">
        <v>1</v>
      </c>
      <c r="E1185" t="s">
        <v>79</v>
      </c>
      <c r="F1185" t="s">
        <v>28</v>
      </c>
      <c r="G1185" t="str">
        <f>"2026-02-26 19:30:29.972"</f>
        <v>2026-02-26 19:30:29.972</v>
      </c>
      <c r="H1185" t="s">
        <v>80</v>
      </c>
    </row>
    <row r="1186" spans="1:10" x14ac:dyDescent="0.25">
      <c r="A1186" s="1">
        <v>231</v>
      </c>
      <c r="B1186" t="s">
        <v>29</v>
      </c>
      <c r="C1186">
        <v>619</v>
      </c>
      <c r="D1186">
        <v>1</v>
      </c>
      <c r="E1186" t="s">
        <v>79</v>
      </c>
      <c r="F1186" t="s">
        <v>28</v>
      </c>
      <c r="G1186" t="str">
        <f>"2026-02-26 19:30:17.072"</f>
        <v>2026-02-26 19:30:17.072</v>
      </c>
      <c r="H1186" t="s">
        <v>80</v>
      </c>
      <c r="I1186">
        <v>0</v>
      </c>
      <c r="J1186" t="s">
        <v>38</v>
      </c>
    </row>
    <row r="1187" spans="1:10" x14ac:dyDescent="0.25">
      <c r="A1187" s="1">
        <v>232</v>
      </c>
      <c r="B1187" t="s">
        <v>26</v>
      </c>
      <c r="C1187">
        <v>619</v>
      </c>
      <c r="D1187">
        <v>1</v>
      </c>
      <c r="E1187" t="s">
        <v>79</v>
      </c>
      <c r="F1187" t="s">
        <v>28</v>
      </c>
      <c r="G1187" t="str">
        <f>"2026-02-26 19:30:11.272"</f>
        <v>2026-02-26 19:30:11.272</v>
      </c>
      <c r="H1187" t="s">
        <v>80</v>
      </c>
    </row>
    <row r="1188" spans="1:10" x14ac:dyDescent="0.25">
      <c r="A1188" s="1">
        <v>233</v>
      </c>
      <c r="B1188" t="s">
        <v>29</v>
      </c>
      <c r="C1188">
        <v>619</v>
      </c>
      <c r="D1188">
        <v>1</v>
      </c>
      <c r="E1188" t="s">
        <v>79</v>
      </c>
      <c r="F1188" t="s">
        <v>28</v>
      </c>
      <c r="G1188" t="str">
        <f>"2026-02-26 19:29:46.919"</f>
        <v>2026-02-26 19:29:46.919</v>
      </c>
      <c r="H1188" t="s">
        <v>80</v>
      </c>
      <c r="I1188">
        <v>12</v>
      </c>
      <c r="J1188" t="s">
        <v>37</v>
      </c>
    </row>
    <row r="1189" spans="1:10" x14ac:dyDescent="0.25">
      <c r="A1189" s="1">
        <v>234</v>
      </c>
      <c r="B1189" t="s">
        <v>19</v>
      </c>
      <c r="C1189">
        <v>700</v>
      </c>
      <c r="D1189">
        <v>0</v>
      </c>
      <c r="E1189" t="s">
        <v>24</v>
      </c>
      <c r="F1189" t="s">
        <v>24</v>
      </c>
      <c r="G1189" t="str">
        <f>"2026-02-26 13:27:29.602"</f>
        <v>2026-02-26 13:27:29.602</v>
      </c>
      <c r="H1189" t="s">
        <v>22</v>
      </c>
      <c r="I1189">
        <v>0</v>
      </c>
      <c r="J1189" t="s">
        <v>25</v>
      </c>
    </row>
    <row r="1190" spans="1:10" x14ac:dyDescent="0.25">
      <c r="A1190" s="1">
        <v>235</v>
      </c>
      <c r="B1190" t="s">
        <v>19</v>
      </c>
      <c r="C1190">
        <v>700</v>
      </c>
      <c r="D1190">
        <v>0</v>
      </c>
      <c r="E1190" t="s">
        <v>24</v>
      </c>
      <c r="F1190" t="s">
        <v>24</v>
      </c>
      <c r="G1190" t="str">
        <f>"2026-02-26 12:45:34.771"</f>
        <v>2026-02-26 12:45:34.771</v>
      </c>
      <c r="H1190" t="s">
        <v>22</v>
      </c>
      <c r="I1190">
        <v>0</v>
      </c>
      <c r="J1190" t="s">
        <v>25</v>
      </c>
    </row>
    <row r="1191" spans="1:10" x14ac:dyDescent="0.25">
      <c r="A1191" s="1">
        <v>236</v>
      </c>
      <c r="B1191" t="s">
        <v>44</v>
      </c>
      <c r="C1191">
        <v>137</v>
      </c>
      <c r="D1191">
        <v>1</v>
      </c>
      <c r="E1191" t="s">
        <v>94</v>
      </c>
      <c r="F1191" t="s">
        <v>96</v>
      </c>
      <c r="G1191" t="str">
        <f>"2026-02-26 10:07:13.651"</f>
        <v>2026-02-26 10:07:13.651</v>
      </c>
      <c r="H1191" t="s">
        <v>61</v>
      </c>
    </row>
    <row r="1192" spans="1:10" x14ac:dyDescent="0.25">
      <c r="A1192" s="1">
        <v>237</v>
      </c>
      <c r="B1192" t="s">
        <v>34</v>
      </c>
      <c r="C1192">
        <v>137</v>
      </c>
      <c r="D1192">
        <v>1</v>
      </c>
      <c r="E1192" t="s">
        <v>94</v>
      </c>
      <c r="F1192" t="s">
        <v>96</v>
      </c>
      <c r="G1192" t="str">
        <f>"2026-02-26 10:07:08.593"</f>
        <v>2026-02-26 10:07:08.593</v>
      </c>
      <c r="H1192" t="s">
        <v>61</v>
      </c>
      <c r="I1192">
        <v>8.2799999999999994</v>
      </c>
      <c r="J1192" t="s">
        <v>30</v>
      </c>
    </row>
    <row r="1193" spans="1:10" x14ac:dyDescent="0.25">
      <c r="A1193" s="1">
        <v>238</v>
      </c>
      <c r="B1193" t="s">
        <v>44</v>
      </c>
      <c r="C1193">
        <v>137</v>
      </c>
      <c r="D1193">
        <v>7</v>
      </c>
      <c r="E1193" t="s">
        <v>94</v>
      </c>
      <c r="F1193" t="s">
        <v>95</v>
      </c>
      <c r="G1193" t="str">
        <f>"2026-02-26 04:22:47.751"</f>
        <v>2026-02-26 04:22:47.751</v>
      </c>
      <c r="H1193" t="s">
        <v>61</v>
      </c>
    </row>
    <row r="1194" spans="1:10" x14ac:dyDescent="0.25">
      <c r="A1194" s="1">
        <v>239</v>
      </c>
      <c r="B1194" t="s">
        <v>34</v>
      </c>
      <c r="C1194">
        <v>137</v>
      </c>
      <c r="D1194">
        <v>7</v>
      </c>
      <c r="E1194" t="s">
        <v>94</v>
      </c>
      <c r="F1194" t="s">
        <v>95</v>
      </c>
      <c r="G1194" t="str">
        <f>"2026-02-26 04:22:42.673"</f>
        <v>2026-02-26 04:22:42.673</v>
      </c>
      <c r="H1194" t="s">
        <v>61</v>
      </c>
      <c r="I1194">
        <v>6.48</v>
      </c>
      <c r="J1194" t="s">
        <v>30</v>
      </c>
    </row>
    <row r="1195" spans="1:10" x14ac:dyDescent="0.25">
      <c r="A1195" s="1">
        <v>240</v>
      </c>
      <c r="B1195" t="s">
        <v>19</v>
      </c>
      <c r="C1195">
        <v>700</v>
      </c>
      <c r="D1195">
        <v>0</v>
      </c>
      <c r="E1195" t="s">
        <v>24</v>
      </c>
      <c r="F1195" t="s">
        <v>24</v>
      </c>
      <c r="G1195" t="str">
        <f>"2026-02-25 12:39:28.589"</f>
        <v>2026-02-25 12:39:28.589</v>
      </c>
      <c r="H1195" t="s">
        <v>22</v>
      </c>
    </row>
    <row r="1196" spans="1:10" x14ac:dyDescent="0.25">
      <c r="A1196" s="1">
        <v>241</v>
      </c>
      <c r="B1196" t="s">
        <v>19</v>
      </c>
      <c r="C1196">
        <v>700</v>
      </c>
      <c r="D1196">
        <v>0</v>
      </c>
      <c r="E1196" t="s">
        <v>24</v>
      </c>
      <c r="F1196" t="s">
        <v>24</v>
      </c>
      <c r="G1196" t="str">
        <f>"2026-02-25 12:18:54.638"</f>
        <v>2026-02-25 12:18:54.638</v>
      </c>
      <c r="H1196" t="s">
        <v>22</v>
      </c>
      <c r="I1196">
        <v>0</v>
      </c>
      <c r="J1196" t="s">
        <v>25</v>
      </c>
    </row>
    <row r="1197" spans="1:10" x14ac:dyDescent="0.25">
      <c r="A1197" s="1">
        <v>242</v>
      </c>
      <c r="B1197" t="s">
        <v>19</v>
      </c>
      <c r="C1197">
        <v>700</v>
      </c>
      <c r="D1197">
        <v>0</v>
      </c>
      <c r="E1197" t="s">
        <v>24</v>
      </c>
      <c r="F1197" t="s">
        <v>24</v>
      </c>
      <c r="G1197" t="str">
        <f>"2026-02-25 06:57:57.632"</f>
        <v>2026-02-25 06:57:57.632</v>
      </c>
      <c r="H1197" t="s">
        <v>22</v>
      </c>
      <c r="I1197">
        <v>0</v>
      </c>
      <c r="J1197" t="s">
        <v>25</v>
      </c>
    </row>
    <row r="1198" spans="1:10" x14ac:dyDescent="0.25">
      <c r="A1198" s="1">
        <v>243</v>
      </c>
      <c r="B1198" t="s">
        <v>19</v>
      </c>
      <c r="C1198">
        <v>700</v>
      </c>
      <c r="D1198">
        <v>0</v>
      </c>
      <c r="E1198" t="s">
        <v>24</v>
      </c>
      <c r="F1198" t="s">
        <v>24</v>
      </c>
      <c r="G1198" t="str">
        <f>"2026-02-25 01:25:36.635"</f>
        <v>2026-02-25 01:25:36.635</v>
      </c>
      <c r="H1198" t="s">
        <v>22</v>
      </c>
    </row>
    <row r="1199" spans="1:10" x14ac:dyDescent="0.25">
      <c r="A1199" s="1">
        <v>244</v>
      </c>
      <c r="B1199" t="s">
        <v>26</v>
      </c>
      <c r="C1199">
        <v>619</v>
      </c>
      <c r="D1199">
        <v>1</v>
      </c>
      <c r="E1199" t="s">
        <v>79</v>
      </c>
      <c r="F1199" t="s">
        <v>28</v>
      </c>
      <c r="G1199" t="str">
        <f>"2026-02-25 01:24:33.529"</f>
        <v>2026-02-25 01:24:33.529</v>
      </c>
      <c r="H1199" t="s">
        <v>80</v>
      </c>
    </row>
    <row r="1200" spans="1:10" x14ac:dyDescent="0.25">
      <c r="A1200" s="1">
        <v>247</v>
      </c>
      <c r="B1200" t="s">
        <v>29</v>
      </c>
      <c r="C1200">
        <v>619</v>
      </c>
      <c r="D1200">
        <v>1</v>
      </c>
      <c r="E1200" t="s">
        <v>79</v>
      </c>
      <c r="F1200" t="s">
        <v>28</v>
      </c>
      <c r="G1200" t="str">
        <f>"2026-02-25 01:24:06.502"</f>
        <v>2026-02-25 01:24:06.502</v>
      </c>
      <c r="H1200" t="s">
        <v>80</v>
      </c>
      <c r="I1200">
        <v>0</v>
      </c>
      <c r="J1200" t="s">
        <v>38</v>
      </c>
    </row>
    <row r="1201" spans="1:10" x14ac:dyDescent="0.25">
      <c r="A1201" s="1">
        <v>248</v>
      </c>
      <c r="B1201" t="s">
        <v>19</v>
      </c>
      <c r="C1201">
        <v>782</v>
      </c>
      <c r="D1201">
        <v>7</v>
      </c>
      <c r="E1201" t="s">
        <v>55</v>
      </c>
      <c r="F1201" t="s">
        <v>56</v>
      </c>
      <c r="G1201" t="str">
        <f>"2026-02-25 01:24:06.501"</f>
        <v>2026-02-25 01:24:06.501</v>
      </c>
      <c r="H1201" t="s">
        <v>22</v>
      </c>
      <c r="I1201">
        <v>0</v>
      </c>
      <c r="J1201" t="s">
        <v>38</v>
      </c>
    </row>
    <row r="1202" spans="1:10" x14ac:dyDescent="0.25">
      <c r="A1202" s="1">
        <v>251</v>
      </c>
      <c r="B1202" t="s">
        <v>26</v>
      </c>
      <c r="C1202">
        <v>619</v>
      </c>
      <c r="D1202">
        <v>1</v>
      </c>
      <c r="E1202" t="s">
        <v>79</v>
      </c>
      <c r="F1202" t="s">
        <v>28</v>
      </c>
      <c r="G1202" t="str">
        <f>"2026-02-25 01:24:06.489"</f>
        <v>2026-02-25 01:24:06.489</v>
      </c>
      <c r="H1202" t="s">
        <v>80</v>
      </c>
    </row>
    <row r="1203" spans="1:10" x14ac:dyDescent="0.25">
      <c r="A1203" s="1">
        <v>252</v>
      </c>
      <c r="B1203" t="s">
        <v>19</v>
      </c>
      <c r="C1203">
        <v>782</v>
      </c>
      <c r="D1203">
        <v>7</v>
      </c>
      <c r="E1203" t="s">
        <v>55</v>
      </c>
      <c r="F1203" t="s">
        <v>56</v>
      </c>
      <c r="G1203" t="str">
        <f>"2026-02-25 01:24:06.482"</f>
        <v>2026-02-25 01:24:06.482</v>
      </c>
      <c r="H1203" t="s">
        <v>22</v>
      </c>
      <c r="I1203">
        <v>0</v>
      </c>
      <c r="J1203" t="s">
        <v>38</v>
      </c>
    </row>
    <row r="1204" spans="1:10" x14ac:dyDescent="0.25">
      <c r="A1204" s="1">
        <v>253</v>
      </c>
      <c r="B1204" t="s">
        <v>29</v>
      </c>
      <c r="C1204">
        <v>619</v>
      </c>
      <c r="D1204">
        <v>1</v>
      </c>
      <c r="E1204" t="s">
        <v>79</v>
      </c>
      <c r="F1204" t="s">
        <v>28</v>
      </c>
      <c r="G1204" t="str">
        <f>"2026-02-25 01:22:28.829"</f>
        <v>2026-02-25 01:22:28.829</v>
      </c>
      <c r="H1204" t="s">
        <v>80</v>
      </c>
      <c r="I1204">
        <v>6.83</v>
      </c>
      <c r="J1204" t="s">
        <v>30</v>
      </c>
    </row>
    <row r="1205" spans="1:10" x14ac:dyDescent="0.25">
      <c r="A1205" s="1">
        <v>254</v>
      </c>
      <c r="B1205" t="s">
        <v>44</v>
      </c>
      <c r="C1205">
        <v>137</v>
      </c>
      <c r="D1205">
        <v>4</v>
      </c>
      <c r="E1205" t="s">
        <v>94</v>
      </c>
      <c r="F1205" t="s">
        <v>97</v>
      </c>
      <c r="G1205" t="str">
        <f>"2026-02-25 01:00:44.762"</f>
        <v>2026-02-25 01:00:44.762</v>
      </c>
      <c r="H1205" t="s">
        <v>61</v>
      </c>
    </row>
    <row r="1206" spans="1:10" x14ac:dyDescent="0.25">
      <c r="A1206" s="1">
        <v>255</v>
      </c>
      <c r="B1206" t="s">
        <v>34</v>
      </c>
      <c r="C1206">
        <v>137</v>
      </c>
      <c r="D1206">
        <v>4</v>
      </c>
      <c r="E1206" t="s">
        <v>94</v>
      </c>
      <c r="F1206" t="s">
        <v>97</v>
      </c>
      <c r="G1206" t="str">
        <f>"2026-02-25 01:00:39.685"</f>
        <v>2026-02-25 01:00:39.685</v>
      </c>
      <c r="H1206" t="s">
        <v>61</v>
      </c>
      <c r="I1206">
        <v>29.73</v>
      </c>
      <c r="J1206" t="s">
        <v>38</v>
      </c>
    </row>
    <row r="1207" spans="1:10" x14ac:dyDescent="0.25">
      <c r="A1207" s="1">
        <v>256</v>
      </c>
      <c r="B1207" t="s">
        <v>19</v>
      </c>
      <c r="C1207">
        <v>700</v>
      </c>
      <c r="D1207">
        <v>0</v>
      </c>
      <c r="E1207" t="s">
        <v>24</v>
      </c>
      <c r="F1207" t="s">
        <v>24</v>
      </c>
      <c r="G1207" t="str">
        <f>"2026-02-24 21:57:07.622"</f>
        <v>2026-02-24 21:57:07.622</v>
      </c>
      <c r="H1207" t="s">
        <v>22</v>
      </c>
      <c r="I1207">
        <v>0</v>
      </c>
      <c r="J1207" t="s">
        <v>25</v>
      </c>
    </row>
    <row r="1208" spans="1:10" x14ac:dyDescent="0.25">
      <c r="A1208" s="1">
        <v>257</v>
      </c>
      <c r="B1208" t="s">
        <v>26</v>
      </c>
      <c r="C1208">
        <v>619</v>
      </c>
      <c r="D1208">
        <v>1</v>
      </c>
      <c r="E1208" t="s">
        <v>79</v>
      </c>
      <c r="F1208" t="s">
        <v>28</v>
      </c>
      <c r="G1208" t="str">
        <f>"2026-02-24 20:05:30.141"</f>
        <v>2026-02-24 20:05:30.141</v>
      </c>
      <c r="H1208" t="s">
        <v>80</v>
      </c>
    </row>
    <row r="1209" spans="1:10" x14ac:dyDescent="0.25">
      <c r="A1209" s="1">
        <v>258</v>
      </c>
      <c r="B1209" t="s">
        <v>29</v>
      </c>
      <c r="C1209">
        <v>619</v>
      </c>
      <c r="D1209">
        <v>1</v>
      </c>
      <c r="E1209" t="s">
        <v>79</v>
      </c>
      <c r="F1209" t="s">
        <v>28</v>
      </c>
      <c r="G1209" t="str">
        <f>"2026-02-24 20:05:05.841"</f>
        <v>2026-02-24 20:05:05.841</v>
      </c>
      <c r="H1209" t="s">
        <v>80</v>
      </c>
      <c r="I1209">
        <v>0</v>
      </c>
      <c r="J1209" t="s">
        <v>38</v>
      </c>
    </row>
    <row r="1210" spans="1:10" x14ac:dyDescent="0.25">
      <c r="A1210" s="1">
        <v>259</v>
      </c>
      <c r="B1210" t="s">
        <v>26</v>
      </c>
      <c r="C1210">
        <v>619</v>
      </c>
      <c r="D1210">
        <v>1</v>
      </c>
      <c r="E1210" t="s">
        <v>79</v>
      </c>
      <c r="F1210" t="s">
        <v>28</v>
      </c>
      <c r="G1210" t="str">
        <f>"2026-02-24 19:51:50.641"</f>
        <v>2026-02-24 19:51:50.641</v>
      </c>
      <c r="H1210" t="s">
        <v>80</v>
      </c>
    </row>
    <row r="1211" spans="1:10" x14ac:dyDescent="0.25">
      <c r="A1211" s="1">
        <v>260</v>
      </c>
      <c r="B1211" t="s">
        <v>29</v>
      </c>
      <c r="C1211">
        <v>619</v>
      </c>
      <c r="D1211">
        <v>1</v>
      </c>
      <c r="E1211" t="s">
        <v>79</v>
      </c>
      <c r="F1211" t="s">
        <v>28</v>
      </c>
      <c r="G1211" t="str">
        <f>"2026-02-24 19:51:32.541"</f>
        <v>2026-02-24 19:51:32.541</v>
      </c>
      <c r="H1211" t="s">
        <v>80</v>
      </c>
      <c r="I1211">
        <v>4.74</v>
      </c>
      <c r="J1211" t="s">
        <v>30</v>
      </c>
    </row>
    <row r="1212" spans="1:10" x14ac:dyDescent="0.25">
      <c r="A1212" s="1">
        <v>261</v>
      </c>
      <c r="B1212" t="s">
        <v>26</v>
      </c>
      <c r="C1212">
        <v>619</v>
      </c>
      <c r="D1212">
        <v>1</v>
      </c>
      <c r="E1212" t="s">
        <v>79</v>
      </c>
      <c r="F1212" t="s">
        <v>28</v>
      </c>
      <c r="G1212" t="str">
        <f>"2026-02-24 19:51:19.441"</f>
        <v>2026-02-24 19:51:19.441</v>
      </c>
      <c r="H1212" t="s">
        <v>80</v>
      </c>
    </row>
    <row r="1213" spans="1:10" x14ac:dyDescent="0.25">
      <c r="A1213" s="1">
        <v>262</v>
      </c>
      <c r="B1213" t="s">
        <v>29</v>
      </c>
      <c r="C1213">
        <v>619</v>
      </c>
      <c r="D1213">
        <v>1</v>
      </c>
      <c r="E1213" t="s">
        <v>79</v>
      </c>
      <c r="F1213" t="s">
        <v>28</v>
      </c>
      <c r="G1213" t="str">
        <f>"2026-02-24 19:50:54.042"</f>
        <v>2026-02-24 19:50:54.042</v>
      </c>
      <c r="H1213" t="s">
        <v>80</v>
      </c>
      <c r="I1213">
        <v>5.45</v>
      </c>
      <c r="J1213" t="s">
        <v>30</v>
      </c>
    </row>
    <row r="1214" spans="1:10" x14ac:dyDescent="0.25">
      <c r="A1214" s="1">
        <v>263</v>
      </c>
      <c r="B1214" t="s">
        <v>19</v>
      </c>
      <c r="C1214">
        <v>700</v>
      </c>
      <c r="D1214">
        <v>0</v>
      </c>
      <c r="E1214" t="s">
        <v>24</v>
      </c>
      <c r="F1214" t="s">
        <v>24</v>
      </c>
      <c r="G1214" t="str">
        <f>"2026-02-24 12:06:43.631"</f>
        <v>2026-02-24 12:06:43.631</v>
      </c>
      <c r="H1214" t="s">
        <v>22</v>
      </c>
      <c r="I1214">
        <v>0</v>
      </c>
      <c r="J1214" t="s">
        <v>25</v>
      </c>
    </row>
    <row r="1215" spans="1:10" x14ac:dyDescent="0.25">
      <c r="A1215" s="1">
        <v>264</v>
      </c>
      <c r="B1215" t="s">
        <v>44</v>
      </c>
      <c r="C1215">
        <v>237</v>
      </c>
      <c r="D1215">
        <v>4</v>
      </c>
      <c r="E1215" t="s">
        <v>98</v>
      </c>
      <c r="F1215" t="s">
        <v>97</v>
      </c>
      <c r="G1215" t="str">
        <f>"2026-02-24 05:38:28.975"</f>
        <v>2026-02-24 05:38:28.975</v>
      </c>
      <c r="H1215" t="s">
        <v>59</v>
      </c>
    </row>
    <row r="1216" spans="1:10" x14ac:dyDescent="0.25">
      <c r="A1216" s="1">
        <v>265</v>
      </c>
      <c r="B1216" t="s">
        <v>34</v>
      </c>
      <c r="C1216">
        <v>237</v>
      </c>
      <c r="D1216">
        <v>4</v>
      </c>
      <c r="E1216" t="s">
        <v>98</v>
      </c>
      <c r="F1216" t="s">
        <v>97</v>
      </c>
      <c r="G1216" t="str">
        <f>"2026-02-24 05:38:23.939"</f>
        <v>2026-02-24 05:38:23.939</v>
      </c>
      <c r="H1216" t="s">
        <v>59</v>
      </c>
      <c r="I1216">
        <v>19.45</v>
      </c>
      <c r="J1216" t="s">
        <v>30</v>
      </c>
    </row>
    <row r="1217" spans="1:10" x14ac:dyDescent="0.25">
      <c r="A1217" s="1">
        <v>266</v>
      </c>
      <c r="B1217" t="s">
        <v>44</v>
      </c>
      <c r="C1217">
        <v>137</v>
      </c>
      <c r="D1217">
        <v>4</v>
      </c>
      <c r="E1217" t="s">
        <v>94</v>
      </c>
      <c r="F1217" t="s">
        <v>97</v>
      </c>
      <c r="G1217" t="str">
        <f>"2026-02-24 04:06:57.976"</f>
        <v>2026-02-24 04:06:57.976</v>
      </c>
      <c r="H1217" t="s">
        <v>61</v>
      </c>
    </row>
    <row r="1218" spans="1:10" x14ac:dyDescent="0.25">
      <c r="A1218" s="1">
        <v>267</v>
      </c>
      <c r="B1218" t="s">
        <v>34</v>
      </c>
      <c r="C1218">
        <v>137</v>
      </c>
      <c r="D1218">
        <v>4</v>
      </c>
      <c r="E1218" t="s">
        <v>94</v>
      </c>
      <c r="F1218" t="s">
        <v>97</v>
      </c>
      <c r="G1218" t="str">
        <f>"2026-02-24 04:06:52.879"</f>
        <v>2026-02-24 04:06:52.879</v>
      </c>
      <c r="H1218" t="s">
        <v>61</v>
      </c>
      <c r="I1218">
        <v>6.41</v>
      </c>
      <c r="J1218" t="s">
        <v>30</v>
      </c>
    </row>
    <row r="1219" spans="1:10" x14ac:dyDescent="0.25">
      <c r="A1219" s="1">
        <v>268</v>
      </c>
      <c r="B1219" t="s">
        <v>26</v>
      </c>
      <c r="C1219">
        <v>619</v>
      </c>
      <c r="D1219">
        <v>1</v>
      </c>
      <c r="E1219" t="s">
        <v>79</v>
      </c>
      <c r="F1219" t="s">
        <v>28</v>
      </c>
      <c r="G1219" t="str">
        <f>"2026-02-23 16:57:25.443"</f>
        <v>2026-02-23 16:57:25.443</v>
      </c>
      <c r="H1219" t="s">
        <v>80</v>
      </c>
    </row>
    <row r="1220" spans="1:10" x14ac:dyDescent="0.25">
      <c r="A1220" s="1">
        <v>269</v>
      </c>
      <c r="B1220" t="s">
        <v>29</v>
      </c>
      <c r="C1220">
        <v>619</v>
      </c>
      <c r="D1220">
        <v>1</v>
      </c>
      <c r="E1220" t="s">
        <v>79</v>
      </c>
      <c r="F1220" t="s">
        <v>28</v>
      </c>
      <c r="G1220" t="str">
        <f>"2026-02-23 16:57:00.096"</f>
        <v>2026-02-23 16:57:00.096</v>
      </c>
      <c r="H1220" t="s">
        <v>80</v>
      </c>
      <c r="I1220">
        <v>4.1399999999999997</v>
      </c>
      <c r="J1220" t="s">
        <v>30</v>
      </c>
    </row>
    <row r="1221" spans="1:10" x14ac:dyDescent="0.25">
      <c r="A1221" s="1">
        <v>270</v>
      </c>
      <c r="B1221" t="s">
        <v>19</v>
      </c>
      <c r="C1221">
        <v>700</v>
      </c>
      <c r="D1221">
        <v>0</v>
      </c>
      <c r="E1221" t="s">
        <v>24</v>
      </c>
      <c r="F1221" t="s">
        <v>24</v>
      </c>
      <c r="G1221" t="str">
        <f>"2026-02-23 10:25:11.625"</f>
        <v>2026-02-23 10:25:11.625</v>
      </c>
      <c r="H1221" t="s">
        <v>22</v>
      </c>
      <c r="I1221">
        <v>0</v>
      </c>
      <c r="J1221" t="s">
        <v>25</v>
      </c>
    </row>
    <row r="1222" spans="1:10" x14ac:dyDescent="0.25">
      <c r="A1222" s="1">
        <v>271</v>
      </c>
      <c r="B1222" t="s">
        <v>26</v>
      </c>
      <c r="C1222">
        <v>619</v>
      </c>
      <c r="D1222">
        <v>1</v>
      </c>
      <c r="E1222" t="s">
        <v>79</v>
      </c>
      <c r="F1222" t="s">
        <v>28</v>
      </c>
      <c r="G1222" t="str">
        <f>"2026-02-23 10:13:16.044"</f>
        <v>2026-02-23 10:13:16.044</v>
      </c>
      <c r="H1222" t="s">
        <v>80</v>
      </c>
    </row>
    <row r="1223" spans="1:10" x14ac:dyDescent="0.25">
      <c r="A1223" s="1">
        <v>272</v>
      </c>
      <c r="B1223" t="s">
        <v>29</v>
      </c>
      <c r="C1223">
        <v>619</v>
      </c>
      <c r="D1223">
        <v>1</v>
      </c>
      <c r="E1223" t="s">
        <v>79</v>
      </c>
      <c r="F1223" t="s">
        <v>28</v>
      </c>
      <c r="G1223" t="str">
        <f>"2026-02-23 10:12:13.244"</f>
        <v>2026-02-23 10:12:13.244</v>
      </c>
      <c r="H1223" t="s">
        <v>80</v>
      </c>
      <c r="I1223">
        <v>-5.5</v>
      </c>
      <c r="J1223" t="s">
        <v>37</v>
      </c>
    </row>
    <row r="1224" spans="1:10" s="3" customFormat="1" x14ac:dyDescent="0.25">
      <c r="A1224" s="2">
        <v>273</v>
      </c>
      <c r="B1224" s="3" t="s">
        <v>26</v>
      </c>
      <c r="C1224" s="3">
        <v>647</v>
      </c>
      <c r="D1224" s="3">
        <v>1</v>
      </c>
      <c r="E1224" s="3" t="s">
        <v>35</v>
      </c>
      <c r="F1224" s="3" t="s">
        <v>36</v>
      </c>
      <c r="G1224" s="3" t="str">
        <f>"2026-02-23 09:07:34.292"</f>
        <v>2026-02-23 09:07:34.292</v>
      </c>
      <c r="H1224" s="3" t="s">
        <v>22</v>
      </c>
    </row>
    <row r="1225" spans="1:10" s="3" customFormat="1" x14ac:dyDescent="0.25">
      <c r="A1225" s="2">
        <v>274</v>
      </c>
      <c r="B1225" s="3" t="s">
        <v>29</v>
      </c>
      <c r="C1225" s="3">
        <v>647</v>
      </c>
      <c r="D1225" s="3">
        <v>1</v>
      </c>
      <c r="E1225" s="3" t="s">
        <v>35</v>
      </c>
      <c r="F1225" s="3" t="s">
        <v>36</v>
      </c>
      <c r="G1225" s="3" t="str">
        <f>"2026-02-23 09:07:30.892"</f>
        <v>2026-02-23 09:07:30.892</v>
      </c>
      <c r="H1225" s="3" t="s">
        <v>22</v>
      </c>
      <c r="I1225" s="3">
        <v>8.01</v>
      </c>
      <c r="J1225" s="3" t="s">
        <v>37</v>
      </c>
    </row>
    <row r="1226" spans="1:10" x14ac:dyDescent="0.25">
      <c r="A1226" s="1">
        <v>275</v>
      </c>
      <c r="B1226" t="s">
        <v>26</v>
      </c>
      <c r="C1226">
        <v>619</v>
      </c>
      <c r="D1226">
        <v>1</v>
      </c>
      <c r="E1226" t="s">
        <v>79</v>
      </c>
      <c r="F1226" t="s">
        <v>28</v>
      </c>
      <c r="G1226" t="str">
        <f>"2026-02-23 08:26:07.792"</f>
        <v>2026-02-23 08:26:07.792</v>
      </c>
      <c r="H1226" t="s">
        <v>80</v>
      </c>
    </row>
    <row r="1227" spans="1:10" x14ac:dyDescent="0.25">
      <c r="A1227" s="1">
        <v>276</v>
      </c>
      <c r="B1227" t="s">
        <v>29</v>
      </c>
      <c r="C1227">
        <v>619</v>
      </c>
      <c r="D1227">
        <v>1</v>
      </c>
      <c r="E1227" t="s">
        <v>79</v>
      </c>
      <c r="F1227" t="s">
        <v>28</v>
      </c>
      <c r="G1227" t="str">
        <f>"2026-02-23 08:26:00.092"</f>
        <v>2026-02-23 08:26:00.092</v>
      </c>
      <c r="H1227" t="s">
        <v>80</v>
      </c>
      <c r="I1227">
        <v>0</v>
      </c>
      <c r="J1227" t="s">
        <v>38</v>
      </c>
    </row>
    <row r="1228" spans="1:10" x14ac:dyDescent="0.25">
      <c r="A1228" s="1">
        <v>277</v>
      </c>
      <c r="B1228" t="s">
        <v>19</v>
      </c>
      <c r="C1228">
        <v>700</v>
      </c>
      <c r="D1228">
        <v>0</v>
      </c>
      <c r="E1228" t="s">
        <v>24</v>
      </c>
      <c r="F1228" t="s">
        <v>24</v>
      </c>
      <c r="G1228" t="str">
        <f>"2026-02-23 00:48:44.674"</f>
        <v>2026-02-23 00:48:44.674</v>
      </c>
      <c r="H1228" t="s">
        <v>22</v>
      </c>
      <c r="I1228">
        <v>0</v>
      </c>
      <c r="J1228" t="s">
        <v>25</v>
      </c>
    </row>
    <row r="1229" spans="1:10" x14ac:dyDescent="0.25">
      <c r="A1229" s="1">
        <v>278</v>
      </c>
      <c r="B1229" t="s">
        <v>26</v>
      </c>
      <c r="C1229">
        <v>619</v>
      </c>
      <c r="D1229">
        <v>1</v>
      </c>
      <c r="E1229" t="s">
        <v>79</v>
      </c>
      <c r="F1229" t="s">
        <v>28</v>
      </c>
      <c r="G1229" t="str">
        <f>"2026-02-22 23:06:48.127"</f>
        <v>2026-02-22 23:06:48.127</v>
      </c>
      <c r="H1229" t="s">
        <v>80</v>
      </c>
    </row>
    <row r="1230" spans="1:10" x14ac:dyDescent="0.25">
      <c r="A1230" s="1">
        <v>279</v>
      </c>
      <c r="B1230" t="s">
        <v>29</v>
      </c>
      <c r="C1230">
        <v>619</v>
      </c>
      <c r="D1230">
        <v>1</v>
      </c>
      <c r="E1230" t="s">
        <v>79</v>
      </c>
      <c r="F1230" t="s">
        <v>28</v>
      </c>
      <c r="G1230" t="str">
        <f>"2026-02-22 23:06:30.027"</f>
        <v>2026-02-22 23:06:30.027</v>
      </c>
      <c r="H1230" t="s">
        <v>80</v>
      </c>
      <c r="I1230">
        <v>25.83</v>
      </c>
      <c r="J1230" t="s">
        <v>30</v>
      </c>
    </row>
    <row r="1231" spans="1:10" x14ac:dyDescent="0.25">
      <c r="A1231" s="1">
        <v>280</v>
      </c>
      <c r="B1231" t="s">
        <v>19</v>
      </c>
      <c r="C1231">
        <v>700</v>
      </c>
      <c r="D1231">
        <v>0</v>
      </c>
      <c r="E1231" t="s">
        <v>24</v>
      </c>
      <c r="F1231" t="s">
        <v>24</v>
      </c>
      <c r="G1231" t="str">
        <f>"2026-02-22 17:28:52.609"</f>
        <v>2026-02-22 17:28:52.609</v>
      </c>
      <c r="H1231" t="s">
        <v>22</v>
      </c>
      <c r="I1231">
        <v>0</v>
      </c>
      <c r="J1231" t="s">
        <v>25</v>
      </c>
    </row>
    <row r="1232" spans="1:10" x14ac:dyDescent="0.25">
      <c r="A1232" s="1">
        <v>281</v>
      </c>
      <c r="B1232" t="s">
        <v>26</v>
      </c>
      <c r="C1232">
        <v>619</v>
      </c>
      <c r="D1232">
        <v>1</v>
      </c>
      <c r="E1232" t="s">
        <v>79</v>
      </c>
      <c r="F1232" t="s">
        <v>28</v>
      </c>
      <c r="G1232" t="str">
        <f>"2026-02-22 17:20:49.370"</f>
        <v>2026-02-22 17:20:49.370</v>
      </c>
      <c r="H1232" t="s">
        <v>80</v>
      </c>
    </row>
    <row r="1233" spans="1:10" x14ac:dyDescent="0.25">
      <c r="A1233" s="1">
        <v>282</v>
      </c>
      <c r="B1233" t="s">
        <v>29</v>
      </c>
      <c r="C1233">
        <v>619</v>
      </c>
      <c r="D1233">
        <v>1</v>
      </c>
      <c r="E1233" t="s">
        <v>79</v>
      </c>
      <c r="F1233" t="s">
        <v>28</v>
      </c>
      <c r="G1233" t="str">
        <f>"2026-02-22 17:20:41.670"</f>
        <v>2026-02-22 17:20:41.670</v>
      </c>
      <c r="H1233" t="s">
        <v>80</v>
      </c>
      <c r="I1233">
        <v>4.46</v>
      </c>
      <c r="J1233" t="s">
        <v>30</v>
      </c>
    </row>
    <row r="1234" spans="1:10" s="3" customFormat="1" x14ac:dyDescent="0.25">
      <c r="A1234" s="2">
        <v>283</v>
      </c>
      <c r="B1234" s="3" t="s">
        <v>26</v>
      </c>
      <c r="C1234" s="3">
        <v>647</v>
      </c>
      <c r="D1234" s="3">
        <v>1</v>
      </c>
      <c r="E1234" s="3" t="s">
        <v>35</v>
      </c>
      <c r="F1234" s="3" t="s">
        <v>36</v>
      </c>
      <c r="G1234" s="3" t="str">
        <f>"2026-02-22 06:42:33.824"</f>
        <v>2026-02-22 06:42:33.824</v>
      </c>
      <c r="H1234" s="3" t="s">
        <v>22</v>
      </c>
    </row>
    <row r="1235" spans="1:10" s="3" customFormat="1" x14ac:dyDescent="0.25">
      <c r="A1235" s="2">
        <v>284</v>
      </c>
      <c r="B1235" s="3" t="s">
        <v>29</v>
      </c>
      <c r="C1235" s="3">
        <v>647</v>
      </c>
      <c r="D1235" s="3">
        <v>1</v>
      </c>
      <c r="E1235" s="3" t="s">
        <v>35</v>
      </c>
      <c r="F1235" s="3" t="s">
        <v>36</v>
      </c>
      <c r="G1235" s="3" t="str">
        <f>"2026-02-22 06:42:32.324"</f>
        <v>2026-02-22 06:42:32.324</v>
      </c>
      <c r="H1235" s="3" t="s">
        <v>22</v>
      </c>
      <c r="I1235" s="3">
        <v>18.940000000000001</v>
      </c>
      <c r="J1235" s="3" t="s">
        <v>37</v>
      </c>
    </row>
    <row r="1236" spans="1:10" x14ac:dyDescent="0.25">
      <c r="A1236" s="1">
        <v>285</v>
      </c>
      <c r="B1236" t="s">
        <v>19</v>
      </c>
      <c r="C1236">
        <v>700</v>
      </c>
      <c r="D1236">
        <v>0</v>
      </c>
      <c r="E1236" t="s">
        <v>24</v>
      </c>
      <c r="F1236" t="s">
        <v>24</v>
      </c>
      <c r="G1236" t="str">
        <f>"2026-02-21 13:19:03.643"</f>
        <v>2026-02-21 13:19:03.643</v>
      </c>
      <c r="H1236" t="s">
        <v>22</v>
      </c>
    </row>
    <row r="1237" spans="1:10" x14ac:dyDescent="0.25">
      <c r="A1237" s="1">
        <v>286</v>
      </c>
      <c r="B1237" t="s">
        <v>26</v>
      </c>
      <c r="C1237">
        <v>635</v>
      </c>
      <c r="D1237">
        <v>1</v>
      </c>
      <c r="E1237" t="s">
        <v>27</v>
      </c>
      <c r="F1237" t="s">
        <v>28</v>
      </c>
      <c r="G1237" t="str">
        <f>"2026-02-20 23:14:19.665"</f>
        <v>2026-02-20 23:14:19.665</v>
      </c>
      <c r="H1237" t="s">
        <v>22</v>
      </c>
    </row>
    <row r="1238" spans="1:10" x14ac:dyDescent="0.25">
      <c r="A1238" s="1">
        <v>287</v>
      </c>
      <c r="B1238" t="s">
        <v>29</v>
      </c>
      <c r="C1238">
        <v>635</v>
      </c>
      <c r="D1238">
        <v>1</v>
      </c>
      <c r="E1238" t="s">
        <v>27</v>
      </c>
      <c r="F1238" t="s">
        <v>28</v>
      </c>
      <c r="G1238" t="str">
        <f>"2026-02-20 23:10:45.165"</f>
        <v>2026-02-20 23:10:45.165</v>
      </c>
      <c r="H1238" t="s">
        <v>22</v>
      </c>
      <c r="I1238">
        <v>0.48</v>
      </c>
      <c r="J1238" t="s">
        <v>37</v>
      </c>
    </row>
    <row r="1239" spans="1:10" x14ac:dyDescent="0.25">
      <c r="A1239" s="1">
        <v>288</v>
      </c>
      <c r="B1239" t="s">
        <v>19</v>
      </c>
      <c r="C1239">
        <v>700</v>
      </c>
      <c r="D1239">
        <v>0</v>
      </c>
      <c r="E1239" t="s">
        <v>24</v>
      </c>
      <c r="F1239" t="s">
        <v>24</v>
      </c>
      <c r="G1239" t="str">
        <f>"2026-02-20 16:28:28.594"</f>
        <v>2026-02-20 16:28:28.594</v>
      </c>
      <c r="H1239" t="s">
        <v>22</v>
      </c>
      <c r="I1239">
        <v>0</v>
      </c>
      <c r="J1239" t="s">
        <v>25</v>
      </c>
    </row>
    <row r="1240" spans="1:10" x14ac:dyDescent="0.25">
      <c r="A1240" s="1">
        <v>289</v>
      </c>
      <c r="B1240" t="s">
        <v>26</v>
      </c>
      <c r="C1240">
        <v>619</v>
      </c>
      <c r="D1240">
        <v>1</v>
      </c>
      <c r="E1240" t="s">
        <v>79</v>
      </c>
      <c r="F1240" t="s">
        <v>28</v>
      </c>
      <c r="G1240" t="str">
        <f>"2026-02-20 16:20:25.747"</f>
        <v>2026-02-20 16:20:25.747</v>
      </c>
      <c r="H1240" t="s">
        <v>80</v>
      </c>
    </row>
    <row r="1241" spans="1:10" x14ac:dyDescent="0.25">
      <c r="A1241" s="1">
        <v>290</v>
      </c>
      <c r="B1241" t="s">
        <v>29</v>
      </c>
      <c r="C1241">
        <v>619</v>
      </c>
      <c r="D1241">
        <v>1</v>
      </c>
      <c r="E1241" t="s">
        <v>79</v>
      </c>
      <c r="F1241" t="s">
        <v>28</v>
      </c>
      <c r="G1241" t="str">
        <f>"2026-02-20 16:19:37.495"</f>
        <v>2026-02-20 16:19:37.495</v>
      </c>
      <c r="H1241" t="s">
        <v>80</v>
      </c>
      <c r="I1241">
        <v>4.95</v>
      </c>
      <c r="J1241" t="s">
        <v>30</v>
      </c>
    </row>
    <row r="1242" spans="1:10" x14ac:dyDescent="0.25">
      <c r="A1242" s="1">
        <v>291</v>
      </c>
      <c r="B1242" t="s">
        <v>19</v>
      </c>
      <c r="C1242">
        <v>700</v>
      </c>
      <c r="D1242">
        <v>0</v>
      </c>
      <c r="E1242" t="s">
        <v>24</v>
      </c>
      <c r="F1242" t="s">
        <v>24</v>
      </c>
      <c r="G1242" t="str">
        <f>"2026-02-18 20:21:39.627"</f>
        <v>2026-02-18 20:21:39.627</v>
      </c>
      <c r="H1242" t="s">
        <v>22</v>
      </c>
      <c r="I1242">
        <v>0</v>
      </c>
      <c r="J1242" t="s">
        <v>25</v>
      </c>
    </row>
    <row r="1243" spans="1:10" x14ac:dyDescent="0.25">
      <c r="A1243" s="1">
        <v>292</v>
      </c>
      <c r="B1243" t="s">
        <v>26</v>
      </c>
      <c r="C1243">
        <v>630</v>
      </c>
      <c r="D1243">
        <v>5</v>
      </c>
      <c r="E1243" t="s">
        <v>39</v>
      </c>
      <c r="F1243" t="s">
        <v>40</v>
      </c>
      <c r="G1243" t="str">
        <f>"2026-02-18 18:45:36.574"</f>
        <v>2026-02-18 18:45:36.574</v>
      </c>
      <c r="H1243" t="s">
        <v>41</v>
      </c>
    </row>
    <row r="1244" spans="1:10" x14ac:dyDescent="0.25">
      <c r="A1244" s="1">
        <v>293</v>
      </c>
      <c r="B1244" t="s">
        <v>19</v>
      </c>
      <c r="C1244">
        <v>706</v>
      </c>
      <c r="D1244">
        <v>2</v>
      </c>
      <c r="E1244" t="s">
        <v>20</v>
      </c>
      <c r="F1244" t="s">
        <v>54</v>
      </c>
      <c r="G1244" t="str">
        <f>"2026-02-18 18:45:06.606"</f>
        <v>2026-02-18 18:45:06.606</v>
      </c>
      <c r="H1244" t="s">
        <v>22</v>
      </c>
      <c r="I1244">
        <v>0</v>
      </c>
      <c r="J1244" t="s">
        <v>23</v>
      </c>
    </row>
    <row r="1245" spans="1:10" x14ac:dyDescent="0.25">
      <c r="A1245" s="1">
        <v>294</v>
      </c>
      <c r="B1245" t="s">
        <v>34</v>
      </c>
      <c r="C1245">
        <v>630</v>
      </c>
      <c r="D1245">
        <v>5</v>
      </c>
      <c r="E1245" t="s">
        <v>39</v>
      </c>
      <c r="F1245" t="s">
        <v>40</v>
      </c>
      <c r="G1245" t="str">
        <f>"2026-02-18 14:55:44.375"</f>
        <v>2026-02-18 14:55:44.375</v>
      </c>
      <c r="H1245" t="s">
        <v>41</v>
      </c>
      <c r="I1245">
        <v>0</v>
      </c>
      <c r="J1245" t="s">
        <v>23</v>
      </c>
    </row>
    <row r="1246" spans="1:10" x14ac:dyDescent="0.25">
      <c r="A1246" s="1">
        <v>295</v>
      </c>
      <c r="B1246" t="s">
        <v>19</v>
      </c>
      <c r="C1246">
        <v>700</v>
      </c>
      <c r="D1246">
        <v>0</v>
      </c>
      <c r="E1246" t="s">
        <v>24</v>
      </c>
      <c r="F1246" t="s">
        <v>24</v>
      </c>
      <c r="G1246" t="str">
        <f>"2026-02-18 14:50:41.606"</f>
        <v>2026-02-18 14:50:41.606</v>
      </c>
      <c r="H1246" t="s">
        <v>22</v>
      </c>
      <c r="I1246">
        <v>0</v>
      </c>
      <c r="J1246" t="s">
        <v>25</v>
      </c>
    </row>
    <row r="1247" spans="1:10" x14ac:dyDescent="0.25">
      <c r="A1247" s="1">
        <v>296</v>
      </c>
      <c r="B1247" t="s">
        <v>34</v>
      </c>
      <c r="C1247">
        <v>630</v>
      </c>
      <c r="D1247">
        <v>5</v>
      </c>
      <c r="E1247" t="s">
        <v>39</v>
      </c>
      <c r="F1247" t="s">
        <v>40</v>
      </c>
      <c r="G1247" t="str">
        <f>"2026-02-18 09:29:47.372"</f>
        <v>2026-02-18 09:29:47.372</v>
      </c>
      <c r="H1247" t="s">
        <v>41</v>
      </c>
      <c r="I1247">
        <v>0</v>
      </c>
      <c r="J1247" t="s">
        <v>23</v>
      </c>
    </row>
    <row r="1248" spans="1:10" x14ac:dyDescent="0.25">
      <c r="A1248" s="1">
        <v>297</v>
      </c>
      <c r="B1248" t="s">
        <v>19</v>
      </c>
      <c r="C1248">
        <v>700</v>
      </c>
      <c r="D1248">
        <v>0</v>
      </c>
      <c r="E1248" t="s">
        <v>24</v>
      </c>
      <c r="F1248" t="s">
        <v>24</v>
      </c>
      <c r="G1248" t="str">
        <f>"2026-02-18 09:24:44.603"</f>
        <v>2026-02-18 09:24:44.603</v>
      </c>
      <c r="H1248" t="s">
        <v>22</v>
      </c>
      <c r="I1248">
        <v>0</v>
      </c>
      <c r="J1248" t="s">
        <v>25</v>
      </c>
    </row>
    <row r="1249" spans="1:10" x14ac:dyDescent="0.25">
      <c r="A1249" s="1">
        <v>298</v>
      </c>
      <c r="B1249" t="s">
        <v>19</v>
      </c>
      <c r="C1249">
        <v>700</v>
      </c>
      <c r="D1249">
        <v>0</v>
      </c>
      <c r="E1249" t="s">
        <v>24</v>
      </c>
      <c r="F1249" t="s">
        <v>24</v>
      </c>
      <c r="G1249" t="str">
        <f>"2026-02-18 09:13:15.606"</f>
        <v>2026-02-18 09:13:15.606</v>
      </c>
      <c r="H1249" t="s">
        <v>22</v>
      </c>
      <c r="I1249">
        <v>0</v>
      </c>
      <c r="J1249" t="s">
        <v>25</v>
      </c>
    </row>
    <row r="1250" spans="1:10" x14ac:dyDescent="0.25">
      <c r="A1250" s="1">
        <v>299</v>
      </c>
      <c r="B1250" t="s">
        <v>26</v>
      </c>
      <c r="C1250">
        <v>630</v>
      </c>
      <c r="D1250">
        <v>5</v>
      </c>
      <c r="E1250" t="s">
        <v>39</v>
      </c>
      <c r="F1250" t="s">
        <v>40</v>
      </c>
      <c r="G1250" t="str">
        <f>"2026-02-18 09:01:51.774"</f>
        <v>2026-02-18 09:01:51.774</v>
      </c>
      <c r="H1250" t="s">
        <v>41</v>
      </c>
    </row>
    <row r="1251" spans="1:10" x14ac:dyDescent="0.25">
      <c r="A1251" s="1">
        <v>300</v>
      </c>
      <c r="B1251" t="s">
        <v>19</v>
      </c>
      <c r="C1251">
        <v>706</v>
      </c>
      <c r="D1251">
        <v>4</v>
      </c>
      <c r="E1251" t="s">
        <v>20</v>
      </c>
      <c r="F1251" t="s">
        <v>21</v>
      </c>
      <c r="G1251" t="str">
        <f>"2026-02-18 09:01:21.791"</f>
        <v>2026-02-18 09:01:21.791</v>
      </c>
      <c r="H1251" t="s">
        <v>22</v>
      </c>
      <c r="I1251">
        <v>0</v>
      </c>
      <c r="J1251" t="s">
        <v>23</v>
      </c>
    </row>
    <row r="1252" spans="1:10" x14ac:dyDescent="0.25">
      <c r="A1252" s="1">
        <v>301</v>
      </c>
      <c r="B1252" t="s">
        <v>34</v>
      </c>
      <c r="C1252">
        <v>630</v>
      </c>
      <c r="D1252">
        <v>5</v>
      </c>
      <c r="E1252" t="s">
        <v>39</v>
      </c>
      <c r="F1252" t="s">
        <v>40</v>
      </c>
      <c r="G1252" t="str">
        <f>"2026-02-18 08:47:17.374"</f>
        <v>2026-02-18 08:47:17.374</v>
      </c>
      <c r="H1252" t="s">
        <v>41</v>
      </c>
      <c r="I1252">
        <v>0</v>
      </c>
      <c r="J1252" t="s">
        <v>23</v>
      </c>
    </row>
    <row r="1253" spans="1:10" x14ac:dyDescent="0.25">
      <c r="A1253" s="1">
        <v>302</v>
      </c>
      <c r="B1253" t="s">
        <v>19</v>
      </c>
      <c r="C1253">
        <v>700</v>
      </c>
      <c r="D1253">
        <v>0</v>
      </c>
      <c r="E1253" t="s">
        <v>24</v>
      </c>
      <c r="F1253" t="s">
        <v>24</v>
      </c>
      <c r="G1253" t="str">
        <f>"2026-02-18 08:42:14.591"</f>
        <v>2026-02-18 08:42:14.591</v>
      </c>
      <c r="H1253" t="s">
        <v>22</v>
      </c>
    </row>
    <row r="1254" spans="1:10" x14ac:dyDescent="0.25">
      <c r="A1254" s="1">
        <v>303</v>
      </c>
      <c r="B1254" t="s">
        <v>19</v>
      </c>
      <c r="C1254">
        <v>700</v>
      </c>
      <c r="D1254">
        <v>0</v>
      </c>
      <c r="E1254" t="s">
        <v>24</v>
      </c>
      <c r="F1254" t="s">
        <v>24</v>
      </c>
      <c r="G1254" t="str">
        <f>"2026-02-17 19:45:44.742"</f>
        <v>2026-02-17 19:45:44.742</v>
      </c>
      <c r="H1254" t="s">
        <v>22</v>
      </c>
    </row>
    <row r="1255" spans="1:10" x14ac:dyDescent="0.25">
      <c r="A1255" s="1">
        <v>304</v>
      </c>
      <c r="B1255" t="s">
        <v>26</v>
      </c>
      <c r="C1255">
        <v>61</v>
      </c>
      <c r="D1255">
        <v>2</v>
      </c>
      <c r="E1255" t="s">
        <v>81</v>
      </c>
      <c r="F1255" t="s">
        <v>82</v>
      </c>
      <c r="G1255" t="str">
        <f>"2026-02-17 19:09:01.646"</f>
        <v>2026-02-17 19:09:01.646</v>
      </c>
      <c r="H1255" t="s">
        <v>22</v>
      </c>
    </row>
    <row r="1256" spans="1:10" x14ac:dyDescent="0.25">
      <c r="A1256" s="1">
        <v>305</v>
      </c>
      <c r="B1256" t="s">
        <v>34</v>
      </c>
      <c r="C1256">
        <v>61</v>
      </c>
      <c r="D1256">
        <v>2</v>
      </c>
      <c r="E1256" t="s">
        <v>81</v>
      </c>
      <c r="F1256" t="s">
        <v>82</v>
      </c>
      <c r="G1256" t="str">
        <f>"2026-02-17 19:08:45.246"</f>
        <v>2026-02-17 19:08:45.246</v>
      </c>
      <c r="H1256" t="s">
        <v>22</v>
      </c>
      <c r="I1256">
        <v>39.01</v>
      </c>
      <c r="J1256" t="s">
        <v>37</v>
      </c>
    </row>
    <row r="1257" spans="1:10" x14ac:dyDescent="0.25">
      <c r="A1257" s="1">
        <v>306</v>
      </c>
      <c r="B1257" t="s">
        <v>19</v>
      </c>
      <c r="C1257">
        <v>700</v>
      </c>
      <c r="D1257">
        <v>0</v>
      </c>
      <c r="E1257" t="s">
        <v>24</v>
      </c>
      <c r="F1257" t="s">
        <v>24</v>
      </c>
      <c r="G1257" t="str">
        <f>"2026-02-16 19:45:05.765"</f>
        <v>2026-02-16 19:45:05.765</v>
      </c>
      <c r="H1257" t="s">
        <v>22</v>
      </c>
    </row>
    <row r="1258" spans="1:10" x14ac:dyDescent="0.25">
      <c r="A1258" s="1">
        <v>307</v>
      </c>
      <c r="B1258" t="s">
        <v>26</v>
      </c>
      <c r="C1258">
        <v>630</v>
      </c>
      <c r="D1258">
        <v>5</v>
      </c>
      <c r="E1258" t="s">
        <v>39</v>
      </c>
      <c r="F1258" t="s">
        <v>40</v>
      </c>
      <c r="G1258" t="str">
        <f>"2026-02-16 17:44:18.477"</f>
        <v>2026-02-16 17:44:18.477</v>
      </c>
      <c r="H1258" t="s">
        <v>41</v>
      </c>
    </row>
    <row r="1259" spans="1:10" x14ac:dyDescent="0.25">
      <c r="A1259" s="1">
        <v>308</v>
      </c>
      <c r="B1259" t="s">
        <v>19</v>
      </c>
      <c r="C1259">
        <v>706</v>
      </c>
      <c r="D1259">
        <v>4</v>
      </c>
      <c r="E1259" t="s">
        <v>20</v>
      </c>
      <c r="F1259" t="s">
        <v>21</v>
      </c>
      <c r="G1259" t="str">
        <f>"2026-02-16 17:43:48.405"</f>
        <v>2026-02-16 17:43:48.405</v>
      </c>
      <c r="H1259" t="s">
        <v>22</v>
      </c>
      <c r="I1259">
        <v>0</v>
      </c>
      <c r="J1259" t="s">
        <v>23</v>
      </c>
    </row>
    <row r="1260" spans="1:10" x14ac:dyDescent="0.25">
      <c r="A1260" s="1">
        <v>309</v>
      </c>
      <c r="B1260" t="s">
        <v>34</v>
      </c>
      <c r="C1260">
        <v>630</v>
      </c>
      <c r="D1260">
        <v>5</v>
      </c>
      <c r="E1260" t="s">
        <v>39</v>
      </c>
      <c r="F1260" t="s">
        <v>40</v>
      </c>
      <c r="G1260" t="str">
        <f>"2026-02-16 17:42:09.377"</f>
        <v>2026-02-16 17:42:09.377</v>
      </c>
      <c r="H1260" t="s">
        <v>41</v>
      </c>
      <c r="I1260">
        <v>0</v>
      </c>
      <c r="J1260" t="s">
        <v>23</v>
      </c>
    </row>
    <row r="1261" spans="1:10" x14ac:dyDescent="0.25">
      <c r="A1261" s="1">
        <v>310</v>
      </c>
      <c r="B1261" t="s">
        <v>19</v>
      </c>
      <c r="C1261">
        <v>700</v>
      </c>
      <c r="D1261">
        <v>0</v>
      </c>
      <c r="E1261" t="s">
        <v>24</v>
      </c>
      <c r="F1261" t="s">
        <v>24</v>
      </c>
      <c r="G1261" t="str">
        <f>"2026-02-16 17:37:06.595"</f>
        <v>2026-02-16 17:37:06.595</v>
      </c>
      <c r="H1261" t="s">
        <v>22</v>
      </c>
    </row>
    <row r="1262" spans="1:10" x14ac:dyDescent="0.25">
      <c r="A1262" s="1">
        <v>311</v>
      </c>
      <c r="B1262" t="s">
        <v>19</v>
      </c>
      <c r="C1262">
        <v>700</v>
      </c>
      <c r="D1262">
        <v>0</v>
      </c>
      <c r="E1262" t="s">
        <v>24</v>
      </c>
      <c r="F1262" t="s">
        <v>24</v>
      </c>
      <c r="G1262" t="str">
        <f>"2026-02-16 17:34:29.596"</f>
        <v>2026-02-16 17:34:29.596</v>
      </c>
      <c r="H1262" t="s">
        <v>22</v>
      </c>
    </row>
    <row r="1263" spans="1:10" x14ac:dyDescent="0.25">
      <c r="A1263" s="1">
        <v>312</v>
      </c>
      <c r="B1263" t="s">
        <v>19</v>
      </c>
      <c r="C1263">
        <v>706</v>
      </c>
      <c r="D1263">
        <v>4</v>
      </c>
      <c r="E1263" t="s">
        <v>20</v>
      </c>
      <c r="F1263" t="s">
        <v>21</v>
      </c>
      <c r="G1263" t="str">
        <f>"2026-02-16 16:51:07.407"</f>
        <v>2026-02-16 16:51:07.407</v>
      </c>
      <c r="H1263" t="s">
        <v>22</v>
      </c>
      <c r="I1263">
        <v>0</v>
      </c>
      <c r="J1263" t="s">
        <v>23</v>
      </c>
    </row>
    <row r="1264" spans="1:10" x14ac:dyDescent="0.25">
      <c r="A1264" s="1">
        <v>313</v>
      </c>
      <c r="B1264" t="s">
        <v>19</v>
      </c>
      <c r="C1264">
        <v>700</v>
      </c>
      <c r="D1264">
        <v>0</v>
      </c>
      <c r="E1264" t="s">
        <v>24</v>
      </c>
      <c r="F1264" t="s">
        <v>24</v>
      </c>
      <c r="G1264" t="str">
        <f>"2026-02-16 16:50:36.737"</f>
        <v>2026-02-16 16:50:36.737</v>
      </c>
      <c r="H1264" t="s">
        <v>22</v>
      </c>
    </row>
    <row r="1265" spans="1:10" x14ac:dyDescent="0.25">
      <c r="A1265" s="1">
        <v>314</v>
      </c>
      <c r="B1265" t="s">
        <v>26</v>
      </c>
      <c r="C1265">
        <v>61</v>
      </c>
      <c r="D1265">
        <v>2</v>
      </c>
      <c r="E1265" t="s">
        <v>81</v>
      </c>
      <c r="F1265" t="s">
        <v>82</v>
      </c>
      <c r="G1265" t="str">
        <f>"2026-02-16 16:29:20.913"</f>
        <v>2026-02-16 16:29:20.913</v>
      </c>
      <c r="H1265" t="s">
        <v>22</v>
      </c>
    </row>
    <row r="1266" spans="1:10" x14ac:dyDescent="0.25">
      <c r="A1266" s="1">
        <v>315</v>
      </c>
      <c r="B1266" t="s">
        <v>34</v>
      </c>
      <c r="C1266">
        <v>61</v>
      </c>
      <c r="D1266">
        <v>2</v>
      </c>
      <c r="E1266" t="s">
        <v>81</v>
      </c>
      <c r="F1266" t="s">
        <v>82</v>
      </c>
      <c r="G1266" t="str">
        <f>"2026-02-16 16:29:01.613"</f>
        <v>2026-02-16 16:29:01.613</v>
      </c>
      <c r="H1266" t="s">
        <v>22</v>
      </c>
      <c r="I1266">
        <v>39</v>
      </c>
      <c r="J1266" t="s">
        <v>37</v>
      </c>
    </row>
    <row r="1267" spans="1:10" x14ac:dyDescent="0.25">
      <c r="A1267" s="1">
        <v>316</v>
      </c>
      <c r="B1267" t="s">
        <v>26</v>
      </c>
      <c r="C1267">
        <v>635</v>
      </c>
      <c r="D1267">
        <v>1</v>
      </c>
      <c r="E1267" t="s">
        <v>27</v>
      </c>
      <c r="F1267" t="s">
        <v>28</v>
      </c>
      <c r="G1267" t="str">
        <f>"2026-02-16 16:02:24.300"</f>
        <v>2026-02-16 16:02:24.300</v>
      </c>
      <c r="H1267" t="s">
        <v>22</v>
      </c>
    </row>
    <row r="1268" spans="1:10" x14ac:dyDescent="0.25">
      <c r="A1268" s="1">
        <v>317</v>
      </c>
      <c r="B1268" t="s">
        <v>29</v>
      </c>
      <c r="C1268">
        <v>635</v>
      </c>
      <c r="D1268">
        <v>1</v>
      </c>
      <c r="E1268" t="s">
        <v>27</v>
      </c>
      <c r="F1268" t="s">
        <v>28</v>
      </c>
      <c r="G1268" t="str">
        <f>"2026-02-16 15:48:17.800"</f>
        <v>2026-02-16 15:48:17.800</v>
      </c>
      <c r="H1268" t="s">
        <v>22</v>
      </c>
      <c r="I1268">
        <v>2.69</v>
      </c>
      <c r="J1268" t="s">
        <v>30</v>
      </c>
    </row>
    <row r="1269" spans="1:10" x14ac:dyDescent="0.25">
      <c r="A1269" s="1">
        <v>318</v>
      </c>
      <c r="B1269" t="s">
        <v>26</v>
      </c>
      <c r="C1269">
        <v>619</v>
      </c>
      <c r="D1269">
        <v>1</v>
      </c>
      <c r="E1269" t="s">
        <v>79</v>
      </c>
      <c r="F1269" t="s">
        <v>28</v>
      </c>
      <c r="G1269" t="str">
        <f>"2026-02-16 11:16:08.452"</f>
        <v>2026-02-16 11:16:08.452</v>
      </c>
      <c r="H1269" t="s">
        <v>80</v>
      </c>
    </row>
    <row r="1270" spans="1:10" x14ac:dyDescent="0.25">
      <c r="A1270" s="1">
        <v>319</v>
      </c>
      <c r="B1270" t="s">
        <v>29</v>
      </c>
      <c r="C1270">
        <v>619</v>
      </c>
      <c r="D1270">
        <v>1</v>
      </c>
      <c r="E1270" t="s">
        <v>79</v>
      </c>
      <c r="F1270" t="s">
        <v>28</v>
      </c>
      <c r="G1270" t="str">
        <f>"2026-02-16 11:16:01.800"</f>
        <v>2026-02-16 11:16:01.800</v>
      </c>
      <c r="H1270" t="s">
        <v>80</v>
      </c>
      <c r="I1270">
        <v>18.8</v>
      </c>
      <c r="J1270" t="s">
        <v>30</v>
      </c>
    </row>
    <row r="1271" spans="1:10" s="3" customFormat="1" x14ac:dyDescent="0.25">
      <c r="A1271" s="2">
        <v>320</v>
      </c>
      <c r="B1271" s="3" t="s">
        <v>26</v>
      </c>
      <c r="C1271" s="3">
        <v>647</v>
      </c>
      <c r="D1271" s="3">
        <v>1</v>
      </c>
      <c r="E1271" s="3" t="s">
        <v>35</v>
      </c>
      <c r="F1271" s="3" t="s">
        <v>36</v>
      </c>
      <c r="G1271" s="3" t="str">
        <f>"2026-02-16 10:51:17.800"</f>
        <v>2026-02-16 10:51:17.800</v>
      </c>
      <c r="H1271" s="3" t="s">
        <v>22</v>
      </c>
    </row>
    <row r="1272" spans="1:10" s="3" customFormat="1" x14ac:dyDescent="0.25">
      <c r="A1272" s="2">
        <v>321</v>
      </c>
      <c r="B1272" s="3" t="s">
        <v>29</v>
      </c>
      <c r="C1272" s="3">
        <v>647</v>
      </c>
      <c r="D1272" s="3">
        <v>1</v>
      </c>
      <c r="E1272" s="3" t="s">
        <v>35</v>
      </c>
      <c r="F1272" s="3" t="s">
        <v>36</v>
      </c>
      <c r="G1272" s="3" t="str">
        <f>"2026-02-16 10:51:12.501"</f>
        <v>2026-02-16 10:51:12.501</v>
      </c>
      <c r="H1272" s="3" t="s">
        <v>22</v>
      </c>
      <c r="I1272" s="3">
        <v>10.24</v>
      </c>
      <c r="J1272" s="3" t="s">
        <v>37</v>
      </c>
    </row>
    <row r="1273" spans="1:10" x14ac:dyDescent="0.25">
      <c r="A1273" s="1">
        <v>322</v>
      </c>
      <c r="B1273" t="s">
        <v>19</v>
      </c>
      <c r="C1273">
        <v>700</v>
      </c>
      <c r="D1273">
        <v>0</v>
      </c>
      <c r="E1273" t="s">
        <v>24</v>
      </c>
      <c r="F1273" t="s">
        <v>24</v>
      </c>
      <c r="G1273" t="str">
        <f>"2026-02-16 10:00:15.633"</f>
        <v>2026-02-16 10:00:15.633</v>
      </c>
      <c r="H1273" t="s">
        <v>22</v>
      </c>
      <c r="I1273">
        <v>0</v>
      </c>
      <c r="J1273" t="s">
        <v>25</v>
      </c>
    </row>
    <row r="1274" spans="1:10" x14ac:dyDescent="0.25">
      <c r="A1274" s="1">
        <v>323</v>
      </c>
      <c r="B1274" t="s">
        <v>26</v>
      </c>
      <c r="C1274">
        <v>619</v>
      </c>
      <c r="D1274">
        <v>1</v>
      </c>
      <c r="E1274" t="s">
        <v>79</v>
      </c>
      <c r="F1274" t="s">
        <v>28</v>
      </c>
      <c r="G1274" t="str">
        <f>"2026-02-16 09:59:13.340"</f>
        <v>2026-02-16 09:59:13.340</v>
      </c>
      <c r="H1274" t="s">
        <v>80</v>
      </c>
    </row>
    <row r="1275" spans="1:10" x14ac:dyDescent="0.25">
      <c r="A1275" s="1">
        <v>324</v>
      </c>
      <c r="B1275" t="s">
        <v>29</v>
      </c>
      <c r="C1275">
        <v>619</v>
      </c>
      <c r="D1275">
        <v>1</v>
      </c>
      <c r="E1275" t="s">
        <v>79</v>
      </c>
      <c r="F1275" t="s">
        <v>28</v>
      </c>
      <c r="G1275" t="str">
        <f>"2026-02-16 09:59:06.092"</f>
        <v>2026-02-16 09:59:06.092</v>
      </c>
      <c r="H1275" t="s">
        <v>80</v>
      </c>
      <c r="I1275">
        <v>0</v>
      </c>
      <c r="J1275" t="s">
        <v>38</v>
      </c>
    </row>
    <row r="1276" spans="1:10" x14ac:dyDescent="0.25">
      <c r="A1276" s="1">
        <v>325</v>
      </c>
      <c r="B1276" t="s">
        <v>26</v>
      </c>
      <c r="C1276">
        <v>619</v>
      </c>
      <c r="D1276">
        <v>1</v>
      </c>
      <c r="E1276" t="s">
        <v>79</v>
      </c>
      <c r="F1276" t="s">
        <v>28</v>
      </c>
      <c r="G1276" t="str">
        <f>"2026-02-16 05:59:03.540"</f>
        <v>2026-02-16 05:59:03.540</v>
      </c>
      <c r="H1276" t="s">
        <v>80</v>
      </c>
    </row>
    <row r="1277" spans="1:10" x14ac:dyDescent="0.25">
      <c r="A1277" s="1">
        <v>326</v>
      </c>
      <c r="B1277" t="s">
        <v>29</v>
      </c>
      <c r="C1277">
        <v>619</v>
      </c>
      <c r="D1277">
        <v>1</v>
      </c>
      <c r="E1277" t="s">
        <v>79</v>
      </c>
      <c r="F1277" t="s">
        <v>28</v>
      </c>
      <c r="G1277" t="str">
        <f>"2026-02-16 05:58:51.692"</f>
        <v>2026-02-16 05:58:51.692</v>
      </c>
      <c r="H1277" t="s">
        <v>80</v>
      </c>
      <c r="I1277">
        <v>0</v>
      </c>
      <c r="J1277" t="s">
        <v>38</v>
      </c>
    </row>
    <row r="1278" spans="1:10" x14ac:dyDescent="0.25">
      <c r="A1278" s="1">
        <v>327</v>
      </c>
      <c r="B1278" t="s">
        <v>26</v>
      </c>
      <c r="C1278">
        <v>98</v>
      </c>
      <c r="D1278">
        <v>1</v>
      </c>
      <c r="E1278" t="s">
        <v>52</v>
      </c>
      <c r="F1278" t="s">
        <v>53</v>
      </c>
      <c r="G1278" t="str">
        <f>"2026-02-16 04:25:00.932"</f>
        <v>2026-02-16 04:25:00.932</v>
      </c>
      <c r="H1278" t="s">
        <v>22</v>
      </c>
    </row>
    <row r="1279" spans="1:10" x14ac:dyDescent="0.25">
      <c r="A1279" s="1">
        <v>328</v>
      </c>
      <c r="B1279" t="s">
        <v>29</v>
      </c>
      <c r="C1279">
        <v>98</v>
      </c>
      <c r="D1279">
        <v>1</v>
      </c>
      <c r="E1279" t="s">
        <v>52</v>
      </c>
      <c r="F1279" t="s">
        <v>53</v>
      </c>
      <c r="G1279" t="str">
        <f>"2026-02-16 04:24:59.132"</f>
        <v>2026-02-16 04:24:59.132</v>
      </c>
      <c r="H1279" t="s">
        <v>22</v>
      </c>
      <c r="I1279">
        <v>0</v>
      </c>
      <c r="J1279" t="s">
        <v>38</v>
      </c>
    </row>
    <row r="1280" spans="1:10" x14ac:dyDescent="0.25">
      <c r="A1280" s="1">
        <v>329</v>
      </c>
      <c r="B1280" t="s">
        <v>26</v>
      </c>
      <c r="C1280">
        <v>61</v>
      </c>
      <c r="D1280">
        <v>2</v>
      </c>
      <c r="E1280" t="s">
        <v>81</v>
      </c>
      <c r="F1280" t="s">
        <v>82</v>
      </c>
      <c r="G1280" t="str">
        <f>"2026-02-15 18:55:41.132"</f>
        <v>2026-02-15 18:55:41.132</v>
      </c>
      <c r="H1280" t="s">
        <v>22</v>
      </c>
    </row>
    <row r="1281" spans="1:10" x14ac:dyDescent="0.25">
      <c r="A1281" s="1">
        <v>330</v>
      </c>
      <c r="B1281" t="s">
        <v>34</v>
      </c>
      <c r="C1281">
        <v>61</v>
      </c>
      <c r="D1281">
        <v>2</v>
      </c>
      <c r="E1281" t="s">
        <v>81</v>
      </c>
      <c r="F1281" t="s">
        <v>82</v>
      </c>
      <c r="G1281" t="str">
        <f>"2026-02-15 18:55:30.733"</f>
        <v>2026-02-15 18:55:30.733</v>
      </c>
      <c r="H1281" t="s">
        <v>22</v>
      </c>
      <c r="I1281">
        <v>39.47</v>
      </c>
      <c r="J1281" t="s">
        <v>37</v>
      </c>
    </row>
    <row r="1282" spans="1:10" x14ac:dyDescent="0.25">
      <c r="A1282" s="1">
        <v>331</v>
      </c>
      <c r="B1282" t="s">
        <v>26</v>
      </c>
      <c r="C1282">
        <v>635</v>
      </c>
      <c r="D1282">
        <v>1</v>
      </c>
      <c r="E1282" t="s">
        <v>27</v>
      </c>
      <c r="F1282" t="s">
        <v>28</v>
      </c>
      <c r="G1282" t="str">
        <f>"2026-02-15 16:06:59.092"</f>
        <v>2026-02-15 16:06:59.092</v>
      </c>
      <c r="H1282" t="s">
        <v>22</v>
      </c>
    </row>
    <row r="1283" spans="1:10" x14ac:dyDescent="0.25">
      <c r="A1283" s="1">
        <v>332</v>
      </c>
      <c r="B1283" t="s">
        <v>29</v>
      </c>
      <c r="C1283">
        <v>635</v>
      </c>
      <c r="D1283">
        <v>1</v>
      </c>
      <c r="E1283" t="s">
        <v>27</v>
      </c>
      <c r="F1283" t="s">
        <v>28</v>
      </c>
      <c r="G1283" t="str">
        <f>"2026-02-15 16:01:07.092"</f>
        <v>2026-02-15 16:01:07.092</v>
      </c>
      <c r="H1283" t="s">
        <v>22</v>
      </c>
      <c r="I1283">
        <v>4.3899999999999997</v>
      </c>
      <c r="J1283" t="s">
        <v>30</v>
      </c>
    </row>
    <row r="1284" spans="1:10" x14ac:dyDescent="0.25">
      <c r="A1284" s="1">
        <v>333</v>
      </c>
      <c r="B1284" t="s">
        <v>26</v>
      </c>
      <c r="C1284">
        <v>635</v>
      </c>
      <c r="D1284">
        <v>1</v>
      </c>
      <c r="E1284" t="s">
        <v>27</v>
      </c>
      <c r="F1284" t="s">
        <v>28</v>
      </c>
      <c r="G1284" t="str">
        <f>"2026-02-15 10:05:10.592"</f>
        <v>2026-02-15 10:05:10.592</v>
      </c>
      <c r="H1284" t="s">
        <v>22</v>
      </c>
    </row>
    <row r="1285" spans="1:10" x14ac:dyDescent="0.25">
      <c r="A1285" s="1">
        <v>334</v>
      </c>
      <c r="B1285" t="s">
        <v>29</v>
      </c>
      <c r="C1285">
        <v>635</v>
      </c>
      <c r="D1285">
        <v>1</v>
      </c>
      <c r="E1285" t="s">
        <v>27</v>
      </c>
      <c r="F1285" t="s">
        <v>28</v>
      </c>
      <c r="G1285" t="str">
        <f>"2026-02-15 10:02:00.092"</f>
        <v>2026-02-15 10:02:00.092</v>
      </c>
      <c r="H1285" t="s">
        <v>22</v>
      </c>
      <c r="I1285">
        <v>6.22</v>
      </c>
      <c r="J1285" t="s">
        <v>38</v>
      </c>
    </row>
    <row r="1286" spans="1:10" x14ac:dyDescent="0.25">
      <c r="A1286" s="1">
        <v>335</v>
      </c>
      <c r="B1286" t="s">
        <v>19</v>
      </c>
      <c r="C1286">
        <v>700</v>
      </c>
      <c r="D1286">
        <v>0</v>
      </c>
      <c r="E1286" t="s">
        <v>24</v>
      </c>
      <c r="F1286" t="s">
        <v>24</v>
      </c>
      <c r="G1286" t="str">
        <f>"2026-02-14 21:10:45.673"</f>
        <v>2026-02-14 21:10:45.673</v>
      </c>
      <c r="H1286" t="s">
        <v>22</v>
      </c>
    </row>
    <row r="1287" spans="1:10" x14ac:dyDescent="0.25">
      <c r="A1287" s="1">
        <v>336</v>
      </c>
      <c r="B1287" t="s">
        <v>26</v>
      </c>
      <c r="C1287">
        <v>619</v>
      </c>
      <c r="D1287">
        <v>1</v>
      </c>
      <c r="E1287" t="s">
        <v>79</v>
      </c>
      <c r="F1287" t="s">
        <v>28</v>
      </c>
      <c r="G1287" t="str">
        <f>"2026-02-14 21:07:42.530"</f>
        <v>2026-02-14 21:07:42.530</v>
      </c>
      <c r="H1287" t="s">
        <v>80</v>
      </c>
    </row>
    <row r="1288" spans="1:10" x14ac:dyDescent="0.25">
      <c r="A1288" s="1">
        <v>337</v>
      </c>
      <c r="B1288" t="s">
        <v>29</v>
      </c>
      <c r="C1288">
        <v>619</v>
      </c>
      <c r="D1288">
        <v>1</v>
      </c>
      <c r="E1288" t="s">
        <v>79</v>
      </c>
      <c r="F1288" t="s">
        <v>28</v>
      </c>
      <c r="G1288" t="str">
        <f>"2026-02-14 21:06:05.478"</f>
        <v>2026-02-14 21:06:05.478</v>
      </c>
      <c r="H1288" t="s">
        <v>80</v>
      </c>
      <c r="I1288">
        <v>-1.1100000000000001</v>
      </c>
      <c r="J1288" t="s">
        <v>30</v>
      </c>
    </row>
    <row r="1289" spans="1:10" x14ac:dyDescent="0.25">
      <c r="A1289" s="1">
        <v>338</v>
      </c>
      <c r="B1289" t="s">
        <v>26</v>
      </c>
      <c r="C1289">
        <v>61</v>
      </c>
      <c r="D1289">
        <v>2</v>
      </c>
      <c r="E1289" t="s">
        <v>81</v>
      </c>
      <c r="F1289" t="s">
        <v>82</v>
      </c>
      <c r="G1289" t="str">
        <f>"2026-02-14 19:00:46.471"</f>
        <v>2026-02-14 19:00:46.471</v>
      </c>
      <c r="H1289" t="s">
        <v>22</v>
      </c>
    </row>
    <row r="1290" spans="1:10" x14ac:dyDescent="0.25">
      <c r="A1290" s="1">
        <v>339</v>
      </c>
      <c r="B1290" t="s">
        <v>34</v>
      </c>
      <c r="C1290">
        <v>61</v>
      </c>
      <c r="D1290">
        <v>2</v>
      </c>
      <c r="E1290" t="s">
        <v>81</v>
      </c>
      <c r="F1290" t="s">
        <v>82</v>
      </c>
      <c r="G1290" t="str">
        <f>"2026-02-14 19:00:35.571"</f>
        <v>2026-02-14 19:00:35.571</v>
      </c>
      <c r="H1290" t="s">
        <v>22</v>
      </c>
      <c r="I1290">
        <v>39.159999999999997</v>
      </c>
      <c r="J1290" t="s">
        <v>37</v>
      </c>
    </row>
    <row r="1291" spans="1:10" x14ac:dyDescent="0.25">
      <c r="A1291" s="1">
        <v>340</v>
      </c>
      <c r="B1291" t="s">
        <v>26</v>
      </c>
      <c r="C1291">
        <v>635</v>
      </c>
      <c r="D1291">
        <v>1</v>
      </c>
      <c r="E1291" t="s">
        <v>27</v>
      </c>
      <c r="F1291" t="s">
        <v>28</v>
      </c>
      <c r="G1291" t="str">
        <f>"2026-02-14 18:04:59.630"</f>
        <v>2026-02-14 18:04:59.630</v>
      </c>
      <c r="H1291" t="s">
        <v>22</v>
      </c>
    </row>
    <row r="1292" spans="1:10" x14ac:dyDescent="0.25">
      <c r="A1292" s="1">
        <v>341</v>
      </c>
      <c r="B1292" t="s">
        <v>29</v>
      </c>
      <c r="C1292">
        <v>635</v>
      </c>
      <c r="D1292">
        <v>1</v>
      </c>
      <c r="E1292" t="s">
        <v>27</v>
      </c>
      <c r="F1292" t="s">
        <v>28</v>
      </c>
      <c r="G1292" t="str">
        <f>"2026-02-14 18:02:06.730"</f>
        <v>2026-02-14 18:02:06.730</v>
      </c>
      <c r="H1292" t="s">
        <v>22</v>
      </c>
      <c r="I1292">
        <v>3.34</v>
      </c>
      <c r="J1292" t="s">
        <v>30</v>
      </c>
    </row>
    <row r="1293" spans="1:10" x14ac:dyDescent="0.25">
      <c r="A1293" s="1">
        <v>342</v>
      </c>
      <c r="B1293" t="s">
        <v>26</v>
      </c>
      <c r="C1293">
        <v>635</v>
      </c>
      <c r="D1293">
        <v>1</v>
      </c>
      <c r="E1293" t="s">
        <v>27</v>
      </c>
      <c r="F1293" t="s">
        <v>28</v>
      </c>
      <c r="G1293" t="str">
        <f>"2026-02-14 07:34:48.630"</f>
        <v>2026-02-14 07:34:48.630</v>
      </c>
      <c r="H1293" t="s">
        <v>22</v>
      </c>
    </row>
    <row r="1294" spans="1:10" x14ac:dyDescent="0.25">
      <c r="A1294" s="1">
        <v>343</v>
      </c>
      <c r="B1294" t="s">
        <v>29</v>
      </c>
      <c r="C1294">
        <v>635</v>
      </c>
      <c r="D1294">
        <v>1</v>
      </c>
      <c r="E1294" t="s">
        <v>27</v>
      </c>
      <c r="F1294" t="s">
        <v>28</v>
      </c>
      <c r="G1294" t="str">
        <f>"2026-02-14 07:30:20.630"</f>
        <v>2026-02-14 07:30:20.630</v>
      </c>
      <c r="H1294" t="s">
        <v>22</v>
      </c>
      <c r="I1294">
        <v>3.57</v>
      </c>
      <c r="J1294" t="s">
        <v>30</v>
      </c>
    </row>
    <row r="1295" spans="1:10" x14ac:dyDescent="0.25">
      <c r="A1295" s="1">
        <v>344</v>
      </c>
      <c r="B1295" t="s">
        <v>26</v>
      </c>
      <c r="C1295">
        <v>635</v>
      </c>
      <c r="D1295">
        <v>1</v>
      </c>
      <c r="E1295" t="s">
        <v>27</v>
      </c>
      <c r="F1295" t="s">
        <v>28</v>
      </c>
      <c r="G1295" t="str">
        <f>"2026-02-13 18:27:18.330"</f>
        <v>2026-02-13 18:27:18.330</v>
      </c>
      <c r="H1295" t="s">
        <v>22</v>
      </c>
    </row>
    <row r="1296" spans="1:10" x14ac:dyDescent="0.25">
      <c r="A1296" s="1">
        <v>345</v>
      </c>
      <c r="B1296" t="s">
        <v>29</v>
      </c>
      <c r="C1296">
        <v>635</v>
      </c>
      <c r="D1296">
        <v>1</v>
      </c>
      <c r="E1296" t="s">
        <v>27</v>
      </c>
      <c r="F1296" t="s">
        <v>28</v>
      </c>
      <c r="G1296" t="str">
        <f>"2026-02-13 18:23:19.830"</f>
        <v>2026-02-13 18:23:19.830</v>
      </c>
      <c r="H1296" t="s">
        <v>22</v>
      </c>
      <c r="I1296">
        <v>2.87</v>
      </c>
      <c r="J1296" t="s">
        <v>37</v>
      </c>
    </row>
    <row r="1297" spans="1:10" x14ac:dyDescent="0.25">
      <c r="A1297" s="1">
        <v>346</v>
      </c>
      <c r="B1297" t="s">
        <v>26</v>
      </c>
      <c r="C1297">
        <v>635</v>
      </c>
      <c r="D1297">
        <v>1</v>
      </c>
      <c r="E1297" t="s">
        <v>27</v>
      </c>
      <c r="F1297" t="s">
        <v>28</v>
      </c>
      <c r="G1297" t="str">
        <f>"2026-02-13 10:53:16.530"</f>
        <v>2026-02-13 10:53:16.530</v>
      </c>
      <c r="H1297" t="s">
        <v>22</v>
      </c>
    </row>
    <row r="1298" spans="1:10" x14ac:dyDescent="0.25">
      <c r="A1298" s="1">
        <v>347</v>
      </c>
      <c r="B1298" t="s">
        <v>29</v>
      </c>
      <c r="C1298">
        <v>635</v>
      </c>
      <c r="D1298">
        <v>1</v>
      </c>
      <c r="E1298" t="s">
        <v>27</v>
      </c>
      <c r="F1298" t="s">
        <v>28</v>
      </c>
      <c r="G1298" t="str">
        <f>"2026-02-13 10:50:02.530"</f>
        <v>2026-02-13 10:50:02.530</v>
      </c>
      <c r="H1298" t="s">
        <v>22</v>
      </c>
      <c r="I1298">
        <v>3.71</v>
      </c>
      <c r="J1298" t="s">
        <v>30</v>
      </c>
    </row>
    <row r="1299" spans="1:10" x14ac:dyDescent="0.25">
      <c r="A1299" s="1">
        <v>348</v>
      </c>
      <c r="B1299" t="s">
        <v>26</v>
      </c>
      <c r="C1299">
        <v>619</v>
      </c>
      <c r="D1299">
        <v>1</v>
      </c>
      <c r="E1299" t="s">
        <v>79</v>
      </c>
      <c r="F1299" t="s">
        <v>28</v>
      </c>
      <c r="G1299" t="str">
        <f>"2026-02-13 07:06:46.930"</f>
        <v>2026-02-13 07:06:46.930</v>
      </c>
      <c r="H1299" t="s">
        <v>80</v>
      </c>
    </row>
    <row r="1300" spans="1:10" x14ac:dyDescent="0.25">
      <c r="A1300" s="1">
        <v>349</v>
      </c>
      <c r="B1300" t="s">
        <v>29</v>
      </c>
      <c r="C1300">
        <v>619</v>
      </c>
      <c r="D1300">
        <v>1</v>
      </c>
      <c r="E1300" t="s">
        <v>79</v>
      </c>
      <c r="F1300" t="s">
        <v>28</v>
      </c>
      <c r="G1300" t="str">
        <f>"2026-02-13 07:06:38.178"</f>
        <v>2026-02-13 07:06:38.178</v>
      </c>
      <c r="H1300" t="s">
        <v>80</v>
      </c>
      <c r="I1300">
        <v>0</v>
      </c>
      <c r="J1300" t="s">
        <v>38</v>
      </c>
    </row>
    <row r="1301" spans="1:10" x14ac:dyDescent="0.25">
      <c r="A1301" s="1">
        <v>350</v>
      </c>
      <c r="B1301" t="s">
        <v>26</v>
      </c>
      <c r="C1301">
        <v>635</v>
      </c>
      <c r="D1301">
        <v>1</v>
      </c>
      <c r="E1301" t="s">
        <v>27</v>
      </c>
      <c r="F1301" t="s">
        <v>28</v>
      </c>
      <c r="G1301" t="str">
        <f>"2026-02-12 23:32:00.030"</f>
        <v>2026-02-12 23:32:00.030</v>
      </c>
      <c r="H1301" t="s">
        <v>22</v>
      </c>
    </row>
    <row r="1302" spans="1:10" x14ac:dyDescent="0.25">
      <c r="A1302" s="1">
        <v>351</v>
      </c>
      <c r="B1302" t="s">
        <v>29</v>
      </c>
      <c r="C1302">
        <v>635</v>
      </c>
      <c r="D1302">
        <v>1</v>
      </c>
      <c r="E1302" t="s">
        <v>27</v>
      </c>
      <c r="F1302" t="s">
        <v>28</v>
      </c>
      <c r="G1302" t="str">
        <f>"2026-02-12 23:27:41.030"</f>
        <v>2026-02-12 23:27:41.030</v>
      </c>
      <c r="H1302" t="s">
        <v>22</v>
      </c>
      <c r="I1302">
        <v>5.74</v>
      </c>
      <c r="J1302" t="s">
        <v>30</v>
      </c>
    </row>
    <row r="1303" spans="1:10" x14ac:dyDescent="0.25">
      <c r="A1303" s="1">
        <v>352</v>
      </c>
      <c r="B1303" t="s">
        <v>26</v>
      </c>
      <c r="C1303">
        <v>61</v>
      </c>
      <c r="D1303">
        <v>2</v>
      </c>
      <c r="E1303" t="s">
        <v>81</v>
      </c>
      <c r="F1303" t="s">
        <v>82</v>
      </c>
      <c r="G1303" t="str">
        <f>"2026-02-12 19:01:15.271"</f>
        <v>2026-02-12 19:01:15.271</v>
      </c>
      <c r="H1303" t="s">
        <v>22</v>
      </c>
    </row>
    <row r="1304" spans="1:10" x14ac:dyDescent="0.25">
      <c r="A1304" s="1">
        <v>353</v>
      </c>
      <c r="B1304" t="s">
        <v>34</v>
      </c>
      <c r="C1304">
        <v>61</v>
      </c>
      <c r="D1304">
        <v>2</v>
      </c>
      <c r="E1304" t="s">
        <v>81</v>
      </c>
      <c r="F1304" t="s">
        <v>82</v>
      </c>
      <c r="G1304" t="str">
        <f>"2026-02-12 19:00:55.771"</f>
        <v>2026-02-12 19:00:55.771</v>
      </c>
      <c r="H1304" t="s">
        <v>22</v>
      </c>
      <c r="I1304">
        <v>39.14</v>
      </c>
      <c r="J1304" t="s">
        <v>37</v>
      </c>
    </row>
    <row r="1305" spans="1:10" x14ac:dyDescent="0.25">
      <c r="A1305" s="1">
        <v>354</v>
      </c>
      <c r="B1305" t="s">
        <v>26</v>
      </c>
      <c r="C1305">
        <v>61</v>
      </c>
      <c r="D1305">
        <v>2</v>
      </c>
      <c r="E1305" t="s">
        <v>81</v>
      </c>
      <c r="F1305" t="s">
        <v>82</v>
      </c>
      <c r="G1305" t="str">
        <f>"2026-02-12 15:28:36.371"</f>
        <v>2026-02-12 15:28:36.371</v>
      </c>
      <c r="H1305" t="s">
        <v>22</v>
      </c>
    </row>
    <row r="1306" spans="1:10" x14ac:dyDescent="0.25">
      <c r="A1306" s="1">
        <v>355</v>
      </c>
      <c r="B1306" t="s">
        <v>34</v>
      </c>
      <c r="C1306">
        <v>61</v>
      </c>
      <c r="D1306">
        <v>2</v>
      </c>
      <c r="E1306" t="s">
        <v>81</v>
      </c>
      <c r="F1306" t="s">
        <v>82</v>
      </c>
      <c r="G1306" t="str">
        <f>"2026-02-12 15:28:23.271"</f>
        <v>2026-02-12 15:28:23.271</v>
      </c>
      <c r="H1306" t="s">
        <v>22</v>
      </c>
      <c r="I1306">
        <v>38.97</v>
      </c>
      <c r="J1306" t="s">
        <v>37</v>
      </c>
    </row>
    <row r="1307" spans="1:10" x14ac:dyDescent="0.25">
      <c r="A1307" s="1">
        <v>356</v>
      </c>
      <c r="B1307" t="s">
        <v>19</v>
      </c>
      <c r="C1307">
        <v>700</v>
      </c>
      <c r="D1307">
        <v>0</v>
      </c>
      <c r="E1307" t="s">
        <v>24</v>
      </c>
      <c r="F1307" t="s">
        <v>24</v>
      </c>
      <c r="G1307" t="str">
        <f>"2026-02-11 22:52:07.600"</f>
        <v>2026-02-11 22:52:07.600</v>
      </c>
      <c r="H1307" t="s">
        <v>22</v>
      </c>
      <c r="I1307">
        <v>0</v>
      </c>
      <c r="J1307" t="s">
        <v>25</v>
      </c>
    </row>
    <row r="1308" spans="1:10" x14ac:dyDescent="0.25">
      <c r="A1308" s="1">
        <v>357</v>
      </c>
      <c r="B1308" t="s">
        <v>19</v>
      </c>
      <c r="C1308">
        <v>700</v>
      </c>
      <c r="D1308">
        <v>0</v>
      </c>
      <c r="E1308" t="s">
        <v>24</v>
      </c>
      <c r="F1308" t="s">
        <v>24</v>
      </c>
      <c r="G1308" t="str">
        <f>"2026-02-11 13:10:20.780"</f>
        <v>2026-02-11 13:10:20.780</v>
      </c>
      <c r="H1308" t="s">
        <v>22</v>
      </c>
    </row>
    <row r="1309" spans="1:10" x14ac:dyDescent="0.25">
      <c r="A1309" s="1">
        <v>358</v>
      </c>
      <c r="B1309" t="s">
        <v>31</v>
      </c>
      <c r="C1309">
        <v>87</v>
      </c>
      <c r="D1309">
        <v>1</v>
      </c>
      <c r="E1309" t="s">
        <v>32</v>
      </c>
      <c r="F1309" t="s">
        <v>33</v>
      </c>
      <c r="G1309" t="str">
        <f>"2026-02-11 09:49:51.611"</f>
        <v>2026-02-11 09:49:51.611</v>
      </c>
      <c r="H1309" t="s">
        <v>22</v>
      </c>
    </row>
    <row r="1310" spans="1:10" x14ac:dyDescent="0.25">
      <c r="A1310" s="1">
        <v>359</v>
      </c>
      <c r="B1310" t="s">
        <v>34</v>
      </c>
      <c r="C1310">
        <v>87</v>
      </c>
      <c r="D1310">
        <v>1</v>
      </c>
      <c r="E1310" t="s">
        <v>32</v>
      </c>
      <c r="F1310" t="s">
        <v>33</v>
      </c>
      <c r="G1310" t="str">
        <f>"2026-02-11 09:38:31.362"</f>
        <v>2026-02-11 09:38:31.362</v>
      </c>
      <c r="H1310" t="s">
        <v>22</v>
      </c>
      <c r="I1310">
        <v>7.04</v>
      </c>
      <c r="J1310" t="s">
        <v>30</v>
      </c>
    </row>
    <row r="1311" spans="1:10" x14ac:dyDescent="0.25">
      <c r="A1311" s="1">
        <v>360</v>
      </c>
      <c r="B1311" t="s">
        <v>26</v>
      </c>
      <c r="C1311">
        <v>635</v>
      </c>
      <c r="D1311">
        <v>1</v>
      </c>
      <c r="E1311" t="s">
        <v>27</v>
      </c>
      <c r="F1311" t="s">
        <v>28</v>
      </c>
      <c r="G1311" t="str">
        <f>"2026-02-10 15:06:17.211"</f>
        <v>2026-02-10 15:06:17.211</v>
      </c>
      <c r="H1311" t="s">
        <v>22</v>
      </c>
    </row>
    <row r="1312" spans="1:10" x14ac:dyDescent="0.25">
      <c r="A1312" s="1">
        <v>361</v>
      </c>
      <c r="B1312" t="s">
        <v>29</v>
      </c>
      <c r="C1312">
        <v>635</v>
      </c>
      <c r="D1312">
        <v>1</v>
      </c>
      <c r="E1312" t="s">
        <v>27</v>
      </c>
      <c r="F1312" t="s">
        <v>28</v>
      </c>
      <c r="G1312" t="str">
        <f>"2026-02-10 15:03:46.711"</f>
        <v>2026-02-10 15:03:46.711</v>
      </c>
      <c r="H1312" t="s">
        <v>22</v>
      </c>
      <c r="I1312">
        <v>3.83</v>
      </c>
      <c r="J1312" t="s">
        <v>37</v>
      </c>
    </row>
    <row r="1313" spans="1:10" x14ac:dyDescent="0.25">
      <c r="A1313" s="1">
        <v>362</v>
      </c>
      <c r="B1313" t="s">
        <v>26</v>
      </c>
      <c r="C1313">
        <v>61</v>
      </c>
      <c r="D1313">
        <v>2</v>
      </c>
      <c r="E1313" t="s">
        <v>81</v>
      </c>
      <c r="F1313" t="s">
        <v>82</v>
      </c>
      <c r="G1313" t="str">
        <f>"2026-02-10 12:59:01.965"</f>
        <v>2026-02-10 12:59:01.965</v>
      </c>
      <c r="H1313" t="s">
        <v>22</v>
      </c>
    </row>
    <row r="1314" spans="1:10" x14ac:dyDescent="0.25">
      <c r="A1314" s="1">
        <v>363</v>
      </c>
      <c r="B1314" t="s">
        <v>34</v>
      </c>
      <c r="C1314">
        <v>61</v>
      </c>
      <c r="D1314">
        <v>2</v>
      </c>
      <c r="E1314" t="s">
        <v>81</v>
      </c>
      <c r="F1314" t="s">
        <v>82</v>
      </c>
      <c r="G1314" t="str">
        <f>"2026-02-10 12:58:51.065"</f>
        <v>2026-02-10 12:58:51.065</v>
      </c>
      <c r="H1314" t="s">
        <v>22</v>
      </c>
      <c r="I1314">
        <v>39.35</v>
      </c>
      <c r="J1314" t="s">
        <v>37</v>
      </c>
    </row>
    <row r="1315" spans="1:10" x14ac:dyDescent="0.25">
      <c r="A1315" s="1">
        <v>364</v>
      </c>
      <c r="B1315" t="s">
        <v>19</v>
      </c>
      <c r="C1315">
        <v>700</v>
      </c>
      <c r="D1315">
        <v>0</v>
      </c>
      <c r="E1315" t="s">
        <v>24</v>
      </c>
      <c r="F1315" t="s">
        <v>24</v>
      </c>
      <c r="G1315" t="str">
        <f>"2026-02-10 09:53:55.583"</f>
        <v>2026-02-10 09:53:55.583</v>
      </c>
      <c r="H1315" t="s">
        <v>22</v>
      </c>
    </row>
    <row r="1316" spans="1:10" x14ac:dyDescent="0.25">
      <c r="A1316" s="1">
        <v>365</v>
      </c>
      <c r="B1316" t="s">
        <v>19</v>
      </c>
      <c r="C1316">
        <v>700</v>
      </c>
      <c r="D1316">
        <v>0</v>
      </c>
      <c r="E1316" t="s">
        <v>24</v>
      </c>
      <c r="F1316" t="s">
        <v>24</v>
      </c>
      <c r="G1316" t="str">
        <f>"2026-02-10 09:38:30.718"</f>
        <v>2026-02-10 09:38:30.718</v>
      </c>
      <c r="H1316" t="s">
        <v>22</v>
      </c>
      <c r="I1316">
        <v>0</v>
      </c>
      <c r="J1316" t="s">
        <v>25</v>
      </c>
    </row>
    <row r="1317" spans="1:10" x14ac:dyDescent="0.25">
      <c r="A1317" s="1">
        <v>366</v>
      </c>
      <c r="B1317" t="s">
        <v>19</v>
      </c>
      <c r="C1317">
        <v>700</v>
      </c>
      <c r="D1317">
        <v>0</v>
      </c>
      <c r="E1317" t="s">
        <v>24</v>
      </c>
      <c r="F1317" t="s">
        <v>24</v>
      </c>
      <c r="G1317" t="str">
        <f>"2026-02-10 08:14:28.593"</f>
        <v>2026-02-10 08:14:28.593</v>
      </c>
      <c r="H1317" t="s">
        <v>22</v>
      </c>
      <c r="I1317">
        <v>0</v>
      </c>
      <c r="J1317" t="s">
        <v>25</v>
      </c>
    </row>
    <row r="1318" spans="1:10" x14ac:dyDescent="0.25">
      <c r="A1318" s="1">
        <v>367</v>
      </c>
      <c r="B1318" t="s">
        <v>19</v>
      </c>
      <c r="C1318">
        <v>700</v>
      </c>
      <c r="D1318">
        <v>0</v>
      </c>
      <c r="E1318" t="s">
        <v>24</v>
      </c>
      <c r="F1318" t="s">
        <v>24</v>
      </c>
      <c r="G1318" t="str">
        <f>"2026-02-10 08:11:20.575"</f>
        <v>2026-02-10 08:11:20.575</v>
      </c>
      <c r="H1318" t="s">
        <v>22</v>
      </c>
    </row>
    <row r="1319" spans="1:10" x14ac:dyDescent="0.25">
      <c r="A1319" s="1">
        <v>368</v>
      </c>
      <c r="B1319" t="s">
        <v>19</v>
      </c>
      <c r="C1319">
        <v>700</v>
      </c>
      <c r="D1319">
        <v>0</v>
      </c>
      <c r="E1319" t="s">
        <v>24</v>
      </c>
      <c r="F1319" t="s">
        <v>24</v>
      </c>
      <c r="G1319" t="str">
        <f>"2026-02-10 07:51:01.754"</f>
        <v>2026-02-10 07:51:01.754</v>
      </c>
      <c r="H1319" t="s">
        <v>22</v>
      </c>
    </row>
    <row r="1320" spans="1:10" x14ac:dyDescent="0.25">
      <c r="A1320" s="1">
        <v>369</v>
      </c>
      <c r="B1320" t="s">
        <v>19</v>
      </c>
      <c r="C1320">
        <v>700</v>
      </c>
      <c r="D1320">
        <v>0</v>
      </c>
      <c r="E1320" t="s">
        <v>24</v>
      </c>
      <c r="F1320" t="s">
        <v>24</v>
      </c>
      <c r="G1320" t="str">
        <f>"2026-02-10 04:25:45.701"</f>
        <v>2026-02-10 04:25:45.701</v>
      </c>
      <c r="H1320" t="s">
        <v>22</v>
      </c>
      <c r="I1320">
        <v>0</v>
      </c>
      <c r="J1320" t="s">
        <v>25</v>
      </c>
    </row>
    <row r="1321" spans="1:10" x14ac:dyDescent="0.25">
      <c r="A1321" s="1">
        <v>370</v>
      </c>
      <c r="B1321" t="s">
        <v>34</v>
      </c>
      <c r="C1321">
        <v>630</v>
      </c>
      <c r="D1321">
        <v>5</v>
      </c>
      <c r="E1321" t="s">
        <v>39</v>
      </c>
      <c r="F1321" t="s">
        <v>40</v>
      </c>
      <c r="G1321" t="str">
        <f>"2026-02-10 03:00:11.236"</f>
        <v>2026-02-10 03:00:11.236</v>
      </c>
      <c r="H1321" t="s">
        <v>41</v>
      </c>
      <c r="I1321">
        <v>0</v>
      </c>
      <c r="J1321" t="s">
        <v>23</v>
      </c>
    </row>
    <row r="1322" spans="1:10" x14ac:dyDescent="0.25">
      <c r="A1322" s="1">
        <v>371</v>
      </c>
      <c r="B1322" t="s">
        <v>19</v>
      </c>
      <c r="C1322">
        <v>706</v>
      </c>
      <c r="D1322">
        <v>4</v>
      </c>
      <c r="E1322" t="s">
        <v>20</v>
      </c>
      <c r="F1322" t="s">
        <v>21</v>
      </c>
      <c r="G1322" t="str">
        <f>"2026-02-10 02:53:07.908"</f>
        <v>2026-02-10 02:53:07.908</v>
      </c>
      <c r="H1322" t="s">
        <v>22</v>
      </c>
      <c r="I1322">
        <v>0</v>
      </c>
      <c r="J1322" t="s">
        <v>23</v>
      </c>
    </row>
    <row r="1323" spans="1:10" x14ac:dyDescent="0.25">
      <c r="A1323" s="1">
        <v>372</v>
      </c>
      <c r="B1323" t="s">
        <v>19</v>
      </c>
      <c r="C1323">
        <v>706</v>
      </c>
      <c r="D1323">
        <v>3</v>
      </c>
      <c r="E1323" t="s">
        <v>20</v>
      </c>
      <c r="F1323" t="s">
        <v>48</v>
      </c>
      <c r="G1323" t="str">
        <f>"2026-02-10 02:51:26.098"</f>
        <v>2026-02-10 02:51:26.098</v>
      </c>
      <c r="H1323" t="s">
        <v>22</v>
      </c>
      <c r="I1323">
        <v>0</v>
      </c>
      <c r="J1323" t="s">
        <v>23</v>
      </c>
    </row>
    <row r="1324" spans="1:10" x14ac:dyDescent="0.25">
      <c r="A1324" s="1">
        <v>373</v>
      </c>
      <c r="B1324" t="s">
        <v>26</v>
      </c>
      <c r="C1324">
        <v>630</v>
      </c>
      <c r="D1324">
        <v>5</v>
      </c>
      <c r="E1324" t="s">
        <v>39</v>
      </c>
      <c r="F1324" t="s">
        <v>40</v>
      </c>
      <c r="G1324" t="str">
        <f>"2026-02-10 02:47:15.836"</f>
        <v>2026-02-10 02:47:15.836</v>
      </c>
      <c r="H1324" t="s">
        <v>41</v>
      </c>
    </row>
    <row r="1325" spans="1:10" x14ac:dyDescent="0.25">
      <c r="A1325" s="1">
        <v>374</v>
      </c>
      <c r="B1325" t="s">
        <v>19</v>
      </c>
      <c r="C1325">
        <v>706</v>
      </c>
      <c r="D1325">
        <v>2</v>
      </c>
      <c r="E1325" t="s">
        <v>20</v>
      </c>
      <c r="F1325" t="s">
        <v>54</v>
      </c>
      <c r="G1325" t="str">
        <f>"2026-02-10 02:46:45.588"</f>
        <v>2026-02-10 02:46:45.588</v>
      </c>
      <c r="H1325" t="s">
        <v>22</v>
      </c>
      <c r="I1325">
        <v>0</v>
      </c>
      <c r="J1325" t="s">
        <v>23</v>
      </c>
    </row>
    <row r="1326" spans="1:10" x14ac:dyDescent="0.25">
      <c r="A1326" s="1">
        <v>375</v>
      </c>
      <c r="B1326" t="s">
        <v>34</v>
      </c>
      <c r="C1326">
        <v>630</v>
      </c>
      <c r="D1326">
        <v>5</v>
      </c>
      <c r="E1326" t="s">
        <v>39</v>
      </c>
      <c r="F1326" t="s">
        <v>40</v>
      </c>
      <c r="G1326" t="str">
        <f>"2026-02-10 02:06:13.337"</f>
        <v>2026-02-10 02:06:13.337</v>
      </c>
      <c r="H1326" t="s">
        <v>41</v>
      </c>
      <c r="I1326">
        <v>0</v>
      </c>
      <c r="J1326" t="s">
        <v>23</v>
      </c>
    </row>
    <row r="1327" spans="1:10" x14ac:dyDescent="0.25">
      <c r="A1327" s="1">
        <v>376</v>
      </c>
      <c r="B1327" t="s">
        <v>19</v>
      </c>
      <c r="C1327">
        <v>700</v>
      </c>
      <c r="D1327">
        <v>0</v>
      </c>
      <c r="E1327" t="s">
        <v>24</v>
      </c>
      <c r="F1327" t="s">
        <v>24</v>
      </c>
      <c r="G1327" t="str">
        <f>"2026-02-10 02:01:10.578"</f>
        <v>2026-02-10 02:01:10.578</v>
      </c>
      <c r="H1327" t="s">
        <v>22</v>
      </c>
      <c r="I1327">
        <v>0</v>
      </c>
      <c r="J1327" t="s">
        <v>25</v>
      </c>
    </row>
    <row r="1328" spans="1:10" x14ac:dyDescent="0.25">
      <c r="A1328" s="1">
        <v>377</v>
      </c>
      <c r="B1328" t="s">
        <v>19</v>
      </c>
      <c r="C1328">
        <v>700</v>
      </c>
      <c r="D1328">
        <v>0</v>
      </c>
      <c r="E1328" t="s">
        <v>24</v>
      </c>
      <c r="F1328" t="s">
        <v>24</v>
      </c>
      <c r="G1328" t="str">
        <f>"2026-02-10 01:22:29.592"</f>
        <v>2026-02-10 01:22:29.592</v>
      </c>
      <c r="H1328" t="s">
        <v>22</v>
      </c>
    </row>
    <row r="1329" spans="1:10" x14ac:dyDescent="0.25">
      <c r="A1329" s="1">
        <v>378</v>
      </c>
      <c r="B1329" t="s">
        <v>19</v>
      </c>
      <c r="C1329">
        <v>700</v>
      </c>
      <c r="D1329">
        <v>0</v>
      </c>
      <c r="E1329" t="s">
        <v>24</v>
      </c>
      <c r="F1329" t="s">
        <v>24</v>
      </c>
      <c r="G1329" t="str">
        <f>"2026-02-09 21:45:16.575"</f>
        <v>2026-02-09 21:45:16.575</v>
      </c>
      <c r="H1329" t="s">
        <v>22</v>
      </c>
      <c r="I1329">
        <v>0</v>
      </c>
      <c r="J1329" t="s">
        <v>25</v>
      </c>
    </row>
    <row r="1330" spans="1:10" x14ac:dyDescent="0.25">
      <c r="A1330" s="1">
        <v>379</v>
      </c>
      <c r="B1330" t="s">
        <v>19</v>
      </c>
      <c r="C1330">
        <v>700</v>
      </c>
      <c r="D1330">
        <v>0</v>
      </c>
      <c r="E1330" t="s">
        <v>24</v>
      </c>
      <c r="F1330" t="s">
        <v>24</v>
      </c>
      <c r="G1330" t="str">
        <f>"2026-02-09 21:24:10.599"</f>
        <v>2026-02-09 21:24:10.599</v>
      </c>
      <c r="H1330" t="s">
        <v>22</v>
      </c>
      <c r="I1330">
        <v>0</v>
      </c>
      <c r="J1330" t="s">
        <v>25</v>
      </c>
    </row>
    <row r="1331" spans="1:10" x14ac:dyDescent="0.25">
      <c r="A1331" s="1">
        <v>380</v>
      </c>
      <c r="B1331" t="s">
        <v>34</v>
      </c>
      <c r="C1331">
        <v>630</v>
      </c>
      <c r="D1331">
        <v>5</v>
      </c>
      <c r="E1331" t="s">
        <v>39</v>
      </c>
      <c r="F1331" t="s">
        <v>40</v>
      </c>
      <c r="G1331" t="str">
        <f>"2026-02-09 20:10:37.256"</f>
        <v>2026-02-09 20:10:37.256</v>
      </c>
      <c r="H1331" t="s">
        <v>41</v>
      </c>
      <c r="I1331">
        <v>0</v>
      </c>
      <c r="J1331" t="s">
        <v>23</v>
      </c>
    </row>
    <row r="1332" spans="1:10" x14ac:dyDescent="0.25">
      <c r="A1332" s="1">
        <v>381</v>
      </c>
      <c r="B1332" t="s">
        <v>26</v>
      </c>
      <c r="C1332">
        <v>630</v>
      </c>
      <c r="D1332">
        <v>5</v>
      </c>
      <c r="E1332" t="s">
        <v>39</v>
      </c>
      <c r="F1332" t="s">
        <v>40</v>
      </c>
      <c r="G1332" t="str">
        <f>"2026-02-09 20:03:26.656"</f>
        <v>2026-02-09 20:03:26.656</v>
      </c>
      <c r="H1332" t="s">
        <v>41</v>
      </c>
    </row>
    <row r="1333" spans="1:10" x14ac:dyDescent="0.25">
      <c r="A1333" s="1">
        <v>382</v>
      </c>
      <c r="B1333" t="s">
        <v>19</v>
      </c>
      <c r="C1333">
        <v>706</v>
      </c>
      <c r="D1333">
        <v>2</v>
      </c>
      <c r="E1333" t="s">
        <v>20</v>
      </c>
      <c r="F1333" t="s">
        <v>54</v>
      </c>
      <c r="G1333" t="str">
        <f>"2026-02-09 20:02:56.595"</f>
        <v>2026-02-09 20:02:56.595</v>
      </c>
      <c r="H1333" t="s">
        <v>22</v>
      </c>
      <c r="I1333">
        <v>0</v>
      </c>
      <c r="J1333" t="s">
        <v>23</v>
      </c>
    </row>
    <row r="1334" spans="1:10" x14ac:dyDescent="0.25">
      <c r="A1334" s="1">
        <v>383</v>
      </c>
      <c r="B1334" t="s">
        <v>34</v>
      </c>
      <c r="C1334">
        <v>630</v>
      </c>
      <c r="D1334">
        <v>5</v>
      </c>
      <c r="E1334" t="s">
        <v>39</v>
      </c>
      <c r="F1334" t="s">
        <v>40</v>
      </c>
      <c r="G1334" t="str">
        <f>"2026-02-09 19:59:52.356"</f>
        <v>2026-02-09 19:59:52.356</v>
      </c>
      <c r="H1334" t="s">
        <v>41</v>
      </c>
      <c r="I1334">
        <v>0</v>
      </c>
      <c r="J1334" t="s">
        <v>23</v>
      </c>
    </row>
    <row r="1335" spans="1:10" x14ac:dyDescent="0.25">
      <c r="A1335" s="1">
        <v>384</v>
      </c>
      <c r="B1335" t="s">
        <v>19</v>
      </c>
      <c r="C1335">
        <v>700</v>
      </c>
      <c r="D1335">
        <v>0</v>
      </c>
      <c r="E1335" t="s">
        <v>24</v>
      </c>
      <c r="F1335" t="s">
        <v>24</v>
      </c>
      <c r="G1335" t="str">
        <f>"2026-02-09 19:54:49.575"</f>
        <v>2026-02-09 19:54:49.575</v>
      </c>
      <c r="H1335" t="s">
        <v>22</v>
      </c>
      <c r="I1335">
        <v>0</v>
      </c>
      <c r="J1335" t="s">
        <v>25</v>
      </c>
    </row>
    <row r="1336" spans="1:10" x14ac:dyDescent="0.25">
      <c r="A1336" s="1">
        <v>385</v>
      </c>
      <c r="B1336" t="s">
        <v>44</v>
      </c>
      <c r="C1336">
        <v>77</v>
      </c>
      <c r="D1336">
        <v>1</v>
      </c>
      <c r="E1336" t="s">
        <v>45</v>
      </c>
      <c r="F1336" t="s">
        <v>46</v>
      </c>
      <c r="G1336" t="str">
        <f>"2026-02-09 18:16:33.836"</f>
        <v>2026-02-09 18:16:33.836</v>
      </c>
      <c r="H1336" t="s">
        <v>47</v>
      </c>
    </row>
    <row r="1337" spans="1:10" x14ac:dyDescent="0.25">
      <c r="A1337" s="1">
        <v>386</v>
      </c>
      <c r="B1337" t="s">
        <v>34</v>
      </c>
      <c r="C1337">
        <v>77</v>
      </c>
      <c r="D1337">
        <v>1</v>
      </c>
      <c r="E1337" t="s">
        <v>45</v>
      </c>
      <c r="F1337" t="s">
        <v>46</v>
      </c>
      <c r="G1337" t="str">
        <f>"2026-02-09 18:16:28.822"</f>
        <v>2026-02-09 18:16:28.822</v>
      </c>
      <c r="H1337" t="s">
        <v>47</v>
      </c>
      <c r="I1337">
        <v>0</v>
      </c>
      <c r="J1337" t="s">
        <v>23</v>
      </c>
    </row>
    <row r="1338" spans="1:10" x14ac:dyDescent="0.25">
      <c r="A1338" s="1">
        <v>387</v>
      </c>
      <c r="B1338" t="s">
        <v>19</v>
      </c>
      <c r="C1338">
        <v>700</v>
      </c>
      <c r="D1338">
        <v>0</v>
      </c>
      <c r="E1338" t="s">
        <v>24</v>
      </c>
      <c r="F1338" t="s">
        <v>24</v>
      </c>
      <c r="G1338" t="str">
        <f>"2026-02-09 18:15:45.574"</f>
        <v>2026-02-09 18:15:45.574</v>
      </c>
      <c r="H1338" t="s">
        <v>22</v>
      </c>
      <c r="I1338">
        <v>0</v>
      </c>
      <c r="J1338" t="s">
        <v>25</v>
      </c>
    </row>
    <row r="1339" spans="1:10" x14ac:dyDescent="0.25">
      <c r="A1339" s="1">
        <v>388</v>
      </c>
      <c r="B1339" t="s">
        <v>19</v>
      </c>
      <c r="C1339">
        <v>700</v>
      </c>
      <c r="D1339">
        <v>0</v>
      </c>
      <c r="E1339" t="s">
        <v>24</v>
      </c>
      <c r="F1339" t="s">
        <v>24</v>
      </c>
      <c r="G1339" t="str">
        <f>"2026-02-09 17:40:59.625"</f>
        <v>2026-02-09 17:40:59.625</v>
      </c>
      <c r="H1339" t="s">
        <v>22</v>
      </c>
    </row>
    <row r="1340" spans="1:10" x14ac:dyDescent="0.25">
      <c r="A1340" s="1">
        <v>389</v>
      </c>
      <c r="B1340" t="s">
        <v>19</v>
      </c>
      <c r="C1340">
        <v>700</v>
      </c>
      <c r="D1340">
        <v>0</v>
      </c>
      <c r="E1340" t="s">
        <v>24</v>
      </c>
      <c r="F1340" t="s">
        <v>24</v>
      </c>
      <c r="G1340" t="str">
        <f>"2026-02-09 17:23:50.574"</f>
        <v>2026-02-09 17:23:50.574</v>
      </c>
      <c r="H1340" t="s">
        <v>22</v>
      </c>
    </row>
    <row r="1341" spans="1:10" x14ac:dyDescent="0.25">
      <c r="A1341" s="1">
        <v>390</v>
      </c>
      <c r="B1341" t="s">
        <v>19</v>
      </c>
      <c r="C1341">
        <v>700</v>
      </c>
      <c r="D1341">
        <v>0</v>
      </c>
      <c r="E1341" t="s">
        <v>24</v>
      </c>
      <c r="F1341" t="s">
        <v>24</v>
      </c>
      <c r="G1341" t="str">
        <f>"2026-02-09 17:20:21.572"</f>
        <v>2026-02-09 17:20:21.572</v>
      </c>
      <c r="H1341" t="s">
        <v>22</v>
      </c>
    </row>
    <row r="1342" spans="1:10" x14ac:dyDescent="0.25">
      <c r="A1342" s="1">
        <v>391</v>
      </c>
      <c r="B1342" t="s">
        <v>19</v>
      </c>
      <c r="C1342">
        <v>706</v>
      </c>
      <c r="D1342">
        <v>4</v>
      </c>
      <c r="E1342" t="s">
        <v>20</v>
      </c>
      <c r="F1342" t="s">
        <v>21</v>
      </c>
      <c r="G1342" t="str">
        <f>"2026-02-09 17:11:37.154"</f>
        <v>2026-02-09 17:11:37.154</v>
      </c>
      <c r="H1342" t="s">
        <v>22</v>
      </c>
      <c r="I1342">
        <v>0</v>
      </c>
      <c r="J1342" t="s">
        <v>23</v>
      </c>
    </row>
    <row r="1343" spans="1:10" x14ac:dyDescent="0.25">
      <c r="A1343" s="1">
        <v>392</v>
      </c>
      <c r="B1343" t="s">
        <v>19</v>
      </c>
      <c r="C1343">
        <v>706</v>
      </c>
      <c r="D1343">
        <v>3</v>
      </c>
      <c r="E1343" t="s">
        <v>20</v>
      </c>
      <c r="F1343" t="s">
        <v>48</v>
      </c>
      <c r="G1343" t="str">
        <f>"2026-02-09 17:11:27.964"</f>
        <v>2026-02-09 17:11:27.964</v>
      </c>
      <c r="H1343" t="s">
        <v>22</v>
      </c>
      <c r="I1343">
        <v>0</v>
      </c>
      <c r="J1343" t="s">
        <v>23</v>
      </c>
    </row>
    <row r="1344" spans="1:10" x14ac:dyDescent="0.25">
      <c r="A1344" s="1">
        <v>393</v>
      </c>
      <c r="B1344" t="s">
        <v>31</v>
      </c>
      <c r="C1344">
        <v>47</v>
      </c>
      <c r="D1344">
        <v>2</v>
      </c>
      <c r="E1344" t="s">
        <v>83</v>
      </c>
      <c r="F1344" t="s">
        <v>84</v>
      </c>
      <c r="G1344" t="str">
        <f>"2026-02-09 17:10:57.254"</f>
        <v>2026-02-09 17:10:57.254</v>
      </c>
      <c r="H1344" t="s">
        <v>47</v>
      </c>
    </row>
    <row r="1345" spans="1:10" x14ac:dyDescent="0.25">
      <c r="A1345" s="1">
        <v>394</v>
      </c>
      <c r="B1345" t="s">
        <v>19</v>
      </c>
      <c r="C1345">
        <v>706</v>
      </c>
      <c r="D1345">
        <v>2</v>
      </c>
      <c r="E1345" t="s">
        <v>20</v>
      </c>
      <c r="F1345" t="s">
        <v>54</v>
      </c>
      <c r="G1345" t="str">
        <f>"2026-02-09 17:10:55.424"</f>
        <v>2026-02-09 17:10:55.424</v>
      </c>
      <c r="H1345" t="s">
        <v>22</v>
      </c>
      <c r="I1345">
        <v>0</v>
      </c>
      <c r="J1345" t="s">
        <v>23</v>
      </c>
    </row>
    <row r="1346" spans="1:10" x14ac:dyDescent="0.25">
      <c r="A1346" s="1">
        <v>395</v>
      </c>
      <c r="B1346" t="s">
        <v>34</v>
      </c>
      <c r="C1346">
        <v>47</v>
      </c>
      <c r="D1346">
        <v>2</v>
      </c>
      <c r="E1346" t="s">
        <v>83</v>
      </c>
      <c r="F1346" t="s">
        <v>84</v>
      </c>
      <c r="G1346" t="str">
        <f>"2026-02-09 17:10:46.755"</f>
        <v>2026-02-09 17:10:46.755</v>
      </c>
      <c r="H1346" t="s">
        <v>47</v>
      </c>
      <c r="I1346">
        <v>0</v>
      </c>
      <c r="J1346" t="s">
        <v>72</v>
      </c>
    </row>
    <row r="1347" spans="1:10" x14ac:dyDescent="0.25">
      <c r="A1347" s="1">
        <v>396</v>
      </c>
      <c r="B1347" t="s">
        <v>19</v>
      </c>
      <c r="C1347">
        <v>700</v>
      </c>
      <c r="D1347">
        <v>0</v>
      </c>
      <c r="E1347" t="s">
        <v>24</v>
      </c>
      <c r="F1347" t="s">
        <v>24</v>
      </c>
      <c r="G1347" t="str">
        <f>"2026-02-09 17:10:42.584"</f>
        <v>2026-02-09 17:10:42.584</v>
      </c>
      <c r="H1347" t="s">
        <v>22</v>
      </c>
    </row>
    <row r="1348" spans="1:10" x14ac:dyDescent="0.25">
      <c r="A1348" s="1">
        <v>397</v>
      </c>
      <c r="B1348" t="s">
        <v>19</v>
      </c>
      <c r="C1348">
        <v>706</v>
      </c>
      <c r="D1348">
        <v>2</v>
      </c>
      <c r="E1348" t="s">
        <v>20</v>
      </c>
      <c r="F1348" t="s">
        <v>54</v>
      </c>
      <c r="G1348" t="str">
        <f>"2026-02-09 15:09:25.838"</f>
        <v>2026-02-09 15:09:25.838</v>
      </c>
      <c r="H1348" t="s">
        <v>22</v>
      </c>
      <c r="I1348">
        <v>0</v>
      </c>
      <c r="J1348" t="s">
        <v>23</v>
      </c>
    </row>
    <row r="1349" spans="1:10" x14ac:dyDescent="0.25">
      <c r="A1349" s="1">
        <v>398</v>
      </c>
      <c r="B1349" t="s">
        <v>19</v>
      </c>
      <c r="C1349">
        <v>700</v>
      </c>
      <c r="D1349">
        <v>0</v>
      </c>
      <c r="E1349" t="s">
        <v>24</v>
      </c>
      <c r="F1349" t="s">
        <v>24</v>
      </c>
      <c r="G1349" t="str">
        <f>"2026-02-09 15:08:54.598"</f>
        <v>2026-02-09 15:08:54.598</v>
      </c>
      <c r="H1349" t="s">
        <v>22</v>
      </c>
      <c r="I1349">
        <v>0</v>
      </c>
      <c r="J1349" t="s">
        <v>25</v>
      </c>
    </row>
    <row r="1350" spans="1:10" x14ac:dyDescent="0.25">
      <c r="A1350" s="1">
        <v>399</v>
      </c>
      <c r="B1350" t="s">
        <v>19</v>
      </c>
      <c r="C1350">
        <v>706</v>
      </c>
      <c r="D1350">
        <v>2</v>
      </c>
      <c r="E1350" t="s">
        <v>20</v>
      </c>
      <c r="F1350" t="s">
        <v>54</v>
      </c>
      <c r="G1350" t="str">
        <f>"2026-02-09 14:14:55.846"</f>
        <v>2026-02-09 14:14:55.846</v>
      </c>
      <c r="H1350" t="s">
        <v>22</v>
      </c>
      <c r="I1350">
        <v>0</v>
      </c>
      <c r="J1350" t="s">
        <v>23</v>
      </c>
    </row>
    <row r="1351" spans="1:10" x14ac:dyDescent="0.25">
      <c r="A1351" s="1">
        <v>400</v>
      </c>
      <c r="B1351" t="s">
        <v>19</v>
      </c>
      <c r="C1351">
        <v>700</v>
      </c>
      <c r="D1351">
        <v>0</v>
      </c>
      <c r="E1351" t="s">
        <v>24</v>
      </c>
      <c r="F1351" t="s">
        <v>24</v>
      </c>
      <c r="G1351" t="str">
        <f>"2026-02-09 14:13:27.596"</f>
        <v>2026-02-09 14:13:27.596</v>
      </c>
      <c r="H1351" t="s">
        <v>22</v>
      </c>
      <c r="I1351">
        <v>0</v>
      </c>
      <c r="J1351" t="s">
        <v>25</v>
      </c>
    </row>
    <row r="1352" spans="1:10" x14ac:dyDescent="0.25">
      <c r="A1352" s="1">
        <v>401</v>
      </c>
      <c r="B1352" t="s">
        <v>19</v>
      </c>
      <c r="C1352">
        <v>700</v>
      </c>
      <c r="D1352">
        <v>0</v>
      </c>
      <c r="E1352" t="s">
        <v>24</v>
      </c>
      <c r="F1352" t="s">
        <v>24</v>
      </c>
      <c r="G1352" t="str">
        <f>"2026-02-09 12:37:26.595"</f>
        <v>2026-02-09 12:37:26.595</v>
      </c>
      <c r="H1352" t="s">
        <v>22</v>
      </c>
      <c r="I1352">
        <v>0</v>
      </c>
      <c r="J1352" t="s">
        <v>25</v>
      </c>
    </row>
    <row r="1353" spans="1:10" x14ac:dyDescent="0.25">
      <c r="A1353" s="1">
        <v>402</v>
      </c>
      <c r="B1353" t="s">
        <v>19</v>
      </c>
      <c r="C1353">
        <v>700</v>
      </c>
      <c r="D1353">
        <v>0</v>
      </c>
      <c r="E1353" t="s">
        <v>24</v>
      </c>
      <c r="F1353" t="s">
        <v>24</v>
      </c>
      <c r="G1353" t="str">
        <f>"2026-02-09 12:29:17.599"</f>
        <v>2026-02-09 12:29:17.599</v>
      </c>
      <c r="H1353" t="s">
        <v>22</v>
      </c>
      <c r="I1353">
        <v>0</v>
      </c>
      <c r="J1353" t="s">
        <v>25</v>
      </c>
    </row>
    <row r="1354" spans="1:10" x14ac:dyDescent="0.25">
      <c r="A1354" s="1">
        <v>403</v>
      </c>
      <c r="B1354" t="s">
        <v>19</v>
      </c>
      <c r="C1354">
        <v>700</v>
      </c>
      <c r="D1354">
        <v>0</v>
      </c>
      <c r="E1354" t="s">
        <v>24</v>
      </c>
      <c r="F1354" t="s">
        <v>24</v>
      </c>
      <c r="G1354" t="str">
        <f>"2026-02-09 12:27:55.593"</f>
        <v>2026-02-09 12:27:55.593</v>
      </c>
      <c r="H1354" t="s">
        <v>22</v>
      </c>
      <c r="I1354">
        <v>0</v>
      </c>
      <c r="J1354" t="s">
        <v>25</v>
      </c>
    </row>
    <row r="1355" spans="1:10" x14ac:dyDescent="0.25">
      <c r="A1355" s="1">
        <v>404</v>
      </c>
      <c r="B1355" t="s">
        <v>26</v>
      </c>
      <c r="C1355">
        <v>630</v>
      </c>
      <c r="D1355">
        <v>5</v>
      </c>
      <c r="E1355" t="s">
        <v>39</v>
      </c>
      <c r="F1355" t="s">
        <v>40</v>
      </c>
      <c r="G1355" t="str">
        <f>"2026-02-09 11:51:14.028"</f>
        <v>2026-02-09 11:51:14.028</v>
      </c>
      <c r="H1355" t="s">
        <v>41</v>
      </c>
    </row>
    <row r="1356" spans="1:10" x14ac:dyDescent="0.25">
      <c r="A1356" s="1">
        <v>405</v>
      </c>
      <c r="B1356" t="s">
        <v>19</v>
      </c>
      <c r="C1356">
        <v>706</v>
      </c>
      <c r="D1356">
        <v>4</v>
      </c>
      <c r="E1356" t="s">
        <v>20</v>
      </c>
      <c r="F1356" t="s">
        <v>21</v>
      </c>
      <c r="G1356" t="str">
        <f>"2026-02-09 11:50:44.005"</f>
        <v>2026-02-09 11:50:44.005</v>
      </c>
      <c r="H1356" t="s">
        <v>22</v>
      </c>
      <c r="I1356">
        <v>0</v>
      </c>
      <c r="J1356" t="s">
        <v>23</v>
      </c>
    </row>
    <row r="1357" spans="1:10" x14ac:dyDescent="0.25">
      <c r="A1357" s="1">
        <v>406</v>
      </c>
      <c r="B1357" t="s">
        <v>34</v>
      </c>
      <c r="C1357">
        <v>630</v>
      </c>
      <c r="D1357">
        <v>5</v>
      </c>
      <c r="E1357" t="s">
        <v>39</v>
      </c>
      <c r="F1357" t="s">
        <v>40</v>
      </c>
      <c r="G1357" t="str">
        <f>"2026-02-09 11:50:20.128"</f>
        <v>2026-02-09 11:50:20.128</v>
      </c>
      <c r="H1357" t="s">
        <v>41</v>
      </c>
      <c r="I1357">
        <v>0</v>
      </c>
      <c r="J1357" t="s">
        <v>23</v>
      </c>
    </row>
    <row r="1358" spans="1:10" x14ac:dyDescent="0.25">
      <c r="A1358" s="1">
        <v>407</v>
      </c>
      <c r="B1358" t="s">
        <v>19</v>
      </c>
      <c r="C1358">
        <v>706</v>
      </c>
      <c r="D1358">
        <v>4</v>
      </c>
      <c r="E1358" t="s">
        <v>20</v>
      </c>
      <c r="F1358" t="s">
        <v>21</v>
      </c>
      <c r="G1358" t="str">
        <f>"2026-02-09 11:45:00.015"</f>
        <v>2026-02-09 11:45:00.015</v>
      </c>
      <c r="H1358" t="s">
        <v>22</v>
      </c>
      <c r="I1358">
        <v>0</v>
      </c>
      <c r="J1358" t="s">
        <v>23</v>
      </c>
    </row>
    <row r="1359" spans="1:10" x14ac:dyDescent="0.25">
      <c r="A1359" s="1">
        <v>408</v>
      </c>
      <c r="B1359" t="s">
        <v>19</v>
      </c>
      <c r="C1359">
        <v>700</v>
      </c>
      <c r="D1359">
        <v>0</v>
      </c>
      <c r="E1359" t="s">
        <v>24</v>
      </c>
      <c r="F1359" t="s">
        <v>24</v>
      </c>
      <c r="G1359" t="str">
        <f>"2026-02-09 11:44:41.575"</f>
        <v>2026-02-09 11:44:41.575</v>
      </c>
      <c r="H1359" t="s">
        <v>22</v>
      </c>
    </row>
    <row r="1360" spans="1:10" x14ac:dyDescent="0.25">
      <c r="A1360" s="1">
        <v>409</v>
      </c>
      <c r="B1360" t="s">
        <v>19</v>
      </c>
      <c r="C1360">
        <v>700</v>
      </c>
      <c r="D1360">
        <v>0</v>
      </c>
      <c r="E1360" t="s">
        <v>24</v>
      </c>
      <c r="F1360" t="s">
        <v>24</v>
      </c>
      <c r="G1360" t="str">
        <f>"2026-02-09 11:40:58.595"</f>
        <v>2026-02-09 11:40:58.595</v>
      </c>
      <c r="H1360" t="s">
        <v>22</v>
      </c>
      <c r="I1360">
        <v>0</v>
      </c>
      <c r="J1360" t="s">
        <v>25</v>
      </c>
    </row>
    <row r="1361" spans="1:10" x14ac:dyDescent="0.25">
      <c r="A1361" s="1">
        <v>410</v>
      </c>
      <c r="B1361" t="s">
        <v>34</v>
      </c>
      <c r="C1361">
        <v>630</v>
      </c>
      <c r="D1361">
        <v>5</v>
      </c>
      <c r="E1361" t="s">
        <v>39</v>
      </c>
      <c r="F1361" t="s">
        <v>40</v>
      </c>
      <c r="G1361" t="str">
        <f>"2026-02-09 11:32:43.381"</f>
        <v>2026-02-09 11:32:43.381</v>
      </c>
      <c r="H1361" t="s">
        <v>41</v>
      </c>
      <c r="I1361">
        <v>0</v>
      </c>
      <c r="J1361" t="s">
        <v>23</v>
      </c>
    </row>
    <row r="1362" spans="1:10" x14ac:dyDescent="0.25">
      <c r="A1362" s="1">
        <v>411</v>
      </c>
      <c r="B1362" t="s">
        <v>19</v>
      </c>
      <c r="C1362">
        <v>700</v>
      </c>
      <c r="D1362">
        <v>0</v>
      </c>
      <c r="E1362" t="s">
        <v>24</v>
      </c>
      <c r="F1362" t="s">
        <v>24</v>
      </c>
      <c r="G1362" t="str">
        <f>"2026-02-09 11:27:40.603"</f>
        <v>2026-02-09 11:27:40.603</v>
      </c>
      <c r="H1362" t="s">
        <v>22</v>
      </c>
      <c r="I1362">
        <v>0</v>
      </c>
      <c r="J1362" t="s">
        <v>25</v>
      </c>
    </row>
    <row r="1363" spans="1:10" x14ac:dyDescent="0.25">
      <c r="A1363" s="1">
        <v>412</v>
      </c>
      <c r="B1363" t="s">
        <v>44</v>
      </c>
      <c r="C1363">
        <v>77</v>
      </c>
      <c r="D1363">
        <v>1</v>
      </c>
      <c r="E1363" t="s">
        <v>45</v>
      </c>
      <c r="F1363" t="s">
        <v>46</v>
      </c>
      <c r="G1363" t="str">
        <f>"2026-02-09 11:07:22.554"</f>
        <v>2026-02-09 11:07:22.554</v>
      </c>
      <c r="H1363" t="s">
        <v>47</v>
      </c>
    </row>
    <row r="1364" spans="1:10" x14ac:dyDescent="0.25">
      <c r="A1364" s="1">
        <v>413</v>
      </c>
      <c r="B1364" t="s">
        <v>34</v>
      </c>
      <c r="C1364">
        <v>77</v>
      </c>
      <c r="D1364">
        <v>1</v>
      </c>
      <c r="E1364" t="s">
        <v>45</v>
      </c>
      <c r="F1364" t="s">
        <v>46</v>
      </c>
      <c r="G1364" t="str">
        <f>"2026-02-09 11:07:17.532"</f>
        <v>2026-02-09 11:07:17.532</v>
      </c>
      <c r="H1364" t="s">
        <v>47</v>
      </c>
      <c r="I1364">
        <v>0</v>
      </c>
      <c r="J1364" t="s">
        <v>23</v>
      </c>
    </row>
    <row r="1365" spans="1:10" x14ac:dyDescent="0.25">
      <c r="A1365" s="1">
        <v>414</v>
      </c>
      <c r="B1365" t="s">
        <v>19</v>
      </c>
      <c r="C1365">
        <v>700</v>
      </c>
      <c r="D1365">
        <v>0</v>
      </c>
      <c r="E1365" t="s">
        <v>24</v>
      </c>
      <c r="F1365" t="s">
        <v>24</v>
      </c>
      <c r="G1365" t="str">
        <f>"2026-02-09 11:06:42.593"</f>
        <v>2026-02-09 11:06:42.593</v>
      </c>
      <c r="H1365" t="s">
        <v>22</v>
      </c>
    </row>
    <row r="1366" spans="1:10" x14ac:dyDescent="0.25">
      <c r="A1366" s="1">
        <v>415</v>
      </c>
      <c r="B1366" t="s">
        <v>26</v>
      </c>
      <c r="C1366">
        <v>630</v>
      </c>
      <c r="D1366">
        <v>5</v>
      </c>
      <c r="E1366" t="s">
        <v>39</v>
      </c>
      <c r="F1366" t="s">
        <v>40</v>
      </c>
      <c r="G1366" t="str">
        <f>"2026-02-09 08:24:39.662"</f>
        <v>2026-02-09 08:24:39.662</v>
      </c>
      <c r="H1366" t="s">
        <v>41</v>
      </c>
    </row>
    <row r="1367" spans="1:10" x14ac:dyDescent="0.25">
      <c r="A1367" s="1">
        <v>416</v>
      </c>
      <c r="B1367" t="s">
        <v>19</v>
      </c>
      <c r="C1367">
        <v>706</v>
      </c>
      <c r="D1367">
        <v>2</v>
      </c>
      <c r="E1367" t="s">
        <v>20</v>
      </c>
      <c r="F1367" t="s">
        <v>54</v>
      </c>
      <c r="G1367" t="str">
        <f>"2026-02-09 08:24:09.599"</f>
        <v>2026-02-09 08:24:09.599</v>
      </c>
      <c r="H1367" t="s">
        <v>22</v>
      </c>
      <c r="I1367">
        <v>0</v>
      </c>
      <c r="J1367" t="s">
        <v>23</v>
      </c>
    </row>
    <row r="1368" spans="1:10" x14ac:dyDescent="0.25">
      <c r="A1368" s="1">
        <v>417</v>
      </c>
      <c r="B1368" t="s">
        <v>34</v>
      </c>
      <c r="C1368">
        <v>630</v>
      </c>
      <c r="D1368">
        <v>5</v>
      </c>
      <c r="E1368" t="s">
        <v>39</v>
      </c>
      <c r="F1368" t="s">
        <v>40</v>
      </c>
      <c r="G1368" t="str">
        <f>"2026-02-09 08:19:44.362"</f>
        <v>2026-02-09 08:19:44.362</v>
      </c>
      <c r="H1368" t="s">
        <v>41</v>
      </c>
      <c r="I1368">
        <v>0</v>
      </c>
      <c r="J1368" t="s">
        <v>23</v>
      </c>
    </row>
    <row r="1369" spans="1:10" x14ac:dyDescent="0.25">
      <c r="A1369" s="1">
        <v>418</v>
      </c>
      <c r="B1369" t="s">
        <v>19</v>
      </c>
      <c r="C1369">
        <v>700</v>
      </c>
      <c r="D1369">
        <v>0</v>
      </c>
      <c r="E1369" t="s">
        <v>24</v>
      </c>
      <c r="F1369" t="s">
        <v>24</v>
      </c>
      <c r="G1369" t="str">
        <f>"2026-02-09 08:14:41.589"</f>
        <v>2026-02-09 08:14:41.589</v>
      </c>
      <c r="H1369" t="s">
        <v>22</v>
      </c>
      <c r="I1369">
        <v>0</v>
      </c>
      <c r="J1369" t="s">
        <v>25</v>
      </c>
    </row>
    <row r="1370" spans="1:10" x14ac:dyDescent="0.25">
      <c r="A1370" s="1">
        <v>419</v>
      </c>
      <c r="B1370" t="s">
        <v>19</v>
      </c>
      <c r="C1370">
        <v>700</v>
      </c>
      <c r="D1370">
        <v>0</v>
      </c>
      <c r="E1370" t="s">
        <v>24</v>
      </c>
      <c r="F1370" t="s">
        <v>24</v>
      </c>
      <c r="G1370" t="str">
        <f>"2026-02-09 03:14:26.604"</f>
        <v>2026-02-09 03:14:26.604</v>
      </c>
      <c r="H1370" t="s">
        <v>22</v>
      </c>
    </row>
    <row r="1371" spans="1:10" x14ac:dyDescent="0.25">
      <c r="A1371" s="1">
        <v>420</v>
      </c>
      <c r="B1371" t="s">
        <v>19</v>
      </c>
      <c r="C1371">
        <v>706</v>
      </c>
      <c r="D1371">
        <v>4</v>
      </c>
      <c r="E1371" t="s">
        <v>20</v>
      </c>
      <c r="F1371" t="s">
        <v>21</v>
      </c>
      <c r="G1371" t="str">
        <f>"2026-02-09 03:08:22.153"</f>
        <v>2026-02-09 03:08:22.153</v>
      </c>
      <c r="H1371" t="s">
        <v>22</v>
      </c>
      <c r="I1371">
        <v>0</v>
      </c>
      <c r="J1371" t="s">
        <v>23</v>
      </c>
    </row>
    <row r="1372" spans="1:10" x14ac:dyDescent="0.25">
      <c r="A1372" s="1">
        <v>421</v>
      </c>
      <c r="B1372" t="s">
        <v>19</v>
      </c>
      <c r="C1372">
        <v>700</v>
      </c>
      <c r="D1372">
        <v>0</v>
      </c>
      <c r="E1372" t="s">
        <v>24</v>
      </c>
      <c r="F1372" t="s">
        <v>24</v>
      </c>
      <c r="G1372" t="str">
        <f>"2026-02-09 03:07:31.583"</f>
        <v>2026-02-09 03:07:31.583</v>
      </c>
      <c r="H1372" t="s">
        <v>22</v>
      </c>
      <c r="I1372">
        <v>0</v>
      </c>
      <c r="J1372" t="s">
        <v>25</v>
      </c>
    </row>
    <row r="1373" spans="1:10" x14ac:dyDescent="0.25">
      <c r="A1373" s="1">
        <v>422</v>
      </c>
      <c r="B1373" t="s">
        <v>19</v>
      </c>
      <c r="C1373">
        <v>700</v>
      </c>
      <c r="D1373">
        <v>0</v>
      </c>
      <c r="E1373" t="s">
        <v>24</v>
      </c>
      <c r="F1373" t="s">
        <v>24</v>
      </c>
      <c r="G1373" t="str">
        <f>"2026-02-08 21:39:05.576"</f>
        <v>2026-02-08 21:39:05.576</v>
      </c>
      <c r="H1373" t="s">
        <v>22</v>
      </c>
      <c r="I1373">
        <v>0</v>
      </c>
      <c r="J1373" t="s">
        <v>25</v>
      </c>
    </row>
    <row r="1374" spans="1:10" x14ac:dyDescent="0.25">
      <c r="A1374" s="1">
        <v>423</v>
      </c>
      <c r="B1374" t="s">
        <v>19</v>
      </c>
      <c r="C1374">
        <v>700</v>
      </c>
      <c r="D1374">
        <v>0</v>
      </c>
      <c r="E1374" t="s">
        <v>24</v>
      </c>
      <c r="F1374" t="s">
        <v>24</v>
      </c>
      <c r="G1374" t="str">
        <f>"2026-02-08 21:26:08.584"</f>
        <v>2026-02-08 21:26:08.584</v>
      </c>
      <c r="H1374" t="s">
        <v>22</v>
      </c>
    </row>
    <row r="1375" spans="1:10" x14ac:dyDescent="0.25">
      <c r="A1375" s="1">
        <v>424</v>
      </c>
      <c r="B1375" t="s">
        <v>19</v>
      </c>
      <c r="C1375">
        <v>706</v>
      </c>
      <c r="D1375">
        <v>2</v>
      </c>
      <c r="E1375" t="s">
        <v>20</v>
      </c>
      <c r="F1375" t="s">
        <v>54</v>
      </c>
      <c r="G1375" t="str">
        <f>"2026-02-08 21:15:02.664"</f>
        <v>2026-02-08 21:15:02.664</v>
      </c>
      <c r="H1375" t="s">
        <v>22</v>
      </c>
      <c r="I1375">
        <v>0</v>
      </c>
      <c r="J1375" t="s">
        <v>23</v>
      </c>
    </row>
    <row r="1376" spans="1:10" x14ac:dyDescent="0.25">
      <c r="A1376" s="1">
        <v>425</v>
      </c>
      <c r="B1376" t="s">
        <v>19</v>
      </c>
      <c r="C1376">
        <v>700</v>
      </c>
      <c r="D1376">
        <v>0</v>
      </c>
      <c r="E1376" t="s">
        <v>24</v>
      </c>
      <c r="F1376" t="s">
        <v>24</v>
      </c>
      <c r="G1376" t="str">
        <f>"2026-02-08 21:10:27.614"</f>
        <v>2026-02-08 21:10:27.614</v>
      </c>
      <c r="H1376" t="s">
        <v>22</v>
      </c>
    </row>
    <row r="1377" spans="1:10" x14ac:dyDescent="0.25">
      <c r="A1377" s="1">
        <v>426</v>
      </c>
      <c r="B1377" t="s">
        <v>26</v>
      </c>
      <c r="C1377">
        <v>630</v>
      </c>
      <c r="D1377">
        <v>5</v>
      </c>
      <c r="E1377" t="s">
        <v>39</v>
      </c>
      <c r="F1377" t="s">
        <v>40</v>
      </c>
      <c r="G1377" t="str">
        <f>"2026-02-08 21:08:34.667"</f>
        <v>2026-02-08 21:08:34.667</v>
      </c>
      <c r="H1377" t="s">
        <v>41</v>
      </c>
    </row>
    <row r="1378" spans="1:10" x14ac:dyDescent="0.25">
      <c r="A1378" s="1">
        <v>427</v>
      </c>
      <c r="B1378" t="s">
        <v>19</v>
      </c>
      <c r="C1378">
        <v>706</v>
      </c>
      <c r="D1378">
        <v>4</v>
      </c>
      <c r="E1378" t="s">
        <v>20</v>
      </c>
      <c r="F1378" t="s">
        <v>21</v>
      </c>
      <c r="G1378" t="str">
        <f>"2026-02-08 21:08:04.524"</f>
        <v>2026-02-08 21:08:04.524</v>
      </c>
      <c r="H1378" t="s">
        <v>22</v>
      </c>
      <c r="I1378">
        <v>0</v>
      </c>
      <c r="J1378" t="s">
        <v>23</v>
      </c>
    </row>
    <row r="1379" spans="1:10" x14ac:dyDescent="0.25">
      <c r="A1379" s="1">
        <v>428</v>
      </c>
      <c r="B1379" t="s">
        <v>34</v>
      </c>
      <c r="C1379">
        <v>630</v>
      </c>
      <c r="D1379">
        <v>5</v>
      </c>
      <c r="E1379" t="s">
        <v>39</v>
      </c>
      <c r="F1379" t="s">
        <v>40</v>
      </c>
      <c r="G1379" t="str">
        <f>"2026-02-08 21:04:45.367"</f>
        <v>2026-02-08 21:04:45.367</v>
      </c>
      <c r="H1379" t="s">
        <v>41</v>
      </c>
      <c r="I1379">
        <v>0</v>
      </c>
      <c r="J1379" t="s">
        <v>23</v>
      </c>
    </row>
    <row r="1380" spans="1:10" x14ac:dyDescent="0.25">
      <c r="A1380" s="1">
        <v>429</v>
      </c>
      <c r="B1380" t="s">
        <v>19</v>
      </c>
      <c r="C1380">
        <v>700</v>
      </c>
      <c r="D1380">
        <v>0</v>
      </c>
      <c r="E1380" t="s">
        <v>24</v>
      </c>
      <c r="F1380" t="s">
        <v>24</v>
      </c>
      <c r="G1380" t="str">
        <f>"2026-02-08 20:59:42.584"</f>
        <v>2026-02-08 20:59:42.584</v>
      </c>
      <c r="H1380" t="s">
        <v>22</v>
      </c>
    </row>
    <row r="1381" spans="1:10" x14ac:dyDescent="0.25">
      <c r="A1381" s="1">
        <v>430</v>
      </c>
      <c r="B1381" t="s">
        <v>19</v>
      </c>
      <c r="C1381">
        <v>700</v>
      </c>
      <c r="D1381">
        <v>0</v>
      </c>
      <c r="E1381" t="s">
        <v>24</v>
      </c>
      <c r="F1381" t="s">
        <v>24</v>
      </c>
      <c r="G1381" t="str">
        <f>"2026-02-08 18:20:52.599"</f>
        <v>2026-02-08 18:20:52.599</v>
      </c>
      <c r="H1381" t="s">
        <v>22</v>
      </c>
      <c r="I1381">
        <v>0</v>
      </c>
      <c r="J1381" t="s">
        <v>25</v>
      </c>
    </row>
    <row r="1382" spans="1:10" x14ac:dyDescent="0.25">
      <c r="A1382" s="1">
        <v>431</v>
      </c>
      <c r="B1382" t="s">
        <v>26</v>
      </c>
      <c r="C1382">
        <v>630</v>
      </c>
      <c r="D1382">
        <v>5</v>
      </c>
      <c r="E1382" t="s">
        <v>39</v>
      </c>
      <c r="F1382" t="s">
        <v>40</v>
      </c>
      <c r="G1382" t="str">
        <f>"2026-02-08 17:17:32.554"</f>
        <v>2026-02-08 17:17:32.554</v>
      </c>
      <c r="H1382" t="s">
        <v>41</v>
      </c>
    </row>
    <row r="1383" spans="1:10" x14ac:dyDescent="0.25">
      <c r="A1383" s="1">
        <v>432</v>
      </c>
      <c r="B1383" t="s">
        <v>19</v>
      </c>
      <c r="C1383">
        <v>706</v>
      </c>
      <c r="D1383">
        <v>2</v>
      </c>
      <c r="E1383" t="s">
        <v>20</v>
      </c>
      <c r="F1383" t="s">
        <v>54</v>
      </c>
      <c r="G1383" t="str">
        <f>"2026-02-08 17:17:02.335"</f>
        <v>2026-02-08 17:17:02.335</v>
      </c>
      <c r="H1383" t="s">
        <v>22</v>
      </c>
      <c r="I1383">
        <v>0</v>
      </c>
      <c r="J1383" t="s">
        <v>23</v>
      </c>
    </row>
    <row r="1384" spans="1:10" x14ac:dyDescent="0.25">
      <c r="A1384" s="1">
        <v>433</v>
      </c>
      <c r="B1384" t="s">
        <v>34</v>
      </c>
      <c r="C1384">
        <v>630</v>
      </c>
      <c r="D1384">
        <v>5</v>
      </c>
      <c r="E1384" t="s">
        <v>39</v>
      </c>
      <c r="F1384" t="s">
        <v>40</v>
      </c>
      <c r="G1384" t="str">
        <f>"2026-02-08 17:09:59.555"</f>
        <v>2026-02-08 17:09:59.555</v>
      </c>
      <c r="H1384" t="s">
        <v>41</v>
      </c>
      <c r="I1384">
        <v>0</v>
      </c>
      <c r="J1384" t="s">
        <v>23</v>
      </c>
    </row>
    <row r="1385" spans="1:10" x14ac:dyDescent="0.25">
      <c r="A1385" s="1">
        <v>434</v>
      </c>
      <c r="B1385" t="s">
        <v>19</v>
      </c>
      <c r="C1385">
        <v>706</v>
      </c>
      <c r="D1385">
        <v>2</v>
      </c>
      <c r="E1385" t="s">
        <v>20</v>
      </c>
      <c r="F1385" t="s">
        <v>54</v>
      </c>
      <c r="G1385" t="str">
        <f>"2026-02-08 16:55:31.235"</f>
        <v>2026-02-08 16:55:31.235</v>
      </c>
      <c r="H1385" t="s">
        <v>22</v>
      </c>
      <c r="I1385">
        <v>0</v>
      </c>
      <c r="J1385" t="s">
        <v>23</v>
      </c>
    </row>
    <row r="1386" spans="1:10" x14ac:dyDescent="0.25">
      <c r="A1386" s="1">
        <v>435</v>
      </c>
      <c r="B1386" t="s">
        <v>19</v>
      </c>
      <c r="C1386">
        <v>700</v>
      </c>
      <c r="D1386">
        <v>0</v>
      </c>
      <c r="E1386" t="s">
        <v>24</v>
      </c>
      <c r="F1386" t="s">
        <v>24</v>
      </c>
      <c r="G1386" t="str">
        <f>"2026-02-08 16:52:26.575"</f>
        <v>2026-02-08 16:52:26.575</v>
      </c>
      <c r="H1386" t="s">
        <v>22</v>
      </c>
    </row>
    <row r="1387" spans="1:10" x14ac:dyDescent="0.25">
      <c r="A1387" s="1">
        <v>436</v>
      </c>
      <c r="B1387" t="s">
        <v>19</v>
      </c>
      <c r="C1387">
        <v>700</v>
      </c>
      <c r="D1387">
        <v>0</v>
      </c>
      <c r="E1387" t="s">
        <v>24</v>
      </c>
      <c r="F1387" t="s">
        <v>24</v>
      </c>
      <c r="G1387" t="str">
        <f>"2026-02-08 16:42:24.593"</f>
        <v>2026-02-08 16:42:24.593</v>
      </c>
      <c r="H1387" t="s">
        <v>22</v>
      </c>
      <c r="I1387">
        <v>0</v>
      </c>
      <c r="J1387" t="s">
        <v>25</v>
      </c>
    </row>
    <row r="1388" spans="1:10" x14ac:dyDescent="0.25">
      <c r="A1388" s="1">
        <v>437</v>
      </c>
      <c r="B1388" t="s">
        <v>19</v>
      </c>
      <c r="C1388">
        <v>706</v>
      </c>
      <c r="D1388">
        <v>4</v>
      </c>
      <c r="E1388" t="s">
        <v>20</v>
      </c>
      <c r="F1388" t="s">
        <v>21</v>
      </c>
      <c r="G1388" t="str">
        <f>"2026-02-08 14:18:47.286"</f>
        <v>2026-02-08 14:18:47.286</v>
      </c>
      <c r="H1388" t="s">
        <v>22</v>
      </c>
      <c r="I1388">
        <v>0</v>
      </c>
      <c r="J1388" t="s">
        <v>23</v>
      </c>
    </row>
    <row r="1389" spans="1:10" x14ac:dyDescent="0.25">
      <c r="A1389" s="1">
        <v>438</v>
      </c>
      <c r="B1389" t="s">
        <v>19</v>
      </c>
      <c r="C1389">
        <v>700</v>
      </c>
      <c r="D1389">
        <v>0</v>
      </c>
      <c r="E1389" t="s">
        <v>24</v>
      </c>
      <c r="F1389" t="s">
        <v>24</v>
      </c>
      <c r="G1389" t="str">
        <f>"2026-02-08 13:37:58.596"</f>
        <v>2026-02-08 13:37:58.596</v>
      </c>
      <c r="H1389" t="s">
        <v>22</v>
      </c>
      <c r="I1389">
        <v>0</v>
      </c>
      <c r="J1389" t="s">
        <v>25</v>
      </c>
    </row>
    <row r="1390" spans="1:10" x14ac:dyDescent="0.25">
      <c r="A1390" s="1">
        <v>439</v>
      </c>
      <c r="B1390" t="s">
        <v>19</v>
      </c>
      <c r="C1390">
        <v>700</v>
      </c>
      <c r="D1390">
        <v>0</v>
      </c>
      <c r="E1390" t="s">
        <v>24</v>
      </c>
      <c r="F1390" t="s">
        <v>24</v>
      </c>
      <c r="G1390" t="str">
        <f>"2026-02-05 08:48:21.582"</f>
        <v>2026-02-05 08:48:21.582</v>
      </c>
      <c r="H1390" t="s">
        <v>22</v>
      </c>
    </row>
    <row r="1391" spans="1:10" x14ac:dyDescent="0.25">
      <c r="A1391" s="1">
        <v>440</v>
      </c>
      <c r="B1391" t="s">
        <v>26</v>
      </c>
      <c r="C1391">
        <v>630</v>
      </c>
      <c r="D1391">
        <v>5</v>
      </c>
      <c r="E1391" t="s">
        <v>39</v>
      </c>
      <c r="F1391" t="s">
        <v>40</v>
      </c>
      <c r="G1391" t="str">
        <f>"2026-02-05 08:16:19.160"</f>
        <v>2026-02-05 08:16:19.160</v>
      </c>
      <c r="H1391" t="s">
        <v>41</v>
      </c>
    </row>
    <row r="1392" spans="1:10" x14ac:dyDescent="0.25">
      <c r="A1392" s="1">
        <v>441</v>
      </c>
      <c r="B1392" t="s">
        <v>19</v>
      </c>
      <c r="C1392">
        <v>706</v>
      </c>
      <c r="D1392">
        <v>4</v>
      </c>
      <c r="E1392" t="s">
        <v>20</v>
      </c>
      <c r="F1392" t="s">
        <v>21</v>
      </c>
      <c r="G1392" t="str">
        <f>"2026-02-05 08:15:49.192"</f>
        <v>2026-02-05 08:15:49.192</v>
      </c>
      <c r="H1392" t="s">
        <v>22</v>
      </c>
      <c r="I1392">
        <v>0</v>
      </c>
      <c r="J1392" t="s">
        <v>23</v>
      </c>
    </row>
    <row r="1393" spans="1:10" x14ac:dyDescent="0.25">
      <c r="A1393" s="1">
        <v>442</v>
      </c>
      <c r="B1393" t="s">
        <v>34</v>
      </c>
      <c r="C1393">
        <v>630</v>
      </c>
      <c r="D1393">
        <v>5</v>
      </c>
      <c r="E1393" t="s">
        <v>39</v>
      </c>
      <c r="F1393" t="s">
        <v>40</v>
      </c>
      <c r="G1393" t="str">
        <f>"2026-02-05 08:11:51.361"</f>
        <v>2026-02-05 08:11:51.361</v>
      </c>
      <c r="H1393" t="s">
        <v>41</v>
      </c>
      <c r="I1393">
        <v>0</v>
      </c>
      <c r="J1393" t="s">
        <v>23</v>
      </c>
    </row>
    <row r="1394" spans="1:10" x14ac:dyDescent="0.25">
      <c r="A1394" s="1">
        <v>443</v>
      </c>
      <c r="B1394" t="s">
        <v>19</v>
      </c>
      <c r="C1394">
        <v>700</v>
      </c>
      <c r="D1394">
        <v>0</v>
      </c>
      <c r="E1394" t="s">
        <v>24</v>
      </c>
      <c r="F1394" t="s">
        <v>24</v>
      </c>
      <c r="G1394" t="str">
        <f>"2026-02-05 08:06:48.582"</f>
        <v>2026-02-05 08:06:48.582</v>
      </c>
      <c r="H1394" t="s">
        <v>22</v>
      </c>
    </row>
    <row r="1395" spans="1:10" x14ac:dyDescent="0.25">
      <c r="A1395" s="1">
        <v>444</v>
      </c>
      <c r="B1395" t="s">
        <v>19</v>
      </c>
      <c r="C1395">
        <v>706</v>
      </c>
      <c r="D1395">
        <v>2</v>
      </c>
      <c r="E1395" t="s">
        <v>20</v>
      </c>
      <c r="F1395" t="s">
        <v>54</v>
      </c>
      <c r="G1395" t="str">
        <f>"2026-02-05 07:53:29.829"</f>
        <v>2026-02-05 07:53:29.829</v>
      </c>
      <c r="H1395" t="s">
        <v>22</v>
      </c>
      <c r="I1395">
        <v>0</v>
      </c>
      <c r="J1395" t="s">
        <v>23</v>
      </c>
    </row>
    <row r="1396" spans="1:10" x14ac:dyDescent="0.25">
      <c r="A1396" s="1">
        <v>445</v>
      </c>
      <c r="B1396" t="s">
        <v>19</v>
      </c>
      <c r="C1396">
        <v>700</v>
      </c>
      <c r="D1396">
        <v>0</v>
      </c>
      <c r="E1396" t="s">
        <v>24</v>
      </c>
      <c r="F1396" t="s">
        <v>24</v>
      </c>
      <c r="G1396" t="str">
        <f>"2026-02-05 07:53:14.709"</f>
        <v>2026-02-05 07:53:14.709</v>
      </c>
      <c r="H1396" t="s">
        <v>22</v>
      </c>
      <c r="I1396">
        <v>0</v>
      </c>
      <c r="J1396" t="s">
        <v>25</v>
      </c>
    </row>
    <row r="1397" spans="1:10" x14ac:dyDescent="0.25">
      <c r="A1397" s="1">
        <v>446</v>
      </c>
      <c r="B1397" t="s">
        <v>19</v>
      </c>
      <c r="C1397">
        <v>706</v>
      </c>
      <c r="D1397">
        <v>2</v>
      </c>
      <c r="E1397" t="s">
        <v>20</v>
      </c>
      <c r="F1397" t="s">
        <v>54</v>
      </c>
      <c r="G1397" t="str">
        <f>"2026-02-05 03:04:03.404"</f>
        <v>2026-02-05 03:04:03.404</v>
      </c>
      <c r="H1397" t="s">
        <v>22</v>
      </c>
      <c r="I1397">
        <v>0</v>
      </c>
      <c r="J1397" t="s">
        <v>23</v>
      </c>
    </row>
    <row r="1398" spans="1:10" x14ac:dyDescent="0.25">
      <c r="A1398" s="1">
        <v>447</v>
      </c>
      <c r="B1398" t="s">
        <v>26</v>
      </c>
      <c r="C1398">
        <v>630</v>
      </c>
      <c r="D1398">
        <v>5</v>
      </c>
      <c r="E1398" t="s">
        <v>39</v>
      </c>
      <c r="F1398" t="s">
        <v>40</v>
      </c>
      <c r="G1398" t="str">
        <f>"2026-02-05 03:00:28.187"</f>
        <v>2026-02-05 03:00:28.187</v>
      </c>
      <c r="H1398" t="s">
        <v>41</v>
      </c>
    </row>
    <row r="1399" spans="1:10" x14ac:dyDescent="0.25">
      <c r="A1399" s="1">
        <v>448</v>
      </c>
      <c r="B1399" t="s">
        <v>19</v>
      </c>
      <c r="C1399">
        <v>706</v>
      </c>
      <c r="D1399">
        <v>4</v>
      </c>
      <c r="E1399" t="s">
        <v>20</v>
      </c>
      <c r="F1399" t="s">
        <v>21</v>
      </c>
      <c r="G1399" t="str">
        <f>"2026-02-05 02:59:57.974"</f>
        <v>2026-02-05 02:59:57.974</v>
      </c>
      <c r="H1399" t="s">
        <v>22</v>
      </c>
      <c r="I1399">
        <v>0</v>
      </c>
      <c r="J1399" t="s">
        <v>23</v>
      </c>
    </row>
    <row r="1400" spans="1:10" x14ac:dyDescent="0.25">
      <c r="A1400" s="1">
        <v>449</v>
      </c>
      <c r="B1400" t="s">
        <v>34</v>
      </c>
      <c r="C1400">
        <v>630</v>
      </c>
      <c r="D1400">
        <v>5</v>
      </c>
      <c r="E1400" t="s">
        <v>39</v>
      </c>
      <c r="F1400" t="s">
        <v>40</v>
      </c>
      <c r="G1400" t="str">
        <f>"2026-02-05 02:31:21.587"</f>
        <v>2026-02-05 02:31:21.587</v>
      </c>
      <c r="H1400" t="s">
        <v>41</v>
      </c>
      <c r="I1400">
        <v>0</v>
      </c>
      <c r="J1400" t="s">
        <v>23</v>
      </c>
    </row>
    <row r="1401" spans="1:10" x14ac:dyDescent="0.25">
      <c r="A1401" s="1">
        <v>450</v>
      </c>
      <c r="B1401" t="s">
        <v>19</v>
      </c>
      <c r="C1401">
        <v>700</v>
      </c>
      <c r="D1401">
        <v>0</v>
      </c>
      <c r="E1401" t="s">
        <v>24</v>
      </c>
      <c r="F1401" t="s">
        <v>24</v>
      </c>
      <c r="G1401" t="str">
        <f>"2026-02-05 02:26:18.804"</f>
        <v>2026-02-05 02:26:18.804</v>
      </c>
      <c r="H1401" t="s">
        <v>22</v>
      </c>
    </row>
    <row r="1402" spans="1:10" x14ac:dyDescent="0.25">
      <c r="A1402" s="1">
        <v>451</v>
      </c>
      <c r="B1402" t="s">
        <v>26</v>
      </c>
      <c r="C1402">
        <v>61</v>
      </c>
      <c r="D1402">
        <v>2</v>
      </c>
      <c r="E1402" t="s">
        <v>81</v>
      </c>
      <c r="F1402" t="s">
        <v>82</v>
      </c>
      <c r="G1402" t="str">
        <f>"2026-02-04 19:00:11.085"</f>
        <v>2026-02-04 19:00:11.085</v>
      </c>
      <c r="H1402" t="s">
        <v>22</v>
      </c>
    </row>
    <row r="1403" spans="1:10" x14ac:dyDescent="0.25">
      <c r="A1403" s="1">
        <v>452</v>
      </c>
      <c r="B1403" t="s">
        <v>34</v>
      </c>
      <c r="C1403">
        <v>61</v>
      </c>
      <c r="D1403">
        <v>2</v>
      </c>
      <c r="E1403" t="s">
        <v>81</v>
      </c>
      <c r="F1403" t="s">
        <v>82</v>
      </c>
      <c r="G1403" t="str">
        <f>"2026-02-04 19:00:02.385"</f>
        <v>2026-02-04 19:00:02.385</v>
      </c>
      <c r="H1403" t="s">
        <v>22</v>
      </c>
      <c r="I1403">
        <v>38.549999999999997</v>
      </c>
      <c r="J1403" t="s">
        <v>37</v>
      </c>
    </row>
    <row r="1404" spans="1:10" x14ac:dyDescent="0.25">
      <c r="A1404" s="1">
        <v>453</v>
      </c>
      <c r="B1404" t="s">
        <v>26</v>
      </c>
      <c r="C1404">
        <v>98</v>
      </c>
      <c r="D1404">
        <v>1</v>
      </c>
      <c r="E1404" t="s">
        <v>52</v>
      </c>
      <c r="F1404" t="s">
        <v>53</v>
      </c>
      <c r="G1404" t="str">
        <f>"2026-02-04 03:20:38.784"</f>
        <v>2026-02-04 03:20:38.784</v>
      </c>
      <c r="H1404" t="s">
        <v>22</v>
      </c>
    </row>
    <row r="1405" spans="1:10" x14ac:dyDescent="0.25">
      <c r="A1405" s="1">
        <v>454</v>
      </c>
      <c r="B1405" t="s">
        <v>29</v>
      </c>
      <c r="C1405">
        <v>98</v>
      </c>
      <c r="D1405">
        <v>1</v>
      </c>
      <c r="E1405" t="s">
        <v>52</v>
      </c>
      <c r="F1405" t="s">
        <v>53</v>
      </c>
      <c r="G1405" t="str">
        <f>"2026-02-04 03:20:37.685"</f>
        <v>2026-02-04 03:20:37.685</v>
      </c>
      <c r="H1405" t="s">
        <v>22</v>
      </c>
      <c r="I1405">
        <v>0</v>
      </c>
      <c r="J1405" t="s">
        <v>38</v>
      </c>
    </row>
    <row r="1406" spans="1:10" x14ac:dyDescent="0.25">
      <c r="A1406" s="1">
        <v>455</v>
      </c>
      <c r="B1406" t="s">
        <v>19</v>
      </c>
      <c r="C1406">
        <v>700</v>
      </c>
      <c r="D1406">
        <v>0</v>
      </c>
      <c r="E1406" t="s">
        <v>24</v>
      </c>
      <c r="F1406" t="s">
        <v>24</v>
      </c>
      <c r="G1406" t="str">
        <f>"2026-02-04 01:35:53.623"</f>
        <v>2026-02-04 01:35:53.623</v>
      </c>
      <c r="H1406" t="s">
        <v>22</v>
      </c>
      <c r="I1406">
        <v>0</v>
      </c>
      <c r="J1406" t="s">
        <v>25</v>
      </c>
    </row>
    <row r="1407" spans="1:10" x14ac:dyDescent="0.25">
      <c r="A1407" s="1">
        <v>456</v>
      </c>
      <c r="B1407" t="s">
        <v>26</v>
      </c>
      <c r="C1407">
        <v>619</v>
      </c>
      <c r="D1407">
        <v>1</v>
      </c>
      <c r="E1407" t="s">
        <v>79</v>
      </c>
      <c r="F1407" t="s">
        <v>28</v>
      </c>
      <c r="G1407" t="str">
        <f>"2026-02-04 00:27:59.772"</f>
        <v>2026-02-04 00:27:59.772</v>
      </c>
      <c r="H1407" t="s">
        <v>80</v>
      </c>
    </row>
    <row r="1408" spans="1:10" x14ac:dyDescent="0.25">
      <c r="A1408" s="1">
        <v>457</v>
      </c>
      <c r="B1408" t="s">
        <v>29</v>
      </c>
      <c r="C1408">
        <v>619</v>
      </c>
      <c r="D1408">
        <v>1</v>
      </c>
      <c r="E1408" t="s">
        <v>79</v>
      </c>
      <c r="F1408" t="s">
        <v>28</v>
      </c>
      <c r="G1408" t="str">
        <f>"2026-02-04 00:27:53.120"</f>
        <v>2026-02-04 00:27:53.120</v>
      </c>
      <c r="H1408" t="s">
        <v>80</v>
      </c>
      <c r="I1408">
        <v>0</v>
      </c>
      <c r="J1408" t="s">
        <v>38</v>
      </c>
    </row>
    <row r="1409" spans="1:10" x14ac:dyDescent="0.25">
      <c r="A1409" s="1">
        <v>458</v>
      </c>
      <c r="B1409" t="s">
        <v>26</v>
      </c>
      <c r="C1409">
        <v>635</v>
      </c>
      <c r="D1409">
        <v>1</v>
      </c>
      <c r="E1409" t="s">
        <v>27</v>
      </c>
      <c r="F1409" t="s">
        <v>28</v>
      </c>
      <c r="G1409" t="str">
        <f>"2026-02-03 12:28:26.820"</f>
        <v>2026-02-03 12:28:26.820</v>
      </c>
      <c r="H1409" t="s">
        <v>22</v>
      </c>
    </row>
    <row r="1410" spans="1:10" x14ac:dyDescent="0.25">
      <c r="A1410" s="1">
        <v>459</v>
      </c>
      <c r="B1410" t="s">
        <v>29</v>
      </c>
      <c r="C1410">
        <v>635</v>
      </c>
      <c r="D1410">
        <v>1</v>
      </c>
      <c r="E1410" t="s">
        <v>27</v>
      </c>
      <c r="F1410" t="s">
        <v>28</v>
      </c>
      <c r="G1410" t="str">
        <f>"2026-02-03 12:25:40.820"</f>
        <v>2026-02-03 12:25:40.820</v>
      </c>
      <c r="H1410" t="s">
        <v>22</v>
      </c>
      <c r="I1410">
        <v>7.59</v>
      </c>
      <c r="J1410" t="s">
        <v>30</v>
      </c>
    </row>
    <row r="1411" spans="1:10" x14ac:dyDescent="0.25">
      <c r="A1411" s="1">
        <v>460</v>
      </c>
      <c r="B1411" t="s">
        <v>26</v>
      </c>
      <c r="C1411">
        <v>635</v>
      </c>
      <c r="D1411">
        <v>1</v>
      </c>
      <c r="E1411" t="s">
        <v>27</v>
      </c>
      <c r="F1411" t="s">
        <v>28</v>
      </c>
      <c r="G1411" t="str">
        <f>"2026-02-03 10:03:28.520"</f>
        <v>2026-02-03 10:03:28.520</v>
      </c>
      <c r="H1411" t="s">
        <v>22</v>
      </c>
    </row>
    <row r="1412" spans="1:10" x14ac:dyDescent="0.25">
      <c r="A1412" s="1">
        <v>461</v>
      </c>
      <c r="B1412" t="s">
        <v>29</v>
      </c>
      <c r="C1412">
        <v>635</v>
      </c>
      <c r="D1412">
        <v>1</v>
      </c>
      <c r="E1412" t="s">
        <v>27</v>
      </c>
      <c r="F1412" t="s">
        <v>28</v>
      </c>
      <c r="G1412" t="str">
        <f>"2026-02-03 10:00:19.020"</f>
        <v>2026-02-03 10:00:19.020</v>
      </c>
      <c r="H1412" t="s">
        <v>22</v>
      </c>
      <c r="I1412">
        <v>2.36</v>
      </c>
      <c r="J1412" t="s">
        <v>30</v>
      </c>
    </row>
    <row r="1413" spans="1:10" s="3" customFormat="1" x14ac:dyDescent="0.25">
      <c r="A1413" s="2">
        <v>462</v>
      </c>
      <c r="B1413" s="3" t="s">
        <v>26</v>
      </c>
      <c r="C1413" s="3">
        <v>647</v>
      </c>
      <c r="D1413" s="3">
        <v>1</v>
      </c>
      <c r="E1413" s="3" t="s">
        <v>35</v>
      </c>
      <c r="F1413" s="3" t="s">
        <v>36</v>
      </c>
      <c r="G1413" s="3" t="str">
        <f>"2026-02-03 00:12:01.720"</f>
        <v>2026-02-03 00:12:01.720</v>
      </c>
      <c r="H1413" s="3" t="s">
        <v>22</v>
      </c>
    </row>
    <row r="1414" spans="1:10" s="3" customFormat="1" x14ac:dyDescent="0.25">
      <c r="A1414" s="2">
        <v>463</v>
      </c>
      <c r="B1414" s="3" t="s">
        <v>29</v>
      </c>
      <c r="C1414" s="3">
        <v>647</v>
      </c>
      <c r="D1414" s="3">
        <v>1</v>
      </c>
      <c r="E1414" s="3" t="s">
        <v>35</v>
      </c>
      <c r="F1414" s="3" t="s">
        <v>36</v>
      </c>
      <c r="G1414" s="3" t="str">
        <f>"2026-02-03 00:11:59.920"</f>
        <v>2026-02-03 00:11:59.920</v>
      </c>
      <c r="H1414" s="3" t="s">
        <v>22</v>
      </c>
      <c r="I1414" s="3">
        <v>8.77</v>
      </c>
      <c r="J1414" s="3" t="s">
        <v>37</v>
      </c>
    </row>
    <row r="1415" spans="1:10" s="3" customFormat="1" x14ac:dyDescent="0.25">
      <c r="A1415" s="2">
        <v>464</v>
      </c>
      <c r="B1415" s="3" t="s">
        <v>26</v>
      </c>
      <c r="C1415" s="3">
        <v>647</v>
      </c>
      <c r="D1415" s="3">
        <v>1</v>
      </c>
      <c r="E1415" s="3" t="s">
        <v>35</v>
      </c>
      <c r="F1415" s="3" t="s">
        <v>36</v>
      </c>
      <c r="G1415" s="3" t="str">
        <f>"2026-02-02 14:14:46.720"</f>
        <v>2026-02-02 14:14:46.720</v>
      </c>
      <c r="H1415" s="3" t="s">
        <v>22</v>
      </c>
    </row>
    <row r="1416" spans="1:10" s="3" customFormat="1" x14ac:dyDescent="0.25">
      <c r="A1416" s="2">
        <v>465</v>
      </c>
      <c r="B1416" s="3" t="s">
        <v>29</v>
      </c>
      <c r="C1416" s="3">
        <v>647</v>
      </c>
      <c r="D1416" s="3">
        <v>1</v>
      </c>
      <c r="E1416" s="3" t="s">
        <v>35</v>
      </c>
      <c r="F1416" s="3" t="s">
        <v>36</v>
      </c>
      <c r="G1416" s="3" t="str">
        <f>"2026-02-02 14:14:41.420"</f>
        <v>2026-02-02 14:14:41.420</v>
      </c>
      <c r="H1416" s="3" t="s">
        <v>22</v>
      </c>
      <c r="I1416" s="3">
        <v>8.5399999999999991</v>
      </c>
      <c r="J1416" s="3" t="s">
        <v>37</v>
      </c>
    </row>
    <row r="1417" spans="1:10" x14ac:dyDescent="0.25">
      <c r="A1417" s="1">
        <v>466</v>
      </c>
      <c r="B1417" t="s">
        <v>26</v>
      </c>
      <c r="C1417">
        <v>630</v>
      </c>
      <c r="D1417">
        <v>5</v>
      </c>
      <c r="E1417" t="s">
        <v>39</v>
      </c>
      <c r="F1417" t="s">
        <v>40</v>
      </c>
      <c r="G1417" t="str">
        <f>"2026-02-02 11:15:20.920"</f>
        <v>2026-02-02 11:15:20.920</v>
      </c>
      <c r="H1417" t="s">
        <v>41</v>
      </c>
    </row>
    <row r="1418" spans="1:10" x14ac:dyDescent="0.25">
      <c r="A1418" s="1">
        <v>467</v>
      </c>
      <c r="B1418" t="s">
        <v>19</v>
      </c>
      <c r="C1418">
        <v>706</v>
      </c>
      <c r="D1418">
        <v>4</v>
      </c>
      <c r="E1418" t="s">
        <v>20</v>
      </c>
      <c r="F1418" t="s">
        <v>21</v>
      </c>
      <c r="G1418" t="str">
        <f>"2026-02-02 11:14:50.771"</f>
        <v>2026-02-02 11:14:50.771</v>
      </c>
      <c r="H1418" t="s">
        <v>22</v>
      </c>
      <c r="I1418">
        <v>0</v>
      </c>
      <c r="J1418" t="s">
        <v>23</v>
      </c>
    </row>
    <row r="1419" spans="1:10" x14ac:dyDescent="0.25">
      <c r="A1419" s="1">
        <v>468</v>
      </c>
      <c r="B1419" t="s">
        <v>34</v>
      </c>
      <c r="C1419">
        <v>630</v>
      </c>
      <c r="D1419">
        <v>5</v>
      </c>
      <c r="E1419" t="s">
        <v>39</v>
      </c>
      <c r="F1419" t="s">
        <v>40</v>
      </c>
      <c r="G1419" t="str">
        <f>"2026-02-02 10:59:29.321"</f>
        <v>2026-02-02 10:59:29.321</v>
      </c>
      <c r="H1419" t="s">
        <v>41</v>
      </c>
      <c r="I1419">
        <v>0</v>
      </c>
      <c r="J1419" t="s">
        <v>23</v>
      </c>
    </row>
    <row r="1420" spans="1:10" x14ac:dyDescent="0.25">
      <c r="A1420" s="1">
        <v>469</v>
      </c>
      <c r="B1420" t="s">
        <v>19</v>
      </c>
      <c r="C1420">
        <v>700</v>
      </c>
      <c r="D1420">
        <v>0</v>
      </c>
      <c r="E1420" t="s">
        <v>24</v>
      </c>
      <c r="F1420" t="s">
        <v>24</v>
      </c>
      <c r="G1420" t="str">
        <f>"2026-02-02 10:54:26.581"</f>
        <v>2026-02-02 10:54:26.581</v>
      </c>
      <c r="H1420" t="s">
        <v>22</v>
      </c>
    </row>
    <row r="1421" spans="1:10" x14ac:dyDescent="0.25">
      <c r="A1421" s="1">
        <v>470</v>
      </c>
      <c r="B1421" t="s">
        <v>26</v>
      </c>
      <c r="C1421">
        <v>630</v>
      </c>
      <c r="D1421">
        <v>5</v>
      </c>
      <c r="E1421" t="s">
        <v>39</v>
      </c>
      <c r="F1421" t="s">
        <v>40</v>
      </c>
      <c r="G1421" t="str">
        <f>"2026-02-02 10:47:04.935"</f>
        <v>2026-02-02 10:47:04.935</v>
      </c>
      <c r="H1421" t="s">
        <v>41</v>
      </c>
    </row>
    <row r="1422" spans="1:10" x14ac:dyDescent="0.25">
      <c r="A1422" s="1">
        <v>471</v>
      </c>
      <c r="B1422" t="s">
        <v>19</v>
      </c>
      <c r="C1422">
        <v>706</v>
      </c>
      <c r="D1422">
        <v>2</v>
      </c>
      <c r="E1422" t="s">
        <v>20</v>
      </c>
      <c r="F1422" t="s">
        <v>54</v>
      </c>
      <c r="G1422" t="str">
        <f>"2026-02-02 10:46:34.694"</f>
        <v>2026-02-02 10:46:34.694</v>
      </c>
      <c r="H1422" t="s">
        <v>22</v>
      </c>
      <c r="I1422">
        <v>0</v>
      </c>
      <c r="J1422" t="s">
        <v>23</v>
      </c>
    </row>
    <row r="1423" spans="1:10" x14ac:dyDescent="0.25">
      <c r="A1423" s="1">
        <v>472</v>
      </c>
      <c r="B1423" t="s">
        <v>19</v>
      </c>
      <c r="C1423">
        <v>706</v>
      </c>
      <c r="D1423">
        <v>4</v>
      </c>
      <c r="E1423" t="s">
        <v>20</v>
      </c>
      <c r="F1423" t="s">
        <v>21</v>
      </c>
      <c r="G1423" t="str">
        <f>"2026-02-02 10:46:18.833"</f>
        <v>2026-02-02 10:46:18.833</v>
      </c>
      <c r="H1423" t="s">
        <v>22</v>
      </c>
      <c r="I1423">
        <v>0</v>
      </c>
      <c r="J1423" t="s">
        <v>23</v>
      </c>
    </row>
    <row r="1424" spans="1:10" x14ac:dyDescent="0.25">
      <c r="A1424" s="1">
        <v>473</v>
      </c>
      <c r="B1424" t="s">
        <v>34</v>
      </c>
      <c r="C1424">
        <v>630</v>
      </c>
      <c r="D1424">
        <v>5</v>
      </c>
      <c r="E1424" t="s">
        <v>39</v>
      </c>
      <c r="F1424" t="s">
        <v>40</v>
      </c>
      <c r="G1424" t="str">
        <f>"2026-02-02 10:18:10.435"</f>
        <v>2026-02-02 10:18:10.435</v>
      </c>
      <c r="H1424" t="s">
        <v>41</v>
      </c>
      <c r="I1424">
        <v>0</v>
      </c>
      <c r="J1424" t="s">
        <v>23</v>
      </c>
    </row>
    <row r="1425" spans="1:10" x14ac:dyDescent="0.25">
      <c r="A1425" s="1">
        <v>474</v>
      </c>
      <c r="B1425" t="s">
        <v>19</v>
      </c>
      <c r="C1425">
        <v>700</v>
      </c>
      <c r="D1425">
        <v>0</v>
      </c>
      <c r="E1425" t="s">
        <v>24</v>
      </c>
      <c r="F1425" t="s">
        <v>24</v>
      </c>
      <c r="G1425" t="str">
        <f>"2026-02-02 10:13:07.634"</f>
        <v>2026-02-02 10:13:07.634</v>
      </c>
      <c r="H1425" t="s">
        <v>22</v>
      </c>
      <c r="I1425">
        <v>0</v>
      </c>
      <c r="J1425" t="s">
        <v>25</v>
      </c>
    </row>
    <row r="1426" spans="1:10" x14ac:dyDescent="0.25">
      <c r="A1426" s="1">
        <v>475</v>
      </c>
      <c r="B1426" t="s">
        <v>19</v>
      </c>
      <c r="C1426">
        <v>700</v>
      </c>
      <c r="D1426">
        <v>0</v>
      </c>
      <c r="E1426" t="s">
        <v>24</v>
      </c>
      <c r="F1426" t="s">
        <v>24</v>
      </c>
      <c r="G1426" t="str">
        <f>"2026-02-01 20:35:49.601"</f>
        <v>2026-02-01 20:35:49.601</v>
      </c>
      <c r="H1426" t="s">
        <v>22</v>
      </c>
      <c r="I1426">
        <v>0</v>
      </c>
      <c r="J1426" t="s">
        <v>25</v>
      </c>
    </row>
    <row r="1427" spans="1:10" x14ac:dyDescent="0.25">
      <c r="A1427" s="1">
        <v>476</v>
      </c>
      <c r="B1427" t="s">
        <v>26</v>
      </c>
      <c r="C1427">
        <v>61</v>
      </c>
      <c r="D1427">
        <v>2</v>
      </c>
      <c r="E1427" t="s">
        <v>81</v>
      </c>
      <c r="F1427" t="s">
        <v>82</v>
      </c>
      <c r="G1427" t="str">
        <f>"2026-02-01 19:08:01.831"</f>
        <v>2026-02-01 19:08:01.831</v>
      </c>
      <c r="H1427" t="s">
        <v>22</v>
      </c>
    </row>
    <row r="1428" spans="1:10" x14ac:dyDescent="0.25">
      <c r="A1428" s="1">
        <v>477</v>
      </c>
      <c r="B1428" t="s">
        <v>34</v>
      </c>
      <c r="C1428">
        <v>61</v>
      </c>
      <c r="D1428">
        <v>2</v>
      </c>
      <c r="E1428" t="s">
        <v>81</v>
      </c>
      <c r="F1428" t="s">
        <v>82</v>
      </c>
      <c r="G1428" t="str">
        <f>"2026-02-01 19:07:54.032"</f>
        <v>2026-02-01 19:07:54.032</v>
      </c>
      <c r="H1428" t="s">
        <v>22</v>
      </c>
      <c r="I1428">
        <v>36.229999999999997</v>
      </c>
      <c r="J1428" t="s">
        <v>37</v>
      </c>
    </row>
    <row r="1429" spans="1:10" x14ac:dyDescent="0.25">
      <c r="A1429" s="1">
        <v>478</v>
      </c>
      <c r="B1429" t="s">
        <v>26</v>
      </c>
      <c r="C1429">
        <v>635</v>
      </c>
      <c r="D1429">
        <v>1</v>
      </c>
      <c r="E1429" t="s">
        <v>27</v>
      </c>
      <c r="F1429" t="s">
        <v>28</v>
      </c>
      <c r="G1429" t="str">
        <f>"2026-02-01 16:28:40.678"</f>
        <v>2026-02-01 16:28:40.678</v>
      </c>
      <c r="H1429" t="s">
        <v>22</v>
      </c>
    </row>
    <row r="1430" spans="1:10" x14ac:dyDescent="0.25">
      <c r="A1430" s="1">
        <v>479</v>
      </c>
      <c r="B1430" t="s">
        <v>29</v>
      </c>
      <c r="C1430">
        <v>635</v>
      </c>
      <c r="D1430">
        <v>1</v>
      </c>
      <c r="E1430" t="s">
        <v>27</v>
      </c>
      <c r="F1430" t="s">
        <v>28</v>
      </c>
      <c r="G1430" t="str">
        <f>"2026-02-01 16:22:48.678"</f>
        <v>2026-02-01 16:22:48.678</v>
      </c>
      <c r="H1430" t="s">
        <v>22</v>
      </c>
      <c r="I1430">
        <v>5.63</v>
      </c>
      <c r="J1430" t="s">
        <v>30</v>
      </c>
    </row>
    <row r="1431" spans="1:10" x14ac:dyDescent="0.25">
      <c r="A1431" s="1">
        <v>480</v>
      </c>
      <c r="B1431" t="s">
        <v>19</v>
      </c>
      <c r="C1431">
        <v>706</v>
      </c>
      <c r="D1431">
        <v>3</v>
      </c>
      <c r="E1431" t="s">
        <v>20</v>
      </c>
      <c r="F1431" t="s">
        <v>48</v>
      </c>
      <c r="G1431" t="str">
        <f>"2026-02-01 09:32:09.175"</f>
        <v>2026-02-01 09:32:09.175</v>
      </c>
      <c r="H1431" t="s">
        <v>22</v>
      </c>
      <c r="I1431">
        <v>0</v>
      </c>
      <c r="J1431" t="s">
        <v>23</v>
      </c>
    </row>
    <row r="1432" spans="1:10" x14ac:dyDescent="0.25">
      <c r="A1432" s="1">
        <v>481</v>
      </c>
      <c r="B1432" t="s">
        <v>26</v>
      </c>
      <c r="C1432">
        <v>635</v>
      </c>
      <c r="D1432">
        <v>1</v>
      </c>
      <c r="E1432" t="s">
        <v>27</v>
      </c>
      <c r="F1432" t="s">
        <v>28</v>
      </c>
      <c r="G1432" t="str">
        <f>"2026-02-01 03:24:43.178"</f>
        <v>2026-02-01 03:24:43.178</v>
      </c>
      <c r="H1432" t="s">
        <v>22</v>
      </c>
    </row>
    <row r="1433" spans="1:10" x14ac:dyDescent="0.25">
      <c r="A1433" s="1">
        <v>482</v>
      </c>
      <c r="B1433" t="s">
        <v>29</v>
      </c>
      <c r="C1433">
        <v>635</v>
      </c>
      <c r="D1433">
        <v>1</v>
      </c>
      <c r="E1433" t="s">
        <v>27</v>
      </c>
      <c r="F1433" t="s">
        <v>28</v>
      </c>
      <c r="G1433" t="str">
        <f>"2026-02-01 03:21:25.678"</f>
        <v>2026-02-01 03:21:25.678</v>
      </c>
      <c r="H1433" t="s">
        <v>22</v>
      </c>
      <c r="I1433">
        <v>3.59</v>
      </c>
      <c r="J1433" t="s">
        <v>30</v>
      </c>
    </row>
    <row r="1434" spans="1:10" x14ac:dyDescent="0.25">
      <c r="A1434" s="1">
        <v>483</v>
      </c>
      <c r="B1434" t="s">
        <v>19</v>
      </c>
      <c r="C1434">
        <v>700</v>
      </c>
      <c r="D1434">
        <v>0</v>
      </c>
      <c r="E1434" t="s">
        <v>24</v>
      </c>
      <c r="F1434" t="s">
        <v>24</v>
      </c>
      <c r="G1434" t="str">
        <f>"2026-01-31 21:14:04.765"</f>
        <v>2026-01-31 21:14:04.765</v>
      </c>
      <c r="H1434" t="s">
        <v>22</v>
      </c>
      <c r="I1434">
        <v>0</v>
      </c>
      <c r="J1434" t="s">
        <v>25</v>
      </c>
    </row>
    <row r="1435" spans="1:10" x14ac:dyDescent="0.25">
      <c r="A1435" s="1">
        <v>484</v>
      </c>
      <c r="B1435" t="s">
        <v>26</v>
      </c>
      <c r="C1435">
        <v>61</v>
      </c>
      <c r="D1435">
        <v>2</v>
      </c>
      <c r="E1435" t="s">
        <v>81</v>
      </c>
      <c r="F1435" t="s">
        <v>82</v>
      </c>
      <c r="G1435" t="str">
        <f>"2026-01-31 14:35:48.069"</f>
        <v>2026-01-31 14:35:48.069</v>
      </c>
      <c r="H1435" t="s">
        <v>22</v>
      </c>
    </row>
    <row r="1436" spans="1:10" x14ac:dyDescent="0.25">
      <c r="A1436" s="1">
        <v>485</v>
      </c>
      <c r="B1436" t="s">
        <v>34</v>
      </c>
      <c r="C1436">
        <v>61</v>
      </c>
      <c r="D1436">
        <v>2</v>
      </c>
      <c r="E1436" t="s">
        <v>81</v>
      </c>
      <c r="F1436" t="s">
        <v>82</v>
      </c>
      <c r="G1436" t="str">
        <f>"2026-01-31 14:35:27.069"</f>
        <v>2026-01-31 14:35:27.069</v>
      </c>
      <c r="H1436" t="s">
        <v>22</v>
      </c>
      <c r="I1436">
        <v>36.76</v>
      </c>
      <c r="J1436" t="s">
        <v>37</v>
      </c>
    </row>
    <row r="1437" spans="1:10" x14ac:dyDescent="0.25">
      <c r="A1437" s="1">
        <v>486</v>
      </c>
      <c r="B1437" t="s">
        <v>26</v>
      </c>
      <c r="C1437">
        <v>635</v>
      </c>
      <c r="D1437">
        <v>1</v>
      </c>
      <c r="E1437" t="s">
        <v>27</v>
      </c>
      <c r="F1437" t="s">
        <v>28</v>
      </c>
      <c r="G1437" t="str">
        <f>"2026-01-31 11:35:17.815"</f>
        <v>2026-01-31 11:35:17.815</v>
      </c>
      <c r="H1437" t="s">
        <v>22</v>
      </c>
    </row>
    <row r="1438" spans="1:10" x14ac:dyDescent="0.25">
      <c r="A1438" s="1">
        <v>487</v>
      </c>
      <c r="B1438" t="s">
        <v>29</v>
      </c>
      <c r="C1438">
        <v>635</v>
      </c>
      <c r="D1438">
        <v>1</v>
      </c>
      <c r="E1438" t="s">
        <v>27</v>
      </c>
      <c r="F1438" t="s">
        <v>28</v>
      </c>
      <c r="G1438" t="str">
        <f>"2026-01-31 11:11:54.414"</f>
        <v>2026-01-31 11:11:54.414</v>
      </c>
      <c r="H1438" t="s">
        <v>22</v>
      </c>
      <c r="I1438">
        <v>7.67</v>
      </c>
      <c r="J1438" t="s">
        <v>30</v>
      </c>
    </row>
    <row r="1439" spans="1:10" x14ac:dyDescent="0.25">
      <c r="A1439" s="1">
        <v>488</v>
      </c>
      <c r="B1439" t="s">
        <v>19</v>
      </c>
      <c r="C1439">
        <v>706</v>
      </c>
      <c r="D1439">
        <v>3</v>
      </c>
      <c r="E1439" t="s">
        <v>20</v>
      </c>
      <c r="F1439" t="s">
        <v>48</v>
      </c>
      <c r="G1439" t="str">
        <f>"2026-01-31 07:40:22.337"</f>
        <v>2026-01-31 07:40:22.337</v>
      </c>
      <c r="H1439" t="s">
        <v>22</v>
      </c>
      <c r="I1439">
        <v>0</v>
      </c>
      <c r="J1439" t="s">
        <v>23</v>
      </c>
    </row>
    <row r="1440" spans="1:10" x14ac:dyDescent="0.25">
      <c r="A1440" s="1">
        <v>489</v>
      </c>
      <c r="B1440" t="s">
        <v>19</v>
      </c>
      <c r="C1440">
        <v>700</v>
      </c>
      <c r="D1440">
        <v>0</v>
      </c>
      <c r="E1440" t="s">
        <v>24</v>
      </c>
      <c r="F1440" t="s">
        <v>24</v>
      </c>
      <c r="G1440" t="str">
        <f>"2026-01-31 01:11:58.587"</f>
        <v>2026-01-31 01:11:58.587</v>
      </c>
      <c r="H1440" t="s">
        <v>22</v>
      </c>
    </row>
    <row r="1441" spans="1:10" x14ac:dyDescent="0.25">
      <c r="A1441" s="1">
        <v>490</v>
      </c>
      <c r="B1441" t="s">
        <v>19</v>
      </c>
      <c r="C1441">
        <v>700</v>
      </c>
      <c r="D1441">
        <v>0</v>
      </c>
      <c r="E1441" t="s">
        <v>24</v>
      </c>
      <c r="F1441" t="s">
        <v>24</v>
      </c>
      <c r="G1441" t="str">
        <f>"2026-01-30 23:57:16.620"</f>
        <v>2026-01-30 23:57:16.620</v>
      </c>
      <c r="H1441" t="s">
        <v>22</v>
      </c>
      <c r="I1441">
        <v>0</v>
      </c>
      <c r="J1441" t="s">
        <v>25</v>
      </c>
    </row>
    <row r="1442" spans="1:10" x14ac:dyDescent="0.25">
      <c r="A1442" s="1">
        <v>491</v>
      </c>
      <c r="B1442" t="s">
        <v>26</v>
      </c>
      <c r="C1442">
        <v>619</v>
      </c>
      <c r="D1442">
        <v>1</v>
      </c>
      <c r="E1442" t="s">
        <v>79</v>
      </c>
      <c r="F1442" t="s">
        <v>28</v>
      </c>
      <c r="G1442" t="str">
        <f>"2026-01-30 23:54:26.249"</f>
        <v>2026-01-30 23:54:26.249</v>
      </c>
      <c r="H1442" t="s">
        <v>80</v>
      </c>
    </row>
    <row r="1443" spans="1:10" x14ac:dyDescent="0.25">
      <c r="A1443" s="1">
        <v>492</v>
      </c>
      <c r="B1443" t="s">
        <v>29</v>
      </c>
      <c r="C1443">
        <v>619</v>
      </c>
      <c r="D1443">
        <v>1</v>
      </c>
      <c r="E1443" t="s">
        <v>79</v>
      </c>
      <c r="F1443" t="s">
        <v>28</v>
      </c>
      <c r="G1443" t="str">
        <f>"2026-01-30 23:53:01.148"</f>
        <v>2026-01-30 23:53:01.148</v>
      </c>
      <c r="H1443" t="s">
        <v>80</v>
      </c>
      <c r="I1443">
        <v>10.11</v>
      </c>
      <c r="J1443" t="s">
        <v>30</v>
      </c>
    </row>
    <row r="1444" spans="1:10" s="3" customFormat="1" x14ac:dyDescent="0.25">
      <c r="A1444" s="2">
        <v>493</v>
      </c>
      <c r="B1444" s="3" t="s">
        <v>26</v>
      </c>
      <c r="C1444" s="3">
        <v>647</v>
      </c>
      <c r="D1444" s="3">
        <v>1</v>
      </c>
      <c r="E1444" s="3" t="s">
        <v>35</v>
      </c>
      <c r="F1444" s="3" t="s">
        <v>36</v>
      </c>
      <c r="G1444" s="3" t="str">
        <f>"2026-01-30 14:44:43.150"</f>
        <v>2026-01-30 14:44:43.150</v>
      </c>
      <c r="H1444" s="3" t="s">
        <v>22</v>
      </c>
    </row>
    <row r="1445" spans="1:10" s="3" customFormat="1" x14ac:dyDescent="0.25">
      <c r="A1445" s="2">
        <v>494</v>
      </c>
      <c r="B1445" s="3" t="s">
        <v>29</v>
      </c>
      <c r="C1445" s="3">
        <v>647</v>
      </c>
      <c r="D1445" s="3">
        <v>1</v>
      </c>
      <c r="E1445" s="3" t="s">
        <v>35</v>
      </c>
      <c r="F1445" s="3" t="s">
        <v>36</v>
      </c>
      <c r="G1445" s="3" t="str">
        <f>"2026-01-30 14:44:37.250"</f>
        <v>2026-01-30 14:44:37.250</v>
      </c>
      <c r="H1445" s="3" t="s">
        <v>22</v>
      </c>
      <c r="I1445" s="3">
        <v>10.36</v>
      </c>
      <c r="J1445" s="3" t="s">
        <v>37</v>
      </c>
    </row>
    <row r="1446" spans="1:10" x14ac:dyDescent="0.25">
      <c r="A1446" s="1">
        <v>495</v>
      </c>
      <c r="B1446" t="s">
        <v>26</v>
      </c>
      <c r="C1446">
        <v>619</v>
      </c>
      <c r="D1446">
        <v>1</v>
      </c>
      <c r="E1446" t="s">
        <v>79</v>
      </c>
      <c r="F1446" t="s">
        <v>28</v>
      </c>
      <c r="G1446" t="str">
        <f>"2026-01-30 00:04:58.049"</f>
        <v>2026-01-30 00:04:58.049</v>
      </c>
      <c r="H1446" t="s">
        <v>80</v>
      </c>
    </row>
    <row r="1447" spans="1:10" x14ac:dyDescent="0.25">
      <c r="A1447" s="1">
        <v>496</v>
      </c>
      <c r="B1447" t="s">
        <v>29</v>
      </c>
      <c r="C1447">
        <v>619</v>
      </c>
      <c r="D1447">
        <v>1</v>
      </c>
      <c r="E1447" t="s">
        <v>79</v>
      </c>
      <c r="F1447" t="s">
        <v>28</v>
      </c>
      <c r="G1447" t="str">
        <f>"2026-01-30 00:04:45.149"</f>
        <v>2026-01-30 00:04:45.149</v>
      </c>
      <c r="H1447" t="s">
        <v>80</v>
      </c>
      <c r="I1447">
        <v>0</v>
      </c>
      <c r="J1447" t="s">
        <v>38</v>
      </c>
    </row>
    <row r="1448" spans="1:10" s="3" customFormat="1" x14ac:dyDescent="0.25">
      <c r="A1448" s="2">
        <v>497</v>
      </c>
      <c r="B1448" s="3" t="s">
        <v>26</v>
      </c>
      <c r="C1448" s="3">
        <v>647</v>
      </c>
      <c r="D1448" s="3">
        <v>1</v>
      </c>
      <c r="E1448" s="3" t="s">
        <v>35</v>
      </c>
      <c r="F1448" s="3" t="s">
        <v>36</v>
      </c>
      <c r="G1448" s="3" t="str">
        <f>"2026-01-29 14:59:33.850"</f>
        <v>2026-01-29 14:59:33.850</v>
      </c>
      <c r="H1448" s="3" t="s">
        <v>22</v>
      </c>
    </row>
    <row r="1449" spans="1:10" s="3" customFormat="1" x14ac:dyDescent="0.25">
      <c r="A1449" s="2">
        <v>498</v>
      </c>
      <c r="B1449" s="3" t="s">
        <v>29</v>
      </c>
      <c r="C1449" s="3">
        <v>647</v>
      </c>
      <c r="D1449" s="3">
        <v>1</v>
      </c>
      <c r="E1449" s="3" t="s">
        <v>35</v>
      </c>
      <c r="F1449" s="3" t="s">
        <v>36</v>
      </c>
      <c r="G1449" s="3" t="str">
        <f>"2026-01-29 14:59:31.150"</f>
        <v>2026-01-29 14:59:31.150</v>
      </c>
      <c r="H1449" s="3" t="s">
        <v>22</v>
      </c>
      <c r="I1449" s="3">
        <v>9.25</v>
      </c>
      <c r="J1449" s="3" t="s">
        <v>37</v>
      </c>
    </row>
    <row r="1450" spans="1:10" x14ac:dyDescent="0.25">
      <c r="A1450" s="1">
        <v>499</v>
      </c>
      <c r="B1450" t="s">
        <v>26</v>
      </c>
      <c r="C1450">
        <v>635</v>
      </c>
      <c r="D1450">
        <v>1</v>
      </c>
      <c r="E1450" t="s">
        <v>27</v>
      </c>
      <c r="F1450" t="s">
        <v>28</v>
      </c>
      <c r="G1450" t="str">
        <f>"2026-01-29 14:51:42.349"</f>
        <v>2026-01-29 14:51:42.349</v>
      </c>
      <c r="H1450" t="s">
        <v>22</v>
      </c>
    </row>
    <row r="1451" spans="1:10" x14ac:dyDescent="0.25">
      <c r="A1451" s="1">
        <v>500</v>
      </c>
      <c r="B1451" t="s">
        <v>29</v>
      </c>
      <c r="C1451">
        <v>635</v>
      </c>
      <c r="D1451">
        <v>1</v>
      </c>
      <c r="E1451" t="s">
        <v>27</v>
      </c>
      <c r="F1451" t="s">
        <v>28</v>
      </c>
      <c r="G1451" t="str">
        <f>"2026-01-29 14:19:23.449"</f>
        <v>2026-01-29 14:19:23.449</v>
      </c>
      <c r="H1451" t="s">
        <v>22</v>
      </c>
      <c r="I1451">
        <v>8.61</v>
      </c>
      <c r="J1451" t="s">
        <v>30</v>
      </c>
    </row>
    <row r="1452" spans="1:10" x14ac:dyDescent="0.25">
      <c r="A1452" s="1">
        <v>501</v>
      </c>
      <c r="B1452" t="s">
        <v>19</v>
      </c>
      <c r="C1452">
        <v>700</v>
      </c>
      <c r="D1452">
        <v>0</v>
      </c>
      <c r="E1452" t="s">
        <v>24</v>
      </c>
      <c r="F1452" t="s">
        <v>24</v>
      </c>
      <c r="G1452" t="str">
        <f>"2026-01-27 14:13:11.585"</f>
        <v>2026-01-27 14:13:11.585</v>
      </c>
      <c r="H1452" t="s">
        <v>22</v>
      </c>
      <c r="I1452">
        <v>0</v>
      </c>
      <c r="J1452" t="s">
        <v>25</v>
      </c>
    </row>
    <row r="1453" spans="1:10" x14ac:dyDescent="0.25">
      <c r="A1453" s="1">
        <v>502</v>
      </c>
      <c r="B1453" t="s">
        <v>19</v>
      </c>
      <c r="C1453">
        <v>706</v>
      </c>
      <c r="D1453">
        <v>3</v>
      </c>
      <c r="E1453" t="s">
        <v>20</v>
      </c>
      <c r="F1453" t="s">
        <v>48</v>
      </c>
      <c r="G1453" t="str">
        <f>"2026-01-26 10:16:25.463"</f>
        <v>2026-01-26 10:16:25.463</v>
      </c>
      <c r="H1453" t="s">
        <v>22</v>
      </c>
      <c r="I1453">
        <v>0</v>
      </c>
      <c r="J1453" t="s">
        <v>23</v>
      </c>
    </row>
    <row r="1454" spans="1:10" x14ac:dyDescent="0.25">
      <c r="A1454" s="1">
        <v>503</v>
      </c>
      <c r="B1454" t="s">
        <v>26</v>
      </c>
      <c r="C1454">
        <v>619</v>
      </c>
      <c r="D1454">
        <v>1</v>
      </c>
      <c r="E1454" t="s">
        <v>79</v>
      </c>
      <c r="F1454" t="s">
        <v>28</v>
      </c>
      <c r="G1454" t="str">
        <f>"2026-01-26 10:15:58.410"</f>
        <v>2026-01-26 10:15:58.410</v>
      </c>
      <c r="H1454" t="s">
        <v>80</v>
      </c>
    </row>
    <row r="1455" spans="1:10" x14ac:dyDescent="0.25">
      <c r="A1455" s="1">
        <v>504</v>
      </c>
      <c r="B1455" t="s">
        <v>29</v>
      </c>
      <c r="C1455">
        <v>619</v>
      </c>
      <c r="D1455">
        <v>1</v>
      </c>
      <c r="E1455" t="s">
        <v>79</v>
      </c>
      <c r="F1455" t="s">
        <v>28</v>
      </c>
      <c r="G1455" t="str">
        <f>"2026-01-26 10:15:44.458"</f>
        <v>2026-01-26 10:15:44.458</v>
      </c>
      <c r="H1455" t="s">
        <v>80</v>
      </c>
      <c r="I1455">
        <v>0</v>
      </c>
      <c r="J1455" t="s">
        <v>38</v>
      </c>
    </row>
    <row r="1456" spans="1:10" x14ac:dyDescent="0.25">
      <c r="A1456" s="1">
        <v>506</v>
      </c>
      <c r="B1456" t="s">
        <v>31</v>
      </c>
      <c r="C1456">
        <v>87</v>
      </c>
      <c r="D1456">
        <v>1</v>
      </c>
      <c r="E1456" t="s">
        <v>32</v>
      </c>
      <c r="F1456" t="s">
        <v>33</v>
      </c>
      <c r="G1456" t="str">
        <f>"2026-01-26 03:57:34.811"</f>
        <v>2026-01-26 03:57:34.811</v>
      </c>
      <c r="H1456" t="s">
        <v>22</v>
      </c>
    </row>
    <row r="1457" spans="1:10" x14ac:dyDescent="0.25">
      <c r="A1457" s="1">
        <v>507</v>
      </c>
      <c r="B1457" t="s">
        <v>34</v>
      </c>
      <c r="C1457">
        <v>87</v>
      </c>
      <c r="D1457">
        <v>1</v>
      </c>
      <c r="E1457" t="s">
        <v>32</v>
      </c>
      <c r="F1457" t="s">
        <v>33</v>
      </c>
      <c r="G1457" t="str">
        <f>"2026-01-26 03:50:48.410"</f>
        <v>2026-01-26 03:50:48.410</v>
      </c>
      <c r="H1457" t="s">
        <v>22</v>
      </c>
      <c r="I1457">
        <v>7.34</v>
      </c>
      <c r="J1457" t="s">
        <v>30</v>
      </c>
    </row>
    <row r="1458" spans="1:10" s="3" customFormat="1" x14ac:dyDescent="0.25">
      <c r="A1458" s="2">
        <v>508</v>
      </c>
      <c r="B1458" s="3" t="s">
        <v>26</v>
      </c>
      <c r="C1458" s="3">
        <v>647</v>
      </c>
      <c r="D1458" s="3">
        <v>1</v>
      </c>
      <c r="E1458" s="3" t="s">
        <v>35</v>
      </c>
      <c r="F1458" s="3" t="s">
        <v>36</v>
      </c>
      <c r="G1458" s="3" t="str">
        <f>"2026-01-24 16:12:21.658"</f>
        <v>2026-01-24 16:12:21.658</v>
      </c>
      <c r="H1458" s="3" t="s">
        <v>22</v>
      </c>
    </row>
    <row r="1459" spans="1:10" s="3" customFormat="1" x14ac:dyDescent="0.25">
      <c r="A1459" s="2">
        <v>509</v>
      </c>
      <c r="B1459" s="3" t="s">
        <v>29</v>
      </c>
      <c r="C1459" s="3">
        <v>647</v>
      </c>
      <c r="D1459" s="3">
        <v>1</v>
      </c>
      <c r="E1459" s="3" t="s">
        <v>35</v>
      </c>
      <c r="F1459" s="3" t="s">
        <v>36</v>
      </c>
      <c r="G1459" s="3" t="str">
        <f>"2026-01-24 16:12:19.858"</f>
        <v>2026-01-24 16:12:19.858</v>
      </c>
      <c r="H1459" s="3" t="s">
        <v>22</v>
      </c>
      <c r="I1459" s="3">
        <v>11.86</v>
      </c>
      <c r="J1459" s="3" t="s">
        <v>37</v>
      </c>
    </row>
    <row r="1460" spans="1:10" x14ac:dyDescent="0.25">
      <c r="A1460" s="1">
        <v>510</v>
      </c>
      <c r="B1460" t="s">
        <v>26</v>
      </c>
      <c r="C1460">
        <v>619</v>
      </c>
      <c r="D1460">
        <v>1</v>
      </c>
      <c r="E1460" t="s">
        <v>79</v>
      </c>
      <c r="F1460" t="s">
        <v>28</v>
      </c>
      <c r="G1460" t="str">
        <f>"2026-01-24 12:39:01.358"</f>
        <v>2026-01-24 12:39:01.358</v>
      </c>
      <c r="H1460" t="s">
        <v>80</v>
      </c>
    </row>
    <row r="1461" spans="1:10" x14ac:dyDescent="0.25">
      <c r="A1461" s="1">
        <v>511</v>
      </c>
      <c r="B1461" t="s">
        <v>29</v>
      </c>
      <c r="C1461">
        <v>619</v>
      </c>
      <c r="D1461">
        <v>1</v>
      </c>
      <c r="E1461" t="s">
        <v>79</v>
      </c>
      <c r="F1461" t="s">
        <v>28</v>
      </c>
      <c r="G1461" t="str">
        <f>"2026-01-24 12:36:50.958"</f>
        <v>2026-01-24 12:36:50.958</v>
      </c>
      <c r="H1461" t="s">
        <v>80</v>
      </c>
      <c r="I1461">
        <v>0</v>
      </c>
      <c r="J1461" t="s">
        <v>38</v>
      </c>
    </row>
    <row r="1462" spans="1:10" s="3" customFormat="1" x14ac:dyDescent="0.25">
      <c r="A1462" s="2">
        <v>512</v>
      </c>
      <c r="B1462" s="3" t="s">
        <v>26</v>
      </c>
      <c r="C1462" s="3">
        <v>647</v>
      </c>
      <c r="D1462" s="3">
        <v>1</v>
      </c>
      <c r="E1462" s="3" t="s">
        <v>35</v>
      </c>
      <c r="F1462" s="3" t="s">
        <v>36</v>
      </c>
      <c r="G1462" s="3" t="str">
        <f>"2026-01-24 09:27:10.758"</f>
        <v>2026-01-24 09:27:10.758</v>
      </c>
      <c r="H1462" s="3" t="s">
        <v>22</v>
      </c>
    </row>
    <row r="1463" spans="1:10" s="3" customFormat="1" x14ac:dyDescent="0.25">
      <c r="A1463" s="2">
        <v>513</v>
      </c>
      <c r="B1463" s="3" t="s">
        <v>29</v>
      </c>
      <c r="C1463" s="3">
        <v>647</v>
      </c>
      <c r="D1463" s="3">
        <v>1</v>
      </c>
      <c r="E1463" s="3" t="s">
        <v>35</v>
      </c>
      <c r="F1463" s="3" t="s">
        <v>36</v>
      </c>
      <c r="G1463" s="3" t="str">
        <f>"2026-01-24 09:27:07.058"</f>
        <v>2026-01-24 09:27:07.058</v>
      </c>
      <c r="H1463" s="3" t="s">
        <v>22</v>
      </c>
      <c r="I1463" s="3">
        <v>10.92</v>
      </c>
      <c r="J1463" s="3" t="s">
        <v>37</v>
      </c>
    </row>
    <row r="1464" spans="1:10" x14ac:dyDescent="0.25">
      <c r="A1464" s="1">
        <v>514</v>
      </c>
      <c r="B1464" t="s">
        <v>26</v>
      </c>
      <c r="C1464">
        <v>635</v>
      </c>
      <c r="D1464">
        <v>1</v>
      </c>
      <c r="E1464" t="s">
        <v>27</v>
      </c>
      <c r="F1464" t="s">
        <v>28</v>
      </c>
      <c r="G1464" t="str">
        <f>"2026-01-24 09:02:46.710"</f>
        <v>2026-01-24 09:02:46.710</v>
      </c>
      <c r="H1464" t="s">
        <v>22</v>
      </c>
    </row>
    <row r="1465" spans="1:10" x14ac:dyDescent="0.25">
      <c r="A1465" s="1">
        <v>515</v>
      </c>
      <c r="B1465" t="s">
        <v>29</v>
      </c>
      <c r="C1465">
        <v>635</v>
      </c>
      <c r="D1465">
        <v>1</v>
      </c>
      <c r="E1465" t="s">
        <v>27</v>
      </c>
      <c r="F1465" t="s">
        <v>28</v>
      </c>
      <c r="G1465" t="str">
        <f>"2026-01-24 08:59:42.711"</f>
        <v>2026-01-24 08:59:42.711</v>
      </c>
      <c r="H1465" t="s">
        <v>22</v>
      </c>
      <c r="I1465">
        <v>5.42</v>
      </c>
      <c r="J1465" t="s">
        <v>37</v>
      </c>
    </row>
    <row r="1466" spans="1:10" x14ac:dyDescent="0.25">
      <c r="A1466" s="1">
        <v>516</v>
      </c>
      <c r="B1466" t="s">
        <v>19</v>
      </c>
      <c r="C1466">
        <v>700</v>
      </c>
      <c r="D1466">
        <v>0</v>
      </c>
      <c r="E1466" t="s">
        <v>24</v>
      </c>
      <c r="F1466" t="s">
        <v>24</v>
      </c>
      <c r="G1466" t="str">
        <f>"2026-01-24 03:27:46.603"</f>
        <v>2026-01-24 03:27:46.603</v>
      </c>
      <c r="H1466" t="s">
        <v>22</v>
      </c>
      <c r="I1466">
        <v>0</v>
      </c>
      <c r="J1466" t="s">
        <v>25</v>
      </c>
    </row>
    <row r="1467" spans="1:10" x14ac:dyDescent="0.25">
      <c r="A1467" s="1">
        <v>517</v>
      </c>
      <c r="B1467" t="s">
        <v>26</v>
      </c>
      <c r="C1467">
        <v>619</v>
      </c>
      <c r="D1467">
        <v>1</v>
      </c>
      <c r="E1467" t="s">
        <v>79</v>
      </c>
      <c r="F1467" t="s">
        <v>28</v>
      </c>
      <c r="G1467" t="str">
        <f>"2026-01-24 02:58:54.636"</f>
        <v>2026-01-24 02:58:54.636</v>
      </c>
      <c r="H1467" t="s">
        <v>80</v>
      </c>
    </row>
    <row r="1468" spans="1:10" x14ac:dyDescent="0.25">
      <c r="A1468" s="1">
        <v>518</v>
      </c>
      <c r="B1468" t="s">
        <v>29</v>
      </c>
      <c r="C1468">
        <v>619</v>
      </c>
      <c r="D1468">
        <v>1</v>
      </c>
      <c r="E1468" t="s">
        <v>79</v>
      </c>
      <c r="F1468" t="s">
        <v>28</v>
      </c>
      <c r="G1468" t="str">
        <f>"2026-01-24 02:58:19.936"</f>
        <v>2026-01-24 02:58:19.936</v>
      </c>
      <c r="H1468" t="s">
        <v>80</v>
      </c>
      <c r="I1468">
        <v>0</v>
      </c>
      <c r="J1468" t="s">
        <v>38</v>
      </c>
    </row>
    <row r="1469" spans="1:10" x14ac:dyDescent="0.25">
      <c r="A1469" s="1">
        <v>519</v>
      </c>
      <c r="B1469" t="s">
        <v>26</v>
      </c>
      <c r="C1469">
        <v>619</v>
      </c>
      <c r="D1469">
        <v>1</v>
      </c>
      <c r="E1469" t="s">
        <v>79</v>
      </c>
      <c r="F1469" t="s">
        <v>28</v>
      </c>
      <c r="G1469" t="str">
        <f>"2026-01-24 02:57:33.536"</f>
        <v>2026-01-24 02:57:33.536</v>
      </c>
      <c r="H1469" t="s">
        <v>80</v>
      </c>
    </row>
    <row r="1470" spans="1:10" x14ac:dyDescent="0.25">
      <c r="A1470" s="1">
        <v>520</v>
      </c>
      <c r="B1470" t="s">
        <v>29</v>
      </c>
      <c r="C1470">
        <v>619</v>
      </c>
      <c r="D1470">
        <v>1</v>
      </c>
      <c r="E1470" t="s">
        <v>79</v>
      </c>
      <c r="F1470" t="s">
        <v>28</v>
      </c>
      <c r="G1470" t="str">
        <f>"2026-01-24 02:57:13.389"</f>
        <v>2026-01-24 02:57:13.389</v>
      </c>
      <c r="H1470" t="s">
        <v>80</v>
      </c>
      <c r="I1470">
        <v>0</v>
      </c>
      <c r="J1470" t="s">
        <v>38</v>
      </c>
    </row>
    <row r="1471" spans="1:10" x14ac:dyDescent="0.25">
      <c r="A1471" s="1">
        <v>521</v>
      </c>
      <c r="B1471" t="s">
        <v>26</v>
      </c>
      <c r="C1471">
        <v>619</v>
      </c>
      <c r="D1471">
        <v>1</v>
      </c>
      <c r="E1471" t="s">
        <v>79</v>
      </c>
      <c r="F1471" t="s">
        <v>28</v>
      </c>
      <c r="G1471" t="str">
        <f>"2026-01-24 02:57:07.536"</f>
        <v>2026-01-24 02:57:07.536</v>
      </c>
      <c r="H1471" t="s">
        <v>80</v>
      </c>
    </row>
    <row r="1472" spans="1:10" x14ac:dyDescent="0.25">
      <c r="A1472" s="1">
        <v>522</v>
      </c>
      <c r="B1472" t="s">
        <v>29</v>
      </c>
      <c r="C1472">
        <v>619</v>
      </c>
      <c r="D1472">
        <v>1</v>
      </c>
      <c r="E1472" t="s">
        <v>79</v>
      </c>
      <c r="F1472" t="s">
        <v>28</v>
      </c>
      <c r="G1472" t="str">
        <f>"2026-01-24 02:56:53.589"</f>
        <v>2026-01-24 02:56:53.589</v>
      </c>
      <c r="H1472" t="s">
        <v>80</v>
      </c>
      <c r="I1472">
        <v>0</v>
      </c>
      <c r="J1472" t="s">
        <v>38</v>
      </c>
    </row>
    <row r="1473" spans="1:10" x14ac:dyDescent="0.25">
      <c r="A1473" s="1">
        <v>523</v>
      </c>
      <c r="B1473" t="s">
        <v>26</v>
      </c>
      <c r="C1473">
        <v>619</v>
      </c>
      <c r="D1473">
        <v>1</v>
      </c>
      <c r="E1473" t="s">
        <v>79</v>
      </c>
      <c r="F1473" t="s">
        <v>28</v>
      </c>
      <c r="G1473" t="str">
        <f>"2026-01-24 02:54:27.389"</f>
        <v>2026-01-24 02:54:27.389</v>
      </c>
      <c r="H1473" t="s">
        <v>80</v>
      </c>
    </row>
    <row r="1474" spans="1:10" x14ac:dyDescent="0.25">
      <c r="A1474" s="1">
        <v>524</v>
      </c>
      <c r="B1474" t="s">
        <v>29</v>
      </c>
      <c r="C1474">
        <v>619</v>
      </c>
      <c r="D1474">
        <v>1</v>
      </c>
      <c r="E1474" t="s">
        <v>79</v>
      </c>
      <c r="F1474" t="s">
        <v>28</v>
      </c>
      <c r="G1474" t="str">
        <f>"2026-01-24 02:54:20.736"</f>
        <v>2026-01-24 02:54:20.736</v>
      </c>
      <c r="H1474" t="s">
        <v>80</v>
      </c>
      <c r="I1474">
        <v>0</v>
      </c>
      <c r="J1474" t="s">
        <v>38</v>
      </c>
    </row>
    <row r="1475" spans="1:10" x14ac:dyDescent="0.25">
      <c r="A1475" s="1">
        <v>525</v>
      </c>
      <c r="B1475" t="s">
        <v>19</v>
      </c>
      <c r="C1475">
        <v>700</v>
      </c>
      <c r="D1475">
        <v>0</v>
      </c>
      <c r="E1475" t="s">
        <v>24</v>
      </c>
      <c r="F1475" t="s">
        <v>24</v>
      </c>
      <c r="G1475" t="str">
        <f>"2026-01-23 19:02:05.624"</f>
        <v>2026-01-23 19:02:05.624</v>
      </c>
      <c r="H1475" t="s">
        <v>22</v>
      </c>
      <c r="I1475">
        <v>0</v>
      </c>
      <c r="J1475" t="s">
        <v>25</v>
      </c>
    </row>
    <row r="1476" spans="1:10" x14ac:dyDescent="0.25">
      <c r="A1476" s="1">
        <v>526</v>
      </c>
      <c r="B1476" t="s">
        <v>26</v>
      </c>
      <c r="C1476">
        <v>619</v>
      </c>
      <c r="D1476">
        <v>1</v>
      </c>
      <c r="E1476" t="s">
        <v>79</v>
      </c>
      <c r="F1476" t="s">
        <v>28</v>
      </c>
      <c r="G1476" t="str">
        <f>"2026-01-23 19:01:14.438"</f>
        <v>2026-01-23 19:01:14.438</v>
      </c>
      <c r="H1476" t="s">
        <v>80</v>
      </c>
    </row>
    <row r="1477" spans="1:10" x14ac:dyDescent="0.25">
      <c r="A1477" s="1">
        <v>527</v>
      </c>
      <c r="B1477" t="s">
        <v>29</v>
      </c>
      <c r="C1477">
        <v>619</v>
      </c>
      <c r="D1477">
        <v>1</v>
      </c>
      <c r="E1477" t="s">
        <v>79</v>
      </c>
      <c r="F1477" t="s">
        <v>28</v>
      </c>
      <c r="G1477" t="str">
        <f>"2026-01-23 19:01:04.891"</f>
        <v>2026-01-23 19:01:04.891</v>
      </c>
      <c r="H1477" t="s">
        <v>80</v>
      </c>
      <c r="I1477">
        <v>0</v>
      </c>
      <c r="J1477" t="s">
        <v>38</v>
      </c>
    </row>
    <row r="1478" spans="1:10" x14ac:dyDescent="0.25">
      <c r="A1478" s="1">
        <v>528</v>
      </c>
      <c r="B1478" t="s">
        <v>19</v>
      </c>
      <c r="C1478">
        <v>706</v>
      </c>
      <c r="D1478">
        <v>3</v>
      </c>
      <c r="E1478" t="s">
        <v>20</v>
      </c>
      <c r="F1478" t="s">
        <v>48</v>
      </c>
      <c r="G1478" t="str">
        <f>"2026-01-23 12:21:48.580"</f>
        <v>2026-01-23 12:21:48.580</v>
      </c>
      <c r="H1478" t="s">
        <v>22</v>
      </c>
      <c r="I1478">
        <v>0</v>
      </c>
      <c r="J1478" t="s">
        <v>23</v>
      </c>
    </row>
    <row r="1479" spans="1:10" x14ac:dyDescent="0.25">
      <c r="A1479" s="1">
        <v>529</v>
      </c>
      <c r="B1479" t="s">
        <v>19</v>
      </c>
      <c r="C1479">
        <v>700</v>
      </c>
      <c r="D1479">
        <v>0</v>
      </c>
      <c r="E1479" t="s">
        <v>24</v>
      </c>
      <c r="F1479" t="s">
        <v>24</v>
      </c>
      <c r="G1479" t="str">
        <f>"2026-01-23 03:23:19.570"</f>
        <v>2026-01-23 03:23:19.570</v>
      </c>
      <c r="H1479" t="s">
        <v>22</v>
      </c>
      <c r="I1479">
        <v>0</v>
      </c>
      <c r="J1479" t="s">
        <v>25</v>
      </c>
    </row>
    <row r="1480" spans="1:10" x14ac:dyDescent="0.25">
      <c r="A1480" s="1">
        <v>530</v>
      </c>
      <c r="B1480" t="s">
        <v>19</v>
      </c>
      <c r="C1480">
        <v>706</v>
      </c>
      <c r="D1480">
        <v>2</v>
      </c>
      <c r="E1480" t="s">
        <v>20</v>
      </c>
      <c r="F1480" t="s">
        <v>54</v>
      </c>
      <c r="G1480" t="str">
        <f>"2026-01-23 03:13:28.407"</f>
        <v>2026-01-23 03:13:28.407</v>
      </c>
      <c r="H1480" t="s">
        <v>22</v>
      </c>
      <c r="I1480">
        <v>0</v>
      </c>
      <c r="J1480" t="s">
        <v>23</v>
      </c>
    </row>
    <row r="1481" spans="1:10" x14ac:dyDescent="0.25">
      <c r="A1481" s="1">
        <v>531</v>
      </c>
      <c r="B1481" t="s">
        <v>19</v>
      </c>
      <c r="C1481">
        <v>706</v>
      </c>
      <c r="D1481">
        <v>4</v>
      </c>
      <c r="E1481" t="s">
        <v>20</v>
      </c>
      <c r="F1481" t="s">
        <v>21</v>
      </c>
      <c r="G1481" t="str">
        <f>"2026-01-23 03:04:49.917"</f>
        <v>2026-01-23 03:04:49.917</v>
      </c>
      <c r="H1481" t="s">
        <v>22</v>
      </c>
      <c r="I1481">
        <v>0</v>
      </c>
      <c r="J1481" t="s">
        <v>23</v>
      </c>
    </row>
    <row r="1482" spans="1:10" x14ac:dyDescent="0.25">
      <c r="A1482" s="1">
        <v>532</v>
      </c>
      <c r="B1482" t="s">
        <v>19</v>
      </c>
      <c r="C1482">
        <v>706</v>
      </c>
      <c r="D1482">
        <v>2</v>
      </c>
      <c r="E1482" t="s">
        <v>20</v>
      </c>
      <c r="F1482" t="s">
        <v>54</v>
      </c>
      <c r="G1482" t="str">
        <f>"2026-01-23 03:04:40.807"</f>
        <v>2026-01-23 03:04:40.807</v>
      </c>
      <c r="H1482" t="s">
        <v>22</v>
      </c>
      <c r="I1482">
        <v>0</v>
      </c>
      <c r="J1482" t="s">
        <v>23</v>
      </c>
    </row>
    <row r="1483" spans="1:10" x14ac:dyDescent="0.25">
      <c r="A1483" s="1">
        <v>533</v>
      </c>
      <c r="B1483" t="s">
        <v>19</v>
      </c>
      <c r="C1483">
        <v>700</v>
      </c>
      <c r="D1483">
        <v>0</v>
      </c>
      <c r="E1483" t="s">
        <v>24</v>
      </c>
      <c r="F1483" t="s">
        <v>24</v>
      </c>
      <c r="G1483" t="str">
        <f>"2026-01-23 02:41:31.597"</f>
        <v>2026-01-23 02:41:31.597</v>
      </c>
      <c r="H1483" t="s">
        <v>22</v>
      </c>
      <c r="I1483">
        <v>0</v>
      </c>
      <c r="J1483" t="s">
        <v>25</v>
      </c>
    </row>
    <row r="1484" spans="1:10" x14ac:dyDescent="0.25">
      <c r="A1484" s="1">
        <v>534</v>
      </c>
      <c r="B1484" t="s">
        <v>34</v>
      </c>
      <c r="C1484">
        <v>630</v>
      </c>
      <c r="D1484">
        <v>5</v>
      </c>
      <c r="E1484" t="s">
        <v>39</v>
      </c>
      <c r="F1484" t="s">
        <v>40</v>
      </c>
      <c r="G1484" t="str">
        <f>"2026-01-23 01:22:40.577"</f>
        <v>2026-01-23 01:22:40.577</v>
      </c>
      <c r="H1484" t="s">
        <v>41</v>
      </c>
      <c r="I1484">
        <v>0</v>
      </c>
      <c r="J1484" t="s">
        <v>23</v>
      </c>
    </row>
    <row r="1485" spans="1:10" x14ac:dyDescent="0.25">
      <c r="A1485" s="1">
        <v>535</v>
      </c>
      <c r="B1485" t="s">
        <v>19</v>
      </c>
      <c r="C1485">
        <v>700</v>
      </c>
      <c r="D1485">
        <v>0</v>
      </c>
      <c r="E1485" t="s">
        <v>24</v>
      </c>
      <c r="F1485" t="s">
        <v>24</v>
      </c>
      <c r="G1485" t="str">
        <f>"2026-01-23 01:17:37.862"</f>
        <v>2026-01-23 01:17:37.862</v>
      </c>
      <c r="H1485" t="s">
        <v>22</v>
      </c>
    </row>
    <row r="1486" spans="1:10" x14ac:dyDescent="0.25">
      <c r="A1486" s="1">
        <v>537</v>
      </c>
      <c r="B1486" t="s">
        <v>19</v>
      </c>
      <c r="C1486">
        <v>706</v>
      </c>
      <c r="D1486">
        <v>3</v>
      </c>
      <c r="E1486" t="s">
        <v>20</v>
      </c>
      <c r="F1486" t="s">
        <v>48</v>
      </c>
      <c r="G1486" t="str">
        <f>"2026-01-22 11:56:47.011"</f>
        <v>2026-01-22 11:56:47.011</v>
      </c>
      <c r="H1486" t="s">
        <v>22</v>
      </c>
      <c r="I1486">
        <v>0</v>
      </c>
      <c r="J1486" t="s">
        <v>23</v>
      </c>
    </row>
    <row r="1487" spans="1:10" x14ac:dyDescent="0.25">
      <c r="A1487" s="1">
        <v>538</v>
      </c>
      <c r="B1487" t="s">
        <v>19</v>
      </c>
      <c r="C1487">
        <v>700</v>
      </c>
      <c r="D1487">
        <v>0</v>
      </c>
      <c r="E1487" t="s">
        <v>24</v>
      </c>
      <c r="F1487" t="s">
        <v>24</v>
      </c>
      <c r="G1487" t="str">
        <f>"2026-01-22 11:52:43.581"</f>
        <v>2026-01-22 11:52:43.581</v>
      </c>
      <c r="H1487" t="s">
        <v>22</v>
      </c>
    </row>
    <row r="1488" spans="1:10" x14ac:dyDescent="0.25">
      <c r="A1488" s="1">
        <v>539</v>
      </c>
      <c r="B1488" t="s">
        <v>26</v>
      </c>
      <c r="C1488">
        <v>635</v>
      </c>
      <c r="D1488">
        <v>1</v>
      </c>
      <c r="E1488" t="s">
        <v>27</v>
      </c>
      <c r="F1488" t="s">
        <v>28</v>
      </c>
      <c r="G1488" t="str">
        <f>"2026-01-21 17:04:28.707"</f>
        <v>2026-01-21 17:04:28.707</v>
      </c>
      <c r="H1488" t="s">
        <v>22</v>
      </c>
    </row>
    <row r="1489" spans="1:10" x14ac:dyDescent="0.25">
      <c r="A1489" s="1">
        <v>540</v>
      </c>
      <c r="B1489" t="s">
        <v>29</v>
      </c>
      <c r="C1489">
        <v>635</v>
      </c>
      <c r="D1489">
        <v>1</v>
      </c>
      <c r="E1489" t="s">
        <v>27</v>
      </c>
      <c r="F1489" t="s">
        <v>28</v>
      </c>
      <c r="G1489" t="str">
        <f>"2026-01-21 16:59:52.707"</f>
        <v>2026-01-21 16:59:52.707</v>
      </c>
      <c r="H1489" t="s">
        <v>22</v>
      </c>
      <c r="I1489">
        <v>7.16</v>
      </c>
      <c r="J1489" t="s">
        <v>30</v>
      </c>
    </row>
    <row r="1490" spans="1:10" x14ac:dyDescent="0.25">
      <c r="A1490" s="1">
        <v>541</v>
      </c>
      <c r="B1490" t="s">
        <v>19</v>
      </c>
      <c r="C1490">
        <v>700</v>
      </c>
      <c r="D1490">
        <v>0</v>
      </c>
      <c r="E1490" t="s">
        <v>24</v>
      </c>
      <c r="F1490" t="s">
        <v>24</v>
      </c>
      <c r="G1490" t="str">
        <f>"2026-01-21 10:48:32.626"</f>
        <v>2026-01-21 10:48:32.626</v>
      </c>
      <c r="H1490" t="s">
        <v>22</v>
      </c>
    </row>
    <row r="1491" spans="1:10" x14ac:dyDescent="0.25">
      <c r="A1491" s="1">
        <v>542</v>
      </c>
      <c r="B1491" t="s">
        <v>26</v>
      </c>
      <c r="C1491">
        <v>619</v>
      </c>
      <c r="D1491">
        <v>1</v>
      </c>
      <c r="E1491" t="s">
        <v>79</v>
      </c>
      <c r="F1491" t="s">
        <v>28</v>
      </c>
      <c r="G1491" t="str">
        <f>"2026-01-21 10:47:34.139"</f>
        <v>2026-01-21 10:47:34.139</v>
      </c>
      <c r="H1491" t="s">
        <v>80</v>
      </c>
    </row>
    <row r="1492" spans="1:10" x14ac:dyDescent="0.25">
      <c r="A1492" s="1">
        <v>543</v>
      </c>
      <c r="B1492" t="s">
        <v>29</v>
      </c>
      <c r="C1492">
        <v>619</v>
      </c>
      <c r="D1492">
        <v>1</v>
      </c>
      <c r="E1492" t="s">
        <v>79</v>
      </c>
      <c r="F1492" t="s">
        <v>28</v>
      </c>
      <c r="G1492" t="str">
        <f>"2026-01-21 10:47:26.439"</f>
        <v>2026-01-21 10:47:26.439</v>
      </c>
      <c r="H1492" t="s">
        <v>80</v>
      </c>
      <c r="I1492">
        <v>0</v>
      </c>
      <c r="J1492" t="s">
        <v>38</v>
      </c>
    </row>
    <row r="1493" spans="1:10" x14ac:dyDescent="0.25">
      <c r="A1493" s="1">
        <v>544</v>
      </c>
      <c r="B1493" t="s">
        <v>31</v>
      </c>
      <c r="C1493">
        <v>87</v>
      </c>
      <c r="D1493">
        <v>1</v>
      </c>
      <c r="E1493" t="s">
        <v>32</v>
      </c>
      <c r="F1493" t="s">
        <v>33</v>
      </c>
      <c r="G1493" t="str">
        <f>"2026-01-21 04:46:46.340"</f>
        <v>2026-01-21 04:46:46.340</v>
      </c>
      <c r="H1493" t="s">
        <v>22</v>
      </c>
    </row>
    <row r="1494" spans="1:10" x14ac:dyDescent="0.25">
      <c r="A1494" s="1">
        <v>545</v>
      </c>
      <c r="B1494" t="s">
        <v>34</v>
      </c>
      <c r="C1494">
        <v>87</v>
      </c>
      <c r="D1494">
        <v>1</v>
      </c>
      <c r="E1494" t="s">
        <v>32</v>
      </c>
      <c r="F1494" t="s">
        <v>33</v>
      </c>
      <c r="G1494" t="str">
        <f>"2026-01-21 04:34:24.559"</f>
        <v>2026-01-21 04:34:24.559</v>
      </c>
      <c r="H1494" t="s">
        <v>22</v>
      </c>
      <c r="I1494">
        <v>7.12</v>
      </c>
      <c r="J1494" t="s">
        <v>30</v>
      </c>
    </row>
    <row r="1495" spans="1:10" s="3" customFormat="1" x14ac:dyDescent="0.25">
      <c r="A1495" s="2">
        <v>546</v>
      </c>
      <c r="B1495" s="3" t="s">
        <v>26</v>
      </c>
      <c r="C1495" s="3">
        <v>647</v>
      </c>
      <c r="D1495" s="3">
        <v>1</v>
      </c>
      <c r="E1495" s="3" t="s">
        <v>35</v>
      </c>
      <c r="F1495" s="3" t="s">
        <v>36</v>
      </c>
      <c r="G1495" s="3" t="str">
        <f>"2026-01-20 21:27:38.288"</f>
        <v>2026-01-20 21:27:38.288</v>
      </c>
      <c r="H1495" s="3" t="s">
        <v>22</v>
      </c>
    </row>
    <row r="1496" spans="1:10" s="3" customFormat="1" x14ac:dyDescent="0.25">
      <c r="A1496" s="2">
        <v>547</v>
      </c>
      <c r="B1496" s="3" t="s">
        <v>29</v>
      </c>
      <c r="C1496" s="3">
        <v>647</v>
      </c>
      <c r="D1496" s="3">
        <v>1</v>
      </c>
      <c r="E1496" s="3" t="s">
        <v>35</v>
      </c>
      <c r="F1496" s="3" t="s">
        <v>36</v>
      </c>
      <c r="G1496" s="3" t="str">
        <f>"2026-01-20 21:27:34.488"</f>
        <v>2026-01-20 21:27:34.488</v>
      </c>
      <c r="H1496" s="3" t="s">
        <v>22</v>
      </c>
      <c r="I1496" s="3">
        <v>11.32</v>
      </c>
      <c r="J1496" s="3" t="s">
        <v>37</v>
      </c>
    </row>
    <row r="1497" spans="1:10" x14ac:dyDescent="0.25">
      <c r="A1497" s="1">
        <v>548</v>
      </c>
      <c r="B1497" t="s">
        <v>26</v>
      </c>
      <c r="C1497">
        <v>630</v>
      </c>
      <c r="D1497">
        <v>5</v>
      </c>
      <c r="E1497" t="s">
        <v>39</v>
      </c>
      <c r="F1497" t="s">
        <v>40</v>
      </c>
      <c r="G1497" t="str">
        <f>"2026-01-20 17:05:26.388"</f>
        <v>2026-01-20 17:05:26.388</v>
      </c>
      <c r="H1497" t="s">
        <v>41</v>
      </c>
    </row>
    <row r="1498" spans="1:10" x14ac:dyDescent="0.25">
      <c r="A1498" s="1">
        <v>549</v>
      </c>
      <c r="B1498" t="s">
        <v>19</v>
      </c>
      <c r="C1498">
        <v>706</v>
      </c>
      <c r="D1498">
        <v>4</v>
      </c>
      <c r="E1498" t="s">
        <v>20</v>
      </c>
      <c r="F1498" t="s">
        <v>21</v>
      </c>
      <c r="G1498" t="str">
        <f>"2026-01-20 17:04:56.187"</f>
        <v>2026-01-20 17:04:56.187</v>
      </c>
      <c r="H1498" t="s">
        <v>22</v>
      </c>
      <c r="I1498">
        <v>0</v>
      </c>
      <c r="J1498" t="s">
        <v>23</v>
      </c>
    </row>
    <row r="1499" spans="1:10" x14ac:dyDescent="0.25">
      <c r="A1499" s="1">
        <v>550</v>
      </c>
      <c r="B1499" t="s">
        <v>34</v>
      </c>
      <c r="C1499">
        <v>630</v>
      </c>
      <c r="D1499">
        <v>5</v>
      </c>
      <c r="E1499" t="s">
        <v>39</v>
      </c>
      <c r="F1499" t="s">
        <v>40</v>
      </c>
      <c r="G1499" t="str">
        <f>"2026-01-20 16:59:36.488"</f>
        <v>2026-01-20 16:59:36.488</v>
      </c>
      <c r="H1499" t="s">
        <v>41</v>
      </c>
      <c r="I1499">
        <v>0</v>
      </c>
      <c r="J1499" t="s">
        <v>23</v>
      </c>
    </row>
    <row r="1500" spans="1:10" x14ac:dyDescent="0.25">
      <c r="A1500" s="1">
        <v>551</v>
      </c>
      <c r="B1500" t="s">
        <v>19</v>
      </c>
      <c r="C1500">
        <v>706</v>
      </c>
      <c r="D1500">
        <v>3</v>
      </c>
      <c r="E1500" t="s">
        <v>20</v>
      </c>
      <c r="F1500" t="s">
        <v>48</v>
      </c>
      <c r="G1500" t="str">
        <f>"2026-01-20 16:54:33.787"</f>
        <v>2026-01-20 16:54:33.787</v>
      </c>
      <c r="H1500" t="s">
        <v>22</v>
      </c>
      <c r="I1500">
        <v>0</v>
      </c>
      <c r="J1500" t="s">
        <v>23</v>
      </c>
    </row>
    <row r="1501" spans="1:10" x14ac:dyDescent="0.25">
      <c r="A1501" s="1">
        <v>552</v>
      </c>
      <c r="B1501" t="s">
        <v>19</v>
      </c>
      <c r="C1501">
        <v>700</v>
      </c>
      <c r="D1501">
        <v>0</v>
      </c>
      <c r="E1501" t="s">
        <v>24</v>
      </c>
      <c r="F1501" t="s">
        <v>24</v>
      </c>
      <c r="G1501" t="str">
        <f>"2026-01-20 16:53:51.627"</f>
        <v>2026-01-20 16:53:51.627</v>
      </c>
      <c r="H1501" t="s">
        <v>22</v>
      </c>
      <c r="I1501">
        <v>0</v>
      </c>
      <c r="J1501" t="s">
        <v>25</v>
      </c>
    </row>
    <row r="1502" spans="1:10" x14ac:dyDescent="0.25">
      <c r="A1502" s="1">
        <v>553</v>
      </c>
      <c r="B1502" t="s">
        <v>19</v>
      </c>
      <c r="C1502">
        <v>700</v>
      </c>
      <c r="D1502">
        <v>0</v>
      </c>
      <c r="E1502" t="s">
        <v>24</v>
      </c>
      <c r="F1502" t="s">
        <v>24</v>
      </c>
      <c r="G1502" t="str">
        <f>"2026-01-20 13:31:54.601"</f>
        <v>2026-01-20 13:31:54.601</v>
      </c>
      <c r="H1502" t="s">
        <v>22</v>
      </c>
      <c r="I1502">
        <v>0</v>
      </c>
      <c r="J1502" t="s">
        <v>25</v>
      </c>
    </row>
    <row r="1503" spans="1:10" s="3" customFormat="1" x14ac:dyDescent="0.25">
      <c r="A1503" s="2">
        <v>555</v>
      </c>
      <c r="B1503" s="3" t="s">
        <v>26</v>
      </c>
      <c r="C1503" s="3">
        <v>647</v>
      </c>
      <c r="D1503" s="3">
        <v>1</v>
      </c>
      <c r="E1503" s="3" t="s">
        <v>35</v>
      </c>
      <c r="F1503" s="3" t="s">
        <v>36</v>
      </c>
      <c r="G1503" s="3" t="str">
        <f>"2026-01-20 00:11:24.827"</f>
        <v>2026-01-20 00:11:24.827</v>
      </c>
      <c r="H1503" s="3" t="s">
        <v>22</v>
      </c>
    </row>
    <row r="1504" spans="1:10" s="3" customFormat="1" x14ac:dyDescent="0.25">
      <c r="A1504" s="2">
        <v>556</v>
      </c>
      <c r="B1504" s="3" t="s">
        <v>29</v>
      </c>
      <c r="C1504" s="3">
        <v>647</v>
      </c>
      <c r="D1504" s="3">
        <v>1</v>
      </c>
      <c r="E1504" s="3" t="s">
        <v>35</v>
      </c>
      <c r="F1504" s="3" t="s">
        <v>36</v>
      </c>
      <c r="G1504" s="3" t="str">
        <f>"2026-01-20 00:11:19.828"</f>
        <v>2026-01-20 00:11:19.828</v>
      </c>
      <c r="H1504" s="3" t="s">
        <v>22</v>
      </c>
      <c r="I1504" s="3">
        <v>9.48</v>
      </c>
      <c r="J1504" s="3" t="s">
        <v>37</v>
      </c>
    </row>
    <row r="1505" spans="1:10" x14ac:dyDescent="0.25">
      <c r="A1505" s="1">
        <v>557</v>
      </c>
      <c r="B1505" t="s">
        <v>26</v>
      </c>
      <c r="C1505">
        <v>61</v>
      </c>
      <c r="D1505">
        <v>2</v>
      </c>
      <c r="E1505" t="s">
        <v>81</v>
      </c>
      <c r="F1505" t="s">
        <v>82</v>
      </c>
      <c r="G1505" t="str">
        <f>"2026-01-19 19:09:03.819"</f>
        <v>2026-01-19 19:09:03.819</v>
      </c>
      <c r="H1505" t="s">
        <v>22</v>
      </c>
    </row>
    <row r="1506" spans="1:10" x14ac:dyDescent="0.25">
      <c r="A1506" s="1">
        <v>558</v>
      </c>
      <c r="B1506" t="s">
        <v>34</v>
      </c>
      <c r="C1506">
        <v>61</v>
      </c>
      <c r="D1506">
        <v>2</v>
      </c>
      <c r="E1506" t="s">
        <v>81</v>
      </c>
      <c r="F1506" t="s">
        <v>82</v>
      </c>
      <c r="G1506" t="str">
        <f>"2026-01-19 19:08:54.319"</f>
        <v>2026-01-19 19:08:54.319</v>
      </c>
      <c r="H1506" t="s">
        <v>22</v>
      </c>
      <c r="I1506">
        <v>36.200000000000003</v>
      </c>
      <c r="J1506" t="s">
        <v>37</v>
      </c>
    </row>
    <row r="1507" spans="1:10" x14ac:dyDescent="0.25">
      <c r="A1507" s="1">
        <v>559</v>
      </c>
      <c r="B1507" t="s">
        <v>19</v>
      </c>
      <c r="C1507">
        <v>706</v>
      </c>
      <c r="D1507">
        <v>3</v>
      </c>
      <c r="E1507" t="s">
        <v>20</v>
      </c>
      <c r="F1507" t="s">
        <v>48</v>
      </c>
      <c r="G1507" t="str">
        <f>"2026-01-19 11:55:18.020"</f>
        <v>2026-01-19 11:55:18.020</v>
      </c>
      <c r="H1507" t="s">
        <v>22</v>
      </c>
      <c r="I1507">
        <v>0</v>
      </c>
      <c r="J1507" t="s">
        <v>23</v>
      </c>
    </row>
    <row r="1508" spans="1:10" x14ac:dyDescent="0.25">
      <c r="A1508" s="1">
        <v>560</v>
      </c>
      <c r="B1508" t="s">
        <v>26</v>
      </c>
      <c r="C1508">
        <v>619</v>
      </c>
      <c r="D1508">
        <v>1</v>
      </c>
      <c r="E1508" t="s">
        <v>79</v>
      </c>
      <c r="F1508" t="s">
        <v>28</v>
      </c>
      <c r="G1508" t="str">
        <f>"2026-01-19 09:30:14.627"</f>
        <v>2026-01-19 09:30:14.627</v>
      </c>
      <c r="H1508" t="s">
        <v>80</v>
      </c>
    </row>
    <row r="1509" spans="1:10" x14ac:dyDescent="0.25">
      <c r="A1509" s="1">
        <v>561</v>
      </c>
      <c r="B1509" t="s">
        <v>29</v>
      </c>
      <c r="C1509">
        <v>619</v>
      </c>
      <c r="D1509">
        <v>1</v>
      </c>
      <c r="E1509" t="s">
        <v>79</v>
      </c>
      <c r="F1509" t="s">
        <v>28</v>
      </c>
      <c r="G1509" t="str">
        <f>"2026-01-19 09:30:09.027"</f>
        <v>2026-01-19 09:30:09.027</v>
      </c>
      <c r="H1509" t="s">
        <v>80</v>
      </c>
      <c r="I1509">
        <v>1.46</v>
      </c>
      <c r="J1509" t="s">
        <v>30</v>
      </c>
    </row>
    <row r="1510" spans="1:10" x14ac:dyDescent="0.25">
      <c r="A1510" s="1">
        <v>562</v>
      </c>
      <c r="B1510" t="s">
        <v>26</v>
      </c>
      <c r="C1510">
        <v>619</v>
      </c>
      <c r="D1510">
        <v>1</v>
      </c>
      <c r="E1510" t="s">
        <v>79</v>
      </c>
      <c r="F1510" t="s">
        <v>28</v>
      </c>
      <c r="G1510" t="str">
        <f>"2026-01-18 22:37:18.879"</f>
        <v>2026-01-18 22:37:18.879</v>
      </c>
      <c r="H1510" t="s">
        <v>80</v>
      </c>
    </row>
    <row r="1511" spans="1:10" x14ac:dyDescent="0.25">
      <c r="A1511" s="1">
        <v>563</v>
      </c>
      <c r="B1511" t="s">
        <v>29</v>
      </c>
      <c r="C1511">
        <v>619</v>
      </c>
      <c r="D1511">
        <v>1</v>
      </c>
      <c r="E1511" t="s">
        <v>79</v>
      </c>
      <c r="F1511" t="s">
        <v>28</v>
      </c>
      <c r="G1511" t="str">
        <f>"2026-01-18 22:37:04.927"</f>
        <v>2026-01-18 22:37:04.927</v>
      </c>
      <c r="H1511" t="s">
        <v>80</v>
      </c>
      <c r="I1511">
        <v>0</v>
      </c>
      <c r="J1511" t="s">
        <v>38</v>
      </c>
    </row>
    <row r="1512" spans="1:10" x14ac:dyDescent="0.25">
      <c r="A1512" s="1">
        <v>564</v>
      </c>
      <c r="B1512" t="s">
        <v>26</v>
      </c>
      <c r="C1512">
        <v>61</v>
      </c>
      <c r="D1512">
        <v>2</v>
      </c>
      <c r="E1512" t="s">
        <v>81</v>
      </c>
      <c r="F1512" t="s">
        <v>82</v>
      </c>
      <c r="G1512" t="str">
        <f>"2026-01-18 12:41:22.519"</f>
        <v>2026-01-18 12:41:22.519</v>
      </c>
      <c r="H1512" t="s">
        <v>22</v>
      </c>
    </row>
    <row r="1513" spans="1:10" x14ac:dyDescent="0.25">
      <c r="A1513" s="1">
        <v>565</v>
      </c>
      <c r="B1513" t="s">
        <v>34</v>
      </c>
      <c r="C1513">
        <v>61</v>
      </c>
      <c r="D1513">
        <v>2</v>
      </c>
      <c r="E1513" t="s">
        <v>81</v>
      </c>
      <c r="F1513" t="s">
        <v>82</v>
      </c>
      <c r="G1513" t="str">
        <f>"2026-01-18 12:41:12.119"</f>
        <v>2026-01-18 12:41:12.119</v>
      </c>
      <c r="H1513" t="s">
        <v>22</v>
      </c>
      <c r="I1513">
        <v>37.33</v>
      </c>
      <c r="J1513" t="s">
        <v>37</v>
      </c>
    </row>
    <row r="1514" spans="1:10" x14ac:dyDescent="0.25">
      <c r="A1514" s="1">
        <v>566</v>
      </c>
      <c r="B1514" t="s">
        <v>26</v>
      </c>
      <c r="C1514">
        <v>61</v>
      </c>
      <c r="D1514">
        <v>2</v>
      </c>
      <c r="E1514" t="s">
        <v>81</v>
      </c>
      <c r="F1514" t="s">
        <v>82</v>
      </c>
      <c r="G1514" t="str">
        <f>"2026-01-18 10:43:43.519"</f>
        <v>2026-01-18 10:43:43.519</v>
      </c>
      <c r="H1514" t="s">
        <v>22</v>
      </c>
    </row>
    <row r="1515" spans="1:10" x14ac:dyDescent="0.25">
      <c r="A1515" s="1">
        <v>567</v>
      </c>
      <c r="B1515" t="s">
        <v>34</v>
      </c>
      <c r="C1515">
        <v>61</v>
      </c>
      <c r="D1515">
        <v>2</v>
      </c>
      <c r="E1515" t="s">
        <v>81</v>
      </c>
      <c r="F1515" t="s">
        <v>82</v>
      </c>
      <c r="G1515" t="str">
        <f>"2026-01-18 10:43:36.620"</f>
        <v>2026-01-18 10:43:36.620</v>
      </c>
      <c r="H1515" t="s">
        <v>22</v>
      </c>
      <c r="I1515">
        <v>35.79</v>
      </c>
      <c r="J1515" t="s">
        <v>37</v>
      </c>
    </row>
    <row r="1516" spans="1:10" x14ac:dyDescent="0.25">
      <c r="A1516" s="1">
        <v>568</v>
      </c>
      <c r="B1516" t="s">
        <v>26</v>
      </c>
      <c r="C1516">
        <v>635</v>
      </c>
      <c r="D1516">
        <v>1</v>
      </c>
      <c r="E1516" t="s">
        <v>27</v>
      </c>
      <c r="F1516" t="s">
        <v>28</v>
      </c>
      <c r="G1516" t="str">
        <f>"2026-01-18 05:44:56.079"</f>
        <v>2026-01-18 05:44:56.079</v>
      </c>
      <c r="H1516" t="s">
        <v>22</v>
      </c>
    </row>
    <row r="1517" spans="1:10" x14ac:dyDescent="0.25">
      <c r="A1517" s="1">
        <v>569</v>
      </c>
      <c r="B1517" t="s">
        <v>29</v>
      </c>
      <c r="C1517">
        <v>635</v>
      </c>
      <c r="D1517">
        <v>1</v>
      </c>
      <c r="E1517" t="s">
        <v>27</v>
      </c>
      <c r="F1517" t="s">
        <v>28</v>
      </c>
      <c r="G1517" t="str">
        <f>"2026-01-18 05:40:14.679"</f>
        <v>2026-01-18 05:40:14.679</v>
      </c>
      <c r="H1517" t="s">
        <v>22</v>
      </c>
      <c r="I1517">
        <v>5.03</v>
      </c>
      <c r="J1517" t="s">
        <v>30</v>
      </c>
    </row>
    <row r="1518" spans="1:10" x14ac:dyDescent="0.25">
      <c r="A1518" s="1">
        <v>571</v>
      </c>
      <c r="B1518" t="s">
        <v>26</v>
      </c>
      <c r="C1518">
        <v>635</v>
      </c>
      <c r="D1518">
        <v>1</v>
      </c>
      <c r="E1518" t="s">
        <v>27</v>
      </c>
      <c r="F1518" t="s">
        <v>28</v>
      </c>
      <c r="G1518" t="str">
        <f>"2026-01-16 19:51:12.679"</f>
        <v>2026-01-16 19:51:12.679</v>
      </c>
      <c r="H1518" t="s">
        <v>22</v>
      </c>
    </row>
    <row r="1519" spans="1:10" x14ac:dyDescent="0.25">
      <c r="A1519" s="1">
        <v>572</v>
      </c>
      <c r="B1519" t="s">
        <v>29</v>
      </c>
      <c r="C1519">
        <v>635</v>
      </c>
      <c r="D1519">
        <v>1</v>
      </c>
      <c r="E1519" t="s">
        <v>27</v>
      </c>
      <c r="F1519" t="s">
        <v>28</v>
      </c>
      <c r="G1519" t="str">
        <f>"2026-01-16 19:47:15.679"</f>
        <v>2026-01-16 19:47:15.679</v>
      </c>
      <c r="H1519" t="s">
        <v>22</v>
      </c>
      <c r="I1519">
        <v>5.21</v>
      </c>
      <c r="J1519" t="s">
        <v>30</v>
      </c>
    </row>
    <row r="1520" spans="1:10" s="3" customFormat="1" x14ac:dyDescent="0.25">
      <c r="A1520" s="2">
        <v>574</v>
      </c>
      <c r="B1520" s="3" t="s">
        <v>26</v>
      </c>
      <c r="C1520" s="3">
        <v>647</v>
      </c>
      <c r="D1520" s="3">
        <v>1</v>
      </c>
      <c r="E1520" s="3" t="s">
        <v>35</v>
      </c>
      <c r="F1520" s="3" t="s">
        <v>36</v>
      </c>
      <c r="G1520" s="3" t="str">
        <f>"2026-01-16 02:16:15.728"</f>
        <v>2026-01-16 02:16:15.728</v>
      </c>
      <c r="H1520" s="3" t="s">
        <v>22</v>
      </c>
    </row>
    <row r="1521" spans="1:10" s="3" customFormat="1" x14ac:dyDescent="0.25">
      <c r="A1521" s="2">
        <v>575</v>
      </c>
      <c r="B1521" s="3" t="s">
        <v>29</v>
      </c>
      <c r="C1521" s="3">
        <v>647</v>
      </c>
      <c r="D1521" s="3">
        <v>1</v>
      </c>
      <c r="E1521" s="3" t="s">
        <v>35</v>
      </c>
      <c r="F1521" s="3" t="s">
        <v>36</v>
      </c>
      <c r="G1521" s="3" t="str">
        <f>"2026-01-16 02:16:11.028"</f>
        <v>2026-01-16 02:16:11.028</v>
      </c>
      <c r="H1521" s="3" t="s">
        <v>22</v>
      </c>
      <c r="I1521" s="3">
        <v>15.13</v>
      </c>
      <c r="J1521" s="3" t="s">
        <v>37</v>
      </c>
    </row>
    <row r="1522" spans="1:10" x14ac:dyDescent="0.25">
      <c r="A1522" s="1">
        <v>576</v>
      </c>
      <c r="B1522" t="s">
        <v>26</v>
      </c>
      <c r="C1522">
        <v>635</v>
      </c>
      <c r="D1522">
        <v>1</v>
      </c>
      <c r="E1522" t="s">
        <v>27</v>
      </c>
      <c r="F1522" t="s">
        <v>28</v>
      </c>
      <c r="G1522" t="str">
        <f>"2026-01-15 21:24:49.579"</f>
        <v>2026-01-15 21:24:49.579</v>
      </c>
      <c r="H1522" t="s">
        <v>22</v>
      </c>
    </row>
    <row r="1523" spans="1:10" x14ac:dyDescent="0.25">
      <c r="A1523" s="1">
        <v>577</v>
      </c>
      <c r="B1523" t="s">
        <v>29</v>
      </c>
      <c r="C1523">
        <v>635</v>
      </c>
      <c r="D1523">
        <v>1</v>
      </c>
      <c r="E1523" t="s">
        <v>27</v>
      </c>
      <c r="F1523" t="s">
        <v>28</v>
      </c>
      <c r="G1523" t="str">
        <f>"2026-01-15 21:21:13.079"</f>
        <v>2026-01-15 21:21:13.079</v>
      </c>
      <c r="H1523" t="s">
        <v>22</v>
      </c>
      <c r="I1523">
        <v>7.6</v>
      </c>
      <c r="J1523" t="s">
        <v>30</v>
      </c>
    </row>
    <row r="1524" spans="1:10" x14ac:dyDescent="0.25">
      <c r="A1524" s="1">
        <v>578</v>
      </c>
      <c r="B1524" t="s">
        <v>26</v>
      </c>
      <c r="C1524">
        <v>630</v>
      </c>
      <c r="D1524">
        <v>5</v>
      </c>
      <c r="E1524" t="s">
        <v>39</v>
      </c>
      <c r="F1524" t="s">
        <v>40</v>
      </c>
      <c r="G1524" t="str">
        <f>"2026-01-15 09:26:28.427"</f>
        <v>2026-01-15 09:26:28.427</v>
      </c>
      <c r="H1524" t="s">
        <v>41</v>
      </c>
    </row>
    <row r="1525" spans="1:10" x14ac:dyDescent="0.25">
      <c r="A1525" s="1">
        <v>579</v>
      </c>
      <c r="B1525" t="s">
        <v>19</v>
      </c>
      <c r="C1525">
        <v>706</v>
      </c>
      <c r="D1525">
        <v>2</v>
      </c>
      <c r="E1525" t="s">
        <v>20</v>
      </c>
      <c r="F1525" t="s">
        <v>54</v>
      </c>
      <c r="G1525" t="str">
        <f>"2026-01-15 09:25:58.260"</f>
        <v>2026-01-15 09:25:58.260</v>
      </c>
      <c r="H1525" t="s">
        <v>22</v>
      </c>
      <c r="I1525">
        <v>0</v>
      </c>
      <c r="J1525" t="s">
        <v>23</v>
      </c>
    </row>
    <row r="1526" spans="1:10" x14ac:dyDescent="0.25">
      <c r="A1526" s="1">
        <v>580</v>
      </c>
      <c r="B1526" t="s">
        <v>34</v>
      </c>
      <c r="C1526">
        <v>630</v>
      </c>
      <c r="D1526">
        <v>5</v>
      </c>
      <c r="E1526" t="s">
        <v>39</v>
      </c>
      <c r="F1526" t="s">
        <v>40</v>
      </c>
      <c r="G1526" t="str">
        <f>"2026-01-15 09:21:27.528"</f>
        <v>2026-01-15 09:21:27.528</v>
      </c>
      <c r="H1526" t="s">
        <v>41</v>
      </c>
      <c r="I1526">
        <v>0</v>
      </c>
      <c r="J1526" t="s">
        <v>23</v>
      </c>
    </row>
    <row r="1527" spans="1:10" x14ac:dyDescent="0.25">
      <c r="A1527" s="1">
        <v>581</v>
      </c>
      <c r="B1527" t="s">
        <v>19</v>
      </c>
      <c r="C1527">
        <v>700</v>
      </c>
      <c r="D1527">
        <v>0</v>
      </c>
      <c r="E1527" t="s">
        <v>24</v>
      </c>
      <c r="F1527" t="s">
        <v>24</v>
      </c>
      <c r="G1527" t="str">
        <f>"2026-01-15 09:16:24.750"</f>
        <v>2026-01-15 09:16:24.750</v>
      </c>
      <c r="H1527" t="s">
        <v>22</v>
      </c>
    </row>
    <row r="1528" spans="1:10" x14ac:dyDescent="0.25">
      <c r="A1528" s="1">
        <v>582</v>
      </c>
      <c r="B1528" t="s">
        <v>34</v>
      </c>
      <c r="C1528">
        <v>630</v>
      </c>
      <c r="D1528">
        <v>5</v>
      </c>
      <c r="E1528" t="s">
        <v>39</v>
      </c>
      <c r="F1528" t="s">
        <v>40</v>
      </c>
      <c r="G1528" t="str">
        <f>"2026-01-15 09:14:12.366"</f>
        <v>2026-01-15 09:14:12.366</v>
      </c>
      <c r="H1528" t="s">
        <v>41</v>
      </c>
      <c r="I1528">
        <v>0</v>
      </c>
      <c r="J1528" t="s">
        <v>23</v>
      </c>
    </row>
    <row r="1529" spans="1:10" x14ac:dyDescent="0.25">
      <c r="A1529" s="1">
        <v>583</v>
      </c>
      <c r="B1529" t="s">
        <v>19</v>
      </c>
      <c r="C1529">
        <v>700</v>
      </c>
      <c r="D1529">
        <v>0</v>
      </c>
      <c r="E1529" t="s">
        <v>24</v>
      </c>
      <c r="F1529" t="s">
        <v>24</v>
      </c>
      <c r="G1529" t="str">
        <f>"2026-01-15 09:09:09.604"</f>
        <v>2026-01-15 09:09:09.604</v>
      </c>
      <c r="H1529" t="s">
        <v>22</v>
      </c>
      <c r="I1529">
        <v>0</v>
      </c>
      <c r="J1529" t="s">
        <v>25</v>
      </c>
    </row>
    <row r="1530" spans="1:10" x14ac:dyDescent="0.25">
      <c r="A1530" s="1">
        <v>584</v>
      </c>
      <c r="B1530" t="s">
        <v>19</v>
      </c>
      <c r="C1530">
        <v>700</v>
      </c>
      <c r="D1530">
        <v>0</v>
      </c>
      <c r="E1530" t="s">
        <v>24</v>
      </c>
      <c r="F1530" t="s">
        <v>24</v>
      </c>
      <c r="G1530" t="str">
        <f>"2026-01-15 07:18:30.804"</f>
        <v>2026-01-15 07:18:30.804</v>
      </c>
      <c r="H1530" t="s">
        <v>22</v>
      </c>
      <c r="I1530">
        <v>0</v>
      </c>
      <c r="J1530" t="s">
        <v>25</v>
      </c>
    </row>
    <row r="1531" spans="1:10" x14ac:dyDescent="0.25">
      <c r="A1531" s="1">
        <v>585</v>
      </c>
      <c r="B1531" t="s">
        <v>26</v>
      </c>
      <c r="C1531">
        <v>635</v>
      </c>
      <c r="D1531">
        <v>1</v>
      </c>
      <c r="E1531" t="s">
        <v>27</v>
      </c>
      <c r="F1531" t="s">
        <v>28</v>
      </c>
      <c r="G1531" t="str">
        <f>"2026-01-15 02:32:01.669"</f>
        <v>2026-01-15 02:32:01.669</v>
      </c>
      <c r="H1531" t="s">
        <v>22</v>
      </c>
    </row>
    <row r="1532" spans="1:10" x14ac:dyDescent="0.25">
      <c r="A1532" s="1">
        <v>586</v>
      </c>
      <c r="B1532" t="s">
        <v>29</v>
      </c>
      <c r="C1532">
        <v>635</v>
      </c>
      <c r="D1532">
        <v>1</v>
      </c>
      <c r="E1532" t="s">
        <v>27</v>
      </c>
      <c r="F1532" t="s">
        <v>28</v>
      </c>
      <c r="G1532" t="str">
        <f>"2026-01-15 02:28:12.669"</f>
        <v>2026-01-15 02:28:12.669</v>
      </c>
      <c r="H1532" t="s">
        <v>22</v>
      </c>
      <c r="I1532">
        <v>4.3099999999999996</v>
      </c>
      <c r="J1532" t="s">
        <v>30</v>
      </c>
    </row>
    <row r="1533" spans="1:10" x14ac:dyDescent="0.25">
      <c r="A1533" s="1">
        <v>587</v>
      </c>
      <c r="B1533" t="s">
        <v>19</v>
      </c>
      <c r="C1533">
        <v>700</v>
      </c>
      <c r="D1533">
        <v>0</v>
      </c>
      <c r="E1533" t="s">
        <v>24</v>
      </c>
      <c r="F1533" t="s">
        <v>24</v>
      </c>
      <c r="G1533" t="str">
        <f>"2026-01-14 14:37:58.588"</f>
        <v>2026-01-14 14:37:58.588</v>
      </c>
      <c r="H1533" t="s">
        <v>22</v>
      </c>
    </row>
    <row r="1534" spans="1:10" x14ac:dyDescent="0.25">
      <c r="A1534" s="1">
        <v>588</v>
      </c>
      <c r="B1534" t="s">
        <v>19</v>
      </c>
      <c r="C1534">
        <v>706</v>
      </c>
      <c r="D1534">
        <v>4</v>
      </c>
      <c r="E1534" t="s">
        <v>20</v>
      </c>
      <c r="F1534" t="s">
        <v>21</v>
      </c>
      <c r="G1534" t="str">
        <f>"2026-01-14 14:34:31.030"</f>
        <v>2026-01-14 14:34:31.030</v>
      </c>
      <c r="H1534" t="s">
        <v>22</v>
      </c>
      <c r="I1534">
        <v>0</v>
      </c>
      <c r="J1534" t="s">
        <v>23</v>
      </c>
    </row>
    <row r="1535" spans="1:10" x14ac:dyDescent="0.25">
      <c r="A1535" s="1">
        <v>589</v>
      </c>
      <c r="B1535" t="s">
        <v>19</v>
      </c>
      <c r="C1535">
        <v>706</v>
      </c>
      <c r="D1535">
        <v>3</v>
      </c>
      <c r="E1535" t="s">
        <v>20</v>
      </c>
      <c r="F1535" t="s">
        <v>48</v>
      </c>
      <c r="G1535" t="str">
        <f>"2026-01-14 14:34:21.130"</f>
        <v>2026-01-14 14:34:21.130</v>
      </c>
      <c r="H1535" t="s">
        <v>22</v>
      </c>
      <c r="I1535">
        <v>0</v>
      </c>
      <c r="J1535" t="s">
        <v>23</v>
      </c>
    </row>
    <row r="1536" spans="1:10" x14ac:dyDescent="0.25">
      <c r="A1536" s="1">
        <v>590</v>
      </c>
      <c r="B1536" t="s">
        <v>19</v>
      </c>
      <c r="C1536">
        <v>706</v>
      </c>
      <c r="D1536">
        <v>4</v>
      </c>
      <c r="E1536" t="s">
        <v>20</v>
      </c>
      <c r="F1536" t="s">
        <v>21</v>
      </c>
      <c r="G1536" t="str">
        <f>"2026-01-14 14:32:12.130"</f>
        <v>2026-01-14 14:32:12.130</v>
      </c>
      <c r="H1536" t="s">
        <v>22</v>
      </c>
      <c r="I1536">
        <v>0</v>
      </c>
      <c r="J1536" t="s">
        <v>23</v>
      </c>
    </row>
    <row r="1537" spans="1:10" x14ac:dyDescent="0.25">
      <c r="A1537" s="1">
        <v>591</v>
      </c>
      <c r="B1537" t="s">
        <v>26</v>
      </c>
      <c r="C1537">
        <v>635</v>
      </c>
      <c r="D1537">
        <v>1</v>
      </c>
      <c r="E1537" t="s">
        <v>27</v>
      </c>
      <c r="F1537" t="s">
        <v>28</v>
      </c>
      <c r="G1537" t="str">
        <f>"2026-01-14 12:36:18.808"</f>
        <v>2026-01-14 12:36:18.808</v>
      </c>
      <c r="H1537" t="s">
        <v>22</v>
      </c>
    </row>
    <row r="1538" spans="1:10" x14ac:dyDescent="0.25">
      <c r="A1538" s="1">
        <v>592</v>
      </c>
      <c r="B1538" t="s">
        <v>29</v>
      </c>
      <c r="C1538">
        <v>635</v>
      </c>
      <c r="D1538">
        <v>1</v>
      </c>
      <c r="E1538" t="s">
        <v>27</v>
      </c>
      <c r="F1538" t="s">
        <v>28</v>
      </c>
      <c r="G1538" t="str">
        <f>"2026-01-14 12:33:26.808"</f>
        <v>2026-01-14 12:33:26.808</v>
      </c>
      <c r="H1538" t="s">
        <v>22</v>
      </c>
      <c r="I1538">
        <v>7.27</v>
      </c>
      <c r="J1538" t="s">
        <v>30</v>
      </c>
    </row>
    <row r="1539" spans="1:10" x14ac:dyDescent="0.25">
      <c r="A1539" s="1">
        <v>593</v>
      </c>
      <c r="B1539" t="s">
        <v>26</v>
      </c>
      <c r="C1539">
        <v>635</v>
      </c>
      <c r="D1539">
        <v>1</v>
      </c>
      <c r="E1539" t="s">
        <v>27</v>
      </c>
      <c r="F1539" t="s">
        <v>28</v>
      </c>
      <c r="G1539" t="str">
        <f>"2026-01-14 10:00:36.508"</f>
        <v>2026-01-14 10:00:36.508</v>
      </c>
      <c r="H1539" t="s">
        <v>22</v>
      </c>
    </row>
    <row r="1540" spans="1:10" x14ac:dyDescent="0.25">
      <c r="A1540" s="1">
        <v>594</v>
      </c>
      <c r="B1540" t="s">
        <v>29</v>
      </c>
      <c r="C1540">
        <v>635</v>
      </c>
      <c r="D1540">
        <v>1</v>
      </c>
      <c r="E1540" t="s">
        <v>27</v>
      </c>
      <c r="F1540" t="s">
        <v>28</v>
      </c>
      <c r="G1540" t="str">
        <f>"2026-01-14 09:59:01.008"</f>
        <v>2026-01-14 09:59:01.008</v>
      </c>
      <c r="H1540" t="s">
        <v>22</v>
      </c>
      <c r="I1540">
        <v>7.66</v>
      </c>
      <c r="J1540" t="s">
        <v>30</v>
      </c>
    </row>
    <row r="1541" spans="1:10" x14ac:dyDescent="0.25">
      <c r="A1541" s="1">
        <v>595</v>
      </c>
      <c r="B1541" t="s">
        <v>26</v>
      </c>
      <c r="C1541">
        <v>635</v>
      </c>
      <c r="D1541">
        <v>1</v>
      </c>
      <c r="E1541" t="s">
        <v>27</v>
      </c>
      <c r="F1541" t="s">
        <v>28</v>
      </c>
      <c r="G1541" t="str">
        <f>"2026-01-13 22:26:12.208"</f>
        <v>2026-01-13 22:26:12.208</v>
      </c>
      <c r="H1541" t="s">
        <v>22</v>
      </c>
    </row>
    <row r="1542" spans="1:10" x14ac:dyDescent="0.25">
      <c r="A1542" s="1">
        <v>596</v>
      </c>
      <c r="B1542" t="s">
        <v>29</v>
      </c>
      <c r="C1542">
        <v>635</v>
      </c>
      <c r="D1542">
        <v>1</v>
      </c>
      <c r="E1542" t="s">
        <v>27</v>
      </c>
      <c r="F1542" t="s">
        <v>28</v>
      </c>
      <c r="G1542" t="str">
        <f>"2026-01-13 21:49:31.808"</f>
        <v>2026-01-13 21:49:31.808</v>
      </c>
      <c r="H1542" t="s">
        <v>22</v>
      </c>
      <c r="I1542">
        <v>7.54</v>
      </c>
      <c r="J1542" t="s">
        <v>30</v>
      </c>
    </row>
    <row r="1543" spans="1:10" x14ac:dyDescent="0.25">
      <c r="A1543" s="1">
        <v>597</v>
      </c>
      <c r="B1543" t="s">
        <v>26</v>
      </c>
      <c r="C1543">
        <v>635</v>
      </c>
      <c r="D1543">
        <v>1</v>
      </c>
      <c r="E1543" t="s">
        <v>27</v>
      </c>
      <c r="F1543" t="s">
        <v>28</v>
      </c>
      <c r="G1543" t="str">
        <f>"2026-01-13 20:54:53.408"</f>
        <v>2026-01-13 20:54:53.408</v>
      </c>
      <c r="H1543" t="s">
        <v>22</v>
      </c>
    </row>
    <row r="1544" spans="1:10" x14ac:dyDescent="0.25">
      <c r="A1544" s="1">
        <v>598</v>
      </c>
      <c r="B1544" t="s">
        <v>29</v>
      </c>
      <c r="C1544">
        <v>635</v>
      </c>
      <c r="D1544">
        <v>1</v>
      </c>
      <c r="E1544" t="s">
        <v>27</v>
      </c>
      <c r="F1544" t="s">
        <v>28</v>
      </c>
      <c r="G1544" t="str">
        <f>"2026-01-13 20:52:01.408"</f>
        <v>2026-01-13 20:52:01.408</v>
      </c>
      <c r="H1544" t="s">
        <v>22</v>
      </c>
      <c r="I1544">
        <v>5.35</v>
      </c>
      <c r="J1544" t="s">
        <v>30</v>
      </c>
    </row>
    <row r="1545" spans="1:10" x14ac:dyDescent="0.25">
      <c r="A1545" s="1">
        <v>599</v>
      </c>
      <c r="B1545" t="s">
        <v>26</v>
      </c>
      <c r="C1545">
        <v>630</v>
      </c>
      <c r="D1545">
        <v>5</v>
      </c>
      <c r="E1545" t="s">
        <v>39</v>
      </c>
      <c r="F1545" t="s">
        <v>40</v>
      </c>
      <c r="G1545" t="str">
        <f>"2026-01-13 14:37:06.708"</f>
        <v>2026-01-13 14:37:06.708</v>
      </c>
      <c r="H1545" t="s">
        <v>41</v>
      </c>
    </row>
    <row r="1546" spans="1:10" x14ac:dyDescent="0.25">
      <c r="A1546" s="1">
        <v>600</v>
      </c>
      <c r="B1546" t="s">
        <v>19</v>
      </c>
      <c r="C1546">
        <v>706</v>
      </c>
      <c r="D1546">
        <v>4</v>
      </c>
      <c r="E1546" t="s">
        <v>20</v>
      </c>
      <c r="F1546" t="s">
        <v>21</v>
      </c>
      <c r="G1546" t="str">
        <f>"2026-01-13 14:36:36.740"</f>
        <v>2026-01-13 14:36:36.740</v>
      </c>
      <c r="H1546" t="s">
        <v>22</v>
      </c>
      <c r="I1546">
        <v>0</v>
      </c>
      <c r="J1546" t="s">
        <v>23</v>
      </c>
    </row>
    <row r="1547" spans="1:10" x14ac:dyDescent="0.25">
      <c r="A1547" s="1">
        <v>601</v>
      </c>
      <c r="B1547" t="s">
        <v>34</v>
      </c>
      <c r="C1547">
        <v>630</v>
      </c>
      <c r="D1547">
        <v>5</v>
      </c>
      <c r="E1547" t="s">
        <v>39</v>
      </c>
      <c r="F1547" t="s">
        <v>40</v>
      </c>
      <c r="G1547" t="str">
        <f>"2026-01-13 14:31:09.609"</f>
        <v>2026-01-13 14:31:09.609</v>
      </c>
      <c r="H1547" t="s">
        <v>41</v>
      </c>
      <c r="I1547">
        <v>0</v>
      </c>
      <c r="J1547" t="s">
        <v>23</v>
      </c>
    </row>
    <row r="1548" spans="1:10" x14ac:dyDescent="0.25">
      <c r="A1548" s="1">
        <v>602</v>
      </c>
      <c r="B1548" t="s">
        <v>26</v>
      </c>
      <c r="C1548">
        <v>61</v>
      </c>
      <c r="D1548">
        <v>2</v>
      </c>
      <c r="E1548" t="s">
        <v>81</v>
      </c>
      <c r="F1548" t="s">
        <v>82</v>
      </c>
      <c r="G1548" t="str">
        <f>"2026-01-13 10:27:25.921"</f>
        <v>2026-01-13 10:27:25.921</v>
      </c>
      <c r="H1548" t="s">
        <v>22</v>
      </c>
    </row>
    <row r="1549" spans="1:10" x14ac:dyDescent="0.25">
      <c r="A1549" s="1">
        <v>603</v>
      </c>
      <c r="B1549" t="s">
        <v>34</v>
      </c>
      <c r="C1549">
        <v>61</v>
      </c>
      <c r="D1549">
        <v>2</v>
      </c>
      <c r="E1549" t="s">
        <v>81</v>
      </c>
      <c r="F1549" t="s">
        <v>82</v>
      </c>
      <c r="G1549" t="str">
        <f>"2026-01-13 10:27:14.921"</f>
        <v>2026-01-13 10:27:14.921</v>
      </c>
      <c r="H1549" t="s">
        <v>22</v>
      </c>
      <c r="I1549">
        <v>37.340000000000003</v>
      </c>
      <c r="J1549" t="s">
        <v>37</v>
      </c>
    </row>
    <row r="1550" spans="1:10" x14ac:dyDescent="0.25">
      <c r="A1550" s="1">
        <v>604</v>
      </c>
      <c r="B1550" t="s">
        <v>19</v>
      </c>
      <c r="C1550">
        <v>706</v>
      </c>
      <c r="D1550">
        <v>4</v>
      </c>
      <c r="E1550" t="s">
        <v>20</v>
      </c>
      <c r="F1550" t="s">
        <v>21</v>
      </c>
      <c r="G1550" t="str">
        <f>"2026-01-12 15:52:21.600"</f>
        <v>2026-01-12 15:52:21.600</v>
      </c>
      <c r="H1550" t="s">
        <v>22</v>
      </c>
      <c r="I1550">
        <v>0</v>
      </c>
      <c r="J1550" t="s">
        <v>23</v>
      </c>
    </row>
    <row r="1551" spans="1:10" x14ac:dyDescent="0.25">
      <c r="A1551" s="1">
        <v>605</v>
      </c>
      <c r="B1551" t="s">
        <v>19</v>
      </c>
      <c r="C1551">
        <v>700</v>
      </c>
      <c r="D1551">
        <v>0</v>
      </c>
      <c r="E1551" t="s">
        <v>24</v>
      </c>
      <c r="F1551" t="s">
        <v>24</v>
      </c>
      <c r="G1551" t="str">
        <f>"2026-01-12 15:51:56.630"</f>
        <v>2026-01-12 15:51:56.630</v>
      </c>
      <c r="H1551" t="s">
        <v>22</v>
      </c>
      <c r="I1551">
        <v>0</v>
      </c>
      <c r="J1551" t="s">
        <v>25</v>
      </c>
    </row>
    <row r="1552" spans="1:10" x14ac:dyDescent="0.25">
      <c r="A1552" s="1">
        <v>606</v>
      </c>
      <c r="B1552" t="s">
        <v>19</v>
      </c>
      <c r="C1552">
        <v>706</v>
      </c>
      <c r="D1552">
        <v>4</v>
      </c>
      <c r="E1552" t="s">
        <v>20</v>
      </c>
      <c r="F1552" t="s">
        <v>21</v>
      </c>
      <c r="G1552" t="str">
        <f>"2026-01-12 15:47:06.466"</f>
        <v>2026-01-12 15:47:06.466</v>
      </c>
      <c r="H1552" t="s">
        <v>22</v>
      </c>
      <c r="I1552">
        <v>0</v>
      </c>
      <c r="J1552" t="s">
        <v>23</v>
      </c>
    </row>
    <row r="1553" spans="1:10" x14ac:dyDescent="0.25">
      <c r="A1553" s="1">
        <v>607</v>
      </c>
      <c r="B1553" t="s">
        <v>19</v>
      </c>
      <c r="C1553">
        <v>706</v>
      </c>
      <c r="D1553">
        <v>4</v>
      </c>
      <c r="E1553" t="s">
        <v>20</v>
      </c>
      <c r="F1553" t="s">
        <v>21</v>
      </c>
      <c r="G1553" t="str">
        <f>"2026-01-12 13:28:45.376"</f>
        <v>2026-01-12 13:28:45.376</v>
      </c>
      <c r="H1553" t="s">
        <v>22</v>
      </c>
      <c r="I1553">
        <v>0</v>
      </c>
      <c r="J1553" t="s">
        <v>23</v>
      </c>
    </row>
    <row r="1554" spans="1:10" x14ac:dyDescent="0.25">
      <c r="A1554" s="1">
        <v>608</v>
      </c>
      <c r="B1554" t="s">
        <v>19</v>
      </c>
      <c r="C1554">
        <v>706</v>
      </c>
      <c r="D1554">
        <v>4</v>
      </c>
      <c r="E1554" t="s">
        <v>20</v>
      </c>
      <c r="F1554" t="s">
        <v>21</v>
      </c>
      <c r="G1554" t="str">
        <f>"2026-01-12 12:55:02.926"</f>
        <v>2026-01-12 12:55:02.926</v>
      </c>
      <c r="H1554" t="s">
        <v>22</v>
      </c>
      <c r="I1554">
        <v>0</v>
      </c>
      <c r="J1554" t="s">
        <v>23</v>
      </c>
    </row>
    <row r="1555" spans="1:10" x14ac:dyDescent="0.25">
      <c r="A1555" s="1">
        <v>609</v>
      </c>
      <c r="B1555" t="s">
        <v>19</v>
      </c>
      <c r="C1555">
        <v>706</v>
      </c>
      <c r="D1555">
        <v>4</v>
      </c>
      <c r="E1555" t="s">
        <v>20</v>
      </c>
      <c r="F1555" t="s">
        <v>21</v>
      </c>
      <c r="G1555" t="str">
        <f>"2026-01-12 12:48:47.746"</f>
        <v>2026-01-12 12:48:47.746</v>
      </c>
      <c r="H1555" t="s">
        <v>22</v>
      </c>
      <c r="I1555">
        <v>0</v>
      </c>
      <c r="J1555" t="s">
        <v>23</v>
      </c>
    </row>
    <row r="1556" spans="1:10" x14ac:dyDescent="0.25">
      <c r="A1556" s="1">
        <v>610</v>
      </c>
      <c r="B1556" t="s">
        <v>19</v>
      </c>
      <c r="C1556">
        <v>700</v>
      </c>
      <c r="D1556">
        <v>0</v>
      </c>
      <c r="E1556" t="s">
        <v>24</v>
      </c>
      <c r="F1556" t="s">
        <v>24</v>
      </c>
      <c r="G1556" t="str">
        <f>"2026-01-12 12:03:01.596"</f>
        <v>2026-01-12 12:03:01.596</v>
      </c>
      <c r="H1556" t="s">
        <v>22</v>
      </c>
      <c r="I1556">
        <v>0</v>
      </c>
      <c r="J1556" t="s">
        <v>25</v>
      </c>
    </row>
    <row r="1557" spans="1:10" x14ac:dyDescent="0.25">
      <c r="A1557" s="1">
        <v>611</v>
      </c>
      <c r="B1557" t="s">
        <v>19</v>
      </c>
      <c r="C1557">
        <v>700</v>
      </c>
      <c r="D1557">
        <v>0</v>
      </c>
      <c r="E1557" t="s">
        <v>24</v>
      </c>
      <c r="F1557" t="s">
        <v>24</v>
      </c>
      <c r="G1557" t="str">
        <f>"2026-01-12 11:59:34.598"</f>
        <v>2026-01-12 11:59:34.598</v>
      </c>
      <c r="H1557" t="s">
        <v>22</v>
      </c>
    </row>
    <row r="1558" spans="1:10" x14ac:dyDescent="0.25">
      <c r="A1558" s="1">
        <v>612</v>
      </c>
      <c r="B1558" t="s">
        <v>19</v>
      </c>
      <c r="C1558">
        <v>706</v>
      </c>
      <c r="D1558">
        <v>4</v>
      </c>
      <c r="E1558" t="s">
        <v>20</v>
      </c>
      <c r="F1558" t="s">
        <v>21</v>
      </c>
      <c r="G1558" t="str">
        <f>"2026-01-12 11:55:35.716"</f>
        <v>2026-01-12 11:55:35.716</v>
      </c>
      <c r="H1558" t="s">
        <v>22</v>
      </c>
      <c r="I1558">
        <v>0</v>
      </c>
      <c r="J1558" t="s">
        <v>23</v>
      </c>
    </row>
    <row r="1559" spans="1:10" x14ac:dyDescent="0.25">
      <c r="A1559" s="1">
        <v>613</v>
      </c>
      <c r="B1559" t="s">
        <v>19</v>
      </c>
      <c r="C1559">
        <v>706</v>
      </c>
      <c r="D1559">
        <v>4</v>
      </c>
      <c r="E1559" t="s">
        <v>20</v>
      </c>
      <c r="F1559" t="s">
        <v>21</v>
      </c>
      <c r="G1559" t="str">
        <f>"2026-01-12 09:18:03.906"</f>
        <v>2026-01-12 09:18:03.906</v>
      </c>
      <c r="H1559" t="s">
        <v>22</v>
      </c>
      <c r="I1559">
        <v>0</v>
      </c>
      <c r="J1559" t="s">
        <v>23</v>
      </c>
    </row>
    <row r="1560" spans="1:10" x14ac:dyDescent="0.25">
      <c r="A1560" s="1">
        <v>614</v>
      </c>
      <c r="B1560" t="s">
        <v>19</v>
      </c>
      <c r="C1560">
        <v>706</v>
      </c>
      <c r="D1560">
        <v>2</v>
      </c>
      <c r="E1560" t="s">
        <v>20</v>
      </c>
      <c r="F1560" t="s">
        <v>54</v>
      </c>
      <c r="G1560" t="str">
        <f>"2026-01-12 09:16:26.536"</f>
        <v>2026-01-12 09:16:26.536</v>
      </c>
      <c r="H1560" t="s">
        <v>22</v>
      </c>
      <c r="I1560">
        <v>0</v>
      </c>
      <c r="J1560" t="s">
        <v>23</v>
      </c>
    </row>
    <row r="1561" spans="1:10" x14ac:dyDescent="0.25">
      <c r="A1561" s="1">
        <v>615</v>
      </c>
      <c r="B1561" t="s">
        <v>44</v>
      </c>
      <c r="C1561">
        <v>250</v>
      </c>
      <c r="D1561">
        <v>7</v>
      </c>
      <c r="E1561" t="s">
        <v>99</v>
      </c>
      <c r="F1561" t="s">
        <v>100</v>
      </c>
      <c r="G1561" t="str">
        <f>"2026-01-12 09:12:11.377"</f>
        <v>2026-01-12 09:12:11.377</v>
      </c>
      <c r="H1561" t="s">
        <v>22</v>
      </c>
    </row>
    <row r="1562" spans="1:10" x14ac:dyDescent="0.25">
      <c r="A1562" s="1">
        <v>616</v>
      </c>
      <c r="B1562" t="s">
        <v>34</v>
      </c>
      <c r="C1562">
        <v>250</v>
      </c>
      <c r="D1562">
        <v>7</v>
      </c>
      <c r="E1562" t="s">
        <v>99</v>
      </c>
      <c r="F1562" t="s">
        <v>100</v>
      </c>
      <c r="G1562" t="str">
        <f>"2026-01-12 09:12:06.360"</f>
        <v>2026-01-12 09:12:06.360</v>
      </c>
      <c r="H1562" t="s">
        <v>22</v>
      </c>
      <c r="I1562">
        <v>0</v>
      </c>
      <c r="J1562" t="s">
        <v>23</v>
      </c>
    </row>
    <row r="1563" spans="1:10" x14ac:dyDescent="0.25">
      <c r="A1563" s="1">
        <v>619</v>
      </c>
      <c r="B1563" t="s">
        <v>19</v>
      </c>
      <c r="C1563">
        <v>782</v>
      </c>
      <c r="D1563">
        <v>7</v>
      </c>
      <c r="E1563" t="s">
        <v>55</v>
      </c>
      <c r="F1563" t="s">
        <v>56</v>
      </c>
      <c r="G1563" t="str">
        <f>"2026-01-12 09:12:06.129"</f>
        <v>2026-01-12 09:12:06.129</v>
      </c>
      <c r="H1563" t="s">
        <v>22</v>
      </c>
      <c r="I1563">
        <v>0</v>
      </c>
      <c r="J1563" t="s">
        <v>23</v>
      </c>
    </row>
    <row r="1564" spans="1:10" x14ac:dyDescent="0.25">
      <c r="A1564" s="1">
        <v>622</v>
      </c>
      <c r="B1564" t="s">
        <v>26</v>
      </c>
      <c r="C1564">
        <v>250</v>
      </c>
      <c r="D1564">
        <v>7</v>
      </c>
      <c r="E1564" t="s">
        <v>99</v>
      </c>
      <c r="F1564" t="s">
        <v>100</v>
      </c>
      <c r="G1564" t="str">
        <f>"2026-01-12 09:12:06.118"</f>
        <v>2026-01-12 09:12:06.118</v>
      </c>
      <c r="H1564" t="s">
        <v>22</v>
      </c>
    </row>
    <row r="1565" spans="1:10" x14ac:dyDescent="0.25">
      <c r="A1565" s="1">
        <v>623</v>
      </c>
      <c r="B1565" t="s">
        <v>26</v>
      </c>
      <c r="C1565">
        <v>248</v>
      </c>
      <c r="D1565">
        <v>7</v>
      </c>
      <c r="E1565" t="s">
        <v>101</v>
      </c>
      <c r="F1565" t="s">
        <v>102</v>
      </c>
      <c r="G1565" t="str">
        <f>"2026-01-12 09:12:06.115"</f>
        <v>2026-01-12 09:12:06.115</v>
      </c>
      <c r="H1565" t="s">
        <v>22</v>
      </c>
    </row>
    <row r="1566" spans="1:10" x14ac:dyDescent="0.25">
      <c r="A1566" s="1">
        <v>624</v>
      </c>
      <c r="B1566" t="s">
        <v>26</v>
      </c>
      <c r="C1566">
        <v>207</v>
      </c>
      <c r="D1566">
        <v>2</v>
      </c>
      <c r="E1566" t="s">
        <v>103</v>
      </c>
      <c r="F1566" t="s">
        <v>104</v>
      </c>
      <c r="G1566" t="str">
        <f>"2026-01-12 09:12:06.110"</f>
        <v>2026-01-12 09:12:06.110</v>
      </c>
      <c r="H1566" t="s">
        <v>59</v>
      </c>
    </row>
    <row r="1567" spans="1:10" x14ac:dyDescent="0.25">
      <c r="A1567" s="1">
        <v>625</v>
      </c>
      <c r="B1567" t="s">
        <v>26</v>
      </c>
      <c r="C1567">
        <v>207</v>
      </c>
      <c r="D1567">
        <v>1</v>
      </c>
      <c r="E1567" t="s">
        <v>103</v>
      </c>
      <c r="F1567" t="s">
        <v>105</v>
      </c>
      <c r="G1567" t="str">
        <f>"2026-01-12 09:12:06.108"</f>
        <v>2026-01-12 09:12:06.108</v>
      </c>
      <c r="H1567" t="s">
        <v>59</v>
      </c>
    </row>
    <row r="1568" spans="1:10" x14ac:dyDescent="0.25">
      <c r="A1568" s="1">
        <v>626</v>
      </c>
      <c r="B1568" t="s">
        <v>26</v>
      </c>
      <c r="C1568">
        <v>107</v>
      </c>
      <c r="D1568">
        <v>2</v>
      </c>
      <c r="E1568" t="s">
        <v>106</v>
      </c>
      <c r="F1568" t="s">
        <v>104</v>
      </c>
      <c r="G1568" t="str">
        <f>"2026-01-12 09:12:06.103"</f>
        <v>2026-01-12 09:12:06.103</v>
      </c>
      <c r="H1568" t="s">
        <v>61</v>
      </c>
    </row>
    <row r="1569" spans="1:10" x14ac:dyDescent="0.25">
      <c r="A1569" s="1">
        <v>627</v>
      </c>
      <c r="B1569" t="s">
        <v>26</v>
      </c>
      <c r="C1569">
        <v>107</v>
      </c>
      <c r="D1569">
        <v>1</v>
      </c>
      <c r="E1569" t="s">
        <v>106</v>
      </c>
      <c r="F1569" t="s">
        <v>105</v>
      </c>
      <c r="G1569" t="str">
        <f>"2026-01-12 09:12:06.099"</f>
        <v>2026-01-12 09:12:06.099</v>
      </c>
      <c r="H1569" t="s">
        <v>61</v>
      </c>
    </row>
    <row r="1570" spans="1:10" x14ac:dyDescent="0.25">
      <c r="A1570" s="1">
        <v>628</v>
      </c>
      <c r="B1570" t="s">
        <v>19</v>
      </c>
      <c r="C1570">
        <v>782</v>
      </c>
      <c r="D1570">
        <v>7</v>
      </c>
      <c r="E1570" t="s">
        <v>55</v>
      </c>
      <c r="F1570" t="s">
        <v>56</v>
      </c>
      <c r="G1570" t="str">
        <f>"2026-01-12 09:12:06.098"</f>
        <v>2026-01-12 09:12:06.098</v>
      </c>
      <c r="H1570" t="s">
        <v>22</v>
      </c>
      <c r="I1570">
        <v>0</v>
      </c>
      <c r="J1570" t="s">
        <v>23</v>
      </c>
    </row>
    <row r="1571" spans="1:10" x14ac:dyDescent="0.25">
      <c r="A1571" s="1">
        <v>629</v>
      </c>
      <c r="B1571" t="s">
        <v>29</v>
      </c>
      <c r="C1571">
        <v>248</v>
      </c>
      <c r="D1571">
        <v>7</v>
      </c>
      <c r="E1571" t="s">
        <v>101</v>
      </c>
      <c r="F1571" t="s">
        <v>102</v>
      </c>
      <c r="G1571" t="str">
        <f>"2026-01-12 09:10:08.900"</f>
        <v>2026-01-12 09:10:08.900</v>
      </c>
      <c r="H1571" t="s">
        <v>22</v>
      </c>
      <c r="I1571">
        <v>0</v>
      </c>
      <c r="J1571" t="s">
        <v>23</v>
      </c>
    </row>
    <row r="1572" spans="1:10" x14ac:dyDescent="0.25">
      <c r="A1572" s="1">
        <v>630</v>
      </c>
      <c r="B1572" t="s">
        <v>29</v>
      </c>
      <c r="C1572">
        <v>250</v>
      </c>
      <c r="D1572">
        <v>7</v>
      </c>
      <c r="E1572" t="s">
        <v>99</v>
      </c>
      <c r="F1572" t="s">
        <v>100</v>
      </c>
      <c r="G1572" t="str">
        <f>"2026-01-12 09:10:08.780"</f>
        <v>2026-01-12 09:10:08.780</v>
      </c>
      <c r="H1572" t="s">
        <v>22</v>
      </c>
      <c r="I1572">
        <v>0</v>
      </c>
      <c r="J1572" t="s">
        <v>23</v>
      </c>
    </row>
    <row r="1573" spans="1:10" x14ac:dyDescent="0.25">
      <c r="A1573" s="1">
        <v>631</v>
      </c>
      <c r="B1573" t="s">
        <v>44</v>
      </c>
      <c r="C1573">
        <v>250</v>
      </c>
      <c r="D1573">
        <v>7</v>
      </c>
      <c r="E1573" t="s">
        <v>99</v>
      </c>
      <c r="F1573" t="s">
        <v>100</v>
      </c>
      <c r="G1573" t="str">
        <f>"2026-01-12 09:10:08.578"</f>
        <v>2026-01-12 09:10:08.578</v>
      </c>
      <c r="H1573" t="s">
        <v>22</v>
      </c>
    </row>
    <row r="1574" spans="1:10" x14ac:dyDescent="0.25">
      <c r="A1574" s="1">
        <v>632</v>
      </c>
      <c r="B1574" t="s">
        <v>44</v>
      </c>
      <c r="C1574">
        <v>248</v>
      </c>
      <c r="D1574">
        <v>7</v>
      </c>
      <c r="E1574" t="s">
        <v>101</v>
      </c>
      <c r="F1574" t="s">
        <v>102</v>
      </c>
      <c r="G1574" t="str">
        <f>"2026-01-12 09:10:08.563"</f>
        <v>2026-01-12 09:10:08.563</v>
      </c>
      <c r="H1574" t="s">
        <v>22</v>
      </c>
    </row>
    <row r="1575" spans="1:10" x14ac:dyDescent="0.25">
      <c r="A1575" s="1">
        <v>633</v>
      </c>
      <c r="B1575" t="s">
        <v>44</v>
      </c>
      <c r="C1575">
        <v>77</v>
      </c>
      <c r="D1575">
        <v>1</v>
      </c>
      <c r="E1575" t="s">
        <v>45</v>
      </c>
      <c r="F1575" t="s">
        <v>46</v>
      </c>
      <c r="G1575" t="str">
        <f>"2026-01-12 09:10:06.778"</f>
        <v>2026-01-12 09:10:06.778</v>
      </c>
      <c r="H1575" t="s">
        <v>47</v>
      </c>
    </row>
    <row r="1576" spans="1:10" x14ac:dyDescent="0.25">
      <c r="A1576" s="1">
        <v>634</v>
      </c>
      <c r="B1576" t="s">
        <v>34</v>
      </c>
      <c r="C1576">
        <v>250</v>
      </c>
      <c r="D1576">
        <v>7</v>
      </c>
      <c r="E1576" t="s">
        <v>99</v>
      </c>
      <c r="F1576" t="s">
        <v>100</v>
      </c>
      <c r="G1576" t="str">
        <f>"2026-01-12 09:10:03.545"</f>
        <v>2026-01-12 09:10:03.545</v>
      </c>
      <c r="H1576" t="s">
        <v>22</v>
      </c>
      <c r="I1576">
        <v>0</v>
      </c>
      <c r="J1576" t="s">
        <v>23</v>
      </c>
    </row>
    <row r="1577" spans="1:10" x14ac:dyDescent="0.25">
      <c r="A1577" s="1">
        <v>635</v>
      </c>
      <c r="B1577" t="s">
        <v>34</v>
      </c>
      <c r="C1577">
        <v>248</v>
      </c>
      <c r="D1577">
        <v>7</v>
      </c>
      <c r="E1577" t="s">
        <v>101</v>
      </c>
      <c r="F1577" t="s">
        <v>102</v>
      </c>
      <c r="G1577" t="str">
        <f>"2026-01-12 09:10:03.540"</f>
        <v>2026-01-12 09:10:03.540</v>
      </c>
      <c r="H1577" t="s">
        <v>22</v>
      </c>
      <c r="I1577">
        <v>0</v>
      </c>
      <c r="J1577" t="s">
        <v>23</v>
      </c>
    </row>
    <row r="1578" spans="1:10" x14ac:dyDescent="0.25">
      <c r="A1578" s="1">
        <v>636</v>
      </c>
      <c r="B1578" t="s">
        <v>29</v>
      </c>
      <c r="C1578">
        <v>107</v>
      </c>
      <c r="D1578">
        <v>2</v>
      </c>
      <c r="E1578" t="s">
        <v>106</v>
      </c>
      <c r="F1578" t="s">
        <v>104</v>
      </c>
      <c r="G1578" t="str">
        <f>"2026-01-12 09:10:03.060"</f>
        <v>2026-01-12 09:10:03.060</v>
      </c>
      <c r="H1578" t="s">
        <v>61</v>
      </c>
      <c r="I1578">
        <v>0</v>
      </c>
      <c r="J1578" t="s">
        <v>23</v>
      </c>
    </row>
    <row r="1579" spans="1:10" x14ac:dyDescent="0.25">
      <c r="A1579" s="1">
        <v>637</v>
      </c>
      <c r="B1579" t="s">
        <v>29</v>
      </c>
      <c r="C1579">
        <v>207</v>
      </c>
      <c r="D1579">
        <v>2</v>
      </c>
      <c r="E1579" t="s">
        <v>103</v>
      </c>
      <c r="F1579" t="s">
        <v>104</v>
      </c>
      <c r="G1579" t="str">
        <f>"2026-01-12 09:10:03.040"</f>
        <v>2026-01-12 09:10:03.040</v>
      </c>
      <c r="H1579" t="s">
        <v>59</v>
      </c>
      <c r="I1579">
        <v>0</v>
      </c>
      <c r="J1579" t="s">
        <v>23</v>
      </c>
    </row>
    <row r="1580" spans="1:10" x14ac:dyDescent="0.25">
      <c r="A1580" s="1">
        <v>638</v>
      </c>
      <c r="B1580" t="s">
        <v>29</v>
      </c>
      <c r="C1580">
        <v>107</v>
      </c>
      <c r="D1580">
        <v>1</v>
      </c>
      <c r="E1580" t="s">
        <v>106</v>
      </c>
      <c r="F1580" t="s">
        <v>105</v>
      </c>
      <c r="G1580" t="str">
        <f>"2026-01-12 09:10:02.280"</f>
        <v>2026-01-12 09:10:02.280</v>
      </c>
      <c r="H1580" t="s">
        <v>61</v>
      </c>
      <c r="I1580">
        <v>0</v>
      </c>
      <c r="J1580" t="s">
        <v>23</v>
      </c>
    </row>
    <row r="1581" spans="1:10" x14ac:dyDescent="0.25">
      <c r="A1581" s="1">
        <v>639</v>
      </c>
      <c r="B1581" t="s">
        <v>29</v>
      </c>
      <c r="C1581">
        <v>207</v>
      </c>
      <c r="D1581">
        <v>1</v>
      </c>
      <c r="E1581" t="s">
        <v>103</v>
      </c>
      <c r="F1581" t="s">
        <v>105</v>
      </c>
      <c r="G1581" t="str">
        <f>"2026-01-12 09:10:02.080"</f>
        <v>2026-01-12 09:10:02.080</v>
      </c>
      <c r="H1581" t="s">
        <v>59</v>
      </c>
      <c r="I1581">
        <v>0</v>
      </c>
      <c r="J1581" t="s">
        <v>23</v>
      </c>
    </row>
    <row r="1582" spans="1:10" x14ac:dyDescent="0.25">
      <c r="A1582" s="1">
        <v>640</v>
      </c>
      <c r="B1582" t="s">
        <v>34</v>
      </c>
      <c r="C1582">
        <v>77</v>
      </c>
      <c r="D1582">
        <v>1</v>
      </c>
      <c r="E1582" t="s">
        <v>45</v>
      </c>
      <c r="F1582" t="s">
        <v>46</v>
      </c>
      <c r="G1582" t="str">
        <f>"2026-01-12 09:10:01.736"</f>
        <v>2026-01-12 09:10:01.736</v>
      </c>
      <c r="H1582" t="s">
        <v>47</v>
      </c>
      <c r="I1582">
        <v>0</v>
      </c>
      <c r="J1582" t="s">
        <v>23</v>
      </c>
    </row>
    <row r="1583" spans="1:10" x14ac:dyDescent="0.25">
      <c r="A1583" s="1">
        <v>641</v>
      </c>
      <c r="B1583" t="s">
        <v>19</v>
      </c>
      <c r="C1583">
        <v>706</v>
      </c>
      <c r="D1583">
        <v>4</v>
      </c>
      <c r="E1583" t="s">
        <v>20</v>
      </c>
      <c r="F1583" t="s">
        <v>21</v>
      </c>
      <c r="G1583" t="str">
        <f>"2026-01-12 09:09:55.126"</f>
        <v>2026-01-12 09:09:55.126</v>
      </c>
      <c r="H1583" t="s">
        <v>22</v>
      </c>
      <c r="I1583">
        <v>0</v>
      </c>
      <c r="J1583" t="s">
        <v>23</v>
      </c>
    </row>
    <row r="1584" spans="1:10" x14ac:dyDescent="0.25">
      <c r="A1584" s="1">
        <v>642</v>
      </c>
      <c r="B1584" t="s">
        <v>19</v>
      </c>
      <c r="C1584">
        <v>700</v>
      </c>
      <c r="D1584">
        <v>0</v>
      </c>
      <c r="E1584" t="s">
        <v>24</v>
      </c>
      <c r="F1584" t="s">
        <v>24</v>
      </c>
      <c r="G1584" t="str">
        <f>"2026-01-12 08:47:31.596"</f>
        <v>2026-01-12 08:47:31.596</v>
      </c>
      <c r="H1584" t="s">
        <v>22</v>
      </c>
      <c r="I1584">
        <v>0</v>
      </c>
      <c r="J1584" t="s">
        <v>25</v>
      </c>
    </row>
    <row r="1585" spans="1:10" x14ac:dyDescent="0.25">
      <c r="A1585" s="1">
        <v>643</v>
      </c>
      <c r="B1585" t="s">
        <v>19</v>
      </c>
      <c r="C1585">
        <v>700</v>
      </c>
      <c r="D1585">
        <v>0</v>
      </c>
      <c r="E1585" t="s">
        <v>24</v>
      </c>
      <c r="F1585" t="s">
        <v>24</v>
      </c>
      <c r="G1585" t="str">
        <f>"2026-01-12 08:20:46.835"</f>
        <v>2026-01-12 08:20:46.835</v>
      </c>
      <c r="H1585" t="s">
        <v>22</v>
      </c>
    </row>
    <row r="1586" spans="1:10" x14ac:dyDescent="0.25">
      <c r="A1586" s="1">
        <v>644</v>
      </c>
      <c r="B1586" t="s">
        <v>26</v>
      </c>
      <c r="C1586">
        <v>630</v>
      </c>
      <c r="D1586">
        <v>5</v>
      </c>
      <c r="E1586" t="s">
        <v>39</v>
      </c>
      <c r="F1586" t="s">
        <v>40</v>
      </c>
      <c r="G1586" t="str">
        <f>"2026-01-11 10:25:26.218"</f>
        <v>2026-01-11 10:25:26.218</v>
      </c>
      <c r="H1586" t="s">
        <v>41</v>
      </c>
    </row>
    <row r="1587" spans="1:10" x14ac:dyDescent="0.25">
      <c r="A1587" s="1">
        <v>645</v>
      </c>
      <c r="B1587" t="s">
        <v>19</v>
      </c>
      <c r="C1587">
        <v>706</v>
      </c>
      <c r="D1587">
        <v>2</v>
      </c>
      <c r="E1587" t="s">
        <v>20</v>
      </c>
      <c r="F1587" t="s">
        <v>54</v>
      </c>
      <c r="G1587" t="str">
        <f>"2026-01-11 10:24:56.056"</f>
        <v>2026-01-11 10:24:56.056</v>
      </c>
      <c r="H1587" t="s">
        <v>22</v>
      </c>
      <c r="I1587">
        <v>0</v>
      </c>
      <c r="J1587" t="s">
        <v>23</v>
      </c>
    </row>
    <row r="1588" spans="1:10" x14ac:dyDescent="0.25">
      <c r="A1588" s="1">
        <v>646</v>
      </c>
      <c r="B1588" t="s">
        <v>19</v>
      </c>
      <c r="C1588">
        <v>706</v>
      </c>
      <c r="D1588">
        <v>4</v>
      </c>
      <c r="E1588" t="s">
        <v>20</v>
      </c>
      <c r="F1588" t="s">
        <v>21</v>
      </c>
      <c r="G1588" t="str">
        <f>"2026-01-11 10:24:29.566"</f>
        <v>2026-01-11 10:24:29.566</v>
      </c>
      <c r="H1588" t="s">
        <v>22</v>
      </c>
      <c r="I1588">
        <v>0</v>
      </c>
      <c r="J1588" t="s">
        <v>23</v>
      </c>
    </row>
    <row r="1589" spans="1:10" x14ac:dyDescent="0.25">
      <c r="A1589" s="1">
        <v>647</v>
      </c>
      <c r="B1589" t="s">
        <v>34</v>
      </c>
      <c r="C1589">
        <v>630</v>
      </c>
      <c r="D1589">
        <v>5</v>
      </c>
      <c r="E1589" t="s">
        <v>39</v>
      </c>
      <c r="F1589" t="s">
        <v>40</v>
      </c>
      <c r="G1589" t="str">
        <f>"2026-01-11 10:23:52.218"</f>
        <v>2026-01-11 10:23:52.218</v>
      </c>
      <c r="H1589" t="s">
        <v>41</v>
      </c>
      <c r="I1589">
        <v>0</v>
      </c>
      <c r="J1589" t="s">
        <v>23</v>
      </c>
    </row>
    <row r="1590" spans="1:10" x14ac:dyDescent="0.25">
      <c r="A1590" s="1">
        <v>648</v>
      </c>
      <c r="B1590" t="s">
        <v>19</v>
      </c>
      <c r="C1590">
        <v>700</v>
      </c>
      <c r="D1590">
        <v>0</v>
      </c>
      <c r="E1590" t="s">
        <v>24</v>
      </c>
      <c r="F1590" t="s">
        <v>24</v>
      </c>
      <c r="G1590" t="str">
        <f>"2026-01-11 10:03:04.756"</f>
        <v>2026-01-11 10:03:04.756</v>
      </c>
      <c r="H1590" t="s">
        <v>22</v>
      </c>
      <c r="I1590">
        <v>0</v>
      </c>
      <c r="J1590" t="s">
        <v>25</v>
      </c>
    </row>
    <row r="1591" spans="1:10" x14ac:dyDescent="0.25">
      <c r="A1591" s="1">
        <v>649</v>
      </c>
      <c r="B1591" t="s">
        <v>26</v>
      </c>
      <c r="C1591">
        <v>635</v>
      </c>
      <c r="D1591">
        <v>1</v>
      </c>
      <c r="E1591" t="s">
        <v>27</v>
      </c>
      <c r="F1591" t="s">
        <v>28</v>
      </c>
      <c r="G1591" t="str">
        <f>"2026-01-11 04:31:11.819"</f>
        <v>2026-01-11 04:31:11.819</v>
      </c>
      <c r="H1591" t="s">
        <v>22</v>
      </c>
    </row>
    <row r="1592" spans="1:10" x14ac:dyDescent="0.25">
      <c r="A1592" s="1">
        <v>650</v>
      </c>
      <c r="B1592" t="s">
        <v>29</v>
      </c>
      <c r="C1592">
        <v>635</v>
      </c>
      <c r="D1592">
        <v>1</v>
      </c>
      <c r="E1592" t="s">
        <v>27</v>
      </c>
      <c r="F1592" t="s">
        <v>28</v>
      </c>
      <c r="G1592" t="str">
        <f>"2026-01-11 04:26:52.319"</f>
        <v>2026-01-11 04:26:52.319</v>
      </c>
      <c r="H1592" t="s">
        <v>22</v>
      </c>
      <c r="I1592">
        <v>5.7</v>
      </c>
      <c r="J1592" t="s">
        <v>30</v>
      </c>
    </row>
    <row r="1593" spans="1:10" s="3" customFormat="1" x14ac:dyDescent="0.25">
      <c r="A1593" s="2">
        <v>651</v>
      </c>
      <c r="B1593" s="3" t="s">
        <v>26</v>
      </c>
      <c r="C1593" s="3">
        <v>647</v>
      </c>
      <c r="D1593" s="3">
        <v>1</v>
      </c>
      <c r="E1593" s="3" t="s">
        <v>35</v>
      </c>
      <c r="F1593" s="3" t="s">
        <v>36</v>
      </c>
      <c r="G1593" s="3" t="str">
        <f>"2026-01-10 23:41:53.720"</f>
        <v>2026-01-10 23:41:53.720</v>
      </c>
      <c r="H1593" s="3" t="s">
        <v>22</v>
      </c>
    </row>
    <row r="1594" spans="1:10" s="3" customFormat="1" x14ac:dyDescent="0.25">
      <c r="A1594" s="2">
        <v>652</v>
      </c>
      <c r="B1594" s="3" t="s">
        <v>29</v>
      </c>
      <c r="C1594" s="3">
        <v>647</v>
      </c>
      <c r="D1594" s="3">
        <v>1</v>
      </c>
      <c r="E1594" s="3" t="s">
        <v>35</v>
      </c>
      <c r="F1594" s="3" t="s">
        <v>36</v>
      </c>
      <c r="G1594" s="3" t="str">
        <f>"2026-01-10 23:41:50.120"</f>
        <v>2026-01-10 23:41:50.120</v>
      </c>
      <c r="H1594" s="3" t="s">
        <v>22</v>
      </c>
      <c r="I1594" s="3">
        <v>9.9700000000000006</v>
      </c>
      <c r="J1594" s="3" t="s">
        <v>37</v>
      </c>
    </row>
    <row r="1595" spans="1:10" x14ac:dyDescent="0.25">
      <c r="A1595" s="1">
        <v>653</v>
      </c>
      <c r="B1595" t="s">
        <v>26</v>
      </c>
      <c r="C1595">
        <v>635</v>
      </c>
      <c r="D1595">
        <v>1</v>
      </c>
      <c r="E1595" t="s">
        <v>27</v>
      </c>
      <c r="F1595" t="s">
        <v>28</v>
      </c>
      <c r="G1595" t="str">
        <f>"2026-01-10 11:10:59.419"</f>
        <v>2026-01-10 11:10:59.419</v>
      </c>
      <c r="H1595" t="s">
        <v>22</v>
      </c>
    </row>
    <row r="1596" spans="1:10" x14ac:dyDescent="0.25">
      <c r="A1596" s="1">
        <v>654</v>
      </c>
      <c r="B1596" t="s">
        <v>29</v>
      </c>
      <c r="C1596">
        <v>635</v>
      </c>
      <c r="D1596">
        <v>1</v>
      </c>
      <c r="E1596" t="s">
        <v>27</v>
      </c>
      <c r="F1596" t="s">
        <v>28</v>
      </c>
      <c r="G1596" t="str">
        <f>"2026-01-10 11:07:43.419"</f>
        <v>2026-01-10 11:07:43.419</v>
      </c>
      <c r="H1596" t="s">
        <v>22</v>
      </c>
      <c r="I1596">
        <v>8.15</v>
      </c>
      <c r="J1596" t="s">
        <v>30</v>
      </c>
    </row>
    <row r="1597" spans="1:10" s="3" customFormat="1" x14ac:dyDescent="0.25">
      <c r="A1597" s="2">
        <v>655</v>
      </c>
      <c r="B1597" s="3" t="s">
        <v>26</v>
      </c>
      <c r="C1597" s="3">
        <v>647</v>
      </c>
      <c r="D1597" s="3">
        <v>1</v>
      </c>
      <c r="E1597" s="3" t="s">
        <v>35</v>
      </c>
      <c r="F1597" s="3" t="s">
        <v>36</v>
      </c>
      <c r="G1597" s="3" t="str">
        <f>"2026-01-10 05:57:31.620"</f>
        <v>2026-01-10 05:57:31.620</v>
      </c>
      <c r="H1597" s="3" t="s">
        <v>22</v>
      </c>
    </row>
    <row r="1598" spans="1:10" s="3" customFormat="1" x14ac:dyDescent="0.25">
      <c r="A1598" s="2">
        <v>656</v>
      </c>
      <c r="B1598" s="3" t="s">
        <v>29</v>
      </c>
      <c r="C1598" s="3">
        <v>647</v>
      </c>
      <c r="D1598" s="3">
        <v>1</v>
      </c>
      <c r="E1598" s="3" t="s">
        <v>35</v>
      </c>
      <c r="F1598" s="3" t="s">
        <v>36</v>
      </c>
      <c r="G1598" s="3" t="str">
        <f>"2026-01-10 05:57:25.920"</f>
        <v>2026-01-10 05:57:25.920</v>
      </c>
      <c r="H1598" s="3" t="s">
        <v>22</v>
      </c>
      <c r="I1598" s="3">
        <v>26.18</v>
      </c>
      <c r="J1598" s="3" t="s">
        <v>37</v>
      </c>
    </row>
    <row r="1599" spans="1:10" x14ac:dyDescent="0.25">
      <c r="A1599" s="1">
        <v>657</v>
      </c>
      <c r="B1599" t="s">
        <v>19</v>
      </c>
      <c r="C1599">
        <v>700</v>
      </c>
      <c r="D1599">
        <v>0</v>
      </c>
      <c r="E1599" t="s">
        <v>24</v>
      </c>
      <c r="F1599" t="s">
        <v>24</v>
      </c>
      <c r="G1599" t="str">
        <f>"2026-01-09 12:19:54.759"</f>
        <v>2026-01-09 12:19:54.759</v>
      </c>
      <c r="H1599" t="s">
        <v>22</v>
      </c>
      <c r="I1599">
        <v>0</v>
      </c>
      <c r="J1599" t="s">
        <v>25</v>
      </c>
    </row>
    <row r="1600" spans="1:10" s="3" customFormat="1" x14ac:dyDescent="0.25">
      <c r="A1600" s="2">
        <v>658</v>
      </c>
      <c r="B1600" s="3" t="s">
        <v>26</v>
      </c>
      <c r="C1600" s="3">
        <v>647</v>
      </c>
      <c r="D1600" s="3">
        <v>1</v>
      </c>
      <c r="E1600" s="3" t="s">
        <v>35</v>
      </c>
      <c r="F1600" s="3" t="s">
        <v>36</v>
      </c>
      <c r="G1600" s="3" t="str">
        <f>"2026-01-08 22:19:15.988"</f>
        <v>2026-01-08 22:19:15.988</v>
      </c>
      <c r="H1600" s="3" t="s">
        <v>22</v>
      </c>
    </row>
    <row r="1601" spans="1:10" s="3" customFormat="1" x14ac:dyDescent="0.25">
      <c r="A1601" s="2">
        <v>659</v>
      </c>
      <c r="B1601" s="3" t="s">
        <v>29</v>
      </c>
      <c r="C1601" s="3">
        <v>647</v>
      </c>
      <c r="D1601" s="3">
        <v>1</v>
      </c>
      <c r="E1601" s="3" t="s">
        <v>35</v>
      </c>
      <c r="F1601" s="3" t="s">
        <v>36</v>
      </c>
      <c r="G1601" s="3" t="str">
        <f>"2026-01-08 22:19:13.688"</f>
        <v>2026-01-08 22:19:13.688</v>
      </c>
      <c r="H1601" s="3" t="s">
        <v>22</v>
      </c>
      <c r="I1601" s="3">
        <v>8.6300000000000008</v>
      </c>
      <c r="J1601" s="3" t="s">
        <v>37</v>
      </c>
    </row>
    <row r="1602" spans="1:10" x14ac:dyDescent="0.25">
      <c r="A1602" s="1">
        <v>661</v>
      </c>
      <c r="B1602" t="s">
        <v>19</v>
      </c>
      <c r="C1602">
        <v>700</v>
      </c>
      <c r="D1602">
        <v>0</v>
      </c>
      <c r="E1602" t="s">
        <v>24</v>
      </c>
      <c r="F1602" t="s">
        <v>24</v>
      </c>
      <c r="G1602" t="str">
        <f>"2026-01-08 19:44:50.630"</f>
        <v>2026-01-08 19:44:50.630</v>
      </c>
      <c r="H1602" t="s">
        <v>22</v>
      </c>
      <c r="I1602">
        <v>0</v>
      </c>
      <c r="J1602" t="s">
        <v>25</v>
      </c>
    </row>
    <row r="1603" spans="1:10" x14ac:dyDescent="0.25">
      <c r="A1603" s="1">
        <v>663</v>
      </c>
      <c r="B1603" t="s">
        <v>26</v>
      </c>
      <c r="C1603">
        <v>635</v>
      </c>
      <c r="D1603">
        <v>1</v>
      </c>
      <c r="E1603" t="s">
        <v>27</v>
      </c>
      <c r="F1603" t="s">
        <v>28</v>
      </c>
      <c r="G1603" t="str">
        <f>"2026-01-08 10:31:48.186"</f>
        <v>2026-01-08 10:31:48.186</v>
      </c>
      <c r="H1603" t="s">
        <v>22</v>
      </c>
    </row>
    <row r="1604" spans="1:10" x14ac:dyDescent="0.25">
      <c r="A1604" s="1">
        <v>664</v>
      </c>
      <c r="B1604" t="s">
        <v>29</v>
      </c>
      <c r="C1604">
        <v>635</v>
      </c>
      <c r="D1604">
        <v>1</v>
      </c>
      <c r="E1604" t="s">
        <v>27</v>
      </c>
      <c r="F1604" t="s">
        <v>28</v>
      </c>
      <c r="G1604" t="str">
        <f>"2026-01-08 10:28:30.686"</f>
        <v>2026-01-08 10:28:30.686</v>
      </c>
      <c r="H1604" t="s">
        <v>22</v>
      </c>
      <c r="I1604">
        <v>9.0500000000000007</v>
      </c>
      <c r="J1604" t="s">
        <v>30</v>
      </c>
    </row>
    <row r="1605" spans="1:10" x14ac:dyDescent="0.25">
      <c r="A1605" s="1">
        <v>667</v>
      </c>
      <c r="B1605" t="s">
        <v>19</v>
      </c>
      <c r="C1605">
        <v>700</v>
      </c>
      <c r="D1605">
        <v>0</v>
      </c>
      <c r="E1605" t="s">
        <v>24</v>
      </c>
      <c r="F1605" t="s">
        <v>24</v>
      </c>
      <c r="G1605" t="str">
        <f>"2026-01-07 03:56:22.619"</f>
        <v>2026-01-07 03:56:22.619</v>
      </c>
      <c r="H1605" t="s">
        <v>22</v>
      </c>
      <c r="I1605">
        <v>0</v>
      </c>
      <c r="J1605" t="s">
        <v>25</v>
      </c>
    </row>
    <row r="1606" spans="1:10" x14ac:dyDescent="0.25">
      <c r="A1606" s="1">
        <v>668</v>
      </c>
      <c r="B1606" t="s">
        <v>19</v>
      </c>
      <c r="C1606">
        <v>700</v>
      </c>
      <c r="D1606">
        <v>0</v>
      </c>
      <c r="E1606" t="s">
        <v>24</v>
      </c>
      <c r="F1606" t="s">
        <v>24</v>
      </c>
      <c r="G1606" t="str">
        <f>"2026-01-06 22:22:13.628"</f>
        <v>2026-01-06 22:22:13.628</v>
      </c>
      <c r="H1606" t="s">
        <v>22</v>
      </c>
      <c r="I1606">
        <v>0</v>
      </c>
      <c r="J1606" t="s">
        <v>25</v>
      </c>
    </row>
    <row r="1607" spans="1:10" x14ac:dyDescent="0.25">
      <c r="A1607" s="1">
        <v>669</v>
      </c>
      <c r="B1607" t="s">
        <v>26</v>
      </c>
      <c r="C1607">
        <v>635</v>
      </c>
      <c r="D1607">
        <v>1</v>
      </c>
      <c r="E1607" t="s">
        <v>27</v>
      </c>
      <c r="F1607" t="s">
        <v>28</v>
      </c>
      <c r="G1607" t="str">
        <f>"2026-01-06 06:34:47.286"</f>
        <v>2026-01-06 06:34:47.286</v>
      </c>
      <c r="H1607" t="s">
        <v>22</v>
      </c>
    </row>
    <row r="1608" spans="1:10" x14ac:dyDescent="0.25">
      <c r="A1608" s="1">
        <v>670</v>
      </c>
      <c r="B1608" t="s">
        <v>29</v>
      </c>
      <c r="C1608">
        <v>635</v>
      </c>
      <c r="D1608">
        <v>1</v>
      </c>
      <c r="E1608" t="s">
        <v>27</v>
      </c>
      <c r="F1608" t="s">
        <v>28</v>
      </c>
      <c r="G1608" t="str">
        <f>"2026-01-06 06:31:24.786"</f>
        <v>2026-01-06 06:31:24.786</v>
      </c>
      <c r="H1608" t="s">
        <v>22</v>
      </c>
      <c r="I1608">
        <v>0.72</v>
      </c>
      <c r="J1608" t="s">
        <v>30</v>
      </c>
    </row>
    <row r="1609" spans="1:10" x14ac:dyDescent="0.25">
      <c r="A1609" s="1">
        <v>671</v>
      </c>
      <c r="B1609" t="s">
        <v>26</v>
      </c>
      <c r="C1609">
        <v>635</v>
      </c>
      <c r="D1609">
        <v>1</v>
      </c>
      <c r="E1609" t="s">
        <v>27</v>
      </c>
      <c r="F1609" t="s">
        <v>28</v>
      </c>
      <c r="G1609" t="str">
        <f>"2026-01-05 06:27:07.286"</f>
        <v>2026-01-05 06:27:07.286</v>
      </c>
      <c r="H1609" t="s">
        <v>22</v>
      </c>
    </row>
    <row r="1610" spans="1:10" x14ac:dyDescent="0.25">
      <c r="A1610" s="1">
        <v>672</v>
      </c>
      <c r="B1610" t="s">
        <v>29</v>
      </c>
      <c r="C1610">
        <v>635</v>
      </c>
      <c r="D1610">
        <v>1</v>
      </c>
      <c r="E1610" t="s">
        <v>27</v>
      </c>
      <c r="F1610" t="s">
        <v>28</v>
      </c>
      <c r="G1610" t="str">
        <f>"2026-01-05 06:25:00.286"</f>
        <v>2026-01-05 06:25:00.286</v>
      </c>
      <c r="H1610" t="s">
        <v>22</v>
      </c>
      <c r="I1610">
        <v>3.12</v>
      </c>
      <c r="J1610" t="s">
        <v>38</v>
      </c>
    </row>
    <row r="1611" spans="1:10" x14ac:dyDescent="0.25">
      <c r="A1611" s="1">
        <v>674</v>
      </c>
      <c r="B1611" t="s">
        <v>26</v>
      </c>
      <c r="C1611">
        <v>635</v>
      </c>
      <c r="D1611">
        <v>1</v>
      </c>
      <c r="E1611" t="s">
        <v>27</v>
      </c>
      <c r="F1611" t="s">
        <v>28</v>
      </c>
      <c r="G1611" t="str">
        <f>"2026-01-04 05:15:10.986"</f>
        <v>2026-01-04 05:15:10.986</v>
      </c>
      <c r="H1611" t="s">
        <v>22</v>
      </c>
    </row>
    <row r="1612" spans="1:10" x14ac:dyDescent="0.25">
      <c r="A1612" s="1">
        <v>675</v>
      </c>
      <c r="B1612" t="s">
        <v>29</v>
      </c>
      <c r="C1612">
        <v>635</v>
      </c>
      <c r="D1612">
        <v>1</v>
      </c>
      <c r="E1612" t="s">
        <v>27</v>
      </c>
      <c r="F1612" t="s">
        <v>28</v>
      </c>
      <c r="G1612" t="str">
        <f>"2026-01-04 05:09:43.986"</f>
        <v>2026-01-04 05:09:43.986</v>
      </c>
      <c r="H1612" t="s">
        <v>22</v>
      </c>
      <c r="I1612">
        <v>0.08</v>
      </c>
      <c r="J1612" t="s">
        <v>38</v>
      </c>
    </row>
    <row r="1613" spans="1:10" s="3" customFormat="1" x14ac:dyDescent="0.25">
      <c r="A1613" s="2">
        <v>677</v>
      </c>
      <c r="B1613" s="3" t="s">
        <v>26</v>
      </c>
      <c r="C1613" s="3">
        <v>647</v>
      </c>
      <c r="D1613" s="3">
        <v>1</v>
      </c>
      <c r="E1613" s="3" t="s">
        <v>35</v>
      </c>
      <c r="F1613" s="3" t="s">
        <v>36</v>
      </c>
      <c r="G1613" s="3" t="str">
        <f>"2026-01-03 05:45:33.086"</f>
        <v>2026-01-03 05:45:33.086</v>
      </c>
      <c r="H1613" s="3" t="s">
        <v>22</v>
      </c>
    </row>
    <row r="1614" spans="1:10" s="3" customFormat="1" x14ac:dyDescent="0.25">
      <c r="A1614" s="2">
        <v>678</v>
      </c>
      <c r="B1614" s="3" t="s">
        <v>29</v>
      </c>
      <c r="C1614" s="3">
        <v>647</v>
      </c>
      <c r="D1614" s="3">
        <v>1</v>
      </c>
      <c r="E1614" s="3" t="s">
        <v>35</v>
      </c>
      <c r="F1614" s="3" t="s">
        <v>36</v>
      </c>
      <c r="G1614" s="3" t="str">
        <f>"2026-01-03 05:45:26.986"</f>
        <v>2026-01-03 05:45:26.986</v>
      </c>
      <c r="H1614" s="3" t="s">
        <v>22</v>
      </c>
      <c r="I1614" s="3">
        <v>12.82</v>
      </c>
      <c r="J1614" s="3" t="s">
        <v>37</v>
      </c>
    </row>
    <row r="1615" spans="1:10" s="3" customFormat="1" x14ac:dyDescent="0.25">
      <c r="A1615" s="2">
        <v>679</v>
      </c>
      <c r="B1615" s="3" t="s">
        <v>26</v>
      </c>
      <c r="C1615" s="3">
        <v>647</v>
      </c>
      <c r="D1615" s="3">
        <v>1</v>
      </c>
      <c r="E1615" s="3" t="s">
        <v>35</v>
      </c>
      <c r="F1615" s="3" t="s">
        <v>36</v>
      </c>
      <c r="G1615" s="3" t="str">
        <f>"2026-01-02 09:56:19.086"</f>
        <v>2026-01-02 09:56:19.086</v>
      </c>
      <c r="H1615" s="3" t="s">
        <v>22</v>
      </c>
    </row>
    <row r="1616" spans="1:10" s="3" customFormat="1" x14ac:dyDescent="0.25">
      <c r="A1616" s="2">
        <v>680</v>
      </c>
      <c r="B1616" s="3" t="s">
        <v>29</v>
      </c>
      <c r="C1616" s="3">
        <v>647</v>
      </c>
      <c r="D1616" s="3">
        <v>1</v>
      </c>
      <c r="E1616" s="3" t="s">
        <v>35</v>
      </c>
      <c r="F1616" s="3" t="s">
        <v>36</v>
      </c>
      <c r="G1616" s="3" t="str">
        <f>"2026-01-02 09:56:14.186"</f>
        <v>2026-01-02 09:56:14.186</v>
      </c>
      <c r="H1616" s="3" t="s">
        <v>22</v>
      </c>
      <c r="I1616" s="3">
        <v>10.85</v>
      </c>
      <c r="J1616" s="3" t="s">
        <v>37</v>
      </c>
    </row>
    <row r="1617" spans="1:10" s="3" customFormat="1" x14ac:dyDescent="0.25">
      <c r="A1617" s="2">
        <v>681</v>
      </c>
      <c r="B1617" s="3" t="s">
        <v>26</v>
      </c>
      <c r="C1617" s="3">
        <v>647</v>
      </c>
      <c r="D1617" s="3">
        <v>1</v>
      </c>
      <c r="E1617" s="3" t="s">
        <v>35</v>
      </c>
      <c r="F1617" s="3" t="s">
        <v>36</v>
      </c>
      <c r="G1617" s="3" t="str">
        <f>"2026-01-02 03:14:37.486"</f>
        <v>2026-01-02 03:14:37.486</v>
      </c>
      <c r="H1617" s="3" t="s">
        <v>22</v>
      </c>
    </row>
    <row r="1618" spans="1:10" s="3" customFormat="1" x14ac:dyDescent="0.25">
      <c r="A1618" s="2">
        <v>682</v>
      </c>
      <c r="B1618" s="3" t="s">
        <v>29</v>
      </c>
      <c r="C1618" s="3">
        <v>647</v>
      </c>
      <c r="D1618" s="3">
        <v>1</v>
      </c>
      <c r="E1618" s="3" t="s">
        <v>35</v>
      </c>
      <c r="F1618" s="3" t="s">
        <v>36</v>
      </c>
      <c r="G1618" s="3" t="str">
        <f>"2026-01-02 03:14:33.587"</f>
        <v>2026-01-02 03:14:33.587</v>
      </c>
      <c r="H1618" s="3" t="s">
        <v>22</v>
      </c>
      <c r="I1618" s="3">
        <v>16.600000000000001</v>
      </c>
      <c r="J1618" s="3" t="s">
        <v>37</v>
      </c>
    </row>
    <row r="1619" spans="1:10" x14ac:dyDescent="0.25">
      <c r="A1619" s="1">
        <v>683</v>
      </c>
      <c r="B1619" t="s">
        <v>19</v>
      </c>
      <c r="C1619">
        <v>700</v>
      </c>
      <c r="D1619">
        <v>0</v>
      </c>
      <c r="E1619" t="s">
        <v>24</v>
      </c>
      <c r="F1619" t="s">
        <v>24</v>
      </c>
      <c r="G1619" t="str">
        <f>"2026-01-02 00:58:49.627"</f>
        <v>2026-01-02 00:58:49.627</v>
      </c>
      <c r="H1619" t="s">
        <v>22</v>
      </c>
      <c r="I1619">
        <v>0</v>
      </c>
      <c r="J1619" t="s">
        <v>25</v>
      </c>
    </row>
    <row r="1620" spans="1:10" x14ac:dyDescent="0.25">
      <c r="A1620" s="1">
        <v>684</v>
      </c>
      <c r="B1620" t="s">
        <v>19</v>
      </c>
      <c r="C1620">
        <v>706</v>
      </c>
      <c r="D1620">
        <v>4</v>
      </c>
      <c r="E1620" t="s">
        <v>20</v>
      </c>
      <c r="F1620" t="s">
        <v>21</v>
      </c>
      <c r="G1620" t="str">
        <f>"2026-01-02 00:13:00.038"</f>
        <v>2026-01-02 00:13:00.038</v>
      </c>
      <c r="H1620" t="s">
        <v>22</v>
      </c>
      <c r="I1620">
        <v>0</v>
      </c>
      <c r="J1620" t="s">
        <v>23</v>
      </c>
    </row>
    <row r="1621" spans="1:10" x14ac:dyDescent="0.25">
      <c r="A1621" s="1">
        <v>685</v>
      </c>
      <c r="B1621" t="s">
        <v>19</v>
      </c>
      <c r="C1621">
        <v>706</v>
      </c>
      <c r="D1621">
        <v>4</v>
      </c>
      <c r="E1621" t="s">
        <v>20</v>
      </c>
      <c r="F1621" t="s">
        <v>21</v>
      </c>
      <c r="G1621" t="str">
        <f>"2026-01-02 00:12:41.638"</f>
        <v>2026-01-02 00:12:41.638</v>
      </c>
      <c r="H1621" t="s">
        <v>22</v>
      </c>
      <c r="I1621">
        <v>0</v>
      </c>
      <c r="J1621" t="s">
        <v>23</v>
      </c>
    </row>
    <row r="1622" spans="1:10" x14ac:dyDescent="0.25">
      <c r="A1622" s="1">
        <v>686</v>
      </c>
      <c r="B1622" t="s">
        <v>19</v>
      </c>
      <c r="C1622">
        <v>700</v>
      </c>
      <c r="D1622">
        <v>0</v>
      </c>
      <c r="E1622" t="s">
        <v>24</v>
      </c>
      <c r="F1622" t="s">
        <v>24</v>
      </c>
      <c r="G1622" t="str">
        <f>"2026-01-01 22:56:42.618"</f>
        <v>2026-01-01 22:56:42.618</v>
      </c>
      <c r="H1622" t="s">
        <v>22</v>
      </c>
      <c r="I1622">
        <v>0</v>
      </c>
      <c r="J1622" t="s">
        <v>25</v>
      </c>
    </row>
    <row r="1623" spans="1:10" x14ac:dyDescent="0.25">
      <c r="A1623" s="1">
        <v>687</v>
      </c>
      <c r="B1623" t="s">
        <v>19</v>
      </c>
      <c r="C1623">
        <v>700</v>
      </c>
      <c r="D1623">
        <v>0</v>
      </c>
      <c r="E1623" t="s">
        <v>24</v>
      </c>
      <c r="F1623" t="s">
        <v>24</v>
      </c>
      <c r="G1623" t="str">
        <f>"2026-01-01 21:46:21.857"</f>
        <v>2026-01-01 21:46:21.857</v>
      </c>
      <c r="H1623" t="s">
        <v>22</v>
      </c>
      <c r="I1623">
        <v>0</v>
      </c>
      <c r="J1623" t="s">
        <v>25</v>
      </c>
    </row>
    <row r="1624" spans="1:10" x14ac:dyDescent="0.25">
      <c r="A1624" s="1">
        <v>688</v>
      </c>
      <c r="B1624" t="s">
        <v>19</v>
      </c>
      <c r="C1624">
        <v>700</v>
      </c>
      <c r="D1624">
        <v>0</v>
      </c>
      <c r="E1624" t="s">
        <v>24</v>
      </c>
      <c r="F1624" t="s">
        <v>24</v>
      </c>
      <c r="G1624" t="str">
        <f>"2026-01-01 21:43:53.612"</f>
        <v>2026-01-01 21:43:53.612</v>
      </c>
      <c r="H1624" t="s">
        <v>22</v>
      </c>
      <c r="I1624">
        <v>0</v>
      </c>
      <c r="J1624" t="s">
        <v>25</v>
      </c>
    </row>
    <row r="1625" spans="1:10" x14ac:dyDescent="0.25">
      <c r="A1625" s="1">
        <v>689</v>
      </c>
      <c r="B1625" t="s">
        <v>19</v>
      </c>
      <c r="C1625">
        <v>706</v>
      </c>
      <c r="D1625">
        <v>2</v>
      </c>
      <c r="E1625" t="s">
        <v>20</v>
      </c>
      <c r="F1625" t="s">
        <v>54</v>
      </c>
      <c r="G1625" t="str">
        <f>"2026-01-01 21:39:36.434"</f>
        <v>2026-01-01 21:39:36.434</v>
      </c>
      <c r="H1625" t="s">
        <v>22</v>
      </c>
      <c r="I1625">
        <v>0</v>
      </c>
      <c r="J1625" t="s">
        <v>23</v>
      </c>
    </row>
    <row r="1626" spans="1:10" x14ac:dyDescent="0.25">
      <c r="A1626" s="1">
        <v>690</v>
      </c>
      <c r="B1626" t="s">
        <v>26</v>
      </c>
      <c r="C1626">
        <v>54</v>
      </c>
      <c r="D1626">
        <v>1</v>
      </c>
      <c r="E1626" t="s">
        <v>87</v>
      </c>
      <c r="F1626" t="s">
        <v>88</v>
      </c>
      <c r="G1626" t="str">
        <f>"2026-01-01 21:39:04.394"</f>
        <v>2026-01-01 21:39:04.394</v>
      </c>
      <c r="H1626" t="s">
        <v>22</v>
      </c>
    </row>
    <row r="1627" spans="1:10" x14ac:dyDescent="0.25">
      <c r="A1627" s="1">
        <v>691</v>
      </c>
      <c r="B1627" t="s">
        <v>19</v>
      </c>
      <c r="C1627">
        <v>700</v>
      </c>
      <c r="D1627">
        <v>0</v>
      </c>
      <c r="E1627" t="s">
        <v>24</v>
      </c>
      <c r="F1627" t="s">
        <v>24</v>
      </c>
      <c r="G1627" t="str">
        <f>"2026-01-01 21:38:51.614"</f>
        <v>2026-01-01 21:38:51.614</v>
      </c>
      <c r="H1627" t="s">
        <v>22</v>
      </c>
      <c r="I1627">
        <v>0</v>
      </c>
      <c r="J1627" t="s">
        <v>25</v>
      </c>
    </row>
    <row r="1628" spans="1:10" x14ac:dyDescent="0.25">
      <c r="A1628" s="1">
        <v>692</v>
      </c>
      <c r="B1628" t="s">
        <v>26</v>
      </c>
      <c r="C1628">
        <v>635</v>
      </c>
      <c r="D1628">
        <v>1</v>
      </c>
      <c r="E1628" t="s">
        <v>27</v>
      </c>
      <c r="F1628" t="s">
        <v>28</v>
      </c>
      <c r="G1628" t="str">
        <f>"2026-01-01 20:54:48.739"</f>
        <v>2026-01-01 20:54:48.739</v>
      </c>
      <c r="H1628" t="s">
        <v>22</v>
      </c>
    </row>
    <row r="1629" spans="1:10" x14ac:dyDescent="0.25">
      <c r="A1629" s="1">
        <v>693</v>
      </c>
      <c r="B1629" t="s">
        <v>29</v>
      </c>
      <c r="C1629">
        <v>635</v>
      </c>
      <c r="D1629">
        <v>1</v>
      </c>
      <c r="E1629" t="s">
        <v>27</v>
      </c>
      <c r="F1629" t="s">
        <v>28</v>
      </c>
      <c r="G1629" t="str">
        <f>"2026-01-01 20:51:59.239"</f>
        <v>2026-01-01 20:51:59.239</v>
      </c>
      <c r="H1629" t="s">
        <v>22</v>
      </c>
      <c r="I1629">
        <v>5.14</v>
      </c>
      <c r="J1629" t="s">
        <v>30</v>
      </c>
    </row>
    <row r="1630" spans="1:10" x14ac:dyDescent="0.25">
      <c r="A1630" s="1">
        <v>694</v>
      </c>
      <c r="B1630" t="s">
        <v>26</v>
      </c>
      <c r="C1630">
        <v>635</v>
      </c>
      <c r="D1630">
        <v>1</v>
      </c>
      <c r="E1630" t="s">
        <v>27</v>
      </c>
      <c r="F1630" t="s">
        <v>28</v>
      </c>
      <c r="G1630" t="str">
        <f>"2026-01-01 20:17:08.239"</f>
        <v>2026-01-01 20:17:08.239</v>
      </c>
      <c r="H1630" t="s">
        <v>22</v>
      </c>
    </row>
    <row r="1631" spans="1:10" x14ac:dyDescent="0.25">
      <c r="A1631" s="1">
        <v>695</v>
      </c>
      <c r="B1631" t="s">
        <v>29</v>
      </c>
      <c r="C1631">
        <v>635</v>
      </c>
      <c r="D1631">
        <v>1</v>
      </c>
      <c r="E1631" t="s">
        <v>27</v>
      </c>
      <c r="F1631" t="s">
        <v>28</v>
      </c>
      <c r="G1631" t="str">
        <f>"2026-01-01 20:13:50.239"</f>
        <v>2026-01-01 20:13:50.239</v>
      </c>
      <c r="H1631" t="s">
        <v>22</v>
      </c>
      <c r="I1631">
        <v>2.2400000000000002</v>
      </c>
      <c r="J1631" t="s">
        <v>30</v>
      </c>
    </row>
    <row r="1632" spans="1:10" x14ac:dyDescent="0.25">
      <c r="A1632" s="1">
        <v>696</v>
      </c>
      <c r="B1632" t="s">
        <v>29</v>
      </c>
      <c r="C1632">
        <v>54</v>
      </c>
      <c r="D1632">
        <v>1</v>
      </c>
      <c r="E1632" t="s">
        <v>87</v>
      </c>
      <c r="F1632" t="s">
        <v>88</v>
      </c>
      <c r="G1632" t="str">
        <f>"2025-12-31 15:50:51.479"</f>
        <v>2025-12-31 15:50:51.479</v>
      </c>
      <c r="H1632" t="s">
        <v>22</v>
      </c>
      <c r="I1632">
        <v>7.05</v>
      </c>
      <c r="J1632" t="s">
        <v>30</v>
      </c>
    </row>
    <row r="1633" spans="1:10" x14ac:dyDescent="0.25">
      <c r="A1633" s="1">
        <v>697</v>
      </c>
      <c r="B1633" t="s">
        <v>26</v>
      </c>
      <c r="C1633">
        <v>631</v>
      </c>
      <c r="D1633">
        <v>2</v>
      </c>
      <c r="E1633" t="s">
        <v>107</v>
      </c>
      <c r="F1633" t="s">
        <v>108</v>
      </c>
      <c r="G1633" t="str">
        <f>"2025-12-31 15:04:37.787"</f>
        <v>2025-12-31 15:04:37.787</v>
      </c>
      <c r="H1633" t="s">
        <v>22</v>
      </c>
    </row>
    <row r="1634" spans="1:10" x14ac:dyDescent="0.25">
      <c r="A1634" s="1">
        <v>698</v>
      </c>
      <c r="B1634" t="s">
        <v>29</v>
      </c>
      <c r="C1634">
        <v>631</v>
      </c>
      <c r="D1634">
        <v>2</v>
      </c>
      <c r="E1634" t="s">
        <v>107</v>
      </c>
      <c r="F1634" t="s">
        <v>108</v>
      </c>
      <c r="G1634" t="str">
        <f>"2025-12-31 14:55:41.988"</f>
        <v>2025-12-31 14:55:41.988</v>
      </c>
      <c r="H1634" t="s">
        <v>22</v>
      </c>
      <c r="I1634">
        <v>0</v>
      </c>
      <c r="J1634" t="s">
        <v>23</v>
      </c>
    </row>
    <row r="1635" spans="1:10" x14ac:dyDescent="0.25">
      <c r="A1635" s="1">
        <v>699</v>
      </c>
      <c r="B1635" t="s">
        <v>19</v>
      </c>
      <c r="C1635">
        <v>700</v>
      </c>
      <c r="D1635">
        <v>0</v>
      </c>
      <c r="E1635" t="s">
        <v>24</v>
      </c>
      <c r="F1635" t="s">
        <v>24</v>
      </c>
      <c r="G1635" t="str">
        <f>"2025-12-31 14:55:28.609"</f>
        <v>2025-12-31 14:55:28.609</v>
      </c>
      <c r="H1635" t="s">
        <v>22</v>
      </c>
    </row>
    <row r="1636" spans="1:10" x14ac:dyDescent="0.25">
      <c r="A1636" s="1">
        <v>700</v>
      </c>
      <c r="B1636" t="s">
        <v>19</v>
      </c>
      <c r="C1636">
        <v>700</v>
      </c>
      <c r="D1636">
        <v>0</v>
      </c>
      <c r="E1636" t="s">
        <v>24</v>
      </c>
      <c r="F1636" t="s">
        <v>24</v>
      </c>
      <c r="G1636" t="str">
        <f>"2025-12-31 14:25:36.822"</f>
        <v>2025-12-31 14:25:36.822</v>
      </c>
      <c r="H1636" t="s">
        <v>22</v>
      </c>
    </row>
    <row r="1637" spans="1:10" x14ac:dyDescent="0.25">
      <c r="A1637" s="1">
        <v>701</v>
      </c>
      <c r="B1637" t="s">
        <v>19</v>
      </c>
      <c r="C1637">
        <v>700</v>
      </c>
      <c r="D1637">
        <v>0</v>
      </c>
      <c r="E1637" t="s">
        <v>24</v>
      </c>
      <c r="F1637" t="s">
        <v>24</v>
      </c>
      <c r="G1637" t="str">
        <f>"2025-12-31 11:25:06.741"</f>
        <v>2025-12-31 11:25:06.741</v>
      </c>
      <c r="H1637" t="s">
        <v>22</v>
      </c>
    </row>
    <row r="1638" spans="1:10" x14ac:dyDescent="0.25">
      <c r="A1638" s="1">
        <v>702</v>
      </c>
      <c r="B1638" t="s">
        <v>19</v>
      </c>
      <c r="C1638">
        <v>700</v>
      </c>
      <c r="D1638">
        <v>0</v>
      </c>
      <c r="E1638" t="s">
        <v>24</v>
      </c>
      <c r="F1638" t="s">
        <v>24</v>
      </c>
      <c r="G1638" t="str">
        <f>"2025-12-31 11:20:16.614"</f>
        <v>2025-12-31 11:20:16.614</v>
      </c>
      <c r="H1638" t="s">
        <v>22</v>
      </c>
      <c r="I1638">
        <v>0</v>
      </c>
      <c r="J1638" t="s">
        <v>25</v>
      </c>
    </row>
    <row r="1639" spans="1:10" x14ac:dyDescent="0.25">
      <c r="A1639" s="1">
        <v>703</v>
      </c>
      <c r="B1639" t="s">
        <v>19</v>
      </c>
      <c r="C1639">
        <v>700</v>
      </c>
      <c r="D1639">
        <v>0</v>
      </c>
      <c r="E1639" t="s">
        <v>24</v>
      </c>
      <c r="F1639" t="s">
        <v>24</v>
      </c>
      <c r="G1639" t="str">
        <f>"2025-12-31 11:08:40.614"</f>
        <v>2025-12-31 11:08:40.614</v>
      </c>
      <c r="H1639" t="s">
        <v>22</v>
      </c>
      <c r="I1639">
        <v>0</v>
      </c>
      <c r="J1639" t="s">
        <v>25</v>
      </c>
    </row>
    <row r="1640" spans="1:10" x14ac:dyDescent="0.25">
      <c r="A1640" s="1">
        <v>704</v>
      </c>
      <c r="B1640" t="s">
        <v>19</v>
      </c>
      <c r="C1640">
        <v>700</v>
      </c>
      <c r="D1640">
        <v>0</v>
      </c>
      <c r="E1640" t="s">
        <v>24</v>
      </c>
      <c r="F1640" t="s">
        <v>24</v>
      </c>
      <c r="G1640" t="str">
        <f>"2025-12-31 11:04:34.610"</f>
        <v>2025-12-31 11:04:34.610</v>
      </c>
      <c r="H1640" t="s">
        <v>22</v>
      </c>
    </row>
    <row r="1641" spans="1:10" x14ac:dyDescent="0.25">
      <c r="A1641" s="1">
        <v>705</v>
      </c>
      <c r="B1641" t="s">
        <v>19</v>
      </c>
      <c r="C1641">
        <v>700</v>
      </c>
      <c r="D1641">
        <v>0</v>
      </c>
      <c r="E1641" t="s">
        <v>24</v>
      </c>
      <c r="F1641" t="s">
        <v>24</v>
      </c>
      <c r="G1641" t="str">
        <f>"2025-12-31 11:02:18.608"</f>
        <v>2025-12-31 11:02:18.608</v>
      </c>
      <c r="H1641" t="s">
        <v>22</v>
      </c>
      <c r="I1641">
        <v>0</v>
      </c>
      <c r="J1641" t="s">
        <v>25</v>
      </c>
    </row>
    <row r="1642" spans="1:10" x14ac:dyDescent="0.25">
      <c r="A1642" s="1">
        <v>706</v>
      </c>
      <c r="B1642" t="s">
        <v>26</v>
      </c>
      <c r="C1642">
        <v>54</v>
      </c>
      <c r="D1642">
        <v>1</v>
      </c>
      <c r="E1642" t="s">
        <v>87</v>
      </c>
      <c r="F1642" t="s">
        <v>88</v>
      </c>
      <c r="G1642" t="str">
        <f>"2025-12-31 10:54:59.032"</f>
        <v>2025-12-31 10:54:59.032</v>
      </c>
      <c r="H1642" t="s">
        <v>22</v>
      </c>
    </row>
    <row r="1643" spans="1:10" x14ac:dyDescent="0.25">
      <c r="A1643" s="1">
        <v>707</v>
      </c>
      <c r="B1643" t="s">
        <v>19</v>
      </c>
      <c r="C1643">
        <v>700</v>
      </c>
      <c r="D1643">
        <v>0</v>
      </c>
      <c r="E1643" t="s">
        <v>24</v>
      </c>
      <c r="F1643" t="s">
        <v>24</v>
      </c>
      <c r="G1643" t="str">
        <f>"2025-12-31 10:54:45.763"</f>
        <v>2025-12-31 10:54:45.763</v>
      </c>
      <c r="H1643" t="s">
        <v>22</v>
      </c>
      <c r="I1643">
        <v>0</v>
      </c>
      <c r="J1643" t="s">
        <v>25</v>
      </c>
    </row>
    <row r="1644" spans="1:10" x14ac:dyDescent="0.25">
      <c r="A1644" s="1">
        <v>708</v>
      </c>
      <c r="B1644" t="s">
        <v>26</v>
      </c>
      <c r="C1644">
        <v>635</v>
      </c>
      <c r="D1644">
        <v>1</v>
      </c>
      <c r="E1644" t="s">
        <v>27</v>
      </c>
      <c r="F1644" t="s">
        <v>28</v>
      </c>
      <c r="G1644" t="str">
        <f>"2025-12-31 06:48:18.238"</f>
        <v>2025-12-31 06:48:18.238</v>
      </c>
      <c r="H1644" t="s">
        <v>22</v>
      </c>
    </row>
    <row r="1645" spans="1:10" x14ac:dyDescent="0.25">
      <c r="A1645" s="1">
        <v>709</v>
      </c>
      <c r="B1645" t="s">
        <v>29</v>
      </c>
      <c r="C1645">
        <v>635</v>
      </c>
      <c r="D1645">
        <v>1</v>
      </c>
      <c r="E1645" t="s">
        <v>27</v>
      </c>
      <c r="F1645" t="s">
        <v>28</v>
      </c>
      <c r="G1645" t="str">
        <f>"2025-12-31 06:44:43.738"</f>
        <v>2025-12-31 06:44:43.738</v>
      </c>
      <c r="H1645" t="s">
        <v>22</v>
      </c>
      <c r="I1645">
        <v>5.72</v>
      </c>
      <c r="J1645" t="s">
        <v>37</v>
      </c>
    </row>
    <row r="1646" spans="1:10" s="3" customFormat="1" x14ac:dyDescent="0.25">
      <c r="A1646" s="2">
        <v>710</v>
      </c>
      <c r="B1646" s="3" t="s">
        <v>26</v>
      </c>
      <c r="C1646" s="3">
        <v>647</v>
      </c>
      <c r="D1646" s="3">
        <v>1</v>
      </c>
      <c r="E1646" s="3" t="s">
        <v>35</v>
      </c>
      <c r="F1646" s="3" t="s">
        <v>36</v>
      </c>
      <c r="G1646" s="3" t="str">
        <f>"2025-12-31 01:36:08.487"</f>
        <v>2025-12-31 01:36:08.487</v>
      </c>
      <c r="H1646" s="3" t="s">
        <v>22</v>
      </c>
    </row>
    <row r="1647" spans="1:10" s="3" customFormat="1" x14ac:dyDescent="0.25">
      <c r="A1647" s="2">
        <v>711</v>
      </c>
      <c r="B1647" s="3" t="s">
        <v>29</v>
      </c>
      <c r="C1647" s="3">
        <v>647</v>
      </c>
      <c r="D1647" s="3">
        <v>1</v>
      </c>
      <c r="E1647" s="3" t="s">
        <v>35</v>
      </c>
      <c r="F1647" s="3" t="s">
        <v>36</v>
      </c>
      <c r="G1647" s="3" t="str">
        <f>"2025-12-31 01:36:04.786"</f>
        <v>2025-12-31 01:36:04.786</v>
      </c>
      <c r="H1647" s="3" t="s">
        <v>22</v>
      </c>
      <c r="I1647" s="3">
        <v>12.89</v>
      </c>
      <c r="J1647" s="3" t="s">
        <v>37</v>
      </c>
    </row>
    <row r="1648" spans="1:10" x14ac:dyDescent="0.25">
      <c r="A1648" s="1">
        <v>712</v>
      </c>
      <c r="B1648" t="s">
        <v>26</v>
      </c>
      <c r="C1648">
        <v>635</v>
      </c>
      <c r="D1648">
        <v>1</v>
      </c>
      <c r="E1648" t="s">
        <v>27</v>
      </c>
      <c r="F1648" t="s">
        <v>28</v>
      </c>
      <c r="G1648" t="str">
        <f>"2025-12-30 14:20:45.438"</f>
        <v>2025-12-30 14:20:45.438</v>
      </c>
      <c r="H1648" t="s">
        <v>22</v>
      </c>
    </row>
    <row r="1649" spans="1:10" x14ac:dyDescent="0.25">
      <c r="A1649" s="1">
        <v>713</v>
      </c>
      <c r="B1649" t="s">
        <v>29</v>
      </c>
      <c r="C1649">
        <v>635</v>
      </c>
      <c r="D1649">
        <v>1</v>
      </c>
      <c r="E1649" t="s">
        <v>27</v>
      </c>
      <c r="F1649" t="s">
        <v>28</v>
      </c>
      <c r="G1649" t="str">
        <f>"2025-12-30 14:16:05.938"</f>
        <v>2025-12-30 14:16:05.938</v>
      </c>
      <c r="H1649" t="s">
        <v>22</v>
      </c>
      <c r="I1649">
        <v>5</v>
      </c>
      <c r="J1649" t="s">
        <v>37</v>
      </c>
    </row>
    <row r="1650" spans="1:10" x14ac:dyDescent="0.25">
      <c r="A1650" s="1">
        <v>714</v>
      </c>
      <c r="B1650" t="s">
        <v>19</v>
      </c>
      <c r="C1650">
        <v>706</v>
      </c>
      <c r="D1650">
        <v>4</v>
      </c>
      <c r="E1650" t="s">
        <v>20</v>
      </c>
      <c r="F1650" t="s">
        <v>21</v>
      </c>
      <c r="G1650" t="str">
        <f>"2025-12-30 08:18:35.599"</f>
        <v>2025-12-30 08:18:35.599</v>
      </c>
      <c r="H1650" t="s">
        <v>22</v>
      </c>
      <c r="I1650">
        <v>0</v>
      </c>
      <c r="J1650" t="s">
        <v>23</v>
      </c>
    </row>
    <row r="1651" spans="1:10" x14ac:dyDescent="0.25">
      <c r="A1651" s="1">
        <v>715</v>
      </c>
      <c r="B1651" t="s">
        <v>19</v>
      </c>
      <c r="C1651">
        <v>706</v>
      </c>
      <c r="D1651">
        <v>3</v>
      </c>
      <c r="E1651" t="s">
        <v>20</v>
      </c>
      <c r="F1651" t="s">
        <v>48</v>
      </c>
      <c r="G1651" t="str">
        <f>"2025-12-30 08:08:27.789"</f>
        <v>2025-12-30 08:08:27.789</v>
      </c>
      <c r="H1651" t="s">
        <v>22</v>
      </c>
      <c r="I1651">
        <v>0</v>
      </c>
      <c r="J1651" t="s">
        <v>23</v>
      </c>
    </row>
    <row r="1652" spans="1:10" s="3" customFormat="1" x14ac:dyDescent="0.25">
      <c r="A1652" s="2">
        <v>716</v>
      </c>
      <c r="B1652" s="3" t="s">
        <v>26</v>
      </c>
      <c r="C1652" s="3">
        <v>647</v>
      </c>
      <c r="D1652" s="3">
        <v>1</v>
      </c>
      <c r="E1652" s="3" t="s">
        <v>35</v>
      </c>
      <c r="F1652" s="3" t="s">
        <v>36</v>
      </c>
      <c r="G1652" s="3" t="str">
        <f>"2025-12-30 05:20:12.286"</f>
        <v>2025-12-30 05:20:12.286</v>
      </c>
      <c r="H1652" s="3" t="s">
        <v>22</v>
      </c>
    </row>
    <row r="1653" spans="1:10" s="3" customFormat="1" x14ac:dyDescent="0.25">
      <c r="A1653" s="2">
        <v>717</v>
      </c>
      <c r="B1653" s="3" t="s">
        <v>29</v>
      </c>
      <c r="C1653" s="3">
        <v>647</v>
      </c>
      <c r="D1653" s="3">
        <v>1</v>
      </c>
      <c r="E1653" s="3" t="s">
        <v>35</v>
      </c>
      <c r="F1653" s="3" t="s">
        <v>36</v>
      </c>
      <c r="G1653" s="3" t="str">
        <f>"2025-12-30 05:20:09.986"</f>
        <v>2025-12-30 05:20:09.986</v>
      </c>
      <c r="H1653" s="3" t="s">
        <v>22</v>
      </c>
      <c r="I1653" s="3">
        <v>8.77</v>
      </c>
      <c r="J1653" s="3" t="s">
        <v>37</v>
      </c>
    </row>
    <row r="1654" spans="1:10" s="3" customFormat="1" x14ac:dyDescent="0.25">
      <c r="A1654" s="2">
        <v>718</v>
      </c>
      <c r="B1654" s="3" t="s">
        <v>26</v>
      </c>
      <c r="C1654" s="3">
        <v>647</v>
      </c>
      <c r="D1654" s="3">
        <v>1</v>
      </c>
      <c r="E1654" s="3" t="s">
        <v>35</v>
      </c>
      <c r="F1654" s="3" t="s">
        <v>36</v>
      </c>
      <c r="G1654" s="3" t="str">
        <f>"2025-12-30 02:47:27.886"</f>
        <v>2025-12-30 02:47:27.886</v>
      </c>
      <c r="H1654" s="3" t="s">
        <v>22</v>
      </c>
    </row>
    <row r="1655" spans="1:10" s="3" customFormat="1" x14ac:dyDescent="0.25">
      <c r="A1655" s="2">
        <v>719</v>
      </c>
      <c r="B1655" s="3" t="s">
        <v>29</v>
      </c>
      <c r="C1655" s="3">
        <v>647</v>
      </c>
      <c r="D1655" s="3">
        <v>1</v>
      </c>
      <c r="E1655" s="3" t="s">
        <v>35</v>
      </c>
      <c r="F1655" s="3" t="s">
        <v>36</v>
      </c>
      <c r="G1655" s="3" t="str">
        <f>"2025-12-30 02:47:20.986"</f>
        <v>2025-12-30 02:47:20.986</v>
      </c>
      <c r="H1655" s="3" t="s">
        <v>22</v>
      </c>
      <c r="I1655" s="3">
        <v>19.63</v>
      </c>
      <c r="J1655" s="3" t="s">
        <v>37</v>
      </c>
    </row>
    <row r="1656" spans="1:10" x14ac:dyDescent="0.25">
      <c r="A1656" s="1">
        <v>720</v>
      </c>
      <c r="B1656" t="s">
        <v>26</v>
      </c>
      <c r="C1656">
        <v>635</v>
      </c>
      <c r="D1656">
        <v>1</v>
      </c>
      <c r="E1656" t="s">
        <v>27</v>
      </c>
      <c r="F1656" t="s">
        <v>28</v>
      </c>
      <c r="G1656" t="str">
        <f>"2025-12-30 02:14:20.738"</f>
        <v>2025-12-30 02:14:20.738</v>
      </c>
      <c r="H1656" t="s">
        <v>22</v>
      </c>
    </row>
    <row r="1657" spans="1:10" x14ac:dyDescent="0.25">
      <c r="A1657" s="1">
        <v>721</v>
      </c>
      <c r="B1657" t="s">
        <v>29</v>
      </c>
      <c r="C1657">
        <v>635</v>
      </c>
      <c r="D1657">
        <v>1</v>
      </c>
      <c r="E1657" t="s">
        <v>27</v>
      </c>
      <c r="F1657" t="s">
        <v>28</v>
      </c>
      <c r="G1657" t="str">
        <f>"2025-12-30 02:09:48.738"</f>
        <v>2025-12-30 02:09:48.738</v>
      </c>
      <c r="H1657" t="s">
        <v>22</v>
      </c>
      <c r="I1657">
        <v>3.64</v>
      </c>
      <c r="J1657" t="s">
        <v>38</v>
      </c>
    </row>
    <row r="1658" spans="1:10" x14ac:dyDescent="0.25">
      <c r="A1658" s="1">
        <v>722</v>
      </c>
      <c r="B1658" t="s">
        <v>26</v>
      </c>
      <c r="C1658">
        <v>635</v>
      </c>
      <c r="D1658">
        <v>1</v>
      </c>
      <c r="E1658" t="s">
        <v>27</v>
      </c>
      <c r="F1658" t="s">
        <v>28</v>
      </c>
      <c r="G1658" t="str">
        <f>"2025-12-29 23:09:16.038"</f>
        <v>2025-12-29 23:09:16.038</v>
      </c>
      <c r="H1658" t="s">
        <v>22</v>
      </c>
    </row>
    <row r="1659" spans="1:10" x14ac:dyDescent="0.25">
      <c r="A1659" s="1">
        <v>723</v>
      </c>
      <c r="B1659" t="s">
        <v>29</v>
      </c>
      <c r="C1659">
        <v>635</v>
      </c>
      <c r="D1659">
        <v>1</v>
      </c>
      <c r="E1659" t="s">
        <v>27</v>
      </c>
      <c r="F1659" t="s">
        <v>28</v>
      </c>
      <c r="G1659" t="str">
        <f>"2025-12-29 23:06:17.038"</f>
        <v>2025-12-29 23:06:17.038</v>
      </c>
      <c r="H1659" t="s">
        <v>22</v>
      </c>
      <c r="I1659">
        <v>4.12</v>
      </c>
      <c r="J1659" t="s">
        <v>38</v>
      </c>
    </row>
    <row r="1660" spans="1:10" x14ac:dyDescent="0.25">
      <c r="A1660" s="1">
        <v>724</v>
      </c>
      <c r="B1660" t="s">
        <v>29</v>
      </c>
      <c r="C1660">
        <v>54</v>
      </c>
      <c r="D1660">
        <v>1</v>
      </c>
      <c r="E1660" t="s">
        <v>87</v>
      </c>
      <c r="F1660" t="s">
        <v>88</v>
      </c>
      <c r="G1660" t="str">
        <f>"2025-12-29 17:52:43.598"</f>
        <v>2025-12-29 17:52:43.598</v>
      </c>
      <c r="H1660" t="s">
        <v>22</v>
      </c>
      <c r="I1660">
        <v>6.16</v>
      </c>
      <c r="J1660" t="s">
        <v>30</v>
      </c>
    </row>
    <row r="1661" spans="1:10" x14ac:dyDescent="0.25">
      <c r="A1661" s="1">
        <v>725</v>
      </c>
      <c r="B1661" t="s">
        <v>19</v>
      </c>
      <c r="C1661">
        <v>706</v>
      </c>
      <c r="D1661">
        <v>4</v>
      </c>
      <c r="E1661" t="s">
        <v>20</v>
      </c>
      <c r="F1661" t="s">
        <v>21</v>
      </c>
      <c r="G1661" t="str">
        <f>"2025-12-29 16:31:53.549"</f>
        <v>2025-12-29 16:31:53.549</v>
      </c>
      <c r="H1661" t="s">
        <v>22</v>
      </c>
      <c r="I1661">
        <v>0</v>
      </c>
      <c r="J1661" t="s">
        <v>23</v>
      </c>
    </row>
    <row r="1662" spans="1:10" x14ac:dyDescent="0.25">
      <c r="A1662" s="1">
        <v>726</v>
      </c>
      <c r="B1662" t="s">
        <v>19</v>
      </c>
      <c r="C1662">
        <v>700</v>
      </c>
      <c r="D1662">
        <v>0</v>
      </c>
      <c r="E1662" t="s">
        <v>24</v>
      </c>
      <c r="F1662" t="s">
        <v>24</v>
      </c>
      <c r="G1662" t="str">
        <f>"2025-12-29 16:31:35.609"</f>
        <v>2025-12-29 16:31:35.609</v>
      </c>
      <c r="H1662" t="s">
        <v>22</v>
      </c>
    </row>
    <row r="1663" spans="1:10" x14ac:dyDescent="0.25">
      <c r="A1663" s="1">
        <v>727</v>
      </c>
      <c r="B1663" t="s">
        <v>44</v>
      </c>
      <c r="C1663">
        <v>77</v>
      </c>
      <c r="D1663">
        <v>1</v>
      </c>
      <c r="E1663" t="s">
        <v>45</v>
      </c>
      <c r="F1663" t="s">
        <v>46</v>
      </c>
      <c r="G1663" t="str">
        <f>"2025-12-29 15:40:54.555"</f>
        <v>2025-12-29 15:40:54.555</v>
      </c>
      <c r="H1663" t="s">
        <v>47</v>
      </c>
    </row>
    <row r="1664" spans="1:10" x14ac:dyDescent="0.25">
      <c r="A1664" s="1">
        <v>728</v>
      </c>
      <c r="B1664" t="s">
        <v>34</v>
      </c>
      <c r="C1664">
        <v>77</v>
      </c>
      <c r="D1664">
        <v>1</v>
      </c>
      <c r="E1664" t="s">
        <v>45</v>
      </c>
      <c r="F1664" t="s">
        <v>46</v>
      </c>
      <c r="G1664" t="str">
        <f>"2025-12-29 15:40:49.523"</f>
        <v>2025-12-29 15:40:49.523</v>
      </c>
      <c r="H1664" t="s">
        <v>47</v>
      </c>
      <c r="I1664">
        <v>0</v>
      </c>
      <c r="J1664" t="s">
        <v>23</v>
      </c>
    </row>
    <row r="1665" spans="1:10" x14ac:dyDescent="0.25">
      <c r="A1665" s="1">
        <v>729</v>
      </c>
      <c r="B1665" t="s">
        <v>19</v>
      </c>
      <c r="C1665">
        <v>700</v>
      </c>
      <c r="D1665">
        <v>0</v>
      </c>
      <c r="E1665" t="s">
        <v>24</v>
      </c>
      <c r="F1665" t="s">
        <v>24</v>
      </c>
      <c r="G1665" t="str">
        <f>"2025-12-29 15:40:12.615"</f>
        <v>2025-12-29 15:40:12.615</v>
      </c>
      <c r="H1665" t="s">
        <v>22</v>
      </c>
      <c r="I1665">
        <v>0</v>
      </c>
      <c r="J1665" t="s">
        <v>25</v>
      </c>
    </row>
    <row r="1666" spans="1:10" x14ac:dyDescent="0.25">
      <c r="A1666" s="1">
        <v>730</v>
      </c>
      <c r="B1666" t="s">
        <v>19</v>
      </c>
      <c r="C1666">
        <v>700</v>
      </c>
      <c r="D1666">
        <v>0</v>
      </c>
      <c r="E1666" t="s">
        <v>24</v>
      </c>
      <c r="F1666" t="s">
        <v>24</v>
      </c>
      <c r="G1666" t="str">
        <f>"2025-12-29 06:16:27.607"</f>
        <v>2025-12-29 06:16:27.607</v>
      </c>
      <c r="H1666" t="s">
        <v>22</v>
      </c>
      <c r="I1666">
        <v>0</v>
      </c>
      <c r="J1666" t="s">
        <v>25</v>
      </c>
    </row>
    <row r="1667" spans="1:10" x14ac:dyDescent="0.25">
      <c r="A1667" s="1">
        <v>731</v>
      </c>
      <c r="B1667" t="s">
        <v>34</v>
      </c>
      <c r="C1667">
        <v>630</v>
      </c>
      <c r="D1667">
        <v>5</v>
      </c>
      <c r="E1667" t="s">
        <v>39</v>
      </c>
      <c r="F1667" t="s">
        <v>40</v>
      </c>
      <c r="G1667" t="str">
        <f>"2025-12-29 03:02:51.334"</f>
        <v>2025-12-29 03:02:51.334</v>
      </c>
      <c r="H1667" t="s">
        <v>41</v>
      </c>
      <c r="I1667">
        <v>0</v>
      </c>
      <c r="J1667" t="s">
        <v>23</v>
      </c>
    </row>
    <row r="1668" spans="1:10" x14ac:dyDescent="0.25">
      <c r="A1668" s="1">
        <v>732</v>
      </c>
      <c r="B1668" t="s">
        <v>19</v>
      </c>
      <c r="C1668">
        <v>700</v>
      </c>
      <c r="D1668">
        <v>0</v>
      </c>
      <c r="E1668" t="s">
        <v>24</v>
      </c>
      <c r="F1668" t="s">
        <v>24</v>
      </c>
      <c r="G1668" t="str">
        <f>"2025-12-29 02:57:48.612"</f>
        <v>2025-12-29 02:57:48.612</v>
      </c>
      <c r="H1668" t="s">
        <v>22</v>
      </c>
      <c r="I1668">
        <v>0</v>
      </c>
      <c r="J1668" t="s">
        <v>25</v>
      </c>
    </row>
    <row r="1669" spans="1:10" x14ac:dyDescent="0.25">
      <c r="A1669" s="1">
        <v>733</v>
      </c>
      <c r="B1669" t="s">
        <v>19</v>
      </c>
      <c r="C1669">
        <v>700</v>
      </c>
      <c r="D1669">
        <v>0</v>
      </c>
      <c r="E1669" t="s">
        <v>24</v>
      </c>
      <c r="F1669" t="s">
        <v>24</v>
      </c>
      <c r="G1669" t="str">
        <f>"2025-12-29 02:44:53.603"</f>
        <v>2025-12-29 02:44:53.603</v>
      </c>
      <c r="H1669" t="s">
        <v>22</v>
      </c>
      <c r="I1669">
        <v>0</v>
      </c>
      <c r="J1669" t="s">
        <v>25</v>
      </c>
    </row>
    <row r="1670" spans="1:10" x14ac:dyDescent="0.25">
      <c r="A1670" s="1">
        <v>734</v>
      </c>
      <c r="B1670" t="s">
        <v>34</v>
      </c>
      <c r="C1670">
        <v>630</v>
      </c>
      <c r="D1670">
        <v>5</v>
      </c>
      <c r="E1670" t="s">
        <v>39</v>
      </c>
      <c r="F1670" t="s">
        <v>40</v>
      </c>
      <c r="G1670" t="str">
        <f>"2025-12-29 02:29:57.331"</f>
        <v>2025-12-29 02:29:57.331</v>
      </c>
      <c r="H1670" t="s">
        <v>41</v>
      </c>
      <c r="I1670">
        <v>0</v>
      </c>
      <c r="J1670" t="s">
        <v>23</v>
      </c>
    </row>
    <row r="1671" spans="1:10" x14ac:dyDescent="0.25">
      <c r="A1671" s="1">
        <v>735</v>
      </c>
      <c r="B1671" t="s">
        <v>19</v>
      </c>
      <c r="C1671">
        <v>700</v>
      </c>
      <c r="D1671">
        <v>0</v>
      </c>
      <c r="E1671" t="s">
        <v>24</v>
      </c>
      <c r="F1671" t="s">
        <v>24</v>
      </c>
      <c r="G1671" t="str">
        <f>"2025-12-29 02:24:54.610"</f>
        <v>2025-12-29 02:24:54.610</v>
      </c>
      <c r="H1671" t="s">
        <v>22</v>
      </c>
      <c r="I1671">
        <v>0</v>
      </c>
      <c r="J1671" t="s">
        <v>25</v>
      </c>
    </row>
    <row r="1672" spans="1:10" x14ac:dyDescent="0.25">
      <c r="A1672" s="1">
        <v>736</v>
      </c>
      <c r="B1672" t="s">
        <v>19</v>
      </c>
      <c r="C1672">
        <v>706</v>
      </c>
      <c r="D1672">
        <v>4</v>
      </c>
      <c r="E1672" t="s">
        <v>20</v>
      </c>
      <c r="F1672" t="s">
        <v>21</v>
      </c>
      <c r="G1672" t="str">
        <f>"2025-12-27 12:11:47.203"</f>
        <v>2025-12-27 12:11:47.203</v>
      </c>
      <c r="H1672" t="s">
        <v>22</v>
      </c>
      <c r="I1672">
        <v>0</v>
      </c>
      <c r="J1672" t="s">
        <v>23</v>
      </c>
    </row>
    <row r="1673" spans="1:10" x14ac:dyDescent="0.25">
      <c r="A1673" s="1">
        <v>739</v>
      </c>
      <c r="B1673" t="s">
        <v>26</v>
      </c>
      <c r="C1673">
        <v>619</v>
      </c>
      <c r="D1673">
        <v>1</v>
      </c>
      <c r="E1673" t="s">
        <v>79</v>
      </c>
      <c r="F1673" t="s">
        <v>28</v>
      </c>
      <c r="G1673" t="str">
        <f>"2025-12-27 00:53:35.213"</f>
        <v>2025-12-27 00:53:35.213</v>
      </c>
      <c r="H1673" t="s">
        <v>80</v>
      </c>
    </row>
    <row r="1674" spans="1:10" x14ac:dyDescent="0.25">
      <c r="A1674" s="1">
        <v>740</v>
      </c>
      <c r="B1674" t="s">
        <v>29</v>
      </c>
      <c r="C1674">
        <v>619</v>
      </c>
      <c r="D1674">
        <v>1</v>
      </c>
      <c r="E1674" t="s">
        <v>79</v>
      </c>
      <c r="F1674" t="s">
        <v>28</v>
      </c>
      <c r="G1674" t="str">
        <f>"2025-12-27 00:52:39.713"</f>
        <v>2025-12-27 00:52:39.713</v>
      </c>
      <c r="H1674" t="s">
        <v>80</v>
      </c>
      <c r="I1674">
        <v>0</v>
      </c>
      <c r="J1674" t="s">
        <v>38</v>
      </c>
    </row>
    <row r="1675" spans="1:10" x14ac:dyDescent="0.25">
      <c r="A1675" s="1">
        <v>741</v>
      </c>
      <c r="B1675" t="s">
        <v>19</v>
      </c>
      <c r="C1675">
        <v>700</v>
      </c>
      <c r="D1675">
        <v>0</v>
      </c>
      <c r="E1675" t="s">
        <v>24</v>
      </c>
      <c r="F1675" t="s">
        <v>24</v>
      </c>
      <c r="G1675" t="str">
        <f>"2025-12-25 09:48:52.653"</f>
        <v>2025-12-25 09:48:52.653</v>
      </c>
      <c r="H1675" t="s">
        <v>22</v>
      </c>
      <c r="I1675">
        <v>0</v>
      </c>
      <c r="J1675" t="s">
        <v>25</v>
      </c>
    </row>
    <row r="1676" spans="1:10" s="3" customFormat="1" x14ac:dyDescent="0.25">
      <c r="A1676" s="2">
        <v>742</v>
      </c>
      <c r="B1676" s="3" t="s">
        <v>26</v>
      </c>
      <c r="C1676" s="3">
        <v>647</v>
      </c>
      <c r="D1676" s="3">
        <v>1</v>
      </c>
      <c r="E1676" s="3" t="s">
        <v>35</v>
      </c>
      <c r="F1676" s="3" t="s">
        <v>36</v>
      </c>
      <c r="G1676" s="3" t="str">
        <f>"2025-12-25 06:31:18.234"</f>
        <v>2025-12-25 06:31:18.234</v>
      </c>
      <c r="H1676" s="3" t="s">
        <v>22</v>
      </c>
    </row>
    <row r="1677" spans="1:10" s="3" customFormat="1" x14ac:dyDescent="0.25">
      <c r="A1677" s="2">
        <v>743</v>
      </c>
      <c r="B1677" s="3" t="s">
        <v>29</v>
      </c>
      <c r="C1677" s="3">
        <v>647</v>
      </c>
      <c r="D1677" s="3">
        <v>1</v>
      </c>
      <c r="E1677" s="3" t="s">
        <v>35</v>
      </c>
      <c r="F1677" s="3" t="s">
        <v>36</v>
      </c>
      <c r="G1677" s="3" t="str">
        <f>"2025-12-25 06:31:14.934"</f>
        <v>2025-12-25 06:31:14.934</v>
      </c>
      <c r="H1677" s="3" t="s">
        <v>22</v>
      </c>
      <c r="I1677" s="3">
        <v>17.37</v>
      </c>
      <c r="J1677" s="3" t="s">
        <v>37</v>
      </c>
    </row>
    <row r="1678" spans="1:10" s="3" customFormat="1" x14ac:dyDescent="0.25">
      <c r="A1678" s="2">
        <v>744</v>
      </c>
      <c r="B1678" s="3" t="s">
        <v>26</v>
      </c>
      <c r="C1678" s="3">
        <v>647</v>
      </c>
      <c r="D1678" s="3">
        <v>1</v>
      </c>
      <c r="E1678" s="3" t="s">
        <v>35</v>
      </c>
      <c r="F1678" s="3" t="s">
        <v>36</v>
      </c>
      <c r="G1678" s="3" t="str">
        <f>"2025-12-25 02:24:57.334"</f>
        <v>2025-12-25 02:24:57.334</v>
      </c>
      <c r="H1678" s="3" t="s">
        <v>22</v>
      </c>
    </row>
    <row r="1679" spans="1:10" s="3" customFormat="1" x14ac:dyDescent="0.25">
      <c r="A1679" s="2">
        <v>745</v>
      </c>
      <c r="B1679" s="3" t="s">
        <v>29</v>
      </c>
      <c r="C1679" s="3">
        <v>647</v>
      </c>
      <c r="D1679" s="3">
        <v>1</v>
      </c>
      <c r="E1679" s="3" t="s">
        <v>35</v>
      </c>
      <c r="F1679" s="3" t="s">
        <v>36</v>
      </c>
      <c r="G1679" s="3" t="str">
        <f>"2025-12-25 02:24:53.134"</f>
        <v>2025-12-25 02:24:53.134</v>
      </c>
      <c r="H1679" s="3" t="s">
        <v>22</v>
      </c>
      <c r="I1679" s="3">
        <v>10.78</v>
      </c>
      <c r="J1679" s="3" t="s">
        <v>37</v>
      </c>
    </row>
    <row r="1680" spans="1:10" x14ac:dyDescent="0.25">
      <c r="A1680" s="1">
        <v>746</v>
      </c>
      <c r="B1680" t="s">
        <v>31</v>
      </c>
      <c r="C1680">
        <v>216</v>
      </c>
      <c r="D1680">
        <v>5</v>
      </c>
      <c r="E1680" t="s">
        <v>109</v>
      </c>
      <c r="F1680" t="s">
        <v>110</v>
      </c>
      <c r="G1680" t="str">
        <f>"2025-12-24 06:54:58.114"</f>
        <v>2025-12-24 06:54:58.114</v>
      </c>
      <c r="H1680" t="s">
        <v>59</v>
      </c>
    </row>
    <row r="1681" spans="1:10" x14ac:dyDescent="0.25">
      <c r="A1681" s="1">
        <v>747</v>
      </c>
      <c r="B1681" t="s">
        <v>34</v>
      </c>
      <c r="C1681">
        <v>216</v>
      </c>
      <c r="D1681">
        <v>5</v>
      </c>
      <c r="E1681" t="s">
        <v>109</v>
      </c>
      <c r="F1681" t="s">
        <v>110</v>
      </c>
      <c r="G1681" t="str">
        <f>"2025-12-24 06:54:54.840"</f>
        <v>2025-12-24 06:54:54.840</v>
      </c>
      <c r="H1681" t="s">
        <v>59</v>
      </c>
      <c r="I1681">
        <v>23.23</v>
      </c>
      <c r="J1681" t="s">
        <v>30</v>
      </c>
    </row>
    <row r="1682" spans="1:10" x14ac:dyDescent="0.25">
      <c r="A1682" s="1">
        <v>748</v>
      </c>
      <c r="B1682" t="s">
        <v>26</v>
      </c>
      <c r="C1682">
        <v>635</v>
      </c>
      <c r="D1682">
        <v>1</v>
      </c>
      <c r="E1682" t="s">
        <v>27</v>
      </c>
      <c r="F1682" t="s">
        <v>28</v>
      </c>
      <c r="G1682" t="str">
        <f>"2025-12-24 06:14:05.585"</f>
        <v>2025-12-24 06:14:05.585</v>
      </c>
      <c r="H1682" t="s">
        <v>22</v>
      </c>
    </row>
    <row r="1683" spans="1:10" x14ac:dyDescent="0.25">
      <c r="A1683" s="1">
        <v>749</v>
      </c>
      <c r="B1683" t="s">
        <v>29</v>
      </c>
      <c r="C1683">
        <v>635</v>
      </c>
      <c r="D1683">
        <v>1</v>
      </c>
      <c r="E1683" t="s">
        <v>27</v>
      </c>
      <c r="F1683" t="s">
        <v>28</v>
      </c>
      <c r="G1683" t="str">
        <f>"2025-12-24 05:45:22.085"</f>
        <v>2025-12-24 05:45:22.085</v>
      </c>
      <c r="H1683" t="s">
        <v>22</v>
      </c>
      <c r="I1683">
        <v>7.46</v>
      </c>
      <c r="J1683" t="s">
        <v>30</v>
      </c>
    </row>
    <row r="1684" spans="1:10" x14ac:dyDescent="0.25">
      <c r="A1684" s="1">
        <v>750</v>
      </c>
      <c r="B1684" t="s">
        <v>26</v>
      </c>
      <c r="C1684">
        <v>635</v>
      </c>
      <c r="D1684">
        <v>1</v>
      </c>
      <c r="E1684" t="s">
        <v>27</v>
      </c>
      <c r="F1684" t="s">
        <v>28</v>
      </c>
      <c r="G1684" t="str">
        <f>"2025-12-24 05:29:31.185"</f>
        <v>2025-12-24 05:29:31.185</v>
      </c>
      <c r="H1684" t="s">
        <v>22</v>
      </c>
    </row>
    <row r="1685" spans="1:10" x14ac:dyDescent="0.25">
      <c r="A1685" s="1">
        <v>751</v>
      </c>
      <c r="B1685" t="s">
        <v>29</v>
      </c>
      <c r="C1685">
        <v>635</v>
      </c>
      <c r="D1685">
        <v>1</v>
      </c>
      <c r="E1685" t="s">
        <v>27</v>
      </c>
      <c r="F1685" t="s">
        <v>28</v>
      </c>
      <c r="G1685" t="str">
        <f>"2025-12-24 05:02:55.685"</f>
        <v>2025-12-24 05:02:55.685</v>
      </c>
      <c r="H1685" t="s">
        <v>22</v>
      </c>
      <c r="I1685">
        <v>6.78</v>
      </c>
      <c r="J1685" t="s">
        <v>30</v>
      </c>
    </row>
    <row r="1686" spans="1:10" s="3" customFormat="1" x14ac:dyDescent="0.25">
      <c r="A1686" s="2">
        <v>752</v>
      </c>
      <c r="B1686" s="3" t="s">
        <v>26</v>
      </c>
      <c r="C1686" s="3">
        <v>647</v>
      </c>
      <c r="D1686" s="3">
        <v>1</v>
      </c>
      <c r="E1686" s="3" t="s">
        <v>35</v>
      </c>
      <c r="F1686" s="3" t="s">
        <v>36</v>
      </c>
      <c r="G1686" s="3" t="str">
        <f>"2025-12-24 04:10:49.434"</f>
        <v>2025-12-24 04:10:49.434</v>
      </c>
      <c r="H1686" s="3" t="s">
        <v>22</v>
      </c>
    </row>
    <row r="1687" spans="1:10" s="3" customFormat="1" x14ac:dyDescent="0.25">
      <c r="A1687" s="2">
        <v>753</v>
      </c>
      <c r="B1687" s="3" t="s">
        <v>29</v>
      </c>
      <c r="C1687" s="3">
        <v>647</v>
      </c>
      <c r="D1687" s="3">
        <v>1</v>
      </c>
      <c r="E1687" s="3" t="s">
        <v>35</v>
      </c>
      <c r="F1687" s="3" t="s">
        <v>36</v>
      </c>
      <c r="G1687" s="3" t="str">
        <f>"2025-12-24 04:10:39.534"</f>
        <v>2025-12-24 04:10:39.534</v>
      </c>
      <c r="H1687" s="3" t="s">
        <v>22</v>
      </c>
      <c r="I1687" s="3">
        <v>14.29</v>
      </c>
      <c r="J1687" s="3" t="s">
        <v>37</v>
      </c>
    </row>
    <row r="1688" spans="1:10" s="3" customFormat="1" x14ac:dyDescent="0.25">
      <c r="A1688" s="2">
        <v>754</v>
      </c>
      <c r="B1688" s="3" t="s">
        <v>26</v>
      </c>
      <c r="C1688" s="3">
        <v>647</v>
      </c>
      <c r="D1688" s="3">
        <v>1</v>
      </c>
      <c r="E1688" s="3" t="s">
        <v>35</v>
      </c>
      <c r="F1688" s="3" t="s">
        <v>36</v>
      </c>
      <c r="G1688" s="3" t="str">
        <f>"2025-12-24 02:25:47.034"</f>
        <v>2025-12-24 02:25:47.034</v>
      </c>
      <c r="H1688" s="3" t="s">
        <v>22</v>
      </c>
    </row>
    <row r="1689" spans="1:10" s="3" customFormat="1" x14ac:dyDescent="0.25">
      <c r="A1689" s="2">
        <v>755</v>
      </c>
      <c r="B1689" s="3" t="s">
        <v>29</v>
      </c>
      <c r="C1689" s="3">
        <v>647</v>
      </c>
      <c r="D1689" s="3">
        <v>1</v>
      </c>
      <c r="E1689" s="3" t="s">
        <v>35</v>
      </c>
      <c r="F1689" s="3" t="s">
        <v>36</v>
      </c>
      <c r="G1689" s="3" t="str">
        <f>"2025-12-24 02:25:43.133"</f>
        <v>2025-12-24 02:25:43.133</v>
      </c>
      <c r="H1689" s="3" t="s">
        <v>22</v>
      </c>
      <c r="I1689" s="3">
        <v>9.5500000000000007</v>
      </c>
      <c r="J1689" s="3" t="s">
        <v>37</v>
      </c>
    </row>
    <row r="1690" spans="1:10" x14ac:dyDescent="0.25">
      <c r="A1690" s="1">
        <v>756</v>
      </c>
      <c r="B1690" t="s">
        <v>26</v>
      </c>
      <c r="C1690">
        <v>635</v>
      </c>
      <c r="D1690">
        <v>1</v>
      </c>
      <c r="E1690" t="s">
        <v>27</v>
      </c>
      <c r="F1690" t="s">
        <v>28</v>
      </c>
      <c r="G1690" t="str">
        <f>"2025-12-23 15:56:50.985"</f>
        <v>2025-12-23 15:56:50.985</v>
      </c>
      <c r="H1690" t="s">
        <v>22</v>
      </c>
    </row>
    <row r="1691" spans="1:10" x14ac:dyDescent="0.25">
      <c r="A1691" s="1">
        <v>757</v>
      </c>
      <c r="B1691" t="s">
        <v>29</v>
      </c>
      <c r="C1691">
        <v>635</v>
      </c>
      <c r="D1691">
        <v>1</v>
      </c>
      <c r="E1691" t="s">
        <v>27</v>
      </c>
      <c r="F1691" t="s">
        <v>28</v>
      </c>
      <c r="G1691" t="str">
        <f>"2025-12-23 15:54:48.985"</f>
        <v>2025-12-23 15:54:48.985</v>
      </c>
      <c r="H1691" t="s">
        <v>22</v>
      </c>
      <c r="I1691">
        <v>6.73</v>
      </c>
      <c r="J1691" t="s">
        <v>30</v>
      </c>
    </row>
    <row r="1692" spans="1:10" x14ac:dyDescent="0.25">
      <c r="A1692" s="1">
        <v>758</v>
      </c>
      <c r="B1692" t="s">
        <v>26</v>
      </c>
      <c r="C1692">
        <v>635</v>
      </c>
      <c r="D1692">
        <v>1</v>
      </c>
      <c r="E1692" t="s">
        <v>27</v>
      </c>
      <c r="F1692" t="s">
        <v>28</v>
      </c>
      <c r="G1692" t="str">
        <f>"2025-12-23 11:35:29.385"</f>
        <v>2025-12-23 11:35:29.385</v>
      </c>
      <c r="H1692" t="s">
        <v>22</v>
      </c>
    </row>
    <row r="1693" spans="1:10" x14ac:dyDescent="0.25">
      <c r="A1693" s="1">
        <v>759</v>
      </c>
      <c r="B1693" t="s">
        <v>29</v>
      </c>
      <c r="C1693">
        <v>635</v>
      </c>
      <c r="D1693">
        <v>1</v>
      </c>
      <c r="E1693" t="s">
        <v>27</v>
      </c>
      <c r="F1693" t="s">
        <v>28</v>
      </c>
      <c r="G1693" t="str">
        <f>"2025-12-23 11:33:12.385"</f>
        <v>2025-12-23 11:33:12.385</v>
      </c>
      <c r="H1693" t="s">
        <v>22</v>
      </c>
      <c r="I1693">
        <v>5.0599999999999996</v>
      </c>
      <c r="J1693" t="s">
        <v>30</v>
      </c>
    </row>
    <row r="1694" spans="1:10" x14ac:dyDescent="0.25">
      <c r="A1694" s="1">
        <v>760</v>
      </c>
      <c r="B1694" t="s">
        <v>26</v>
      </c>
      <c r="C1694">
        <v>635</v>
      </c>
      <c r="D1694">
        <v>1</v>
      </c>
      <c r="E1694" t="s">
        <v>27</v>
      </c>
      <c r="F1694" t="s">
        <v>28</v>
      </c>
      <c r="G1694" t="str">
        <f>"2025-12-23 10:52:53.485"</f>
        <v>2025-12-23 10:52:53.485</v>
      </c>
      <c r="H1694" t="s">
        <v>22</v>
      </c>
    </row>
    <row r="1695" spans="1:10" x14ac:dyDescent="0.25">
      <c r="A1695" s="1">
        <v>761</v>
      </c>
      <c r="B1695" t="s">
        <v>29</v>
      </c>
      <c r="C1695">
        <v>635</v>
      </c>
      <c r="D1695">
        <v>1</v>
      </c>
      <c r="E1695" t="s">
        <v>27</v>
      </c>
      <c r="F1695" t="s">
        <v>28</v>
      </c>
      <c r="G1695" t="str">
        <f>"2025-12-23 10:50:31.485"</f>
        <v>2025-12-23 10:50:31.485</v>
      </c>
      <c r="H1695" t="s">
        <v>22</v>
      </c>
      <c r="I1695">
        <v>5.81</v>
      </c>
      <c r="J1695" t="s">
        <v>30</v>
      </c>
    </row>
    <row r="1696" spans="1:10" x14ac:dyDescent="0.25">
      <c r="A1696" s="1">
        <v>762</v>
      </c>
      <c r="B1696" t="s">
        <v>26</v>
      </c>
      <c r="C1696">
        <v>635</v>
      </c>
      <c r="D1696">
        <v>1</v>
      </c>
      <c r="E1696" t="s">
        <v>27</v>
      </c>
      <c r="F1696" t="s">
        <v>28</v>
      </c>
      <c r="G1696" t="str">
        <f>"2025-12-23 05:43:50.485"</f>
        <v>2025-12-23 05:43:50.485</v>
      </c>
      <c r="H1696" t="s">
        <v>22</v>
      </c>
    </row>
    <row r="1697" spans="1:10" x14ac:dyDescent="0.25">
      <c r="A1697" s="1">
        <v>763</v>
      </c>
      <c r="B1697" t="s">
        <v>29</v>
      </c>
      <c r="C1697">
        <v>635</v>
      </c>
      <c r="D1697">
        <v>1</v>
      </c>
      <c r="E1697" t="s">
        <v>27</v>
      </c>
      <c r="F1697" t="s">
        <v>28</v>
      </c>
      <c r="G1697" t="str">
        <f>"2025-12-23 05:39:39.985"</f>
        <v>2025-12-23 05:39:39.985</v>
      </c>
      <c r="H1697" t="s">
        <v>22</v>
      </c>
      <c r="I1697">
        <v>2.63</v>
      </c>
      <c r="J1697" t="s">
        <v>30</v>
      </c>
    </row>
    <row r="1698" spans="1:10" s="3" customFormat="1" x14ac:dyDescent="0.25">
      <c r="A1698" s="2">
        <v>764</v>
      </c>
      <c r="B1698" s="3" t="s">
        <v>26</v>
      </c>
      <c r="C1698" s="3">
        <v>647</v>
      </c>
      <c r="D1698" s="3">
        <v>1</v>
      </c>
      <c r="E1698" s="3" t="s">
        <v>35</v>
      </c>
      <c r="F1698" s="3" t="s">
        <v>36</v>
      </c>
      <c r="G1698" s="3" t="str">
        <f>"2025-12-22 21:13:51.633"</f>
        <v>2025-12-22 21:13:51.633</v>
      </c>
      <c r="H1698" s="3" t="s">
        <v>22</v>
      </c>
    </row>
    <row r="1699" spans="1:10" s="3" customFormat="1" x14ac:dyDescent="0.25">
      <c r="A1699" s="2">
        <v>765</v>
      </c>
      <c r="B1699" s="3" t="s">
        <v>29</v>
      </c>
      <c r="C1699" s="3">
        <v>647</v>
      </c>
      <c r="D1699" s="3">
        <v>1</v>
      </c>
      <c r="E1699" s="3" t="s">
        <v>35</v>
      </c>
      <c r="F1699" s="3" t="s">
        <v>36</v>
      </c>
      <c r="G1699" s="3" t="str">
        <f>"2025-12-22 21:13:45.834"</f>
        <v>2025-12-22 21:13:45.834</v>
      </c>
      <c r="H1699" s="3" t="s">
        <v>22</v>
      </c>
      <c r="I1699" s="3">
        <v>13.36</v>
      </c>
      <c r="J1699" s="3" t="s">
        <v>37</v>
      </c>
    </row>
    <row r="1700" spans="1:10" x14ac:dyDescent="0.25">
      <c r="A1700" s="1">
        <v>766</v>
      </c>
      <c r="B1700" t="s">
        <v>26</v>
      </c>
      <c r="C1700">
        <v>635</v>
      </c>
      <c r="D1700">
        <v>1</v>
      </c>
      <c r="E1700" t="s">
        <v>27</v>
      </c>
      <c r="F1700" t="s">
        <v>28</v>
      </c>
      <c r="G1700" t="str">
        <f>"2025-12-22 05:39:40.485"</f>
        <v>2025-12-22 05:39:40.485</v>
      </c>
      <c r="H1700" t="s">
        <v>22</v>
      </c>
    </row>
    <row r="1701" spans="1:10" x14ac:dyDescent="0.25">
      <c r="A1701" s="1">
        <v>767</v>
      </c>
      <c r="B1701" t="s">
        <v>29</v>
      </c>
      <c r="C1701">
        <v>635</v>
      </c>
      <c r="D1701">
        <v>1</v>
      </c>
      <c r="E1701" t="s">
        <v>27</v>
      </c>
      <c r="F1701" t="s">
        <v>28</v>
      </c>
      <c r="G1701" t="str">
        <f>"2025-12-22 05:12:33.585"</f>
        <v>2025-12-22 05:12:33.585</v>
      </c>
      <c r="H1701" t="s">
        <v>22</v>
      </c>
      <c r="I1701">
        <v>8.1999999999999993</v>
      </c>
      <c r="J1701" t="s">
        <v>30</v>
      </c>
    </row>
    <row r="1702" spans="1:10" s="3" customFormat="1" x14ac:dyDescent="0.25">
      <c r="A1702" s="2">
        <v>768</v>
      </c>
      <c r="B1702" s="3" t="s">
        <v>26</v>
      </c>
      <c r="C1702" s="3">
        <v>647</v>
      </c>
      <c r="D1702" s="3">
        <v>1</v>
      </c>
      <c r="E1702" s="3" t="s">
        <v>35</v>
      </c>
      <c r="F1702" s="3" t="s">
        <v>36</v>
      </c>
      <c r="G1702" s="3" t="str">
        <f>"2025-12-22 03:40:07.734"</f>
        <v>2025-12-22 03:40:07.734</v>
      </c>
      <c r="H1702" s="3" t="s">
        <v>22</v>
      </c>
    </row>
    <row r="1703" spans="1:10" s="3" customFormat="1" x14ac:dyDescent="0.25">
      <c r="A1703" s="2">
        <v>769</v>
      </c>
      <c r="B1703" s="3" t="s">
        <v>29</v>
      </c>
      <c r="C1703" s="3">
        <v>647</v>
      </c>
      <c r="D1703" s="3">
        <v>1</v>
      </c>
      <c r="E1703" s="3" t="s">
        <v>35</v>
      </c>
      <c r="F1703" s="3" t="s">
        <v>36</v>
      </c>
      <c r="G1703" s="3" t="str">
        <f>"2025-12-22 03:40:06.433"</f>
        <v>2025-12-22 03:40:06.433</v>
      </c>
      <c r="H1703" s="3" t="s">
        <v>22</v>
      </c>
      <c r="I1703" s="3">
        <v>10.26</v>
      </c>
      <c r="J1703" s="3" t="s">
        <v>37</v>
      </c>
    </row>
    <row r="1704" spans="1:10" s="3" customFormat="1" x14ac:dyDescent="0.25">
      <c r="A1704" s="2">
        <v>770</v>
      </c>
      <c r="B1704" s="3" t="s">
        <v>26</v>
      </c>
      <c r="C1704" s="3">
        <v>647</v>
      </c>
      <c r="D1704" s="3">
        <v>1</v>
      </c>
      <c r="E1704" s="3" t="s">
        <v>35</v>
      </c>
      <c r="F1704" s="3" t="s">
        <v>36</v>
      </c>
      <c r="G1704" s="3" t="str">
        <f>"2025-12-22 00:05:18.534"</f>
        <v>2025-12-22 00:05:18.534</v>
      </c>
      <c r="H1704" s="3" t="s">
        <v>22</v>
      </c>
    </row>
    <row r="1705" spans="1:10" s="3" customFormat="1" x14ac:dyDescent="0.25">
      <c r="A1705" s="2">
        <v>771</v>
      </c>
      <c r="B1705" s="3" t="s">
        <v>29</v>
      </c>
      <c r="C1705" s="3">
        <v>647</v>
      </c>
      <c r="D1705" s="3">
        <v>1</v>
      </c>
      <c r="E1705" s="3" t="s">
        <v>35</v>
      </c>
      <c r="F1705" s="3" t="s">
        <v>36</v>
      </c>
      <c r="G1705" s="3" t="str">
        <f>"2025-12-22 00:05:15.634"</f>
        <v>2025-12-22 00:05:15.634</v>
      </c>
      <c r="H1705" s="3" t="s">
        <v>22</v>
      </c>
      <c r="I1705" s="3">
        <v>13.93</v>
      </c>
      <c r="J1705" s="3" t="s">
        <v>37</v>
      </c>
    </row>
    <row r="1706" spans="1:10" x14ac:dyDescent="0.25">
      <c r="A1706" s="1">
        <v>772</v>
      </c>
      <c r="B1706" t="s">
        <v>19</v>
      </c>
      <c r="C1706">
        <v>700</v>
      </c>
      <c r="D1706">
        <v>0</v>
      </c>
      <c r="E1706" t="s">
        <v>24</v>
      </c>
      <c r="F1706" t="s">
        <v>24</v>
      </c>
      <c r="G1706" t="str">
        <f>"2025-12-21 17:47:40.775"</f>
        <v>2025-12-21 17:47:40.775</v>
      </c>
      <c r="H1706" t="s">
        <v>22</v>
      </c>
      <c r="I1706">
        <v>0</v>
      </c>
      <c r="J1706" t="s">
        <v>25</v>
      </c>
    </row>
    <row r="1707" spans="1:10" x14ac:dyDescent="0.25">
      <c r="A1707" s="1">
        <v>773</v>
      </c>
      <c r="B1707" t="s">
        <v>19</v>
      </c>
      <c r="C1707">
        <v>700</v>
      </c>
      <c r="D1707">
        <v>0</v>
      </c>
      <c r="E1707" t="s">
        <v>24</v>
      </c>
      <c r="F1707" t="s">
        <v>24</v>
      </c>
      <c r="G1707" t="str">
        <f>"2025-12-21 17:09:19.627"</f>
        <v>2025-12-21 17:09:19.627</v>
      </c>
      <c r="H1707" t="s">
        <v>22</v>
      </c>
      <c r="I1707">
        <v>0</v>
      </c>
      <c r="J1707" t="s">
        <v>25</v>
      </c>
    </row>
    <row r="1708" spans="1:10" x14ac:dyDescent="0.25">
      <c r="A1708" s="1">
        <v>774</v>
      </c>
      <c r="B1708" t="s">
        <v>19</v>
      </c>
      <c r="C1708">
        <v>700</v>
      </c>
      <c r="D1708">
        <v>0</v>
      </c>
      <c r="E1708" t="s">
        <v>24</v>
      </c>
      <c r="F1708" t="s">
        <v>24</v>
      </c>
      <c r="G1708" t="str">
        <f>"2025-12-21 17:06:41.630"</f>
        <v>2025-12-21 17:06:41.630</v>
      </c>
      <c r="H1708" t="s">
        <v>22</v>
      </c>
      <c r="I1708">
        <v>0</v>
      </c>
      <c r="J1708" t="s">
        <v>25</v>
      </c>
    </row>
    <row r="1709" spans="1:10" x14ac:dyDescent="0.25">
      <c r="A1709" s="1">
        <v>775</v>
      </c>
      <c r="B1709" t="s">
        <v>19</v>
      </c>
      <c r="C1709">
        <v>700</v>
      </c>
      <c r="D1709">
        <v>0</v>
      </c>
      <c r="E1709" t="s">
        <v>24</v>
      </c>
      <c r="F1709" t="s">
        <v>24</v>
      </c>
      <c r="G1709" t="str">
        <f>"2025-12-21 17:00:49.616"</f>
        <v>2025-12-21 17:00:49.616</v>
      </c>
      <c r="H1709" t="s">
        <v>22</v>
      </c>
      <c r="I1709">
        <v>0</v>
      </c>
      <c r="J1709" t="s">
        <v>25</v>
      </c>
    </row>
    <row r="1710" spans="1:10" x14ac:dyDescent="0.25">
      <c r="A1710" s="1">
        <v>776</v>
      </c>
      <c r="B1710" t="s">
        <v>19</v>
      </c>
      <c r="C1710">
        <v>706</v>
      </c>
      <c r="D1710">
        <v>4</v>
      </c>
      <c r="E1710" t="s">
        <v>20</v>
      </c>
      <c r="F1710" t="s">
        <v>21</v>
      </c>
      <c r="G1710" t="str">
        <f>"2025-12-21 16:52:57.688"</f>
        <v>2025-12-21 16:52:57.688</v>
      </c>
      <c r="H1710" t="s">
        <v>22</v>
      </c>
      <c r="I1710">
        <v>0</v>
      </c>
      <c r="J1710" t="s">
        <v>23</v>
      </c>
    </row>
    <row r="1711" spans="1:10" x14ac:dyDescent="0.25">
      <c r="A1711" s="1">
        <v>777</v>
      </c>
      <c r="B1711" t="s">
        <v>19</v>
      </c>
      <c r="C1711">
        <v>706</v>
      </c>
      <c r="D1711">
        <v>2</v>
      </c>
      <c r="E1711" t="s">
        <v>20</v>
      </c>
      <c r="F1711" t="s">
        <v>54</v>
      </c>
      <c r="G1711" t="str">
        <f>"2025-12-21 16:52:37.768"</f>
        <v>2025-12-21 16:52:37.768</v>
      </c>
      <c r="H1711" t="s">
        <v>22</v>
      </c>
      <c r="I1711">
        <v>0</v>
      </c>
      <c r="J1711" t="s">
        <v>23</v>
      </c>
    </row>
    <row r="1712" spans="1:10" x14ac:dyDescent="0.25">
      <c r="A1712" s="1">
        <v>778</v>
      </c>
      <c r="B1712" t="s">
        <v>19</v>
      </c>
      <c r="C1712">
        <v>706</v>
      </c>
      <c r="D1712">
        <v>2</v>
      </c>
      <c r="E1712" t="s">
        <v>20</v>
      </c>
      <c r="F1712" t="s">
        <v>54</v>
      </c>
      <c r="G1712" t="str">
        <f>"2025-12-21 16:46:03.368"</f>
        <v>2025-12-21 16:46:03.368</v>
      </c>
      <c r="H1712" t="s">
        <v>22</v>
      </c>
      <c r="I1712">
        <v>0</v>
      </c>
      <c r="J1712" t="s">
        <v>23</v>
      </c>
    </row>
    <row r="1713" spans="1:10" x14ac:dyDescent="0.25">
      <c r="A1713" s="1">
        <v>779</v>
      </c>
      <c r="B1713" t="s">
        <v>19</v>
      </c>
      <c r="C1713">
        <v>706</v>
      </c>
      <c r="D1713">
        <v>2</v>
      </c>
      <c r="E1713" t="s">
        <v>20</v>
      </c>
      <c r="F1713" t="s">
        <v>54</v>
      </c>
      <c r="G1713" t="str">
        <f>"2025-12-21 16:45:12.368"</f>
        <v>2025-12-21 16:45:12.368</v>
      </c>
      <c r="H1713" t="s">
        <v>22</v>
      </c>
      <c r="I1713">
        <v>0</v>
      </c>
      <c r="J1713" t="s">
        <v>23</v>
      </c>
    </row>
    <row r="1714" spans="1:10" x14ac:dyDescent="0.25">
      <c r="A1714" s="1">
        <v>780</v>
      </c>
      <c r="B1714" t="s">
        <v>19</v>
      </c>
      <c r="C1714">
        <v>706</v>
      </c>
      <c r="D1714">
        <v>4</v>
      </c>
      <c r="E1714" t="s">
        <v>20</v>
      </c>
      <c r="F1714" t="s">
        <v>21</v>
      </c>
      <c r="G1714" t="str">
        <f>"2025-12-21 16:44:55.308"</f>
        <v>2025-12-21 16:44:55.308</v>
      </c>
      <c r="H1714" t="s">
        <v>22</v>
      </c>
      <c r="I1714">
        <v>0</v>
      </c>
      <c r="J1714" t="s">
        <v>23</v>
      </c>
    </row>
    <row r="1715" spans="1:10" x14ac:dyDescent="0.25">
      <c r="A1715" s="1">
        <v>781</v>
      </c>
      <c r="B1715" t="s">
        <v>26</v>
      </c>
      <c r="C1715">
        <v>630</v>
      </c>
      <c r="D1715">
        <v>5</v>
      </c>
      <c r="E1715" t="s">
        <v>39</v>
      </c>
      <c r="F1715" t="s">
        <v>40</v>
      </c>
      <c r="G1715" t="str">
        <f>"2025-12-21 16:43:22.726"</f>
        <v>2025-12-21 16:43:22.726</v>
      </c>
      <c r="H1715" t="s">
        <v>41</v>
      </c>
    </row>
    <row r="1716" spans="1:10" x14ac:dyDescent="0.25">
      <c r="A1716" s="1">
        <v>782</v>
      </c>
      <c r="B1716" t="s">
        <v>34</v>
      </c>
      <c r="C1716">
        <v>630</v>
      </c>
      <c r="D1716">
        <v>5</v>
      </c>
      <c r="E1716" t="s">
        <v>39</v>
      </c>
      <c r="F1716" t="s">
        <v>40</v>
      </c>
      <c r="G1716" t="str">
        <f>"2025-12-21 16:26:41.427"</f>
        <v>2025-12-21 16:26:41.427</v>
      </c>
      <c r="H1716" t="s">
        <v>41</v>
      </c>
      <c r="I1716">
        <v>0</v>
      </c>
      <c r="J1716" t="s">
        <v>23</v>
      </c>
    </row>
    <row r="1717" spans="1:10" x14ac:dyDescent="0.25">
      <c r="A1717" s="1">
        <v>783</v>
      </c>
      <c r="B1717" t="s">
        <v>19</v>
      </c>
      <c r="C1717">
        <v>700</v>
      </c>
      <c r="D1717">
        <v>0</v>
      </c>
      <c r="E1717" t="s">
        <v>24</v>
      </c>
      <c r="F1717" t="s">
        <v>24</v>
      </c>
      <c r="G1717" t="str">
        <f>"2025-12-21 16:21:38.628"</f>
        <v>2025-12-21 16:21:38.628</v>
      </c>
      <c r="H1717" t="s">
        <v>22</v>
      </c>
      <c r="I1717">
        <v>0</v>
      </c>
      <c r="J1717" t="s">
        <v>25</v>
      </c>
    </row>
    <row r="1718" spans="1:10" x14ac:dyDescent="0.25">
      <c r="A1718" s="1">
        <v>784</v>
      </c>
      <c r="B1718" t="s">
        <v>34</v>
      </c>
      <c r="C1718">
        <v>630</v>
      </c>
      <c r="D1718">
        <v>5</v>
      </c>
      <c r="E1718" t="s">
        <v>39</v>
      </c>
      <c r="F1718" t="s">
        <v>40</v>
      </c>
      <c r="G1718" t="str">
        <f>"2025-12-21 14:41:24.390"</f>
        <v>2025-12-21 14:41:24.390</v>
      </c>
      <c r="H1718" t="s">
        <v>41</v>
      </c>
      <c r="I1718">
        <v>0</v>
      </c>
      <c r="J1718" t="s">
        <v>23</v>
      </c>
    </row>
    <row r="1719" spans="1:10" x14ac:dyDescent="0.25">
      <c r="A1719" s="1">
        <v>785</v>
      </c>
      <c r="B1719" t="s">
        <v>19</v>
      </c>
      <c r="C1719">
        <v>700</v>
      </c>
      <c r="D1719">
        <v>0</v>
      </c>
      <c r="E1719" t="s">
        <v>24</v>
      </c>
      <c r="F1719" t="s">
        <v>24</v>
      </c>
      <c r="G1719" t="str">
        <f>"2025-12-21 14:36:21.629"</f>
        <v>2025-12-21 14:36:21.629</v>
      </c>
      <c r="H1719" t="s">
        <v>22</v>
      </c>
      <c r="I1719">
        <v>0</v>
      </c>
      <c r="J1719" t="s">
        <v>25</v>
      </c>
    </row>
    <row r="1720" spans="1:10" x14ac:dyDescent="0.25">
      <c r="A1720" s="1">
        <v>786</v>
      </c>
      <c r="B1720" t="s">
        <v>26</v>
      </c>
      <c r="C1720">
        <v>635</v>
      </c>
      <c r="D1720">
        <v>1</v>
      </c>
      <c r="E1720" t="s">
        <v>27</v>
      </c>
      <c r="F1720" t="s">
        <v>28</v>
      </c>
      <c r="G1720" t="str">
        <f>"2025-12-21 07:10:33.788"</f>
        <v>2025-12-21 07:10:33.788</v>
      </c>
      <c r="H1720" t="s">
        <v>22</v>
      </c>
    </row>
    <row r="1721" spans="1:10" x14ac:dyDescent="0.25">
      <c r="A1721" s="1">
        <v>787</v>
      </c>
      <c r="B1721" t="s">
        <v>29</v>
      </c>
      <c r="C1721">
        <v>635</v>
      </c>
      <c r="D1721">
        <v>1</v>
      </c>
      <c r="E1721" t="s">
        <v>27</v>
      </c>
      <c r="F1721" t="s">
        <v>28</v>
      </c>
      <c r="G1721" t="str">
        <f>"2025-12-21 07:07:17.288"</f>
        <v>2025-12-21 07:07:17.288</v>
      </c>
      <c r="H1721" t="s">
        <v>22</v>
      </c>
      <c r="I1721">
        <v>2.1800000000000002</v>
      </c>
      <c r="J1721" t="s">
        <v>30</v>
      </c>
    </row>
    <row r="1722" spans="1:10" s="3" customFormat="1" x14ac:dyDescent="0.25">
      <c r="A1722" s="2">
        <v>788</v>
      </c>
      <c r="B1722" s="3" t="s">
        <v>26</v>
      </c>
      <c r="C1722" s="3">
        <v>647</v>
      </c>
      <c r="D1722" s="3">
        <v>1</v>
      </c>
      <c r="E1722" s="3" t="s">
        <v>35</v>
      </c>
      <c r="F1722" s="3" t="s">
        <v>36</v>
      </c>
      <c r="G1722" s="3" t="str">
        <f>"2025-12-21 02:13:35.589"</f>
        <v>2025-12-21 02:13:35.589</v>
      </c>
      <c r="H1722" s="3" t="s">
        <v>22</v>
      </c>
    </row>
    <row r="1723" spans="1:10" s="3" customFormat="1" x14ac:dyDescent="0.25">
      <c r="A1723" s="2">
        <v>789</v>
      </c>
      <c r="B1723" s="3" t="s">
        <v>29</v>
      </c>
      <c r="C1723" s="3">
        <v>647</v>
      </c>
      <c r="D1723" s="3">
        <v>1</v>
      </c>
      <c r="E1723" s="3" t="s">
        <v>35</v>
      </c>
      <c r="F1723" s="3" t="s">
        <v>36</v>
      </c>
      <c r="G1723" s="3" t="str">
        <f>"2025-12-21 02:13:32.689"</f>
        <v>2025-12-21 02:13:32.689</v>
      </c>
      <c r="H1723" s="3" t="s">
        <v>22</v>
      </c>
      <c r="I1723" s="3">
        <v>17.260000000000002</v>
      </c>
      <c r="J1723" s="3" t="s">
        <v>37</v>
      </c>
    </row>
    <row r="1724" spans="1:10" s="3" customFormat="1" x14ac:dyDescent="0.25">
      <c r="A1724" s="2">
        <v>790</v>
      </c>
      <c r="B1724" s="3" t="s">
        <v>26</v>
      </c>
      <c r="C1724" s="3">
        <v>647</v>
      </c>
      <c r="D1724" s="3">
        <v>1</v>
      </c>
      <c r="E1724" s="3" t="s">
        <v>35</v>
      </c>
      <c r="F1724" s="3" t="s">
        <v>36</v>
      </c>
      <c r="G1724" s="3" t="str">
        <f>"2025-12-20 23:29:52.789"</f>
        <v>2025-12-20 23:29:52.789</v>
      </c>
      <c r="H1724" s="3" t="s">
        <v>22</v>
      </c>
    </row>
    <row r="1725" spans="1:10" s="3" customFormat="1" x14ac:dyDescent="0.25">
      <c r="A1725" s="2">
        <v>791</v>
      </c>
      <c r="B1725" s="3" t="s">
        <v>29</v>
      </c>
      <c r="C1725" s="3">
        <v>647</v>
      </c>
      <c r="D1725" s="3">
        <v>1</v>
      </c>
      <c r="E1725" s="3" t="s">
        <v>35</v>
      </c>
      <c r="F1725" s="3" t="s">
        <v>36</v>
      </c>
      <c r="G1725" s="3" t="str">
        <f>"2025-12-20 23:29:50.889"</f>
        <v>2025-12-20 23:29:50.889</v>
      </c>
      <c r="H1725" s="3" t="s">
        <v>22</v>
      </c>
      <c r="I1725" s="3">
        <v>22.3</v>
      </c>
      <c r="J1725" s="3" t="s">
        <v>37</v>
      </c>
    </row>
    <row r="1726" spans="1:10" x14ac:dyDescent="0.25">
      <c r="A1726" s="1">
        <v>792</v>
      </c>
      <c r="B1726" t="s">
        <v>31</v>
      </c>
      <c r="C1726">
        <v>87</v>
      </c>
      <c r="D1726">
        <v>1</v>
      </c>
      <c r="E1726" t="s">
        <v>32</v>
      </c>
      <c r="F1726" t="s">
        <v>33</v>
      </c>
      <c r="G1726" t="str">
        <f>"2025-12-20 13:56:22.835"</f>
        <v>2025-12-20 13:56:22.835</v>
      </c>
      <c r="H1726" t="s">
        <v>22</v>
      </c>
    </row>
    <row r="1727" spans="1:10" x14ac:dyDescent="0.25">
      <c r="A1727" s="1">
        <v>793</v>
      </c>
      <c r="B1727" t="s">
        <v>34</v>
      </c>
      <c r="C1727">
        <v>87</v>
      </c>
      <c r="D1727">
        <v>1</v>
      </c>
      <c r="E1727" t="s">
        <v>32</v>
      </c>
      <c r="F1727" t="s">
        <v>33</v>
      </c>
      <c r="G1727" t="str">
        <f>"2025-12-20 13:51:38.887"</f>
        <v>2025-12-20 13:51:38.887</v>
      </c>
      <c r="H1727" t="s">
        <v>22</v>
      </c>
      <c r="I1727">
        <v>27.19</v>
      </c>
      <c r="J1727" t="s">
        <v>30</v>
      </c>
    </row>
    <row r="1728" spans="1:10" x14ac:dyDescent="0.25">
      <c r="A1728" s="1">
        <v>794</v>
      </c>
      <c r="B1728" t="s">
        <v>19</v>
      </c>
      <c r="C1728">
        <v>700</v>
      </c>
      <c r="D1728">
        <v>0</v>
      </c>
      <c r="E1728" t="s">
        <v>24</v>
      </c>
      <c r="F1728" t="s">
        <v>24</v>
      </c>
      <c r="G1728" t="str">
        <f>"2025-12-20 12:23:06.627"</f>
        <v>2025-12-20 12:23:06.627</v>
      </c>
      <c r="H1728" t="s">
        <v>22</v>
      </c>
      <c r="I1728">
        <v>0</v>
      </c>
      <c r="J1728" t="s">
        <v>25</v>
      </c>
    </row>
    <row r="1729" spans="1:10" x14ac:dyDescent="0.25">
      <c r="A1729" s="1">
        <v>795</v>
      </c>
      <c r="B1729" t="s">
        <v>26</v>
      </c>
      <c r="C1729">
        <v>635</v>
      </c>
      <c r="D1729">
        <v>1</v>
      </c>
      <c r="E1729" t="s">
        <v>27</v>
      </c>
      <c r="F1729" t="s">
        <v>28</v>
      </c>
      <c r="G1729" t="str">
        <f>"2025-12-20 10:55:57.368"</f>
        <v>2025-12-20 10:55:57.368</v>
      </c>
      <c r="H1729" t="s">
        <v>22</v>
      </c>
    </row>
    <row r="1730" spans="1:10" x14ac:dyDescent="0.25">
      <c r="A1730" s="1">
        <v>796</v>
      </c>
      <c r="B1730" t="s">
        <v>29</v>
      </c>
      <c r="C1730">
        <v>635</v>
      </c>
      <c r="D1730">
        <v>1</v>
      </c>
      <c r="E1730" t="s">
        <v>27</v>
      </c>
      <c r="F1730" t="s">
        <v>28</v>
      </c>
      <c r="G1730" t="str">
        <f>"2025-12-20 10:52:30.868"</f>
        <v>2025-12-20 10:52:30.868</v>
      </c>
      <c r="H1730" t="s">
        <v>22</v>
      </c>
      <c r="I1730">
        <v>0.74</v>
      </c>
      <c r="J1730" t="s">
        <v>30</v>
      </c>
    </row>
    <row r="1731" spans="1:10" x14ac:dyDescent="0.25">
      <c r="A1731" s="1">
        <v>797</v>
      </c>
      <c r="B1731" t="s">
        <v>19</v>
      </c>
      <c r="C1731">
        <v>706</v>
      </c>
      <c r="D1731">
        <v>4</v>
      </c>
      <c r="E1731" t="s">
        <v>20</v>
      </c>
      <c r="F1731" t="s">
        <v>21</v>
      </c>
      <c r="G1731" t="str">
        <f>"2025-12-20 10:39:21.521"</f>
        <v>2025-12-20 10:39:21.521</v>
      </c>
      <c r="H1731" t="s">
        <v>22</v>
      </c>
      <c r="I1731">
        <v>0</v>
      </c>
      <c r="J1731" t="s">
        <v>23</v>
      </c>
    </row>
    <row r="1732" spans="1:10" x14ac:dyDescent="0.25">
      <c r="A1732" s="1">
        <v>798</v>
      </c>
      <c r="B1732" t="s">
        <v>26</v>
      </c>
      <c r="C1732">
        <v>619</v>
      </c>
      <c r="D1732">
        <v>1</v>
      </c>
      <c r="E1732" t="s">
        <v>79</v>
      </c>
      <c r="F1732" t="s">
        <v>28</v>
      </c>
      <c r="G1732" t="str">
        <f>"2025-12-20 10:39:16.968"</f>
        <v>2025-12-20 10:39:16.968</v>
      </c>
      <c r="H1732" t="s">
        <v>80</v>
      </c>
    </row>
    <row r="1733" spans="1:10" x14ac:dyDescent="0.25">
      <c r="A1733" s="1">
        <v>799</v>
      </c>
      <c r="B1733" t="s">
        <v>29</v>
      </c>
      <c r="C1733">
        <v>619</v>
      </c>
      <c r="D1733">
        <v>1</v>
      </c>
      <c r="E1733" t="s">
        <v>79</v>
      </c>
      <c r="F1733" t="s">
        <v>28</v>
      </c>
      <c r="G1733" t="str">
        <f>"2025-12-20 10:38:55.568"</f>
        <v>2025-12-20 10:38:55.568</v>
      </c>
      <c r="H1733" t="s">
        <v>80</v>
      </c>
      <c r="I1733">
        <v>0</v>
      </c>
      <c r="J1733" t="s">
        <v>38</v>
      </c>
    </row>
    <row r="1734" spans="1:10" x14ac:dyDescent="0.25">
      <c r="A1734" s="1">
        <v>800</v>
      </c>
      <c r="B1734" t="s">
        <v>26</v>
      </c>
      <c r="C1734">
        <v>619</v>
      </c>
      <c r="D1734">
        <v>1</v>
      </c>
      <c r="E1734" t="s">
        <v>79</v>
      </c>
      <c r="F1734" t="s">
        <v>28</v>
      </c>
      <c r="G1734" t="str">
        <f>"2025-12-20 10:38:44.568"</f>
        <v>2025-12-20 10:38:44.568</v>
      </c>
      <c r="H1734" t="s">
        <v>80</v>
      </c>
    </row>
    <row r="1735" spans="1:10" x14ac:dyDescent="0.25">
      <c r="A1735" s="1">
        <v>801</v>
      </c>
      <c r="B1735" t="s">
        <v>29</v>
      </c>
      <c r="C1735">
        <v>619</v>
      </c>
      <c r="D1735">
        <v>1</v>
      </c>
      <c r="E1735" t="s">
        <v>79</v>
      </c>
      <c r="F1735" t="s">
        <v>28</v>
      </c>
      <c r="G1735" t="str">
        <f>"2025-12-20 10:38:30.621"</f>
        <v>2025-12-20 10:38:30.621</v>
      </c>
      <c r="H1735" t="s">
        <v>80</v>
      </c>
      <c r="I1735">
        <v>0</v>
      </c>
      <c r="J1735" t="s">
        <v>38</v>
      </c>
    </row>
    <row r="1736" spans="1:10" x14ac:dyDescent="0.25">
      <c r="A1736" s="1">
        <v>802</v>
      </c>
      <c r="B1736" t="s">
        <v>26</v>
      </c>
      <c r="C1736">
        <v>635</v>
      </c>
      <c r="D1736">
        <v>1</v>
      </c>
      <c r="E1736" t="s">
        <v>27</v>
      </c>
      <c r="F1736" t="s">
        <v>28</v>
      </c>
      <c r="G1736" t="str">
        <f>"2025-12-20 08:39:30.168"</f>
        <v>2025-12-20 08:39:30.168</v>
      </c>
      <c r="H1736" t="s">
        <v>22</v>
      </c>
    </row>
    <row r="1737" spans="1:10" x14ac:dyDescent="0.25">
      <c r="A1737" s="1">
        <v>803</v>
      </c>
      <c r="B1737" t="s">
        <v>29</v>
      </c>
      <c r="C1737">
        <v>635</v>
      </c>
      <c r="D1737">
        <v>1</v>
      </c>
      <c r="E1737" t="s">
        <v>27</v>
      </c>
      <c r="F1737" t="s">
        <v>28</v>
      </c>
      <c r="G1737" t="str">
        <f>"2025-12-20 08:33:34.168"</f>
        <v>2025-12-20 08:33:34.168</v>
      </c>
      <c r="H1737" t="s">
        <v>22</v>
      </c>
      <c r="I1737">
        <v>3.81</v>
      </c>
      <c r="J1737" t="s">
        <v>38</v>
      </c>
    </row>
    <row r="1738" spans="1:10" s="3" customFormat="1" x14ac:dyDescent="0.25">
      <c r="A1738" s="2">
        <v>804</v>
      </c>
      <c r="B1738" s="3" t="s">
        <v>26</v>
      </c>
      <c r="C1738" s="3">
        <v>647</v>
      </c>
      <c r="D1738" s="3">
        <v>1</v>
      </c>
      <c r="E1738" s="3" t="s">
        <v>35</v>
      </c>
      <c r="F1738" s="3" t="s">
        <v>36</v>
      </c>
      <c r="G1738" s="3" t="str">
        <f>"2025-12-20 05:57:10.622"</f>
        <v>2025-12-20 05:57:10.622</v>
      </c>
      <c r="H1738" s="3" t="s">
        <v>22</v>
      </c>
    </row>
    <row r="1739" spans="1:10" s="3" customFormat="1" x14ac:dyDescent="0.25">
      <c r="A1739" s="2">
        <v>805</v>
      </c>
      <c r="B1739" s="3" t="s">
        <v>29</v>
      </c>
      <c r="C1739" s="3">
        <v>647</v>
      </c>
      <c r="D1739" s="3">
        <v>1</v>
      </c>
      <c r="E1739" s="3" t="s">
        <v>35</v>
      </c>
      <c r="F1739" s="3" t="s">
        <v>36</v>
      </c>
      <c r="G1739" s="3" t="str">
        <f>"2025-12-20 05:57:08.922"</f>
        <v>2025-12-20 05:57:08.922</v>
      </c>
      <c r="H1739" s="3" t="s">
        <v>22</v>
      </c>
      <c r="I1739" s="3">
        <v>10.61</v>
      </c>
      <c r="J1739" s="3" t="s">
        <v>37</v>
      </c>
    </row>
    <row r="1740" spans="1:10" s="3" customFormat="1" x14ac:dyDescent="0.25">
      <c r="A1740" s="2">
        <v>806</v>
      </c>
      <c r="B1740" s="3" t="s">
        <v>26</v>
      </c>
      <c r="C1740" s="3">
        <v>647</v>
      </c>
      <c r="D1740" s="3">
        <v>1</v>
      </c>
      <c r="E1740" s="3" t="s">
        <v>35</v>
      </c>
      <c r="F1740" s="3" t="s">
        <v>36</v>
      </c>
      <c r="G1740" s="3" t="str">
        <f>"2025-12-20 03:23:35.922"</f>
        <v>2025-12-20 03:23:35.922</v>
      </c>
      <c r="H1740" s="3" t="s">
        <v>22</v>
      </c>
    </row>
    <row r="1741" spans="1:10" s="3" customFormat="1" x14ac:dyDescent="0.25">
      <c r="A1741" s="2">
        <v>807</v>
      </c>
      <c r="B1741" s="3" t="s">
        <v>29</v>
      </c>
      <c r="C1741" s="3">
        <v>647</v>
      </c>
      <c r="D1741" s="3">
        <v>1</v>
      </c>
      <c r="E1741" s="3" t="s">
        <v>35</v>
      </c>
      <c r="F1741" s="3" t="s">
        <v>36</v>
      </c>
      <c r="G1741" s="3" t="str">
        <f>"2025-12-20 03:23:33.222"</f>
        <v>2025-12-20 03:23:33.222</v>
      </c>
      <c r="H1741" s="3" t="s">
        <v>22</v>
      </c>
      <c r="I1741" s="3">
        <v>16.34</v>
      </c>
      <c r="J1741" s="3" t="s">
        <v>37</v>
      </c>
    </row>
    <row r="1742" spans="1:10" s="3" customFormat="1" x14ac:dyDescent="0.25">
      <c r="A1742" s="2">
        <v>808</v>
      </c>
      <c r="B1742" s="3" t="s">
        <v>26</v>
      </c>
      <c r="C1742" s="3">
        <v>647</v>
      </c>
      <c r="D1742" s="3">
        <v>1</v>
      </c>
      <c r="E1742" s="3" t="s">
        <v>35</v>
      </c>
      <c r="F1742" s="3" t="s">
        <v>36</v>
      </c>
      <c r="G1742" s="3" t="str">
        <f>"2025-12-20 03:08:27.922"</f>
        <v>2025-12-20 03:08:27.922</v>
      </c>
      <c r="H1742" s="3" t="s">
        <v>22</v>
      </c>
    </row>
    <row r="1743" spans="1:10" s="3" customFormat="1" x14ac:dyDescent="0.25">
      <c r="A1743" s="2">
        <v>809</v>
      </c>
      <c r="B1743" s="3" t="s">
        <v>29</v>
      </c>
      <c r="C1743" s="3">
        <v>647</v>
      </c>
      <c r="D1743" s="3">
        <v>1</v>
      </c>
      <c r="E1743" s="3" t="s">
        <v>35</v>
      </c>
      <c r="F1743" s="3" t="s">
        <v>36</v>
      </c>
      <c r="G1743" s="3" t="str">
        <f>"2025-12-20 03:08:26.822"</f>
        <v>2025-12-20 03:08:26.822</v>
      </c>
      <c r="H1743" s="3" t="s">
        <v>22</v>
      </c>
      <c r="I1743" s="3">
        <v>12.1</v>
      </c>
      <c r="J1743" s="3" t="s">
        <v>37</v>
      </c>
    </row>
    <row r="1744" spans="1:10" s="3" customFormat="1" x14ac:dyDescent="0.25">
      <c r="A1744" s="2">
        <v>810</v>
      </c>
      <c r="B1744" s="3" t="s">
        <v>26</v>
      </c>
      <c r="C1744" s="3">
        <v>647</v>
      </c>
      <c r="D1744" s="3">
        <v>1</v>
      </c>
      <c r="E1744" s="3" t="s">
        <v>35</v>
      </c>
      <c r="F1744" s="3" t="s">
        <v>36</v>
      </c>
      <c r="G1744" s="3" t="str">
        <f>"2025-12-20 02:12:58.022"</f>
        <v>2025-12-20 02:12:58.022</v>
      </c>
      <c r="H1744" s="3" t="s">
        <v>22</v>
      </c>
    </row>
    <row r="1745" spans="1:10" s="3" customFormat="1" x14ac:dyDescent="0.25">
      <c r="A1745" s="2">
        <v>811</v>
      </c>
      <c r="B1745" s="3" t="s">
        <v>29</v>
      </c>
      <c r="C1745" s="3">
        <v>647</v>
      </c>
      <c r="D1745" s="3">
        <v>1</v>
      </c>
      <c r="E1745" s="3" t="s">
        <v>35</v>
      </c>
      <c r="F1745" s="3" t="s">
        <v>36</v>
      </c>
      <c r="G1745" s="3" t="str">
        <f>"2025-12-20 02:12:52.522"</f>
        <v>2025-12-20 02:12:52.522</v>
      </c>
      <c r="H1745" s="3" t="s">
        <v>22</v>
      </c>
      <c r="I1745" s="3">
        <v>9.1999999999999993</v>
      </c>
      <c r="J1745" s="3" t="s">
        <v>37</v>
      </c>
    </row>
    <row r="1746" spans="1:10" x14ac:dyDescent="0.25">
      <c r="A1746" s="1">
        <v>812</v>
      </c>
      <c r="B1746" t="s">
        <v>26</v>
      </c>
      <c r="C1746">
        <v>635</v>
      </c>
      <c r="D1746">
        <v>1</v>
      </c>
      <c r="E1746" t="s">
        <v>27</v>
      </c>
      <c r="F1746" t="s">
        <v>28</v>
      </c>
      <c r="G1746" t="str">
        <f>"2025-12-19 20:57:49.368"</f>
        <v>2025-12-19 20:57:49.368</v>
      </c>
      <c r="H1746" t="s">
        <v>22</v>
      </c>
    </row>
    <row r="1747" spans="1:10" x14ac:dyDescent="0.25">
      <c r="A1747" s="1">
        <v>813</v>
      </c>
      <c r="B1747" t="s">
        <v>29</v>
      </c>
      <c r="C1747">
        <v>635</v>
      </c>
      <c r="D1747">
        <v>1</v>
      </c>
      <c r="E1747" t="s">
        <v>27</v>
      </c>
      <c r="F1747" t="s">
        <v>28</v>
      </c>
      <c r="G1747" t="str">
        <f>"2025-12-19 20:54:55.868"</f>
        <v>2025-12-19 20:54:55.868</v>
      </c>
      <c r="H1747" t="s">
        <v>22</v>
      </c>
      <c r="I1747">
        <v>7.37</v>
      </c>
      <c r="J1747" t="s">
        <v>30</v>
      </c>
    </row>
    <row r="1748" spans="1:10" x14ac:dyDescent="0.25">
      <c r="A1748" s="1">
        <v>814</v>
      </c>
      <c r="B1748" t="s">
        <v>26</v>
      </c>
      <c r="C1748">
        <v>635</v>
      </c>
      <c r="D1748">
        <v>1</v>
      </c>
      <c r="E1748" t="s">
        <v>27</v>
      </c>
      <c r="F1748" t="s">
        <v>28</v>
      </c>
      <c r="G1748" t="str">
        <f>"2025-12-19 15:58:55.867"</f>
        <v>2025-12-19 15:58:55.867</v>
      </c>
      <c r="H1748" t="s">
        <v>22</v>
      </c>
    </row>
    <row r="1749" spans="1:10" x14ac:dyDescent="0.25">
      <c r="A1749" s="1">
        <v>815</v>
      </c>
      <c r="B1749" t="s">
        <v>29</v>
      </c>
      <c r="C1749">
        <v>635</v>
      </c>
      <c r="D1749">
        <v>1</v>
      </c>
      <c r="E1749" t="s">
        <v>27</v>
      </c>
      <c r="F1749" t="s">
        <v>28</v>
      </c>
      <c r="G1749" t="str">
        <f>"2025-12-19 15:56:50.368"</f>
        <v>2025-12-19 15:56:50.368</v>
      </c>
      <c r="H1749" t="s">
        <v>22</v>
      </c>
      <c r="I1749">
        <v>5.0199999999999996</v>
      </c>
      <c r="J1749" t="s">
        <v>30</v>
      </c>
    </row>
    <row r="1750" spans="1:10" x14ac:dyDescent="0.25">
      <c r="A1750" s="1">
        <v>816</v>
      </c>
      <c r="B1750" t="s">
        <v>26</v>
      </c>
      <c r="C1750">
        <v>635</v>
      </c>
      <c r="D1750">
        <v>1</v>
      </c>
      <c r="E1750" t="s">
        <v>27</v>
      </c>
      <c r="F1750" t="s">
        <v>28</v>
      </c>
      <c r="G1750" t="str">
        <f>"2025-12-19 04:17:50.568"</f>
        <v>2025-12-19 04:17:50.568</v>
      </c>
      <c r="H1750" t="s">
        <v>22</v>
      </c>
    </row>
    <row r="1751" spans="1:10" x14ac:dyDescent="0.25">
      <c r="A1751" s="1">
        <v>817</v>
      </c>
      <c r="B1751" t="s">
        <v>29</v>
      </c>
      <c r="C1751">
        <v>635</v>
      </c>
      <c r="D1751">
        <v>1</v>
      </c>
      <c r="E1751" t="s">
        <v>27</v>
      </c>
      <c r="F1751" t="s">
        <v>28</v>
      </c>
      <c r="G1751" t="str">
        <f>"2025-12-19 04:13:19.568"</f>
        <v>2025-12-19 04:13:19.568</v>
      </c>
      <c r="H1751" t="s">
        <v>22</v>
      </c>
      <c r="I1751">
        <v>4.07</v>
      </c>
      <c r="J1751" t="s">
        <v>30</v>
      </c>
    </row>
    <row r="1752" spans="1:10" s="3" customFormat="1" x14ac:dyDescent="0.25">
      <c r="A1752" s="2">
        <v>818</v>
      </c>
      <c r="B1752" s="3" t="s">
        <v>26</v>
      </c>
      <c r="C1752" s="3">
        <v>647</v>
      </c>
      <c r="D1752" s="3">
        <v>1</v>
      </c>
      <c r="E1752" s="3" t="s">
        <v>35</v>
      </c>
      <c r="F1752" s="3" t="s">
        <v>36</v>
      </c>
      <c r="G1752" s="3" t="str">
        <f>"2025-12-17 15:31:12.822"</f>
        <v>2025-12-17 15:31:12.822</v>
      </c>
      <c r="H1752" s="3" t="s">
        <v>22</v>
      </c>
    </row>
    <row r="1753" spans="1:10" s="3" customFormat="1" x14ac:dyDescent="0.25">
      <c r="A1753" s="2">
        <v>819</v>
      </c>
      <c r="B1753" s="3" t="s">
        <v>29</v>
      </c>
      <c r="C1753" s="3">
        <v>647</v>
      </c>
      <c r="D1753" s="3">
        <v>1</v>
      </c>
      <c r="E1753" s="3" t="s">
        <v>35</v>
      </c>
      <c r="F1753" s="3" t="s">
        <v>36</v>
      </c>
      <c r="G1753" s="3" t="str">
        <f>"2025-12-17 15:31:10.122"</f>
        <v>2025-12-17 15:31:10.122</v>
      </c>
      <c r="H1753" s="3" t="s">
        <v>22</v>
      </c>
      <c r="I1753" s="3">
        <v>10.37</v>
      </c>
      <c r="J1753" s="3" t="s">
        <v>37</v>
      </c>
    </row>
    <row r="1754" spans="1:10" x14ac:dyDescent="0.25">
      <c r="A1754" s="1">
        <v>820</v>
      </c>
      <c r="B1754" t="s">
        <v>26</v>
      </c>
      <c r="C1754">
        <v>630</v>
      </c>
      <c r="D1754">
        <v>5</v>
      </c>
      <c r="E1754" t="s">
        <v>39</v>
      </c>
      <c r="F1754" t="s">
        <v>40</v>
      </c>
      <c r="G1754" t="str">
        <f>"2025-12-16 17:47:18.622"</f>
        <v>2025-12-16 17:47:18.622</v>
      </c>
      <c r="H1754" t="s">
        <v>41</v>
      </c>
    </row>
    <row r="1755" spans="1:10" x14ac:dyDescent="0.25">
      <c r="A1755" s="1">
        <v>821</v>
      </c>
      <c r="B1755" t="s">
        <v>19</v>
      </c>
      <c r="C1755">
        <v>706</v>
      </c>
      <c r="D1755">
        <v>2</v>
      </c>
      <c r="E1755" t="s">
        <v>20</v>
      </c>
      <c r="F1755" t="s">
        <v>54</v>
      </c>
      <c r="G1755" t="str">
        <f>"2025-12-16 17:46:48.451"</f>
        <v>2025-12-16 17:46:48.451</v>
      </c>
      <c r="H1755" t="s">
        <v>22</v>
      </c>
      <c r="I1755">
        <v>0</v>
      </c>
      <c r="J1755" t="s">
        <v>23</v>
      </c>
    </row>
    <row r="1756" spans="1:10" x14ac:dyDescent="0.25">
      <c r="A1756" s="1">
        <v>822</v>
      </c>
      <c r="B1756" t="s">
        <v>34</v>
      </c>
      <c r="C1756">
        <v>630</v>
      </c>
      <c r="D1756">
        <v>5</v>
      </c>
      <c r="E1756" t="s">
        <v>39</v>
      </c>
      <c r="F1756" t="s">
        <v>40</v>
      </c>
      <c r="G1756" t="str">
        <f>"2025-12-16 17:21:47.122"</f>
        <v>2025-12-16 17:21:47.122</v>
      </c>
      <c r="H1756" t="s">
        <v>41</v>
      </c>
      <c r="I1756">
        <v>0</v>
      </c>
      <c r="J1756" t="s">
        <v>23</v>
      </c>
    </row>
    <row r="1757" spans="1:10" s="3" customFormat="1" x14ac:dyDescent="0.25">
      <c r="A1757" s="2">
        <v>823</v>
      </c>
      <c r="B1757" s="3" t="s">
        <v>26</v>
      </c>
      <c r="C1757" s="3">
        <v>647</v>
      </c>
      <c r="D1757" s="3">
        <v>1</v>
      </c>
      <c r="E1757" s="3" t="s">
        <v>35</v>
      </c>
      <c r="F1757" s="3" t="s">
        <v>36</v>
      </c>
      <c r="G1757" s="3" t="str">
        <f>"2025-12-16 12:13:45.022"</f>
        <v>2025-12-16 12:13:45.022</v>
      </c>
      <c r="H1757" s="3" t="s">
        <v>22</v>
      </c>
    </row>
    <row r="1758" spans="1:10" s="3" customFormat="1" x14ac:dyDescent="0.25">
      <c r="A1758" s="2">
        <v>824</v>
      </c>
      <c r="B1758" s="3" t="s">
        <v>29</v>
      </c>
      <c r="C1758" s="3">
        <v>647</v>
      </c>
      <c r="D1758" s="3">
        <v>1</v>
      </c>
      <c r="E1758" s="3" t="s">
        <v>35</v>
      </c>
      <c r="F1758" s="3" t="s">
        <v>36</v>
      </c>
      <c r="G1758" s="3" t="str">
        <f>"2025-12-16 12:13:43.722"</f>
        <v>2025-12-16 12:13:43.722</v>
      </c>
      <c r="H1758" s="3" t="s">
        <v>22</v>
      </c>
      <c r="I1758" s="3">
        <v>12.58</v>
      </c>
      <c r="J1758" s="3" t="s">
        <v>37</v>
      </c>
    </row>
    <row r="1759" spans="1:10" x14ac:dyDescent="0.25">
      <c r="A1759" s="1">
        <v>825</v>
      </c>
      <c r="B1759" t="s">
        <v>26</v>
      </c>
      <c r="C1759">
        <v>635</v>
      </c>
      <c r="D1759">
        <v>1</v>
      </c>
      <c r="E1759" t="s">
        <v>27</v>
      </c>
      <c r="F1759" t="s">
        <v>28</v>
      </c>
      <c r="G1759" t="str">
        <f>"2025-12-16 03:52:15.168"</f>
        <v>2025-12-16 03:52:15.168</v>
      </c>
      <c r="H1759" t="s">
        <v>22</v>
      </c>
    </row>
    <row r="1760" spans="1:10" x14ac:dyDescent="0.25">
      <c r="A1760" s="1">
        <v>826</v>
      </c>
      <c r="B1760" t="s">
        <v>29</v>
      </c>
      <c r="C1760">
        <v>635</v>
      </c>
      <c r="D1760">
        <v>1</v>
      </c>
      <c r="E1760" t="s">
        <v>27</v>
      </c>
      <c r="F1760" t="s">
        <v>28</v>
      </c>
      <c r="G1760" t="str">
        <f>"2025-12-16 03:49:10.168"</f>
        <v>2025-12-16 03:49:10.168</v>
      </c>
      <c r="H1760" t="s">
        <v>22</v>
      </c>
      <c r="I1760">
        <v>3.21</v>
      </c>
      <c r="J1760" t="s">
        <v>30</v>
      </c>
    </row>
    <row r="1761" spans="1:10" x14ac:dyDescent="0.25">
      <c r="A1761" s="1">
        <v>827</v>
      </c>
      <c r="B1761" t="s">
        <v>26</v>
      </c>
      <c r="C1761">
        <v>635</v>
      </c>
      <c r="D1761">
        <v>1</v>
      </c>
      <c r="E1761" t="s">
        <v>27</v>
      </c>
      <c r="F1761" t="s">
        <v>28</v>
      </c>
      <c r="G1761" t="str">
        <f>"2025-12-16 01:52:38.368"</f>
        <v>2025-12-16 01:52:38.368</v>
      </c>
      <c r="H1761" t="s">
        <v>22</v>
      </c>
    </row>
    <row r="1762" spans="1:10" x14ac:dyDescent="0.25">
      <c r="A1762" s="1">
        <v>828</v>
      </c>
      <c r="B1762" t="s">
        <v>29</v>
      </c>
      <c r="C1762">
        <v>635</v>
      </c>
      <c r="D1762">
        <v>1</v>
      </c>
      <c r="E1762" t="s">
        <v>27</v>
      </c>
      <c r="F1762" t="s">
        <v>28</v>
      </c>
      <c r="G1762" t="str">
        <f>"2025-12-16 01:48:56.368"</f>
        <v>2025-12-16 01:48:56.368</v>
      </c>
      <c r="H1762" t="s">
        <v>22</v>
      </c>
      <c r="I1762">
        <v>2.91</v>
      </c>
      <c r="J1762" t="s">
        <v>38</v>
      </c>
    </row>
    <row r="1763" spans="1:10" x14ac:dyDescent="0.25">
      <c r="A1763" s="1">
        <v>829</v>
      </c>
      <c r="B1763" t="s">
        <v>26</v>
      </c>
      <c r="C1763">
        <v>635</v>
      </c>
      <c r="D1763">
        <v>1</v>
      </c>
      <c r="E1763" t="s">
        <v>27</v>
      </c>
      <c r="F1763" t="s">
        <v>28</v>
      </c>
      <c r="G1763" t="str">
        <f>"2025-12-14 20:42:35.268"</f>
        <v>2025-12-14 20:42:35.268</v>
      </c>
      <c r="H1763" t="s">
        <v>22</v>
      </c>
    </row>
    <row r="1764" spans="1:10" x14ac:dyDescent="0.25">
      <c r="A1764" s="1">
        <v>830</v>
      </c>
      <c r="B1764" t="s">
        <v>29</v>
      </c>
      <c r="C1764">
        <v>635</v>
      </c>
      <c r="D1764">
        <v>1</v>
      </c>
      <c r="E1764" t="s">
        <v>27</v>
      </c>
      <c r="F1764" t="s">
        <v>28</v>
      </c>
      <c r="G1764" t="str">
        <f>"2025-12-14 20:18:36.268"</f>
        <v>2025-12-14 20:18:36.268</v>
      </c>
      <c r="H1764" t="s">
        <v>22</v>
      </c>
      <c r="I1764">
        <v>8.06</v>
      </c>
      <c r="J1764" t="s">
        <v>30</v>
      </c>
    </row>
    <row r="1765" spans="1:10" x14ac:dyDescent="0.25">
      <c r="A1765" s="1">
        <v>831</v>
      </c>
      <c r="B1765" t="s">
        <v>26</v>
      </c>
      <c r="C1765">
        <v>619</v>
      </c>
      <c r="D1765">
        <v>1</v>
      </c>
      <c r="E1765" t="s">
        <v>79</v>
      </c>
      <c r="F1765" t="s">
        <v>28</v>
      </c>
      <c r="G1765" t="str">
        <f>"2025-12-14 02:10:57.268"</f>
        <v>2025-12-14 02:10:57.268</v>
      </c>
      <c r="H1765" t="s">
        <v>80</v>
      </c>
    </row>
    <row r="1766" spans="1:10" x14ac:dyDescent="0.25">
      <c r="A1766" s="1">
        <v>832</v>
      </c>
      <c r="B1766" t="s">
        <v>29</v>
      </c>
      <c r="C1766">
        <v>619</v>
      </c>
      <c r="D1766">
        <v>1</v>
      </c>
      <c r="E1766" t="s">
        <v>79</v>
      </c>
      <c r="F1766" t="s">
        <v>28</v>
      </c>
      <c r="G1766" t="str">
        <f>"2025-12-14 02:10:51.668"</f>
        <v>2025-12-14 02:10:51.668</v>
      </c>
      <c r="H1766" t="s">
        <v>80</v>
      </c>
      <c r="I1766">
        <v>0</v>
      </c>
      <c r="J1766" t="s">
        <v>38</v>
      </c>
    </row>
    <row r="1767" spans="1:10" s="3" customFormat="1" x14ac:dyDescent="0.25">
      <c r="A1767" s="2">
        <v>833</v>
      </c>
      <c r="B1767" s="3" t="s">
        <v>26</v>
      </c>
      <c r="C1767" s="3">
        <v>647</v>
      </c>
      <c r="D1767" s="3">
        <v>1</v>
      </c>
      <c r="E1767" s="3" t="s">
        <v>35</v>
      </c>
      <c r="F1767" s="3" t="s">
        <v>36</v>
      </c>
      <c r="G1767" s="3" t="str">
        <f>"2025-12-14 01:05:31.022"</f>
        <v>2025-12-14 01:05:31.022</v>
      </c>
      <c r="H1767" s="3" t="s">
        <v>22</v>
      </c>
    </row>
    <row r="1768" spans="1:10" s="3" customFormat="1" x14ac:dyDescent="0.25">
      <c r="A1768" s="2">
        <v>834</v>
      </c>
      <c r="B1768" s="3" t="s">
        <v>29</v>
      </c>
      <c r="C1768" s="3">
        <v>647</v>
      </c>
      <c r="D1768" s="3">
        <v>1</v>
      </c>
      <c r="E1768" s="3" t="s">
        <v>35</v>
      </c>
      <c r="F1768" s="3" t="s">
        <v>36</v>
      </c>
      <c r="G1768" s="3" t="str">
        <f>"2025-12-14 01:05:28.922"</f>
        <v>2025-12-14 01:05:28.922</v>
      </c>
      <c r="H1768" s="3" t="s">
        <v>22</v>
      </c>
      <c r="I1768" s="3">
        <v>14.43</v>
      </c>
      <c r="J1768" s="3" t="s">
        <v>37</v>
      </c>
    </row>
    <row r="1769" spans="1:10" x14ac:dyDescent="0.25">
      <c r="A1769" s="1">
        <v>835</v>
      </c>
      <c r="B1769" t="s">
        <v>19</v>
      </c>
      <c r="C1769">
        <v>700</v>
      </c>
      <c r="D1769">
        <v>0</v>
      </c>
      <c r="E1769" t="s">
        <v>24</v>
      </c>
      <c r="F1769" t="s">
        <v>24</v>
      </c>
      <c r="G1769" t="str">
        <f>"2025-12-14 00:59:05.741"</f>
        <v>2025-12-14 00:59:05.741</v>
      </c>
      <c r="H1769" t="s">
        <v>22</v>
      </c>
    </row>
    <row r="1770" spans="1:10" x14ac:dyDescent="0.25">
      <c r="A1770" s="1">
        <v>836</v>
      </c>
      <c r="B1770" t="s">
        <v>34</v>
      </c>
      <c r="C1770">
        <v>630</v>
      </c>
      <c r="D1770">
        <v>5</v>
      </c>
      <c r="E1770" t="s">
        <v>39</v>
      </c>
      <c r="F1770" t="s">
        <v>40</v>
      </c>
      <c r="G1770" t="str">
        <f>"2025-12-14 00:56:42.002"</f>
        <v>2025-12-14 00:56:42.002</v>
      </c>
      <c r="H1770" t="s">
        <v>41</v>
      </c>
      <c r="I1770">
        <v>0</v>
      </c>
      <c r="J1770" t="s">
        <v>23</v>
      </c>
    </row>
    <row r="1771" spans="1:10" x14ac:dyDescent="0.25">
      <c r="A1771" s="1">
        <v>837</v>
      </c>
      <c r="B1771" t="s">
        <v>26</v>
      </c>
      <c r="C1771">
        <v>635</v>
      </c>
      <c r="D1771">
        <v>1</v>
      </c>
      <c r="E1771" t="s">
        <v>27</v>
      </c>
      <c r="F1771" t="s">
        <v>28</v>
      </c>
      <c r="G1771" t="str">
        <f>"2025-12-13 02:47:34.248"</f>
        <v>2025-12-13 02:47:34.248</v>
      </c>
      <c r="H1771" t="s">
        <v>22</v>
      </c>
    </row>
    <row r="1772" spans="1:10" x14ac:dyDescent="0.25">
      <c r="A1772" s="1">
        <v>838</v>
      </c>
      <c r="B1772" t="s">
        <v>29</v>
      </c>
      <c r="C1772">
        <v>635</v>
      </c>
      <c r="D1772">
        <v>1</v>
      </c>
      <c r="E1772" t="s">
        <v>27</v>
      </c>
      <c r="F1772" t="s">
        <v>28</v>
      </c>
      <c r="G1772" t="str">
        <f>"2025-12-13 02:42:26.249"</f>
        <v>2025-12-13 02:42:26.249</v>
      </c>
      <c r="H1772" t="s">
        <v>22</v>
      </c>
      <c r="I1772">
        <v>6.85</v>
      </c>
      <c r="J1772" t="s">
        <v>30</v>
      </c>
    </row>
    <row r="1773" spans="1:10" x14ac:dyDescent="0.25">
      <c r="A1773" s="1">
        <v>839</v>
      </c>
      <c r="B1773" t="s">
        <v>19</v>
      </c>
      <c r="C1773">
        <v>700</v>
      </c>
      <c r="D1773">
        <v>0</v>
      </c>
      <c r="E1773" t="s">
        <v>24</v>
      </c>
      <c r="F1773" t="s">
        <v>24</v>
      </c>
      <c r="G1773" t="str">
        <f>"2025-12-13 02:06:52.630"</f>
        <v>2025-12-13 02:06:52.630</v>
      </c>
      <c r="H1773" t="s">
        <v>22</v>
      </c>
      <c r="I1773">
        <v>0</v>
      </c>
      <c r="J1773" t="s">
        <v>25</v>
      </c>
    </row>
    <row r="1774" spans="1:10" x14ac:dyDescent="0.25">
      <c r="A1774" s="1">
        <v>840</v>
      </c>
      <c r="B1774" t="s">
        <v>19</v>
      </c>
      <c r="C1774">
        <v>706</v>
      </c>
      <c r="D1774">
        <v>4</v>
      </c>
      <c r="E1774" t="s">
        <v>20</v>
      </c>
      <c r="F1774" t="s">
        <v>21</v>
      </c>
      <c r="G1774" t="str">
        <f>"2025-12-13 02:04:42.052"</f>
        <v>2025-12-13 02:04:42.052</v>
      </c>
      <c r="H1774" t="s">
        <v>22</v>
      </c>
      <c r="I1774">
        <v>0</v>
      </c>
      <c r="J1774" t="s">
        <v>23</v>
      </c>
    </row>
    <row r="1775" spans="1:10" x14ac:dyDescent="0.25">
      <c r="A1775" s="1">
        <v>841</v>
      </c>
      <c r="B1775" t="s">
        <v>26</v>
      </c>
      <c r="C1775">
        <v>619</v>
      </c>
      <c r="D1775">
        <v>1</v>
      </c>
      <c r="E1775" t="s">
        <v>79</v>
      </c>
      <c r="F1775" t="s">
        <v>28</v>
      </c>
      <c r="G1775" t="str">
        <f>"2025-12-12 03:28:51.249"</f>
        <v>2025-12-12 03:28:51.249</v>
      </c>
      <c r="H1775" t="s">
        <v>80</v>
      </c>
    </row>
    <row r="1776" spans="1:10" x14ac:dyDescent="0.25">
      <c r="A1776" s="1">
        <v>842</v>
      </c>
      <c r="B1776" t="s">
        <v>29</v>
      </c>
      <c r="C1776">
        <v>619</v>
      </c>
      <c r="D1776">
        <v>1</v>
      </c>
      <c r="E1776" t="s">
        <v>79</v>
      </c>
      <c r="F1776" t="s">
        <v>28</v>
      </c>
      <c r="G1776" t="str">
        <f>"2025-12-12 03:28:33.150"</f>
        <v>2025-12-12 03:28:33.150</v>
      </c>
      <c r="H1776" t="s">
        <v>80</v>
      </c>
      <c r="I1776">
        <v>0</v>
      </c>
      <c r="J1776" t="s">
        <v>38</v>
      </c>
    </row>
    <row r="1777" spans="1:10" s="3" customFormat="1" x14ac:dyDescent="0.25">
      <c r="A1777" s="2">
        <v>843</v>
      </c>
      <c r="B1777" s="3" t="s">
        <v>26</v>
      </c>
      <c r="C1777" s="3">
        <v>647</v>
      </c>
      <c r="D1777" s="3">
        <v>1</v>
      </c>
      <c r="E1777" s="3" t="s">
        <v>35</v>
      </c>
      <c r="F1777" s="3" t="s">
        <v>36</v>
      </c>
      <c r="G1777" s="3" t="str">
        <f>"2025-12-11 22:10:10.550"</f>
        <v>2025-12-11 22:10:10.550</v>
      </c>
      <c r="H1777" s="3" t="s">
        <v>22</v>
      </c>
    </row>
    <row r="1778" spans="1:10" s="3" customFormat="1" x14ac:dyDescent="0.25">
      <c r="A1778" s="2">
        <v>844</v>
      </c>
      <c r="B1778" s="3" t="s">
        <v>29</v>
      </c>
      <c r="C1778" s="3">
        <v>647</v>
      </c>
      <c r="D1778" s="3">
        <v>1</v>
      </c>
      <c r="E1778" s="3" t="s">
        <v>35</v>
      </c>
      <c r="F1778" s="3" t="s">
        <v>36</v>
      </c>
      <c r="G1778" s="3" t="str">
        <f>"2025-12-11 22:10:09.250"</f>
        <v>2025-12-11 22:10:09.250</v>
      </c>
      <c r="H1778" s="3" t="s">
        <v>22</v>
      </c>
      <c r="I1778" s="3">
        <v>16.239999999999998</v>
      </c>
      <c r="J1778" s="3" t="s">
        <v>37</v>
      </c>
    </row>
    <row r="1779" spans="1:10" x14ac:dyDescent="0.25">
      <c r="A1779" s="1">
        <v>845</v>
      </c>
      <c r="B1779" t="s">
        <v>26</v>
      </c>
      <c r="C1779">
        <v>635</v>
      </c>
      <c r="D1779">
        <v>1</v>
      </c>
      <c r="E1779" t="s">
        <v>27</v>
      </c>
      <c r="F1779" t="s">
        <v>28</v>
      </c>
      <c r="G1779" t="str">
        <f>"2025-12-11 08:24:35.050"</f>
        <v>2025-12-11 08:24:35.050</v>
      </c>
      <c r="H1779" t="s">
        <v>22</v>
      </c>
    </row>
    <row r="1780" spans="1:10" x14ac:dyDescent="0.25">
      <c r="A1780" s="1">
        <v>846</v>
      </c>
      <c r="B1780" t="s">
        <v>29</v>
      </c>
      <c r="C1780">
        <v>635</v>
      </c>
      <c r="D1780">
        <v>1</v>
      </c>
      <c r="E1780" t="s">
        <v>27</v>
      </c>
      <c r="F1780" t="s">
        <v>28</v>
      </c>
      <c r="G1780" t="str">
        <f>"2025-12-11 08:21:07.550"</f>
        <v>2025-12-11 08:21:07.550</v>
      </c>
      <c r="H1780" t="s">
        <v>22</v>
      </c>
      <c r="I1780">
        <v>0.64</v>
      </c>
      <c r="J1780" t="s">
        <v>37</v>
      </c>
    </row>
    <row r="1781" spans="1:10" x14ac:dyDescent="0.25">
      <c r="A1781" s="1">
        <v>847</v>
      </c>
      <c r="B1781" t="s">
        <v>19</v>
      </c>
      <c r="C1781">
        <v>700</v>
      </c>
      <c r="D1781">
        <v>0</v>
      </c>
      <c r="E1781" t="s">
        <v>24</v>
      </c>
      <c r="F1781" t="s">
        <v>24</v>
      </c>
      <c r="G1781" t="str">
        <f>"2025-12-11 05:32:23.612"</f>
        <v>2025-12-11 05:32:23.612</v>
      </c>
      <c r="H1781" t="s">
        <v>22</v>
      </c>
    </row>
    <row r="1782" spans="1:10" x14ac:dyDescent="0.25">
      <c r="A1782" s="1">
        <v>848</v>
      </c>
      <c r="B1782" t="s">
        <v>19</v>
      </c>
      <c r="C1782">
        <v>706</v>
      </c>
      <c r="D1782">
        <v>4</v>
      </c>
      <c r="E1782" t="s">
        <v>20</v>
      </c>
      <c r="F1782" t="s">
        <v>21</v>
      </c>
      <c r="G1782" t="str">
        <f>"2025-12-11 05:18:11.158"</f>
        <v>2025-12-11 05:18:11.158</v>
      </c>
      <c r="H1782" t="s">
        <v>22</v>
      </c>
      <c r="I1782">
        <v>0</v>
      </c>
      <c r="J1782" t="s">
        <v>23</v>
      </c>
    </row>
    <row r="1783" spans="1:10" x14ac:dyDescent="0.25">
      <c r="A1783" s="1">
        <v>849</v>
      </c>
      <c r="B1783" t="s">
        <v>19</v>
      </c>
      <c r="C1783">
        <v>700</v>
      </c>
      <c r="D1783">
        <v>0</v>
      </c>
      <c r="E1783" t="s">
        <v>24</v>
      </c>
      <c r="F1783" t="s">
        <v>24</v>
      </c>
      <c r="G1783" t="str">
        <f>"2025-12-11 05:17:57.628"</f>
        <v>2025-12-11 05:17:57.628</v>
      </c>
      <c r="H1783" t="s">
        <v>22</v>
      </c>
      <c r="I1783">
        <v>0</v>
      </c>
      <c r="J1783" t="s">
        <v>25</v>
      </c>
    </row>
    <row r="1784" spans="1:10" x14ac:dyDescent="0.25">
      <c r="A1784" s="1">
        <v>850</v>
      </c>
      <c r="B1784" t="s">
        <v>26</v>
      </c>
      <c r="C1784">
        <v>630</v>
      </c>
      <c r="D1784">
        <v>5</v>
      </c>
      <c r="E1784" t="s">
        <v>39</v>
      </c>
      <c r="F1784" t="s">
        <v>40</v>
      </c>
      <c r="G1784" t="str">
        <f>"2025-12-11 03:20:51.838"</f>
        <v>2025-12-11 03:20:51.838</v>
      </c>
      <c r="H1784" t="s">
        <v>41</v>
      </c>
    </row>
    <row r="1785" spans="1:10" x14ac:dyDescent="0.25">
      <c r="A1785" s="1">
        <v>851</v>
      </c>
      <c r="B1785" t="s">
        <v>19</v>
      </c>
      <c r="C1785">
        <v>706</v>
      </c>
      <c r="D1785">
        <v>4</v>
      </c>
      <c r="E1785" t="s">
        <v>20</v>
      </c>
      <c r="F1785" t="s">
        <v>21</v>
      </c>
      <c r="G1785" t="str">
        <f>"2025-12-11 03:20:21.694"</f>
        <v>2025-12-11 03:20:21.694</v>
      </c>
      <c r="H1785" t="s">
        <v>22</v>
      </c>
      <c r="I1785">
        <v>0</v>
      </c>
      <c r="J1785" t="s">
        <v>23</v>
      </c>
    </row>
    <row r="1786" spans="1:10" x14ac:dyDescent="0.25">
      <c r="A1786" s="1">
        <v>852</v>
      </c>
      <c r="B1786" t="s">
        <v>34</v>
      </c>
      <c r="C1786">
        <v>630</v>
      </c>
      <c r="D1786">
        <v>5</v>
      </c>
      <c r="E1786" t="s">
        <v>39</v>
      </c>
      <c r="F1786" t="s">
        <v>40</v>
      </c>
      <c r="G1786" t="str">
        <f>"2025-12-11 02:42:26.538"</f>
        <v>2025-12-11 02:42:26.538</v>
      </c>
      <c r="H1786" t="s">
        <v>41</v>
      </c>
      <c r="I1786">
        <v>0</v>
      </c>
      <c r="J1786" t="s">
        <v>23</v>
      </c>
    </row>
    <row r="1787" spans="1:10" x14ac:dyDescent="0.25">
      <c r="A1787" s="1">
        <v>853</v>
      </c>
      <c r="B1787" t="s">
        <v>19</v>
      </c>
      <c r="C1787">
        <v>700</v>
      </c>
      <c r="D1787">
        <v>0</v>
      </c>
      <c r="E1787" t="s">
        <v>24</v>
      </c>
      <c r="F1787" t="s">
        <v>24</v>
      </c>
      <c r="G1787" t="str">
        <f>"2025-12-11 02:37:23.614"</f>
        <v>2025-12-11 02:37:23.614</v>
      </c>
      <c r="H1787" t="s">
        <v>22</v>
      </c>
    </row>
    <row r="1788" spans="1:10" x14ac:dyDescent="0.25">
      <c r="A1788" s="1">
        <v>854</v>
      </c>
      <c r="B1788" t="s">
        <v>34</v>
      </c>
      <c r="C1788">
        <v>630</v>
      </c>
      <c r="D1788">
        <v>5</v>
      </c>
      <c r="E1788" t="s">
        <v>39</v>
      </c>
      <c r="F1788" t="s">
        <v>40</v>
      </c>
      <c r="G1788" t="str">
        <f>"2025-12-11 01:19:30.123"</f>
        <v>2025-12-11 01:19:30.123</v>
      </c>
      <c r="H1788" t="s">
        <v>41</v>
      </c>
      <c r="I1788">
        <v>0</v>
      </c>
      <c r="J1788" t="s">
        <v>23</v>
      </c>
    </row>
    <row r="1789" spans="1:10" x14ac:dyDescent="0.25">
      <c r="A1789" s="1">
        <v>855</v>
      </c>
      <c r="B1789" t="s">
        <v>19</v>
      </c>
      <c r="C1789">
        <v>706</v>
      </c>
      <c r="D1789">
        <v>4</v>
      </c>
      <c r="E1789" t="s">
        <v>20</v>
      </c>
      <c r="F1789" t="s">
        <v>21</v>
      </c>
      <c r="G1789" t="str">
        <f>"2025-12-11 01:12:31.325"</f>
        <v>2025-12-11 01:12:31.325</v>
      </c>
      <c r="H1789" t="s">
        <v>22</v>
      </c>
      <c r="I1789">
        <v>0</v>
      </c>
      <c r="J1789" t="s">
        <v>23</v>
      </c>
    </row>
    <row r="1790" spans="1:10" x14ac:dyDescent="0.25">
      <c r="A1790" s="1">
        <v>856</v>
      </c>
      <c r="B1790" t="s">
        <v>26</v>
      </c>
      <c r="C1790">
        <v>635</v>
      </c>
      <c r="D1790">
        <v>1</v>
      </c>
      <c r="E1790" t="s">
        <v>27</v>
      </c>
      <c r="F1790" t="s">
        <v>28</v>
      </c>
      <c r="G1790" t="str">
        <f>"2025-12-11 00:23:01.775"</f>
        <v>2025-12-11 00:23:01.775</v>
      </c>
      <c r="H1790" t="s">
        <v>22</v>
      </c>
    </row>
    <row r="1791" spans="1:10" x14ac:dyDescent="0.25">
      <c r="A1791" s="1">
        <v>857</v>
      </c>
      <c r="B1791" t="s">
        <v>29</v>
      </c>
      <c r="C1791">
        <v>635</v>
      </c>
      <c r="D1791">
        <v>1</v>
      </c>
      <c r="E1791" t="s">
        <v>27</v>
      </c>
      <c r="F1791" t="s">
        <v>28</v>
      </c>
      <c r="G1791" t="str">
        <f>"2025-12-10 23:55:13.875"</f>
        <v>2025-12-10 23:55:13.875</v>
      </c>
      <c r="H1791" t="s">
        <v>22</v>
      </c>
      <c r="I1791">
        <v>7.27</v>
      </c>
      <c r="J1791" t="s">
        <v>30</v>
      </c>
    </row>
    <row r="1792" spans="1:10" x14ac:dyDescent="0.25">
      <c r="A1792" s="1">
        <v>858</v>
      </c>
      <c r="B1792" t="s">
        <v>26</v>
      </c>
      <c r="C1792">
        <v>635</v>
      </c>
      <c r="D1792">
        <v>1</v>
      </c>
      <c r="E1792" t="s">
        <v>27</v>
      </c>
      <c r="F1792" t="s">
        <v>28</v>
      </c>
      <c r="G1792" t="str">
        <f>"2025-12-10 11:14:45.175"</f>
        <v>2025-12-10 11:14:45.175</v>
      </c>
      <c r="H1792" t="s">
        <v>22</v>
      </c>
    </row>
    <row r="1793" spans="1:10" x14ac:dyDescent="0.25">
      <c r="A1793" s="1">
        <v>859</v>
      </c>
      <c r="B1793" t="s">
        <v>29</v>
      </c>
      <c r="C1793">
        <v>635</v>
      </c>
      <c r="D1793">
        <v>1</v>
      </c>
      <c r="E1793" t="s">
        <v>27</v>
      </c>
      <c r="F1793" t="s">
        <v>28</v>
      </c>
      <c r="G1793" t="str">
        <f>"2025-12-10 11:11:28.676"</f>
        <v>2025-12-10 11:11:28.676</v>
      </c>
      <c r="H1793" t="s">
        <v>22</v>
      </c>
      <c r="I1793">
        <v>2.98</v>
      </c>
      <c r="J1793" t="s">
        <v>37</v>
      </c>
    </row>
    <row r="1794" spans="1:10" x14ac:dyDescent="0.25">
      <c r="A1794" s="1">
        <v>860</v>
      </c>
      <c r="B1794" t="s">
        <v>19</v>
      </c>
      <c r="C1794">
        <v>700</v>
      </c>
      <c r="D1794">
        <v>0</v>
      </c>
      <c r="E1794" t="s">
        <v>24</v>
      </c>
      <c r="F1794" t="s">
        <v>24</v>
      </c>
      <c r="G1794" t="str">
        <f>"2025-12-08 12:29:33.645"</f>
        <v>2025-12-08 12:29:33.645</v>
      </c>
      <c r="H1794" t="s">
        <v>22</v>
      </c>
    </row>
    <row r="1795" spans="1:10" x14ac:dyDescent="0.25">
      <c r="A1795" s="1">
        <v>861</v>
      </c>
      <c r="B1795" t="s">
        <v>19</v>
      </c>
      <c r="C1795">
        <v>700</v>
      </c>
      <c r="D1795">
        <v>0</v>
      </c>
      <c r="E1795" t="s">
        <v>24</v>
      </c>
      <c r="F1795" t="s">
        <v>24</v>
      </c>
      <c r="G1795" t="str">
        <f>"2025-12-08 08:56:25.643"</f>
        <v>2025-12-08 08:56:25.643</v>
      </c>
      <c r="H1795" t="s">
        <v>22</v>
      </c>
    </row>
    <row r="1796" spans="1:10" x14ac:dyDescent="0.25">
      <c r="A1796" s="1">
        <v>862</v>
      </c>
      <c r="B1796" t="s">
        <v>26</v>
      </c>
      <c r="C1796">
        <v>635</v>
      </c>
      <c r="D1796">
        <v>1</v>
      </c>
      <c r="E1796" t="s">
        <v>27</v>
      </c>
      <c r="F1796" t="s">
        <v>28</v>
      </c>
      <c r="G1796" t="str">
        <f>"2025-12-08 05:17:01.655"</f>
        <v>2025-12-08 05:17:01.655</v>
      </c>
      <c r="H1796" t="s">
        <v>22</v>
      </c>
    </row>
    <row r="1797" spans="1:10" x14ac:dyDescent="0.25">
      <c r="A1797" s="1">
        <v>863</v>
      </c>
      <c r="B1797" t="s">
        <v>29</v>
      </c>
      <c r="C1797">
        <v>635</v>
      </c>
      <c r="D1797">
        <v>1</v>
      </c>
      <c r="E1797" t="s">
        <v>27</v>
      </c>
      <c r="F1797" t="s">
        <v>28</v>
      </c>
      <c r="G1797" t="str">
        <f>"2025-12-08 05:12:17.155"</f>
        <v>2025-12-08 05:12:17.155</v>
      </c>
      <c r="H1797" t="s">
        <v>22</v>
      </c>
      <c r="I1797">
        <v>5.15</v>
      </c>
      <c r="J1797" t="s">
        <v>30</v>
      </c>
    </row>
    <row r="1798" spans="1:10" x14ac:dyDescent="0.25">
      <c r="A1798" s="1">
        <v>864</v>
      </c>
      <c r="B1798" t="s">
        <v>19</v>
      </c>
      <c r="C1798">
        <v>700</v>
      </c>
      <c r="D1798">
        <v>0</v>
      </c>
      <c r="E1798" t="s">
        <v>24</v>
      </c>
      <c r="F1798" t="s">
        <v>24</v>
      </c>
      <c r="G1798" t="str">
        <f>"2025-12-07 15:37:08.637"</f>
        <v>2025-12-07 15:37:08.637</v>
      </c>
      <c r="H1798" t="s">
        <v>22</v>
      </c>
      <c r="I1798">
        <v>0</v>
      </c>
      <c r="J1798" t="s">
        <v>25</v>
      </c>
    </row>
    <row r="1799" spans="1:10" x14ac:dyDescent="0.25">
      <c r="A1799" s="1">
        <v>865</v>
      </c>
      <c r="B1799" t="s">
        <v>34</v>
      </c>
      <c r="C1799">
        <v>630</v>
      </c>
      <c r="D1799">
        <v>5</v>
      </c>
      <c r="E1799" t="s">
        <v>39</v>
      </c>
      <c r="F1799" t="s">
        <v>40</v>
      </c>
      <c r="G1799" t="str">
        <f>"2025-12-07 15:28:19.758"</f>
        <v>2025-12-07 15:28:19.758</v>
      </c>
      <c r="H1799" t="s">
        <v>41</v>
      </c>
      <c r="I1799">
        <v>0</v>
      </c>
      <c r="J1799" t="s">
        <v>23</v>
      </c>
    </row>
    <row r="1800" spans="1:10" x14ac:dyDescent="0.25">
      <c r="A1800" s="1">
        <v>866</v>
      </c>
      <c r="B1800" t="s">
        <v>29</v>
      </c>
      <c r="C1800">
        <v>619</v>
      </c>
      <c r="D1800">
        <v>1</v>
      </c>
      <c r="E1800" t="s">
        <v>79</v>
      </c>
      <c r="F1800" t="s">
        <v>28</v>
      </c>
      <c r="G1800" t="str">
        <f>"2025-12-05 19:28:29.758"</f>
        <v>2025-12-05 19:28:29.758</v>
      </c>
      <c r="H1800" t="s">
        <v>80</v>
      </c>
      <c r="I1800">
        <v>0</v>
      </c>
      <c r="J1800" t="s">
        <v>38</v>
      </c>
    </row>
    <row r="1801" spans="1:10" s="3" customFormat="1" x14ac:dyDescent="0.25">
      <c r="A1801" s="2">
        <v>867</v>
      </c>
      <c r="B1801" s="3" t="s">
        <v>26</v>
      </c>
      <c r="C1801" s="3">
        <v>647</v>
      </c>
      <c r="D1801" s="3">
        <v>1</v>
      </c>
      <c r="E1801" s="3" t="s">
        <v>35</v>
      </c>
      <c r="F1801" s="3" t="s">
        <v>36</v>
      </c>
      <c r="G1801" s="3" t="str">
        <f>"2025-12-05 13:27:25.158"</f>
        <v>2025-12-05 13:27:25.158</v>
      </c>
      <c r="H1801" s="3" t="s">
        <v>22</v>
      </c>
    </row>
    <row r="1802" spans="1:10" s="3" customFormat="1" x14ac:dyDescent="0.25">
      <c r="A1802" s="2">
        <v>868</v>
      </c>
      <c r="B1802" s="3" t="s">
        <v>29</v>
      </c>
      <c r="C1802" s="3">
        <v>647</v>
      </c>
      <c r="D1802" s="3">
        <v>1</v>
      </c>
      <c r="E1802" s="3" t="s">
        <v>35</v>
      </c>
      <c r="F1802" s="3" t="s">
        <v>36</v>
      </c>
      <c r="G1802" s="3" t="str">
        <f>"2025-12-05 13:27:22.858"</f>
        <v>2025-12-05 13:27:22.858</v>
      </c>
      <c r="H1802" s="3" t="s">
        <v>22</v>
      </c>
      <c r="I1802" s="3">
        <v>10.42</v>
      </c>
      <c r="J1802" s="3" t="s">
        <v>37</v>
      </c>
    </row>
    <row r="1803" spans="1:10" s="3" customFormat="1" x14ac:dyDescent="0.25">
      <c r="A1803" s="2">
        <v>869</v>
      </c>
      <c r="B1803" s="3" t="s">
        <v>26</v>
      </c>
      <c r="C1803" s="3">
        <v>647</v>
      </c>
      <c r="D1803" s="3">
        <v>1</v>
      </c>
      <c r="E1803" s="3" t="s">
        <v>35</v>
      </c>
      <c r="F1803" s="3" t="s">
        <v>36</v>
      </c>
      <c r="G1803" s="3" t="str">
        <f>"2025-12-05 11:25:24.158"</f>
        <v>2025-12-05 11:25:24.158</v>
      </c>
      <c r="H1803" s="3" t="s">
        <v>22</v>
      </c>
    </row>
    <row r="1804" spans="1:10" s="3" customFormat="1" x14ac:dyDescent="0.25">
      <c r="A1804" s="2">
        <v>870</v>
      </c>
      <c r="B1804" s="3" t="s">
        <v>29</v>
      </c>
      <c r="C1804" s="3">
        <v>647</v>
      </c>
      <c r="D1804" s="3">
        <v>1</v>
      </c>
      <c r="E1804" s="3" t="s">
        <v>35</v>
      </c>
      <c r="F1804" s="3" t="s">
        <v>36</v>
      </c>
      <c r="G1804" s="3" t="str">
        <f>"2025-12-05 11:25:21.859"</f>
        <v>2025-12-05 11:25:21.859</v>
      </c>
      <c r="H1804" s="3" t="s">
        <v>22</v>
      </c>
      <c r="I1804" s="3">
        <v>18.43</v>
      </c>
      <c r="J1804" s="3" t="s">
        <v>37</v>
      </c>
    </row>
    <row r="1805" spans="1:10" x14ac:dyDescent="0.25">
      <c r="A1805" s="1">
        <v>871</v>
      </c>
      <c r="B1805" t="s">
        <v>19</v>
      </c>
      <c r="C1805">
        <v>700</v>
      </c>
      <c r="D1805">
        <v>0</v>
      </c>
      <c r="E1805" t="s">
        <v>24</v>
      </c>
      <c r="F1805" t="s">
        <v>24</v>
      </c>
      <c r="G1805" t="str">
        <f>"2025-12-05 02:59:16.680"</f>
        <v>2025-12-05 02:59:16.680</v>
      </c>
      <c r="H1805" t="s">
        <v>22</v>
      </c>
    </row>
    <row r="1806" spans="1:10" x14ac:dyDescent="0.25">
      <c r="A1806" s="1">
        <v>872</v>
      </c>
      <c r="B1806" t="s">
        <v>19</v>
      </c>
      <c r="C1806">
        <v>700</v>
      </c>
      <c r="D1806">
        <v>0</v>
      </c>
      <c r="E1806" t="s">
        <v>24</v>
      </c>
      <c r="F1806" t="s">
        <v>24</v>
      </c>
      <c r="G1806" t="str">
        <f>"2025-12-04 23:05:34.657"</f>
        <v>2025-12-04 23:05:34.657</v>
      </c>
      <c r="H1806" t="s">
        <v>22</v>
      </c>
      <c r="I1806">
        <v>0</v>
      </c>
      <c r="J1806" t="s">
        <v>25</v>
      </c>
    </row>
    <row r="1807" spans="1:10" s="3" customFormat="1" x14ac:dyDescent="0.25">
      <c r="A1807" s="2">
        <v>873</v>
      </c>
      <c r="B1807" s="3" t="s">
        <v>26</v>
      </c>
      <c r="C1807" s="3">
        <v>647</v>
      </c>
      <c r="D1807" s="3">
        <v>1</v>
      </c>
      <c r="E1807" s="3" t="s">
        <v>35</v>
      </c>
      <c r="F1807" s="3" t="s">
        <v>36</v>
      </c>
      <c r="G1807" s="3" t="str">
        <f>"2025-12-04 17:45:56.266"</f>
        <v>2025-12-04 17:45:56.266</v>
      </c>
      <c r="H1807" s="3" t="s">
        <v>22</v>
      </c>
    </row>
    <row r="1808" spans="1:10" s="3" customFormat="1" x14ac:dyDescent="0.25">
      <c r="A1808" s="2">
        <v>874</v>
      </c>
      <c r="B1808" s="3" t="s">
        <v>29</v>
      </c>
      <c r="C1808" s="3">
        <v>647</v>
      </c>
      <c r="D1808" s="3">
        <v>1</v>
      </c>
      <c r="E1808" s="3" t="s">
        <v>35</v>
      </c>
      <c r="F1808" s="3" t="s">
        <v>36</v>
      </c>
      <c r="G1808" s="3" t="str">
        <f>"2025-12-04 17:45:43.366"</f>
        <v>2025-12-04 17:45:43.366</v>
      </c>
      <c r="H1808" s="3" t="s">
        <v>22</v>
      </c>
      <c r="I1808" s="3">
        <v>10.28</v>
      </c>
      <c r="J1808" s="3" t="s">
        <v>37</v>
      </c>
    </row>
    <row r="1809" spans="1:10" s="3" customFormat="1" x14ac:dyDescent="0.25">
      <c r="A1809" s="2">
        <v>875</v>
      </c>
      <c r="B1809" s="3" t="s">
        <v>26</v>
      </c>
      <c r="C1809" s="3">
        <v>647</v>
      </c>
      <c r="D1809" s="3">
        <v>1</v>
      </c>
      <c r="E1809" s="3" t="s">
        <v>35</v>
      </c>
      <c r="F1809" s="3" t="s">
        <v>36</v>
      </c>
      <c r="G1809" s="3" t="str">
        <f>"2025-12-04 16:29:41.765"</f>
        <v>2025-12-04 16:29:41.765</v>
      </c>
      <c r="H1809" s="3" t="s">
        <v>22</v>
      </c>
    </row>
    <row r="1810" spans="1:10" s="3" customFormat="1" x14ac:dyDescent="0.25">
      <c r="A1810" s="2">
        <v>876</v>
      </c>
      <c r="B1810" s="3" t="s">
        <v>29</v>
      </c>
      <c r="C1810" s="3">
        <v>647</v>
      </c>
      <c r="D1810" s="3">
        <v>1</v>
      </c>
      <c r="E1810" s="3" t="s">
        <v>35</v>
      </c>
      <c r="F1810" s="3" t="s">
        <v>36</v>
      </c>
      <c r="G1810" s="3" t="str">
        <f>"2025-12-04 16:29:39.866"</f>
        <v>2025-12-04 16:29:39.866</v>
      </c>
      <c r="H1810" s="3" t="s">
        <v>22</v>
      </c>
      <c r="I1810" s="3">
        <v>34.520000000000003</v>
      </c>
      <c r="J1810" s="3" t="s">
        <v>37</v>
      </c>
    </row>
    <row r="1811" spans="1:10" x14ac:dyDescent="0.25">
      <c r="A1811" s="1">
        <v>877</v>
      </c>
      <c r="B1811" t="s">
        <v>19</v>
      </c>
      <c r="C1811">
        <v>700</v>
      </c>
      <c r="D1811">
        <v>0</v>
      </c>
      <c r="E1811" t="s">
        <v>24</v>
      </c>
      <c r="F1811" t="s">
        <v>24</v>
      </c>
      <c r="G1811" t="str">
        <f>"2025-12-04 04:49:53.684"</f>
        <v>2025-12-04 04:49:53.684</v>
      </c>
      <c r="H1811" t="s">
        <v>22</v>
      </c>
    </row>
    <row r="1812" spans="1:10" x14ac:dyDescent="0.25">
      <c r="A1812" s="1">
        <v>878</v>
      </c>
      <c r="B1812" t="s">
        <v>19</v>
      </c>
      <c r="C1812">
        <v>700</v>
      </c>
      <c r="D1812">
        <v>0</v>
      </c>
      <c r="E1812" t="s">
        <v>24</v>
      </c>
      <c r="F1812" t="s">
        <v>24</v>
      </c>
      <c r="G1812" t="str">
        <f>"2025-12-04 03:03:20.651"</f>
        <v>2025-12-04 03:03:20.651</v>
      </c>
      <c r="H1812" t="s">
        <v>22</v>
      </c>
    </row>
    <row r="1813" spans="1:10" x14ac:dyDescent="0.25">
      <c r="A1813" s="1">
        <v>879</v>
      </c>
      <c r="B1813" t="s">
        <v>26</v>
      </c>
      <c r="C1813">
        <v>635</v>
      </c>
      <c r="D1813">
        <v>1</v>
      </c>
      <c r="E1813" t="s">
        <v>27</v>
      </c>
      <c r="F1813" t="s">
        <v>28</v>
      </c>
      <c r="G1813" t="str">
        <f>"2025-12-03 15:00:12.618"</f>
        <v>2025-12-03 15:00:12.618</v>
      </c>
      <c r="H1813" t="s">
        <v>22</v>
      </c>
    </row>
    <row r="1814" spans="1:10" x14ac:dyDescent="0.25">
      <c r="A1814" s="1">
        <v>880</v>
      </c>
      <c r="B1814" t="s">
        <v>29</v>
      </c>
      <c r="C1814">
        <v>635</v>
      </c>
      <c r="D1814">
        <v>1</v>
      </c>
      <c r="E1814" t="s">
        <v>27</v>
      </c>
      <c r="F1814" t="s">
        <v>28</v>
      </c>
      <c r="G1814" t="str">
        <f>"2025-12-03 14:56:09.618"</f>
        <v>2025-12-03 14:56:09.618</v>
      </c>
      <c r="H1814" t="s">
        <v>22</v>
      </c>
      <c r="I1814">
        <v>3.6</v>
      </c>
      <c r="J1814" t="s">
        <v>30</v>
      </c>
    </row>
    <row r="1815" spans="1:10" x14ac:dyDescent="0.25">
      <c r="A1815" s="1">
        <v>881</v>
      </c>
      <c r="B1815" t="s">
        <v>26</v>
      </c>
      <c r="C1815">
        <v>635</v>
      </c>
      <c r="D1815">
        <v>1</v>
      </c>
      <c r="E1815" t="s">
        <v>27</v>
      </c>
      <c r="F1815" t="s">
        <v>28</v>
      </c>
      <c r="G1815" t="str">
        <f>"2025-12-02 12:37:40.918"</f>
        <v>2025-12-02 12:37:40.918</v>
      </c>
      <c r="H1815" t="s">
        <v>22</v>
      </c>
    </row>
    <row r="1816" spans="1:10" x14ac:dyDescent="0.25">
      <c r="A1816" s="1">
        <v>882</v>
      </c>
      <c r="B1816" t="s">
        <v>29</v>
      </c>
      <c r="C1816">
        <v>635</v>
      </c>
      <c r="D1816">
        <v>1</v>
      </c>
      <c r="E1816" t="s">
        <v>27</v>
      </c>
      <c r="F1816" t="s">
        <v>28</v>
      </c>
      <c r="G1816" t="str">
        <f>"2025-12-02 12:34:22.918"</f>
        <v>2025-12-02 12:34:22.918</v>
      </c>
      <c r="H1816" t="s">
        <v>22</v>
      </c>
      <c r="I1816">
        <v>3.11</v>
      </c>
      <c r="J1816" t="s">
        <v>37</v>
      </c>
    </row>
    <row r="1817" spans="1:10" x14ac:dyDescent="0.25">
      <c r="A1817" s="1">
        <v>883</v>
      </c>
      <c r="B1817" t="s">
        <v>19</v>
      </c>
      <c r="C1817">
        <v>700</v>
      </c>
      <c r="D1817">
        <v>0</v>
      </c>
      <c r="E1817" t="s">
        <v>24</v>
      </c>
      <c r="F1817" t="s">
        <v>24</v>
      </c>
      <c r="G1817" t="str">
        <f>"2025-12-02 03:51:20.699"</f>
        <v>2025-12-02 03:51:20.699</v>
      </c>
      <c r="H1817" t="s">
        <v>22</v>
      </c>
    </row>
    <row r="1818" spans="1:10" x14ac:dyDescent="0.25">
      <c r="A1818" s="1">
        <v>884</v>
      </c>
      <c r="B1818" t="s">
        <v>19</v>
      </c>
      <c r="C1818">
        <v>700</v>
      </c>
      <c r="D1818">
        <v>0</v>
      </c>
      <c r="E1818" t="s">
        <v>24</v>
      </c>
      <c r="F1818" t="s">
        <v>24</v>
      </c>
      <c r="G1818" t="str">
        <f>"2025-12-02 03:45:27.619"</f>
        <v>2025-12-02 03:45:27.619</v>
      </c>
      <c r="H1818" t="s">
        <v>22</v>
      </c>
      <c r="I1818">
        <v>0</v>
      </c>
      <c r="J1818" t="s">
        <v>25</v>
      </c>
    </row>
    <row r="1819" spans="1:10" x14ac:dyDescent="0.25">
      <c r="A1819" s="1">
        <v>885</v>
      </c>
      <c r="B1819" t="s">
        <v>19</v>
      </c>
      <c r="C1819">
        <v>706</v>
      </c>
      <c r="D1819">
        <v>4</v>
      </c>
      <c r="E1819" t="s">
        <v>20</v>
      </c>
      <c r="F1819" t="s">
        <v>21</v>
      </c>
      <c r="G1819" t="str">
        <f>"2025-12-02 03:43:27.209"</f>
        <v>2025-12-02 03:43:27.209</v>
      </c>
      <c r="H1819" t="s">
        <v>22</v>
      </c>
      <c r="I1819">
        <v>0</v>
      </c>
      <c r="J1819" t="s">
        <v>23</v>
      </c>
    </row>
    <row r="1820" spans="1:10" x14ac:dyDescent="0.25">
      <c r="A1820" s="1">
        <v>886</v>
      </c>
      <c r="B1820" t="s">
        <v>19</v>
      </c>
      <c r="C1820">
        <v>706</v>
      </c>
      <c r="D1820">
        <v>4</v>
      </c>
      <c r="E1820" t="s">
        <v>20</v>
      </c>
      <c r="F1820" t="s">
        <v>21</v>
      </c>
      <c r="G1820" t="str">
        <f>"2025-12-02 03:42:54.209"</f>
        <v>2025-12-02 03:42:54.209</v>
      </c>
      <c r="H1820" t="s">
        <v>22</v>
      </c>
      <c r="I1820">
        <v>0</v>
      </c>
      <c r="J1820" t="s">
        <v>23</v>
      </c>
    </row>
    <row r="1821" spans="1:10" x14ac:dyDescent="0.25">
      <c r="A1821" s="1">
        <v>887</v>
      </c>
      <c r="B1821" t="s">
        <v>19</v>
      </c>
      <c r="C1821">
        <v>700</v>
      </c>
      <c r="D1821">
        <v>0</v>
      </c>
      <c r="E1821" t="s">
        <v>24</v>
      </c>
      <c r="F1821" t="s">
        <v>24</v>
      </c>
      <c r="G1821" t="str">
        <f>"2025-12-02 03:42:15.719"</f>
        <v>2025-12-02 03:42:15.719</v>
      </c>
      <c r="H1821" t="s">
        <v>22</v>
      </c>
      <c r="I1821">
        <v>0</v>
      </c>
      <c r="J1821" t="s">
        <v>25</v>
      </c>
    </row>
    <row r="1822" spans="1:10" x14ac:dyDescent="0.25">
      <c r="A1822" s="1">
        <v>888</v>
      </c>
      <c r="B1822" t="s">
        <v>19</v>
      </c>
      <c r="C1822">
        <v>706</v>
      </c>
      <c r="D1822">
        <v>4</v>
      </c>
      <c r="E1822" t="s">
        <v>20</v>
      </c>
      <c r="F1822" t="s">
        <v>21</v>
      </c>
      <c r="G1822" t="str">
        <f>"2025-12-02 03:29:15.514"</f>
        <v>2025-12-02 03:29:15.514</v>
      </c>
      <c r="H1822" t="s">
        <v>22</v>
      </c>
      <c r="I1822">
        <v>0</v>
      </c>
      <c r="J1822" t="s">
        <v>23</v>
      </c>
    </row>
    <row r="1823" spans="1:10" x14ac:dyDescent="0.25">
      <c r="A1823" s="1">
        <v>889</v>
      </c>
      <c r="B1823" t="s">
        <v>19</v>
      </c>
      <c r="C1823">
        <v>700</v>
      </c>
      <c r="D1823">
        <v>0</v>
      </c>
      <c r="E1823" t="s">
        <v>24</v>
      </c>
      <c r="F1823" t="s">
        <v>24</v>
      </c>
      <c r="G1823" t="str">
        <f>"2025-12-02 03:28:55.704"</f>
        <v>2025-12-02 03:28:55.704</v>
      </c>
      <c r="H1823" t="s">
        <v>22</v>
      </c>
      <c r="I1823">
        <v>0</v>
      </c>
      <c r="J1823" t="s">
        <v>25</v>
      </c>
    </row>
    <row r="1824" spans="1:10" x14ac:dyDescent="0.25">
      <c r="A1824" s="1">
        <v>890</v>
      </c>
      <c r="B1824" t="s">
        <v>19</v>
      </c>
      <c r="C1824">
        <v>706</v>
      </c>
      <c r="D1824">
        <v>4</v>
      </c>
      <c r="E1824" t="s">
        <v>20</v>
      </c>
      <c r="F1824" t="s">
        <v>21</v>
      </c>
      <c r="G1824" t="str">
        <f>"2025-12-02 03:22:44.709"</f>
        <v>2025-12-02 03:22:44.709</v>
      </c>
      <c r="H1824" t="s">
        <v>22</v>
      </c>
      <c r="I1824">
        <v>0</v>
      </c>
      <c r="J1824" t="s">
        <v>23</v>
      </c>
    </row>
    <row r="1825" spans="1:10" x14ac:dyDescent="0.25">
      <c r="A1825" s="1">
        <v>891</v>
      </c>
      <c r="B1825" t="s">
        <v>19</v>
      </c>
      <c r="C1825">
        <v>706</v>
      </c>
      <c r="D1825">
        <v>4</v>
      </c>
      <c r="E1825" t="s">
        <v>20</v>
      </c>
      <c r="F1825" t="s">
        <v>21</v>
      </c>
      <c r="G1825" t="str">
        <f>"2025-12-02 03:22:24.409"</f>
        <v>2025-12-02 03:22:24.409</v>
      </c>
      <c r="H1825" t="s">
        <v>22</v>
      </c>
      <c r="I1825">
        <v>0</v>
      </c>
      <c r="J1825" t="s">
        <v>23</v>
      </c>
    </row>
    <row r="1826" spans="1:10" x14ac:dyDescent="0.25">
      <c r="A1826" s="1">
        <v>892</v>
      </c>
      <c r="B1826" t="s">
        <v>19</v>
      </c>
      <c r="C1826">
        <v>700</v>
      </c>
      <c r="D1826">
        <v>0</v>
      </c>
      <c r="E1826" t="s">
        <v>24</v>
      </c>
      <c r="F1826" t="s">
        <v>24</v>
      </c>
      <c r="G1826" t="str">
        <f>"2025-12-02 03:21:20.619"</f>
        <v>2025-12-02 03:21:20.619</v>
      </c>
      <c r="H1826" t="s">
        <v>22</v>
      </c>
      <c r="I1826">
        <v>0</v>
      </c>
      <c r="J1826" t="s">
        <v>25</v>
      </c>
    </row>
    <row r="1827" spans="1:10" x14ac:dyDescent="0.25">
      <c r="A1827" s="1">
        <v>893</v>
      </c>
      <c r="B1827" t="s">
        <v>19</v>
      </c>
      <c r="C1827">
        <v>706</v>
      </c>
      <c r="D1827">
        <v>4</v>
      </c>
      <c r="E1827" t="s">
        <v>20</v>
      </c>
      <c r="F1827" t="s">
        <v>21</v>
      </c>
      <c r="G1827" t="str">
        <f>"2025-12-02 03:18:56.529"</f>
        <v>2025-12-02 03:18:56.529</v>
      </c>
      <c r="H1827" t="s">
        <v>22</v>
      </c>
      <c r="I1827">
        <v>0</v>
      </c>
      <c r="J1827" t="s">
        <v>23</v>
      </c>
    </row>
    <row r="1828" spans="1:10" x14ac:dyDescent="0.25">
      <c r="A1828" s="1">
        <v>894</v>
      </c>
      <c r="B1828" t="s">
        <v>19</v>
      </c>
      <c r="C1828">
        <v>706</v>
      </c>
      <c r="D1828">
        <v>4</v>
      </c>
      <c r="E1828" t="s">
        <v>20</v>
      </c>
      <c r="F1828" t="s">
        <v>21</v>
      </c>
      <c r="G1828" t="str">
        <f>"2025-12-02 03:18:41.429"</f>
        <v>2025-12-02 03:18:41.429</v>
      </c>
      <c r="H1828" t="s">
        <v>22</v>
      </c>
      <c r="I1828">
        <v>0</v>
      </c>
      <c r="J1828" t="s">
        <v>23</v>
      </c>
    </row>
    <row r="1829" spans="1:10" x14ac:dyDescent="0.25">
      <c r="A1829" s="1">
        <v>895</v>
      </c>
      <c r="B1829" t="s">
        <v>19</v>
      </c>
      <c r="C1829">
        <v>706</v>
      </c>
      <c r="D1829">
        <v>4</v>
      </c>
      <c r="E1829" t="s">
        <v>20</v>
      </c>
      <c r="F1829" t="s">
        <v>21</v>
      </c>
      <c r="G1829" t="str">
        <f>"2025-12-02 03:12:38.749"</f>
        <v>2025-12-02 03:12:38.749</v>
      </c>
      <c r="H1829" t="s">
        <v>22</v>
      </c>
      <c r="I1829">
        <v>0</v>
      </c>
      <c r="J1829" t="s">
        <v>23</v>
      </c>
    </row>
    <row r="1830" spans="1:10" x14ac:dyDescent="0.25">
      <c r="A1830" s="1">
        <v>896</v>
      </c>
      <c r="B1830" t="s">
        <v>26</v>
      </c>
      <c r="C1830">
        <v>630</v>
      </c>
      <c r="D1830">
        <v>5</v>
      </c>
      <c r="E1830" t="s">
        <v>39</v>
      </c>
      <c r="F1830" t="s">
        <v>40</v>
      </c>
      <c r="G1830" t="str">
        <f>"2025-12-02 03:08:29.182"</f>
        <v>2025-12-02 03:08:29.182</v>
      </c>
      <c r="H1830" t="s">
        <v>41</v>
      </c>
    </row>
    <row r="1831" spans="1:10" x14ac:dyDescent="0.25">
      <c r="A1831" s="1">
        <v>897</v>
      </c>
      <c r="B1831" t="s">
        <v>19</v>
      </c>
      <c r="C1831">
        <v>706</v>
      </c>
      <c r="D1831">
        <v>4</v>
      </c>
      <c r="E1831" t="s">
        <v>20</v>
      </c>
      <c r="F1831" t="s">
        <v>21</v>
      </c>
      <c r="G1831" t="str">
        <f>"2025-12-02 03:07:59.169"</f>
        <v>2025-12-02 03:07:59.169</v>
      </c>
      <c r="H1831" t="s">
        <v>22</v>
      </c>
      <c r="I1831">
        <v>0</v>
      </c>
      <c r="J1831" t="s">
        <v>23</v>
      </c>
    </row>
    <row r="1832" spans="1:10" x14ac:dyDescent="0.25">
      <c r="A1832" s="1">
        <v>898</v>
      </c>
      <c r="B1832" t="s">
        <v>34</v>
      </c>
      <c r="C1832">
        <v>630</v>
      </c>
      <c r="D1832">
        <v>5</v>
      </c>
      <c r="E1832" t="s">
        <v>39</v>
      </c>
      <c r="F1832" t="s">
        <v>40</v>
      </c>
      <c r="G1832" t="str">
        <f>"2025-12-02 03:07:34.382"</f>
        <v>2025-12-02 03:07:34.382</v>
      </c>
      <c r="H1832" t="s">
        <v>41</v>
      </c>
      <c r="I1832">
        <v>0</v>
      </c>
      <c r="J1832" t="s">
        <v>23</v>
      </c>
    </row>
    <row r="1833" spans="1:10" x14ac:dyDescent="0.25">
      <c r="A1833" s="1">
        <v>899</v>
      </c>
      <c r="B1833" t="s">
        <v>19</v>
      </c>
      <c r="C1833">
        <v>700</v>
      </c>
      <c r="D1833">
        <v>0</v>
      </c>
      <c r="E1833" t="s">
        <v>24</v>
      </c>
      <c r="F1833" t="s">
        <v>24</v>
      </c>
      <c r="G1833" t="str">
        <f>"2025-12-02 03:02:31.609"</f>
        <v>2025-12-02 03:02:31.609</v>
      </c>
      <c r="H1833" t="s">
        <v>22</v>
      </c>
      <c r="I1833">
        <v>0</v>
      </c>
      <c r="J1833" t="s">
        <v>25</v>
      </c>
    </row>
    <row r="1834" spans="1:10" x14ac:dyDescent="0.25">
      <c r="A1834" s="1">
        <v>900</v>
      </c>
      <c r="B1834" t="s">
        <v>19</v>
      </c>
      <c r="C1834">
        <v>700</v>
      </c>
      <c r="D1834">
        <v>0</v>
      </c>
      <c r="E1834" t="s">
        <v>24</v>
      </c>
      <c r="F1834" t="s">
        <v>24</v>
      </c>
      <c r="G1834" t="str">
        <f>"2025-12-02 02:57:41.610"</f>
        <v>2025-12-02 02:57:41.610</v>
      </c>
      <c r="H1834" t="s">
        <v>22</v>
      </c>
    </row>
    <row r="1835" spans="1:10" x14ac:dyDescent="0.25">
      <c r="A1835" s="1">
        <v>901</v>
      </c>
      <c r="B1835" t="s">
        <v>26</v>
      </c>
      <c r="C1835">
        <v>54</v>
      </c>
      <c r="D1835">
        <v>1</v>
      </c>
      <c r="E1835" t="s">
        <v>87</v>
      </c>
      <c r="F1835" t="s">
        <v>88</v>
      </c>
      <c r="G1835" t="str">
        <f>"2025-12-02 02:39:19.284"</f>
        <v>2025-12-02 02:39:19.284</v>
      </c>
      <c r="H1835" t="s">
        <v>22</v>
      </c>
    </row>
    <row r="1836" spans="1:10" x14ac:dyDescent="0.25">
      <c r="A1836" s="1">
        <v>902</v>
      </c>
      <c r="B1836" t="s">
        <v>19</v>
      </c>
      <c r="C1836">
        <v>700</v>
      </c>
      <c r="D1836">
        <v>0</v>
      </c>
      <c r="E1836" t="s">
        <v>24</v>
      </c>
      <c r="F1836" t="s">
        <v>24</v>
      </c>
      <c r="G1836" t="str">
        <f>"2025-12-02 02:39:06.610"</f>
        <v>2025-12-02 02:39:06.610</v>
      </c>
      <c r="H1836" t="s">
        <v>22</v>
      </c>
      <c r="I1836">
        <v>0</v>
      </c>
      <c r="J1836" t="s">
        <v>25</v>
      </c>
    </row>
    <row r="1837" spans="1:10" x14ac:dyDescent="0.25">
      <c r="A1837" s="1">
        <v>903</v>
      </c>
      <c r="B1837" t="s">
        <v>26</v>
      </c>
      <c r="C1837">
        <v>619</v>
      </c>
      <c r="D1837">
        <v>1</v>
      </c>
      <c r="E1837" t="s">
        <v>79</v>
      </c>
      <c r="F1837" t="s">
        <v>28</v>
      </c>
      <c r="G1837" t="str">
        <f>"2025-11-30 11:14:11.452"</f>
        <v>2025-11-30 11:14:11.452</v>
      </c>
      <c r="H1837" t="s">
        <v>80</v>
      </c>
    </row>
    <row r="1838" spans="1:10" x14ac:dyDescent="0.25">
      <c r="A1838" s="1">
        <v>904</v>
      </c>
      <c r="B1838" t="s">
        <v>29</v>
      </c>
      <c r="C1838">
        <v>619</v>
      </c>
      <c r="D1838">
        <v>1</v>
      </c>
      <c r="E1838" t="s">
        <v>79</v>
      </c>
      <c r="F1838" t="s">
        <v>28</v>
      </c>
      <c r="G1838" t="str">
        <f>"2025-11-30 11:14:04.805"</f>
        <v>2025-11-30 11:14:04.805</v>
      </c>
      <c r="H1838" t="s">
        <v>80</v>
      </c>
      <c r="I1838">
        <v>0.13</v>
      </c>
      <c r="J1838" t="s">
        <v>30</v>
      </c>
    </row>
    <row r="1839" spans="1:10" x14ac:dyDescent="0.25">
      <c r="A1839" s="1">
        <v>905</v>
      </c>
      <c r="B1839" t="s">
        <v>29</v>
      </c>
      <c r="C1839">
        <v>54</v>
      </c>
      <c r="D1839">
        <v>1</v>
      </c>
      <c r="E1839" t="s">
        <v>87</v>
      </c>
      <c r="F1839" t="s">
        <v>88</v>
      </c>
      <c r="G1839" t="str">
        <f>"2025-11-29 14:35:26.505"</f>
        <v>2025-11-29 14:35:26.505</v>
      </c>
      <c r="H1839" t="s">
        <v>22</v>
      </c>
      <c r="I1839">
        <v>6.98</v>
      </c>
      <c r="J1839" t="s">
        <v>30</v>
      </c>
    </row>
    <row r="1840" spans="1:10" x14ac:dyDescent="0.25">
      <c r="A1840" s="1">
        <v>906</v>
      </c>
      <c r="B1840" t="s">
        <v>19</v>
      </c>
      <c r="C1840">
        <v>700</v>
      </c>
      <c r="D1840">
        <v>0</v>
      </c>
      <c r="E1840" t="s">
        <v>24</v>
      </c>
      <c r="F1840" t="s">
        <v>24</v>
      </c>
      <c r="G1840" t="str">
        <f>"2025-11-29 14:28:17.624"</f>
        <v>2025-11-29 14:28:17.624</v>
      </c>
      <c r="H1840" t="s">
        <v>22</v>
      </c>
    </row>
    <row r="1841" spans="1:10" x14ac:dyDescent="0.25">
      <c r="A1841" s="1">
        <v>907</v>
      </c>
      <c r="B1841" t="s">
        <v>19</v>
      </c>
      <c r="C1841">
        <v>706</v>
      </c>
      <c r="D1841">
        <v>4</v>
      </c>
      <c r="E1841" t="s">
        <v>20</v>
      </c>
      <c r="F1841" t="s">
        <v>21</v>
      </c>
      <c r="G1841" t="str">
        <f>"2025-11-29 14:21:30.807"</f>
        <v>2025-11-29 14:21:30.807</v>
      </c>
      <c r="H1841" t="s">
        <v>22</v>
      </c>
      <c r="I1841">
        <v>0</v>
      </c>
      <c r="J1841" t="s">
        <v>23</v>
      </c>
    </row>
    <row r="1842" spans="1:10" x14ac:dyDescent="0.25">
      <c r="A1842" s="1">
        <v>908</v>
      </c>
      <c r="B1842" t="s">
        <v>19</v>
      </c>
      <c r="C1842">
        <v>700</v>
      </c>
      <c r="D1842">
        <v>0</v>
      </c>
      <c r="E1842" t="s">
        <v>24</v>
      </c>
      <c r="F1842" t="s">
        <v>24</v>
      </c>
      <c r="G1842" t="str">
        <f>"2025-11-29 14:17:01.627"</f>
        <v>2025-11-29 14:17:01.627</v>
      </c>
      <c r="H1842" t="s">
        <v>22</v>
      </c>
      <c r="I1842">
        <v>0</v>
      </c>
      <c r="J1842" t="s">
        <v>25</v>
      </c>
    </row>
    <row r="1843" spans="1:10" x14ac:dyDescent="0.25">
      <c r="A1843" s="1">
        <v>909</v>
      </c>
      <c r="B1843" t="s">
        <v>26</v>
      </c>
      <c r="C1843">
        <v>630</v>
      </c>
      <c r="D1843">
        <v>5</v>
      </c>
      <c r="E1843" t="s">
        <v>39</v>
      </c>
      <c r="F1843" t="s">
        <v>40</v>
      </c>
      <c r="G1843" t="str">
        <f>"2025-11-29 14:13:21.325"</f>
        <v>2025-11-29 14:13:21.325</v>
      </c>
      <c r="H1843" t="s">
        <v>41</v>
      </c>
    </row>
    <row r="1844" spans="1:10" x14ac:dyDescent="0.25">
      <c r="A1844" s="1">
        <v>910</v>
      </c>
      <c r="B1844" t="s">
        <v>19</v>
      </c>
      <c r="C1844">
        <v>706</v>
      </c>
      <c r="D1844">
        <v>2</v>
      </c>
      <c r="E1844" t="s">
        <v>20</v>
      </c>
      <c r="F1844" t="s">
        <v>54</v>
      </c>
      <c r="G1844" t="str">
        <f>"2025-11-29 14:12:51.274"</f>
        <v>2025-11-29 14:12:51.274</v>
      </c>
      <c r="H1844" t="s">
        <v>22</v>
      </c>
      <c r="I1844">
        <v>0</v>
      </c>
      <c r="J1844" t="s">
        <v>23</v>
      </c>
    </row>
    <row r="1845" spans="1:10" x14ac:dyDescent="0.25">
      <c r="A1845" s="1">
        <v>911</v>
      </c>
      <c r="B1845" t="s">
        <v>34</v>
      </c>
      <c r="C1845">
        <v>630</v>
      </c>
      <c r="D1845">
        <v>5</v>
      </c>
      <c r="E1845" t="s">
        <v>39</v>
      </c>
      <c r="F1845" t="s">
        <v>40</v>
      </c>
      <c r="G1845" t="str">
        <f>"2025-11-29 14:12:08.725"</f>
        <v>2025-11-29 14:12:08.725</v>
      </c>
      <c r="H1845" t="s">
        <v>41</v>
      </c>
      <c r="I1845">
        <v>0</v>
      </c>
      <c r="J1845" t="s">
        <v>23</v>
      </c>
    </row>
    <row r="1846" spans="1:10" x14ac:dyDescent="0.25">
      <c r="A1846" s="1">
        <v>912</v>
      </c>
      <c r="B1846" t="s">
        <v>19</v>
      </c>
      <c r="C1846">
        <v>706</v>
      </c>
      <c r="D1846">
        <v>4</v>
      </c>
      <c r="E1846" t="s">
        <v>20</v>
      </c>
      <c r="F1846" t="s">
        <v>21</v>
      </c>
      <c r="G1846" t="str">
        <f>"2025-11-29 14:06:52.254"</f>
        <v>2025-11-29 14:06:52.254</v>
      </c>
      <c r="H1846" t="s">
        <v>22</v>
      </c>
      <c r="I1846">
        <v>0</v>
      </c>
      <c r="J1846" t="s">
        <v>23</v>
      </c>
    </row>
    <row r="1847" spans="1:10" x14ac:dyDescent="0.25">
      <c r="A1847" s="1">
        <v>913</v>
      </c>
      <c r="B1847" t="s">
        <v>19</v>
      </c>
      <c r="C1847">
        <v>706</v>
      </c>
      <c r="D1847">
        <v>4</v>
      </c>
      <c r="E1847" t="s">
        <v>20</v>
      </c>
      <c r="F1847" t="s">
        <v>21</v>
      </c>
      <c r="G1847" t="str">
        <f>"2025-11-29 12:58:56.724"</f>
        <v>2025-11-29 12:58:56.724</v>
      </c>
      <c r="H1847" t="s">
        <v>22</v>
      </c>
      <c r="I1847">
        <v>0</v>
      </c>
      <c r="J1847" t="s">
        <v>23</v>
      </c>
    </row>
    <row r="1848" spans="1:10" x14ac:dyDescent="0.25">
      <c r="A1848" s="1">
        <v>914</v>
      </c>
      <c r="B1848" t="s">
        <v>19</v>
      </c>
      <c r="C1848">
        <v>700</v>
      </c>
      <c r="D1848">
        <v>0</v>
      </c>
      <c r="E1848" t="s">
        <v>24</v>
      </c>
      <c r="F1848" t="s">
        <v>24</v>
      </c>
      <c r="G1848" t="str">
        <f>"2025-11-29 12:58:38.654"</f>
        <v>2025-11-29 12:58:38.654</v>
      </c>
      <c r="H1848" t="s">
        <v>22</v>
      </c>
      <c r="I1848">
        <v>0</v>
      </c>
      <c r="J1848" t="s">
        <v>25</v>
      </c>
    </row>
    <row r="1849" spans="1:10" x14ac:dyDescent="0.25">
      <c r="A1849" s="1">
        <v>915</v>
      </c>
      <c r="B1849" t="s">
        <v>19</v>
      </c>
      <c r="C1849">
        <v>700</v>
      </c>
      <c r="D1849">
        <v>0</v>
      </c>
      <c r="E1849" t="s">
        <v>24</v>
      </c>
      <c r="F1849" t="s">
        <v>24</v>
      </c>
      <c r="G1849" t="str">
        <f>"2025-11-29 12:48:21.649"</f>
        <v>2025-11-29 12:48:21.649</v>
      </c>
      <c r="H1849" t="s">
        <v>22</v>
      </c>
      <c r="I1849">
        <v>0</v>
      </c>
      <c r="J1849" t="s">
        <v>25</v>
      </c>
    </row>
    <row r="1850" spans="1:10" x14ac:dyDescent="0.25">
      <c r="A1850" s="1">
        <v>916</v>
      </c>
      <c r="B1850" t="s">
        <v>26</v>
      </c>
      <c r="C1850">
        <v>630</v>
      </c>
      <c r="D1850">
        <v>5</v>
      </c>
      <c r="E1850" t="s">
        <v>39</v>
      </c>
      <c r="F1850" t="s">
        <v>40</v>
      </c>
      <c r="G1850" t="str">
        <f>"2025-11-29 12:34:52.601"</f>
        <v>2025-11-29 12:34:52.601</v>
      </c>
      <c r="H1850" t="s">
        <v>41</v>
      </c>
    </row>
    <row r="1851" spans="1:10" x14ac:dyDescent="0.25">
      <c r="A1851" s="1">
        <v>917</v>
      </c>
      <c r="B1851" t="s">
        <v>19</v>
      </c>
      <c r="C1851">
        <v>706</v>
      </c>
      <c r="D1851">
        <v>4</v>
      </c>
      <c r="E1851" t="s">
        <v>20</v>
      </c>
      <c r="F1851" t="s">
        <v>21</v>
      </c>
      <c r="G1851" t="str">
        <f>"2025-11-29 12:34:22.133"</f>
        <v>2025-11-29 12:34:22.133</v>
      </c>
      <c r="H1851" t="s">
        <v>22</v>
      </c>
      <c r="I1851">
        <v>0</v>
      </c>
      <c r="J1851" t="s">
        <v>23</v>
      </c>
    </row>
    <row r="1852" spans="1:10" x14ac:dyDescent="0.25">
      <c r="A1852" s="1">
        <v>918</v>
      </c>
      <c r="B1852" t="s">
        <v>34</v>
      </c>
      <c r="C1852">
        <v>630</v>
      </c>
      <c r="D1852">
        <v>5</v>
      </c>
      <c r="E1852" t="s">
        <v>39</v>
      </c>
      <c r="F1852" t="s">
        <v>40</v>
      </c>
      <c r="G1852" t="str">
        <f>"2025-11-29 12:22:34.402"</f>
        <v>2025-11-29 12:22:34.402</v>
      </c>
      <c r="H1852" t="s">
        <v>41</v>
      </c>
      <c r="I1852">
        <v>0</v>
      </c>
      <c r="J1852" t="s">
        <v>23</v>
      </c>
    </row>
    <row r="1853" spans="1:10" x14ac:dyDescent="0.25">
      <c r="A1853" s="1">
        <v>919</v>
      </c>
      <c r="B1853" t="s">
        <v>19</v>
      </c>
      <c r="C1853">
        <v>700</v>
      </c>
      <c r="D1853">
        <v>0</v>
      </c>
      <c r="E1853" t="s">
        <v>24</v>
      </c>
      <c r="F1853" t="s">
        <v>24</v>
      </c>
      <c r="G1853" t="str">
        <f>"2025-11-29 12:17:31.623"</f>
        <v>2025-11-29 12:17:31.623</v>
      </c>
      <c r="H1853" t="s">
        <v>22</v>
      </c>
    </row>
    <row r="1854" spans="1:10" x14ac:dyDescent="0.25">
      <c r="A1854" s="1">
        <v>920</v>
      </c>
      <c r="B1854" t="s">
        <v>19</v>
      </c>
      <c r="C1854">
        <v>700</v>
      </c>
      <c r="D1854">
        <v>0</v>
      </c>
      <c r="E1854" t="s">
        <v>24</v>
      </c>
      <c r="F1854" t="s">
        <v>24</v>
      </c>
      <c r="G1854" t="str">
        <f>"2025-11-29 11:31:58.633"</f>
        <v>2025-11-29 11:31:58.633</v>
      </c>
      <c r="H1854" t="s">
        <v>22</v>
      </c>
      <c r="I1854">
        <v>0</v>
      </c>
      <c r="J1854" t="s">
        <v>25</v>
      </c>
    </row>
    <row r="1855" spans="1:10" x14ac:dyDescent="0.25">
      <c r="A1855" s="1">
        <v>921</v>
      </c>
      <c r="B1855" t="s">
        <v>34</v>
      </c>
      <c r="C1855">
        <v>630</v>
      </c>
      <c r="D1855">
        <v>5</v>
      </c>
      <c r="E1855" t="s">
        <v>39</v>
      </c>
      <c r="F1855" t="s">
        <v>40</v>
      </c>
      <c r="G1855" t="str">
        <f>"2025-11-29 11:26:43.740"</f>
        <v>2025-11-29 11:26:43.740</v>
      </c>
      <c r="H1855" t="s">
        <v>41</v>
      </c>
      <c r="I1855">
        <v>0</v>
      </c>
      <c r="J1855" t="s">
        <v>23</v>
      </c>
    </row>
    <row r="1856" spans="1:10" x14ac:dyDescent="0.25">
      <c r="A1856" s="1">
        <v>922</v>
      </c>
      <c r="B1856" t="s">
        <v>19</v>
      </c>
      <c r="C1856">
        <v>700</v>
      </c>
      <c r="D1856">
        <v>0</v>
      </c>
      <c r="E1856" t="s">
        <v>24</v>
      </c>
      <c r="F1856" t="s">
        <v>24</v>
      </c>
      <c r="G1856" t="str">
        <f>"2025-11-29 11:21:40.938"</f>
        <v>2025-11-29 11:21:40.938</v>
      </c>
      <c r="H1856" t="s">
        <v>22</v>
      </c>
    </row>
    <row r="1857" spans="1:10" x14ac:dyDescent="0.25">
      <c r="A1857" s="1">
        <v>923</v>
      </c>
      <c r="B1857" t="s">
        <v>34</v>
      </c>
      <c r="C1857">
        <v>630</v>
      </c>
      <c r="D1857">
        <v>5</v>
      </c>
      <c r="E1857" t="s">
        <v>39</v>
      </c>
      <c r="F1857" t="s">
        <v>40</v>
      </c>
      <c r="G1857" t="str">
        <f>"2025-11-29 10:48:52.387"</f>
        <v>2025-11-29 10:48:52.387</v>
      </c>
      <c r="H1857" t="s">
        <v>41</v>
      </c>
      <c r="I1857">
        <v>0</v>
      </c>
      <c r="J1857" t="s">
        <v>23</v>
      </c>
    </row>
    <row r="1858" spans="1:10" x14ac:dyDescent="0.25">
      <c r="A1858" s="1">
        <v>924</v>
      </c>
      <c r="B1858" t="s">
        <v>19</v>
      </c>
      <c r="C1858">
        <v>700</v>
      </c>
      <c r="D1858">
        <v>0</v>
      </c>
      <c r="E1858" t="s">
        <v>24</v>
      </c>
      <c r="F1858" t="s">
        <v>24</v>
      </c>
      <c r="G1858" t="str">
        <f>"2025-11-29 10:43:49.625"</f>
        <v>2025-11-29 10:43:49.625</v>
      </c>
      <c r="H1858" t="s">
        <v>22</v>
      </c>
      <c r="I1858">
        <v>0</v>
      </c>
      <c r="J1858" t="s">
        <v>25</v>
      </c>
    </row>
    <row r="1859" spans="1:10" x14ac:dyDescent="0.25">
      <c r="A1859" s="1">
        <v>925</v>
      </c>
      <c r="B1859" t="s">
        <v>19</v>
      </c>
      <c r="C1859">
        <v>700</v>
      </c>
      <c r="D1859">
        <v>0</v>
      </c>
      <c r="E1859" t="s">
        <v>24</v>
      </c>
      <c r="F1859" t="s">
        <v>24</v>
      </c>
      <c r="G1859" t="str">
        <f>"2025-11-29 10:39:31.965"</f>
        <v>2025-11-29 10:39:31.965</v>
      </c>
      <c r="H1859" t="s">
        <v>22</v>
      </c>
      <c r="I1859">
        <v>0</v>
      </c>
      <c r="J1859" t="s">
        <v>25</v>
      </c>
    </row>
    <row r="1860" spans="1:10" x14ac:dyDescent="0.25">
      <c r="A1860" s="1">
        <v>926</v>
      </c>
      <c r="B1860" t="s">
        <v>26</v>
      </c>
      <c r="C1860">
        <v>635</v>
      </c>
      <c r="D1860">
        <v>1</v>
      </c>
      <c r="E1860" t="s">
        <v>27</v>
      </c>
      <c r="F1860" t="s">
        <v>28</v>
      </c>
      <c r="G1860" t="str">
        <f>"2025-11-28 13:19:47.012"</f>
        <v>2025-11-28 13:19:47.012</v>
      </c>
      <c r="H1860" t="s">
        <v>22</v>
      </c>
    </row>
    <row r="1861" spans="1:10" x14ac:dyDescent="0.25">
      <c r="A1861" s="1">
        <v>927</v>
      </c>
      <c r="B1861" t="s">
        <v>29</v>
      </c>
      <c r="C1861">
        <v>635</v>
      </c>
      <c r="D1861">
        <v>1</v>
      </c>
      <c r="E1861" t="s">
        <v>27</v>
      </c>
      <c r="F1861" t="s">
        <v>28</v>
      </c>
      <c r="G1861" t="str">
        <f>"2025-11-28 13:12:08.011"</f>
        <v>2025-11-28 13:12:08.011</v>
      </c>
      <c r="H1861" t="s">
        <v>22</v>
      </c>
      <c r="I1861">
        <v>0</v>
      </c>
      <c r="J1861" t="s">
        <v>38</v>
      </c>
    </row>
    <row r="1862" spans="1:10" x14ac:dyDescent="0.25">
      <c r="A1862" s="1">
        <v>928</v>
      </c>
      <c r="B1862" t="s">
        <v>26</v>
      </c>
      <c r="C1862">
        <v>619</v>
      </c>
      <c r="D1862">
        <v>1</v>
      </c>
      <c r="E1862" t="s">
        <v>79</v>
      </c>
      <c r="F1862" t="s">
        <v>28</v>
      </c>
      <c r="G1862" t="str">
        <f>"2025-11-28 11:32:06.511"</f>
        <v>2025-11-28 11:32:06.511</v>
      </c>
      <c r="H1862" t="s">
        <v>80</v>
      </c>
    </row>
    <row r="1863" spans="1:10" x14ac:dyDescent="0.25">
      <c r="A1863" s="1">
        <v>929</v>
      </c>
      <c r="B1863" t="s">
        <v>29</v>
      </c>
      <c r="C1863">
        <v>619</v>
      </c>
      <c r="D1863">
        <v>1</v>
      </c>
      <c r="E1863" t="s">
        <v>79</v>
      </c>
      <c r="F1863" t="s">
        <v>28</v>
      </c>
      <c r="G1863" t="str">
        <f>"2025-11-28 11:31:58.859"</f>
        <v>2025-11-28 11:31:58.859</v>
      </c>
      <c r="H1863" t="s">
        <v>80</v>
      </c>
      <c r="I1863">
        <v>14.08</v>
      </c>
      <c r="J1863" t="s">
        <v>37</v>
      </c>
    </row>
    <row r="1864" spans="1:10" s="3" customFormat="1" x14ac:dyDescent="0.25">
      <c r="A1864" s="2">
        <v>930</v>
      </c>
      <c r="B1864" s="3" t="s">
        <v>26</v>
      </c>
      <c r="C1864" s="3">
        <v>647</v>
      </c>
      <c r="D1864" s="3">
        <v>1</v>
      </c>
      <c r="E1864" s="3" t="s">
        <v>35</v>
      </c>
      <c r="F1864" s="3" t="s">
        <v>36</v>
      </c>
      <c r="G1864" s="3" t="str">
        <f>"2025-11-27 22:03:16.760"</f>
        <v>2025-11-27 22:03:16.760</v>
      </c>
      <c r="H1864" s="3" t="s">
        <v>22</v>
      </c>
    </row>
    <row r="1865" spans="1:10" s="3" customFormat="1" x14ac:dyDescent="0.25">
      <c r="A1865" s="2">
        <v>931</v>
      </c>
      <c r="B1865" s="3" t="s">
        <v>29</v>
      </c>
      <c r="C1865" s="3">
        <v>647</v>
      </c>
      <c r="D1865" s="3">
        <v>1</v>
      </c>
      <c r="E1865" s="3" t="s">
        <v>35</v>
      </c>
      <c r="F1865" s="3" t="s">
        <v>36</v>
      </c>
      <c r="G1865" s="3" t="str">
        <f>"2025-11-27 22:03:12.460"</f>
        <v>2025-11-27 22:03:12.460</v>
      </c>
      <c r="H1865" s="3" t="s">
        <v>22</v>
      </c>
      <c r="I1865" s="3">
        <v>9.76</v>
      </c>
      <c r="J1865" s="3" t="s">
        <v>37</v>
      </c>
    </row>
    <row r="1866" spans="1:10" s="3" customFormat="1" x14ac:dyDescent="0.25">
      <c r="A1866" s="2">
        <v>932</v>
      </c>
      <c r="B1866" s="3" t="s">
        <v>26</v>
      </c>
      <c r="C1866" s="3">
        <v>647</v>
      </c>
      <c r="D1866" s="3">
        <v>1</v>
      </c>
      <c r="E1866" s="3" t="s">
        <v>35</v>
      </c>
      <c r="F1866" s="3" t="s">
        <v>36</v>
      </c>
      <c r="G1866" s="3" t="str">
        <f>"2025-11-27 14:45:15.860"</f>
        <v>2025-11-27 14:45:15.860</v>
      </c>
      <c r="H1866" s="3" t="s">
        <v>22</v>
      </c>
    </row>
    <row r="1867" spans="1:10" s="3" customFormat="1" x14ac:dyDescent="0.25">
      <c r="A1867" s="2">
        <v>933</v>
      </c>
      <c r="B1867" s="3" t="s">
        <v>29</v>
      </c>
      <c r="C1867" s="3">
        <v>647</v>
      </c>
      <c r="D1867" s="3">
        <v>1</v>
      </c>
      <c r="E1867" s="3" t="s">
        <v>35</v>
      </c>
      <c r="F1867" s="3" t="s">
        <v>36</v>
      </c>
      <c r="G1867" s="3" t="str">
        <f>"2025-11-27 14:45:14.761"</f>
        <v>2025-11-27 14:45:14.761</v>
      </c>
      <c r="H1867" s="3" t="s">
        <v>22</v>
      </c>
      <c r="I1867" s="3">
        <v>21.25</v>
      </c>
      <c r="J1867" s="3" t="s">
        <v>37</v>
      </c>
    </row>
    <row r="1868" spans="1:10" x14ac:dyDescent="0.25">
      <c r="A1868" s="1">
        <v>934</v>
      </c>
      <c r="B1868" t="s">
        <v>19</v>
      </c>
      <c r="C1868">
        <v>700</v>
      </c>
      <c r="D1868">
        <v>0</v>
      </c>
      <c r="E1868" t="s">
        <v>24</v>
      </c>
      <c r="F1868" t="s">
        <v>24</v>
      </c>
      <c r="G1868" t="str">
        <f>"2025-11-27 08:52:08.641"</f>
        <v>2025-11-27 08:52:08.641</v>
      </c>
      <c r="H1868" t="s">
        <v>22</v>
      </c>
      <c r="I1868">
        <v>0</v>
      </c>
      <c r="J1868" t="s">
        <v>25</v>
      </c>
    </row>
    <row r="1869" spans="1:10" s="3" customFormat="1" x14ac:dyDescent="0.25">
      <c r="A1869" s="2">
        <v>935</v>
      </c>
      <c r="B1869" s="3" t="s">
        <v>26</v>
      </c>
      <c r="C1869" s="3">
        <v>647</v>
      </c>
      <c r="D1869" s="3">
        <v>1</v>
      </c>
      <c r="E1869" s="3" t="s">
        <v>35</v>
      </c>
      <c r="F1869" s="3" t="s">
        <v>36</v>
      </c>
      <c r="G1869" s="3" t="str">
        <f>"2025-11-27 06:43:43.591"</f>
        <v>2025-11-27 06:43:43.591</v>
      </c>
      <c r="H1869" s="3" t="s">
        <v>22</v>
      </c>
    </row>
    <row r="1870" spans="1:10" s="3" customFormat="1" x14ac:dyDescent="0.25">
      <c r="A1870" s="2">
        <v>936</v>
      </c>
      <c r="B1870" s="3" t="s">
        <v>29</v>
      </c>
      <c r="C1870" s="3">
        <v>647</v>
      </c>
      <c r="D1870" s="3">
        <v>1</v>
      </c>
      <c r="E1870" s="3" t="s">
        <v>35</v>
      </c>
      <c r="F1870" s="3" t="s">
        <v>36</v>
      </c>
      <c r="G1870" s="3" t="str">
        <f>"2025-11-27 06:43:42.491"</f>
        <v>2025-11-27 06:43:42.491</v>
      </c>
      <c r="H1870" s="3" t="s">
        <v>22</v>
      </c>
      <c r="I1870" s="3">
        <v>21.64</v>
      </c>
      <c r="J1870" s="3" t="s">
        <v>37</v>
      </c>
    </row>
    <row r="1871" spans="1:10" x14ac:dyDescent="0.25">
      <c r="A1871" s="1">
        <v>937</v>
      </c>
      <c r="B1871" t="s">
        <v>26</v>
      </c>
      <c r="C1871">
        <v>619</v>
      </c>
      <c r="D1871">
        <v>1</v>
      </c>
      <c r="E1871" t="s">
        <v>79</v>
      </c>
      <c r="F1871" t="s">
        <v>28</v>
      </c>
      <c r="G1871" t="str">
        <f>"2025-11-27 01:26:11.637"</f>
        <v>2025-11-27 01:26:11.637</v>
      </c>
      <c r="H1871" t="s">
        <v>80</v>
      </c>
    </row>
    <row r="1872" spans="1:10" x14ac:dyDescent="0.25">
      <c r="A1872" s="1">
        <v>938</v>
      </c>
      <c r="B1872" t="s">
        <v>29</v>
      </c>
      <c r="C1872">
        <v>619</v>
      </c>
      <c r="D1872">
        <v>1</v>
      </c>
      <c r="E1872" t="s">
        <v>79</v>
      </c>
      <c r="F1872" t="s">
        <v>28</v>
      </c>
      <c r="G1872" t="str">
        <f>"2025-11-27 01:25:15.090"</f>
        <v>2025-11-27 01:25:15.090</v>
      </c>
      <c r="H1872" t="s">
        <v>80</v>
      </c>
      <c r="I1872">
        <v>19.75</v>
      </c>
      <c r="J1872" t="s">
        <v>30</v>
      </c>
    </row>
    <row r="1873" spans="1:10" x14ac:dyDescent="0.25">
      <c r="A1873" s="1">
        <v>939</v>
      </c>
      <c r="B1873" t="s">
        <v>26</v>
      </c>
      <c r="C1873">
        <v>619</v>
      </c>
      <c r="D1873">
        <v>1</v>
      </c>
      <c r="E1873" t="s">
        <v>79</v>
      </c>
      <c r="F1873" t="s">
        <v>28</v>
      </c>
      <c r="G1873" t="str">
        <f>"2025-11-26 18:43:29.337"</f>
        <v>2025-11-26 18:43:29.337</v>
      </c>
      <c r="H1873" t="s">
        <v>80</v>
      </c>
    </row>
    <row r="1874" spans="1:10" x14ac:dyDescent="0.25">
      <c r="A1874" s="1">
        <v>940</v>
      </c>
      <c r="B1874" t="s">
        <v>29</v>
      </c>
      <c r="C1874">
        <v>619</v>
      </c>
      <c r="D1874">
        <v>1</v>
      </c>
      <c r="E1874" t="s">
        <v>79</v>
      </c>
      <c r="F1874" t="s">
        <v>28</v>
      </c>
      <c r="G1874" t="str">
        <f>"2025-11-26 18:42:27.537"</f>
        <v>2025-11-26 18:42:27.537</v>
      </c>
      <c r="H1874" t="s">
        <v>80</v>
      </c>
      <c r="I1874">
        <v>-2.65</v>
      </c>
      <c r="J1874" t="s">
        <v>30</v>
      </c>
    </row>
    <row r="1875" spans="1:10" s="3" customFormat="1" x14ac:dyDescent="0.25">
      <c r="A1875" s="2">
        <v>941</v>
      </c>
      <c r="B1875" s="3" t="s">
        <v>26</v>
      </c>
      <c r="C1875" s="3">
        <v>647</v>
      </c>
      <c r="D1875" s="3">
        <v>1</v>
      </c>
      <c r="E1875" s="3" t="s">
        <v>35</v>
      </c>
      <c r="F1875" s="3" t="s">
        <v>36</v>
      </c>
      <c r="G1875" s="3" t="str">
        <f>"2025-11-25 17:04:00.891"</f>
        <v>2025-11-25 17:04:00.891</v>
      </c>
      <c r="H1875" s="3" t="s">
        <v>22</v>
      </c>
    </row>
    <row r="1876" spans="1:10" s="3" customFormat="1" x14ac:dyDescent="0.25">
      <c r="A1876" s="2">
        <v>942</v>
      </c>
      <c r="B1876" s="3" t="s">
        <v>29</v>
      </c>
      <c r="C1876" s="3">
        <v>647</v>
      </c>
      <c r="D1876" s="3">
        <v>1</v>
      </c>
      <c r="E1876" s="3" t="s">
        <v>35</v>
      </c>
      <c r="F1876" s="3" t="s">
        <v>36</v>
      </c>
      <c r="G1876" s="3" t="str">
        <f>"2025-11-25 17:03:59.791"</f>
        <v>2025-11-25 17:03:59.791</v>
      </c>
      <c r="H1876" s="3" t="s">
        <v>22</v>
      </c>
      <c r="I1876" s="3">
        <v>29.97</v>
      </c>
      <c r="J1876" s="3" t="s">
        <v>37</v>
      </c>
    </row>
    <row r="1877" spans="1:10" x14ac:dyDescent="0.25">
      <c r="A1877" s="1">
        <v>943</v>
      </c>
      <c r="B1877" t="s">
        <v>26</v>
      </c>
      <c r="C1877">
        <v>635</v>
      </c>
      <c r="D1877">
        <v>1</v>
      </c>
      <c r="E1877" t="s">
        <v>27</v>
      </c>
      <c r="F1877" t="s">
        <v>28</v>
      </c>
      <c r="G1877" t="str">
        <f>"2025-11-25 06:30:50.637"</f>
        <v>2025-11-25 06:30:50.637</v>
      </c>
      <c r="H1877" t="s">
        <v>22</v>
      </c>
    </row>
    <row r="1878" spans="1:10" x14ac:dyDescent="0.25">
      <c r="A1878" s="1">
        <v>944</v>
      </c>
      <c r="B1878" t="s">
        <v>29</v>
      </c>
      <c r="C1878">
        <v>635</v>
      </c>
      <c r="D1878">
        <v>1</v>
      </c>
      <c r="E1878" t="s">
        <v>27</v>
      </c>
      <c r="F1878" t="s">
        <v>28</v>
      </c>
      <c r="G1878" t="str">
        <f>"2025-11-25 06:27:19.137"</f>
        <v>2025-11-25 06:27:19.137</v>
      </c>
      <c r="H1878" t="s">
        <v>22</v>
      </c>
      <c r="I1878">
        <v>5.68</v>
      </c>
      <c r="J1878" t="s">
        <v>30</v>
      </c>
    </row>
    <row r="1879" spans="1:10" x14ac:dyDescent="0.25">
      <c r="A1879" s="1">
        <v>945</v>
      </c>
      <c r="B1879" t="s">
        <v>31</v>
      </c>
      <c r="C1879">
        <v>87</v>
      </c>
      <c r="D1879">
        <v>1</v>
      </c>
      <c r="E1879" t="s">
        <v>32</v>
      </c>
      <c r="F1879" t="s">
        <v>33</v>
      </c>
      <c r="G1879" t="str">
        <f>"2025-11-23 17:05:40.690"</f>
        <v>2025-11-23 17:05:40.690</v>
      </c>
      <c r="H1879" t="s">
        <v>22</v>
      </c>
    </row>
    <row r="1880" spans="1:10" x14ac:dyDescent="0.25">
      <c r="A1880" s="1">
        <v>946</v>
      </c>
      <c r="B1880" t="s">
        <v>34</v>
      </c>
      <c r="C1880">
        <v>87</v>
      </c>
      <c r="D1880">
        <v>1</v>
      </c>
      <c r="E1880" t="s">
        <v>32</v>
      </c>
      <c r="F1880" t="s">
        <v>33</v>
      </c>
      <c r="G1880" t="str">
        <f>"2025-11-23 16:58:13.069"</f>
        <v>2025-11-23 16:58:13.069</v>
      </c>
      <c r="H1880" t="s">
        <v>22</v>
      </c>
      <c r="I1880">
        <v>4.22</v>
      </c>
      <c r="J1880" t="s">
        <v>30</v>
      </c>
    </row>
    <row r="1881" spans="1:10" x14ac:dyDescent="0.25">
      <c r="A1881" s="1">
        <v>947</v>
      </c>
      <c r="B1881" t="s">
        <v>26</v>
      </c>
      <c r="C1881">
        <v>635</v>
      </c>
      <c r="D1881">
        <v>1</v>
      </c>
      <c r="E1881" t="s">
        <v>27</v>
      </c>
      <c r="F1881" t="s">
        <v>28</v>
      </c>
      <c r="G1881" t="str">
        <f>"2025-11-23 14:23:31.637"</f>
        <v>2025-11-23 14:23:31.637</v>
      </c>
      <c r="H1881" t="s">
        <v>22</v>
      </c>
    </row>
    <row r="1882" spans="1:10" x14ac:dyDescent="0.25">
      <c r="A1882" s="1">
        <v>948</v>
      </c>
      <c r="B1882" t="s">
        <v>29</v>
      </c>
      <c r="C1882">
        <v>635</v>
      </c>
      <c r="D1882">
        <v>1</v>
      </c>
      <c r="E1882" t="s">
        <v>27</v>
      </c>
      <c r="F1882" t="s">
        <v>28</v>
      </c>
      <c r="G1882" t="str">
        <f>"2025-11-23 14:19:02.637"</f>
        <v>2025-11-23 14:19:02.637</v>
      </c>
      <c r="H1882" t="s">
        <v>22</v>
      </c>
      <c r="I1882">
        <v>5.19</v>
      </c>
      <c r="J1882" t="s">
        <v>30</v>
      </c>
    </row>
    <row r="1883" spans="1:10" x14ac:dyDescent="0.25">
      <c r="A1883" s="1">
        <v>949</v>
      </c>
      <c r="B1883" t="s">
        <v>26</v>
      </c>
      <c r="C1883">
        <v>635</v>
      </c>
      <c r="D1883">
        <v>1</v>
      </c>
      <c r="E1883" t="s">
        <v>27</v>
      </c>
      <c r="F1883" t="s">
        <v>28</v>
      </c>
      <c r="G1883" t="str">
        <f>"2025-11-23 09:57:42.137"</f>
        <v>2025-11-23 09:57:42.137</v>
      </c>
      <c r="H1883" t="s">
        <v>22</v>
      </c>
    </row>
    <row r="1884" spans="1:10" x14ac:dyDescent="0.25">
      <c r="A1884" s="1">
        <v>950</v>
      </c>
      <c r="B1884" t="s">
        <v>29</v>
      </c>
      <c r="C1884">
        <v>635</v>
      </c>
      <c r="D1884">
        <v>1</v>
      </c>
      <c r="E1884" t="s">
        <v>27</v>
      </c>
      <c r="F1884" t="s">
        <v>28</v>
      </c>
      <c r="G1884" t="str">
        <f>"2025-11-23 09:51:52.137"</f>
        <v>2025-11-23 09:51:52.137</v>
      </c>
      <c r="H1884" t="s">
        <v>22</v>
      </c>
      <c r="I1884">
        <v>0.73</v>
      </c>
      <c r="J1884" t="s">
        <v>30</v>
      </c>
    </row>
    <row r="1885" spans="1:10" x14ac:dyDescent="0.25">
      <c r="A1885" s="1">
        <v>951</v>
      </c>
      <c r="B1885" t="s">
        <v>26</v>
      </c>
      <c r="C1885">
        <v>630</v>
      </c>
      <c r="D1885">
        <v>5</v>
      </c>
      <c r="E1885" t="s">
        <v>39</v>
      </c>
      <c r="F1885" t="s">
        <v>40</v>
      </c>
      <c r="G1885" t="str">
        <f>"2025-11-23 09:00:51.691"</f>
        <v>2025-11-23 09:00:51.691</v>
      </c>
      <c r="H1885" t="s">
        <v>41</v>
      </c>
    </row>
    <row r="1886" spans="1:10" x14ac:dyDescent="0.25">
      <c r="A1886" s="1">
        <v>952</v>
      </c>
      <c r="B1886" t="s">
        <v>19</v>
      </c>
      <c r="C1886">
        <v>706</v>
      </c>
      <c r="D1886">
        <v>2</v>
      </c>
      <c r="E1886" t="s">
        <v>20</v>
      </c>
      <c r="F1886" t="s">
        <v>54</v>
      </c>
      <c r="G1886" t="str">
        <f>"2025-11-23 09:00:21.629"</f>
        <v>2025-11-23 09:00:21.629</v>
      </c>
      <c r="H1886" t="s">
        <v>22</v>
      </c>
      <c r="I1886">
        <v>0</v>
      </c>
      <c r="J1886" t="s">
        <v>23</v>
      </c>
    </row>
    <row r="1887" spans="1:10" x14ac:dyDescent="0.25">
      <c r="A1887" s="1">
        <v>953</v>
      </c>
      <c r="B1887" t="s">
        <v>34</v>
      </c>
      <c r="C1887">
        <v>630</v>
      </c>
      <c r="D1887">
        <v>5</v>
      </c>
      <c r="E1887" t="s">
        <v>39</v>
      </c>
      <c r="F1887" t="s">
        <v>40</v>
      </c>
      <c r="G1887" t="str">
        <f>"2025-11-23 08:55:15.091"</f>
        <v>2025-11-23 08:55:15.091</v>
      </c>
      <c r="H1887" t="s">
        <v>41</v>
      </c>
      <c r="I1887">
        <v>0</v>
      </c>
      <c r="J1887" t="s">
        <v>23</v>
      </c>
    </row>
    <row r="1888" spans="1:10" x14ac:dyDescent="0.25">
      <c r="A1888" s="1">
        <v>954</v>
      </c>
      <c r="B1888" t="s">
        <v>31</v>
      </c>
      <c r="C1888">
        <v>87</v>
      </c>
      <c r="D1888">
        <v>1</v>
      </c>
      <c r="E1888" t="s">
        <v>32</v>
      </c>
      <c r="F1888" t="s">
        <v>33</v>
      </c>
      <c r="G1888" t="str">
        <f>"2025-11-23 01:29:29.690"</f>
        <v>2025-11-23 01:29:29.690</v>
      </c>
      <c r="H1888" t="s">
        <v>22</v>
      </c>
    </row>
    <row r="1889" spans="1:10" x14ac:dyDescent="0.25">
      <c r="A1889" s="1">
        <v>955</v>
      </c>
      <c r="B1889" t="s">
        <v>34</v>
      </c>
      <c r="C1889">
        <v>87</v>
      </c>
      <c r="D1889">
        <v>1</v>
      </c>
      <c r="E1889" t="s">
        <v>32</v>
      </c>
      <c r="F1889" t="s">
        <v>33</v>
      </c>
      <c r="G1889" t="str">
        <f>"2025-11-23 01:25:08.308"</f>
        <v>2025-11-23 01:25:08.308</v>
      </c>
      <c r="H1889" t="s">
        <v>22</v>
      </c>
      <c r="I1889">
        <v>5.56</v>
      </c>
      <c r="J1889" t="s">
        <v>30</v>
      </c>
    </row>
    <row r="1890" spans="1:10" x14ac:dyDescent="0.25">
      <c r="A1890" s="1">
        <v>956</v>
      </c>
      <c r="B1890" t="s">
        <v>44</v>
      </c>
      <c r="C1890">
        <v>215</v>
      </c>
      <c r="D1890">
        <v>5</v>
      </c>
      <c r="E1890" t="s">
        <v>111</v>
      </c>
      <c r="F1890" t="s">
        <v>112</v>
      </c>
      <c r="G1890" t="str">
        <f>"2025-11-22 21:32:54.269"</f>
        <v>2025-11-22 21:32:54.269</v>
      </c>
      <c r="H1890" t="s">
        <v>22</v>
      </c>
    </row>
    <row r="1891" spans="1:10" x14ac:dyDescent="0.25">
      <c r="A1891" s="1">
        <v>957</v>
      </c>
      <c r="B1891" t="s">
        <v>44</v>
      </c>
      <c r="C1891">
        <v>115</v>
      </c>
      <c r="D1891">
        <v>5</v>
      </c>
      <c r="E1891" t="s">
        <v>113</v>
      </c>
      <c r="F1891" t="s">
        <v>112</v>
      </c>
      <c r="G1891" t="str">
        <f>"2025-11-22 21:32:54.070"</f>
        <v>2025-11-22 21:32:54.070</v>
      </c>
      <c r="H1891" t="s">
        <v>22</v>
      </c>
    </row>
    <row r="1892" spans="1:10" x14ac:dyDescent="0.25">
      <c r="A1892" s="1">
        <v>958</v>
      </c>
      <c r="B1892" t="s">
        <v>34</v>
      </c>
      <c r="C1892">
        <v>215</v>
      </c>
      <c r="D1892">
        <v>5</v>
      </c>
      <c r="E1892" t="s">
        <v>111</v>
      </c>
      <c r="F1892" t="s">
        <v>112</v>
      </c>
      <c r="G1892" t="str">
        <f>"2025-11-22 21:32:49.193"</f>
        <v>2025-11-22 21:32:49.193</v>
      </c>
      <c r="H1892" t="s">
        <v>22</v>
      </c>
      <c r="I1892">
        <v>1.48</v>
      </c>
      <c r="J1892" t="s">
        <v>37</v>
      </c>
    </row>
    <row r="1893" spans="1:10" x14ac:dyDescent="0.25">
      <c r="A1893" s="1">
        <v>959</v>
      </c>
      <c r="B1893" t="s">
        <v>34</v>
      </c>
      <c r="C1893">
        <v>115</v>
      </c>
      <c r="D1893">
        <v>5</v>
      </c>
      <c r="E1893" t="s">
        <v>113</v>
      </c>
      <c r="F1893" t="s">
        <v>112</v>
      </c>
      <c r="G1893" t="str">
        <f>"2025-11-22 21:32:49.053"</f>
        <v>2025-11-22 21:32:49.053</v>
      </c>
      <c r="H1893" t="s">
        <v>22</v>
      </c>
      <c r="I1893">
        <v>1.45</v>
      </c>
      <c r="J1893" t="s">
        <v>37</v>
      </c>
    </row>
    <row r="1894" spans="1:10" x14ac:dyDescent="0.25">
      <c r="A1894" s="1">
        <v>960</v>
      </c>
      <c r="B1894" t="s">
        <v>26</v>
      </c>
      <c r="C1894">
        <v>54</v>
      </c>
      <c r="D1894">
        <v>1</v>
      </c>
      <c r="E1894" t="s">
        <v>87</v>
      </c>
      <c r="F1894" t="s">
        <v>88</v>
      </c>
      <c r="G1894" t="str">
        <f>"2025-11-22 13:14:04.390"</f>
        <v>2025-11-22 13:14:04.390</v>
      </c>
      <c r="H1894" t="s">
        <v>22</v>
      </c>
    </row>
    <row r="1895" spans="1:10" x14ac:dyDescent="0.25">
      <c r="A1895" s="1">
        <v>961</v>
      </c>
      <c r="B1895" t="s">
        <v>19</v>
      </c>
      <c r="C1895">
        <v>700</v>
      </c>
      <c r="D1895">
        <v>0</v>
      </c>
      <c r="E1895" t="s">
        <v>24</v>
      </c>
      <c r="F1895" t="s">
        <v>24</v>
      </c>
      <c r="G1895" t="str">
        <f>"2025-11-22 13:13:51.619"</f>
        <v>2025-11-22 13:13:51.619</v>
      </c>
      <c r="H1895" t="s">
        <v>22</v>
      </c>
      <c r="I1895">
        <v>0</v>
      </c>
      <c r="J1895" t="s">
        <v>25</v>
      </c>
    </row>
    <row r="1896" spans="1:10" x14ac:dyDescent="0.25">
      <c r="A1896" s="1">
        <v>962</v>
      </c>
      <c r="B1896" t="s">
        <v>26</v>
      </c>
      <c r="C1896">
        <v>635</v>
      </c>
      <c r="D1896">
        <v>1</v>
      </c>
      <c r="E1896" t="s">
        <v>27</v>
      </c>
      <c r="F1896" t="s">
        <v>28</v>
      </c>
      <c r="G1896" t="str">
        <f>"2025-11-22 00:40:23.866"</f>
        <v>2025-11-22 00:40:23.866</v>
      </c>
      <c r="H1896" t="s">
        <v>22</v>
      </c>
    </row>
    <row r="1897" spans="1:10" x14ac:dyDescent="0.25">
      <c r="A1897" s="1">
        <v>963</v>
      </c>
      <c r="B1897" t="s">
        <v>29</v>
      </c>
      <c r="C1897">
        <v>635</v>
      </c>
      <c r="D1897">
        <v>1</v>
      </c>
      <c r="E1897" t="s">
        <v>27</v>
      </c>
      <c r="F1897" t="s">
        <v>28</v>
      </c>
      <c r="G1897" t="str">
        <f>"2025-11-22 00:17:40.466"</f>
        <v>2025-11-22 00:17:40.466</v>
      </c>
      <c r="H1897" t="s">
        <v>22</v>
      </c>
      <c r="I1897">
        <v>7.1</v>
      </c>
      <c r="J1897" t="s">
        <v>30</v>
      </c>
    </row>
    <row r="1898" spans="1:10" x14ac:dyDescent="0.25">
      <c r="A1898" s="1">
        <v>964</v>
      </c>
      <c r="B1898" t="s">
        <v>29</v>
      </c>
      <c r="C1898">
        <v>54</v>
      </c>
      <c r="D1898">
        <v>1</v>
      </c>
      <c r="E1898" t="s">
        <v>87</v>
      </c>
      <c r="F1898" t="s">
        <v>88</v>
      </c>
      <c r="G1898" t="str">
        <f>"2025-11-21 21:47:48.919"</f>
        <v>2025-11-21 21:47:48.919</v>
      </c>
      <c r="H1898" t="s">
        <v>22</v>
      </c>
      <c r="I1898">
        <v>7.03</v>
      </c>
      <c r="J1898" t="s">
        <v>30</v>
      </c>
    </row>
    <row r="1899" spans="1:10" x14ac:dyDescent="0.25">
      <c r="A1899" s="1">
        <v>965</v>
      </c>
      <c r="B1899" t="s">
        <v>31</v>
      </c>
      <c r="C1899">
        <v>87</v>
      </c>
      <c r="D1899">
        <v>1</v>
      </c>
      <c r="E1899" t="s">
        <v>32</v>
      </c>
      <c r="F1899" t="s">
        <v>33</v>
      </c>
      <c r="G1899" t="str">
        <f>"2025-11-20 15:15:53.519"</f>
        <v>2025-11-20 15:15:53.519</v>
      </c>
      <c r="H1899" t="s">
        <v>22</v>
      </c>
    </row>
    <row r="1900" spans="1:10" x14ac:dyDescent="0.25">
      <c r="A1900" s="1">
        <v>966</v>
      </c>
      <c r="B1900" t="s">
        <v>34</v>
      </c>
      <c r="C1900">
        <v>87</v>
      </c>
      <c r="D1900">
        <v>1</v>
      </c>
      <c r="E1900" t="s">
        <v>32</v>
      </c>
      <c r="F1900" t="s">
        <v>33</v>
      </c>
      <c r="G1900" t="str">
        <f>"2025-11-20 15:06:51.837"</f>
        <v>2025-11-20 15:06:51.837</v>
      </c>
      <c r="H1900" t="s">
        <v>22</v>
      </c>
      <c r="I1900">
        <v>5.15</v>
      </c>
      <c r="J1900" t="s">
        <v>30</v>
      </c>
    </row>
    <row r="1901" spans="1:10" x14ac:dyDescent="0.25">
      <c r="A1901" s="1">
        <v>967</v>
      </c>
      <c r="B1901" t="s">
        <v>26</v>
      </c>
      <c r="C1901">
        <v>619</v>
      </c>
      <c r="D1901">
        <v>1</v>
      </c>
      <c r="E1901" t="s">
        <v>79</v>
      </c>
      <c r="F1901" t="s">
        <v>28</v>
      </c>
      <c r="G1901" t="str">
        <f>"2025-11-20 10:18:48.719"</f>
        <v>2025-11-20 10:18:48.719</v>
      </c>
      <c r="H1901" t="s">
        <v>80</v>
      </c>
    </row>
    <row r="1902" spans="1:10" x14ac:dyDescent="0.25">
      <c r="A1902" s="1">
        <v>968</v>
      </c>
      <c r="B1902" t="s">
        <v>29</v>
      </c>
      <c r="C1902">
        <v>619</v>
      </c>
      <c r="D1902">
        <v>1</v>
      </c>
      <c r="E1902" t="s">
        <v>79</v>
      </c>
      <c r="F1902" t="s">
        <v>28</v>
      </c>
      <c r="G1902" t="str">
        <f>"2025-11-20 10:18:27.519"</f>
        <v>2025-11-20 10:18:27.519</v>
      </c>
      <c r="H1902" t="s">
        <v>80</v>
      </c>
      <c r="I1902">
        <v>6.62</v>
      </c>
      <c r="J1902" t="s">
        <v>30</v>
      </c>
    </row>
    <row r="1903" spans="1:10" x14ac:dyDescent="0.25">
      <c r="A1903" s="1">
        <v>969</v>
      </c>
      <c r="B1903" t="s">
        <v>31</v>
      </c>
      <c r="C1903">
        <v>87</v>
      </c>
      <c r="D1903">
        <v>1</v>
      </c>
      <c r="E1903" t="s">
        <v>32</v>
      </c>
      <c r="F1903" t="s">
        <v>33</v>
      </c>
      <c r="G1903" t="str">
        <f>"2025-11-20 04:46:36.866"</f>
        <v>2025-11-20 04:46:36.866</v>
      </c>
      <c r="H1903" t="s">
        <v>22</v>
      </c>
    </row>
    <row r="1904" spans="1:10" x14ac:dyDescent="0.25">
      <c r="A1904" s="1">
        <v>970</v>
      </c>
      <c r="B1904" t="s">
        <v>34</v>
      </c>
      <c r="C1904">
        <v>87</v>
      </c>
      <c r="D1904">
        <v>1</v>
      </c>
      <c r="E1904" t="s">
        <v>32</v>
      </c>
      <c r="F1904" t="s">
        <v>33</v>
      </c>
      <c r="G1904" t="str">
        <f>"2025-11-20 04:39:04.458"</f>
        <v>2025-11-20 04:39:04.458</v>
      </c>
      <c r="H1904" t="s">
        <v>22</v>
      </c>
      <c r="I1904">
        <v>6.95</v>
      </c>
      <c r="J1904" t="s">
        <v>30</v>
      </c>
    </row>
    <row r="1905" spans="1:10" x14ac:dyDescent="0.25">
      <c r="A1905" s="1">
        <v>971</v>
      </c>
      <c r="B1905" t="s">
        <v>19</v>
      </c>
      <c r="C1905">
        <v>700</v>
      </c>
      <c r="D1905">
        <v>0</v>
      </c>
      <c r="E1905" t="s">
        <v>24</v>
      </c>
      <c r="F1905" t="s">
        <v>24</v>
      </c>
      <c r="G1905" t="str">
        <f>"2025-11-19 20:05:25.638"</f>
        <v>2025-11-19 20:05:25.638</v>
      </c>
      <c r="H1905" t="s">
        <v>22</v>
      </c>
    </row>
    <row r="1906" spans="1:10" s="3" customFormat="1" x14ac:dyDescent="0.25">
      <c r="A1906" s="2">
        <v>972</v>
      </c>
      <c r="B1906" s="3" t="s">
        <v>26</v>
      </c>
      <c r="C1906" s="3">
        <v>647</v>
      </c>
      <c r="D1906" s="3">
        <v>1</v>
      </c>
      <c r="E1906" s="3" t="s">
        <v>35</v>
      </c>
      <c r="F1906" s="3" t="s">
        <v>36</v>
      </c>
      <c r="G1906" s="3" t="str">
        <f>"2025-11-19 19:23:41.599"</f>
        <v>2025-11-19 19:23:41.599</v>
      </c>
      <c r="H1906" s="3" t="s">
        <v>22</v>
      </c>
    </row>
    <row r="1907" spans="1:10" s="3" customFormat="1" x14ac:dyDescent="0.25">
      <c r="A1907" s="2">
        <v>973</v>
      </c>
      <c r="B1907" s="3" t="s">
        <v>29</v>
      </c>
      <c r="C1907" s="3">
        <v>647</v>
      </c>
      <c r="D1907" s="3">
        <v>1</v>
      </c>
      <c r="E1907" s="3" t="s">
        <v>35</v>
      </c>
      <c r="F1907" s="3" t="s">
        <v>36</v>
      </c>
      <c r="G1907" s="3" t="str">
        <f>"2025-11-19 19:23:39.499"</f>
        <v>2025-11-19 19:23:39.499</v>
      </c>
      <c r="H1907" s="3" t="s">
        <v>22</v>
      </c>
      <c r="I1907" s="3">
        <v>15.63</v>
      </c>
      <c r="J1907" s="3" t="s">
        <v>37</v>
      </c>
    </row>
    <row r="1908" spans="1:10" x14ac:dyDescent="0.25">
      <c r="A1908" s="1">
        <v>974</v>
      </c>
      <c r="B1908" t="s">
        <v>31</v>
      </c>
      <c r="C1908">
        <v>87</v>
      </c>
      <c r="D1908">
        <v>1</v>
      </c>
      <c r="E1908" t="s">
        <v>32</v>
      </c>
      <c r="F1908" t="s">
        <v>33</v>
      </c>
      <c r="G1908" t="str">
        <f>"2025-11-19 11:14:29.500"</f>
        <v>2025-11-19 11:14:29.500</v>
      </c>
      <c r="H1908" t="s">
        <v>22</v>
      </c>
    </row>
    <row r="1909" spans="1:10" x14ac:dyDescent="0.25">
      <c r="A1909" s="1">
        <v>975</v>
      </c>
      <c r="B1909" t="s">
        <v>34</v>
      </c>
      <c r="C1909">
        <v>87</v>
      </c>
      <c r="D1909">
        <v>1</v>
      </c>
      <c r="E1909" t="s">
        <v>32</v>
      </c>
      <c r="F1909" t="s">
        <v>33</v>
      </c>
      <c r="G1909" t="str">
        <f>"2025-11-19 11:09:38.451"</f>
        <v>2025-11-19 11:09:38.451</v>
      </c>
      <c r="H1909" t="s">
        <v>22</v>
      </c>
      <c r="I1909">
        <v>6.99</v>
      </c>
      <c r="J1909" t="s">
        <v>30</v>
      </c>
    </row>
    <row r="1910" spans="1:10" s="3" customFormat="1" x14ac:dyDescent="0.25">
      <c r="A1910" s="2">
        <v>977</v>
      </c>
      <c r="B1910" s="3" t="s">
        <v>26</v>
      </c>
      <c r="C1910" s="3">
        <v>647</v>
      </c>
      <c r="D1910" s="3">
        <v>1</v>
      </c>
      <c r="E1910" s="3" t="s">
        <v>35</v>
      </c>
      <c r="F1910" s="3" t="s">
        <v>36</v>
      </c>
      <c r="G1910" s="3" t="str">
        <f>"2025-11-19 07:33:28.600"</f>
        <v>2025-11-19 07:33:28.600</v>
      </c>
      <c r="H1910" s="3" t="s">
        <v>22</v>
      </c>
    </row>
    <row r="1911" spans="1:10" s="3" customFormat="1" x14ac:dyDescent="0.25">
      <c r="A1911" s="2">
        <v>978</v>
      </c>
      <c r="B1911" s="3" t="s">
        <v>29</v>
      </c>
      <c r="C1911" s="3">
        <v>647</v>
      </c>
      <c r="D1911" s="3">
        <v>1</v>
      </c>
      <c r="E1911" s="3" t="s">
        <v>35</v>
      </c>
      <c r="F1911" s="3" t="s">
        <v>36</v>
      </c>
      <c r="G1911" s="3" t="str">
        <f>"2025-11-19 07:33:25.300"</f>
        <v>2025-11-19 07:33:25.300</v>
      </c>
      <c r="H1911" s="3" t="s">
        <v>22</v>
      </c>
      <c r="I1911" s="3">
        <v>18.13</v>
      </c>
      <c r="J1911" s="3" t="s">
        <v>37</v>
      </c>
    </row>
    <row r="1912" spans="1:10" x14ac:dyDescent="0.25">
      <c r="A1912" s="1">
        <v>979</v>
      </c>
      <c r="B1912" t="s">
        <v>19</v>
      </c>
      <c r="C1912">
        <v>700</v>
      </c>
      <c r="D1912">
        <v>0</v>
      </c>
      <c r="E1912" t="s">
        <v>24</v>
      </c>
      <c r="F1912" t="s">
        <v>24</v>
      </c>
      <c r="G1912" t="str">
        <f>"2025-11-18 17:11:51.621"</f>
        <v>2025-11-18 17:11:51.621</v>
      </c>
      <c r="H1912" t="s">
        <v>22</v>
      </c>
    </row>
    <row r="1913" spans="1:10" x14ac:dyDescent="0.25">
      <c r="A1913" s="1">
        <v>980</v>
      </c>
      <c r="B1913" t="s">
        <v>26</v>
      </c>
      <c r="C1913">
        <v>630</v>
      </c>
      <c r="D1913">
        <v>5</v>
      </c>
      <c r="E1913" t="s">
        <v>39</v>
      </c>
      <c r="F1913" t="s">
        <v>40</v>
      </c>
      <c r="G1913" t="str">
        <f>"2025-11-18 16:28:09.051"</f>
        <v>2025-11-18 16:28:09.051</v>
      </c>
      <c r="H1913" t="s">
        <v>41</v>
      </c>
    </row>
    <row r="1914" spans="1:10" x14ac:dyDescent="0.25">
      <c r="A1914" s="1">
        <v>981</v>
      </c>
      <c r="B1914" t="s">
        <v>19</v>
      </c>
      <c r="C1914">
        <v>706</v>
      </c>
      <c r="D1914">
        <v>4</v>
      </c>
      <c r="E1914" t="s">
        <v>20</v>
      </c>
      <c r="F1914" t="s">
        <v>21</v>
      </c>
      <c r="G1914" t="str">
        <f>"2025-11-18 16:27:39.101"</f>
        <v>2025-11-18 16:27:39.101</v>
      </c>
      <c r="H1914" t="s">
        <v>22</v>
      </c>
      <c r="I1914">
        <v>0</v>
      </c>
      <c r="J1914" t="s">
        <v>23</v>
      </c>
    </row>
    <row r="1915" spans="1:10" x14ac:dyDescent="0.25">
      <c r="A1915" s="1">
        <v>982</v>
      </c>
      <c r="B1915" t="s">
        <v>19</v>
      </c>
      <c r="C1915">
        <v>706</v>
      </c>
      <c r="D1915">
        <v>2</v>
      </c>
      <c r="E1915" t="s">
        <v>20</v>
      </c>
      <c r="F1915" t="s">
        <v>54</v>
      </c>
      <c r="G1915" t="str">
        <f>"2025-11-18 16:17:03.161"</f>
        <v>2025-11-18 16:17:03.161</v>
      </c>
      <c r="H1915" t="s">
        <v>22</v>
      </c>
      <c r="I1915">
        <v>0</v>
      </c>
      <c r="J1915" t="s">
        <v>23</v>
      </c>
    </row>
    <row r="1916" spans="1:10" x14ac:dyDescent="0.25">
      <c r="A1916" s="1">
        <v>983</v>
      </c>
      <c r="B1916" t="s">
        <v>34</v>
      </c>
      <c r="C1916">
        <v>630</v>
      </c>
      <c r="D1916">
        <v>5</v>
      </c>
      <c r="E1916" t="s">
        <v>39</v>
      </c>
      <c r="F1916" t="s">
        <v>40</v>
      </c>
      <c r="G1916" t="str">
        <f>"2025-11-18 15:59:57.452"</f>
        <v>2025-11-18 15:59:57.452</v>
      </c>
      <c r="H1916" t="s">
        <v>41</v>
      </c>
      <c r="I1916">
        <v>0</v>
      </c>
      <c r="J1916" t="s">
        <v>23</v>
      </c>
    </row>
    <row r="1917" spans="1:10" x14ac:dyDescent="0.25">
      <c r="A1917" s="1">
        <v>984</v>
      </c>
      <c r="B1917" t="s">
        <v>19</v>
      </c>
      <c r="C1917">
        <v>700</v>
      </c>
      <c r="D1917">
        <v>0</v>
      </c>
      <c r="E1917" t="s">
        <v>24</v>
      </c>
      <c r="F1917" t="s">
        <v>24</v>
      </c>
      <c r="G1917" t="str">
        <f>"2025-11-18 15:54:54.631"</f>
        <v>2025-11-18 15:54:54.631</v>
      </c>
      <c r="H1917" t="s">
        <v>22</v>
      </c>
    </row>
    <row r="1918" spans="1:10" x14ac:dyDescent="0.25">
      <c r="A1918" s="1">
        <v>985</v>
      </c>
      <c r="B1918" t="s">
        <v>34</v>
      </c>
      <c r="C1918">
        <v>630</v>
      </c>
      <c r="D1918">
        <v>5</v>
      </c>
      <c r="E1918" t="s">
        <v>39</v>
      </c>
      <c r="F1918" t="s">
        <v>40</v>
      </c>
      <c r="G1918" t="str">
        <f>"2025-11-18 14:13:44.573"</f>
        <v>2025-11-18 14:13:44.573</v>
      </c>
      <c r="H1918" t="s">
        <v>41</v>
      </c>
      <c r="I1918">
        <v>0</v>
      </c>
      <c r="J1918" t="s">
        <v>23</v>
      </c>
    </row>
    <row r="1919" spans="1:10" x14ac:dyDescent="0.25">
      <c r="A1919" s="1">
        <v>986</v>
      </c>
      <c r="B1919" t="s">
        <v>19</v>
      </c>
      <c r="C1919">
        <v>700</v>
      </c>
      <c r="D1919">
        <v>0</v>
      </c>
      <c r="E1919" t="s">
        <v>24</v>
      </c>
      <c r="F1919" t="s">
        <v>24</v>
      </c>
      <c r="G1919" t="str">
        <f>"2025-11-18 14:08:41.877"</f>
        <v>2025-11-18 14:08:41.877</v>
      </c>
      <c r="H1919" t="s">
        <v>22</v>
      </c>
      <c r="I1919">
        <v>0</v>
      </c>
      <c r="J1919" t="s">
        <v>25</v>
      </c>
    </row>
    <row r="1920" spans="1:10" x14ac:dyDescent="0.25">
      <c r="A1920" s="1">
        <v>987</v>
      </c>
      <c r="B1920" t="s">
        <v>19</v>
      </c>
      <c r="C1920">
        <v>706</v>
      </c>
      <c r="D1920">
        <v>3</v>
      </c>
      <c r="E1920" t="s">
        <v>20</v>
      </c>
      <c r="F1920" t="s">
        <v>48</v>
      </c>
      <c r="G1920" t="str">
        <f>"2025-11-18 13:27:45.936"</f>
        <v>2025-11-18 13:27:45.936</v>
      </c>
      <c r="H1920" t="s">
        <v>22</v>
      </c>
      <c r="I1920">
        <v>0</v>
      </c>
      <c r="J1920" t="s">
        <v>23</v>
      </c>
    </row>
    <row r="1921" spans="1:10" x14ac:dyDescent="0.25">
      <c r="A1921" s="1">
        <v>988</v>
      </c>
      <c r="B1921" t="s">
        <v>19</v>
      </c>
      <c r="C1921">
        <v>706</v>
      </c>
      <c r="D1921">
        <v>2</v>
      </c>
      <c r="E1921" t="s">
        <v>20</v>
      </c>
      <c r="F1921" t="s">
        <v>54</v>
      </c>
      <c r="G1921" t="str">
        <f>"2025-11-18 13:26:16.816"</f>
        <v>2025-11-18 13:26:16.816</v>
      </c>
      <c r="H1921" t="s">
        <v>22</v>
      </c>
      <c r="I1921">
        <v>0</v>
      </c>
      <c r="J1921" t="s">
        <v>23</v>
      </c>
    </row>
    <row r="1922" spans="1:10" x14ac:dyDescent="0.25">
      <c r="A1922" s="1">
        <v>989</v>
      </c>
      <c r="B1922" t="s">
        <v>19</v>
      </c>
      <c r="C1922">
        <v>700</v>
      </c>
      <c r="D1922">
        <v>0</v>
      </c>
      <c r="E1922" t="s">
        <v>24</v>
      </c>
      <c r="F1922" t="s">
        <v>24</v>
      </c>
      <c r="G1922" t="str">
        <f>"2025-11-18 13:25:37.616"</f>
        <v>2025-11-18 13:25:37.616</v>
      </c>
      <c r="H1922" t="s">
        <v>22</v>
      </c>
      <c r="I1922">
        <v>0</v>
      </c>
      <c r="J1922" t="s">
        <v>25</v>
      </c>
    </row>
    <row r="1923" spans="1:10" x14ac:dyDescent="0.25">
      <c r="A1923" s="1">
        <v>990</v>
      </c>
      <c r="B1923" t="s">
        <v>19</v>
      </c>
      <c r="C1923">
        <v>700</v>
      </c>
      <c r="D1923">
        <v>0</v>
      </c>
      <c r="E1923" t="s">
        <v>24</v>
      </c>
      <c r="F1923" t="s">
        <v>24</v>
      </c>
      <c r="G1923" t="str">
        <f>"2025-11-18 12:36:29.659"</f>
        <v>2025-11-18 12:36:29.659</v>
      </c>
      <c r="H1923" t="s">
        <v>22</v>
      </c>
      <c r="I1923">
        <v>0</v>
      </c>
      <c r="J1923" t="s">
        <v>25</v>
      </c>
    </row>
    <row r="1924" spans="1:10" x14ac:dyDescent="0.25">
      <c r="A1924" s="1">
        <v>991</v>
      </c>
      <c r="B1924" t="s">
        <v>26</v>
      </c>
      <c r="C1924">
        <v>61</v>
      </c>
      <c r="D1924">
        <v>2</v>
      </c>
      <c r="E1924" t="s">
        <v>81</v>
      </c>
      <c r="F1924" t="s">
        <v>82</v>
      </c>
      <c r="G1924" t="str">
        <f>"2025-11-18 07:16:13.774"</f>
        <v>2025-11-18 07:16:13.774</v>
      </c>
      <c r="H1924" t="s">
        <v>22</v>
      </c>
    </row>
    <row r="1925" spans="1:10" x14ac:dyDescent="0.25">
      <c r="A1925" s="1">
        <v>992</v>
      </c>
      <c r="B1925" t="s">
        <v>34</v>
      </c>
      <c r="C1925">
        <v>61</v>
      </c>
      <c r="D1925">
        <v>2</v>
      </c>
      <c r="E1925" t="s">
        <v>81</v>
      </c>
      <c r="F1925" t="s">
        <v>82</v>
      </c>
      <c r="G1925" t="str">
        <f>"2025-11-18 07:16:05.774"</f>
        <v>2025-11-18 07:16:05.774</v>
      </c>
      <c r="H1925" t="s">
        <v>22</v>
      </c>
      <c r="I1925">
        <v>36.21</v>
      </c>
      <c r="J1925" t="s">
        <v>37</v>
      </c>
    </row>
    <row r="1926" spans="1:10" x14ac:dyDescent="0.25">
      <c r="A1926" s="1">
        <v>993</v>
      </c>
      <c r="B1926" t="s">
        <v>31</v>
      </c>
      <c r="C1926">
        <v>87</v>
      </c>
      <c r="D1926">
        <v>1</v>
      </c>
      <c r="E1926" t="s">
        <v>32</v>
      </c>
      <c r="F1926" t="s">
        <v>33</v>
      </c>
      <c r="G1926" t="str">
        <f>"2025-11-18 05:03:00.234"</f>
        <v>2025-11-18 05:03:00.234</v>
      </c>
      <c r="H1926" t="s">
        <v>22</v>
      </c>
    </row>
    <row r="1927" spans="1:10" x14ac:dyDescent="0.25">
      <c r="A1927" s="1">
        <v>994</v>
      </c>
      <c r="B1927" t="s">
        <v>34</v>
      </c>
      <c r="C1927">
        <v>87</v>
      </c>
      <c r="D1927">
        <v>1</v>
      </c>
      <c r="E1927" t="s">
        <v>32</v>
      </c>
      <c r="F1927" t="s">
        <v>33</v>
      </c>
      <c r="G1927" t="str">
        <f>"2025-11-18 04:51:56.673"</f>
        <v>2025-11-18 04:51:56.673</v>
      </c>
      <c r="H1927" t="s">
        <v>22</v>
      </c>
      <c r="I1927">
        <v>5.91</v>
      </c>
      <c r="J1927" t="s">
        <v>30</v>
      </c>
    </row>
    <row r="1928" spans="1:10" x14ac:dyDescent="0.25">
      <c r="A1928" s="1">
        <v>995</v>
      </c>
      <c r="B1928" t="s">
        <v>19</v>
      </c>
      <c r="C1928">
        <v>706</v>
      </c>
      <c r="D1928">
        <v>4</v>
      </c>
      <c r="E1928" t="s">
        <v>20</v>
      </c>
      <c r="F1928" t="s">
        <v>21</v>
      </c>
      <c r="G1928" t="str">
        <f>"2025-11-17 14:45:02.603"</f>
        <v>2025-11-17 14:45:02.603</v>
      </c>
      <c r="H1928" t="s">
        <v>22</v>
      </c>
      <c r="I1928">
        <v>0</v>
      </c>
      <c r="J1928" t="s">
        <v>23</v>
      </c>
    </row>
    <row r="1929" spans="1:10" x14ac:dyDescent="0.25">
      <c r="A1929" s="1">
        <v>996</v>
      </c>
      <c r="B1929" t="s">
        <v>19</v>
      </c>
      <c r="C1929">
        <v>700</v>
      </c>
      <c r="D1929">
        <v>0</v>
      </c>
      <c r="E1929" t="s">
        <v>24</v>
      </c>
      <c r="F1929" t="s">
        <v>24</v>
      </c>
      <c r="G1929" t="str">
        <f>"2025-11-17 14:40:28.613"</f>
        <v>2025-11-17 14:40:28.613</v>
      </c>
      <c r="H1929" t="s">
        <v>22</v>
      </c>
      <c r="I1929">
        <v>0</v>
      </c>
      <c r="J1929" t="s">
        <v>25</v>
      </c>
    </row>
    <row r="1930" spans="1:10" x14ac:dyDescent="0.25">
      <c r="A1930" s="1">
        <v>997</v>
      </c>
      <c r="B1930" t="s">
        <v>19</v>
      </c>
      <c r="C1930">
        <v>700</v>
      </c>
      <c r="D1930">
        <v>0</v>
      </c>
      <c r="E1930" t="s">
        <v>24</v>
      </c>
      <c r="F1930" t="s">
        <v>24</v>
      </c>
      <c r="G1930" t="str">
        <f>"2025-11-17 14:34:30.604"</f>
        <v>2025-11-17 14:34:30.604</v>
      </c>
      <c r="H1930" t="s">
        <v>22</v>
      </c>
    </row>
    <row r="1931" spans="1:10" x14ac:dyDescent="0.25">
      <c r="A1931" s="1">
        <v>998</v>
      </c>
      <c r="B1931" t="s">
        <v>19</v>
      </c>
      <c r="C1931">
        <v>700</v>
      </c>
      <c r="D1931">
        <v>0</v>
      </c>
      <c r="E1931" t="s">
        <v>24</v>
      </c>
      <c r="F1931" t="s">
        <v>24</v>
      </c>
      <c r="G1931" t="str">
        <f>"2025-11-17 13:23:28.728"</f>
        <v>2025-11-17 13:23:28.728</v>
      </c>
      <c r="H1931" t="s">
        <v>22</v>
      </c>
      <c r="I1931">
        <v>0</v>
      </c>
      <c r="J1931" t="s">
        <v>25</v>
      </c>
    </row>
    <row r="1932" spans="1:10" x14ac:dyDescent="0.25">
      <c r="A1932" s="1">
        <v>999</v>
      </c>
      <c r="B1932" t="s">
        <v>26</v>
      </c>
      <c r="C1932">
        <v>619</v>
      </c>
      <c r="D1932">
        <v>1</v>
      </c>
      <c r="E1932" t="s">
        <v>79</v>
      </c>
      <c r="F1932" t="s">
        <v>28</v>
      </c>
      <c r="G1932" t="str">
        <f>"2025-11-17 13:20:30.253"</f>
        <v>2025-11-17 13:20:30.253</v>
      </c>
      <c r="H1932" t="s">
        <v>80</v>
      </c>
    </row>
    <row r="1933" spans="1:10" x14ac:dyDescent="0.25">
      <c r="A1933" s="1">
        <v>0</v>
      </c>
      <c r="B1933" t="s">
        <v>29</v>
      </c>
      <c r="C1933">
        <v>619</v>
      </c>
      <c r="D1933">
        <v>1</v>
      </c>
      <c r="E1933" t="s">
        <v>79</v>
      </c>
      <c r="F1933" t="s">
        <v>28</v>
      </c>
      <c r="G1933" t="str">
        <f>"2025-11-17 13:19:17.553"</f>
        <v>2025-11-17 13:19:17.553</v>
      </c>
      <c r="H1933" t="s">
        <v>80</v>
      </c>
      <c r="I1933">
        <v>0</v>
      </c>
      <c r="J1933" t="s">
        <v>38</v>
      </c>
    </row>
    <row r="1934" spans="1:10" x14ac:dyDescent="0.25">
      <c r="A1934" s="1">
        <v>1</v>
      </c>
      <c r="B1934" t="s">
        <v>26</v>
      </c>
      <c r="C1934">
        <v>619</v>
      </c>
      <c r="D1934">
        <v>1</v>
      </c>
      <c r="E1934" t="s">
        <v>79</v>
      </c>
      <c r="F1934" t="s">
        <v>28</v>
      </c>
      <c r="G1934" t="str">
        <f>"2025-11-17 13:17:55.801"</f>
        <v>2025-11-17 13:17:55.801</v>
      </c>
      <c r="H1934" t="s">
        <v>80</v>
      </c>
    </row>
    <row r="1935" spans="1:10" x14ac:dyDescent="0.25">
      <c r="A1935" s="1">
        <v>2</v>
      </c>
      <c r="B1935" t="s">
        <v>29</v>
      </c>
      <c r="C1935">
        <v>619</v>
      </c>
      <c r="D1935">
        <v>1</v>
      </c>
      <c r="E1935" t="s">
        <v>79</v>
      </c>
      <c r="F1935" t="s">
        <v>28</v>
      </c>
      <c r="G1935" t="str">
        <f>"2025-11-17 13:17:46.053"</f>
        <v>2025-11-17 13:17:46.053</v>
      </c>
      <c r="H1935" t="s">
        <v>80</v>
      </c>
      <c r="I1935">
        <v>14.56</v>
      </c>
      <c r="J1935" t="s">
        <v>30</v>
      </c>
    </row>
    <row r="1936" spans="1:10" x14ac:dyDescent="0.25">
      <c r="A1936" s="1">
        <v>3</v>
      </c>
      <c r="B1936" t="s">
        <v>19</v>
      </c>
      <c r="C1936">
        <v>700</v>
      </c>
      <c r="D1936">
        <v>0</v>
      </c>
      <c r="E1936" t="s">
        <v>24</v>
      </c>
      <c r="F1936" t="s">
        <v>24</v>
      </c>
      <c r="G1936" t="str">
        <f>"2025-11-17 11:09:00.633"</f>
        <v>2025-11-17 11:09:00.633</v>
      </c>
      <c r="H1936" t="s">
        <v>22</v>
      </c>
      <c r="I1936">
        <v>0</v>
      </c>
      <c r="J1936" t="s">
        <v>25</v>
      </c>
    </row>
    <row r="1937" spans="1:10" x14ac:dyDescent="0.25">
      <c r="A1937" s="1">
        <v>4</v>
      </c>
      <c r="B1937" t="s">
        <v>26</v>
      </c>
      <c r="C1937">
        <v>619</v>
      </c>
      <c r="D1937">
        <v>1</v>
      </c>
      <c r="E1937" t="s">
        <v>79</v>
      </c>
      <c r="F1937" t="s">
        <v>28</v>
      </c>
      <c r="G1937" t="str">
        <f>"2025-11-17 11:05:33.494"</f>
        <v>2025-11-17 11:05:33.494</v>
      </c>
      <c r="H1937" t="s">
        <v>80</v>
      </c>
    </row>
    <row r="1938" spans="1:10" x14ac:dyDescent="0.25">
      <c r="A1938" s="1">
        <v>5</v>
      </c>
      <c r="B1938" t="s">
        <v>29</v>
      </c>
      <c r="C1938">
        <v>619</v>
      </c>
      <c r="D1938">
        <v>1</v>
      </c>
      <c r="E1938" t="s">
        <v>79</v>
      </c>
      <c r="F1938" t="s">
        <v>28</v>
      </c>
      <c r="G1938" t="str">
        <f>"2025-11-17 11:03:54.494"</f>
        <v>2025-11-17 11:03:54.494</v>
      </c>
      <c r="H1938" t="s">
        <v>80</v>
      </c>
      <c r="I1938">
        <v>8.89</v>
      </c>
      <c r="J1938" t="s">
        <v>30</v>
      </c>
    </row>
    <row r="1939" spans="1:10" x14ac:dyDescent="0.25">
      <c r="A1939" s="1">
        <v>6</v>
      </c>
      <c r="B1939" t="s">
        <v>26</v>
      </c>
      <c r="C1939">
        <v>619</v>
      </c>
      <c r="D1939">
        <v>1</v>
      </c>
      <c r="E1939" t="s">
        <v>79</v>
      </c>
      <c r="F1939" t="s">
        <v>28</v>
      </c>
      <c r="G1939" t="str">
        <f>"2025-11-17 09:13:08.294"</f>
        <v>2025-11-17 09:13:08.294</v>
      </c>
      <c r="H1939" t="s">
        <v>80</v>
      </c>
    </row>
    <row r="1940" spans="1:10" x14ac:dyDescent="0.25">
      <c r="A1940" s="1">
        <v>7</v>
      </c>
      <c r="B1940" t="s">
        <v>29</v>
      </c>
      <c r="C1940">
        <v>619</v>
      </c>
      <c r="D1940">
        <v>1</v>
      </c>
      <c r="E1940" t="s">
        <v>79</v>
      </c>
      <c r="F1940" t="s">
        <v>28</v>
      </c>
      <c r="G1940" t="str">
        <f>"2025-11-17 09:12:58.494"</f>
        <v>2025-11-17 09:12:58.494</v>
      </c>
      <c r="H1940" t="s">
        <v>80</v>
      </c>
      <c r="I1940">
        <v>0</v>
      </c>
      <c r="J1940" t="s">
        <v>38</v>
      </c>
    </row>
    <row r="1941" spans="1:10" x14ac:dyDescent="0.25">
      <c r="A1941" s="1">
        <v>8</v>
      </c>
      <c r="B1941" t="s">
        <v>26</v>
      </c>
      <c r="C1941">
        <v>619</v>
      </c>
      <c r="D1941">
        <v>1</v>
      </c>
      <c r="E1941" t="s">
        <v>79</v>
      </c>
      <c r="F1941" t="s">
        <v>28</v>
      </c>
      <c r="G1941" t="str">
        <f>"2025-11-17 07:19:59.147"</f>
        <v>2025-11-17 07:19:59.147</v>
      </c>
      <c r="H1941" t="s">
        <v>80</v>
      </c>
    </row>
    <row r="1942" spans="1:10" x14ac:dyDescent="0.25">
      <c r="A1942" s="1">
        <v>9</v>
      </c>
      <c r="B1942" t="s">
        <v>29</v>
      </c>
      <c r="C1942">
        <v>619</v>
      </c>
      <c r="D1942">
        <v>1</v>
      </c>
      <c r="E1942" t="s">
        <v>79</v>
      </c>
      <c r="F1942" t="s">
        <v>28</v>
      </c>
      <c r="G1942" t="str">
        <f>"2025-11-17 07:19:46.294"</f>
        <v>2025-11-17 07:19:46.294</v>
      </c>
      <c r="H1942" t="s">
        <v>80</v>
      </c>
      <c r="I1942">
        <v>0</v>
      </c>
      <c r="J1942" t="s">
        <v>38</v>
      </c>
    </row>
    <row r="1943" spans="1:10" x14ac:dyDescent="0.25">
      <c r="A1943" s="1">
        <v>10</v>
      </c>
      <c r="B1943" t="s">
        <v>26</v>
      </c>
      <c r="C1943">
        <v>619</v>
      </c>
      <c r="D1943">
        <v>1</v>
      </c>
      <c r="E1943" t="s">
        <v>79</v>
      </c>
      <c r="F1943" t="s">
        <v>28</v>
      </c>
      <c r="G1943" t="str">
        <f>"2025-11-17 03:35:06.194"</f>
        <v>2025-11-17 03:35:06.194</v>
      </c>
      <c r="H1943" t="s">
        <v>80</v>
      </c>
    </row>
    <row r="1944" spans="1:10" x14ac:dyDescent="0.25">
      <c r="A1944" s="1">
        <v>11</v>
      </c>
      <c r="B1944" t="s">
        <v>29</v>
      </c>
      <c r="C1944">
        <v>619</v>
      </c>
      <c r="D1944">
        <v>1</v>
      </c>
      <c r="E1944" t="s">
        <v>79</v>
      </c>
      <c r="F1944" t="s">
        <v>28</v>
      </c>
      <c r="G1944" t="str">
        <f>"2025-11-17 03:34:53.294"</f>
        <v>2025-11-17 03:34:53.294</v>
      </c>
      <c r="H1944" t="s">
        <v>80</v>
      </c>
      <c r="I1944">
        <v>0</v>
      </c>
      <c r="J1944" t="s">
        <v>38</v>
      </c>
    </row>
    <row r="1945" spans="1:10" x14ac:dyDescent="0.25">
      <c r="A1945" s="1">
        <v>12</v>
      </c>
      <c r="B1945" t="s">
        <v>26</v>
      </c>
      <c r="C1945">
        <v>619</v>
      </c>
      <c r="D1945">
        <v>1</v>
      </c>
      <c r="E1945" t="s">
        <v>79</v>
      </c>
      <c r="F1945" t="s">
        <v>28</v>
      </c>
      <c r="G1945" t="str">
        <f>"2025-11-16 18:48:24.747"</f>
        <v>2025-11-16 18:48:24.747</v>
      </c>
      <c r="H1945" t="s">
        <v>80</v>
      </c>
    </row>
    <row r="1946" spans="1:10" x14ac:dyDescent="0.25">
      <c r="A1946" s="1">
        <v>13</v>
      </c>
      <c r="B1946" t="s">
        <v>29</v>
      </c>
      <c r="C1946">
        <v>619</v>
      </c>
      <c r="D1946">
        <v>1</v>
      </c>
      <c r="E1946" t="s">
        <v>79</v>
      </c>
      <c r="F1946" t="s">
        <v>28</v>
      </c>
      <c r="G1946" t="str">
        <f>"2025-11-16 18:48:17.094"</f>
        <v>2025-11-16 18:48:17.094</v>
      </c>
      <c r="H1946" t="s">
        <v>80</v>
      </c>
      <c r="I1946">
        <v>14.08</v>
      </c>
      <c r="J1946" t="s">
        <v>30</v>
      </c>
    </row>
    <row r="1947" spans="1:10" x14ac:dyDescent="0.25">
      <c r="A1947" s="1">
        <v>14</v>
      </c>
      <c r="B1947" t="s">
        <v>19</v>
      </c>
      <c r="C1947">
        <v>700</v>
      </c>
      <c r="D1947">
        <v>0</v>
      </c>
      <c r="E1947" t="s">
        <v>24</v>
      </c>
      <c r="F1947" t="s">
        <v>24</v>
      </c>
      <c r="G1947" t="str">
        <f>"2025-11-16 18:45:40.785"</f>
        <v>2025-11-16 18:45:40.785</v>
      </c>
      <c r="H1947" t="s">
        <v>22</v>
      </c>
      <c r="I1947">
        <v>0</v>
      </c>
      <c r="J1947" t="s">
        <v>25</v>
      </c>
    </row>
    <row r="1948" spans="1:10" x14ac:dyDescent="0.25">
      <c r="A1948" s="1">
        <v>15</v>
      </c>
      <c r="B1948" t="s">
        <v>26</v>
      </c>
      <c r="C1948">
        <v>619</v>
      </c>
      <c r="D1948">
        <v>1</v>
      </c>
      <c r="E1948" t="s">
        <v>79</v>
      </c>
      <c r="F1948" t="s">
        <v>28</v>
      </c>
      <c r="G1948" t="str">
        <f>"2025-11-16 18:42:15.874"</f>
        <v>2025-11-16 18:42:15.874</v>
      </c>
      <c r="H1948" t="s">
        <v>80</v>
      </c>
    </row>
    <row r="1949" spans="1:10" x14ac:dyDescent="0.25">
      <c r="A1949" s="1">
        <v>16</v>
      </c>
      <c r="B1949" t="s">
        <v>29</v>
      </c>
      <c r="C1949">
        <v>619</v>
      </c>
      <c r="D1949">
        <v>1</v>
      </c>
      <c r="E1949" t="s">
        <v>79</v>
      </c>
      <c r="F1949" t="s">
        <v>28</v>
      </c>
      <c r="G1949" t="str">
        <f>"2025-11-16 18:40:38.526"</f>
        <v>2025-11-16 18:40:38.526</v>
      </c>
      <c r="H1949" t="s">
        <v>80</v>
      </c>
      <c r="I1949">
        <v>6.65</v>
      </c>
      <c r="J1949" t="s">
        <v>30</v>
      </c>
    </row>
    <row r="1950" spans="1:10" x14ac:dyDescent="0.25">
      <c r="A1950" s="1">
        <v>17</v>
      </c>
      <c r="B1950" t="s">
        <v>26</v>
      </c>
      <c r="C1950">
        <v>619</v>
      </c>
      <c r="D1950">
        <v>1</v>
      </c>
      <c r="E1950" t="s">
        <v>79</v>
      </c>
      <c r="F1950" t="s">
        <v>28</v>
      </c>
      <c r="G1950" t="str">
        <f>"2025-11-16 04:30:41.474"</f>
        <v>2025-11-16 04:30:41.474</v>
      </c>
      <c r="H1950" t="s">
        <v>80</v>
      </c>
    </row>
    <row r="1951" spans="1:10" x14ac:dyDescent="0.25">
      <c r="A1951" s="1">
        <v>18</v>
      </c>
      <c r="B1951" t="s">
        <v>29</v>
      </c>
      <c r="C1951">
        <v>619</v>
      </c>
      <c r="D1951">
        <v>1</v>
      </c>
      <c r="E1951" t="s">
        <v>79</v>
      </c>
      <c r="F1951" t="s">
        <v>28</v>
      </c>
      <c r="G1951" t="str">
        <f>"2025-11-16 04:30:06.726"</f>
        <v>2025-11-16 04:30:06.726</v>
      </c>
      <c r="H1951" t="s">
        <v>80</v>
      </c>
      <c r="I1951">
        <v>0</v>
      </c>
      <c r="J1951" t="s">
        <v>38</v>
      </c>
    </row>
    <row r="1952" spans="1:10" x14ac:dyDescent="0.25">
      <c r="A1952" s="1">
        <v>19</v>
      </c>
      <c r="B1952" t="s">
        <v>26</v>
      </c>
      <c r="C1952">
        <v>619</v>
      </c>
      <c r="D1952">
        <v>1</v>
      </c>
      <c r="E1952" t="s">
        <v>79</v>
      </c>
      <c r="F1952" t="s">
        <v>28</v>
      </c>
      <c r="G1952" t="str">
        <f>"2025-11-16 01:22:42.674"</f>
        <v>2025-11-16 01:22:42.674</v>
      </c>
      <c r="H1952" t="s">
        <v>80</v>
      </c>
    </row>
    <row r="1953" spans="1:10" x14ac:dyDescent="0.25">
      <c r="A1953" s="1">
        <v>20</v>
      </c>
      <c r="B1953" t="s">
        <v>29</v>
      </c>
      <c r="C1953">
        <v>619</v>
      </c>
      <c r="D1953">
        <v>1</v>
      </c>
      <c r="E1953" t="s">
        <v>79</v>
      </c>
      <c r="F1953" t="s">
        <v>28</v>
      </c>
      <c r="G1953" t="str">
        <f>"2025-11-16 01:22:33.926"</f>
        <v>2025-11-16 01:22:33.926</v>
      </c>
      <c r="H1953" t="s">
        <v>80</v>
      </c>
      <c r="I1953">
        <v>0</v>
      </c>
      <c r="J1953" t="s">
        <v>38</v>
      </c>
    </row>
    <row r="1954" spans="1:10" x14ac:dyDescent="0.25">
      <c r="A1954" s="1">
        <v>21</v>
      </c>
      <c r="B1954" t="s">
        <v>26</v>
      </c>
      <c r="C1954">
        <v>619</v>
      </c>
      <c r="D1954">
        <v>1</v>
      </c>
      <c r="E1954" t="s">
        <v>79</v>
      </c>
      <c r="F1954" t="s">
        <v>28</v>
      </c>
      <c r="G1954" t="str">
        <f>"2025-11-15 21:17:50.574"</f>
        <v>2025-11-15 21:17:50.574</v>
      </c>
      <c r="H1954" t="s">
        <v>80</v>
      </c>
    </row>
    <row r="1955" spans="1:10" x14ac:dyDescent="0.25">
      <c r="A1955" s="1">
        <v>22</v>
      </c>
      <c r="B1955" t="s">
        <v>29</v>
      </c>
      <c r="C1955">
        <v>619</v>
      </c>
      <c r="D1955">
        <v>1</v>
      </c>
      <c r="E1955" t="s">
        <v>79</v>
      </c>
      <c r="F1955" t="s">
        <v>28</v>
      </c>
      <c r="G1955" t="str">
        <f>"2025-11-15 21:17:09.626"</f>
        <v>2025-11-15 21:17:09.626</v>
      </c>
      <c r="H1955" t="s">
        <v>80</v>
      </c>
      <c r="I1955">
        <v>26.25</v>
      </c>
      <c r="J1955" t="s">
        <v>37</v>
      </c>
    </row>
    <row r="1956" spans="1:10" x14ac:dyDescent="0.25">
      <c r="A1956" s="1">
        <v>23</v>
      </c>
      <c r="B1956" t="s">
        <v>26</v>
      </c>
      <c r="C1956">
        <v>619</v>
      </c>
      <c r="D1956">
        <v>1</v>
      </c>
      <c r="E1956" t="s">
        <v>79</v>
      </c>
      <c r="F1956" t="s">
        <v>28</v>
      </c>
      <c r="G1956" t="str">
        <f>"2025-11-15 15:13:39.174"</f>
        <v>2025-11-15 15:13:39.174</v>
      </c>
      <c r="H1956" t="s">
        <v>80</v>
      </c>
    </row>
    <row r="1957" spans="1:10" x14ac:dyDescent="0.25">
      <c r="A1957" s="1">
        <v>24</v>
      </c>
      <c r="B1957" t="s">
        <v>29</v>
      </c>
      <c r="C1957">
        <v>619</v>
      </c>
      <c r="D1957">
        <v>1</v>
      </c>
      <c r="E1957" t="s">
        <v>79</v>
      </c>
      <c r="F1957" t="s">
        <v>28</v>
      </c>
      <c r="G1957" t="str">
        <f>"2025-11-15 15:13:30.426"</f>
        <v>2025-11-15 15:13:30.426</v>
      </c>
      <c r="H1957" t="s">
        <v>80</v>
      </c>
      <c r="I1957">
        <v>17.95</v>
      </c>
      <c r="J1957" t="s">
        <v>37</v>
      </c>
    </row>
    <row r="1958" spans="1:10" x14ac:dyDescent="0.25">
      <c r="A1958" s="1">
        <v>25</v>
      </c>
      <c r="B1958" t="s">
        <v>26</v>
      </c>
      <c r="C1958">
        <v>619</v>
      </c>
      <c r="D1958">
        <v>1</v>
      </c>
      <c r="E1958" t="s">
        <v>79</v>
      </c>
      <c r="F1958" t="s">
        <v>28</v>
      </c>
      <c r="G1958" t="str">
        <f>"2025-11-15 13:35:06.774"</f>
        <v>2025-11-15 13:35:06.774</v>
      </c>
      <c r="H1958" t="s">
        <v>80</v>
      </c>
    </row>
    <row r="1959" spans="1:10" x14ac:dyDescent="0.25">
      <c r="A1959" s="1">
        <v>26</v>
      </c>
      <c r="B1959" t="s">
        <v>29</v>
      </c>
      <c r="C1959">
        <v>619</v>
      </c>
      <c r="D1959">
        <v>1</v>
      </c>
      <c r="E1959" t="s">
        <v>79</v>
      </c>
      <c r="F1959" t="s">
        <v>28</v>
      </c>
      <c r="G1959" t="str">
        <f>"2025-11-15 13:35:00.126"</f>
        <v>2025-11-15 13:35:00.126</v>
      </c>
      <c r="H1959" t="s">
        <v>80</v>
      </c>
      <c r="I1959">
        <v>0</v>
      </c>
      <c r="J1959" t="s">
        <v>38</v>
      </c>
    </row>
    <row r="1960" spans="1:10" x14ac:dyDescent="0.25">
      <c r="A1960" s="1">
        <v>27</v>
      </c>
      <c r="B1960" t="s">
        <v>26</v>
      </c>
      <c r="C1960">
        <v>635</v>
      </c>
      <c r="D1960">
        <v>1</v>
      </c>
      <c r="E1960" t="s">
        <v>27</v>
      </c>
      <c r="F1960" t="s">
        <v>28</v>
      </c>
      <c r="G1960" t="str">
        <f>"2025-11-15 07:43:50.626"</f>
        <v>2025-11-15 07:43:50.626</v>
      </c>
      <c r="H1960" t="s">
        <v>22</v>
      </c>
    </row>
    <row r="1961" spans="1:10" x14ac:dyDescent="0.25">
      <c r="A1961" s="1">
        <v>28</v>
      </c>
      <c r="B1961" t="s">
        <v>29</v>
      </c>
      <c r="C1961">
        <v>635</v>
      </c>
      <c r="D1961">
        <v>1</v>
      </c>
      <c r="E1961" t="s">
        <v>27</v>
      </c>
      <c r="F1961" t="s">
        <v>28</v>
      </c>
      <c r="G1961" t="str">
        <f>"2025-11-15 07:39:44.126"</f>
        <v>2025-11-15 07:39:44.126</v>
      </c>
      <c r="H1961" t="s">
        <v>22</v>
      </c>
      <c r="I1961">
        <v>4.57</v>
      </c>
      <c r="J1961" t="s">
        <v>30</v>
      </c>
    </row>
    <row r="1962" spans="1:10" x14ac:dyDescent="0.25">
      <c r="A1962" s="1">
        <v>29</v>
      </c>
      <c r="B1962" t="s">
        <v>26</v>
      </c>
      <c r="C1962">
        <v>635</v>
      </c>
      <c r="D1962">
        <v>1</v>
      </c>
      <c r="E1962" t="s">
        <v>27</v>
      </c>
      <c r="F1962" t="s">
        <v>28</v>
      </c>
      <c r="G1962" t="str">
        <f>"2025-11-14 22:23:46.126"</f>
        <v>2025-11-14 22:23:46.126</v>
      </c>
      <c r="H1962" t="s">
        <v>22</v>
      </c>
    </row>
    <row r="1963" spans="1:10" x14ac:dyDescent="0.25">
      <c r="A1963" s="1">
        <v>30</v>
      </c>
      <c r="B1963" t="s">
        <v>29</v>
      </c>
      <c r="C1963">
        <v>635</v>
      </c>
      <c r="D1963">
        <v>1</v>
      </c>
      <c r="E1963" t="s">
        <v>27</v>
      </c>
      <c r="F1963" t="s">
        <v>28</v>
      </c>
      <c r="G1963" t="str">
        <f>"2025-11-14 22:21:02.626"</f>
        <v>2025-11-14 22:21:02.626</v>
      </c>
      <c r="H1963" t="s">
        <v>22</v>
      </c>
      <c r="I1963">
        <v>5.51</v>
      </c>
      <c r="J1963" t="s">
        <v>30</v>
      </c>
    </row>
    <row r="1964" spans="1:10" x14ac:dyDescent="0.25">
      <c r="A1964" s="1">
        <v>31</v>
      </c>
      <c r="B1964" t="s">
        <v>19</v>
      </c>
      <c r="C1964">
        <v>700</v>
      </c>
      <c r="D1964">
        <v>0</v>
      </c>
      <c r="E1964" t="s">
        <v>24</v>
      </c>
      <c r="F1964" t="s">
        <v>24</v>
      </c>
      <c r="G1964" t="str">
        <f>"2025-11-14 20:11:05.806"</f>
        <v>2025-11-14 20:11:05.806</v>
      </c>
      <c r="H1964" t="s">
        <v>22</v>
      </c>
      <c r="I1964">
        <v>0</v>
      </c>
      <c r="J1964" t="s">
        <v>25</v>
      </c>
    </row>
    <row r="1965" spans="1:10" x14ac:dyDescent="0.25">
      <c r="A1965" s="1">
        <v>32</v>
      </c>
      <c r="B1965" t="s">
        <v>26</v>
      </c>
      <c r="C1965">
        <v>635</v>
      </c>
      <c r="D1965">
        <v>1</v>
      </c>
      <c r="E1965" t="s">
        <v>27</v>
      </c>
      <c r="F1965" t="s">
        <v>28</v>
      </c>
      <c r="G1965" t="str">
        <f>"2025-11-14 17:59:51.428"</f>
        <v>2025-11-14 17:59:51.428</v>
      </c>
      <c r="H1965" t="s">
        <v>22</v>
      </c>
    </row>
    <row r="1966" spans="1:10" x14ac:dyDescent="0.25">
      <c r="A1966" s="1">
        <v>33</v>
      </c>
      <c r="B1966" t="s">
        <v>29</v>
      </c>
      <c r="C1966">
        <v>635</v>
      </c>
      <c r="D1966">
        <v>1</v>
      </c>
      <c r="E1966" t="s">
        <v>27</v>
      </c>
      <c r="F1966" t="s">
        <v>28</v>
      </c>
      <c r="G1966" t="str">
        <f>"2025-11-14 17:56:17.928"</f>
        <v>2025-11-14 17:56:17.928</v>
      </c>
      <c r="H1966" t="s">
        <v>22</v>
      </c>
      <c r="I1966">
        <v>3.04</v>
      </c>
      <c r="J1966" t="s">
        <v>37</v>
      </c>
    </row>
    <row r="1967" spans="1:10" x14ac:dyDescent="0.25">
      <c r="A1967" s="1">
        <v>34</v>
      </c>
      <c r="B1967" t="s">
        <v>26</v>
      </c>
      <c r="C1967">
        <v>635</v>
      </c>
      <c r="D1967">
        <v>1</v>
      </c>
      <c r="E1967" t="s">
        <v>27</v>
      </c>
      <c r="F1967" t="s">
        <v>28</v>
      </c>
      <c r="G1967" t="str">
        <f>"2025-11-14 08:06:25.528"</f>
        <v>2025-11-14 08:06:25.528</v>
      </c>
      <c r="H1967" t="s">
        <v>22</v>
      </c>
    </row>
    <row r="1968" spans="1:10" x14ac:dyDescent="0.25">
      <c r="A1968" s="1">
        <v>35</v>
      </c>
      <c r="B1968" t="s">
        <v>29</v>
      </c>
      <c r="C1968">
        <v>635</v>
      </c>
      <c r="D1968">
        <v>1</v>
      </c>
      <c r="E1968" t="s">
        <v>27</v>
      </c>
      <c r="F1968" t="s">
        <v>28</v>
      </c>
      <c r="G1968" t="str">
        <f>"2025-11-14 07:59:04.528"</f>
        <v>2025-11-14 07:59:04.528</v>
      </c>
      <c r="H1968" t="s">
        <v>22</v>
      </c>
      <c r="I1968">
        <v>0.15</v>
      </c>
      <c r="J1968" t="s">
        <v>38</v>
      </c>
    </row>
    <row r="1969" spans="1:10" x14ac:dyDescent="0.25">
      <c r="A1969" s="1">
        <v>36</v>
      </c>
      <c r="B1969" t="s">
        <v>26</v>
      </c>
      <c r="C1969">
        <v>619</v>
      </c>
      <c r="D1969">
        <v>1</v>
      </c>
      <c r="E1969" t="s">
        <v>79</v>
      </c>
      <c r="F1969" t="s">
        <v>28</v>
      </c>
      <c r="G1969" t="str">
        <f>"2025-11-14 07:58:29.028"</f>
        <v>2025-11-14 07:58:29.028</v>
      </c>
      <c r="H1969" t="s">
        <v>80</v>
      </c>
    </row>
    <row r="1970" spans="1:10" x14ac:dyDescent="0.25">
      <c r="A1970" s="1">
        <v>37</v>
      </c>
      <c r="B1970" t="s">
        <v>29</v>
      </c>
      <c r="C1970">
        <v>619</v>
      </c>
      <c r="D1970">
        <v>1</v>
      </c>
      <c r="E1970" t="s">
        <v>79</v>
      </c>
      <c r="F1970" t="s">
        <v>28</v>
      </c>
      <c r="G1970" t="str">
        <f>"2025-11-14 07:57:42.828"</f>
        <v>2025-11-14 07:57:42.828</v>
      </c>
      <c r="H1970" t="s">
        <v>80</v>
      </c>
      <c r="I1970">
        <v>0</v>
      </c>
      <c r="J1970" t="s">
        <v>38</v>
      </c>
    </row>
    <row r="1971" spans="1:10" x14ac:dyDescent="0.25">
      <c r="A1971" s="1">
        <v>38</v>
      </c>
      <c r="B1971" t="s">
        <v>26</v>
      </c>
      <c r="C1971">
        <v>619</v>
      </c>
      <c r="D1971">
        <v>1</v>
      </c>
      <c r="E1971" t="s">
        <v>79</v>
      </c>
      <c r="F1971" t="s">
        <v>28</v>
      </c>
      <c r="G1971" t="str">
        <f>"2025-11-13 12:38:06.228"</f>
        <v>2025-11-13 12:38:06.228</v>
      </c>
      <c r="H1971" t="s">
        <v>80</v>
      </c>
    </row>
    <row r="1972" spans="1:10" x14ac:dyDescent="0.25">
      <c r="A1972" s="1">
        <v>39</v>
      </c>
      <c r="B1972" t="s">
        <v>29</v>
      </c>
      <c r="C1972">
        <v>619</v>
      </c>
      <c r="D1972">
        <v>1</v>
      </c>
      <c r="E1972" t="s">
        <v>79</v>
      </c>
      <c r="F1972" t="s">
        <v>28</v>
      </c>
      <c r="G1972" t="str">
        <f>"2025-11-13 12:34:44.028"</f>
        <v>2025-11-13 12:34:44.028</v>
      </c>
      <c r="H1972" t="s">
        <v>80</v>
      </c>
      <c r="I1972">
        <v>0</v>
      </c>
      <c r="J1972" t="s">
        <v>38</v>
      </c>
    </row>
    <row r="1973" spans="1:10" x14ac:dyDescent="0.25">
      <c r="A1973" s="1">
        <v>40</v>
      </c>
      <c r="B1973" t="s">
        <v>26</v>
      </c>
      <c r="C1973">
        <v>619</v>
      </c>
      <c r="D1973">
        <v>1</v>
      </c>
      <c r="E1973" t="s">
        <v>79</v>
      </c>
      <c r="F1973" t="s">
        <v>28</v>
      </c>
      <c r="G1973" t="str">
        <f>"2025-11-13 11:02:08.776"</f>
        <v>2025-11-13 11:02:08.776</v>
      </c>
      <c r="H1973" t="s">
        <v>80</v>
      </c>
    </row>
    <row r="1974" spans="1:10" x14ac:dyDescent="0.25">
      <c r="A1974" s="1">
        <v>41</v>
      </c>
      <c r="B1974" t="s">
        <v>29</v>
      </c>
      <c r="C1974">
        <v>619</v>
      </c>
      <c r="D1974">
        <v>1</v>
      </c>
      <c r="E1974" t="s">
        <v>79</v>
      </c>
      <c r="F1974" t="s">
        <v>28</v>
      </c>
      <c r="G1974" t="str">
        <f>"2025-11-13 11:02:03.176"</f>
        <v>2025-11-13 11:02:03.176</v>
      </c>
      <c r="H1974" t="s">
        <v>80</v>
      </c>
      <c r="I1974">
        <v>0</v>
      </c>
      <c r="J1974" t="s">
        <v>38</v>
      </c>
    </row>
    <row r="1975" spans="1:10" x14ac:dyDescent="0.25">
      <c r="A1975" s="1">
        <v>42</v>
      </c>
      <c r="B1975" t="s">
        <v>26</v>
      </c>
      <c r="C1975">
        <v>619</v>
      </c>
      <c r="D1975">
        <v>1</v>
      </c>
      <c r="E1975" t="s">
        <v>79</v>
      </c>
      <c r="F1975" t="s">
        <v>28</v>
      </c>
      <c r="G1975" t="str">
        <f>"2025-11-13 10:59:45.228"</f>
        <v>2025-11-13 10:59:45.228</v>
      </c>
      <c r="H1975" t="s">
        <v>80</v>
      </c>
    </row>
    <row r="1976" spans="1:10" x14ac:dyDescent="0.25">
      <c r="A1976" s="1">
        <v>43</v>
      </c>
      <c r="B1976" t="s">
        <v>29</v>
      </c>
      <c r="C1976">
        <v>619</v>
      </c>
      <c r="D1976">
        <v>1</v>
      </c>
      <c r="E1976" t="s">
        <v>79</v>
      </c>
      <c r="F1976" t="s">
        <v>28</v>
      </c>
      <c r="G1976" t="str">
        <f>"2025-11-13 10:59:22.976"</f>
        <v>2025-11-13 10:59:22.976</v>
      </c>
      <c r="H1976" t="s">
        <v>80</v>
      </c>
      <c r="I1976">
        <v>0</v>
      </c>
      <c r="J1976" t="s">
        <v>38</v>
      </c>
    </row>
    <row r="1977" spans="1:10" x14ac:dyDescent="0.25">
      <c r="A1977" s="1">
        <v>44</v>
      </c>
      <c r="B1977" t="s">
        <v>26</v>
      </c>
      <c r="C1977">
        <v>619</v>
      </c>
      <c r="D1977">
        <v>1</v>
      </c>
      <c r="E1977" t="s">
        <v>79</v>
      </c>
      <c r="F1977" t="s">
        <v>28</v>
      </c>
      <c r="G1977" t="str">
        <f>"2025-11-12 22:53:52.128"</f>
        <v>2025-11-12 22:53:52.128</v>
      </c>
      <c r="H1977" t="s">
        <v>80</v>
      </c>
    </row>
    <row r="1978" spans="1:10" x14ac:dyDescent="0.25">
      <c r="A1978" s="1">
        <v>45</v>
      </c>
      <c r="B1978" t="s">
        <v>29</v>
      </c>
      <c r="C1978">
        <v>619</v>
      </c>
      <c r="D1978">
        <v>1</v>
      </c>
      <c r="E1978" t="s">
        <v>79</v>
      </c>
      <c r="F1978" t="s">
        <v>28</v>
      </c>
      <c r="G1978" t="str">
        <f>"2025-11-12 22:53:45.476"</f>
        <v>2025-11-12 22:53:45.476</v>
      </c>
      <c r="H1978" t="s">
        <v>80</v>
      </c>
      <c r="I1978">
        <v>0</v>
      </c>
      <c r="J1978" t="s">
        <v>38</v>
      </c>
    </row>
    <row r="1979" spans="1:10" x14ac:dyDescent="0.25">
      <c r="A1979" s="1">
        <v>46</v>
      </c>
      <c r="B1979" t="s">
        <v>26</v>
      </c>
      <c r="C1979">
        <v>619</v>
      </c>
      <c r="D1979">
        <v>1</v>
      </c>
      <c r="E1979" t="s">
        <v>79</v>
      </c>
      <c r="F1979" t="s">
        <v>28</v>
      </c>
      <c r="G1979" t="str">
        <f>"2025-11-12 20:16:10.228"</f>
        <v>2025-11-12 20:16:10.228</v>
      </c>
      <c r="H1979" t="s">
        <v>80</v>
      </c>
    </row>
    <row r="1980" spans="1:10" x14ac:dyDescent="0.25">
      <c r="A1980" s="1">
        <v>47</v>
      </c>
      <c r="B1980" t="s">
        <v>29</v>
      </c>
      <c r="C1980">
        <v>619</v>
      </c>
      <c r="D1980">
        <v>1</v>
      </c>
      <c r="E1980" t="s">
        <v>79</v>
      </c>
      <c r="F1980" t="s">
        <v>28</v>
      </c>
      <c r="G1980" t="str">
        <f>"2025-11-12 20:16:04.576"</f>
        <v>2025-11-12 20:16:04.576</v>
      </c>
      <c r="H1980" t="s">
        <v>80</v>
      </c>
      <c r="I1980">
        <v>0</v>
      </c>
      <c r="J1980" t="s">
        <v>38</v>
      </c>
    </row>
    <row r="1981" spans="1:10" x14ac:dyDescent="0.25">
      <c r="A1981" s="1">
        <v>48</v>
      </c>
      <c r="B1981" t="s">
        <v>19</v>
      </c>
      <c r="C1981">
        <v>700</v>
      </c>
      <c r="D1981">
        <v>0</v>
      </c>
      <c r="E1981" t="s">
        <v>24</v>
      </c>
      <c r="F1981" t="s">
        <v>24</v>
      </c>
      <c r="G1981" t="str">
        <f>"2025-11-12 15:12:26.638"</f>
        <v>2025-11-12 15:12:26.638</v>
      </c>
      <c r="H1981" t="s">
        <v>22</v>
      </c>
    </row>
    <row r="1982" spans="1:10" x14ac:dyDescent="0.25">
      <c r="A1982" s="1">
        <v>49</v>
      </c>
      <c r="B1982" t="s">
        <v>26</v>
      </c>
      <c r="C1982">
        <v>619</v>
      </c>
      <c r="D1982">
        <v>1</v>
      </c>
      <c r="E1982" t="s">
        <v>79</v>
      </c>
      <c r="F1982" t="s">
        <v>28</v>
      </c>
      <c r="G1982" t="str">
        <f>"2025-11-12 15:10:00.848"</f>
        <v>2025-11-12 15:10:00.848</v>
      </c>
      <c r="H1982" t="s">
        <v>80</v>
      </c>
    </row>
    <row r="1983" spans="1:10" x14ac:dyDescent="0.25">
      <c r="A1983" s="1">
        <v>50</v>
      </c>
      <c r="B1983" t="s">
        <v>29</v>
      </c>
      <c r="C1983">
        <v>619</v>
      </c>
      <c r="D1983">
        <v>1</v>
      </c>
      <c r="E1983" t="s">
        <v>79</v>
      </c>
      <c r="F1983" t="s">
        <v>28</v>
      </c>
      <c r="G1983" t="str">
        <f>"2025-11-12 15:09:09.348"</f>
        <v>2025-11-12 15:09:09.348</v>
      </c>
      <c r="H1983" t="s">
        <v>80</v>
      </c>
      <c r="I1983">
        <v>0</v>
      </c>
      <c r="J1983" t="s">
        <v>38</v>
      </c>
    </row>
    <row r="1984" spans="1:10" x14ac:dyDescent="0.25">
      <c r="A1984" s="1">
        <v>51</v>
      </c>
      <c r="B1984" t="s">
        <v>19</v>
      </c>
      <c r="C1984">
        <v>700</v>
      </c>
      <c r="D1984">
        <v>0</v>
      </c>
      <c r="E1984" t="s">
        <v>24</v>
      </c>
      <c r="F1984" t="s">
        <v>24</v>
      </c>
      <c r="G1984" t="str">
        <f>"2025-11-12 13:13:19.770"</f>
        <v>2025-11-12 13:13:19.770</v>
      </c>
      <c r="H1984" t="s">
        <v>22</v>
      </c>
    </row>
    <row r="1985" spans="1:10" x14ac:dyDescent="0.25">
      <c r="A1985" s="1">
        <v>52</v>
      </c>
      <c r="B1985" t="s">
        <v>26</v>
      </c>
      <c r="C1985">
        <v>619</v>
      </c>
      <c r="D1985">
        <v>1</v>
      </c>
      <c r="E1985" t="s">
        <v>79</v>
      </c>
      <c r="F1985" t="s">
        <v>28</v>
      </c>
      <c r="G1985" t="str">
        <f>"2025-11-12 00:19:48.276"</f>
        <v>2025-11-12 00:19:48.276</v>
      </c>
      <c r="H1985" t="s">
        <v>80</v>
      </c>
    </row>
    <row r="1986" spans="1:10" x14ac:dyDescent="0.25">
      <c r="A1986" s="1">
        <v>53</v>
      </c>
      <c r="B1986" t="s">
        <v>29</v>
      </c>
      <c r="C1986">
        <v>619</v>
      </c>
      <c r="D1986">
        <v>1</v>
      </c>
      <c r="E1986" t="s">
        <v>79</v>
      </c>
      <c r="F1986" t="s">
        <v>28</v>
      </c>
      <c r="G1986" t="str">
        <f>"2025-11-12 00:19:23.976"</f>
        <v>2025-11-12 00:19:23.976</v>
      </c>
      <c r="H1986" t="s">
        <v>80</v>
      </c>
      <c r="I1986">
        <v>0</v>
      </c>
      <c r="J1986" t="s">
        <v>38</v>
      </c>
    </row>
    <row r="1987" spans="1:10" x14ac:dyDescent="0.25">
      <c r="A1987" s="1">
        <v>54</v>
      </c>
      <c r="B1987" t="s">
        <v>26</v>
      </c>
      <c r="C1987">
        <v>619</v>
      </c>
      <c r="D1987">
        <v>1</v>
      </c>
      <c r="E1987" t="s">
        <v>79</v>
      </c>
      <c r="F1987" t="s">
        <v>28</v>
      </c>
      <c r="G1987" t="str">
        <f>"2025-11-12 00:19:10.829"</f>
        <v>2025-11-12 00:19:10.829</v>
      </c>
      <c r="H1987" t="s">
        <v>80</v>
      </c>
    </row>
    <row r="1988" spans="1:10" x14ac:dyDescent="0.25">
      <c r="A1988" s="1">
        <v>55</v>
      </c>
      <c r="B1988" t="s">
        <v>29</v>
      </c>
      <c r="C1988">
        <v>619</v>
      </c>
      <c r="D1988">
        <v>1</v>
      </c>
      <c r="E1988" t="s">
        <v>79</v>
      </c>
      <c r="F1988" t="s">
        <v>28</v>
      </c>
      <c r="G1988" t="str">
        <f>"2025-11-12 00:18:57.976"</f>
        <v>2025-11-12 00:18:57.976</v>
      </c>
      <c r="H1988" t="s">
        <v>80</v>
      </c>
      <c r="I1988">
        <v>0</v>
      </c>
      <c r="J1988" t="s">
        <v>38</v>
      </c>
    </row>
    <row r="1989" spans="1:10" x14ac:dyDescent="0.25">
      <c r="A1989" s="1">
        <v>56</v>
      </c>
      <c r="B1989" t="s">
        <v>19</v>
      </c>
      <c r="C1989">
        <v>700</v>
      </c>
      <c r="D1989">
        <v>0</v>
      </c>
      <c r="E1989" t="s">
        <v>24</v>
      </c>
      <c r="F1989" t="s">
        <v>24</v>
      </c>
      <c r="G1989" t="str">
        <f>"2025-11-11 12:00:33.657"</f>
        <v>2025-11-11 12:00:33.657</v>
      </c>
      <c r="H1989" t="s">
        <v>22</v>
      </c>
      <c r="I1989">
        <v>0</v>
      </c>
      <c r="J1989" t="s">
        <v>25</v>
      </c>
    </row>
    <row r="1990" spans="1:10" x14ac:dyDescent="0.25">
      <c r="A1990" s="1">
        <v>57</v>
      </c>
      <c r="B1990" t="s">
        <v>26</v>
      </c>
      <c r="C1990">
        <v>619</v>
      </c>
      <c r="D1990">
        <v>1</v>
      </c>
      <c r="E1990" t="s">
        <v>79</v>
      </c>
      <c r="F1990" t="s">
        <v>28</v>
      </c>
      <c r="G1990" t="str">
        <f>"2025-11-11 11:57:45.247"</f>
        <v>2025-11-11 11:57:45.247</v>
      </c>
      <c r="H1990" t="s">
        <v>80</v>
      </c>
    </row>
    <row r="1991" spans="1:10" x14ac:dyDescent="0.25">
      <c r="A1991" s="1">
        <v>58</v>
      </c>
      <c r="B1991" t="s">
        <v>29</v>
      </c>
      <c r="C1991">
        <v>619</v>
      </c>
      <c r="D1991">
        <v>1</v>
      </c>
      <c r="E1991" t="s">
        <v>79</v>
      </c>
      <c r="F1991" t="s">
        <v>28</v>
      </c>
      <c r="G1991" t="str">
        <f>"2025-11-11 11:57:37.548"</f>
        <v>2025-11-11 11:57:37.548</v>
      </c>
      <c r="H1991" t="s">
        <v>80</v>
      </c>
      <c r="I1991">
        <v>0</v>
      </c>
      <c r="J1991" t="s">
        <v>38</v>
      </c>
    </row>
    <row r="1992" spans="1:10" x14ac:dyDescent="0.25">
      <c r="A1992" s="1">
        <v>59</v>
      </c>
      <c r="B1992" t="s">
        <v>19</v>
      </c>
      <c r="C1992">
        <v>700</v>
      </c>
      <c r="D1992">
        <v>0</v>
      </c>
      <c r="E1992" t="s">
        <v>24</v>
      </c>
      <c r="F1992" t="s">
        <v>24</v>
      </c>
      <c r="G1992" t="str">
        <f>"2025-11-11 03:08:13.589"</f>
        <v>2025-11-11 03:08:13.589</v>
      </c>
      <c r="H1992" t="s">
        <v>22</v>
      </c>
    </row>
    <row r="1993" spans="1:10" x14ac:dyDescent="0.25">
      <c r="A1993" s="1">
        <v>60</v>
      </c>
      <c r="B1993" t="s">
        <v>19</v>
      </c>
      <c r="C1993">
        <v>700</v>
      </c>
      <c r="D1993">
        <v>0</v>
      </c>
      <c r="E1993" t="s">
        <v>24</v>
      </c>
      <c r="F1993" t="s">
        <v>24</v>
      </c>
      <c r="G1993" t="str">
        <f>"2025-11-11 03:05:08.593"</f>
        <v>2025-11-11 03:05:08.593</v>
      </c>
      <c r="H1993" t="s">
        <v>22</v>
      </c>
    </row>
    <row r="1994" spans="1:10" x14ac:dyDescent="0.25">
      <c r="A1994" s="1">
        <v>61</v>
      </c>
      <c r="B1994" t="s">
        <v>19</v>
      </c>
      <c r="C1994">
        <v>700</v>
      </c>
      <c r="D1994">
        <v>0</v>
      </c>
      <c r="E1994" t="s">
        <v>24</v>
      </c>
      <c r="F1994" t="s">
        <v>24</v>
      </c>
      <c r="G1994" t="str">
        <f>"2025-11-11 02:12:22.762"</f>
        <v>2025-11-11 02:12:22.762</v>
      </c>
      <c r="H1994" t="s">
        <v>22</v>
      </c>
    </row>
    <row r="1995" spans="1:10" x14ac:dyDescent="0.25">
      <c r="A1995" s="1">
        <v>62</v>
      </c>
      <c r="B1995" t="s">
        <v>26</v>
      </c>
      <c r="C1995">
        <v>635</v>
      </c>
      <c r="D1995">
        <v>1</v>
      </c>
      <c r="E1995" t="s">
        <v>27</v>
      </c>
      <c r="F1995" t="s">
        <v>28</v>
      </c>
      <c r="G1995" t="str">
        <f>"2025-11-10 23:03:22.270"</f>
        <v>2025-11-10 23:03:22.270</v>
      </c>
      <c r="H1995" t="s">
        <v>22</v>
      </c>
    </row>
    <row r="1996" spans="1:10" x14ac:dyDescent="0.25">
      <c r="A1996" s="1">
        <v>63</v>
      </c>
      <c r="B1996" t="s">
        <v>29</v>
      </c>
      <c r="C1996">
        <v>635</v>
      </c>
      <c r="D1996">
        <v>1</v>
      </c>
      <c r="E1996" t="s">
        <v>27</v>
      </c>
      <c r="F1996" t="s">
        <v>28</v>
      </c>
      <c r="G1996" t="str">
        <f>"2025-11-10 23:00:31.270"</f>
        <v>2025-11-10 23:00:31.270</v>
      </c>
      <c r="H1996" t="s">
        <v>22</v>
      </c>
      <c r="I1996">
        <v>4.16</v>
      </c>
      <c r="J1996" t="s">
        <v>38</v>
      </c>
    </row>
    <row r="1997" spans="1:10" x14ac:dyDescent="0.25">
      <c r="A1997" s="1">
        <v>64</v>
      </c>
      <c r="B1997" t="s">
        <v>26</v>
      </c>
      <c r="C1997">
        <v>635</v>
      </c>
      <c r="D1997">
        <v>1</v>
      </c>
      <c r="E1997" t="s">
        <v>27</v>
      </c>
      <c r="F1997" t="s">
        <v>28</v>
      </c>
      <c r="G1997" t="str">
        <f>"2025-11-10 15:32:20.470"</f>
        <v>2025-11-10 15:32:20.470</v>
      </c>
      <c r="H1997" t="s">
        <v>22</v>
      </c>
    </row>
    <row r="1998" spans="1:10" x14ac:dyDescent="0.25">
      <c r="A1998" s="1">
        <v>65</v>
      </c>
      <c r="B1998" t="s">
        <v>29</v>
      </c>
      <c r="C1998">
        <v>635</v>
      </c>
      <c r="D1998">
        <v>1</v>
      </c>
      <c r="E1998" t="s">
        <v>27</v>
      </c>
      <c r="F1998" t="s">
        <v>28</v>
      </c>
      <c r="G1998" t="str">
        <f>"2025-11-10 15:29:38.470"</f>
        <v>2025-11-10 15:29:38.470</v>
      </c>
      <c r="H1998" t="s">
        <v>22</v>
      </c>
      <c r="I1998">
        <v>4.51</v>
      </c>
      <c r="J1998" t="s">
        <v>37</v>
      </c>
    </row>
    <row r="1999" spans="1:10" s="3" customFormat="1" x14ac:dyDescent="0.25">
      <c r="A1999" s="2">
        <v>66</v>
      </c>
      <c r="B1999" s="3" t="s">
        <v>26</v>
      </c>
      <c r="C1999" s="3">
        <v>647</v>
      </c>
      <c r="D1999" s="3">
        <v>1</v>
      </c>
      <c r="E1999" s="3" t="s">
        <v>35</v>
      </c>
      <c r="F1999" s="3" t="s">
        <v>36</v>
      </c>
      <c r="G1999" s="3" t="str">
        <f>"2025-11-08 19:43:50.070"</f>
        <v>2025-11-08 19:43:50.070</v>
      </c>
      <c r="H1999" s="3" t="s">
        <v>22</v>
      </c>
    </row>
    <row r="2000" spans="1:10" s="3" customFormat="1" x14ac:dyDescent="0.25">
      <c r="A2000" s="2">
        <v>67</v>
      </c>
      <c r="B2000" s="3" t="s">
        <v>29</v>
      </c>
      <c r="C2000" s="3">
        <v>647</v>
      </c>
      <c r="D2000" s="3">
        <v>1</v>
      </c>
      <c r="E2000" s="3" t="s">
        <v>35</v>
      </c>
      <c r="F2000" s="3" t="s">
        <v>36</v>
      </c>
      <c r="G2000" s="3" t="str">
        <f>"2025-11-08 19:43:47.971"</f>
        <v>2025-11-08 19:43:47.971</v>
      </c>
      <c r="H2000" s="3" t="s">
        <v>22</v>
      </c>
      <c r="I2000" s="3">
        <v>14.06</v>
      </c>
      <c r="J2000" s="3" t="s">
        <v>37</v>
      </c>
    </row>
    <row r="2001" spans="1:10" x14ac:dyDescent="0.25">
      <c r="A2001" s="1">
        <v>68</v>
      </c>
      <c r="B2001" t="s">
        <v>19</v>
      </c>
      <c r="C2001">
        <v>700</v>
      </c>
      <c r="D2001">
        <v>0</v>
      </c>
      <c r="E2001" t="s">
        <v>24</v>
      </c>
      <c r="F2001" t="s">
        <v>24</v>
      </c>
      <c r="G2001" t="str">
        <f>"2025-11-08 16:41:13.692"</f>
        <v>2025-11-08 16:41:13.692</v>
      </c>
      <c r="H2001" t="s">
        <v>22</v>
      </c>
    </row>
    <row r="2002" spans="1:10" x14ac:dyDescent="0.25">
      <c r="A2002" s="1">
        <v>69</v>
      </c>
      <c r="B2002" t="s">
        <v>26</v>
      </c>
      <c r="C2002">
        <v>630</v>
      </c>
      <c r="D2002">
        <v>5</v>
      </c>
      <c r="E2002" t="s">
        <v>39</v>
      </c>
      <c r="F2002" t="s">
        <v>40</v>
      </c>
      <c r="G2002" t="str">
        <f>"2025-11-08 16:29:54.793"</f>
        <v>2025-11-08 16:29:54.793</v>
      </c>
      <c r="H2002" t="s">
        <v>41</v>
      </c>
    </row>
    <row r="2003" spans="1:10" x14ac:dyDescent="0.25">
      <c r="A2003" s="1">
        <v>70</v>
      </c>
      <c r="B2003" t="s">
        <v>19</v>
      </c>
      <c r="C2003">
        <v>706</v>
      </c>
      <c r="D2003">
        <v>4</v>
      </c>
      <c r="E2003" t="s">
        <v>20</v>
      </c>
      <c r="F2003" t="s">
        <v>21</v>
      </c>
      <c r="G2003" t="str">
        <f>"2025-11-08 16:29:24.711"</f>
        <v>2025-11-08 16:29:24.711</v>
      </c>
      <c r="H2003" t="s">
        <v>22</v>
      </c>
      <c r="I2003">
        <v>0</v>
      </c>
      <c r="J2003" t="s">
        <v>23</v>
      </c>
    </row>
    <row r="2004" spans="1:10" x14ac:dyDescent="0.25">
      <c r="A2004" s="1">
        <v>71</v>
      </c>
      <c r="B2004" t="s">
        <v>34</v>
      </c>
      <c r="C2004">
        <v>630</v>
      </c>
      <c r="D2004">
        <v>5</v>
      </c>
      <c r="E2004" t="s">
        <v>39</v>
      </c>
      <c r="F2004" t="s">
        <v>40</v>
      </c>
      <c r="G2004" t="str">
        <f>"2025-11-08 16:05:28.393"</f>
        <v>2025-11-08 16:05:28.393</v>
      </c>
      <c r="H2004" t="s">
        <v>41</v>
      </c>
      <c r="I2004">
        <v>0</v>
      </c>
      <c r="J2004" t="s">
        <v>23</v>
      </c>
    </row>
    <row r="2005" spans="1:10" x14ac:dyDescent="0.25">
      <c r="A2005" s="1">
        <v>72</v>
      </c>
      <c r="B2005" t="s">
        <v>26</v>
      </c>
      <c r="C2005">
        <v>49</v>
      </c>
      <c r="D2005">
        <v>1</v>
      </c>
      <c r="E2005" t="s">
        <v>73</v>
      </c>
      <c r="F2005" t="s">
        <v>74</v>
      </c>
      <c r="G2005" t="str">
        <f>"2025-11-08 16:01:08.092"</f>
        <v>2025-11-08 16:01:08.092</v>
      </c>
      <c r="H2005" t="s">
        <v>75</v>
      </c>
    </row>
    <row r="2006" spans="1:10" x14ac:dyDescent="0.25">
      <c r="A2006" s="1">
        <v>74</v>
      </c>
      <c r="B2006" t="s">
        <v>19</v>
      </c>
      <c r="C2006">
        <v>700</v>
      </c>
      <c r="D2006">
        <v>0</v>
      </c>
      <c r="E2006" t="s">
        <v>24</v>
      </c>
      <c r="F2006" t="s">
        <v>24</v>
      </c>
      <c r="G2006" t="str">
        <f>"2025-11-08 16:00:25.611"</f>
        <v>2025-11-08 16:00:25.611</v>
      </c>
      <c r="H2006" t="s">
        <v>22</v>
      </c>
    </row>
    <row r="2007" spans="1:10" x14ac:dyDescent="0.25">
      <c r="A2007" s="1">
        <v>75</v>
      </c>
      <c r="B2007" t="s">
        <v>29</v>
      </c>
      <c r="C2007">
        <v>49</v>
      </c>
      <c r="D2007">
        <v>1</v>
      </c>
      <c r="E2007" t="s">
        <v>73</v>
      </c>
      <c r="F2007" t="s">
        <v>74</v>
      </c>
      <c r="G2007" t="str">
        <f>"2025-11-08 15:14:18.261"</f>
        <v>2025-11-08 15:14:18.261</v>
      </c>
      <c r="H2007" t="s">
        <v>75</v>
      </c>
      <c r="I2007">
        <v>0</v>
      </c>
      <c r="J2007" t="s">
        <v>23</v>
      </c>
    </row>
    <row r="2008" spans="1:10" x14ac:dyDescent="0.25">
      <c r="A2008" s="1">
        <v>77</v>
      </c>
      <c r="B2008" t="s">
        <v>34</v>
      </c>
      <c r="C2008">
        <v>630</v>
      </c>
      <c r="D2008">
        <v>5</v>
      </c>
      <c r="E2008" t="s">
        <v>39</v>
      </c>
      <c r="F2008" t="s">
        <v>40</v>
      </c>
      <c r="G2008" t="str">
        <f>"2025-11-08 15:10:59.362"</f>
        <v>2025-11-08 15:10:59.362</v>
      </c>
      <c r="H2008" t="s">
        <v>41</v>
      </c>
      <c r="I2008">
        <v>0</v>
      </c>
      <c r="J2008" t="s">
        <v>23</v>
      </c>
    </row>
    <row r="2009" spans="1:10" x14ac:dyDescent="0.25">
      <c r="A2009" s="1">
        <v>79</v>
      </c>
      <c r="B2009" t="s">
        <v>19</v>
      </c>
      <c r="C2009">
        <v>700</v>
      </c>
      <c r="D2009">
        <v>0</v>
      </c>
      <c r="E2009" t="s">
        <v>24</v>
      </c>
      <c r="F2009" t="s">
        <v>24</v>
      </c>
      <c r="G2009" t="str">
        <f>"2025-11-08 15:05:56.640"</f>
        <v>2025-11-08 15:05:56.640</v>
      </c>
      <c r="H2009" t="s">
        <v>22</v>
      </c>
      <c r="I2009">
        <v>0</v>
      </c>
      <c r="J2009" t="s">
        <v>25</v>
      </c>
    </row>
    <row r="2010" spans="1:10" x14ac:dyDescent="0.25">
      <c r="A2010" s="1">
        <v>81</v>
      </c>
      <c r="B2010" t="s">
        <v>34</v>
      </c>
      <c r="C2010">
        <v>47</v>
      </c>
      <c r="D2010">
        <v>2</v>
      </c>
      <c r="E2010" t="s">
        <v>83</v>
      </c>
      <c r="F2010" t="s">
        <v>84</v>
      </c>
      <c r="G2010" t="str">
        <f>"2025-11-08 14:57:29.220"</f>
        <v>2025-11-08 14:57:29.220</v>
      </c>
      <c r="H2010" t="s">
        <v>47</v>
      </c>
      <c r="I2010">
        <v>0</v>
      </c>
      <c r="J2010" t="s">
        <v>38</v>
      </c>
    </row>
    <row r="2011" spans="1:10" x14ac:dyDescent="0.25">
      <c r="A2011" s="1">
        <v>82</v>
      </c>
      <c r="B2011" t="s">
        <v>26</v>
      </c>
      <c r="C2011">
        <v>630</v>
      </c>
      <c r="D2011">
        <v>5</v>
      </c>
      <c r="E2011" t="s">
        <v>39</v>
      </c>
      <c r="F2011" t="s">
        <v>40</v>
      </c>
      <c r="G2011" t="str">
        <f>"2025-11-07 03:59:15.521"</f>
        <v>2025-11-07 03:59:15.521</v>
      </c>
      <c r="H2011" t="s">
        <v>41</v>
      </c>
    </row>
    <row r="2012" spans="1:10" x14ac:dyDescent="0.25">
      <c r="A2012" s="1">
        <v>83</v>
      </c>
      <c r="B2012" t="s">
        <v>31</v>
      </c>
      <c r="C2012">
        <v>47</v>
      </c>
      <c r="D2012">
        <v>2</v>
      </c>
      <c r="E2012" t="s">
        <v>83</v>
      </c>
      <c r="F2012" t="s">
        <v>84</v>
      </c>
      <c r="G2012" t="str">
        <f>"2025-11-07 03:58:47.720"</f>
        <v>2025-11-07 03:58:47.720</v>
      </c>
      <c r="H2012" t="s">
        <v>47</v>
      </c>
    </row>
    <row r="2013" spans="1:10" x14ac:dyDescent="0.25">
      <c r="A2013" s="1">
        <v>84</v>
      </c>
      <c r="B2013" t="s">
        <v>19</v>
      </c>
      <c r="C2013">
        <v>706</v>
      </c>
      <c r="D2013">
        <v>4</v>
      </c>
      <c r="E2013" t="s">
        <v>20</v>
      </c>
      <c r="F2013" t="s">
        <v>21</v>
      </c>
      <c r="G2013" t="str">
        <f>"2025-11-07 03:58:45.490"</f>
        <v>2025-11-07 03:58:45.490</v>
      </c>
      <c r="H2013" t="s">
        <v>22</v>
      </c>
      <c r="I2013">
        <v>0</v>
      </c>
      <c r="J2013" t="s">
        <v>23</v>
      </c>
    </row>
    <row r="2014" spans="1:10" x14ac:dyDescent="0.25">
      <c r="A2014" s="1">
        <v>85</v>
      </c>
      <c r="B2014" t="s">
        <v>34</v>
      </c>
      <c r="C2014">
        <v>630</v>
      </c>
      <c r="D2014">
        <v>5</v>
      </c>
      <c r="E2014" t="s">
        <v>39</v>
      </c>
      <c r="F2014" t="s">
        <v>40</v>
      </c>
      <c r="G2014" t="str">
        <f>"2025-11-07 03:57:29.221"</f>
        <v>2025-11-07 03:57:29.221</v>
      </c>
      <c r="H2014" t="s">
        <v>41</v>
      </c>
      <c r="I2014">
        <v>0</v>
      </c>
      <c r="J2014" t="s">
        <v>23</v>
      </c>
    </row>
    <row r="2015" spans="1:10" x14ac:dyDescent="0.25">
      <c r="A2015" s="1">
        <v>86</v>
      </c>
      <c r="B2015" t="s">
        <v>34</v>
      </c>
      <c r="C2015">
        <v>47</v>
      </c>
      <c r="D2015">
        <v>2</v>
      </c>
      <c r="E2015" t="s">
        <v>83</v>
      </c>
      <c r="F2015" t="s">
        <v>84</v>
      </c>
      <c r="G2015" t="str">
        <f>"2025-11-07 03:52:26.220"</f>
        <v>2025-11-07 03:52:26.220</v>
      </c>
      <c r="H2015" t="s">
        <v>47</v>
      </c>
      <c r="I2015">
        <v>0</v>
      </c>
      <c r="J2015" t="s">
        <v>38</v>
      </c>
    </row>
    <row r="2016" spans="1:10" x14ac:dyDescent="0.25">
      <c r="A2016" s="1">
        <v>88</v>
      </c>
      <c r="B2016" t="s">
        <v>19</v>
      </c>
      <c r="C2016">
        <v>700</v>
      </c>
      <c r="D2016">
        <v>0</v>
      </c>
      <c r="E2016" t="s">
        <v>24</v>
      </c>
      <c r="F2016" t="s">
        <v>24</v>
      </c>
      <c r="G2016" t="str">
        <f>"2025-11-06 21:13:49.630"</f>
        <v>2025-11-06 21:13:49.630</v>
      </c>
      <c r="H2016" t="s">
        <v>22</v>
      </c>
      <c r="I2016">
        <v>0</v>
      </c>
      <c r="J2016" t="s">
        <v>25</v>
      </c>
    </row>
    <row r="2017" spans="1:10" x14ac:dyDescent="0.25">
      <c r="A2017" s="1">
        <v>91</v>
      </c>
      <c r="B2017" t="s">
        <v>19</v>
      </c>
      <c r="C2017">
        <v>700</v>
      </c>
      <c r="D2017">
        <v>0</v>
      </c>
      <c r="E2017" t="s">
        <v>24</v>
      </c>
      <c r="F2017" t="s">
        <v>24</v>
      </c>
      <c r="G2017" t="str">
        <f>"2025-11-06 15:07:52.598"</f>
        <v>2025-11-06 15:07:52.598</v>
      </c>
      <c r="H2017" t="s">
        <v>22</v>
      </c>
    </row>
    <row r="2018" spans="1:10" x14ac:dyDescent="0.25">
      <c r="A2018" s="1">
        <v>96</v>
      </c>
      <c r="B2018" t="s">
        <v>19</v>
      </c>
      <c r="C2018">
        <v>700</v>
      </c>
      <c r="D2018">
        <v>0</v>
      </c>
      <c r="E2018" t="s">
        <v>24</v>
      </c>
      <c r="F2018" t="s">
        <v>24</v>
      </c>
      <c r="G2018" t="str">
        <f>"2025-11-06 14:56:44.654"</f>
        <v>2025-11-06 14:56:44.654</v>
      </c>
      <c r="H2018" t="s">
        <v>22</v>
      </c>
      <c r="I2018">
        <v>0</v>
      </c>
      <c r="J2018" t="s">
        <v>25</v>
      </c>
    </row>
    <row r="2019" spans="1:10" x14ac:dyDescent="0.25">
      <c r="A2019" s="1">
        <v>98</v>
      </c>
      <c r="B2019" t="s">
        <v>26</v>
      </c>
      <c r="C2019">
        <v>630</v>
      </c>
      <c r="D2019">
        <v>5</v>
      </c>
      <c r="E2019" t="s">
        <v>39</v>
      </c>
      <c r="F2019" t="s">
        <v>40</v>
      </c>
      <c r="G2019" t="str">
        <f>"2025-11-06 10:50:02.034"</f>
        <v>2025-11-06 10:50:02.034</v>
      </c>
      <c r="H2019" t="s">
        <v>41</v>
      </c>
    </row>
    <row r="2020" spans="1:10" x14ac:dyDescent="0.25">
      <c r="A2020" s="1">
        <v>99</v>
      </c>
      <c r="B2020" t="s">
        <v>19</v>
      </c>
      <c r="C2020">
        <v>706</v>
      </c>
      <c r="D2020">
        <v>2</v>
      </c>
      <c r="E2020" t="s">
        <v>20</v>
      </c>
      <c r="F2020" t="s">
        <v>54</v>
      </c>
      <c r="G2020" t="str">
        <f>"2025-11-06 10:49:31.792"</f>
        <v>2025-11-06 10:49:31.792</v>
      </c>
      <c r="H2020" t="s">
        <v>22</v>
      </c>
      <c r="I2020">
        <v>0</v>
      </c>
      <c r="J2020" t="s">
        <v>23</v>
      </c>
    </row>
    <row r="2021" spans="1:10" x14ac:dyDescent="0.25">
      <c r="A2021" s="1">
        <v>100</v>
      </c>
      <c r="B2021" t="s">
        <v>34</v>
      </c>
      <c r="C2021">
        <v>630</v>
      </c>
      <c r="D2021">
        <v>5</v>
      </c>
      <c r="E2021" t="s">
        <v>39</v>
      </c>
      <c r="F2021" t="s">
        <v>40</v>
      </c>
      <c r="G2021" t="str">
        <f>"2025-11-06 10:49:22.634"</f>
        <v>2025-11-06 10:49:22.634</v>
      </c>
      <c r="H2021" t="s">
        <v>41</v>
      </c>
      <c r="I2021">
        <v>0</v>
      </c>
      <c r="J2021" t="s">
        <v>23</v>
      </c>
    </row>
    <row r="2022" spans="1:10" x14ac:dyDescent="0.25">
      <c r="A2022" s="1">
        <v>102</v>
      </c>
      <c r="B2022" t="s">
        <v>19</v>
      </c>
      <c r="C2022">
        <v>706</v>
      </c>
      <c r="D2022">
        <v>3</v>
      </c>
      <c r="E2022" t="s">
        <v>20</v>
      </c>
      <c r="F2022" t="s">
        <v>48</v>
      </c>
      <c r="G2022" t="str">
        <f>"2025-11-06 10:44:22.102"</f>
        <v>2025-11-06 10:44:22.102</v>
      </c>
      <c r="H2022" t="s">
        <v>22</v>
      </c>
      <c r="I2022">
        <v>0</v>
      </c>
      <c r="J2022" t="s">
        <v>93</v>
      </c>
    </row>
    <row r="2023" spans="1:10" x14ac:dyDescent="0.25">
      <c r="A2023" s="1">
        <v>103</v>
      </c>
      <c r="B2023" t="s">
        <v>19</v>
      </c>
      <c r="C2023">
        <v>700</v>
      </c>
      <c r="D2023">
        <v>0</v>
      </c>
      <c r="E2023" t="s">
        <v>24</v>
      </c>
      <c r="F2023" t="s">
        <v>24</v>
      </c>
      <c r="G2023" t="str">
        <f>"2025-11-06 10:44:07.582"</f>
        <v>2025-11-06 10:44:07.582</v>
      </c>
      <c r="H2023" t="s">
        <v>22</v>
      </c>
    </row>
    <row r="2024" spans="1:10" x14ac:dyDescent="0.25">
      <c r="A2024" s="1">
        <v>105</v>
      </c>
      <c r="B2024" t="s">
        <v>19</v>
      </c>
      <c r="C2024">
        <v>706</v>
      </c>
      <c r="D2024">
        <v>4</v>
      </c>
      <c r="E2024" t="s">
        <v>20</v>
      </c>
      <c r="F2024" t="s">
        <v>21</v>
      </c>
      <c r="G2024" t="str">
        <f>"2025-11-06 10:29:18.872"</f>
        <v>2025-11-06 10:29:18.872</v>
      </c>
      <c r="H2024" t="s">
        <v>22</v>
      </c>
      <c r="I2024">
        <v>0</v>
      </c>
      <c r="J2024" t="s">
        <v>23</v>
      </c>
    </row>
    <row r="2025" spans="1:10" x14ac:dyDescent="0.25">
      <c r="A2025" s="1">
        <v>106</v>
      </c>
      <c r="B2025" t="s">
        <v>19</v>
      </c>
      <c r="C2025">
        <v>706</v>
      </c>
      <c r="D2025">
        <v>4</v>
      </c>
      <c r="E2025" t="s">
        <v>20</v>
      </c>
      <c r="F2025" t="s">
        <v>21</v>
      </c>
      <c r="G2025" t="str">
        <f>"2025-11-06 10:28:52.682"</f>
        <v>2025-11-06 10:28:52.682</v>
      </c>
      <c r="H2025" t="s">
        <v>22</v>
      </c>
      <c r="I2025">
        <v>0</v>
      </c>
      <c r="J2025" t="s">
        <v>23</v>
      </c>
    </row>
    <row r="2026" spans="1:10" x14ac:dyDescent="0.25">
      <c r="A2026" s="1">
        <v>107</v>
      </c>
      <c r="B2026" t="s">
        <v>26</v>
      </c>
      <c r="C2026">
        <v>43</v>
      </c>
      <c r="D2026">
        <v>1</v>
      </c>
      <c r="E2026" t="s">
        <v>70</v>
      </c>
      <c r="F2026" t="s">
        <v>71</v>
      </c>
      <c r="G2026" t="str">
        <f>"2025-11-06 10:28:46.434"</f>
        <v>2025-11-06 10:28:46.434</v>
      </c>
      <c r="H2026" t="s">
        <v>41</v>
      </c>
    </row>
    <row r="2027" spans="1:10" x14ac:dyDescent="0.25">
      <c r="A2027" s="1">
        <v>108</v>
      </c>
      <c r="B2027" t="s">
        <v>19</v>
      </c>
      <c r="C2027">
        <v>700</v>
      </c>
      <c r="D2027">
        <v>0</v>
      </c>
      <c r="E2027" t="s">
        <v>24</v>
      </c>
      <c r="F2027" t="s">
        <v>24</v>
      </c>
      <c r="G2027" t="str">
        <f>"2025-11-06 10:28:33.602"</f>
        <v>2025-11-06 10:28:33.602</v>
      </c>
      <c r="H2027" t="s">
        <v>22</v>
      </c>
      <c r="I2027">
        <v>0</v>
      </c>
      <c r="J2027" t="s">
        <v>25</v>
      </c>
    </row>
    <row r="2028" spans="1:10" x14ac:dyDescent="0.25">
      <c r="A2028" s="1">
        <v>110</v>
      </c>
      <c r="B2028" t="s">
        <v>34</v>
      </c>
      <c r="C2028">
        <v>630</v>
      </c>
      <c r="D2028">
        <v>5</v>
      </c>
      <c r="E2028" t="s">
        <v>39</v>
      </c>
      <c r="F2028" t="s">
        <v>40</v>
      </c>
      <c r="G2028" t="str">
        <f>"2025-11-06 04:52:47.410"</f>
        <v>2025-11-06 04:52:47.410</v>
      </c>
      <c r="H2028" t="s">
        <v>41</v>
      </c>
      <c r="I2028">
        <v>0</v>
      </c>
      <c r="J2028" t="s">
        <v>23</v>
      </c>
    </row>
    <row r="2029" spans="1:10" x14ac:dyDescent="0.25">
      <c r="A2029" s="1">
        <v>112</v>
      </c>
      <c r="B2029" t="s">
        <v>19</v>
      </c>
      <c r="C2029">
        <v>700</v>
      </c>
      <c r="D2029">
        <v>0</v>
      </c>
      <c r="E2029" t="s">
        <v>24</v>
      </c>
      <c r="F2029" t="s">
        <v>24</v>
      </c>
      <c r="G2029" t="str">
        <f>"2025-11-06 04:47:44.621"</f>
        <v>2025-11-06 04:47:44.621</v>
      </c>
      <c r="H2029" t="s">
        <v>22</v>
      </c>
    </row>
    <row r="2030" spans="1:10" x14ac:dyDescent="0.25">
      <c r="A2030" s="1">
        <v>115</v>
      </c>
      <c r="B2030" t="s">
        <v>19</v>
      </c>
      <c r="C2030">
        <v>706</v>
      </c>
      <c r="D2030">
        <v>4</v>
      </c>
      <c r="E2030" t="s">
        <v>20</v>
      </c>
      <c r="F2030" t="s">
        <v>21</v>
      </c>
      <c r="G2030" t="str">
        <f>"2025-11-06 04:25:06.884"</f>
        <v>2025-11-06 04:25:06.884</v>
      </c>
      <c r="H2030" t="s">
        <v>22</v>
      </c>
      <c r="I2030">
        <v>0</v>
      </c>
      <c r="J2030" t="s">
        <v>23</v>
      </c>
    </row>
    <row r="2031" spans="1:10" x14ac:dyDescent="0.25">
      <c r="A2031" s="1">
        <v>116</v>
      </c>
      <c r="B2031" t="s">
        <v>29</v>
      </c>
      <c r="C2031">
        <v>43</v>
      </c>
      <c r="D2031">
        <v>1</v>
      </c>
      <c r="E2031" t="s">
        <v>70</v>
      </c>
      <c r="F2031" t="s">
        <v>71</v>
      </c>
      <c r="G2031" t="str">
        <f>"2025-11-06 04:20:54.275"</f>
        <v>2025-11-06 04:20:54.275</v>
      </c>
      <c r="H2031" t="s">
        <v>41</v>
      </c>
      <c r="I2031">
        <v>0</v>
      </c>
      <c r="J2031" t="s">
        <v>23</v>
      </c>
    </row>
    <row r="2032" spans="1:10" x14ac:dyDescent="0.25">
      <c r="A2032" s="1">
        <v>117</v>
      </c>
      <c r="B2032" t="s">
        <v>34</v>
      </c>
      <c r="C2032">
        <v>630</v>
      </c>
      <c r="D2032">
        <v>5</v>
      </c>
      <c r="E2032" t="s">
        <v>39</v>
      </c>
      <c r="F2032" t="s">
        <v>40</v>
      </c>
      <c r="G2032" t="str">
        <f>"2025-11-06 03:13:05.376"</f>
        <v>2025-11-06 03:13:05.376</v>
      </c>
      <c r="H2032" t="s">
        <v>41</v>
      </c>
      <c r="I2032">
        <v>0</v>
      </c>
      <c r="J2032" t="s">
        <v>23</v>
      </c>
    </row>
    <row r="2033" spans="1:10" x14ac:dyDescent="0.25">
      <c r="A2033" s="1">
        <v>119</v>
      </c>
      <c r="B2033" t="s">
        <v>19</v>
      </c>
      <c r="C2033">
        <v>700</v>
      </c>
      <c r="D2033">
        <v>0</v>
      </c>
      <c r="E2033" t="s">
        <v>24</v>
      </c>
      <c r="F2033" t="s">
        <v>24</v>
      </c>
      <c r="G2033" t="str">
        <f>"2025-11-06 03:08:02.604"</f>
        <v>2025-11-06 03:08:02.604</v>
      </c>
      <c r="H2033" t="s">
        <v>22</v>
      </c>
      <c r="I2033">
        <v>0</v>
      </c>
      <c r="J2033" t="s">
        <v>25</v>
      </c>
    </row>
    <row r="2034" spans="1:10" x14ac:dyDescent="0.25">
      <c r="A2034" s="1">
        <v>121</v>
      </c>
      <c r="B2034" t="s">
        <v>34</v>
      </c>
      <c r="C2034">
        <v>630</v>
      </c>
      <c r="D2034">
        <v>5</v>
      </c>
      <c r="E2034" t="s">
        <v>39</v>
      </c>
      <c r="F2034" t="s">
        <v>40</v>
      </c>
      <c r="G2034" t="str">
        <f>"2025-11-05 22:46:12.385"</f>
        <v>2025-11-05 22:46:12.385</v>
      </c>
      <c r="H2034" t="s">
        <v>41</v>
      </c>
      <c r="I2034">
        <v>0</v>
      </c>
      <c r="J2034" t="s">
        <v>23</v>
      </c>
    </row>
    <row r="2035" spans="1:10" x14ac:dyDescent="0.25">
      <c r="A2035" s="1">
        <v>123</v>
      </c>
      <c r="B2035" t="s">
        <v>19</v>
      </c>
      <c r="C2035">
        <v>700</v>
      </c>
      <c r="D2035">
        <v>0</v>
      </c>
      <c r="E2035" t="s">
        <v>24</v>
      </c>
      <c r="F2035" t="s">
        <v>24</v>
      </c>
      <c r="G2035" t="str">
        <f>"2025-11-05 22:41:09.606"</f>
        <v>2025-11-05 22:41:09.606</v>
      </c>
      <c r="H2035" t="s">
        <v>22</v>
      </c>
    </row>
    <row r="2036" spans="1:10" x14ac:dyDescent="0.25">
      <c r="A2036" s="1">
        <v>125</v>
      </c>
      <c r="B2036" t="s">
        <v>34</v>
      </c>
      <c r="C2036">
        <v>630</v>
      </c>
      <c r="D2036">
        <v>5</v>
      </c>
      <c r="E2036" t="s">
        <v>39</v>
      </c>
      <c r="F2036" t="s">
        <v>40</v>
      </c>
      <c r="G2036" t="str">
        <f>"2025-11-05 21:37:13.390"</f>
        <v>2025-11-05 21:37:13.390</v>
      </c>
      <c r="H2036" t="s">
        <v>41</v>
      </c>
      <c r="I2036">
        <v>0</v>
      </c>
      <c r="J2036" t="s">
        <v>23</v>
      </c>
    </row>
    <row r="2037" spans="1:10" x14ac:dyDescent="0.25">
      <c r="A2037" s="1">
        <v>127</v>
      </c>
      <c r="B2037" t="s">
        <v>19</v>
      </c>
      <c r="C2037">
        <v>700</v>
      </c>
      <c r="D2037">
        <v>0</v>
      </c>
      <c r="E2037" t="s">
        <v>24</v>
      </c>
      <c r="F2037" t="s">
        <v>24</v>
      </c>
      <c r="G2037" t="str">
        <f>"2025-11-05 21:32:10.611"</f>
        <v>2025-11-05 21:32:10.611</v>
      </c>
      <c r="H2037" t="s">
        <v>22</v>
      </c>
    </row>
    <row r="2038" spans="1:10" x14ac:dyDescent="0.25">
      <c r="A2038" s="1">
        <v>129</v>
      </c>
      <c r="B2038" t="s">
        <v>34</v>
      </c>
      <c r="C2038">
        <v>630</v>
      </c>
      <c r="D2038">
        <v>5</v>
      </c>
      <c r="E2038" t="s">
        <v>39</v>
      </c>
      <c r="F2038" t="s">
        <v>40</v>
      </c>
      <c r="G2038" t="str">
        <f>"2025-11-05 06:38:56.404"</f>
        <v>2025-11-05 06:38:56.404</v>
      </c>
      <c r="H2038" t="s">
        <v>41</v>
      </c>
      <c r="I2038">
        <v>0</v>
      </c>
      <c r="J2038" t="s">
        <v>23</v>
      </c>
    </row>
    <row r="2039" spans="1:10" x14ac:dyDescent="0.25">
      <c r="A2039" s="1">
        <v>131</v>
      </c>
      <c r="B2039" t="s">
        <v>19</v>
      </c>
      <c r="C2039">
        <v>700</v>
      </c>
      <c r="D2039">
        <v>0</v>
      </c>
      <c r="E2039" t="s">
        <v>24</v>
      </c>
      <c r="F2039" t="s">
        <v>24</v>
      </c>
      <c r="G2039" t="str">
        <f>"2025-11-05 06:33:53.612"</f>
        <v>2025-11-05 06:33:53.612</v>
      </c>
      <c r="H2039" t="s">
        <v>22</v>
      </c>
    </row>
    <row r="2040" spans="1:10" x14ac:dyDescent="0.25">
      <c r="A2040" s="1">
        <v>133</v>
      </c>
      <c r="B2040" t="s">
        <v>34</v>
      </c>
      <c r="C2040">
        <v>630</v>
      </c>
      <c r="D2040">
        <v>5</v>
      </c>
      <c r="E2040" t="s">
        <v>39</v>
      </c>
      <c r="F2040" t="s">
        <v>40</v>
      </c>
      <c r="G2040" t="str">
        <f>"2025-11-05 02:26:52.381"</f>
        <v>2025-11-05 02:26:52.381</v>
      </c>
      <c r="H2040" t="s">
        <v>41</v>
      </c>
      <c r="I2040">
        <v>0</v>
      </c>
      <c r="J2040" t="s">
        <v>23</v>
      </c>
    </row>
    <row r="2041" spans="1:10" x14ac:dyDescent="0.25">
      <c r="A2041" s="1">
        <v>135</v>
      </c>
      <c r="B2041" t="s">
        <v>19</v>
      </c>
      <c r="C2041">
        <v>700</v>
      </c>
      <c r="D2041">
        <v>0</v>
      </c>
      <c r="E2041" t="s">
        <v>24</v>
      </c>
      <c r="F2041" t="s">
        <v>24</v>
      </c>
      <c r="G2041" t="str">
        <f>"2025-11-05 02:21:49.600"</f>
        <v>2025-11-05 02:21:49.600</v>
      </c>
      <c r="H2041" t="s">
        <v>22</v>
      </c>
      <c r="I2041">
        <v>0</v>
      </c>
      <c r="J2041" t="s">
        <v>25</v>
      </c>
    </row>
    <row r="2042" spans="1:10" x14ac:dyDescent="0.25">
      <c r="A2042" s="1">
        <v>137</v>
      </c>
      <c r="B2042" t="s">
        <v>34</v>
      </c>
      <c r="C2042">
        <v>630</v>
      </c>
      <c r="D2042">
        <v>5</v>
      </c>
      <c r="E2042" t="s">
        <v>39</v>
      </c>
      <c r="F2042" t="s">
        <v>40</v>
      </c>
      <c r="G2042" t="str">
        <f>"2025-11-04 22:44:59.378"</f>
        <v>2025-11-04 22:44:59.378</v>
      </c>
      <c r="H2042" t="s">
        <v>41</v>
      </c>
      <c r="I2042">
        <v>0</v>
      </c>
      <c r="J2042" t="s">
        <v>23</v>
      </c>
    </row>
    <row r="2043" spans="1:10" x14ac:dyDescent="0.25">
      <c r="A2043" s="1">
        <v>138</v>
      </c>
      <c r="B2043" t="s">
        <v>26</v>
      </c>
      <c r="C2043">
        <v>49</v>
      </c>
      <c r="D2043">
        <v>1</v>
      </c>
      <c r="E2043" t="s">
        <v>73</v>
      </c>
      <c r="F2043" t="s">
        <v>74</v>
      </c>
      <c r="G2043" t="str">
        <f>"2025-11-04 22:40:26.290"</f>
        <v>2025-11-04 22:40:26.290</v>
      </c>
      <c r="H2043" t="s">
        <v>75</v>
      </c>
    </row>
    <row r="2044" spans="1:10" x14ac:dyDescent="0.25">
      <c r="A2044" s="1">
        <v>140</v>
      </c>
      <c r="B2044" t="s">
        <v>19</v>
      </c>
      <c r="C2044">
        <v>700</v>
      </c>
      <c r="D2044">
        <v>0</v>
      </c>
      <c r="E2044" t="s">
        <v>24</v>
      </c>
      <c r="F2044" t="s">
        <v>24</v>
      </c>
      <c r="G2044" t="str">
        <f>"2025-11-04 22:39:56.599"</f>
        <v>2025-11-04 22:39:56.599</v>
      </c>
      <c r="H2044" t="s">
        <v>22</v>
      </c>
    </row>
    <row r="2045" spans="1:10" x14ac:dyDescent="0.25">
      <c r="A2045" s="1">
        <v>141</v>
      </c>
      <c r="B2045" t="s">
        <v>19</v>
      </c>
      <c r="C2045">
        <v>700</v>
      </c>
      <c r="D2045">
        <v>0</v>
      </c>
      <c r="E2045" t="s">
        <v>24</v>
      </c>
      <c r="F2045" t="s">
        <v>24</v>
      </c>
      <c r="G2045" t="str">
        <f>"2025-11-04 20:24:03.626"</f>
        <v>2025-11-04 20:24:03.626</v>
      </c>
      <c r="H2045" t="s">
        <v>22</v>
      </c>
    </row>
    <row r="2046" spans="1:10" x14ac:dyDescent="0.25">
      <c r="A2046" s="1">
        <v>142</v>
      </c>
      <c r="B2046" t="s">
        <v>34</v>
      </c>
      <c r="C2046">
        <v>630</v>
      </c>
      <c r="D2046">
        <v>5</v>
      </c>
      <c r="E2046" t="s">
        <v>39</v>
      </c>
      <c r="F2046" t="s">
        <v>40</v>
      </c>
      <c r="G2046" t="str">
        <f>"2025-11-04 17:23:05.377"</f>
        <v>2025-11-04 17:23:05.377</v>
      </c>
      <c r="H2046" t="s">
        <v>41</v>
      </c>
      <c r="I2046">
        <v>0</v>
      </c>
      <c r="J2046" t="s">
        <v>23</v>
      </c>
    </row>
    <row r="2047" spans="1:10" x14ac:dyDescent="0.25">
      <c r="A2047" s="1">
        <v>143</v>
      </c>
      <c r="B2047" t="s">
        <v>29</v>
      </c>
      <c r="C2047">
        <v>49</v>
      </c>
      <c r="D2047">
        <v>1</v>
      </c>
      <c r="E2047" t="s">
        <v>73</v>
      </c>
      <c r="F2047" t="s">
        <v>74</v>
      </c>
      <c r="G2047" t="str">
        <f>"2025-11-04 17:20:51.389"</f>
        <v>2025-11-04 17:20:51.389</v>
      </c>
      <c r="H2047" t="s">
        <v>75</v>
      </c>
      <c r="I2047">
        <v>0</v>
      </c>
      <c r="J2047" t="s">
        <v>23</v>
      </c>
    </row>
    <row r="2048" spans="1:10" x14ac:dyDescent="0.25">
      <c r="A2048" s="1">
        <v>148</v>
      </c>
      <c r="B2048" t="s">
        <v>19</v>
      </c>
      <c r="C2048">
        <v>700</v>
      </c>
      <c r="D2048">
        <v>0</v>
      </c>
      <c r="E2048" t="s">
        <v>24</v>
      </c>
      <c r="F2048" t="s">
        <v>24</v>
      </c>
      <c r="G2048" t="str">
        <f>"2025-11-04 17:18:02.589"</f>
        <v>2025-11-04 17:18:02.589</v>
      </c>
      <c r="H2048" t="s">
        <v>22</v>
      </c>
    </row>
    <row r="2049" spans="1:10" x14ac:dyDescent="0.25">
      <c r="A2049" s="1">
        <v>150</v>
      </c>
      <c r="B2049" t="s">
        <v>19</v>
      </c>
      <c r="C2049">
        <v>700</v>
      </c>
      <c r="D2049">
        <v>0</v>
      </c>
      <c r="E2049" t="s">
        <v>24</v>
      </c>
      <c r="F2049" t="s">
        <v>24</v>
      </c>
      <c r="G2049" t="str">
        <f>"2025-11-04 14:43:31.605"</f>
        <v>2025-11-04 14:43:31.605</v>
      </c>
      <c r="H2049" t="s">
        <v>22</v>
      </c>
      <c r="I2049">
        <v>0</v>
      </c>
      <c r="J2049" t="s">
        <v>25</v>
      </c>
    </row>
    <row r="2050" spans="1:10" x14ac:dyDescent="0.25">
      <c r="A2050" s="1">
        <v>151</v>
      </c>
      <c r="B2050" t="s">
        <v>34</v>
      </c>
      <c r="C2050">
        <v>630</v>
      </c>
      <c r="D2050">
        <v>5</v>
      </c>
      <c r="E2050" t="s">
        <v>39</v>
      </c>
      <c r="F2050" t="s">
        <v>40</v>
      </c>
      <c r="G2050" t="str">
        <f>"2025-11-04 14:39:36.343"</f>
        <v>2025-11-04 14:39:36.343</v>
      </c>
      <c r="H2050" t="s">
        <v>41</v>
      </c>
      <c r="I2050">
        <v>0</v>
      </c>
      <c r="J2050" t="s">
        <v>23</v>
      </c>
    </row>
    <row r="2051" spans="1:10" x14ac:dyDescent="0.25">
      <c r="A2051" s="1">
        <v>153</v>
      </c>
      <c r="B2051" t="s">
        <v>19</v>
      </c>
      <c r="C2051">
        <v>700</v>
      </c>
      <c r="D2051">
        <v>0</v>
      </c>
      <c r="E2051" t="s">
        <v>24</v>
      </c>
      <c r="F2051" t="s">
        <v>24</v>
      </c>
      <c r="G2051" t="str">
        <f>"2025-11-04 14:34:33.605"</f>
        <v>2025-11-04 14:34:33.605</v>
      </c>
      <c r="H2051" t="s">
        <v>22</v>
      </c>
    </row>
    <row r="2052" spans="1:10" x14ac:dyDescent="0.25">
      <c r="A2052" s="1">
        <v>156</v>
      </c>
      <c r="B2052" t="s">
        <v>19</v>
      </c>
      <c r="C2052">
        <v>700</v>
      </c>
      <c r="D2052">
        <v>0</v>
      </c>
      <c r="E2052" t="s">
        <v>24</v>
      </c>
      <c r="F2052" t="s">
        <v>24</v>
      </c>
      <c r="G2052" t="str">
        <f>"2025-11-04 14:08:22.590"</f>
        <v>2025-11-04 14:08:22.590</v>
      </c>
      <c r="H2052" t="s">
        <v>22</v>
      </c>
      <c r="I2052">
        <v>0</v>
      </c>
      <c r="J2052" t="s">
        <v>25</v>
      </c>
    </row>
    <row r="2053" spans="1:10" x14ac:dyDescent="0.25">
      <c r="A2053" s="1">
        <v>159</v>
      </c>
      <c r="B2053" t="s">
        <v>19</v>
      </c>
      <c r="C2053">
        <v>700</v>
      </c>
      <c r="D2053">
        <v>0</v>
      </c>
      <c r="E2053" t="s">
        <v>24</v>
      </c>
      <c r="F2053" t="s">
        <v>24</v>
      </c>
      <c r="G2053" t="str">
        <f>"2025-11-04 14:06:49.592"</f>
        <v>2025-11-04 14:06:49.592</v>
      </c>
      <c r="H2053" t="s">
        <v>22</v>
      </c>
    </row>
    <row r="2054" spans="1:10" x14ac:dyDescent="0.25">
      <c r="A2054" s="1">
        <v>162</v>
      </c>
      <c r="B2054" t="s">
        <v>19</v>
      </c>
      <c r="C2054">
        <v>700</v>
      </c>
      <c r="D2054">
        <v>0</v>
      </c>
      <c r="E2054" t="s">
        <v>24</v>
      </c>
      <c r="F2054" t="s">
        <v>24</v>
      </c>
      <c r="G2054" t="str">
        <f>"2025-11-04 11:05:31.602"</f>
        <v>2025-11-04 11:05:31.602</v>
      </c>
      <c r="H2054" t="s">
        <v>22</v>
      </c>
      <c r="I2054">
        <v>0</v>
      </c>
      <c r="J2054" t="s">
        <v>25</v>
      </c>
    </row>
    <row r="2055" spans="1:10" x14ac:dyDescent="0.25">
      <c r="A2055" s="1">
        <v>165</v>
      </c>
      <c r="B2055" t="s">
        <v>19</v>
      </c>
      <c r="C2055">
        <v>700</v>
      </c>
      <c r="D2055">
        <v>0</v>
      </c>
      <c r="E2055" t="s">
        <v>24</v>
      </c>
      <c r="F2055" t="s">
        <v>24</v>
      </c>
      <c r="G2055" t="str">
        <f>"2025-11-04 09:52:55.602"</f>
        <v>2025-11-04 09:52:55.602</v>
      </c>
      <c r="H2055" t="s">
        <v>22</v>
      </c>
      <c r="I2055">
        <v>0</v>
      </c>
      <c r="J2055" t="s">
        <v>25</v>
      </c>
    </row>
    <row r="2056" spans="1:10" x14ac:dyDescent="0.25">
      <c r="A2056" s="1">
        <v>166</v>
      </c>
      <c r="B2056" t="s">
        <v>19</v>
      </c>
      <c r="C2056">
        <v>700</v>
      </c>
      <c r="D2056">
        <v>0</v>
      </c>
      <c r="E2056" t="s">
        <v>24</v>
      </c>
      <c r="F2056" t="s">
        <v>24</v>
      </c>
      <c r="G2056" t="str">
        <f>"2025-11-04 08:52:08.597"</f>
        <v>2025-11-04 08:52:08.597</v>
      </c>
      <c r="H2056" t="s">
        <v>22</v>
      </c>
    </row>
    <row r="2057" spans="1:10" x14ac:dyDescent="0.25">
      <c r="A2057" s="1">
        <v>168</v>
      </c>
      <c r="B2057" t="s">
        <v>34</v>
      </c>
      <c r="C2057">
        <v>47</v>
      </c>
      <c r="D2057">
        <v>2</v>
      </c>
      <c r="E2057" t="s">
        <v>83</v>
      </c>
      <c r="F2057" t="s">
        <v>84</v>
      </c>
      <c r="G2057" t="str">
        <f>"2025-11-04 08:40:59.072"</f>
        <v>2025-11-04 08:40:59.072</v>
      </c>
      <c r="H2057" t="s">
        <v>47</v>
      </c>
      <c r="I2057">
        <v>0</v>
      </c>
      <c r="J2057" t="s">
        <v>38</v>
      </c>
    </row>
    <row r="2058" spans="1:10" x14ac:dyDescent="0.25">
      <c r="A2058" s="1">
        <v>170</v>
      </c>
      <c r="B2058" t="s">
        <v>19</v>
      </c>
      <c r="C2058">
        <v>700</v>
      </c>
      <c r="D2058">
        <v>0</v>
      </c>
      <c r="E2058" t="s">
        <v>24</v>
      </c>
      <c r="F2058" t="s">
        <v>24</v>
      </c>
      <c r="G2058" t="str">
        <f>"2025-11-04 08:40:00.591"</f>
        <v>2025-11-04 08:40:00.591</v>
      </c>
      <c r="H2058" t="s">
        <v>22</v>
      </c>
    </row>
    <row r="2059" spans="1:10" x14ac:dyDescent="0.25">
      <c r="A2059" s="1">
        <v>173</v>
      </c>
      <c r="B2059" t="s">
        <v>19</v>
      </c>
      <c r="C2059">
        <v>700</v>
      </c>
      <c r="D2059">
        <v>0</v>
      </c>
      <c r="E2059" t="s">
        <v>24</v>
      </c>
      <c r="F2059" t="s">
        <v>24</v>
      </c>
      <c r="G2059" t="str">
        <f>"2025-11-04 08:37:44.628"</f>
        <v>2025-11-04 08:37:44.628</v>
      </c>
      <c r="H2059" t="s">
        <v>22</v>
      </c>
      <c r="I2059">
        <v>0</v>
      </c>
      <c r="J2059" t="s">
        <v>25</v>
      </c>
    </row>
    <row r="2060" spans="1:10" x14ac:dyDescent="0.25">
      <c r="A2060" s="1">
        <v>175</v>
      </c>
      <c r="B2060" t="s">
        <v>34</v>
      </c>
      <c r="C2060">
        <v>47</v>
      </c>
      <c r="D2060">
        <v>2</v>
      </c>
      <c r="E2060" t="s">
        <v>83</v>
      </c>
      <c r="F2060" t="s">
        <v>84</v>
      </c>
      <c r="G2060" t="str">
        <f>"2025-11-04 08:21:31.696"</f>
        <v>2025-11-04 08:21:31.696</v>
      </c>
      <c r="H2060" t="s">
        <v>47</v>
      </c>
      <c r="I2060">
        <v>0</v>
      </c>
      <c r="J2060" t="s">
        <v>38</v>
      </c>
    </row>
    <row r="2061" spans="1:10" x14ac:dyDescent="0.25">
      <c r="A2061" s="1">
        <v>176</v>
      </c>
      <c r="B2061" t="s">
        <v>26</v>
      </c>
      <c r="C2061">
        <v>619</v>
      </c>
      <c r="D2061">
        <v>1</v>
      </c>
      <c r="E2061" t="s">
        <v>79</v>
      </c>
      <c r="F2061" t="s">
        <v>28</v>
      </c>
      <c r="G2061" t="str">
        <f>"2025-11-04 06:30:03.436"</f>
        <v>2025-11-04 06:30:03.436</v>
      </c>
      <c r="H2061" t="s">
        <v>80</v>
      </c>
    </row>
    <row r="2062" spans="1:10" x14ac:dyDescent="0.25">
      <c r="A2062" s="1">
        <v>177</v>
      </c>
      <c r="B2062" t="s">
        <v>29</v>
      </c>
      <c r="C2062">
        <v>619</v>
      </c>
      <c r="D2062">
        <v>1</v>
      </c>
      <c r="E2062" t="s">
        <v>79</v>
      </c>
      <c r="F2062" t="s">
        <v>28</v>
      </c>
      <c r="G2062" t="str">
        <f>"2025-11-04 06:29:41.184"</f>
        <v>2025-11-04 06:29:41.184</v>
      </c>
      <c r="H2062" t="s">
        <v>80</v>
      </c>
      <c r="I2062">
        <v>3.68</v>
      </c>
      <c r="J2062" t="s">
        <v>30</v>
      </c>
    </row>
    <row r="2063" spans="1:10" x14ac:dyDescent="0.25">
      <c r="A2063" s="1">
        <v>180</v>
      </c>
      <c r="B2063" t="s">
        <v>19</v>
      </c>
      <c r="C2063">
        <v>700</v>
      </c>
      <c r="D2063">
        <v>0</v>
      </c>
      <c r="E2063" t="s">
        <v>24</v>
      </c>
      <c r="F2063" t="s">
        <v>24</v>
      </c>
      <c r="G2063" t="str">
        <f>"2025-11-02 11:22:33.597"</f>
        <v>2025-11-02 11:22:33.597</v>
      </c>
      <c r="H2063" t="s">
        <v>22</v>
      </c>
    </row>
    <row r="2064" spans="1:10" x14ac:dyDescent="0.25">
      <c r="A2064" s="1">
        <v>182</v>
      </c>
      <c r="B2064" t="s">
        <v>34</v>
      </c>
      <c r="C2064">
        <v>47</v>
      </c>
      <c r="D2064">
        <v>2</v>
      </c>
      <c r="E2064" t="s">
        <v>83</v>
      </c>
      <c r="F2064" t="s">
        <v>84</v>
      </c>
      <c r="G2064" t="str">
        <f>"2025-11-02 11:11:54.086"</f>
        <v>2025-11-02 11:11:54.086</v>
      </c>
      <c r="H2064" t="s">
        <v>47</v>
      </c>
      <c r="I2064">
        <v>0</v>
      </c>
      <c r="J2064" t="s">
        <v>38</v>
      </c>
    </row>
    <row r="2065" spans="1:10" s="3" customFormat="1" x14ac:dyDescent="0.25">
      <c r="A2065" s="2">
        <v>183</v>
      </c>
      <c r="B2065" s="3" t="s">
        <v>26</v>
      </c>
      <c r="C2065" s="3">
        <v>647</v>
      </c>
      <c r="D2065" s="3">
        <v>1</v>
      </c>
      <c r="E2065" s="3" t="s">
        <v>35</v>
      </c>
      <c r="F2065" s="3" t="s">
        <v>36</v>
      </c>
      <c r="G2065" s="3" t="str">
        <f>"2025-11-01 00:48:06.794"</f>
        <v>2025-11-01 00:48:06.794</v>
      </c>
      <c r="H2065" s="3" t="s">
        <v>22</v>
      </c>
    </row>
    <row r="2066" spans="1:10" s="3" customFormat="1" x14ac:dyDescent="0.25">
      <c r="A2066" s="2">
        <v>184</v>
      </c>
      <c r="B2066" s="3" t="s">
        <v>29</v>
      </c>
      <c r="C2066" s="3">
        <v>647</v>
      </c>
      <c r="D2066" s="3">
        <v>1</v>
      </c>
      <c r="E2066" s="3" t="s">
        <v>35</v>
      </c>
      <c r="F2066" s="3" t="s">
        <v>36</v>
      </c>
      <c r="G2066" s="3" t="str">
        <f>"2025-11-01 00:48:03.894"</f>
        <v>2025-11-01 00:48:03.894</v>
      </c>
      <c r="H2066" s="3" t="s">
        <v>22</v>
      </c>
      <c r="I2066" s="3">
        <v>11.19</v>
      </c>
      <c r="J2066" s="3" t="s">
        <v>37</v>
      </c>
    </row>
    <row r="2067" spans="1:10" s="3" customFormat="1" x14ac:dyDescent="0.25">
      <c r="A2067" s="2">
        <v>185</v>
      </c>
      <c r="B2067" s="3" t="s">
        <v>26</v>
      </c>
      <c r="C2067" s="3">
        <v>647</v>
      </c>
      <c r="D2067" s="3">
        <v>1</v>
      </c>
      <c r="E2067" s="3" t="s">
        <v>35</v>
      </c>
      <c r="F2067" s="3" t="s">
        <v>36</v>
      </c>
      <c r="G2067" s="3" t="str">
        <f>"2025-10-31 20:59:52.594"</f>
        <v>2025-10-31 20:59:52.594</v>
      </c>
      <c r="H2067" s="3" t="s">
        <v>22</v>
      </c>
    </row>
    <row r="2068" spans="1:10" s="3" customFormat="1" x14ac:dyDescent="0.25">
      <c r="A2068" s="2">
        <v>186</v>
      </c>
      <c r="B2068" s="3" t="s">
        <v>29</v>
      </c>
      <c r="C2068" s="3">
        <v>647</v>
      </c>
      <c r="D2068" s="3">
        <v>1</v>
      </c>
      <c r="E2068" s="3" t="s">
        <v>35</v>
      </c>
      <c r="F2068" s="3" t="s">
        <v>36</v>
      </c>
      <c r="G2068" s="3" t="str">
        <f>"2025-10-31 20:59:46.695"</f>
        <v>2025-10-31 20:59:46.695</v>
      </c>
      <c r="H2068" s="3" t="s">
        <v>22</v>
      </c>
      <c r="I2068" s="3">
        <v>10.79</v>
      </c>
      <c r="J2068" s="3" t="s">
        <v>37</v>
      </c>
    </row>
    <row r="2069" spans="1:10" x14ac:dyDescent="0.25">
      <c r="A2069" s="1">
        <v>188</v>
      </c>
      <c r="B2069" t="s">
        <v>19</v>
      </c>
      <c r="C2069">
        <v>700</v>
      </c>
      <c r="D2069">
        <v>0</v>
      </c>
      <c r="E2069" t="s">
        <v>24</v>
      </c>
      <c r="F2069" t="s">
        <v>24</v>
      </c>
      <c r="G2069" t="str">
        <f>"2025-10-31 15:58:07.636"</f>
        <v>2025-10-31 15:58:07.636</v>
      </c>
      <c r="H2069" t="s">
        <v>22</v>
      </c>
      <c r="I2069">
        <v>0</v>
      </c>
      <c r="J2069" t="s">
        <v>25</v>
      </c>
    </row>
    <row r="2070" spans="1:10" x14ac:dyDescent="0.25">
      <c r="A2070" s="1">
        <v>190</v>
      </c>
      <c r="B2070" t="s">
        <v>26</v>
      </c>
      <c r="C2070">
        <v>635</v>
      </c>
      <c r="D2070">
        <v>1</v>
      </c>
      <c r="E2070" t="s">
        <v>27</v>
      </c>
      <c r="F2070" t="s">
        <v>28</v>
      </c>
      <c r="G2070" t="str">
        <f>"2025-10-31 15:07:09.629"</f>
        <v>2025-10-31 15:07:09.629</v>
      </c>
      <c r="H2070" t="s">
        <v>22</v>
      </c>
    </row>
    <row r="2071" spans="1:10" x14ac:dyDescent="0.25">
      <c r="A2071" s="1">
        <v>191</v>
      </c>
      <c r="B2071" t="s">
        <v>29</v>
      </c>
      <c r="C2071">
        <v>635</v>
      </c>
      <c r="D2071">
        <v>1</v>
      </c>
      <c r="E2071" t="s">
        <v>27</v>
      </c>
      <c r="F2071" t="s">
        <v>28</v>
      </c>
      <c r="G2071" t="str">
        <f>"2025-10-31 15:05:05.129"</f>
        <v>2025-10-31 15:05:05.129</v>
      </c>
      <c r="H2071" t="s">
        <v>22</v>
      </c>
      <c r="I2071">
        <v>0</v>
      </c>
      <c r="J2071" t="s">
        <v>38</v>
      </c>
    </row>
    <row r="2072" spans="1:10" x14ac:dyDescent="0.25">
      <c r="A2072" s="1">
        <v>193</v>
      </c>
      <c r="B2072" t="s">
        <v>19</v>
      </c>
      <c r="C2072">
        <v>700</v>
      </c>
      <c r="D2072">
        <v>0</v>
      </c>
      <c r="E2072" t="s">
        <v>24</v>
      </c>
      <c r="F2072" t="s">
        <v>24</v>
      </c>
      <c r="G2072" t="str">
        <f>"2025-10-31 13:26:41.601"</f>
        <v>2025-10-31 13:26:41.601</v>
      </c>
      <c r="H2072" t="s">
        <v>22</v>
      </c>
    </row>
    <row r="2073" spans="1:10" s="3" customFormat="1" x14ac:dyDescent="0.25">
      <c r="A2073" s="2">
        <v>195</v>
      </c>
      <c r="B2073" s="3" t="s">
        <v>26</v>
      </c>
      <c r="C2073" s="3">
        <v>647</v>
      </c>
      <c r="D2073" s="3">
        <v>1</v>
      </c>
      <c r="E2073" s="3" t="s">
        <v>35</v>
      </c>
      <c r="F2073" s="3" t="s">
        <v>36</v>
      </c>
      <c r="G2073" s="3" t="str">
        <f>"2025-10-31 07:27:04.902"</f>
        <v>2025-10-31 07:27:04.902</v>
      </c>
      <c r="H2073" s="3" t="s">
        <v>22</v>
      </c>
    </row>
    <row r="2074" spans="1:10" s="3" customFormat="1" x14ac:dyDescent="0.25">
      <c r="A2074" s="2">
        <v>196</v>
      </c>
      <c r="B2074" s="3" t="s">
        <v>29</v>
      </c>
      <c r="C2074" s="3">
        <v>647</v>
      </c>
      <c r="D2074" s="3">
        <v>1</v>
      </c>
      <c r="E2074" s="3" t="s">
        <v>35</v>
      </c>
      <c r="F2074" s="3" t="s">
        <v>36</v>
      </c>
      <c r="G2074" s="3" t="str">
        <f>"2025-10-31 07:27:01.902"</f>
        <v>2025-10-31 07:27:01.902</v>
      </c>
      <c r="H2074" s="3" t="s">
        <v>22</v>
      </c>
      <c r="I2074" s="3">
        <v>9.9</v>
      </c>
      <c r="J2074" s="3" t="s">
        <v>37</v>
      </c>
    </row>
    <row r="2075" spans="1:10" x14ac:dyDescent="0.25">
      <c r="A2075" s="1">
        <v>199</v>
      </c>
      <c r="B2075" t="s">
        <v>19</v>
      </c>
      <c r="C2075">
        <v>700</v>
      </c>
      <c r="D2075">
        <v>0</v>
      </c>
      <c r="E2075" t="s">
        <v>24</v>
      </c>
      <c r="F2075" t="s">
        <v>24</v>
      </c>
      <c r="G2075" t="str">
        <f>"2025-10-29 13:12:26.620"</f>
        <v>2025-10-29 13:12:26.620</v>
      </c>
      <c r="H2075" t="s">
        <v>22</v>
      </c>
      <c r="I2075">
        <v>0</v>
      </c>
      <c r="J2075" t="s">
        <v>25</v>
      </c>
    </row>
    <row r="2076" spans="1:10" x14ac:dyDescent="0.25">
      <c r="A2076" s="1">
        <v>201</v>
      </c>
      <c r="B2076" t="s">
        <v>34</v>
      </c>
      <c r="C2076">
        <v>47</v>
      </c>
      <c r="D2076">
        <v>2</v>
      </c>
      <c r="E2076" t="s">
        <v>83</v>
      </c>
      <c r="F2076" t="s">
        <v>84</v>
      </c>
      <c r="G2076" t="str">
        <f>"2025-10-29 12:59:05.388"</f>
        <v>2025-10-29 12:59:05.388</v>
      </c>
      <c r="H2076" t="s">
        <v>47</v>
      </c>
      <c r="I2076">
        <v>0</v>
      </c>
      <c r="J2076" t="s">
        <v>38</v>
      </c>
    </row>
    <row r="2077" spans="1:10" x14ac:dyDescent="0.25">
      <c r="A2077" s="1">
        <v>203</v>
      </c>
      <c r="B2077" t="s">
        <v>19</v>
      </c>
      <c r="C2077">
        <v>700</v>
      </c>
      <c r="D2077">
        <v>0</v>
      </c>
      <c r="E2077" t="s">
        <v>24</v>
      </c>
      <c r="F2077" t="s">
        <v>24</v>
      </c>
      <c r="G2077" t="str">
        <f>"2025-10-29 11:22:56.608"</f>
        <v>2025-10-29 11:22:56.608</v>
      </c>
      <c r="H2077" t="s">
        <v>22</v>
      </c>
      <c r="I2077">
        <v>0</v>
      </c>
      <c r="J2077" t="s">
        <v>25</v>
      </c>
    </row>
    <row r="2078" spans="1:10" x14ac:dyDescent="0.25">
      <c r="A2078" s="1">
        <v>205</v>
      </c>
      <c r="B2078" t="s">
        <v>34</v>
      </c>
      <c r="C2078">
        <v>47</v>
      </c>
      <c r="D2078">
        <v>2</v>
      </c>
      <c r="E2078" t="s">
        <v>83</v>
      </c>
      <c r="F2078" t="s">
        <v>84</v>
      </c>
      <c r="G2078" t="str">
        <f>"2025-10-29 11:10:51.700"</f>
        <v>2025-10-29 11:10:51.700</v>
      </c>
      <c r="H2078" t="s">
        <v>47</v>
      </c>
      <c r="I2078">
        <v>0</v>
      </c>
      <c r="J2078" t="s">
        <v>38</v>
      </c>
    </row>
    <row r="2079" spans="1:10" x14ac:dyDescent="0.25">
      <c r="A2079" s="1">
        <v>206</v>
      </c>
      <c r="B2079" t="s">
        <v>26</v>
      </c>
      <c r="C2079">
        <v>619</v>
      </c>
      <c r="D2079">
        <v>1</v>
      </c>
      <c r="E2079" t="s">
        <v>79</v>
      </c>
      <c r="F2079" t="s">
        <v>28</v>
      </c>
      <c r="G2079" t="str">
        <f>"2025-10-29 05:47:07.088"</f>
        <v>2025-10-29 05:47:07.088</v>
      </c>
      <c r="H2079" t="s">
        <v>80</v>
      </c>
    </row>
    <row r="2080" spans="1:10" x14ac:dyDescent="0.25">
      <c r="A2080" s="1">
        <v>207</v>
      </c>
      <c r="B2080" t="s">
        <v>29</v>
      </c>
      <c r="C2080">
        <v>619</v>
      </c>
      <c r="D2080">
        <v>1</v>
      </c>
      <c r="E2080" t="s">
        <v>79</v>
      </c>
      <c r="F2080" t="s">
        <v>28</v>
      </c>
      <c r="G2080" t="str">
        <f>"2025-10-29 05:46:57.340"</f>
        <v>2025-10-29 05:46:57.340</v>
      </c>
      <c r="H2080" t="s">
        <v>80</v>
      </c>
      <c r="I2080">
        <v>0</v>
      </c>
      <c r="J2080" t="s">
        <v>38</v>
      </c>
    </row>
    <row r="2081" spans="1:10" x14ac:dyDescent="0.25">
      <c r="A2081" s="1">
        <v>208</v>
      </c>
      <c r="B2081" t="s">
        <v>26</v>
      </c>
      <c r="C2081">
        <v>635</v>
      </c>
      <c r="D2081">
        <v>1</v>
      </c>
      <c r="E2081" t="s">
        <v>27</v>
      </c>
      <c r="F2081" t="s">
        <v>28</v>
      </c>
      <c r="G2081" t="str">
        <f>"2025-10-28 18:04:50.088"</f>
        <v>2025-10-28 18:04:50.088</v>
      </c>
      <c r="H2081" t="s">
        <v>22</v>
      </c>
    </row>
    <row r="2082" spans="1:10" x14ac:dyDescent="0.25">
      <c r="A2082" s="1">
        <v>209</v>
      </c>
      <c r="B2082" t="s">
        <v>29</v>
      </c>
      <c r="C2082">
        <v>635</v>
      </c>
      <c r="D2082">
        <v>1</v>
      </c>
      <c r="E2082" t="s">
        <v>27</v>
      </c>
      <c r="F2082" t="s">
        <v>28</v>
      </c>
      <c r="G2082" t="str">
        <f>"2025-10-28 18:00:54.088"</f>
        <v>2025-10-28 18:00:54.088</v>
      </c>
      <c r="H2082" t="s">
        <v>22</v>
      </c>
      <c r="I2082">
        <v>5.09</v>
      </c>
      <c r="J2082" t="s">
        <v>30</v>
      </c>
    </row>
    <row r="2083" spans="1:10" s="3" customFormat="1" x14ac:dyDescent="0.25">
      <c r="A2083" s="2">
        <v>210</v>
      </c>
      <c r="B2083" s="3" t="s">
        <v>26</v>
      </c>
      <c r="C2083" s="3">
        <v>647</v>
      </c>
      <c r="D2083" s="3">
        <v>1</v>
      </c>
      <c r="E2083" s="3" t="s">
        <v>35</v>
      </c>
      <c r="F2083" s="3" t="s">
        <v>36</v>
      </c>
      <c r="G2083" s="3" t="str">
        <f>"2025-10-28 15:58:23.188"</f>
        <v>2025-10-28 15:58:23.188</v>
      </c>
      <c r="H2083" s="3" t="s">
        <v>22</v>
      </c>
    </row>
    <row r="2084" spans="1:10" s="3" customFormat="1" x14ac:dyDescent="0.25">
      <c r="A2084" s="2">
        <v>211</v>
      </c>
      <c r="B2084" s="3" t="s">
        <v>29</v>
      </c>
      <c r="C2084" s="3">
        <v>647</v>
      </c>
      <c r="D2084" s="3">
        <v>1</v>
      </c>
      <c r="E2084" s="3" t="s">
        <v>35</v>
      </c>
      <c r="F2084" s="3" t="s">
        <v>36</v>
      </c>
      <c r="G2084" s="3" t="str">
        <f>"2025-10-28 15:58:20.488"</f>
        <v>2025-10-28 15:58:20.488</v>
      </c>
      <c r="H2084" s="3" t="s">
        <v>22</v>
      </c>
      <c r="I2084" s="3">
        <v>19.559999999999999</v>
      </c>
      <c r="J2084" s="3" t="s">
        <v>37</v>
      </c>
    </row>
    <row r="2085" spans="1:10" s="3" customFormat="1" x14ac:dyDescent="0.25">
      <c r="A2085" s="2">
        <v>212</v>
      </c>
      <c r="B2085" s="3" t="s">
        <v>26</v>
      </c>
      <c r="C2085" s="3">
        <v>647</v>
      </c>
      <c r="D2085" s="3">
        <v>1</v>
      </c>
      <c r="E2085" s="3" t="s">
        <v>35</v>
      </c>
      <c r="F2085" s="3" t="s">
        <v>36</v>
      </c>
      <c r="G2085" s="3" t="str">
        <f>"2025-10-28 12:30:23.088"</f>
        <v>2025-10-28 12:30:23.088</v>
      </c>
      <c r="H2085" s="3" t="s">
        <v>22</v>
      </c>
    </row>
    <row r="2086" spans="1:10" s="3" customFormat="1" x14ac:dyDescent="0.25">
      <c r="A2086" s="2">
        <v>213</v>
      </c>
      <c r="B2086" s="3" t="s">
        <v>29</v>
      </c>
      <c r="C2086" s="3">
        <v>647</v>
      </c>
      <c r="D2086" s="3">
        <v>1</v>
      </c>
      <c r="E2086" s="3" t="s">
        <v>35</v>
      </c>
      <c r="F2086" s="3" t="s">
        <v>36</v>
      </c>
      <c r="G2086" s="3" t="str">
        <f>"2025-10-28 12:30:20.388"</f>
        <v>2025-10-28 12:30:20.388</v>
      </c>
      <c r="H2086" s="3" t="s">
        <v>22</v>
      </c>
      <c r="I2086" s="3">
        <v>19.010000000000002</v>
      </c>
      <c r="J2086" s="3" t="s">
        <v>37</v>
      </c>
    </row>
    <row r="2087" spans="1:10" x14ac:dyDescent="0.25">
      <c r="A2087" s="1">
        <v>215</v>
      </c>
      <c r="B2087" t="s">
        <v>26</v>
      </c>
      <c r="C2087">
        <v>635</v>
      </c>
      <c r="D2087">
        <v>1</v>
      </c>
      <c r="E2087" t="s">
        <v>27</v>
      </c>
      <c r="F2087" t="s">
        <v>28</v>
      </c>
      <c r="G2087" t="str">
        <f>"2025-10-28 08:10:48.588"</f>
        <v>2025-10-28 08:10:48.588</v>
      </c>
      <c r="H2087" t="s">
        <v>22</v>
      </c>
    </row>
    <row r="2088" spans="1:10" x14ac:dyDescent="0.25">
      <c r="A2088" s="1">
        <v>216</v>
      </c>
      <c r="B2088" t="s">
        <v>29</v>
      </c>
      <c r="C2088">
        <v>635</v>
      </c>
      <c r="D2088">
        <v>1</v>
      </c>
      <c r="E2088" t="s">
        <v>27</v>
      </c>
      <c r="F2088" t="s">
        <v>28</v>
      </c>
      <c r="G2088" t="str">
        <f>"2025-10-28 08:07:11.088"</f>
        <v>2025-10-28 08:07:11.088</v>
      </c>
      <c r="H2088" t="s">
        <v>22</v>
      </c>
      <c r="I2088">
        <v>7.73</v>
      </c>
      <c r="J2088" t="s">
        <v>30</v>
      </c>
    </row>
    <row r="2089" spans="1:10" s="3" customFormat="1" x14ac:dyDescent="0.25">
      <c r="A2089" s="2">
        <v>217</v>
      </c>
      <c r="B2089" s="3" t="s">
        <v>26</v>
      </c>
      <c r="C2089" s="3">
        <v>647</v>
      </c>
      <c r="D2089" s="3">
        <v>1</v>
      </c>
      <c r="E2089" s="3" t="s">
        <v>35</v>
      </c>
      <c r="F2089" s="3" t="s">
        <v>36</v>
      </c>
      <c r="G2089" s="3" t="str">
        <f>"2025-10-28 05:02:27.688"</f>
        <v>2025-10-28 05:02:27.688</v>
      </c>
      <c r="H2089" s="3" t="s">
        <v>22</v>
      </c>
    </row>
    <row r="2090" spans="1:10" s="3" customFormat="1" x14ac:dyDescent="0.25">
      <c r="A2090" s="2">
        <v>218</v>
      </c>
      <c r="B2090" s="3" t="s">
        <v>29</v>
      </c>
      <c r="C2090" s="3">
        <v>647</v>
      </c>
      <c r="D2090" s="3">
        <v>1</v>
      </c>
      <c r="E2090" s="3" t="s">
        <v>35</v>
      </c>
      <c r="F2090" s="3" t="s">
        <v>36</v>
      </c>
      <c r="G2090" s="3" t="str">
        <f>"2025-10-28 05:02:24.988"</f>
        <v>2025-10-28 05:02:24.988</v>
      </c>
      <c r="H2090" s="3" t="s">
        <v>22</v>
      </c>
      <c r="I2090" s="3">
        <v>10.45</v>
      </c>
      <c r="J2090" s="3" t="s">
        <v>37</v>
      </c>
    </row>
    <row r="2091" spans="1:10" x14ac:dyDescent="0.25">
      <c r="A2091" s="1">
        <v>220</v>
      </c>
      <c r="B2091" t="s">
        <v>26</v>
      </c>
      <c r="C2091">
        <v>630</v>
      </c>
      <c r="D2091">
        <v>5</v>
      </c>
      <c r="E2091" t="s">
        <v>39</v>
      </c>
      <c r="F2091" t="s">
        <v>40</v>
      </c>
      <c r="G2091" t="str">
        <f>"2025-10-27 00:05:38.578"</f>
        <v>2025-10-27 00:05:38.578</v>
      </c>
      <c r="H2091" t="s">
        <v>41</v>
      </c>
    </row>
    <row r="2092" spans="1:10" x14ac:dyDescent="0.25">
      <c r="A2092" s="1">
        <v>221</v>
      </c>
      <c r="B2092" t="s">
        <v>19</v>
      </c>
      <c r="C2092">
        <v>706</v>
      </c>
      <c r="D2092">
        <v>4</v>
      </c>
      <c r="E2092" t="s">
        <v>20</v>
      </c>
      <c r="F2092" t="s">
        <v>21</v>
      </c>
      <c r="G2092" t="str">
        <f>"2025-10-27 00:05:08.381"</f>
        <v>2025-10-27 00:05:08.381</v>
      </c>
      <c r="H2092" t="s">
        <v>22</v>
      </c>
      <c r="I2092">
        <v>0</v>
      </c>
      <c r="J2092" t="s">
        <v>23</v>
      </c>
    </row>
    <row r="2093" spans="1:10" x14ac:dyDescent="0.25">
      <c r="A2093" s="1">
        <v>222</v>
      </c>
      <c r="B2093" t="s">
        <v>19</v>
      </c>
      <c r="C2093">
        <v>706</v>
      </c>
      <c r="D2093">
        <v>4</v>
      </c>
      <c r="E2093" t="s">
        <v>20</v>
      </c>
      <c r="F2093" t="s">
        <v>21</v>
      </c>
      <c r="G2093" t="str">
        <f>"2025-10-27 00:04:55.781"</f>
        <v>2025-10-27 00:04:55.781</v>
      </c>
      <c r="H2093" t="s">
        <v>22</v>
      </c>
      <c r="I2093">
        <v>0</v>
      </c>
      <c r="J2093" t="s">
        <v>23</v>
      </c>
    </row>
    <row r="2094" spans="1:10" x14ac:dyDescent="0.25">
      <c r="A2094" s="1">
        <v>223</v>
      </c>
      <c r="B2094" t="s">
        <v>34</v>
      </c>
      <c r="C2094">
        <v>630</v>
      </c>
      <c r="D2094">
        <v>5</v>
      </c>
      <c r="E2094" t="s">
        <v>39</v>
      </c>
      <c r="F2094" t="s">
        <v>40</v>
      </c>
      <c r="G2094" t="str">
        <f>"2025-10-26 23:55:14.379"</f>
        <v>2025-10-26 23:55:14.379</v>
      </c>
      <c r="H2094" t="s">
        <v>41</v>
      </c>
      <c r="I2094">
        <v>0</v>
      </c>
      <c r="J2094" t="s">
        <v>23</v>
      </c>
    </row>
    <row r="2095" spans="1:10" x14ac:dyDescent="0.25">
      <c r="A2095" s="1">
        <v>225</v>
      </c>
      <c r="B2095" t="s">
        <v>19</v>
      </c>
      <c r="C2095">
        <v>700</v>
      </c>
      <c r="D2095">
        <v>0</v>
      </c>
      <c r="E2095" t="s">
        <v>24</v>
      </c>
      <c r="F2095" t="s">
        <v>24</v>
      </c>
      <c r="G2095" t="str">
        <f>"2025-10-26 23:50:11.611"</f>
        <v>2025-10-26 23:50:11.611</v>
      </c>
      <c r="H2095" t="s">
        <v>22</v>
      </c>
      <c r="I2095">
        <v>0</v>
      </c>
      <c r="J2095" t="s">
        <v>25</v>
      </c>
    </row>
    <row r="2096" spans="1:10" x14ac:dyDescent="0.25">
      <c r="A2096" s="1">
        <v>227</v>
      </c>
      <c r="B2096" t="s">
        <v>34</v>
      </c>
      <c r="C2096">
        <v>630</v>
      </c>
      <c r="D2096">
        <v>5</v>
      </c>
      <c r="E2096" t="s">
        <v>39</v>
      </c>
      <c r="F2096" t="s">
        <v>40</v>
      </c>
      <c r="G2096" t="str">
        <f>"2025-10-26 23:11:15.377"</f>
        <v>2025-10-26 23:11:15.377</v>
      </c>
      <c r="H2096" t="s">
        <v>41</v>
      </c>
      <c r="I2096">
        <v>0</v>
      </c>
      <c r="J2096" t="s">
        <v>23</v>
      </c>
    </row>
    <row r="2097" spans="1:10" x14ac:dyDescent="0.25">
      <c r="A2097" s="1">
        <v>229</v>
      </c>
      <c r="B2097" t="s">
        <v>19</v>
      </c>
      <c r="C2097">
        <v>700</v>
      </c>
      <c r="D2097">
        <v>0</v>
      </c>
      <c r="E2097" t="s">
        <v>24</v>
      </c>
      <c r="F2097" t="s">
        <v>24</v>
      </c>
      <c r="G2097" t="str">
        <f>"2025-10-26 23:06:12.616"</f>
        <v>2025-10-26 23:06:12.616</v>
      </c>
      <c r="H2097" t="s">
        <v>22</v>
      </c>
      <c r="I2097">
        <v>0</v>
      </c>
      <c r="J2097" t="s">
        <v>25</v>
      </c>
    </row>
    <row r="2098" spans="1:10" x14ac:dyDescent="0.25">
      <c r="A2098" s="1">
        <v>231</v>
      </c>
      <c r="B2098" t="s">
        <v>34</v>
      </c>
      <c r="C2098">
        <v>630</v>
      </c>
      <c r="D2098">
        <v>5</v>
      </c>
      <c r="E2098" t="s">
        <v>39</v>
      </c>
      <c r="F2098" t="s">
        <v>40</v>
      </c>
      <c r="G2098" t="str">
        <f>"2025-10-26 21:48:50.314"</f>
        <v>2025-10-26 21:48:50.314</v>
      </c>
      <c r="H2098" t="s">
        <v>41</v>
      </c>
      <c r="I2098">
        <v>0</v>
      </c>
      <c r="J2098" t="s">
        <v>23</v>
      </c>
    </row>
    <row r="2099" spans="1:10" x14ac:dyDescent="0.25">
      <c r="A2099" s="1">
        <v>233</v>
      </c>
      <c r="B2099" t="s">
        <v>19</v>
      </c>
      <c r="C2099">
        <v>700</v>
      </c>
      <c r="D2099">
        <v>0</v>
      </c>
      <c r="E2099" t="s">
        <v>24</v>
      </c>
      <c r="F2099" t="s">
        <v>24</v>
      </c>
      <c r="G2099" t="str">
        <f>"2025-10-26 21:43:47.654"</f>
        <v>2025-10-26 21:43:47.654</v>
      </c>
      <c r="H2099" t="s">
        <v>22</v>
      </c>
    </row>
    <row r="2100" spans="1:10" x14ac:dyDescent="0.25">
      <c r="A2100" s="1">
        <v>235</v>
      </c>
      <c r="B2100" t="s">
        <v>34</v>
      </c>
      <c r="C2100">
        <v>47</v>
      </c>
      <c r="D2100">
        <v>2</v>
      </c>
      <c r="E2100" t="s">
        <v>83</v>
      </c>
      <c r="F2100" t="s">
        <v>84</v>
      </c>
      <c r="G2100" t="str">
        <f>"2025-10-26 21:41:18.495"</f>
        <v>2025-10-26 21:41:18.495</v>
      </c>
      <c r="H2100" t="s">
        <v>47</v>
      </c>
      <c r="I2100">
        <v>0</v>
      </c>
      <c r="J2100" t="s">
        <v>38</v>
      </c>
    </row>
    <row r="2101" spans="1:10" x14ac:dyDescent="0.25">
      <c r="A2101" s="1">
        <v>236</v>
      </c>
      <c r="B2101" t="s">
        <v>26</v>
      </c>
      <c r="C2101">
        <v>635</v>
      </c>
      <c r="D2101">
        <v>1</v>
      </c>
      <c r="E2101" t="s">
        <v>27</v>
      </c>
      <c r="F2101" t="s">
        <v>28</v>
      </c>
      <c r="G2101" t="str">
        <f>"2025-10-26 04:15:15.035"</f>
        <v>2025-10-26 04:15:15.035</v>
      </c>
      <c r="H2101" t="s">
        <v>22</v>
      </c>
    </row>
    <row r="2102" spans="1:10" x14ac:dyDescent="0.25">
      <c r="A2102" s="1">
        <v>237</v>
      </c>
      <c r="B2102" t="s">
        <v>29</v>
      </c>
      <c r="C2102">
        <v>635</v>
      </c>
      <c r="D2102">
        <v>1</v>
      </c>
      <c r="E2102" t="s">
        <v>27</v>
      </c>
      <c r="F2102" t="s">
        <v>28</v>
      </c>
      <c r="G2102" t="str">
        <f>"2025-10-26 04:12:58.035"</f>
        <v>2025-10-26 04:12:58.035</v>
      </c>
      <c r="H2102" t="s">
        <v>22</v>
      </c>
      <c r="I2102">
        <v>3.51</v>
      </c>
      <c r="J2102" t="s">
        <v>30</v>
      </c>
    </row>
    <row r="2103" spans="1:10" x14ac:dyDescent="0.25">
      <c r="A2103" s="1">
        <v>238</v>
      </c>
      <c r="B2103" t="s">
        <v>26</v>
      </c>
      <c r="C2103">
        <v>630</v>
      </c>
      <c r="D2103">
        <v>5</v>
      </c>
      <c r="E2103" t="s">
        <v>39</v>
      </c>
      <c r="F2103" t="s">
        <v>40</v>
      </c>
      <c r="G2103" t="str">
        <f>"2025-10-25 03:02:05.183"</f>
        <v>2025-10-25 03:02:05.183</v>
      </c>
      <c r="H2103" t="s">
        <v>41</v>
      </c>
    </row>
    <row r="2104" spans="1:10" x14ac:dyDescent="0.25">
      <c r="A2104" s="1">
        <v>239</v>
      </c>
      <c r="B2104" t="s">
        <v>31</v>
      </c>
      <c r="C2104">
        <v>47</v>
      </c>
      <c r="D2104">
        <v>2</v>
      </c>
      <c r="E2104" t="s">
        <v>83</v>
      </c>
      <c r="F2104" t="s">
        <v>84</v>
      </c>
      <c r="G2104" t="str">
        <f>"2025-10-25 03:01:39.095"</f>
        <v>2025-10-25 03:01:39.095</v>
      </c>
      <c r="H2104" t="s">
        <v>47</v>
      </c>
    </row>
    <row r="2105" spans="1:10" x14ac:dyDescent="0.25">
      <c r="A2105" s="1">
        <v>240</v>
      </c>
      <c r="B2105" t="s">
        <v>19</v>
      </c>
      <c r="C2105">
        <v>706</v>
      </c>
      <c r="D2105">
        <v>4</v>
      </c>
      <c r="E2105" t="s">
        <v>20</v>
      </c>
      <c r="F2105" t="s">
        <v>21</v>
      </c>
      <c r="G2105" t="str">
        <f>"2025-10-25 03:01:35.036"</f>
        <v>2025-10-25 03:01:35.036</v>
      </c>
      <c r="H2105" t="s">
        <v>22</v>
      </c>
      <c r="I2105">
        <v>0</v>
      </c>
      <c r="J2105" t="s">
        <v>23</v>
      </c>
    </row>
    <row r="2106" spans="1:10" x14ac:dyDescent="0.25">
      <c r="A2106" s="1">
        <v>241</v>
      </c>
      <c r="B2106" t="s">
        <v>34</v>
      </c>
      <c r="C2106">
        <v>630</v>
      </c>
      <c r="D2106">
        <v>5</v>
      </c>
      <c r="E2106" t="s">
        <v>39</v>
      </c>
      <c r="F2106" t="s">
        <v>40</v>
      </c>
      <c r="G2106" t="str">
        <f>"2025-10-25 03:01:21.084"</f>
        <v>2025-10-25 03:01:21.084</v>
      </c>
      <c r="H2106" t="s">
        <v>41</v>
      </c>
      <c r="I2106">
        <v>0</v>
      </c>
      <c r="J2106" t="s">
        <v>23</v>
      </c>
    </row>
    <row r="2107" spans="1:10" x14ac:dyDescent="0.25">
      <c r="A2107" s="1">
        <v>242</v>
      </c>
      <c r="B2107" t="s">
        <v>34</v>
      </c>
      <c r="C2107">
        <v>47</v>
      </c>
      <c r="D2107">
        <v>2</v>
      </c>
      <c r="E2107" t="s">
        <v>83</v>
      </c>
      <c r="F2107" t="s">
        <v>84</v>
      </c>
      <c r="G2107" t="str">
        <f>"2025-10-25 02:56:18.195"</f>
        <v>2025-10-25 02:56:18.195</v>
      </c>
      <c r="H2107" t="s">
        <v>47</v>
      </c>
      <c r="I2107">
        <v>0</v>
      </c>
      <c r="J2107" t="s">
        <v>38</v>
      </c>
    </row>
    <row r="2108" spans="1:10" x14ac:dyDescent="0.25">
      <c r="A2108" s="1">
        <v>244</v>
      </c>
      <c r="B2108" t="s">
        <v>19</v>
      </c>
      <c r="C2108">
        <v>700</v>
      </c>
      <c r="D2108">
        <v>0</v>
      </c>
      <c r="E2108" t="s">
        <v>24</v>
      </c>
      <c r="F2108" t="s">
        <v>24</v>
      </c>
      <c r="G2108" t="str">
        <f>"2025-10-25 01:24:05.616"</f>
        <v>2025-10-25 01:24:05.616</v>
      </c>
      <c r="H2108" t="s">
        <v>22</v>
      </c>
      <c r="I2108">
        <v>0</v>
      </c>
      <c r="J2108" t="s">
        <v>25</v>
      </c>
    </row>
    <row r="2109" spans="1:10" x14ac:dyDescent="0.25">
      <c r="A2109" s="1">
        <v>246</v>
      </c>
      <c r="B2109" t="s">
        <v>34</v>
      </c>
      <c r="C2109">
        <v>47</v>
      </c>
      <c r="D2109">
        <v>2</v>
      </c>
      <c r="E2109" t="s">
        <v>83</v>
      </c>
      <c r="F2109" t="s">
        <v>84</v>
      </c>
      <c r="G2109" t="str">
        <f>"2025-10-25 00:59:51.571"</f>
        <v>2025-10-25 00:59:51.571</v>
      </c>
      <c r="H2109" t="s">
        <v>47</v>
      </c>
      <c r="I2109">
        <v>0</v>
      </c>
      <c r="J2109" t="s">
        <v>38</v>
      </c>
    </row>
    <row r="2110" spans="1:10" x14ac:dyDescent="0.25">
      <c r="A2110" s="1">
        <v>247</v>
      </c>
      <c r="B2110" t="s">
        <v>19</v>
      </c>
      <c r="C2110">
        <v>706</v>
      </c>
      <c r="D2110">
        <v>2</v>
      </c>
      <c r="E2110" t="s">
        <v>20</v>
      </c>
      <c r="F2110" t="s">
        <v>54</v>
      </c>
      <c r="G2110" t="str">
        <f>"2025-10-25 00:52:19.751"</f>
        <v>2025-10-25 00:52:19.751</v>
      </c>
      <c r="H2110" t="s">
        <v>22</v>
      </c>
      <c r="I2110">
        <v>0</v>
      </c>
      <c r="J2110" t="s">
        <v>23</v>
      </c>
    </row>
    <row r="2111" spans="1:10" x14ac:dyDescent="0.25">
      <c r="A2111" s="1">
        <v>248</v>
      </c>
      <c r="B2111" t="s">
        <v>26</v>
      </c>
      <c r="C2111">
        <v>49</v>
      </c>
      <c r="D2111">
        <v>1</v>
      </c>
      <c r="E2111" t="s">
        <v>73</v>
      </c>
      <c r="F2111" t="s">
        <v>74</v>
      </c>
      <c r="G2111" t="str">
        <f>"2025-10-25 00:52:15.571"</f>
        <v>2025-10-25 00:52:15.571</v>
      </c>
      <c r="H2111" t="s">
        <v>75</v>
      </c>
    </row>
    <row r="2112" spans="1:10" x14ac:dyDescent="0.25">
      <c r="A2112" s="1">
        <v>250</v>
      </c>
      <c r="B2112" t="s">
        <v>19</v>
      </c>
      <c r="C2112">
        <v>700</v>
      </c>
      <c r="D2112">
        <v>0</v>
      </c>
      <c r="E2112" t="s">
        <v>24</v>
      </c>
      <c r="F2112" t="s">
        <v>24</v>
      </c>
      <c r="G2112" t="str">
        <f>"2025-10-25 00:51:33.641"</f>
        <v>2025-10-25 00:51:33.641</v>
      </c>
      <c r="H2112" t="s">
        <v>22</v>
      </c>
      <c r="I2112">
        <v>0</v>
      </c>
      <c r="J2112" t="s">
        <v>25</v>
      </c>
    </row>
    <row r="2113" spans="1:10" x14ac:dyDescent="0.25">
      <c r="A2113" s="1">
        <v>251</v>
      </c>
      <c r="B2113" t="s">
        <v>29</v>
      </c>
      <c r="C2113">
        <v>49</v>
      </c>
      <c r="D2113">
        <v>1</v>
      </c>
      <c r="E2113" t="s">
        <v>73</v>
      </c>
      <c r="F2113" t="s">
        <v>74</v>
      </c>
      <c r="G2113" t="str">
        <f>"2025-10-25 00:47:23.518"</f>
        <v>2025-10-25 00:47:23.518</v>
      </c>
      <c r="H2113" t="s">
        <v>75</v>
      </c>
      <c r="I2113">
        <v>0</v>
      </c>
      <c r="J2113" t="s">
        <v>23</v>
      </c>
    </row>
    <row r="2114" spans="1:10" x14ac:dyDescent="0.25">
      <c r="A2114" s="1">
        <v>253</v>
      </c>
      <c r="B2114" t="s">
        <v>26</v>
      </c>
      <c r="C2114">
        <v>619</v>
      </c>
      <c r="D2114">
        <v>1</v>
      </c>
      <c r="E2114" t="s">
        <v>79</v>
      </c>
      <c r="F2114" t="s">
        <v>28</v>
      </c>
      <c r="G2114" t="str">
        <f>"2025-10-25 00:46:21.064"</f>
        <v>2025-10-25 00:46:21.064</v>
      </c>
      <c r="H2114" t="s">
        <v>80</v>
      </c>
    </row>
    <row r="2115" spans="1:10" x14ac:dyDescent="0.25">
      <c r="A2115" s="1">
        <v>254</v>
      </c>
      <c r="B2115" t="s">
        <v>34</v>
      </c>
      <c r="C2115">
        <v>47</v>
      </c>
      <c r="D2115">
        <v>2</v>
      </c>
      <c r="E2115" t="s">
        <v>83</v>
      </c>
      <c r="F2115" t="s">
        <v>84</v>
      </c>
      <c r="G2115" t="str">
        <f>"2025-10-25 00:46:14.417"</f>
        <v>2025-10-25 00:46:14.417</v>
      </c>
      <c r="H2115" t="s">
        <v>47</v>
      </c>
      <c r="I2115">
        <v>0</v>
      </c>
      <c r="J2115" t="s">
        <v>38</v>
      </c>
    </row>
    <row r="2116" spans="1:10" x14ac:dyDescent="0.25">
      <c r="A2116" s="1">
        <v>255</v>
      </c>
      <c r="B2116" t="s">
        <v>29</v>
      </c>
      <c r="C2116">
        <v>619</v>
      </c>
      <c r="D2116">
        <v>1</v>
      </c>
      <c r="E2116" t="s">
        <v>79</v>
      </c>
      <c r="F2116" t="s">
        <v>28</v>
      </c>
      <c r="G2116" t="str">
        <f>"2025-10-25 00:45:41.964"</f>
        <v>2025-10-25 00:45:41.964</v>
      </c>
      <c r="H2116" t="s">
        <v>80</v>
      </c>
      <c r="I2116">
        <v>12.96</v>
      </c>
      <c r="J2116" t="s">
        <v>37</v>
      </c>
    </row>
    <row r="2117" spans="1:10" x14ac:dyDescent="0.25">
      <c r="A2117" s="1">
        <v>256</v>
      </c>
      <c r="B2117" t="s">
        <v>26</v>
      </c>
      <c r="C2117">
        <v>619</v>
      </c>
      <c r="D2117">
        <v>1</v>
      </c>
      <c r="E2117" t="s">
        <v>79</v>
      </c>
      <c r="F2117" t="s">
        <v>28</v>
      </c>
      <c r="G2117" t="str">
        <f>"2025-10-25 00:45:30.964"</f>
        <v>2025-10-25 00:45:30.964</v>
      </c>
      <c r="H2117" t="s">
        <v>80</v>
      </c>
    </row>
    <row r="2118" spans="1:10" x14ac:dyDescent="0.25">
      <c r="A2118" s="1">
        <v>257</v>
      </c>
      <c r="B2118" t="s">
        <v>29</v>
      </c>
      <c r="C2118">
        <v>619</v>
      </c>
      <c r="D2118">
        <v>1</v>
      </c>
      <c r="E2118" t="s">
        <v>79</v>
      </c>
      <c r="F2118" t="s">
        <v>28</v>
      </c>
      <c r="G2118" t="str">
        <f>"2025-10-25 00:45:05.564"</f>
        <v>2025-10-25 00:45:05.564</v>
      </c>
      <c r="H2118" t="s">
        <v>80</v>
      </c>
      <c r="I2118">
        <v>9.32</v>
      </c>
      <c r="J2118" t="s">
        <v>30</v>
      </c>
    </row>
    <row r="2119" spans="1:10" x14ac:dyDescent="0.25">
      <c r="A2119" s="1">
        <v>258</v>
      </c>
      <c r="B2119" t="s">
        <v>26</v>
      </c>
      <c r="C2119">
        <v>619</v>
      </c>
      <c r="D2119">
        <v>1</v>
      </c>
      <c r="E2119" t="s">
        <v>79</v>
      </c>
      <c r="F2119" t="s">
        <v>28</v>
      </c>
      <c r="G2119" t="str">
        <f>"2025-10-25 00:27:57.417"</f>
        <v>2025-10-25 00:27:57.417</v>
      </c>
      <c r="H2119" t="s">
        <v>80</v>
      </c>
    </row>
    <row r="2120" spans="1:10" x14ac:dyDescent="0.25">
      <c r="A2120" s="1">
        <v>259</v>
      </c>
      <c r="B2120" t="s">
        <v>29</v>
      </c>
      <c r="C2120">
        <v>619</v>
      </c>
      <c r="D2120">
        <v>1</v>
      </c>
      <c r="E2120" t="s">
        <v>79</v>
      </c>
      <c r="F2120" t="s">
        <v>28</v>
      </c>
      <c r="G2120" t="str">
        <f>"2025-10-25 00:27:48.717"</f>
        <v>2025-10-25 00:27:48.717</v>
      </c>
      <c r="H2120" t="s">
        <v>80</v>
      </c>
      <c r="I2120">
        <v>0</v>
      </c>
      <c r="J2120" t="s">
        <v>38</v>
      </c>
    </row>
    <row r="2121" spans="1:10" x14ac:dyDescent="0.25">
      <c r="A2121" s="1">
        <v>260</v>
      </c>
      <c r="B2121" t="s">
        <v>26</v>
      </c>
      <c r="C2121">
        <v>619</v>
      </c>
      <c r="D2121">
        <v>1</v>
      </c>
      <c r="E2121" t="s">
        <v>79</v>
      </c>
      <c r="F2121" t="s">
        <v>28</v>
      </c>
      <c r="G2121" t="str">
        <f>"2025-10-25 00:24:29.417"</f>
        <v>2025-10-25 00:24:29.417</v>
      </c>
      <c r="H2121" t="s">
        <v>80</v>
      </c>
    </row>
    <row r="2122" spans="1:10" x14ac:dyDescent="0.25">
      <c r="A2122" s="1">
        <v>261</v>
      </c>
      <c r="B2122" t="s">
        <v>29</v>
      </c>
      <c r="C2122">
        <v>619</v>
      </c>
      <c r="D2122">
        <v>1</v>
      </c>
      <c r="E2122" t="s">
        <v>79</v>
      </c>
      <c r="F2122" t="s">
        <v>28</v>
      </c>
      <c r="G2122" t="str">
        <f>"2025-10-25 00:24:19.664"</f>
        <v>2025-10-25 00:24:19.664</v>
      </c>
      <c r="H2122" t="s">
        <v>80</v>
      </c>
      <c r="I2122">
        <v>0.65</v>
      </c>
      <c r="J2122" t="s">
        <v>30</v>
      </c>
    </row>
    <row r="2123" spans="1:10" x14ac:dyDescent="0.25">
      <c r="A2123" s="1">
        <v>262</v>
      </c>
      <c r="B2123" t="s">
        <v>26</v>
      </c>
      <c r="C2123">
        <v>619</v>
      </c>
      <c r="D2123">
        <v>1</v>
      </c>
      <c r="E2123" t="s">
        <v>79</v>
      </c>
      <c r="F2123" t="s">
        <v>28</v>
      </c>
      <c r="G2123" t="str">
        <f>"2025-10-24 22:51:13.164"</f>
        <v>2025-10-24 22:51:13.164</v>
      </c>
      <c r="H2123" t="s">
        <v>80</v>
      </c>
    </row>
    <row r="2124" spans="1:10" x14ac:dyDescent="0.25">
      <c r="A2124" s="1">
        <v>263</v>
      </c>
      <c r="B2124" t="s">
        <v>29</v>
      </c>
      <c r="C2124">
        <v>619</v>
      </c>
      <c r="D2124">
        <v>1</v>
      </c>
      <c r="E2124" t="s">
        <v>79</v>
      </c>
      <c r="F2124" t="s">
        <v>28</v>
      </c>
      <c r="G2124" t="str">
        <f>"2025-10-24 22:50:50.917"</f>
        <v>2025-10-24 22:50:50.917</v>
      </c>
      <c r="H2124" t="s">
        <v>80</v>
      </c>
      <c r="I2124">
        <v>11.29</v>
      </c>
      <c r="J2124" t="s">
        <v>37</v>
      </c>
    </row>
    <row r="2125" spans="1:10" x14ac:dyDescent="0.25">
      <c r="A2125" s="1">
        <v>264</v>
      </c>
      <c r="B2125" t="s">
        <v>26</v>
      </c>
      <c r="C2125">
        <v>619</v>
      </c>
      <c r="D2125">
        <v>1</v>
      </c>
      <c r="E2125" t="s">
        <v>79</v>
      </c>
      <c r="F2125" t="s">
        <v>28</v>
      </c>
      <c r="G2125" t="str">
        <f>"2025-10-24 22:50:44.064"</f>
        <v>2025-10-24 22:50:44.064</v>
      </c>
      <c r="H2125" t="s">
        <v>80</v>
      </c>
    </row>
    <row r="2126" spans="1:10" x14ac:dyDescent="0.25">
      <c r="A2126" s="1">
        <v>265</v>
      </c>
      <c r="B2126" t="s">
        <v>29</v>
      </c>
      <c r="C2126">
        <v>619</v>
      </c>
      <c r="D2126">
        <v>1</v>
      </c>
      <c r="E2126" t="s">
        <v>79</v>
      </c>
      <c r="F2126" t="s">
        <v>28</v>
      </c>
      <c r="G2126" t="str">
        <f>"2025-10-24 22:50:08.317"</f>
        <v>2025-10-24 22:50:08.317</v>
      </c>
      <c r="H2126" t="s">
        <v>80</v>
      </c>
      <c r="I2126">
        <v>14.73</v>
      </c>
      <c r="J2126" t="s">
        <v>37</v>
      </c>
    </row>
    <row r="2127" spans="1:10" x14ac:dyDescent="0.25">
      <c r="A2127" s="1">
        <v>266</v>
      </c>
      <c r="B2127" t="s">
        <v>26</v>
      </c>
      <c r="C2127">
        <v>619</v>
      </c>
      <c r="D2127">
        <v>1</v>
      </c>
      <c r="E2127" t="s">
        <v>79</v>
      </c>
      <c r="F2127" t="s">
        <v>28</v>
      </c>
      <c r="G2127" t="str">
        <f>"2025-10-24 22:48:14.317"</f>
        <v>2025-10-24 22:48:14.317</v>
      </c>
      <c r="H2127" t="s">
        <v>80</v>
      </c>
    </row>
    <row r="2128" spans="1:10" x14ac:dyDescent="0.25">
      <c r="A2128" s="1">
        <v>267</v>
      </c>
      <c r="B2128" t="s">
        <v>29</v>
      </c>
      <c r="C2128">
        <v>619</v>
      </c>
      <c r="D2128">
        <v>1</v>
      </c>
      <c r="E2128" t="s">
        <v>79</v>
      </c>
      <c r="F2128" t="s">
        <v>28</v>
      </c>
      <c r="G2128" t="str">
        <f>"2025-10-24 22:48:06.617"</f>
        <v>2025-10-24 22:48:06.617</v>
      </c>
      <c r="H2128" t="s">
        <v>80</v>
      </c>
      <c r="I2128">
        <v>13.13</v>
      </c>
      <c r="J2128" t="s">
        <v>37</v>
      </c>
    </row>
    <row r="2129" spans="1:10" x14ac:dyDescent="0.25">
      <c r="A2129" s="1">
        <v>268</v>
      </c>
      <c r="B2129" t="s">
        <v>26</v>
      </c>
      <c r="C2129">
        <v>619</v>
      </c>
      <c r="D2129">
        <v>1</v>
      </c>
      <c r="E2129" t="s">
        <v>79</v>
      </c>
      <c r="F2129" t="s">
        <v>28</v>
      </c>
      <c r="G2129" t="str">
        <f>"2025-10-24 22:48:02.864"</f>
        <v>2025-10-24 22:48:02.864</v>
      </c>
      <c r="H2129" t="s">
        <v>80</v>
      </c>
    </row>
    <row r="2130" spans="1:10" x14ac:dyDescent="0.25">
      <c r="A2130" s="1">
        <v>269</v>
      </c>
      <c r="B2130" t="s">
        <v>29</v>
      </c>
      <c r="C2130">
        <v>619</v>
      </c>
      <c r="D2130">
        <v>1</v>
      </c>
      <c r="E2130" t="s">
        <v>79</v>
      </c>
      <c r="F2130" t="s">
        <v>28</v>
      </c>
      <c r="G2130" t="str">
        <f>"2025-10-24 22:47:44.764"</f>
        <v>2025-10-24 22:47:44.764</v>
      </c>
      <c r="H2130" t="s">
        <v>80</v>
      </c>
      <c r="I2130">
        <v>15.01</v>
      </c>
      <c r="J2130" t="s">
        <v>37</v>
      </c>
    </row>
    <row r="2131" spans="1:10" x14ac:dyDescent="0.25">
      <c r="A2131" s="1">
        <v>270</v>
      </c>
      <c r="B2131" t="s">
        <v>26</v>
      </c>
      <c r="C2131">
        <v>635</v>
      </c>
      <c r="D2131">
        <v>1</v>
      </c>
      <c r="E2131" t="s">
        <v>27</v>
      </c>
      <c r="F2131" t="s">
        <v>28</v>
      </c>
      <c r="G2131" t="str">
        <f>"2025-10-24 18:31:50.164"</f>
        <v>2025-10-24 18:31:50.164</v>
      </c>
      <c r="H2131" t="s">
        <v>22</v>
      </c>
    </row>
    <row r="2132" spans="1:10" x14ac:dyDescent="0.25">
      <c r="A2132" s="1">
        <v>271</v>
      </c>
      <c r="B2132" t="s">
        <v>29</v>
      </c>
      <c r="C2132">
        <v>635</v>
      </c>
      <c r="D2132">
        <v>1</v>
      </c>
      <c r="E2132" t="s">
        <v>27</v>
      </c>
      <c r="F2132" t="s">
        <v>28</v>
      </c>
      <c r="G2132" t="str">
        <f>"2025-10-24 18:27:19.164"</f>
        <v>2025-10-24 18:27:19.164</v>
      </c>
      <c r="H2132" t="s">
        <v>22</v>
      </c>
      <c r="I2132">
        <v>1.01</v>
      </c>
      <c r="J2132" t="s">
        <v>30</v>
      </c>
    </row>
    <row r="2133" spans="1:10" x14ac:dyDescent="0.25">
      <c r="A2133" s="1">
        <v>272</v>
      </c>
      <c r="B2133" t="s">
        <v>26</v>
      </c>
      <c r="C2133">
        <v>635</v>
      </c>
      <c r="D2133">
        <v>1</v>
      </c>
      <c r="E2133" t="s">
        <v>27</v>
      </c>
      <c r="F2133" t="s">
        <v>28</v>
      </c>
      <c r="G2133" t="str">
        <f>"2025-10-24 14:23:10.964"</f>
        <v>2025-10-24 14:23:10.964</v>
      </c>
      <c r="H2133" t="s">
        <v>22</v>
      </c>
    </row>
    <row r="2134" spans="1:10" x14ac:dyDescent="0.25">
      <c r="A2134" s="1">
        <v>273</v>
      </c>
      <c r="B2134" t="s">
        <v>29</v>
      </c>
      <c r="C2134">
        <v>635</v>
      </c>
      <c r="D2134">
        <v>1</v>
      </c>
      <c r="E2134" t="s">
        <v>27</v>
      </c>
      <c r="F2134" t="s">
        <v>28</v>
      </c>
      <c r="G2134" t="str">
        <f>"2025-10-24 14:19:23.964"</f>
        <v>2025-10-24 14:19:23.964</v>
      </c>
      <c r="H2134" t="s">
        <v>22</v>
      </c>
      <c r="I2134">
        <v>3.25</v>
      </c>
      <c r="J2134" t="s">
        <v>37</v>
      </c>
    </row>
    <row r="2135" spans="1:10" x14ac:dyDescent="0.25">
      <c r="A2135" s="1">
        <v>275</v>
      </c>
      <c r="B2135" t="s">
        <v>19</v>
      </c>
      <c r="C2135">
        <v>700</v>
      </c>
      <c r="D2135">
        <v>0</v>
      </c>
      <c r="E2135" t="s">
        <v>24</v>
      </c>
      <c r="F2135" t="s">
        <v>24</v>
      </c>
      <c r="G2135" t="str">
        <f>"2025-10-24 05:21:45.637"</f>
        <v>2025-10-24 05:21:45.637</v>
      </c>
      <c r="H2135" t="s">
        <v>22</v>
      </c>
      <c r="I2135">
        <v>0</v>
      </c>
      <c r="J2135" t="s">
        <v>25</v>
      </c>
    </row>
    <row r="2136" spans="1:10" x14ac:dyDescent="0.25">
      <c r="A2136" s="1">
        <v>278</v>
      </c>
      <c r="B2136" t="s">
        <v>19</v>
      </c>
      <c r="C2136">
        <v>700</v>
      </c>
      <c r="D2136">
        <v>0</v>
      </c>
      <c r="E2136" t="s">
        <v>24</v>
      </c>
      <c r="F2136" t="s">
        <v>24</v>
      </c>
      <c r="G2136" t="str">
        <f>"2025-10-23 15:40:15.612"</f>
        <v>2025-10-23 15:40:15.612</v>
      </c>
      <c r="H2136" t="s">
        <v>22</v>
      </c>
      <c r="I2136">
        <v>0</v>
      </c>
      <c r="J2136" t="s">
        <v>25</v>
      </c>
    </row>
    <row r="2137" spans="1:10" x14ac:dyDescent="0.25">
      <c r="A2137" s="1">
        <v>280</v>
      </c>
      <c r="B2137" t="s">
        <v>19</v>
      </c>
      <c r="C2137">
        <v>706</v>
      </c>
      <c r="D2137">
        <v>2</v>
      </c>
      <c r="E2137" t="s">
        <v>20</v>
      </c>
      <c r="F2137" t="s">
        <v>54</v>
      </c>
      <c r="G2137" t="str">
        <f>"2025-10-23 15:17:57.902"</f>
        <v>2025-10-23 15:17:57.902</v>
      </c>
      <c r="H2137" t="s">
        <v>22</v>
      </c>
      <c r="I2137">
        <v>0</v>
      </c>
      <c r="J2137" t="s">
        <v>23</v>
      </c>
    </row>
    <row r="2138" spans="1:10" x14ac:dyDescent="0.25">
      <c r="A2138" s="1">
        <v>282</v>
      </c>
      <c r="B2138" t="s">
        <v>19</v>
      </c>
      <c r="C2138">
        <v>700</v>
      </c>
      <c r="D2138">
        <v>0</v>
      </c>
      <c r="E2138" t="s">
        <v>24</v>
      </c>
      <c r="F2138" t="s">
        <v>24</v>
      </c>
      <c r="G2138" t="str">
        <f>"2025-10-23 15:16:56.762"</f>
        <v>2025-10-23 15:16:56.762</v>
      </c>
      <c r="H2138" t="s">
        <v>22</v>
      </c>
      <c r="I2138">
        <v>0</v>
      </c>
      <c r="J2138" t="s">
        <v>25</v>
      </c>
    </row>
    <row r="2139" spans="1:10" x14ac:dyDescent="0.25">
      <c r="A2139" s="1">
        <v>285</v>
      </c>
      <c r="B2139" t="s">
        <v>19</v>
      </c>
      <c r="C2139">
        <v>700</v>
      </c>
      <c r="D2139">
        <v>0</v>
      </c>
      <c r="E2139" t="s">
        <v>24</v>
      </c>
      <c r="F2139" t="s">
        <v>24</v>
      </c>
      <c r="G2139" t="str">
        <f>"2025-10-23 13:50:45.618"</f>
        <v>2025-10-23 13:50:45.618</v>
      </c>
      <c r="H2139" t="s">
        <v>22</v>
      </c>
      <c r="I2139">
        <v>0</v>
      </c>
      <c r="J2139" t="s">
        <v>25</v>
      </c>
    </row>
    <row r="2140" spans="1:10" x14ac:dyDescent="0.25">
      <c r="A2140" s="1">
        <v>287</v>
      </c>
      <c r="B2140" t="s">
        <v>34</v>
      </c>
      <c r="C2140">
        <v>47</v>
      </c>
      <c r="D2140">
        <v>2</v>
      </c>
      <c r="E2140" t="s">
        <v>83</v>
      </c>
      <c r="F2140" t="s">
        <v>84</v>
      </c>
      <c r="G2140" t="str">
        <f>"2025-10-23 13:29:53.309"</f>
        <v>2025-10-23 13:29:53.309</v>
      </c>
      <c r="H2140" t="s">
        <v>47</v>
      </c>
      <c r="I2140">
        <v>0</v>
      </c>
      <c r="J2140" t="s">
        <v>38</v>
      </c>
    </row>
    <row r="2141" spans="1:10" x14ac:dyDescent="0.25">
      <c r="A2141" s="1">
        <v>288</v>
      </c>
      <c r="B2141" t="s">
        <v>26</v>
      </c>
      <c r="C2141">
        <v>635</v>
      </c>
      <c r="D2141">
        <v>1</v>
      </c>
      <c r="E2141" t="s">
        <v>27</v>
      </c>
      <c r="F2141" t="s">
        <v>28</v>
      </c>
      <c r="G2141" t="str">
        <f>"2025-10-22 20:05:25.549"</f>
        <v>2025-10-22 20:05:25.549</v>
      </c>
      <c r="H2141" t="s">
        <v>22</v>
      </c>
    </row>
    <row r="2142" spans="1:10" x14ac:dyDescent="0.25">
      <c r="A2142" s="1">
        <v>289</v>
      </c>
      <c r="B2142" t="s">
        <v>29</v>
      </c>
      <c r="C2142">
        <v>635</v>
      </c>
      <c r="D2142">
        <v>1</v>
      </c>
      <c r="E2142" t="s">
        <v>27</v>
      </c>
      <c r="F2142" t="s">
        <v>28</v>
      </c>
      <c r="G2142" t="str">
        <f>"2025-10-22 20:00:21.549"</f>
        <v>2025-10-22 20:00:21.549</v>
      </c>
      <c r="H2142" t="s">
        <v>22</v>
      </c>
      <c r="I2142">
        <v>0.3</v>
      </c>
      <c r="J2142" t="s">
        <v>37</v>
      </c>
    </row>
    <row r="2143" spans="1:10" x14ac:dyDescent="0.25">
      <c r="A2143" s="1">
        <v>290</v>
      </c>
      <c r="B2143" t="s">
        <v>26</v>
      </c>
      <c r="C2143">
        <v>635</v>
      </c>
      <c r="D2143">
        <v>1</v>
      </c>
      <c r="E2143" t="s">
        <v>27</v>
      </c>
      <c r="F2143" t="s">
        <v>28</v>
      </c>
      <c r="G2143" t="str">
        <f>"2025-10-22 19:03:06.149"</f>
        <v>2025-10-22 19:03:06.149</v>
      </c>
      <c r="H2143" t="s">
        <v>22</v>
      </c>
    </row>
    <row r="2144" spans="1:10" x14ac:dyDescent="0.25">
      <c r="A2144" s="1">
        <v>291</v>
      </c>
      <c r="B2144" t="s">
        <v>29</v>
      </c>
      <c r="C2144">
        <v>635</v>
      </c>
      <c r="D2144">
        <v>1</v>
      </c>
      <c r="E2144" t="s">
        <v>27</v>
      </c>
      <c r="F2144" t="s">
        <v>28</v>
      </c>
      <c r="G2144" t="str">
        <f>"2025-10-22 18:54:35.649"</f>
        <v>2025-10-22 18:54:35.649</v>
      </c>
      <c r="H2144" t="s">
        <v>22</v>
      </c>
      <c r="I2144">
        <v>2.21</v>
      </c>
      <c r="J2144" t="s">
        <v>37</v>
      </c>
    </row>
    <row r="2145" spans="1:10" x14ac:dyDescent="0.25">
      <c r="A2145" s="1">
        <v>292</v>
      </c>
      <c r="B2145" t="s">
        <v>26</v>
      </c>
      <c r="C2145">
        <v>635</v>
      </c>
      <c r="D2145">
        <v>1</v>
      </c>
      <c r="E2145" t="s">
        <v>27</v>
      </c>
      <c r="F2145" t="s">
        <v>28</v>
      </c>
      <c r="G2145" t="str">
        <f>"2025-10-22 16:14:23.349"</f>
        <v>2025-10-22 16:14:23.349</v>
      </c>
      <c r="H2145" t="s">
        <v>22</v>
      </c>
    </row>
    <row r="2146" spans="1:10" x14ac:dyDescent="0.25">
      <c r="A2146" s="1">
        <v>293</v>
      </c>
      <c r="B2146" t="s">
        <v>29</v>
      </c>
      <c r="C2146">
        <v>635</v>
      </c>
      <c r="D2146">
        <v>1</v>
      </c>
      <c r="E2146" t="s">
        <v>27</v>
      </c>
      <c r="F2146" t="s">
        <v>28</v>
      </c>
      <c r="G2146" t="str">
        <f>"2025-10-22 16:10:59.349"</f>
        <v>2025-10-22 16:10:59.349</v>
      </c>
      <c r="H2146" t="s">
        <v>22</v>
      </c>
      <c r="I2146">
        <v>3.21</v>
      </c>
      <c r="J2146" t="s">
        <v>30</v>
      </c>
    </row>
    <row r="2147" spans="1:10" x14ac:dyDescent="0.25">
      <c r="A2147" s="1">
        <v>294</v>
      </c>
      <c r="B2147" t="s">
        <v>26</v>
      </c>
      <c r="C2147">
        <v>619</v>
      </c>
      <c r="D2147">
        <v>1</v>
      </c>
      <c r="E2147" t="s">
        <v>79</v>
      </c>
      <c r="F2147" t="s">
        <v>28</v>
      </c>
      <c r="G2147" t="str">
        <f>"2025-10-21 13:27:30.697"</f>
        <v>2025-10-21 13:27:30.697</v>
      </c>
      <c r="H2147" t="s">
        <v>80</v>
      </c>
    </row>
    <row r="2148" spans="1:10" x14ac:dyDescent="0.25">
      <c r="A2148" s="1">
        <v>295</v>
      </c>
      <c r="B2148" t="s">
        <v>29</v>
      </c>
      <c r="C2148">
        <v>619</v>
      </c>
      <c r="D2148">
        <v>1</v>
      </c>
      <c r="E2148" t="s">
        <v>79</v>
      </c>
      <c r="F2148" t="s">
        <v>28</v>
      </c>
      <c r="G2148" t="str">
        <f>"2025-10-21 13:27:08.449"</f>
        <v>2025-10-21 13:27:08.449</v>
      </c>
      <c r="H2148" t="s">
        <v>80</v>
      </c>
      <c r="I2148">
        <v>0</v>
      </c>
      <c r="J2148" t="s">
        <v>38</v>
      </c>
    </row>
    <row r="2149" spans="1:10" x14ac:dyDescent="0.25">
      <c r="A2149" s="1">
        <v>296</v>
      </c>
      <c r="B2149" t="s">
        <v>26</v>
      </c>
      <c r="C2149">
        <v>98</v>
      </c>
      <c r="D2149">
        <v>1</v>
      </c>
      <c r="E2149" t="s">
        <v>52</v>
      </c>
      <c r="F2149" t="s">
        <v>53</v>
      </c>
      <c r="G2149" t="str">
        <f>"2025-10-20 23:07:50.109"</f>
        <v>2025-10-20 23:07:50.109</v>
      </c>
      <c r="H2149" t="s">
        <v>22</v>
      </c>
    </row>
    <row r="2150" spans="1:10" x14ac:dyDescent="0.25">
      <c r="A2150" s="1">
        <v>297</v>
      </c>
      <c r="B2150" t="s">
        <v>29</v>
      </c>
      <c r="C2150">
        <v>98</v>
      </c>
      <c r="D2150">
        <v>1</v>
      </c>
      <c r="E2150" t="s">
        <v>52</v>
      </c>
      <c r="F2150" t="s">
        <v>53</v>
      </c>
      <c r="G2150" t="str">
        <f>"2025-10-20 23:07:49.109"</f>
        <v>2025-10-20 23:07:49.109</v>
      </c>
      <c r="H2150" t="s">
        <v>22</v>
      </c>
      <c r="I2150">
        <v>0</v>
      </c>
      <c r="J2150" t="s">
        <v>38</v>
      </c>
    </row>
    <row r="2151" spans="1:10" x14ac:dyDescent="0.25">
      <c r="A2151" s="1">
        <v>298</v>
      </c>
      <c r="B2151" t="s">
        <v>26</v>
      </c>
      <c r="C2151">
        <v>619</v>
      </c>
      <c r="D2151">
        <v>1</v>
      </c>
      <c r="E2151" t="s">
        <v>79</v>
      </c>
      <c r="F2151" t="s">
        <v>28</v>
      </c>
      <c r="G2151" t="str">
        <f>"2025-10-20 23:07:47.749"</f>
        <v>2025-10-20 23:07:47.749</v>
      </c>
      <c r="H2151" t="s">
        <v>80</v>
      </c>
    </row>
    <row r="2152" spans="1:10" x14ac:dyDescent="0.25">
      <c r="A2152" s="1">
        <v>299</v>
      </c>
      <c r="B2152" t="s">
        <v>29</v>
      </c>
      <c r="C2152">
        <v>619</v>
      </c>
      <c r="D2152">
        <v>1</v>
      </c>
      <c r="E2152" t="s">
        <v>79</v>
      </c>
      <c r="F2152" t="s">
        <v>28</v>
      </c>
      <c r="G2152" t="str">
        <f>"2025-10-20 23:07:37.949"</f>
        <v>2025-10-20 23:07:37.949</v>
      </c>
      <c r="H2152" t="s">
        <v>80</v>
      </c>
      <c r="I2152">
        <v>7.43</v>
      </c>
      <c r="J2152" t="s">
        <v>30</v>
      </c>
    </row>
    <row r="2153" spans="1:10" x14ac:dyDescent="0.25">
      <c r="A2153" s="1">
        <v>300</v>
      </c>
      <c r="B2153" t="s">
        <v>26</v>
      </c>
      <c r="C2153">
        <v>619</v>
      </c>
      <c r="D2153">
        <v>1</v>
      </c>
      <c r="E2153" t="s">
        <v>79</v>
      </c>
      <c r="F2153" t="s">
        <v>28</v>
      </c>
      <c r="G2153" t="str">
        <f>"2025-10-20 20:36:34.797"</f>
        <v>2025-10-20 20:36:34.797</v>
      </c>
      <c r="H2153" t="s">
        <v>80</v>
      </c>
    </row>
    <row r="2154" spans="1:10" x14ac:dyDescent="0.25">
      <c r="A2154" s="1">
        <v>301</v>
      </c>
      <c r="B2154" t="s">
        <v>29</v>
      </c>
      <c r="C2154">
        <v>619</v>
      </c>
      <c r="D2154">
        <v>1</v>
      </c>
      <c r="E2154" t="s">
        <v>79</v>
      </c>
      <c r="F2154" t="s">
        <v>28</v>
      </c>
      <c r="G2154" t="str">
        <f>"2025-10-20 20:36:18.749"</f>
        <v>2025-10-20 20:36:18.749</v>
      </c>
      <c r="H2154" t="s">
        <v>80</v>
      </c>
      <c r="I2154">
        <v>-2.46</v>
      </c>
      <c r="J2154" t="s">
        <v>37</v>
      </c>
    </row>
    <row r="2155" spans="1:10" x14ac:dyDescent="0.25">
      <c r="A2155" s="1">
        <v>302</v>
      </c>
      <c r="B2155" t="s">
        <v>26</v>
      </c>
      <c r="C2155">
        <v>619</v>
      </c>
      <c r="D2155">
        <v>1</v>
      </c>
      <c r="E2155" t="s">
        <v>79</v>
      </c>
      <c r="F2155" t="s">
        <v>28</v>
      </c>
      <c r="G2155" t="str">
        <f>"2025-10-20 14:08:03.197"</f>
        <v>2025-10-20 14:08:03.197</v>
      </c>
      <c r="H2155" t="s">
        <v>80</v>
      </c>
    </row>
    <row r="2156" spans="1:10" x14ac:dyDescent="0.25">
      <c r="A2156" s="1">
        <v>303</v>
      </c>
      <c r="B2156" t="s">
        <v>29</v>
      </c>
      <c r="C2156">
        <v>619</v>
      </c>
      <c r="D2156">
        <v>1</v>
      </c>
      <c r="E2156" t="s">
        <v>79</v>
      </c>
      <c r="F2156" t="s">
        <v>28</v>
      </c>
      <c r="G2156" t="str">
        <f>"2025-10-20 14:07:21.149"</f>
        <v>2025-10-20 14:07:21.149</v>
      </c>
      <c r="H2156" t="s">
        <v>80</v>
      </c>
      <c r="I2156">
        <v>0</v>
      </c>
      <c r="J2156" t="s">
        <v>38</v>
      </c>
    </row>
    <row r="2157" spans="1:10" x14ac:dyDescent="0.25">
      <c r="A2157" s="1">
        <v>305</v>
      </c>
      <c r="B2157" t="s">
        <v>19</v>
      </c>
      <c r="C2157">
        <v>700</v>
      </c>
      <c r="D2157">
        <v>0</v>
      </c>
      <c r="E2157" t="s">
        <v>24</v>
      </c>
      <c r="F2157" t="s">
        <v>24</v>
      </c>
      <c r="G2157" t="str">
        <f>"2025-10-20 12:46:12.618"</f>
        <v>2025-10-20 12:46:12.618</v>
      </c>
      <c r="H2157" t="s">
        <v>22</v>
      </c>
    </row>
    <row r="2158" spans="1:10" x14ac:dyDescent="0.25">
      <c r="A2158" s="1">
        <v>308</v>
      </c>
      <c r="B2158" t="s">
        <v>19</v>
      </c>
      <c r="C2158">
        <v>700</v>
      </c>
      <c r="D2158">
        <v>0</v>
      </c>
      <c r="E2158" t="s">
        <v>24</v>
      </c>
      <c r="F2158" t="s">
        <v>24</v>
      </c>
      <c r="G2158" t="str">
        <f>"2025-10-19 15:40:41.599"</f>
        <v>2025-10-19 15:40:41.599</v>
      </c>
      <c r="H2158" t="s">
        <v>22</v>
      </c>
    </row>
    <row r="2159" spans="1:10" x14ac:dyDescent="0.25">
      <c r="A2159" s="1">
        <v>311</v>
      </c>
      <c r="B2159" t="s">
        <v>19</v>
      </c>
      <c r="C2159">
        <v>700</v>
      </c>
      <c r="D2159">
        <v>0</v>
      </c>
      <c r="E2159" t="s">
        <v>24</v>
      </c>
      <c r="F2159" t="s">
        <v>24</v>
      </c>
      <c r="G2159" t="str">
        <f>"2025-10-19 15:18:53.611"</f>
        <v>2025-10-19 15:18:53.611</v>
      </c>
      <c r="H2159" t="s">
        <v>22</v>
      </c>
      <c r="I2159">
        <v>0</v>
      </c>
      <c r="J2159" t="s">
        <v>25</v>
      </c>
    </row>
    <row r="2160" spans="1:10" x14ac:dyDescent="0.25">
      <c r="A2160" s="1">
        <v>313</v>
      </c>
      <c r="B2160" t="s">
        <v>26</v>
      </c>
      <c r="C2160">
        <v>635</v>
      </c>
      <c r="D2160">
        <v>1</v>
      </c>
      <c r="E2160" t="s">
        <v>27</v>
      </c>
      <c r="F2160" t="s">
        <v>28</v>
      </c>
      <c r="G2160" t="str">
        <f>"2025-10-19 04:43:44.309"</f>
        <v>2025-10-19 04:43:44.309</v>
      </c>
      <c r="H2160" t="s">
        <v>22</v>
      </c>
    </row>
    <row r="2161" spans="1:10" x14ac:dyDescent="0.25">
      <c r="A2161" s="1">
        <v>314</v>
      </c>
      <c r="B2161" t="s">
        <v>29</v>
      </c>
      <c r="C2161">
        <v>635</v>
      </c>
      <c r="D2161">
        <v>1</v>
      </c>
      <c r="E2161" t="s">
        <v>27</v>
      </c>
      <c r="F2161" t="s">
        <v>28</v>
      </c>
      <c r="G2161" t="str">
        <f>"2025-10-19 04:35:04.309"</f>
        <v>2025-10-19 04:35:04.309</v>
      </c>
      <c r="H2161" t="s">
        <v>22</v>
      </c>
      <c r="I2161">
        <v>9.0299999999999994</v>
      </c>
      <c r="J2161" t="s">
        <v>37</v>
      </c>
    </row>
    <row r="2162" spans="1:10" x14ac:dyDescent="0.25">
      <c r="A2162" s="1">
        <v>316</v>
      </c>
      <c r="B2162" t="s">
        <v>19</v>
      </c>
      <c r="C2162">
        <v>700</v>
      </c>
      <c r="D2162">
        <v>0</v>
      </c>
      <c r="E2162" t="s">
        <v>24</v>
      </c>
      <c r="F2162" t="s">
        <v>24</v>
      </c>
      <c r="G2162" t="str">
        <f>"2025-10-18 17:28:36.589"</f>
        <v>2025-10-18 17:28:36.589</v>
      </c>
      <c r="H2162" t="s">
        <v>22</v>
      </c>
      <c r="I2162">
        <v>0</v>
      </c>
      <c r="J2162" t="s">
        <v>25</v>
      </c>
    </row>
    <row r="2163" spans="1:10" x14ac:dyDescent="0.25">
      <c r="A2163" s="1">
        <v>318</v>
      </c>
      <c r="B2163" t="s">
        <v>19</v>
      </c>
      <c r="C2163">
        <v>700</v>
      </c>
      <c r="D2163">
        <v>0</v>
      </c>
      <c r="E2163" t="s">
        <v>24</v>
      </c>
      <c r="F2163" t="s">
        <v>24</v>
      </c>
      <c r="G2163" t="str">
        <f>"2025-10-18 17:19:59.596"</f>
        <v>2025-10-18 17:19:59.596</v>
      </c>
      <c r="H2163" t="s">
        <v>22</v>
      </c>
    </row>
    <row r="2164" spans="1:10" x14ac:dyDescent="0.25">
      <c r="A2164" s="1">
        <v>320</v>
      </c>
      <c r="B2164" t="s">
        <v>34</v>
      </c>
      <c r="C2164">
        <v>47</v>
      </c>
      <c r="D2164">
        <v>2</v>
      </c>
      <c r="E2164" t="s">
        <v>83</v>
      </c>
      <c r="F2164" t="s">
        <v>84</v>
      </c>
      <c r="G2164" t="str">
        <f>"2025-10-18 17:18:00.278"</f>
        <v>2025-10-18 17:18:00.278</v>
      </c>
      <c r="H2164" t="s">
        <v>47</v>
      </c>
      <c r="I2164">
        <v>0</v>
      </c>
      <c r="J2164" t="s">
        <v>72</v>
      </c>
    </row>
    <row r="2165" spans="1:10" x14ac:dyDescent="0.25">
      <c r="A2165" s="1">
        <v>321</v>
      </c>
      <c r="B2165" t="s">
        <v>19</v>
      </c>
      <c r="C2165">
        <v>700</v>
      </c>
      <c r="D2165">
        <v>0</v>
      </c>
      <c r="E2165" t="s">
        <v>24</v>
      </c>
      <c r="F2165" t="s">
        <v>24</v>
      </c>
      <c r="G2165" t="str">
        <f>"2025-10-18 17:17:55.597"</f>
        <v>2025-10-18 17:17:55.597</v>
      </c>
      <c r="H2165" t="s">
        <v>22</v>
      </c>
      <c r="I2165">
        <v>0</v>
      </c>
      <c r="J2165" t="s">
        <v>25</v>
      </c>
    </row>
    <row r="2166" spans="1:10" x14ac:dyDescent="0.25">
      <c r="A2166" s="1">
        <v>323</v>
      </c>
      <c r="B2166" t="s">
        <v>34</v>
      </c>
      <c r="C2166">
        <v>47</v>
      </c>
      <c r="D2166">
        <v>2</v>
      </c>
      <c r="E2166" t="s">
        <v>83</v>
      </c>
      <c r="F2166" t="s">
        <v>84</v>
      </c>
      <c r="G2166" t="str">
        <f>"2025-10-18 17:02:03.863"</f>
        <v>2025-10-18 17:02:03.863</v>
      </c>
      <c r="H2166" t="s">
        <v>47</v>
      </c>
      <c r="I2166">
        <v>0</v>
      </c>
      <c r="J2166" t="s">
        <v>38</v>
      </c>
    </row>
    <row r="2167" spans="1:10" x14ac:dyDescent="0.25">
      <c r="A2167" s="1">
        <v>325</v>
      </c>
      <c r="B2167" t="s">
        <v>19</v>
      </c>
      <c r="C2167">
        <v>706</v>
      </c>
      <c r="D2167">
        <v>4</v>
      </c>
      <c r="E2167" t="s">
        <v>20</v>
      </c>
      <c r="F2167" t="s">
        <v>21</v>
      </c>
      <c r="G2167" t="str">
        <f>"2025-10-18 17:01:19.501"</f>
        <v>2025-10-18 17:01:19.501</v>
      </c>
      <c r="H2167" t="s">
        <v>22</v>
      </c>
      <c r="I2167">
        <v>0</v>
      </c>
      <c r="J2167" t="s">
        <v>23</v>
      </c>
    </row>
    <row r="2168" spans="1:10" x14ac:dyDescent="0.25">
      <c r="A2168" s="1">
        <v>328</v>
      </c>
      <c r="B2168" t="s">
        <v>19</v>
      </c>
      <c r="C2168">
        <v>700</v>
      </c>
      <c r="D2168">
        <v>0</v>
      </c>
      <c r="E2168" t="s">
        <v>24</v>
      </c>
      <c r="F2168" t="s">
        <v>24</v>
      </c>
      <c r="G2168" t="str">
        <f>"2025-10-18 17:00:40.601"</f>
        <v>2025-10-18 17:00:40.601</v>
      </c>
      <c r="H2168" t="s">
        <v>22</v>
      </c>
      <c r="I2168">
        <v>0</v>
      </c>
      <c r="J2168" t="s">
        <v>25</v>
      </c>
    </row>
    <row r="2169" spans="1:10" x14ac:dyDescent="0.25">
      <c r="A2169" s="1">
        <v>331</v>
      </c>
      <c r="B2169" t="s">
        <v>19</v>
      </c>
      <c r="C2169">
        <v>700</v>
      </c>
      <c r="D2169">
        <v>0</v>
      </c>
      <c r="E2169" t="s">
        <v>24</v>
      </c>
      <c r="F2169" t="s">
        <v>24</v>
      </c>
      <c r="G2169" t="str">
        <f>"2025-10-18 16:57:30.578"</f>
        <v>2025-10-18 16:57:30.578</v>
      </c>
      <c r="H2169" t="s">
        <v>22</v>
      </c>
      <c r="I2169">
        <v>0</v>
      </c>
      <c r="J2169" t="s">
        <v>25</v>
      </c>
    </row>
    <row r="2170" spans="1:10" x14ac:dyDescent="0.25">
      <c r="A2170" s="1">
        <v>333</v>
      </c>
      <c r="B2170" t="s">
        <v>19</v>
      </c>
      <c r="C2170">
        <v>700</v>
      </c>
      <c r="D2170">
        <v>0</v>
      </c>
      <c r="E2170" t="s">
        <v>24</v>
      </c>
      <c r="F2170" t="s">
        <v>24</v>
      </c>
      <c r="G2170" t="str">
        <f>"2025-10-18 16:55:08.580"</f>
        <v>2025-10-18 16:55:08.580</v>
      </c>
      <c r="H2170" t="s">
        <v>22</v>
      </c>
    </row>
    <row r="2171" spans="1:10" x14ac:dyDescent="0.25">
      <c r="A2171" s="1">
        <v>335</v>
      </c>
      <c r="B2171" t="s">
        <v>19</v>
      </c>
      <c r="C2171">
        <v>700</v>
      </c>
      <c r="D2171">
        <v>0</v>
      </c>
      <c r="E2171" t="s">
        <v>24</v>
      </c>
      <c r="F2171" t="s">
        <v>24</v>
      </c>
      <c r="G2171" t="str">
        <f>"2025-10-18 16:52:26.587"</f>
        <v>2025-10-18 16:52:26.587</v>
      </c>
      <c r="H2171" t="s">
        <v>22</v>
      </c>
      <c r="I2171">
        <v>0</v>
      </c>
      <c r="J2171" t="s">
        <v>25</v>
      </c>
    </row>
    <row r="2172" spans="1:10" x14ac:dyDescent="0.25">
      <c r="A2172" s="1">
        <v>338</v>
      </c>
      <c r="B2172" t="s">
        <v>19</v>
      </c>
      <c r="C2172">
        <v>706</v>
      </c>
      <c r="D2172">
        <v>3</v>
      </c>
      <c r="E2172" t="s">
        <v>20</v>
      </c>
      <c r="F2172" t="s">
        <v>48</v>
      </c>
      <c r="G2172" t="str">
        <f>"2025-10-18 16:32:38.238"</f>
        <v>2025-10-18 16:32:38.238</v>
      </c>
      <c r="H2172" t="s">
        <v>22</v>
      </c>
      <c r="I2172">
        <v>0</v>
      </c>
      <c r="J2172" t="s">
        <v>23</v>
      </c>
    </row>
    <row r="2173" spans="1:10" x14ac:dyDescent="0.25">
      <c r="A2173" s="1">
        <v>340</v>
      </c>
      <c r="B2173" t="s">
        <v>19</v>
      </c>
      <c r="C2173">
        <v>706</v>
      </c>
      <c r="D2173">
        <v>4</v>
      </c>
      <c r="E2173" t="s">
        <v>20</v>
      </c>
      <c r="F2173" t="s">
        <v>21</v>
      </c>
      <c r="G2173" t="str">
        <f>"2025-10-18 16:31:46.878"</f>
        <v>2025-10-18 16:31:46.878</v>
      </c>
      <c r="H2173" t="s">
        <v>22</v>
      </c>
      <c r="I2173">
        <v>0</v>
      </c>
      <c r="J2173" t="s">
        <v>23</v>
      </c>
    </row>
    <row r="2174" spans="1:10" x14ac:dyDescent="0.25">
      <c r="A2174" s="1">
        <v>341</v>
      </c>
      <c r="B2174" t="s">
        <v>34</v>
      </c>
      <c r="C2174">
        <v>630</v>
      </c>
      <c r="D2174">
        <v>5</v>
      </c>
      <c r="E2174" t="s">
        <v>39</v>
      </c>
      <c r="F2174" t="s">
        <v>40</v>
      </c>
      <c r="G2174" t="str">
        <f>"2025-10-18 16:10:19.370"</f>
        <v>2025-10-18 16:10:19.370</v>
      </c>
      <c r="H2174" t="s">
        <v>41</v>
      </c>
      <c r="I2174">
        <v>0</v>
      </c>
      <c r="J2174" t="s">
        <v>23</v>
      </c>
    </row>
    <row r="2175" spans="1:10" x14ac:dyDescent="0.25">
      <c r="A2175" s="1">
        <v>342</v>
      </c>
      <c r="B2175" t="s">
        <v>19</v>
      </c>
      <c r="C2175">
        <v>700</v>
      </c>
      <c r="D2175">
        <v>0</v>
      </c>
      <c r="E2175" t="s">
        <v>24</v>
      </c>
      <c r="F2175" t="s">
        <v>24</v>
      </c>
      <c r="G2175" t="str">
        <f>"2025-10-18 16:05:16.608"</f>
        <v>2025-10-18 16:05:16.608</v>
      </c>
      <c r="H2175" t="s">
        <v>22</v>
      </c>
      <c r="I2175">
        <v>0</v>
      </c>
      <c r="J2175" t="s">
        <v>25</v>
      </c>
    </row>
    <row r="2176" spans="1:10" x14ac:dyDescent="0.25">
      <c r="A2176" s="1">
        <v>343</v>
      </c>
      <c r="B2176" t="s">
        <v>34</v>
      </c>
      <c r="C2176">
        <v>47</v>
      </c>
      <c r="D2176">
        <v>2</v>
      </c>
      <c r="E2176" t="s">
        <v>83</v>
      </c>
      <c r="F2176" t="s">
        <v>84</v>
      </c>
      <c r="G2176" t="str">
        <f>"2025-10-18 16:01:55.189"</f>
        <v>2025-10-18 16:01:55.189</v>
      </c>
      <c r="H2176" t="s">
        <v>47</v>
      </c>
      <c r="I2176">
        <v>0</v>
      </c>
      <c r="J2176" t="s">
        <v>38</v>
      </c>
    </row>
    <row r="2177" spans="1:10" x14ac:dyDescent="0.25">
      <c r="A2177" s="1">
        <v>344</v>
      </c>
      <c r="B2177" t="s">
        <v>19</v>
      </c>
      <c r="C2177">
        <v>706</v>
      </c>
      <c r="D2177">
        <v>4</v>
      </c>
      <c r="E2177" t="s">
        <v>20</v>
      </c>
      <c r="F2177" t="s">
        <v>21</v>
      </c>
      <c r="G2177" t="str">
        <f>"2025-10-18 15:10:19.798"</f>
        <v>2025-10-18 15:10:19.798</v>
      </c>
      <c r="H2177" t="s">
        <v>22</v>
      </c>
      <c r="I2177">
        <v>0</v>
      </c>
      <c r="J2177" t="s">
        <v>23</v>
      </c>
    </row>
    <row r="2178" spans="1:10" x14ac:dyDescent="0.25">
      <c r="A2178" s="1">
        <v>347</v>
      </c>
      <c r="B2178" t="s">
        <v>31</v>
      </c>
      <c r="C2178">
        <v>47</v>
      </c>
      <c r="D2178">
        <v>2</v>
      </c>
      <c r="E2178" t="s">
        <v>83</v>
      </c>
      <c r="F2178" t="s">
        <v>84</v>
      </c>
      <c r="G2178" t="str">
        <f>"2025-10-18 15:06:46.189"</f>
        <v>2025-10-18 15:06:46.189</v>
      </c>
      <c r="H2178" t="s">
        <v>47</v>
      </c>
    </row>
    <row r="2179" spans="1:10" x14ac:dyDescent="0.25">
      <c r="A2179" s="1">
        <v>348</v>
      </c>
      <c r="B2179" t="s">
        <v>19</v>
      </c>
      <c r="C2179">
        <v>706</v>
      </c>
      <c r="D2179">
        <v>2</v>
      </c>
      <c r="E2179" t="s">
        <v>20</v>
      </c>
      <c r="F2179" t="s">
        <v>54</v>
      </c>
      <c r="G2179" t="str">
        <f>"2025-10-18 15:06:44.398"</f>
        <v>2025-10-18 15:06:44.398</v>
      </c>
      <c r="H2179" t="s">
        <v>22</v>
      </c>
      <c r="I2179">
        <v>0</v>
      </c>
      <c r="J2179" t="s">
        <v>23</v>
      </c>
    </row>
    <row r="2180" spans="1:10" x14ac:dyDescent="0.25">
      <c r="A2180" s="1">
        <v>349</v>
      </c>
      <c r="B2180" t="s">
        <v>34</v>
      </c>
      <c r="C2180">
        <v>47</v>
      </c>
      <c r="D2180">
        <v>2</v>
      </c>
      <c r="E2180" t="s">
        <v>83</v>
      </c>
      <c r="F2180" t="s">
        <v>84</v>
      </c>
      <c r="G2180" t="str">
        <f>"2025-10-18 15:04:15.990"</f>
        <v>2025-10-18 15:04:15.990</v>
      </c>
      <c r="H2180" t="s">
        <v>47</v>
      </c>
      <c r="I2180">
        <v>0</v>
      </c>
      <c r="J2180" t="s">
        <v>38</v>
      </c>
    </row>
    <row r="2181" spans="1:10" x14ac:dyDescent="0.25">
      <c r="A2181" s="1">
        <v>350</v>
      </c>
      <c r="B2181" t="s">
        <v>26</v>
      </c>
      <c r="C2181">
        <v>630</v>
      </c>
      <c r="D2181">
        <v>5</v>
      </c>
      <c r="E2181" t="s">
        <v>39</v>
      </c>
      <c r="F2181" t="s">
        <v>40</v>
      </c>
      <c r="G2181" t="str">
        <f>"2025-10-18 14:52:34.090"</f>
        <v>2025-10-18 14:52:34.090</v>
      </c>
      <c r="H2181" t="s">
        <v>41</v>
      </c>
    </row>
    <row r="2182" spans="1:10" x14ac:dyDescent="0.25">
      <c r="A2182" s="1">
        <v>351</v>
      </c>
      <c r="B2182" t="s">
        <v>19</v>
      </c>
      <c r="C2182">
        <v>706</v>
      </c>
      <c r="D2182">
        <v>4</v>
      </c>
      <c r="E2182" t="s">
        <v>20</v>
      </c>
      <c r="F2182" t="s">
        <v>21</v>
      </c>
      <c r="G2182" t="str">
        <f>"2025-10-18 14:52:04.008"</f>
        <v>2025-10-18 14:52:04.008</v>
      </c>
      <c r="H2182" t="s">
        <v>22</v>
      </c>
      <c r="I2182">
        <v>0</v>
      </c>
      <c r="J2182" t="s">
        <v>23</v>
      </c>
    </row>
    <row r="2183" spans="1:10" x14ac:dyDescent="0.25">
      <c r="A2183" s="1">
        <v>352</v>
      </c>
      <c r="B2183" t="s">
        <v>34</v>
      </c>
      <c r="C2183">
        <v>630</v>
      </c>
      <c r="D2183">
        <v>5</v>
      </c>
      <c r="E2183" t="s">
        <v>39</v>
      </c>
      <c r="F2183" t="s">
        <v>40</v>
      </c>
      <c r="G2183" t="str">
        <f>"2025-10-18 14:51:26.390"</f>
        <v>2025-10-18 14:51:26.390</v>
      </c>
      <c r="H2183" t="s">
        <v>41</v>
      </c>
      <c r="I2183">
        <v>0</v>
      </c>
      <c r="J2183" t="s">
        <v>23</v>
      </c>
    </row>
    <row r="2184" spans="1:10" x14ac:dyDescent="0.25">
      <c r="A2184" s="1">
        <v>353</v>
      </c>
      <c r="B2184" t="s">
        <v>19</v>
      </c>
      <c r="C2184">
        <v>700</v>
      </c>
      <c r="D2184">
        <v>0</v>
      </c>
      <c r="E2184" t="s">
        <v>24</v>
      </c>
      <c r="F2184" t="s">
        <v>24</v>
      </c>
      <c r="G2184" t="str">
        <f>"2025-10-18 14:46:23.598"</f>
        <v>2025-10-18 14:46:23.598</v>
      </c>
      <c r="H2184" t="s">
        <v>22</v>
      </c>
    </row>
    <row r="2185" spans="1:10" x14ac:dyDescent="0.25">
      <c r="A2185" s="1">
        <v>354</v>
      </c>
      <c r="B2185" t="s">
        <v>19</v>
      </c>
      <c r="C2185">
        <v>700</v>
      </c>
      <c r="D2185">
        <v>0</v>
      </c>
      <c r="E2185" t="s">
        <v>24</v>
      </c>
      <c r="F2185" t="s">
        <v>24</v>
      </c>
      <c r="G2185" t="str">
        <f>"2025-10-18 14:26:49.602"</f>
        <v>2025-10-18 14:26:49.602</v>
      </c>
      <c r="H2185" t="s">
        <v>22</v>
      </c>
    </row>
    <row r="2186" spans="1:10" x14ac:dyDescent="0.25">
      <c r="A2186" s="1">
        <v>355</v>
      </c>
      <c r="B2186" t="s">
        <v>19</v>
      </c>
      <c r="C2186">
        <v>700</v>
      </c>
      <c r="D2186">
        <v>0</v>
      </c>
      <c r="E2186" t="s">
        <v>24</v>
      </c>
      <c r="F2186" t="s">
        <v>24</v>
      </c>
      <c r="G2186" t="str">
        <f>"2025-10-18 14:16:46.592"</f>
        <v>2025-10-18 14:16:46.592</v>
      </c>
      <c r="H2186" t="s">
        <v>22</v>
      </c>
      <c r="I2186">
        <v>0</v>
      </c>
      <c r="J2186" t="s">
        <v>25</v>
      </c>
    </row>
    <row r="2187" spans="1:10" x14ac:dyDescent="0.25">
      <c r="A2187" s="1">
        <v>356</v>
      </c>
      <c r="B2187" t="s">
        <v>19</v>
      </c>
      <c r="C2187">
        <v>706</v>
      </c>
      <c r="D2187">
        <v>3</v>
      </c>
      <c r="E2187" t="s">
        <v>20</v>
      </c>
      <c r="F2187" t="s">
        <v>48</v>
      </c>
      <c r="G2187" t="str">
        <f>"2025-10-18 13:07:30.794"</f>
        <v>2025-10-18 13:07:30.794</v>
      </c>
      <c r="H2187" t="s">
        <v>22</v>
      </c>
      <c r="I2187">
        <v>0</v>
      </c>
      <c r="J2187" t="s">
        <v>23</v>
      </c>
    </row>
    <row r="2188" spans="1:10" x14ac:dyDescent="0.25">
      <c r="A2188" s="1">
        <v>357</v>
      </c>
      <c r="B2188" t="s">
        <v>19</v>
      </c>
      <c r="C2188">
        <v>700</v>
      </c>
      <c r="D2188">
        <v>0</v>
      </c>
      <c r="E2188" t="s">
        <v>24</v>
      </c>
      <c r="F2188" t="s">
        <v>24</v>
      </c>
      <c r="G2188" t="str">
        <f>"2025-10-18 13:05:38.634"</f>
        <v>2025-10-18 13:05:38.634</v>
      </c>
      <c r="H2188" t="s">
        <v>22</v>
      </c>
    </row>
    <row r="2189" spans="1:10" x14ac:dyDescent="0.25">
      <c r="A2189" s="1">
        <v>358</v>
      </c>
      <c r="B2189" t="s">
        <v>19</v>
      </c>
      <c r="C2189">
        <v>700</v>
      </c>
      <c r="D2189">
        <v>0</v>
      </c>
      <c r="E2189" t="s">
        <v>24</v>
      </c>
      <c r="F2189" t="s">
        <v>24</v>
      </c>
      <c r="G2189" t="str">
        <f>"2025-10-18 12:36:04.593"</f>
        <v>2025-10-18 12:36:04.593</v>
      </c>
      <c r="H2189" t="s">
        <v>22</v>
      </c>
      <c r="I2189">
        <v>0</v>
      </c>
      <c r="J2189" t="s">
        <v>25</v>
      </c>
    </row>
    <row r="2190" spans="1:10" x14ac:dyDescent="0.25">
      <c r="A2190" s="1">
        <v>359</v>
      </c>
      <c r="B2190" t="s">
        <v>19</v>
      </c>
      <c r="C2190">
        <v>700</v>
      </c>
      <c r="D2190">
        <v>0</v>
      </c>
      <c r="E2190" t="s">
        <v>24</v>
      </c>
      <c r="F2190" t="s">
        <v>24</v>
      </c>
      <c r="G2190" t="str">
        <f>"2025-10-18 12:32:00.592"</f>
        <v>2025-10-18 12:32:00.592</v>
      </c>
      <c r="H2190" t="s">
        <v>22</v>
      </c>
    </row>
    <row r="2191" spans="1:10" x14ac:dyDescent="0.25">
      <c r="A2191" s="1">
        <v>360</v>
      </c>
      <c r="B2191" t="s">
        <v>19</v>
      </c>
      <c r="C2191">
        <v>706</v>
      </c>
      <c r="D2191">
        <v>3</v>
      </c>
      <c r="E2191" t="s">
        <v>20</v>
      </c>
      <c r="F2191" t="s">
        <v>48</v>
      </c>
      <c r="G2191" t="str">
        <f>"2025-10-18 12:30:28.596"</f>
        <v>2025-10-18 12:30:28.596</v>
      </c>
      <c r="H2191" t="s">
        <v>22</v>
      </c>
      <c r="I2191">
        <v>0</v>
      </c>
      <c r="J2191" t="s">
        <v>23</v>
      </c>
    </row>
    <row r="2192" spans="1:10" x14ac:dyDescent="0.25">
      <c r="A2192" s="1">
        <v>361</v>
      </c>
      <c r="B2192" t="s">
        <v>19</v>
      </c>
      <c r="C2192">
        <v>700</v>
      </c>
      <c r="D2192">
        <v>0</v>
      </c>
      <c r="E2192" t="s">
        <v>24</v>
      </c>
      <c r="F2192" t="s">
        <v>24</v>
      </c>
      <c r="G2192" t="str">
        <f>"2025-10-18 12:29:44.726"</f>
        <v>2025-10-18 12:29:44.726</v>
      </c>
      <c r="H2192" t="s">
        <v>22</v>
      </c>
      <c r="I2192">
        <v>0</v>
      </c>
      <c r="J2192" t="s">
        <v>25</v>
      </c>
    </row>
    <row r="2193" spans="1:10" x14ac:dyDescent="0.25">
      <c r="A2193" s="1">
        <v>362</v>
      </c>
      <c r="B2193" t="s">
        <v>19</v>
      </c>
      <c r="C2193">
        <v>700</v>
      </c>
      <c r="D2193">
        <v>0</v>
      </c>
      <c r="E2193" t="s">
        <v>24</v>
      </c>
      <c r="F2193" t="s">
        <v>24</v>
      </c>
      <c r="G2193" t="str">
        <f>"2025-10-18 12:26:56.578"</f>
        <v>2025-10-18 12:26:56.578</v>
      </c>
      <c r="H2193" t="s">
        <v>22</v>
      </c>
    </row>
    <row r="2194" spans="1:10" x14ac:dyDescent="0.25">
      <c r="A2194" s="1">
        <v>363</v>
      </c>
      <c r="B2194" t="s">
        <v>19</v>
      </c>
      <c r="C2194">
        <v>700</v>
      </c>
      <c r="D2194">
        <v>0</v>
      </c>
      <c r="E2194" t="s">
        <v>24</v>
      </c>
      <c r="F2194" t="s">
        <v>24</v>
      </c>
      <c r="G2194" t="str">
        <f>"2025-10-18 12:07:15.611"</f>
        <v>2025-10-18 12:07:15.611</v>
      </c>
      <c r="H2194" t="s">
        <v>22</v>
      </c>
    </row>
    <row r="2195" spans="1:10" x14ac:dyDescent="0.25">
      <c r="A2195" s="1">
        <v>364</v>
      </c>
      <c r="B2195" t="s">
        <v>19</v>
      </c>
      <c r="C2195">
        <v>700</v>
      </c>
      <c r="D2195">
        <v>0</v>
      </c>
      <c r="E2195" t="s">
        <v>24</v>
      </c>
      <c r="F2195" t="s">
        <v>24</v>
      </c>
      <c r="G2195" t="str">
        <f>"2025-10-18 09:00:39.597"</f>
        <v>2025-10-18 09:00:39.597</v>
      </c>
      <c r="H2195" t="s">
        <v>22</v>
      </c>
    </row>
    <row r="2196" spans="1:10" x14ac:dyDescent="0.25">
      <c r="A2196" s="1">
        <v>365</v>
      </c>
      <c r="B2196" t="s">
        <v>19</v>
      </c>
      <c r="C2196">
        <v>700</v>
      </c>
      <c r="D2196">
        <v>0</v>
      </c>
      <c r="E2196" t="s">
        <v>24</v>
      </c>
      <c r="F2196" t="s">
        <v>24</v>
      </c>
      <c r="G2196" t="str">
        <f>"2025-10-18 08:58:02.595"</f>
        <v>2025-10-18 08:58:02.595</v>
      </c>
      <c r="H2196" t="s">
        <v>22</v>
      </c>
    </row>
    <row r="2197" spans="1:10" x14ac:dyDescent="0.25">
      <c r="A2197" s="1">
        <v>366</v>
      </c>
      <c r="B2197" t="s">
        <v>19</v>
      </c>
      <c r="C2197">
        <v>700</v>
      </c>
      <c r="D2197">
        <v>0</v>
      </c>
      <c r="E2197" t="s">
        <v>24</v>
      </c>
      <c r="F2197" t="s">
        <v>24</v>
      </c>
      <c r="G2197" t="str">
        <f>"2025-10-18 08:55:59.592"</f>
        <v>2025-10-18 08:55:59.592</v>
      </c>
      <c r="H2197" t="s">
        <v>22</v>
      </c>
    </row>
    <row r="2198" spans="1:10" x14ac:dyDescent="0.25">
      <c r="A2198" s="1">
        <v>367</v>
      </c>
      <c r="B2198" t="s">
        <v>19</v>
      </c>
      <c r="C2198">
        <v>700</v>
      </c>
      <c r="D2198">
        <v>0</v>
      </c>
      <c r="E2198" t="s">
        <v>24</v>
      </c>
      <c r="F2198" t="s">
        <v>24</v>
      </c>
      <c r="G2198" t="str">
        <f>"2025-10-18 08:52:06.594"</f>
        <v>2025-10-18 08:52:06.594</v>
      </c>
      <c r="H2198" t="s">
        <v>22</v>
      </c>
    </row>
    <row r="2199" spans="1:10" x14ac:dyDescent="0.25">
      <c r="A2199" s="1">
        <v>368</v>
      </c>
      <c r="B2199" t="s">
        <v>19</v>
      </c>
      <c r="C2199">
        <v>700</v>
      </c>
      <c r="D2199">
        <v>0</v>
      </c>
      <c r="E2199" t="s">
        <v>24</v>
      </c>
      <c r="F2199" t="s">
        <v>24</v>
      </c>
      <c r="G2199" t="str">
        <f>"2025-10-18 08:51:14.623"</f>
        <v>2025-10-18 08:51:14.623</v>
      </c>
      <c r="H2199" t="s">
        <v>22</v>
      </c>
    </row>
    <row r="2200" spans="1:10" x14ac:dyDescent="0.25">
      <c r="A2200" s="1">
        <v>369</v>
      </c>
      <c r="B2200" t="s">
        <v>19</v>
      </c>
      <c r="C2200">
        <v>706</v>
      </c>
      <c r="D2200">
        <v>3</v>
      </c>
      <c r="E2200" t="s">
        <v>20</v>
      </c>
      <c r="F2200" t="s">
        <v>48</v>
      </c>
      <c r="G2200" t="str">
        <f>"2025-10-18 08:49:41.938"</f>
        <v>2025-10-18 08:49:41.938</v>
      </c>
      <c r="H2200" t="s">
        <v>22</v>
      </c>
      <c r="I2200">
        <v>0</v>
      </c>
      <c r="J2200" t="s">
        <v>23</v>
      </c>
    </row>
    <row r="2201" spans="1:10" x14ac:dyDescent="0.25">
      <c r="A2201" s="1">
        <v>370</v>
      </c>
      <c r="B2201" t="s">
        <v>19</v>
      </c>
      <c r="C2201">
        <v>706</v>
      </c>
      <c r="D2201">
        <v>3</v>
      </c>
      <c r="E2201" t="s">
        <v>20</v>
      </c>
      <c r="F2201" t="s">
        <v>48</v>
      </c>
      <c r="G2201" t="str">
        <f>"2025-10-18 08:48:52.938"</f>
        <v>2025-10-18 08:48:52.938</v>
      </c>
      <c r="H2201" t="s">
        <v>22</v>
      </c>
      <c r="I2201">
        <v>0</v>
      </c>
      <c r="J2201" t="s">
        <v>23</v>
      </c>
    </row>
    <row r="2202" spans="1:10" s="3" customFormat="1" x14ac:dyDescent="0.25">
      <c r="A2202" s="2">
        <v>371</v>
      </c>
      <c r="B2202" s="3" t="s">
        <v>26</v>
      </c>
      <c r="C2202" s="3">
        <v>647</v>
      </c>
      <c r="D2202" s="3">
        <v>1</v>
      </c>
      <c r="E2202" s="3" t="s">
        <v>35</v>
      </c>
      <c r="F2202" s="3" t="s">
        <v>36</v>
      </c>
      <c r="G2202" s="3" t="str">
        <f>"2025-10-18 07:15:43.580"</f>
        <v>2025-10-18 07:15:43.580</v>
      </c>
      <c r="H2202" s="3" t="s">
        <v>22</v>
      </c>
    </row>
    <row r="2203" spans="1:10" s="3" customFormat="1" x14ac:dyDescent="0.25">
      <c r="A2203" s="2">
        <v>372</v>
      </c>
      <c r="B2203" s="3" t="s">
        <v>29</v>
      </c>
      <c r="C2203" s="3">
        <v>647</v>
      </c>
      <c r="D2203" s="3">
        <v>1</v>
      </c>
      <c r="E2203" s="3" t="s">
        <v>35</v>
      </c>
      <c r="F2203" s="3" t="s">
        <v>36</v>
      </c>
      <c r="G2203" s="3" t="str">
        <f>"2025-10-18 07:15:42.280"</f>
        <v>2025-10-18 07:15:42.280</v>
      </c>
      <c r="H2203" s="3" t="s">
        <v>22</v>
      </c>
      <c r="I2203" s="3">
        <v>21.72</v>
      </c>
      <c r="J2203" s="3" t="s">
        <v>37</v>
      </c>
    </row>
    <row r="2204" spans="1:10" x14ac:dyDescent="0.25">
      <c r="A2204" s="1">
        <v>373</v>
      </c>
      <c r="B2204" t="s">
        <v>26</v>
      </c>
      <c r="C2204">
        <v>619</v>
      </c>
      <c r="D2204">
        <v>1</v>
      </c>
      <c r="E2204" t="s">
        <v>79</v>
      </c>
      <c r="F2204" t="s">
        <v>28</v>
      </c>
      <c r="G2204" t="str">
        <f>"2025-10-18 01:31:55.126"</f>
        <v>2025-10-18 01:31:55.126</v>
      </c>
      <c r="H2204" t="s">
        <v>80</v>
      </c>
    </row>
    <row r="2205" spans="1:10" x14ac:dyDescent="0.25">
      <c r="A2205" s="1">
        <v>374</v>
      </c>
      <c r="B2205" t="s">
        <v>29</v>
      </c>
      <c r="C2205">
        <v>619</v>
      </c>
      <c r="D2205">
        <v>1</v>
      </c>
      <c r="E2205" t="s">
        <v>79</v>
      </c>
      <c r="F2205" t="s">
        <v>28</v>
      </c>
      <c r="G2205" t="str">
        <f>"2025-10-18 01:31:21.479"</f>
        <v>2025-10-18 01:31:21.479</v>
      </c>
      <c r="H2205" t="s">
        <v>80</v>
      </c>
      <c r="I2205">
        <v>18.05</v>
      </c>
      <c r="J2205" t="s">
        <v>37</v>
      </c>
    </row>
    <row r="2206" spans="1:10" x14ac:dyDescent="0.25">
      <c r="A2206" s="1">
        <v>375</v>
      </c>
      <c r="B2206" t="s">
        <v>26</v>
      </c>
      <c r="C2206">
        <v>619</v>
      </c>
      <c r="D2206">
        <v>1</v>
      </c>
      <c r="E2206" t="s">
        <v>79</v>
      </c>
      <c r="F2206" t="s">
        <v>28</v>
      </c>
      <c r="G2206" t="str">
        <f>"2025-10-17 23:13:51.526"</f>
        <v>2025-10-17 23:13:51.526</v>
      </c>
      <c r="H2206" t="s">
        <v>80</v>
      </c>
    </row>
    <row r="2207" spans="1:10" x14ac:dyDescent="0.25">
      <c r="A2207" s="1">
        <v>376</v>
      </c>
      <c r="B2207" t="s">
        <v>29</v>
      </c>
      <c r="C2207">
        <v>619</v>
      </c>
      <c r="D2207">
        <v>1</v>
      </c>
      <c r="E2207" t="s">
        <v>79</v>
      </c>
      <c r="F2207" t="s">
        <v>28</v>
      </c>
      <c r="G2207" t="str">
        <f>"2025-10-17 23:13:43.879"</f>
        <v>2025-10-17 23:13:43.879</v>
      </c>
      <c r="H2207" t="s">
        <v>80</v>
      </c>
      <c r="I2207">
        <v>11.43</v>
      </c>
      <c r="J2207" t="s">
        <v>30</v>
      </c>
    </row>
    <row r="2208" spans="1:10" s="3" customFormat="1" x14ac:dyDescent="0.25">
      <c r="A2208" s="2">
        <v>377</v>
      </c>
      <c r="B2208" s="3" t="s">
        <v>26</v>
      </c>
      <c r="C2208" s="3">
        <v>647</v>
      </c>
      <c r="D2208" s="3">
        <v>1</v>
      </c>
      <c r="E2208" s="3" t="s">
        <v>35</v>
      </c>
      <c r="F2208" s="3" t="s">
        <v>36</v>
      </c>
      <c r="G2208" s="3" t="str">
        <f>"2025-10-17 15:40:49.080"</f>
        <v>2025-10-17 15:40:49.080</v>
      </c>
      <c r="H2208" s="3" t="s">
        <v>22</v>
      </c>
    </row>
    <row r="2209" spans="1:10" s="3" customFormat="1" x14ac:dyDescent="0.25">
      <c r="A2209" s="2">
        <v>378</v>
      </c>
      <c r="B2209" s="3" t="s">
        <v>29</v>
      </c>
      <c r="C2209" s="3">
        <v>647</v>
      </c>
      <c r="D2209" s="3">
        <v>1</v>
      </c>
      <c r="E2209" s="3" t="s">
        <v>35</v>
      </c>
      <c r="F2209" s="3" t="s">
        <v>36</v>
      </c>
      <c r="G2209" s="3" t="str">
        <f>"2025-10-17 15:40:47.180"</f>
        <v>2025-10-17 15:40:47.180</v>
      </c>
      <c r="H2209" s="3" t="s">
        <v>22</v>
      </c>
      <c r="I2209" s="3">
        <v>16.010000000000002</v>
      </c>
      <c r="J2209" s="3" t="s">
        <v>37</v>
      </c>
    </row>
    <row r="2210" spans="1:10" s="3" customFormat="1" x14ac:dyDescent="0.25">
      <c r="A2210" s="2">
        <v>379</v>
      </c>
      <c r="B2210" s="3" t="s">
        <v>26</v>
      </c>
      <c r="C2210" s="3">
        <v>647</v>
      </c>
      <c r="D2210" s="3">
        <v>1</v>
      </c>
      <c r="E2210" s="3" t="s">
        <v>35</v>
      </c>
      <c r="F2210" s="3" t="s">
        <v>36</v>
      </c>
      <c r="G2210" s="3" t="str">
        <f>"2025-10-16 16:03:22.380"</f>
        <v>2025-10-16 16:03:22.380</v>
      </c>
      <c r="H2210" s="3" t="s">
        <v>22</v>
      </c>
    </row>
    <row r="2211" spans="1:10" s="3" customFormat="1" x14ac:dyDescent="0.25">
      <c r="A2211" s="2">
        <v>380</v>
      </c>
      <c r="B2211" s="3" t="s">
        <v>29</v>
      </c>
      <c r="C2211" s="3">
        <v>647</v>
      </c>
      <c r="D2211" s="3">
        <v>1</v>
      </c>
      <c r="E2211" s="3" t="s">
        <v>35</v>
      </c>
      <c r="F2211" s="3" t="s">
        <v>36</v>
      </c>
      <c r="G2211" s="3" t="str">
        <f>"2025-10-16 16:03:19.880"</f>
        <v>2025-10-16 16:03:19.880</v>
      </c>
      <c r="H2211" s="3" t="s">
        <v>22</v>
      </c>
      <c r="I2211" s="3">
        <v>8.94</v>
      </c>
      <c r="J2211" s="3" t="s">
        <v>37</v>
      </c>
    </row>
    <row r="2212" spans="1:10" x14ac:dyDescent="0.25">
      <c r="A2212" s="1">
        <v>381</v>
      </c>
      <c r="B2212" t="s">
        <v>19</v>
      </c>
      <c r="C2212">
        <v>700</v>
      </c>
      <c r="D2212">
        <v>0</v>
      </c>
      <c r="E2212" t="s">
        <v>24</v>
      </c>
      <c r="F2212" t="s">
        <v>24</v>
      </c>
      <c r="G2212" t="str">
        <f>"2025-10-15 17:41:53.598"</f>
        <v>2025-10-15 17:41:53.598</v>
      </c>
      <c r="H2212" t="s">
        <v>22</v>
      </c>
      <c r="I2212">
        <v>0</v>
      </c>
      <c r="J2212" t="s">
        <v>25</v>
      </c>
    </row>
    <row r="2213" spans="1:10" x14ac:dyDescent="0.25">
      <c r="A2213" s="1">
        <v>382</v>
      </c>
      <c r="B2213" t="s">
        <v>19</v>
      </c>
      <c r="C2213">
        <v>700</v>
      </c>
      <c r="D2213">
        <v>0</v>
      </c>
      <c r="E2213" t="s">
        <v>24</v>
      </c>
      <c r="F2213" t="s">
        <v>24</v>
      </c>
      <c r="G2213" t="str">
        <f>"2025-10-15 16:29:42.580"</f>
        <v>2025-10-15 16:29:42.580</v>
      </c>
      <c r="H2213" t="s">
        <v>22</v>
      </c>
    </row>
    <row r="2214" spans="1:10" x14ac:dyDescent="0.25">
      <c r="A2214" s="1">
        <v>383</v>
      </c>
      <c r="B2214" t="s">
        <v>19</v>
      </c>
      <c r="C2214">
        <v>700</v>
      </c>
      <c r="D2214">
        <v>0</v>
      </c>
      <c r="E2214" t="s">
        <v>24</v>
      </c>
      <c r="F2214" t="s">
        <v>24</v>
      </c>
      <c r="G2214" t="str">
        <f>"2025-10-15 16:28:01.587"</f>
        <v>2025-10-15 16:28:01.587</v>
      </c>
      <c r="H2214" t="s">
        <v>22</v>
      </c>
      <c r="I2214">
        <v>0</v>
      </c>
      <c r="J2214" t="s">
        <v>25</v>
      </c>
    </row>
    <row r="2215" spans="1:10" x14ac:dyDescent="0.25">
      <c r="A2215" s="1">
        <v>384</v>
      </c>
      <c r="B2215" t="s">
        <v>19</v>
      </c>
      <c r="C2215">
        <v>700</v>
      </c>
      <c r="D2215">
        <v>0</v>
      </c>
      <c r="E2215" t="s">
        <v>24</v>
      </c>
      <c r="F2215" t="s">
        <v>24</v>
      </c>
      <c r="G2215" t="str">
        <f>"2025-10-15 16:24:48.595"</f>
        <v>2025-10-15 16:24:48.595</v>
      </c>
      <c r="H2215" t="s">
        <v>22</v>
      </c>
      <c r="I2215">
        <v>0</v>
      </c>
      <c r="J2215" t="s">
        <v>25</v>
      </c>
    </row>
    <row r="2216" spans="1:10" x14ac:dyDescent="0.25">
      <c r="A2216" s="1">
        <v>385</v>
      </c>
      <c r="B2216" t="s">
        <v>19</v>
      </c>
      <c r="C2216">
        <v>719</v>
      </c>
      <c r="D2216">
        <v>5</v>
      </c>
      <c r="E2216" t="s">
        <v>114</v>
      </c>
      <c r="F2216" t="s">
        <v>115</v>
      </c>
      <c r="G2216" t="str">
        <f>"2025-10-15 11:39:00.931"</f>
        <v>2025-10-15 11:39:00.931</v>
      </c>
      <c r="H2216" t="s">
        <v>22</v>
      </c>
      <c r="I2216">
        <v>0</v>
      </c>
      <c r="J2216" t="s">
        <v>23</v>
      </c>
    </row>
    <row r="2217" spans="1:10" x14ac:dyDescent="0.25">
      <c r="A2217" s="1">
        <v>386</v>
      </c>
      <c r="B2217" t="s">
        <v>19</v>
      </c>
      <c r="C2217">
        <v>719</v>
      </c>
      <c r="D2217">
        <v>5</v>
      </c>
      <c r="E2217" t="s">
        <v>114</v>
      </c>
      <c r="F2217" t="s">
        <v>115</v>
      </c>
      <c r="G2217" t="str">
        <f>"2025-10-15 11:39:01.208"</f>
        <v>2025-10-15 11:39:01.208</v>
      </c>
      <c r="H2217" t="s">
        <v>22</v>
      </c>
      <c r="I2217">
        <v>0</v>
      </c>
      <c r="J2217" t="s">
        <v>23</v>
      </c>
    </row>
    <row r="2218" spans="1:10" x14ac:dyDescent="0.25">
      <c r="A2218" s="1">
        <v>387</v>
      </c>
      <c r="B2218" t="s">
        <v>19</v>
      </c>
      <c r="C2218">
        <v>719</v>
      </c>
      <c r="D2218">
        <v>5</v>
      </c>
      <c r="E2218" t="s">
        <v>114</v>
      </c>
      <c r="F2218" t="s">
        <v>115</v>
      </c>
      <c r="G2218" t="str">
        <f>"2025-10-15 11:39:00.290"</f>
        <v>2025-10-15 11:39:00.290</v>
      </c>
      <c r="H2218" t="s">
        <v>22</v>
      </c>
      <c r="I2218">
        <v>0</v>
      </c>
      <c r="J2218" t="s">
        <v>23</v>
      </c>
    </row>
    <row r="2219" spans="1:10" x14ac:dyDescent="0.25">
      <c r="A2219" s="1">
        <v>388</v>
      </c>
      <c r="B2219" t="s">
        <v>34</v>
      </c>
      <c r="C2219">
        <v>630</v>
      </c>
      <c r="D2219">
        <v>5</v>
      </c>
      <c r="E2219" t="s">
        <v>39</v>
      </c>
      <c r="F2219" t="s">
        <v>40</v>
      </c>
      <c r="G2219" t="str">
        <f>"2025-10-15 11:29:24.371"</f>
        <v>2025-10-15 11:29:24.371</v>
      </c>
      <c r="H2219" t="s">
        <v>41</v>
      </c>
      <c r="I2219">
        <v>0</v>
      </c>
      <c r="J2219" t="s">
        <v>23</v>
      </c>
    </row>
    <row r="2220" spans="1:10" x14ac:dyDescent="0.25">
      <c r="A2220" s="1">
        <v>389</v>
      </c>
      <c r="B2220" t="s">
        <v>19</v>
      </c>
      <c r="C2220">
        <v>700</v>
      </c>
      <c r="D2220">
        <v>0</v>
      </c>
      <c r="E2220" t="s">
        <v>24</v>
      </c>
      <c r="F2220" t="s">
        <v>24</v>
      </c>
      <c r="G2220" t="str">
        <f>"2025-10-15 11:24:21.592"</f>
        <v>2025-10-15 11:24:21.592</v>
      </c>
      <c r="H2220" t="s">
        <v>22</v>
      </c>
    </row>
    <row r="2221" spans="1:10" x14ac:dyDescent="0.25">
      <c r="A2221" s="1">
        <v>390</v>
      </c>
      <c r="B2221" t="s">
        <v>19</v>
      </c>
      <c r="C2221">
        <v>706</v>
      </c>
      <c r="D2221">
        <v>2</v>
      </c>
      <c r="E2221" t="s">
        <v>20</v>
      </c>
      <c r="F2221" t="s">
        <v>54</v>
      </c>
      <c r="G2221" t="str">
        <f>"2025-10-15 10:23:05.174"</f>
        <v>2025-10-15 10:23:05.174</v>
      </c>
      <c r="H2221" t="s">
        <v>22</v>
      </c>
      <c r="I2221">
        <v>0</v>
      </c>
      <c r="J2221" t="s">
        <v>23</v>
      </c>
    </row>
    <row r="2222" spans="1:10" x14ac:dyDescent="0.25">
      <c r="A2222" s="1">
        <v>391</v>
      </c>
      <c r="B2222" t="s">
        <v>19</v>
      </c>
      <c r="C2222">
        <v>700</v>
      </c>
      <c r="D2222">
        <v>0</v>
      </c>
      <c r="E2222" t="s">
        <v>24</v>
      </c>
      <c r="F2222" t="s">
        <v>24</v>
      </c>
      <c r="G2222" t="str">
        <f>"2025-10-15 10:21:51.584"</f>
        <v>2025-10-15 10:21:51.584</v>
      </c>
      <c r="H2222" t="s">
        <v>22</v>
      </c>
    </row>
    <row r="2223" spans="1:10" x14ac:dyDescent="0.25">
      <c r="A2223" s="1">
        <v>392</v>
      </c>
      <c r="B2223" t="s">
        <v>19</v>
      </c>
      <c r="C2223">
        <v>706</v>
      </c>
      <c r="D2223">
        <v>3</v>
      </c>
      <c r="E2223" t="s">
        <v>20</v>
      </c>
      <c r="F2223" t="s">
        <v>48</v>
      </c>
      <c r="G2223" t="str">
        <f>"2025-10-15 10:18:39.182"</f>
        <v>2025-10-15 10:18:39.182</v>
      </c>
      <c r="H2223" t="s">
        <v>22</v>
      </c>
      <c r="I2223">
        <v>0</v>
      </c>
      <c r="J2223" t="s">
        <v>23</v>
      </c>
    </row>
    <row r="2224" spans="1:10" x14ac:dyDescent="0.25">
      <c r="A2224" s="1">
        <v>393</v>
      </c>
      <c r="B2224" t="s">
        <v>19</v>
      </c>
      <c r="C2224">
        <v>706</v>
      </c>
      <c r="D2224">
        <v>3</v>
      </c>
      <c r="E2224" t="s">
        <v>20</v>
      </c>
      <c r="F2224" t="s">
        <v>48</v>
      </c>
      <c r="G2224" t="str">
        <f>"2025-10-15 10:15:42.382"</f>
        <v>2025-10-15 10:15:42.382</v>
      </c>
      <c r="H2224" t="s">
        <v>22</v>
      </c>
      <c r="I2224">
        <v>0</v>
      </c>
      <c r="J2224" t="s">
        <v>23</v>
      </c>
    </row>
    <row r="2225" spans="1:10" x14ac:dyDescent="0.25">
      <c r="A2225" s="1">
        <v>394</v>
      </c>
      <c r="B2225" t="s">
        <v>19</v>
      </c>
      <c r="C2225">
        <v>700</v>
      </c>
      <c r="D2225">
        <v>0</v>
      </c>
      <c r="E2225" t="s">
        <v>24</v>
      </c>
      <c r="F2225" t="s">
        <v>24</v>
      </c>
      <c r="G2225" t="str">
        <f>"2025-10-15 10:14:27.642"</f>
        <v>2025-10-15 10:14:27.642</v>
      </c>
      <c r="H2225" t="s">
        <v>22</v>
      </c>
      <c r="I2225">
        <v>0</v>
      </c>
      <c r="J2225" t="s">
        <v>25</v>
      </c>
    </row>
    <row r="2226" spans="1:10" x14ac:dyDescent="0.25">
      <c r="A2226" s="1">
        <v>395</v>
      </c>
      <c r="B2226" t="s">
        <v>19</v>
      </c>
      <c r="C2226">
        <v>706</v>
      </c>
      <c r="D2226">
        <v>3</v>
      </c>
      <c r="E2226" t="s">
        <v>20</v>
      </c>
      <c r="F2226" t="s">
        <v>48</v>
      </c>
      <c r="G2226" t="str">
        <f>"2025-10-15 10:12:15.892"</f>
        <v>2025-10-15 10:12:15.892</v>
      </c>
      <c r="H2226" t="s">
        <v>22</v>
      </c>
      <c r="I2226">
        <v>0</v>
      </c>
      <c r="J2226" t="s">
        <v>23</v>
      </c>
    </row>
    <row r="2227" spans="1:10" x14ac:dyDescent="0.25">
      <c r="A2227" s="1">
        <v>396</v>
      </c>
      <c r="B2227" t="s">
        <v>19</v>
      </c>
      <c r="C2227">
        <v>700</v>
      </c>
      <c r="D2227">
        <v>0</v>
      </c>
      <c r="E2227" t="s">
        <v>24</v>
      </c>
      <c r="F2227" t="s">
        <v>24</v>
      </c>
      <c r="G2227" t="str">
        <f>"2025-10-15 10:11:34.592"</f>
        <v>2025-10-15 10:11:34.592</v>
      </c>
      <c r="H2227" t="s">
        <v>22</v>
      </c>
    </row>
    <row r="2228" spans="1:10" x14ac:dyDescent="0.25">
      <c r="A2228" s="1">
        <v>397</v>
      </c>
      <c r="B2228" t="s">
        <v>19</v>
      </c>
      <c r="C2228">
        <v>700</v>
      </c>
      <c r="D2228">
        <v>0</v>
      </c>
      <c r="E2228" t="s">
        <v>24</v>
      </c>
      <c r="F2228" t="s">
        <v>24</v>
      </c>
      <c r="G2228" t="str">
        <f>"2025-10-15 10:10:04.601"</f>
        <v>2025-10-15 10:10:04.601</v>
      </c>
      <c r="H2228" t="s">
        <v>22</v>
      </c>
      <c r="I2228">
        <v>0</v>
      </c>
      <c r="J2228" t="s">
        <v>25</v>
      </c>
    </row>
    <row r="2229" spans="1:10" x14ac:dyDescent="0.25">
      <c r="A2229" s="1">
        <v>398</v>
      </c>
      <c r="B2229" t="s">
        <v>19</v>
      </c>
      <c r="C2229">
        <v>700</v>
      </c>
      <c r="D2229">
        <v>0</v>
      </c>
      <c r="E2229" t="s">
        <v>24</v>
      </c>
      <c r="F2229" t="s">
        <v>24</v>
      </c>
      <c r="G2229" t="str">
        <f>"2025-10-15 08:40:17.589"</f>
        <v>2025-10-15 08:40:17.589</v>
      </c>
      <c r="H2229" t="s">
        <v>22</v>
      </c>
    </row>
    <row r="2230" spans="1:10" x14ac:dyDescent="0.25">
      <c r="A2230" s="1">
        <v>399</v>
      </c>
      <c r="B2230" t="s">
        <v>19</v>
      </c>
      <c r="C2230">
        <v>706</v>
      </c>
      <c r="D2230">
        <v>3</v>
      </c>
      <c r="E2230" t="s">
        <v>20</v>
      </c>
      <c r="F2230" t="s">
        <v>48</v>
      </c>
      <c r="G2230" t="str">
        <f>"2025-10-15 08:38:14.282"</f>
        <v>2025-10-15 08:38:14.282</v>
      </c>
      <c r="H2230" t="s">
        <v>22</v>
      </c>
      <c r="I2230">
        <v>0</v>
      </c>
      <c r="J2230" t="s">
        <v>23</v>
      </c>
    </row>
    <row r="2231" spans="1:10" x14ac:dyDescent="0.25">
      <c r="A2231" s="1">
        <v>400</v>
      </c>
      <c r="B2231" t="s">
        <v>19</v>
      </c>
      <c r="C2231">
        <v>700</v>
      </c>
      <c r="D2231">
        <v>0</v>
      </c>
      <c r="E2231" t="s">
        <v>24</v>
      </c>
      <c r="F2231" t="s">
        <v>24</v>
      </c>
      <c r="G2231" t="str">
        <f>"2025-10-15 08:37:02.592"</f>
        <v>2025-10-15 08:37:02.592</v>
      </c>
      <c r="H2231" t="s">
        <v>22</v>
      </c>
    </row>
    <row r="2232" spans="1:10" x14ac:dyDescent="0.25">
      <c r="A2232" s="1">
        <v>401</v>
      </c>
      <c r="B2232" t="s">
        <v>19</v>
      </c>
      <c r="C2232">
        <v>700</v>
      </c>
      <c r="D2232">
        <v>0</v>
      </c>
      <c r="E2232" t="s">
        <v>24</v>
      </c>
      <c r="F2232" t="s">
        <v>24</v>
      </c>
      <c r="G2232" t="str">
        <f>"2025-10-15 08:35:31.587"</f>
        <v>2025-10-15 08:35:31.587</v>
      </c>
      <c r="H2232" t="s">
        <v>22</v>
      </c>
    </row>
    <row r="2233" spans="1:10" x14ac:dyDescent="0.25">
      <c r="A2233" s="1">
        <v>402</v>
      </c>
      <c r="B2233" t="s">
        <v>19</v>
      </c>
      <c r="C2233">
        <v>706</v>
      </c>
      <c r="D2233">
        <v>3</v>
      </c>
      <c r="E2233" t="s">
        <v>20</v>
      </c>
      <c r="F2233" t="s">
        <v>48</v>
      </c>
      <c r="G2233" t="str">
        <f>"2025-10-15 08:34:05.699"</f>
        <v>2025-10-15 08:34:05.699</v>
      </c>
      <c r="H2233" t="s">
        <v>22</v>
      </c>
      <c r="I2233">
        <v>0</v>
      </c>
      <c r="J2233" t="s">
        <v>23</v>
      </c>
    </row>
    <row r="2234" spans="1:10" x14ac:dyDescent="0.25">
      <c r="A2234" s="1">
        <v>403</v>
      </c>
      <c r="B2234" t="s">
        <v>19</v>
      </c>
      <c r="C2234">
        <v>700</v>
      </c>
      <c r="D2234">
        <v>0</v>
      </c>
      <c r="E2234" t="s">
        <v>24</v>
      </c>
      <c r="F2234" t="s">
        <v>24</v>
      </c>
      <c r="G2234" t="str">
        <f>"2025-10-15 08:33:13.629"</f>
        <v>2025-10-15 08:33:13.629</v>
      </c>
      <c r="H2234" t="s">
        <v>22</v>
      </c>
      <c r="I2234">
        <v>0</v>
      </c>
      <c r="J2234" t="s">
        <v>25</v>
      </c>
    </row>
    <row r="2235" spans="1:10" x14ac:dyDescent="0.25">
      <c r="A2235" s="1">
        <v>404</v>
      </c>
      <c r="B2235" t="s">
        <v>19</v>
      </c>
      <c r="C2235">
        <v>706</v>
      </c>
      <c r="D2235">
        <v>3</v>
      </c>
      <c r="E2235" t="s">
        <v>20</v>
      </c>
      <c r="F2235" t="s">
        <v>48</v>
      </c>
      <c r="G2235" t="str">
        <f>"2025-10-15 08:31:01.036"</f>
        <v>2025-10-15 08:31:01.036</v>
      </c>
      <c r="H2235" t="s">
        <v>22</v>
      </c>
      <c r="I2235">
        <v>0</v>
      </c>
      <c r="J2235" t="s">
        <v>23</v>
      </c>
    </row>
    <row r="2236" spans="1:10" x14ac:dyDescent="0.25">
      <c r="A2236" s="1">
        <v>405</v>
      </c>
      <c r="B2236" t="s">
        <v>19</v>
      </c>
      <c r="C2236">
        <v>700</v>
      </c>
      <c r="D2236">
        <v>0</v>
      </c>
      <c r="E2236" t="s">
        <v>24</v>
      </c>
      <c r="F2236" t="s">
        <v>24</v>
      </c>
      <c r="G2236" t="str">
        <f>"2025-10-15 08:30:31.596"</f>
        <v>2025-10-15 08:30:31.596</v>
      </c>
      <c r="H2236" t="s">
        <v>22</v>
      </c>
      <c r="I2236">
        <v>0</v>
      </c>
      <c r="J2236" t="s">
        <v>25</v>
      </c>
    </row>
    <row r="2237" spans="1:10" x14ac:dyDescent="0.25">
      <c r="A2237" s="1">
        <v>406</v>
      </c>
      <c r="B2237" t="s">
        <v>31</v>
      </c>
      <c r="C2237">
        <v>87</v>
      </c>
      <c r="D2237">
        <v>1</v>
      </c>
      <c r="E2237" t="s">
        <v>32</v>
      </c>
      <c r="F2237" t="s">
        <v>33</v>
      </c>
      <c r="G2237" t="str">
        <f>"2025-10-14 23:58:45.815"</f>
        <v>2025-10-14 23:58:45.815</v>
      </c>
      <c r="H2237" t="s">
        <v>22</v>
      </c>
    </row>
    <row r="2238" spans="1:10" x14ac:dyDescent="0.25">
      <c r="A2238" s="1">
        <v>407</v>
      </c>
      <c r="B2238" t="s">
        <v>34</v>
      </c>
      <c r="C2238">
        <v>87</v>
      </c>
      <c r="D2238">
        <v>1</v>
      </c>
      <c r="E2238" t="s">
        <v>32</v>
      </c>
      <c r="F2238" t="s">
        <v>33</v>
      </c>
      <c r="G2238" t="str">
        <f>"2025-10-14 23:54:57.073"</f>
        <v>2025-10-14 23:54:57.073</v>
      </c>
      <c r="H2238" t="s">
        <v>22</v>
      </c>
      <c r="I2238">
        <v>4.9400000000000004</v>
      </c>
      <c r="J2238" t="s">
        <v>30</v>
      </c>
    </row>
    <row r="2239" spans="1:10" x14ac:dyDescent="0.25">
      <c r="A2239" s="1">
        <v>408</v>
      </c>
      <c r="B2239" t="s">
        <v>31</v>
      </c>
      <c r="C2239">
        <v>87</v>
      </c>
      <c r="D2239">
        <v>1</v>
      </c>
      <c r="E2239" t="s">
        <v>32</v>
      </c>
      <c r="F2239" t="s">
        <v>33</v>
      </c>
      <c r="G2239" t="str">
        <f>"2025-10-14 18:04:27.063"</f>
        <v>2025-10-14 18:04:27.063</v>
      </c>
      <c r="H2239" t="s">
        <v>22</v>
      </c>
    </row>
    <row r="2240" spans="1:10" x14ac:dyDescent="0.25">
      <c r="A2240" s="1">
        <v>409</v>
      </c>
      <c r="B2240" t="s">
        <v>34</v>
      </c>
      <c r="C2240">
        <v>87</v>
      </c>
      <c r="D2240">
        <v>1</v>
      </c>
      <c r="E2240" t="s">
        <v>32</v>
      </c>
      <c r="F2240" t="s">
        <v>33</v>
      </c>
      <c r="G2240" t="str">
        <f>"2025-10-14 17:59:02.034"</f>
        <v>2025-10-14 17:59:02.034</v>
      </c>
      <c r="H2240" t="s">
        <v>22</v>
      </c>
      <c r="I2240">
        <v>5.23</v>
      </c>
      <c r="J2240" t="s">
        <v>30</v>
      </c>
    </row>
    <row r="2241" spans="1:10" x14ac:dyDescent="0.25">
      <c r="A2241" s="1">
        <v>410</v>
      </c>
      <c r="B2241" t="s">
        <v>31</v>
      </c>
      <c r="C2241">
        <v>87</v>
      </c>
      <c r="D2241">
        <v>1</v>
      </c>
      <c r="E2241" t="s">
        <v>32</v>
      </c>
      <c r="F2241" t="s">
        <v>33</v>
      </c>
      <c r="G2241" t="str">
        <f>"2025-10-14 09:10:04.915"</f>
        <v>2025-10-14 09:10:04.915</v>
      </c>
      <c r="H2241" t="s">
        <v>22</v>
      </c>
    </row>
    <row r="2242" spans="1:10" x14ac:dyDescent="0.25">
      <c r="A2242" s="1">
        <v>411</v>
      </c>
      <c r="B2242" t="s">
        <v>34</v>
      </c>
      <c r="C2242">
        <v>87</v>
      </c>
      <c r="D2242">
        <v>1</v>
      </c>
      <c r="E2242" t="s">
        <v>32</v>
      </c>
      <c r="F2242" t="s">
        <v>33</v>
      </c>
      <c r="G2242" t="str">
        <f>"2025-10-14 08:51:48.975"</f>
        <v>2025-10-14 08:51:48.975</v>
      </c>
      <c r="H2242" t="s">
        <v>22</v>
      </c>
      <c r="I2242">
        <v>5.19</v>
      </c>
      <c r="J2242" t="s">
        <v>30</v>
      </c>
    </row>
    <row r="2243" spans="1:10" x14ac:dyDescent="0.25">
      <c r="A2243" s="1">
        <v>412</v>
      </c>
      <c r="B2243" t="s">
        <v>26</v>
      </c>
      <c r="C2243">
        <v>635</v>
      </c>
      <c r="D2243">
        <v>1</v>
      </c>
      <c r="E2243" t="s">
        <v>27</v>
      </c>
      <c r="F2243" t="s">
        <v>28</v>
      </c>
      <c r="G2243" t="str">
        <f>"2025-10-12 21:33:03.615"</f>
        <v>2025-10-12 21:33:03.615</v>
      </c>
      <c r="H2243" t="s">
        <v>22</v>
      </c>
    </row>
    <row r="2244" spans="1:10" x14ac:dyDescent="0.25">
      <c r="A2244" s="1">
        <v>413</v>
      </c>
      <c r="B2244" t="s">
        <v>29</v>
      </c>
      <c r="C2244">
        <v>635</v>
      </c>
      <c r="D2244">
        <v>1</v>
      </c>
      <c r="E2244" t="s">
        <v>27</v>
      </c>
      <c r="F2244" t="s">
        <v>28</v>
      </c>
      <c r="G2244" t="str">
        <f>"2025-10-12 21:29:28.615"</f>
        <v>2025-10-12 21:29:28.615</v>
      </c>
      <c r="H2244" t="s">
        <v>22</v>
      </c>
      <c r="I2244">
        <v>0.01</v>
      </c>
      <c r="J2244" t="s">
        <v>38</v>
      </c>
    </row>
    <row r="2245" spans="1:10" x14ac:dyDescent="0.25">
      <c r="A2245" s="1">
        <v>414</v>
      </c>
      <c r="B2245" t="s">
        <v>26</v>
      </c>
      <c r="C2245">
        <v>635</v>
      </c>
      <c r="D2245">
        <v>1</v>
      </c>
      <c r="E2245" t="s">
        <v>27</v>
      </c>
      <c r="F2245" t="s">
        <v>28</v>
      </c>
      <c r="G2245" t="str">
        <f>"2025-10-12 17:03:38.515"</f>
        <v>2025-10-12 17:03:38.515</v>
      </c>
      <c r="H2245" t="s">
        <v>22</v>
      </c>
    </row>
    <row r="2246" spans="1:10" x14ac:dyDescent="0.25">
      <c r="A2246" s="1">
        <v>415</v>
      </c>
      <c r="B2246" t="s">
        <v>29</v>
      </c>
      <c r="C2246">
        <v>635</v>
      </c>
      <c r="D2246">
        <v>1</v>
      </c>
      <c r="E2246" t="s">
        <v>27</v>
      </c>
      <c r="F2246" t="s">
        <v>28</v>
      </c>
      <c r="G2246" t="str">
        <f>"2025-10-12 16:37:39.615"</f>
        <v>2025-10-12 16:37:39.615</v>
      </c>
      <c r="H2246" t="s">
        <v>22</v>
      </c>
      <c r="I2246">
        <v>9.31</v>
      </c>
      <c r="J2246" t="s">
        <v>30</v>
      </c>
    </row>
    <row r="2247" spans="1:10" x14ac:dyDescent="0.25">
      <c r="A2247" s="1">
        <v>416</v>
      </c>
      <c r="B2247" t="s">
        <v>19</v>
      </c>
      <c r="C2247">
        <v>700</v>
      </c>
      <c r="D2247">
        <v>0</v>
      </c>
      <c r="E2247" t="s">
        <v>24</v>
      </c>
      <c r="F2247" t="s">
        <v>24</v>
      </c>
      <c r="G2247" t="str">
        <f>"2025-10-12 14:08:20.686"</f>
        <v>2025-10-12 14:08:20.686</v>
      </c>
      <c r="H2247" t="s">
        <v>22</v>
      </c>
    </row>
    <row r="2248" spans="1:10" x14ac:dyDescent="0.25">
      <c r="A2248" s="1">
        <v>417</v>
      </c>
      <c r="B2248" t="s">
        <v>26</v>
      </c>
      <c r="C2248">
        <v>61</v>
      </c>
      <c r="D2248">
        <v>2</v>
      </c>
      <c r="E2248" t="s">
        <v>81</v>
      </c>
      <c r="F2248" t="s">
        <v>82</v>
      </c>
      <c r="G2248" t="str">
        <f>"2025-10-12 11:50:19.290"</f>
        <v>2025-10-12 11:50:19.290</v>
      </c>
      <c r="H2248" t="s">
        <v>22</v>
      </c>
    </row>
    <row r="2249" spans="1:10" x14ac:dyDescent="0.25">
      <c r="A2249" s="1">
        <v>418</v>
      </c>
      <c r="B2249" t="s">
        <v>34</v>
      </c>
      <c r="C2249">
        <v>61</v>
      </c>
      <c r="D2249">
        <v>2</v>
      </c>
      <c r="E2249" t="s">
        <v>81</v>
      </c>
      <c r="F2249" t="s">
        <v>82</v>
      </c>
      <c r="G2249" t="str">
        <f>"2025-10-12 11:50:09.990"</f>
        <v>2025-10-12 11:50:09.990</v>
      </c>
      <c r="H2249" t="s">
        <v>22</v>
      </c>
      <c r="I2249">
        <v>35.409999999999997</v>
      </c>
      <c r="J2249" t="s">
        <v>37</v>
      </c>
    </row>
    <row r="2250" spans="1:10" x14ac:dyDescent="0.25">
      <c r="A2250" s="1">
        <v>419</v>
      </c>
      <c r="B2250" t="s">
        <v>26</v>
      </c>
      <c r="C2250">
        <v>61</v>
      </c>
      <c r="D2250">
        <v>2</v>
      </c>
      <c r="E2250" t="s">
        <v>81</v>
      </c>
      <c r="F2250" t="s">
        <v>82</v>
      </c>
      <c r="G2250" t="str">
        <f>"2025-10-12 10:43:23.890"</f>
        <v>2025-10-12 10:43:23.890</v>
      </c>
      <c r="H2250" t="s">
        <v>22</v>
      </c>
    </row>
    <row r="2251" spans="1:10" x14ac:dyDescent="0.25">
      <c r="A2251" s="1">
        <v>420</v>
      </c>
      <c r="B2251" t="s">
        <v>34</v>
      </c>
      <c r="C2251">
        <v>61</v>
      </c>
      <c r="D2251">
        <v>2</v>
      </c>
      <c r="E2251" t="s">
        <v>81</v>
      </c>
      <c r="F2251" t="s">
        <v>82</v>
      </c>
      <c r="G2251" t="str">
        <f>"2025-10-12 10:43:14.990"</f>
        <v>2025-10-12 10:43:14.990</v>
      </c>
      <c r="H2251" t="s">
        <v>22</v>
      </c>
      <c r="I2251">
        <v>35.46</v>
      </c>
      <c r="J2251" t="s">
        <v>37</v>
      </c>
    </row>
    <row r="2252" spans="1:10" x14ac:dyDescent="0.25">
      <c r="A2252" s="1">
        <v>421</v>
      </c>
      <c r="B2252" t="s">
        <v>26</v>
      </c>
      <c r="C2252">
        <v>61</v>
      </c>
      <c r="D2252">
        <v>2</v>
      </c>
      <c r="E2252" t="s">
        <v>81</v>
      </c>
      <c r="F2252" t="s">
        <v>82</v>
      </c>
      <c r="G2252" t="str">
        <f>"2025-10-12 08:33:02.590"</f>
        <v>2025-10-12 08:33:02.590</v>
      </c>
      <c r="H2252" t="s">
        <v>22</v>
      </c>
    </row>
    <row r="2253" spans="1:10" x14ac:dyDescent="0.25">
      <c r="A2253" s="1">
        <v>422</v>
      </c>
      <c r="B2253" t="s">
        <v>34</v>
      </c>
      <c r="C2253">
        <v>61</v>
      </c>
      <c r="D2253">
        <v>2</v>
      </c>
      <c r="E2253" t="s">
        <v>81</v>
      </c>
      <c r="F2253" t="s">
        <v>82</v>
      </c>
      <c r="G2253" t="str">
        <f>"2025-10-12 08:32:53.390"</f>
        <v>2025-10-12 08:32:53.390</v>
      </c>
      <c r="H2253" t="s">
        <v>22</v>
      </c>
      <c r="I2253">
        <v>35.299999999999997</v>
      </c>
      <c r="J2253" t="s">
        <v>37</v>
      </c>
    </row>
    <row r="2254" spans="1:10" s="3" customFormat="1" x14ac:dyDescent="0.25">
      <c r="A2254" s="2">
        <v>423</v>
      </c>
      <c r="B2254" s="3" t="s">
        <v>26</v>
      </c>
      <c r="C2254" s="3">
        <v>647</v>
      </c>
      <c r="D2254" s="3">
        <v>1</v>
      </c>
      <c r="E2254" s="3" t="s">
        <v>35</v>
      </c>
      <c r="F2254" s="3" t="s">
        <v>36</v>
      </c>
      <c r="G2254" s="3" t="str">
        <f>"2025-10-11 19:28:09.477"</f>
        <v>2025-10-11 19:28:09.477</v>
      </c>
      <c r="H2254" s="3" t="s">
        <v>22</v>
      </c>
    </row>
    <row r="2255" spans="1:10" s="3" customFormat="1" x14ac:dyDescent="0.25">
      <c r="A2255" s="2">
        <v>424</v>
      </c>
      <c r="B2255" s="3" t="s">
        <v>29</v>
      </c>
      <c r="C2255" s="3">
        <v>647</v>
      </c>
      <c r="D2255" s="3">
        <v>1</v>
      </c>
      <c r="E2255" s="3" t="s">
        <v>35</v>
      </c>
      <c r="F2255" s="3" t="s">
        <v>36</v>
      </c>
      <c r="G2255" s="3" t="str">
        <f>"2025-10-11 19:28:07.777"</f>
        <v>2025-10-11 19:28:07.777</v>
      </c>
      <c r="H2255" s="3" t="s">
        <v>22</v>
      </c>
      <c r="I2255" s="3">
        <v>23.06</v>
      </c>
      <c r="J2255" s="3" t="s">
        <v>37</v>
      </c>
    </row>
    <row r="2256" spans="1:10" x14ac:dyDescent="0.25">
      <c r="A2256" s="1">
        <v>425</v>
      </c>
      <c r="B2256" t="s">
        <v>26</v>
      </c>
      <c r="C2256">
        <v>635</v>
      </c>
      <c r="D2256">
        <v>1</v>
      </c>
      <c r="E2256" t="s">
        <v>27</v>
      </c>
      <c r="F2256" t="s">
        <v>28</v>
      </c>
      <c r="G2256" t="str">
        <f>"2025-10-11 16:16:09.877"</f>
        <v>2025-10-11 16:16:09.877</v>
      </c>
      <c r="H2256" t="s">
        <v>22</v>
      </c>
    </row>
    <row r="2257" spans="1:10" x14ac:dyDescent="0.25">
      <c r="A2257" s="1">
        <v>426</v>
      </c>
      <c r="B2257" t="s">
        <v>29</v>
      </c>
      <c r="C2257">
        <v>635</v>
      </c>
      <c r="D2257">
        <v>1</v>
      </c>
      <c r="E2257" t="s">
        <v>27</v>
      </c>
      <c r="F2257" t="s">
        <v>28</v>
      </c>
      <c r="G2257" t="str">
        <f>"2025-10-11 15:46:47.977"</f>
        <v>2025-10-11 15:46:47.977</v>
      </c>
      <c r="H2257" t="s">
        <v>22</v>
      </c>
      <c r="I2257">
        <v>7.89</v>
      </c>
      <c r="J2257" t="s">
        <v>30</v>
      </c>
    </row>
    <row r="2258" spans="1:10" s="3" customFormat="1" x14ac:dyDescent="0.25">
      <c r="A2258" s="2">
        <v>427</v>
      </c>
      <c r="B2258" s="3" t="s">
        <v>26</v>
      </c>
      <c r="C2258" s="3">
        <v>647</v>
      </c>
      <c r="D2258" s="3">
        <v>1</v>
      </c>
      <c r="E2258" s="3" t="s">
        <v>35</v>
      </c>
      <c r="F2258" s="3" t="s">
        <v>36</v>
      </c>
      <c r="G2258" s="3" t="str">
        <f>"2025-10-11 11:56:03.577"</f>
        <v>2025-10-11 11:56:03.577</v>
      </c>
      <c r="H2258" s="3" t="s">
        <v>22</v>
      </c>
    </row>
    <row r="2259" spans="1:10" s="3" customFormat="1" x14ac:dyDescent="0.25">
      <c r="A2259" s="2">
        <v>428</v>
      </c>
      <c r="B2259" s="3" t="s">
        <v>29</v>
      </c>
      <c r="C2259" s="3">
        <v>647</v>
      </c>
      <c r="D2259" s="3">
        <v>1</v>
      </c>
      <c r="E2259" s="3" t="s">
        <v>35</v>
      </c>
      <c r="F2259" s="3" t="s">
        <v>36</v>
      </c>
      <c r="G2259" s="3" t="str">
        <f>"2025-10-11 11:55:59.277"</f>
        <v>2025-10-11 11:55:59.277</v>
      </c>
      <c r="H2259" s="3" t="s">
        <v>22</v>
      </c>
      <c r="I2259" s="3">
        <v>9.91</v>
      </c>
      <c r="J2259" s="3" t="s">
        <v>37</v>
      </c>
    </row>
    <row r="2260" spans="1:10" x14ac:dyDescent="0.25">
      <c r="A2260" s="1">
        <v>429</v>
      </c>
      <c r="B2260" t="s">
        <v>26</v>
      </c>
      <c r="C2260">
        <v>635</v>
      </c>
      <c r="D2260">
        <v>1</v>
      </c>
      <c r="E2260" t="s">
        <v>27</v>
      </c>
      <c r="F2260" t="s">
        <v>28</v>
      </c>
      <c r="G2260" t="str">
        <f>"2025-10-11 10:39:01.377"</f>
        <v>2025-10-11 10:39:01.377</v>
      </c>
      <c r="H2260" t="s">
        <v>22</v>
      </c>
    </row>
    <row r="2261" spans="1:10" x14ac:dyDescent="0.25">
      <c r="A2261" s="1">
        <v>430</v>
      </c>
      <c r="B2261" t="s">
        <v>29</v>
      </c>
      <c r="C2261">
        <v>635</v>
      </c>
      <c r="D2261">
        <v>1</v>
      </c>
      <c r="E2261" t="s">
        <v>27</v>
      </c>
      <c r="F2261" t="s">
        <v>28</v>
      </c>
      <c r="G2261" t="str">
        <f>"2025-10-11 10:21:01.877"</f>
        <v>2025-10-11 10:21:01.877</v>
      </c>
      <c r="H2261" t="s">
        <v>22</v>
      </c>
      <c r="I2261">
        <v>7.44</v>
      </c>
      <c r="J2261" t="s">
        <v>30</v>
      </c>
    </row>
    <row r="2262" spans="1:10" s="3" customFormat="1" x14ac:dyDescent="0.25">
      <c r="A2262" s="2">
        <v>431</v>
      </c>
      <c r="B2262" s="3" t="s">
        <v>26</v>
      </c>
      <c r="C2262" s="3">
        <v>647</v>
      </c>
      <c r="D2262" s="3">
        <v>1</v>
      </c>
      <c r="E2262" s="3" t="s">
        <v>35</v>
      </c>
      <c r="F2262" s="3" t="s">
        <v>36</v>
      </c>
      <c r="G2262" s="3" t="str">
        <f>"2025-10-10 19:04:53.777"</f>
        <v>2025-10-10 19:04:53.777</v>
      </c>
      <c r="H2262" s="3" t="s">
        <v>22</v>
      </c>
    </row>
    <row r="2263" spans="1:10" s="3" customFormat="1" x14ac:dyDescent="0.25">
      <c r="A2263" s="2">
        <v>432</v>
      </c>
      <c r="B2263" s="3" t="s">
        <v>29</v>
      </c>
      <c r="C2263" s="3">
        <v>647</v>
      </c>
      <c r="D2263" s="3">
        <v>1</v>
      </c>
      <c r="E2263" s="3" t="s">
        <v>35</v>
      </c>
      <c r="F2263" s="3" t="s">
        <v>36</v>
      </c>
      <c r="G2263" s="3" t="str">
        <f>"2025-10-10 19:04:51.978"</f>
        <v>2025-10-10 19:04:51.978</v>
      </c>
      <c r="H2263" s="3" t="s">
        <v>22</v>
      </c>
      <c r="I2263" s="3">
        <v>25.77</v>
      </c>
      <c r="J2263" s="3" t="s">
        <v>37</v>
      </c>
    </row>
    <row r="2264" spans="1:10" x14ac:dyDescent="0.25">
      <c r="A2264" s="1">
        <v>433</v>
      </c>
      <c r="B2264" t="s">
        <v>26</v>
      </c>
      <c r="C2264">
        <v>630</v>
      </c>
      <c r="D2264">
        <v>5</v>
      </c>
      <c r="E2264" t="s">
        <v>39</v>
      </c>
      <c r="F2264" t="s">
        <v>40</v>
      </c>
      <c r="G2264" t="str">
        <f>"2025-10-10 12:03:41.277"</f>
        <v>2025-10-10 12:03:41.277</v>
      </c>
      <c r="H2264" t="s">
        <v>41</v>
      </c>
    </row>
    <row r="2265" spans="1:10" x14ac:dyDescent="0.25">
      <c r="A2265" s="1">
        <v>434</v>
      </c>
      <c r="B2265" t="s">
        <v>19</v>
      </c>
      <c r="C2265">
        <v>706</v>
      </c>
      <c r="D2265">
        <v>3</v>
      </c>
      <c r="E2265" t="s">
        <v>20</v>
      </c>
      <c r="F2265" t="s">
        <v>48</v>
      </c>
      <c r="G2265" t="str">
        <f>"2025-10-10 12:03:04.959"</f>
        <v>2025-10-10 12:03:04.959</v>
      </c>
      <c r="H2265" t="s">
        <v>22</v>
      </c>
      <c r="I2265">
        <v>0</v>
      </c>
      <c r="J2265" t="s">
        <v>23</v>
      </c>
    </row>
    <row r="2266" spans="1:10" x14ac:dyDescent="0.25">
      <c r="A2266" s="1">
        <v>435</v>
      </c>
      <c r="B2266" t="s">
        <v>34</v>
      </c>
      <c r="C2266">
        <v>630</v>
      </c>
      <c r="D2266">
        <v>5</v>
      </c>
      <c r="E2266" t="s">
        <v>39</v>
      </c>
      <c r="F2266" t="s">
        <v>40</v>
      </c>
      <c r="G2266" t="str">
        <f>"2025-10-10 11:52:03.777"</f>
        <v>2025-10-10 11:52:03.777</v>
      </c>
      <c r="H2266" t="s">
        <v>41</v>
      </c>
      <c r="I2266">
        <v>0</v>
      </c>
      <c r="J2266" t="s">
        <v>23</v>
      </c>
    </row>
    <row r="2267" spans="1:10" x14ac:dyDescent="0.25">
      <c r="A2267" s="1">
        <v>436</v>
      </c>
      <c r="B2267" t="s">
        <v>26</v>
      </c>
      <c r="C2267">
        <v>98</v>
      </c>
      <c r="D2267">
        <v>1</v>
      </c>
      <c r="E2267" t="s">
        <v>52</v>
      </c>
      <c r="F2267" t="s">
        <v>53</v>
      </c>
      <c r="G2267" t="str">
        <f>"2025-10-08 23:06:20.089"</f>
        <v>2025-10-08 23:06:20.089</v>
      </c>
      <c r="H2267" t="s">
        <v>22</v>
      </c>
    </row>
    <row r="2268" spans="1:10" x14ac:dyDescent="0.25">
      <c r="A2268" s="1">
        <v>437</v>
      </c>
      <c r="B2268" t="s">
        <v>29</v>
      </c>
      <c r="C2268">
        <v>98</v>
      </c>
      <c r="D2268">
        <v>1</v>
      </c>
      <c r="E2268" t="s">
        <v>52</v>
      </c>
      <c r="F2268" t="s">
        <v>53</v>
      </c>
      <c r="G2268" t="str">
        <f>"2025-10-08 23:06:17.689"</f>
        <v>2025-10-08 23:06:17.689</v>
      </c>
      <c r="H2268" t="s">
        <v>22</v>
      </c>
      <c r="I2268">
        <v>0</v>
      </c>
      <c r="J2268" t="s">
        <v>38</v>
      </c>
    </row>
    <row r="2269" spans="1:10" x14ac:dyDescent="0.25">
      <c r="A2269" s="1">
        <v>438</v>
      </c>
      <c r="B2269" t="s">
        <v>26</v>
      </c>
      <c r="C2269">
        <v>98</v>
      </c>
      <c r="D2269">
        <v>1</v>
      </c>
      <c r="E2269" t="s">
        <v>52</v>
      </c>
      <c r="F2269" t="s">
        <v>53</v>
      </c>
      <c r="G2269" t="str">
        <f>"2025-10-08 23:06:16.889"</f>
        <v>2025-10-08 23:06:16.889</v>
      </c>
      <c r="H2269" t="s">
        <v>22</v>
      </c>
    </row>
    <row r="2270" spans="1:10" x14ac:dyDescent="0.25">
      <c r="A2270" s="1">
        <v>439</v>
      </c>
      <c r="B2270" t="s">
        <v>29</v>
      </c>
      <c r="C2270">
        <v>98</v>
      </c>
      <c r="D2270">
        <v>1</v>
      </c>
      <c r="E2270" t="s">
        <v>52</v>
      </c>
      <c r="F2270" t="s">
        <v>53</v>
      </c>
      <c r="G2270" t="str">
        <f>"2025-10-08 23:06:14.690"</f>
        <v>2025-10-08 23:06:14.690</v>
      </c>
      <c r="H2270" t="s">
        <v>22</v>
      </c>
      <c r="I2270">
        <v>0</v>
      </c>
      <c r="J2270" t="s">
        <v>38</v>
      </c>
    </row>
    <row r="2271" spans="1:10" x14ac:dyDescent="0.25">
      <c r="A2271" s="1">
        <v>440</v>
      </c>
      <c r="B2271" t="s">
        <v>26</v>
      </c>
      <c r="C2271">
        <v>619</v>
      </c>
      <c r="D2271">
        <v>1</v>
      </c>
      <c r="E2271" t="s">
        <v>79</v>
      </c>
      <c r="F2271" t="s">
        <v>28</v>
      </c>
      <c r="G2271" t="str">
        <f>"2025-10-08 11:13:39.329"</f>
        <v>2025-10-08 11:13:39.329</v>
      </c>
      <c r="H2271" t="s">
        <v>80</v>
      </c>
    </row>
    <row r="2272" spans="1:10" x14ac:dyDescent="0.25">
      <c r="A2272" s="1">
        <v>441</v>
      </c>
      <c r="B2272" t="s">
        <v>29</v>
      </c>
      <c r="C2272">
        <v>619</v>
      </c>
      <c r="D2272">
        <v>1</v>
      </c>
      <c r="E2272" t="s">
        <v>79</v>
      </c>
      <c r="F2272" t="s">
        <v>28</v>
      </c>
      <c r="G2272" t="str">
        <f>"2025-10-08 11:13:26.430"</f>
        <v>2025-10-08 11:13:26.430</v>
      </c>
      <c r="H2272" t="s">
        <v>80</v>
      </c>
      <c r="I2272">
        <v>12.77</v>
      </c>
      <c r="J2272" t="s">
        <v>37</v>
      </c>
    </row>
    <row r="2273" spans="1:10" x14ac:dyDescent="0.25">
      <c r="A2273" s="1">
        <v>442</v>
      </c>
      <c r="B2273" t="s">
        <v>19</v>
      </c>
      <c r="C2273">
        <v>706</v>
      </c>
      <c r="D2273">
        <v>2</v>
      </c>
      <c r="E2273" t="s">
        <v>20</v>
      </c>
      <c r="F2273" t="s">
        <v>54</v>
      </c>
      <c r="G2273" t="str">
        <f>"2025-10-08 02:04:43.379"</f>
        <v>2025-10-08 02:04:43.379</v>
      </c>
      <c r="H2273" t="s">
        <v>22</v>
      </c>
      <c r="I2273">
        <v>0</v>
      </c>
      <c r="J2273" t="s">
        <v>23</v>
      </c>
    </row>
    <row r="2274" spans="1:10" x14ac:dyDescent="0.25">
      <c r="A2274" s="1">
        <v>443</v>
      </c>
      <c r="B2274" t="s">
        <v>19</v>
      </c>
      <c r="C2274">
        <v>706</v>
      </c>
      <c r="D2274">
        <v>2</v>
      </c>
      <c r="E2274" t="s">
        <v>20</v>
      </c>
      <c r="F2274" t="s">
        <v>54</v>
      </c>
      <c r="G2274" t="str">
        <f>"2025-10-08 02:04:11.179"</f>
        <v>2025-10-08 02:04:11.179</v>
      </c>
      <c r="H2274" t="s">
        <v>22</v>
      </c>
      <c r="I2274">
        <v>0</v>
      </c>
      <c r="J2274" t="s">
        <v>23</v>
      </c>
    </row>
    <row r="2275" spans="1:10" x14ac:dyDescent="0.25">
      <c r="A2275" s="1">
        <v>444</v>
      </c>
      <c r="B2275" t="s">
        <v>19</v>
      </c>
      <c r="C2275">
        <v>706</v>
      </c>
      <c r="D2275">
        <v>2</v>
      </c>
      <c r="E2275" t="s">
        <v>20</v>
      </c>
      <c r="F2275" t="s">
        <v>54</v>
      </c>
      <c r="G2275" t="str">
        <f>"2025-10-08 02:03:31.979"</f>
        <v>2025-10-08 02:03:31.979</v>
      </c>
      <c r="H2275" t="s">
        <v>22</v>
      </c>
      <c r="I2275">
        <v>0</v>
      </c>
      <c r="J2275" t="s">
        <v>23</v>
      </c>
    </row>
    <row r="2276" spans="1:10" x14ac:dyDescent="0.25">
      <c r="A2276" s="1">
        <v>445</v>
      </c>
      <c r="B2276" t="s">
        <v>19</v>
      </c>
      <c r="C2276">
        <v>706</v>
      </c>
      <c r="D2276">
        <v>2</v>
      </c>
      <c r="E2276" t="s">
        <v>20</v>
      </c>
      <c r="F2276" t="s">
        <v>54</v>
      </c>
      <c r="G2276" t="str">
        <f>"2025-10-08 02:03:12.779"</f>
        <v>2025-10-08 02:03:12.779</v>
      </c>
      <c r="H2276" t="s">
        <v>22</v>
      </c>
      <c r="I2276">
        <v>0</v>
      </c>
      <c r="J2276" t="s">
        <v>23</v>
      </c>
    </row>
    <row r="2277" spans="1:10" x14ac:dyDescent="0.25">
      <c r="A2277" s="1">
        <v>446</v>
      </c>
      <c r="B2277" t="s">
        <v>19</v>
      </c>
      <c r="C2277">
        <v>706</v>
      </c>
      <c r="D2277">
        <v>3</v>
      </c>
      <c r="E2277" t="s">
        <v>20</v>
      </c>
      <c r="F2277" t="s">
        <v>48</v>
      </c>
      <c r="G2277" t="str">
        <f>"2025-10-08 02:02:44.909"</f>
        <v>2025-10-08 02:02:44.909</v>
      </c>
      <c r="H2277" t="s">
        <v>22</v>
      </c>
      <c r="I2277">
        <v>0</v>
      </c>
      <c r="J2277" t="s">
        <v>23</v>
      </c>
    </row>
    <row r="2278" spans="1:10" x14ac:dyDescent="0.25">
      <c r="A2278" s="1">
        <v>447</v>
      </c>
      <c r="B2278" t="s">
        <v>19</v>
      </c>
      <c r="C2278">
        <v>706</v>
      </c>
      <c r="D2278">
        <v>4</v>
      </c>
      <c r="E2278" t="s">
        <v>20</v>
      </c>
      <c r="F2278" t="s">
        <v>21</v>
      </c>
      <c r="G2278" t="str">
        <f>"2025-10-08 02:01:55.939"</f>
        <v>2025-10-08 02:01:55.939</v>
      </c>
      <c r="H2278" t="s">
        <v>22</v>
      </c>
      <c r="I2278">
        <v>0</v>
      </c>
      <c r="J2278" t="s">
        <v>23</v>
      </c>
    </row>
    <row r="2279" spans="1:10" x14ac:dyDescent="0.25">
      <c r="A2279" s="1">
        <v>448</v>
      </c>
      <c r="B2279" t="s">
        <v>19</v>
      </c>
      <c r="C2279">
        <v>700</v>
      </c>
      <c r="D2279">
        <v>0</v>
      </c>
      <c r="E2279" t="s">
        <v>24</v>
      </c>
      <c r="F2279" t="s">
        <v>24</v>
      </c>
      <c r="G2279" t="str">
        <f>"2025-10-08 02:01:10.599"</f>
        <v>2025-10-08 02:01:10.599</v>
      </c>
      <c r="H2279" t="s">
        <v>22</v>
      </c>
    </row>
    <row r="2280" spans="1:10" x14ac:dyDescent="0.25">
      <c r="A2280" s="1">
        <v>449</v>
      </c>
      <c r="B2280" t="s">
        <v>19</v>
      </c>
      <c r="C2280">
        <v>700</v>
      </c>
      <c r="D2280">
        <v>0</v>
      </c>
      <c r="E2280" t="s">
        <v>24</v>
      </c>
      <c r="F2280" t="s">
        <v>24</v>
      </c>
      <c r="G2280" t="str">
        <f>"2025-10-08 01:54:44.606"</f>
        <v>2025-10-08 01:54:44.606</v>
      </c>
      <c r="H2280" t="s">
        <v>22</v>
      </c>
      <c r="I2280">
        <v>0</v>
      </c>
      <c r="J2280" t="s">
        <v>25</v>
      </c>
    </row>
    <row r="2281" spans="1:10" x14ac:dyDescent="0.25">
      <c r="A2281" s="1">
        <v>450</v>
      </c>
      <c r="B2281" t="s">
        <v>19</v>
      </c>
      <c r="C2281">
        <v>700</v>
      </c>
      <c r="D2281">
        <v>0</v>
      </c>
      <c r="E2281" t="s">
        <v>24</v>
      </c>
      <c r="F2281" t="s">
        <v>24</v>
      </c>
      <c r="G2281" t="str">
        <f>"2025-10-08 01:42:23.593"</f>
        <v>2025-10-08 01:42:23.593</v>
      </c>
      <c r="H2281" t="s">
        <v>22</v>
      </c>
      <c r="I2281">
        <v>0</v>
      </c>
      <c r="J2281" t="s">
        <v>25</v>
      </c>
    </row>
    <row r="2282" spans="1:10" x14ac:dyDescent="0.25">
      <c r="A2282" s="1">
        <v>451</v>
      </c>
      <c r="B2282" t="s">
        <v>34</v>
      </c>
      <c r="C2282">
        <v>630</v>
      </c>
      <c r="D2282">
        <v>5</v>
      </c>
      <c r="E2282" t="s">
        <v>39</v>
      </c>
      <c r="F2282" t="s">
        <v>40</v>
      </c>
      <c r="G2282" t="str">
        <f>"2025-10-08 01:38:44.367"</f>
        <v>2025-10-08 01:38:44.367</v>
      </c>
      <c r="H2282" t="s">
        <v>41</v>
      </c>
      <c r="I2282">
        <v>0</v>
      </c>
      <c r="J2282" t="s">
        <v>23</v>
      </c>
    </row>
    <row r="2283" spans="1:10" x14ac:dyDescent="0.25">
      <c r="A2283" s="1">
        <v>452</v>
      </c>
      <c r="B2283" t="s">
        <v>19</v>
      </c>
      <c r="C2283">
        <v>700</v>
      </c>
      <c r="D2283">
        <v>0</v>
      </c>
      <c r="E2283" t="s">
        <v>24</v>
      </c>
      <c r="F2283" t="s">
        <v>24</v>
      </c>
      <c r="G2283" t="str">
        <f>"2025-10-08 01:33:41.578"</f>
        <v>2025-10-08 01:33:41.578</v>
      </c>
      <c r="H2283" t="s">
        <v>22</v>
      </c>
    </row>
    <row r="2284" spans="1:10" x14ac:dyDescent="0.25">
      <c r="A2284" s="1">
        <v>453</v>
      </c>
      <c r="B2284" t="s">
        <v>19</v>
      </c>
      <c r="C2284">
        <v>700</v>
      </c>
      <c r="D2284">
        <v>0</v>
      </c>
      <c r="E2284" t="s">
        <v>24</v>
      </c>
      <c r="F2284" t="s">
        <v>24</v>
      </c>
      <c r="G2284" t="str">
        <f>"2025-10-08 01:28:37.677"</f>
        <v>2025-10-08 01:28:37.677</v>
      </c>
      <c r="H2284" t="s">
        <v>22</v>
      </c>
    </row>
    <row r="2285" spans="1:10" x14ac:dyDescent="0.25">
      <c r="A2285" s="1">
        <v>454</v>
      </c>
      <c r="B2285" t="s">
        <v>34</v>
      </c>
      <c r="C2285">
        <v>630</v>
      </c>
      <c r="D2285">
        <v>5</v>
      </c>
      <c r="E2285" t="s">
        <v>39</v>
      </c>
      <c r="F2285" t="s">
        <v>40</v>
      </c>
      <c r="G2285" t="str">
        <f>"2025-10-08 01:24:52.364"</f>
        <v>2025-10-08 01:24:52.364</v>
      </c>
      <c r="H2285" t="s">
        <v>41</v>
      </c>
      <c r="I2285">
        <v>0</v>
      </c>
      <c r="J2285" t="s">
        <v>23</v>
      </c>
    </row>
    <row r="2286" spans="1:10" x14ac:dyDescent="0.25">
      <c r="A2286" s="1">
        <v>455</v>
      </c>
      <c r="B2286" t="s">
        <v>19</v>
      </c>
      <c r="C2286">
        <v>700</v>
      </c>
      <c r="D2286">
        <v>0</v>
      </c>
      <c r="E2286" t="s">
        <v>24</v>
      </c>
      <c r="F2286" t="s">
        <v>24</v>
      </c>
      <c r="G2286" t="str">
        <f>"2025-10-08 01:19:49.595"</f>
        <v>2025-10-08 01:19:49.595</v>
      </c>
      <c r="H2286" t="s">
        <v>22</v>
      </c>
      <c r="I2286">
        <v>0</v>
      </c>
      <c r="J2286" t="s">
        <v>25</v>
      </c>
    </row>
    <row r="2287" spans="1:10" x14ac:dyDescent="0.25">
      <c r="A2287" s="1">
        <v>456</v>
      </c>
      <c r="B2287" t="s">
        <v>19</v>
      </c>
      <c r="C2287">
        <v>700</v>
      </c>
      <c r="D2287">
        <v>0</v>
      </c>
      <c r="E2287" t="s">
        <v>24</v>
      </c>
      <c r="F2287" t="s">
        <v>24</v>
      </c>
      <c r="G2287" t="str">
        <f>"2025-10-08 01:17:48.594"</f>
        <v>2025-10-08 01:17:48.594</v>
      </c>
      <c r="H2287" t="s">
        <v>22</v>
      </c>
      <c r="I2287">
        <v>0</v>
      </c>
      <c r="J2287" t="s">
        <v>25</v>
      </c>
    </row>
    <row r="2288" spans="1:10" x14ac:dyDescent="0.25">
      <c r="A2288" s="1">
        <v>457</v>
      </c>
      <c r="B2288" t="s">
        <v>19</v>
      </c>
      <c r="C2288">
        <v>700</v>
      </c>
      <c r="D2288">
        <v>0</v>
      </c>
      <c r="E2288" t="s">
        <v>24</v>
      </c>
      <c r="F2288" t="s">
        <v>24</v>
      </c>
      <c r="G2288" t="str">
        <f>"2025-10-05 08:18:00.601"</f>
        <v>2025-10-05 08:18:00.601</v>
      </c>
      <c r="H2288" t="s">
        <v>22</v>
      </c>
      <c r="I2288">
        <v>0</v>
      </c>
      <c r="J2288" t="s">
        <v>25</v>
      </c>
    </row>
    <row r="2289" spans="1:10" x14ac:dyDescent="0.25">
      <c r="A2289" s="1">
        <v>458</v>
      </c>
      <c r="B2289" t="s">
        <v>26</v>
      </c>
      <c r="C2289">
        <v>630</v>
      </c>
      <c r="D2289">
        <v>5</v>
      </c>
      <c r="E2289" t="s">
        <v>39</v>
      </c>
      <c r="F2289" t="s">
        <v>40</v>
      </c>
      <c r="G2289" t="str">
        <f>"2025-10-05 05:38:17.739"</f>
        <v>2025-10-05 05:38:17.739</v>
      </c>
      <c r="H2289" t="s">
        <v>41</v>
      </c>
    </row>
    <row r="2290" spans="1:10" x14ac:dyDescent="0.25">
      <c r="A2290" s="1">
        <v>459</v>
      </c>
      <c r="B2290" t="s">
        <v>19</v>
      </c>
      <c r="C2290">
        <v>706</v>
      </c>
      <c r="D2290">
        <v>2</v>
      </c>
      <c r="E2290" t="s">
        <v>20</v>
      </c>
      <c r="F2290" t="s">
        <v>54</v>
      </c>
      <c r="G2290" t="str">
        <f>"2025-10-05 05:37:47.558"</f>
        <v>2025-10-05 05:37:47.558</v>
      </c>
      <c r="H2290" t="s">
        <v>22</v>
      </c>
      <c r="I2290">
        <v>0</v>
      </c>
      <c r="J2290" t="s">
        <v>23</v>
      </c>
    </row>
    <row r="2291" spans="1:10" x14ac:dyDescent="0.25">
      <c r="A2291" s="1">
        <v>460</v>
      </c>
      <c r="B2291" t="s">
        <v>19</v>
      </c>
      <c r="C2291">
        <v>706</v>
      </c>
      <c r="D2291">
        <v>4</v>
      </c>
      <c r="E2291" t="s">
        <v>20</v>
      </c>
      <c r="F2291" t="s">
        <v>21</v>
      </c>
      <c r="G2291" t="str">
        <f>"2025-10-05 05:27:39.318"</f>
        <v>2025-10-05 05:27:39.318</v>
      </c>
      <c r="H2291" t="s">
        <v>22</v>
      </c>
      <c r="I2291">
        <v>0</v>
      </c>
      <c r="J2291" t="s">
        <v>23</v>
      </c>
    </row>
    <row r="2292" spans="1:10" x14ac:dyDescent="0.25">
      <c r="A2292" s="1">
        <v>462</v>
      </c>
      <c r="B2292" t="s">
        <v>34</v>
      </c>
      <c r="C2292">
        <v>630</v>
      </c>
      <c r="D2292">
        <v>5</v>
      </c>
      <c r="E2292" t="s">
        <v>39</v>
      </c>
      <c r="F2292" t="s">
        <v>40</v>
      </c>
      <c r="G2292" t="str">
        <f>"2025-10-05 05:13:31.439"</f>
        <v>2025-10-05 05:13:31.439</v>
      </c>
      <c r="H2292" t="s">
        <v>41</v>
      </c>
      <c r="I2292">
        <v>0</v>
      </c>
      <c r="J2292" t="s">
        <v>23</v>
      </c>
    </row>
    <row r="2293" spans="1:10" x14ac:dyDescent="0.25">
      <c r="A2293" s="1">
        <v>463</v>
      </c>
      <c r="B2293" t="s">
        <v>19</v>
      </c>
      <c r="C2293">
        <v>700</v>
      </c>
      <c r="D2293">
        <v>0</v>
      </c>
      <c r="E2293" t="s">
        <v>24</v>
      </c>
      <c r="F2293" t="s">
        <v>24</v>
      </c>
      <c r="G2293" t="str">
        <f>"2025-10-05 05:08:28.628"</f>
        <v>2025-10-05 05:08:28.628</v>
      </c>
      <c r="H2293" t="s">
        <v>22</v>
      </c>
      <c r="I2293">
        <v>0</v>
      </c>
      <c r="J2293" t="s">
        <v>25</v>
      </c>
    </row>
    <row r="2294" spans="1:10" x14ac:dyDescent="0.25">
      <c r="A2294" s="1">
        <v>464</v>
      </c>
      <c r="B2294" t="s">
        <v>31</v>
      </c>
      <c r="C2294">
        <v>87</v>
      </c>
      <c r="D2294">
        <v>1</v>
      </c>
      <c r="E2294" t="s">
        <v>32</v>
      </c>
      <c r="F2294" t="s">
        <v>33</v>
      </c>
      <c r="G2294" t="str">
        <f>"2025-10-04 23:38:51.114"</f>
        <v>2025-10-04 23:38:51.114</v>
      </c>
      <c r="H2294" t="s">
        <v>22</v>
      </c>
    </row>
    <row r="2295" spans="1:10" x14ac:dyDescent="0.25">
      <c r="A2295" s="1">
        <v>465</v>
      </c>
      <c r="B2295" t="s">
        <v>34</v>
      </c>
      <c r="C2295">
        <v>87</v>
      </c>
      <c r="D2295">
        <v>1</v>
      </c>
      <c r="E2295" t="s">
        <v>32</v>
      </c>
      <c r="F2295" t="s">
        <v>33</v>
      </c>
      <c r="G2295" t="str">
        <f>"2025-10-04 23:34:30.053"</f>
        <v>2025-10-04 23:34:30.053</v>
      </c>
      <c r="H2295" t="s">
        <v>22</v>
      </c>
      <c r="I2295">
        <v>5.95</v>
      </c>
      <c r="J2295" t="s">
        <v>30</v>
      </c>
    </row>
    <row r="2296" spans="1:10" x14ac:dyDescent="0.25">
      <c r="A2296" s="1">
        <v>466</v>
      </c>
      <c r="B2296" t="s">
        <v>26</v>
      </c>
      <c r="C2296">
        <v>630</v>
      </c>
      <c r="D2296">
        <v>5</v>
      </c>
      <c r="E2296" t="s">
        <v>39</v>
      </c>
      <c r="F2296" t="s">
        <v>40</v>
      </c>
      <c r="G2296" t="str">
        <f>"2025-10-04 20:35:58.815"</f>
        <v>2025-10-04 20:35:58.815</v>
      </c>
      <c r="H2296" t="s">
        <v>41</v>
      </c>
    </row>
    <row r="2297" spans="1:10" x14ac:dyDescent="0.25">
      <c r="A2297" s="1">
        <v>467</v>
      </c>
      <c r="B2297" t="s">
        <v>19</v>
      </c>
      <c r="C2297">
        <v>706</v>
      </c>
      <c r="D2297">
        <v>4</v>
      </c>
      <c r="E2297" t="s">
        <v>20</v>
      </c>
      <c r="F2297" t="s">
        <v>21</v>
      </c>
      <c r="G2297" t="str">
        <f>"2025-10-04 20:35:28.663"</f>
        <v>2025-10-04 20:35:28.663</v>
      </c>
      <c r="H2297" t="s">
        <v>22</v>
      </c>
      <c r="I2297">
        <v>0</v>
      </c>
      <c r="J2297" t="s">
        <v>23</v>
      </c>
    </row>
    <row r="2298" spans="1:10" x14ac:dyDescent="0.25">
      <c r="A2298" s="1">
        <v>468</v>
      </c>
      <c r="B2298" t="s">
        <v>34</v>
      </c>
      <c r="C2298">
        <v>630</v>
      </c>
      <c r="D2298">
        <v>5</v>
      </c>
      <c r="E2298" t="s">
        <v>39</v>
      </c>
      <c r="F2298" t="s">
        <v>40</v>
      </c>
      <c r="G2298" t="str">
        <f>"2025-10-04 20:26:40.215"</f>
        <v>2025-10-04 20:26:40.215</v>
      </c>
      <c r="H2298" t="s">
        <v>41</v>
      </c>
      <c r="I2298">
        <v>0</v>
      </c>
      <c r="J2298" t="s">
        <v>23</v>
      </c>
    </row>
    <row r="2299" spans="1:10" x14ac:dyDescent="0.25">
      <c r="A2299" s="1">
        <v>469</v>
      </c>
      <c r="B2299" t="s">
        <v>19</v>
      </c>
      <c r="C2299">
        <v>700</v>
      </c>
      <c r="D2299">
        <v>0</v>
      </c>
      <c r="E2299" t="s">
        <v>24</v>
      </c>
      <c r="F2299" t="s">
        <v>24</v>
      </c>
      <c r="G2299" t="str">
        <f>"2025-10-04 20:21:37.583"</f>
        <v>2025-10-04 20:21:37.583</v>
      </c>
      <c r="H2299" t="s">
        <v>22</v>
      </c>
      <c r="I2299">
        <v>0</v>
      </c>
      <c r="J2299" t="s">
        <v>25</v>
      </c>
    </row>
    <row r="2300" spans="1:10" x14ac:dyDescent="0.25">
      <c r="A2300" s="1">
        <v>470</v>
      </c>
      <c r="B2300" t="s">
        <v>19</v>
      </c>
      <c r="C2300">
        <v>700</v>
      </c>
      <c r="D2300">
        <v>0</v>
      </c>
      <c r="E2300" t="s">
        <v>24</v>
      </c>
      <c r="F2300" t="s">
        <v>24</v>
      </c>
      <c r="G2300" t="str">
        <f>"2025-10-04 19:43:14.617"</f>
        <v>2025-10-04 19:43:14.617</v>
      </c>
      <c r="H2300" t="s">
        <v>22</v>
      </c>
      <c r="I2300">
        <v>0</v>
      </c>
      <c r="J2300" t="s">
        <v>25</v>
      </c>
    </row>
    <row r="2301" spans="1:10" x14ac:dyDescent="0.25">
      <c r="A2301" s="1">
        <v>471</v>
      </c>
      <c r="B2301" t="s">
        <v>26</v>
      </c>
      <c r="C2301">
        <v>61</v>
      </c>
      <c r="D2301">
        <v>2</v>
      </c>
      <c r="E2301" t="s">
        <v>81</v>
      </c>
      <c r="F2301" t="s">
        <v>82</v>
      </c>
      <c r="G2301" t="str">
        <f>"2025-10-04 18:35:29.578"</f>
        <v>2025-10-04 18:35:29.578</v>
      </c>
      <c r="H2301" t="s">
        <v>22</v>
      </c>
    </row>
    <row r="2302" spans="1:10" x14ac:dyDescent="0.25">
      <c r="A2302" s="1">
        <v>472</v>
      </c>
      <c r="B2302" t="s">
        <v>34</v>
      </c>
      <c r="C2302">
        <v>61</v>
      </c>
      <c r="D2302">
        <v>2</v>
      </c>
      <c r="E2302" t="s">
        <v>81</v>
      </c>
      <c r="F2302" t="s">
        <v>82</v>
      </c>
      <c r="G2302" t="str">
        <f>"2025-10-04 18:35:12.178"</f>
        <v>2025-10-04 18:35:12.178</v>
      </c>
      <c r="H2302" t="s">
        <v>22</v>
      </c>
      <c r="I2302">
        <v>36.729999999999997</v>
      </c>
      <c r="J2302" t="s">
        <v>37</v>
      </c>
    </row>
    <row r="2303" spans="1:10" x14ac:dyDescent="0.25">
      <c r="A2303" s="1">
        <v>474</v>
      </c>
      <c r="B2303" t="s">
        <v>19</v>
      </c>
      <c r="C2303">
        <v>700</v>
      </c>
      <c r="D2303">
        <v>0</v>
      </c>
      <c r="E2303" t="s">
        <v>24</v>
      </c>
      <c r="F2303" t="s">
        <v>24</v>
      </c>
      <c r="G2303" t="str">
        <f>"2025-10-03 14:00:22.597"</f>
        <v>2025-10-03 14:00:22.597</v>
      </c>
      <c r="H2303" t="s">
        <v>22</v>
      </c>
    </row>
    <row r="2304" spans="1:10" x14ac:dyDescent="0.25">
      <c r="A2304" s="1">
        <v>475</v>
      </c>
      <c r="B2304" t="s">
        <v>19</v>
      </c>
      <c r="C2304">
        <v>700</v>
      </c>
      <c r="D2304">
        <v>0</v>
      </c>
      <c r="E2304" t="s">
        <v>24</v>
      </c>
      <c r="F2304" t="s">
        <v>24</v>
      </c>
      <c r="G2304" t="str">
        <f>"2025-10-03 13:38:40.598"</f>
        <v>2025-10-03 13:38:40.598</v>
      </c>
      <c r="H2304" t="s">
        <v>22</v>
      </c>
      <c r="I2304">
        <v>0</v>
      </c>
      <c r="J2304" t="s">
        <v>25</v>
      </c>
    </row>
    <row r="2305" spans="1:10" x14ac:dyDescent="0.25">
      <c r="A2305" s="1">
        <v>476</v>
      </c>
      <c r="B2305" t="s">
        <v>19</v>
      </c>
      <c r="C2305">
        <v>706</v>
      </c>
      <c r="D2305">
        <v>4</v>
      </c>
      <c r="E2305" t="s">
        <v>20</v>
      </c>
      <c r="F2305" t="s">
        <v>21</v>
      </c>
      <c r="G2305" t="str">
        <f>"2025-10-03 13:36:36.342"</f>
        <v>2025-10-03 13:36:36.342</v>
      </c>
      <c r="H2305" t="s">
        <v>22</v>
      </c>
      <c r="I2305">
        <v>0</v>
      </c>
      <c r="J2305" t="s">
        <v>93</v>
      </c>
    </row>
    <row r="2306" spans="1:10" x14ac:dyDescent="0.25">
      <c r="A2306" s="1">
        <v>477</v>
      </c>
      <c r="B2306" t="s">
        <v>19</v>
      </c>
      <c r="C2306">
        <v>700</v>
      </c>
      <c r="D2306">
        <v>0</v>
      </c>
      <c r="E2306" t="s">
        <v>24</v>
      </c>
      <c r="F2306" t="s">
        <v>24</v>
      </c>
      <c r="G2306" t="str">
        <f>"2025-10-03 13:35:43.592"</f>
        <v>2025-10-03 13:35:43.592</v>
      </c>
      <c r="H2306" t="s">
        <v>22</v>
      </c>
      <c r="I2306">
        <v>0</v>
      </c>
      <c r="J2306" t="s">
        <v>25</v>
      </c>
    </row>
    <row r="2307" spans="1:10" x14ac:dyDescent="0.25">
      <c r="A2307" s="1">
        <v>478</v>
      </c>
      <c r="B2307" t="s">
        <v>19</v>
      </c>
      <c r="C2307">
        <v>706</v>
      </c>
      <c r="D2307">
        <v>2</v>
      </c>
      <c r="E2307" t="s">
        <v>20</v>
      </c>
      <c r="F2307" t="s">
        <v>54</v>
      </c>
      <c r="G2307" t="str">
        <f>"2025-10-03 13:30:19.499"</f>
        <v>2025-10-03 13:30:19.499</v>
      </c>
      <c r="H2307" t="s">
        <v>22</v>
      </c>
      <c r="I2307">
        <v>0</v>
      </c>
      <c r="J2307" t="s">
        <v>93</v>
      </c>
    </row>
    <row r="2308" spans="1:10" x14ac:dyDescent="0.25">
      <c r="A2308" s="1">
        <v>479</v>
      </c>
      <c r="B2308" t="s">
        <v>19</v>
      </c>
      <c r="C2308">
        <v>700</v>
      </c>
      <c r="D2308">
        <v>0</v>
      </c>
      <c r="E2308" t="s">
        <v>24</v>
      </c>
      <c r="F2308" t="s">
        <v>24</v>
      </c>
      <c r="G2308" t="str">
        <f>"2025-10-03 13:29:04.599"</f>
        <v>2025-10-03 13:29:04.599</v>
      </c>
      <c r="H2308" t="s">
        <v>22</v>
      </c>
    </row>
    <row r="2309" spans="1:10" x14ac:dyDescent="0.25">
      <c r="A2309" s="1">
        <v>480</v>
      </c>
      <c r="B2309" t="s">
        <v>19</v>
      </c>
      <c r="C2309">
        <v>706</v>
      </c>
      <c r="D2309">
        <v>3</v>
      </c>
      <c r="E2309" t="s">
        <v>20</v>
      </c>
      <c r="F2309" t="s">
        <v>48</v>
      </c>
      <c r="G2309" t="str">
        <f>"2025-10-03 13:26:37.587"</f>
        <v>2025-10-03 13:26:37.587</v>
      </c>
      <c r="H2309" t="s">
        <v>22</v>
      </c>
      <c r="I2309">
        <v>0</v>
      </c>
      <c r="J2309" t="s">
        <v>93</v>
      </c>
    </row>
    <row r="2310" spans="1:10" x14ac:dyDescent="0.25">
      <c r="A2310" s="1">
        <v>481</v>
      </c>
      <c r="B2310" t="s">
        <v>19</v>
      </c>
      <c r="C2310">
        <v>706</v>
      </c>
      <c r="D2310">
        <v>2</v>
      </c>
      <c r="E2310" t="s">
        <v>20</v>
      </c>
      <c r="F2310" t="s">
        <v>54</v>
      </c>
      <c r="G2310" t="str">
        <f>"2025-10-03 09:11:01.517"</f>
        <v>2025-10-03 09:11:01.517</v>
      </c>
      <c r="H2310" t="s">
        <v>22</v>
      </c>
      <c r="I2310">
        <v>0</v>
      </c>
      <c r="J2310" t="s">
        <v>23</v>
      </c>
    </row>
    <row r="2311" spans="1:10" x14ac:dyDescent="0.25">
      <c r="A2311" s="1">
        <v>482</v>
      </c>
      <c r="B2311" t="s">
        <v>19</v>
      </c>
      <c r="C2311">
        <v>706</v>
      </c>
      <c r="D2311">
        <v>3</v>
      </c>
      <c r="E2311" t="s">
        <v>20</v>
      </c>
      <c r="F2311" t="s">
        <v>48</v>
      </c>
      <c r="G2311" t="str">
        <f>"2025-10-03 09:10:51.227"</f>
        <v>2025-10-03 09:10:51.227</v>
      </c>
      <c r="H2311" t="s">
        <v>22</v>
      </c>
      <c r="I2311">
        <v>0</v>
      </c>
      <c r="J2311" t="s">
        <v>23</v>
      </c>
    </row>
    <row r="2312" spans="1:10" x14ac:dyDescent="0.25">
      <c r="A2312" s="1">
        <v>483</v>
      </c>
      <c r="B2312" t="s">
        <v>26</v>
      </c>
      <c r="C2312">
        <v>635</v>
      </c>
      <c r="D2312">
        <v>1</v>
      </c>
      <c r="E2312" t="s">
        <v>27</v>
      </c>
      <c r="F2312" t="s">
        <v>28</v>
      </c>
      <c r="G2312" t="str">
        <f>"2025-10-02 17:47:43.529"</f>
        <v>2025-10-02 17:47:43.529</v>
      </c>
      <c r="H2312" t="s">
        <v>22</v>
      </c>
    </row>
    <row r="2313" spans="1:10" x14ac:dyDescent="0.25">
      <c r="A2313" s="1">
        <v>484</v>
      </c>
      <c r="B2313" t="s">
        <v>29</v>
      </c>
      <c r="C2313">
        <v>635</v>
      </c>
      <c r="D2313">
        <v>1</v>
      </c>
      <c r="E2313" t="s">
        <v>27</v>
      </c>
      <c r="F2313" t="s">
        <v>28</v>
      </c>
      <c r="G2313" t="str">
        <f>"2025-10-02 17:15:07.029"</f>
        <v>2025-10-02 17:15:07.029</v>
      </c>
      <c r="H2313" t="s">
        <v>22</v>
      </c>
      <c r="I2313">
        <v>7.32</v>
      </c>
      <c r="J2313" t="s">
        <v>30</v>
      </c>
    </row>
    <row r="2314" spans="1:10" x14ac:dyDescent="0.25">
      <c r="A2314" s="1">
        <v>485</v>
      </c>
      <c r="B2314" t="s">
        <v>26</v>
      </c>
      <c r="C2314">
        <v>635</v>
      </c>
      <c r="D2314">
        <v>1</v>
      </c>
      <c r="E2314" t="s">
        <v>27</v>
      </c>
      <c r="F2314" t="s">
        <v>28</v>
      </c>
      <c r="G2314" t="str">
        <f>"2025-10-02 16:02:32.629"</f>
        <v>2025-10-02 16:02:32.629</v>
      </c>
      <c r="H2314" t="s">
        <v>22</v>
      </c>
    </row>
    <row r="2315" spans="1:10" x14ac:dyDescent="0.25">
      <c r="A2315" s="1">
        <v>486</v>
      </c>
      <c r="B2315" t="s">
        <v>29</v>
      </c>
      <c r="C2315">
        <v>635</v>
      </c>
      <c r="D2315">
        <v>1</v>
      </c>
      <c r="E2315" t="s">
        <v>27</v>
      </c>
      <c r="F2315" t="s">
        <v>28</v>
      </c>
      <c r="G2315" t="str">
        <f>"2025-10-02 15:33:47.229"</f>
        <v>2025-10-02 15:33:47.229</v>
      </c>
      <c r="H2315" t="s">
        <v>22</v>
      </c>
      <c r="I2315">
        <v>7.06</v>
      </c>
      <c r="J2315" t="s">
        <v>30</v>
      </c>
    </row>
    <row r="2316" spans="1:10" x14ac:dyDescent="0.25">
      <c r="A2316" s="1">
        <v>487</v>
      </c>
      <c r="B2316" t="s">
        <v>26</v>
      </c>
      <c r="C2316">
        <v>619</v>
      </c>
      <c r="D2316">
        <v>1</v>
      </c>
      <c r="E2316" t="s">
        <v>79</v>
      </c>
      <c r="F2316" t="s">
        <v>28</v>
      </c>
      <c r="G2316" t="str">
        <f>"2025-10-01 13:19:03.329"</f>
        <v>2025-10-01 13:19:03.329</v>
      </c>
      <c r="H2316" t="s">
        <v>80</v>
      </c>
    </row>
    <row r="2317" spans="1:10" x14ac:dyDescent="0.25">
      <c r="A2317" s="1">
        <v>488</v>
      </c>
      <c r="B2317" t="s">
        <v>29</v>
      </c>
      <c r="C2317">
        <v>619</v>
      </c>
      <c r="D2317">
        <v>1</v>
      </c>
      <c r="E2317" t="s">
        <v>79</v>
      </c>
      <c r="F2317" t="s">
        <v>28</v>
      </c>
      <c r="G2317" t="str">
        <f>"2025-10-01 13:18:42.129"</f>
        <v>2025-10-01 13:18:42.129</v>
      </c>
      <c r="H2317" t="s">
        <v>80</v>
      </c>
      <c r="I2317">
        <v>0</v>
      </c>
      <c r="J2317" t="s">
        <v>23</v>
      </c>
    </row>
    <row r="2318" spans="1:10" x14ac:dyDescent="0.25">
      <c r="A2318" s="1">
        <v>489</v>
      </c>
      <c r="B2318" t="s">
        <v>19</v>
      </c>
      <c r="C2318">
        <v>706</v>
      </c>
      <c r="D2318">
        <v>4</v>
      </c>
      <c r="E2318" t="s">
        <v>20</v>
      </c>
      <c r="F2318" t="s">
        <v>21</v>
      </c>
      <c r="G2318" t="str">
        <f>"2025-10-01 13:18:30.447"</f>
        <v>2025-10-01 13:18:30.447</v>
      </c>
      <c r="H2318" t="s">
        <v>22</v>
      </c>
      <c r="I2318">
        <v>0</v>
      </c>
      <c r="J2318" t="s">
        <v>23</v>
      </c>
    </row>
    <row r="2319" spans="1:10" x14ac:dyDescent="0.25">
      <c r="A2319" s="1">
        <v>490</v>
      </c>
      <c r="B2319" t="s">
        <v>19</v>
      </c>
      <c r="C2319">
        <v>706</v>
      </c>
      <c r="D2319">
        <v>3</v>
      </c>
      <c r="E2319" t="s">
        <v>20</v>
      </c>
      <c r="F2319" t="s">
        <v>48</v>
      </c>
      <c r="G2319" t="str">
        <f>"2025-10-01 13:18:19.507"</f>
        <v>2025-10-01 13:18:19.507</v>
      </c>
      <c r="H2319" t="s">
        <v>22</v>
      </c>
      <c r="I2319">
        <v>0</v>
      </c>
      <c r="J2319" t="s">
        <v>23</v>
      </c>
    </row>
    <row r="2320" spans="1:10" x14ac:dyDescent="0.25">
      <c r="A2320" s="1">
        <v>491</v>
      </c>
      <c r="B2320" t="s">
        <v>26</v>
      </c>
      <c r="C2320">
        <v>619</v>
      </c>
      <c r="D2320">
        <v>1</v>
      </c>
      <c r="E2320" t="s">
        <v>79</v>
      </c>
      <c r="F2320" t="s">
        <v>28</v>
      </c>
      <c r="G2320" t="str">
        <f>"2025-10-01 00:43:32.829"</f>
        <v>2025-10-01 00:43:32.829</v>
      </c>
      <c r="H2320" t="s">
        <v>80</v>
      </c>
    </row>
    <row r="2321" spans="1:10" x14ac:dyDescent="0.25">
      <c r="A2321" s="1">
        <v>492</v>
      </c>
      <c r="B2321" t="s">
        <v>29</v>
      </c>
      <c r="C2321">
        <v>619</v>
      </c>
      <c r="D2321">
        <v>1</v>
      </c>
      <c r="E2321" t="s">
        <v>79</v>
      </c>
      <c r="F2321" t="s">
        <v>28</v>
      </c>
      <c r="G2321" t="str">
        <f>"2025-10-01 00:43:27.229"</f>
        <v>2025-10-01 00:43:27.229</v>
      </c>
      <c r="H2321" t="s">
        <v>80</v>
      </c>
      <c r="I2321">
        <v>0</v>
      </c>
      <c r="J2321" t="s">
        <v>38</v>
      </c>
    </row>
    <row r="2322" spans="1:10" x14ac:dyDescent="0.25">
      <c r="A2322" s="1">
        <v>493</v>
      </c>
      <c r="B2322" t="s">
        <v>19</v>
      </c>
      <c r="C2322">
        <v>700</v>
      </c>
      <c r="D2322">
        <v>0</v>
      </c>
      <c r="E2322" t="s">
        <v>24</v>
      </c>
      <c r="F2322" t="s">
        <v>24</v>
      </c>
      <c r="G2322" t="str">
        <f>"2025-09-30 13:35:31.617"</f>
        <v>2025-09-30 13:35:31.617</v>
      </c>
      <c r="H2322" t="s">
        <v>22</v>
      </c>
      <c r="I2322">
        <v>0</v>
      </c>
      <c r="J2322" t="s">
        <v>25</v>
      </c>
    </row>
    <row r="2323" spans="1:10" x14ac:dyDescent="0.25">
      <c r="A2323" s="1">
        <v>494</v>
      </c>
      <c r="B2323" t="s">
        <v>26</v>
      </c>
      <c r="C2323">
        <v>635</v>
      </c>
      <c r="D2323">
        <v>1</v>
      </c>
      <c r="E2323" t="s">
        <v>27</v>
      </c>
      <c r="F2323" t="s">
        <v>28</v>
      </c>
      <c r="G2323" t="str">
        <f>"2025-09-30 11:57:40.430"</f>
        <v>2025-09-30 11:57:40.430</v>
      </c>
      <c r="H2323" t="s">
        <v>22</v>
      </c>
    </row>
    <row r="2324" spans="1:10" x14ac:dyDescent="0.25">
      <c r="A2324" s="1">
        <v>495</v>
      </c>
      <c r="B2324" t="s">
        <v>29</v>
      </c>
      <c r="C2324">
        <v>635</v>
      </c>
      <c r="D2324">
        <v>1</v>
      </c>
      <c r="E2324" t="s">
        <v>27</v>
      </c>
      <c r="F2324" t="s">
        <v>28</v>
      </c>
      <c r="G2324" t="str">
        <f>"2025-09-30 11:38:15.430"</f>
        <v>2025-09-30 11:38:15.430</v>
      </c>
      <c r="H2324" t="s">
        <v>22</v>
      </c>
      <c r="I2324">
        <v>9.4700000000000006</v>
      </c>
      <c r="J2324" t="s">
        <v>30</v>
      </c>
    </row>
    <row r="2325" spans="1:10" x14ac:dyDescent="0.25">
      <c r="A2325" s="1">
        <v>496</v>
      </c>
      <c r="B2325" t="s">
        <v>31</v>
      </c>
      <c r="C2325">
        <v>87</v>
      </c>
      <c r="D2325">
        <v>1</v>
      </c>
      <c r="E2325" t="s">
        <v>32</v>
      </c>
      <c r="F2325" t="s">
        <v>33</v>
      </c>
      <c r="G2325" t="str">
        <f>"2025-09-29 22:07:39.030"</f>
        <v>2025-09-29 22:07:39.030</v>
      </c>
      <c r="H2325" t="s">
        <v>22</v>
      </c>
    </row>
    <row r="2326" spans="1:10" x14ac:dyDescent="0.25">
      <c r="A2326" s="1">
        <v>497</v>
      </c>
      <c r="B2326" t="s">
        <v>34</v>
      </c>
      <c r="C2326">
        <v>87</v>
      </c>
      <c r="D2326">
        <v>1</v>
      </c>
      <c r="E2326" t="s">
        <v>32</v>
      </c>
      <c r="F2326" t="s">
        <v>33</v>
      </c>
      <c r="G2326" t="str">
        <f>"2025-09-29 22:04:16.110"</f>
        <v>2025-09-29 22:04:16.110</v>
      </c>
      <c r="H2326" t="s">
        <v>22</v>
      </c>
      <c r="I2326">
        <v>4.62</v>
      </c>
      <c r="J2326" t="s">
        <v>30</v>
      </c>
    </row>
    <row r="2327" spans="1:10" s="3" customFormat="1" x14ac:dyDescent="0.25">
      <c r="A2327" s="2">
        <v>498</v>
      </c>
      <c r="B2327" s="3" t="s">
        <v>26</v>
      </c>
      <c r="C2327" s="3">
        <v>647</v>
      </c>
      <c r="D2327" s="3">
        <v>1</v>
      </c>
      <c r="E2327" s="3" t="s">
        <v>35</v>
      </c>
      <c r="F2327" s="3" t="s">
        <v>36</v>
      </c>
      <c r="G2327" s="3" t="str">
        <f>"2025-09-29 15:22:52.878"</f>
        <v>2025-09-29 15:22:52.878</v>
      </c>
      <c r="H2327" s="3" t="s">
        <v>22</v>
      </c>
    </row>
    <row r="2328" spans="1:10" s="3" customFormat="1" x14ac:dyDescent="0.25">
      <c r="A2328" s="2">
        <v>499</v>
      </c>
      <c r="B2328" s="3" t="s">
        <v>29</v>
      </c>
      <c r="C2328" s="3">
        <v>647</v>
      </c>
      <c r="D2328" s="3">
        <v>1</v>
      </c>
      <c r="E2328" s="3" t="s">
        <v>35</v>
      </c>
      <c r="F2328" s="3" t="s">
        <v>36</v>
      </c>
      <c r="G2328" s="3" t="str">
        <f>"2025-09-29 15:22:49.778"</f>
        <v>2025-09-29 15:22:49.778</v>
      </c>
      <c r="H2328" s="3" t="s">
        <v>22</v>
      </c>
      <c r="I2328" s="3">
        <v>8.4</v>
      </c>
      <c r="J2328" s="3" t="s">
        <v>37</v>
      </c>
    </row>
    <row r="2329" spans="1:10" s="3" customFormat="1" x14ac:dyDescent="0.25">
      <c r="A2329" s="2">
        <v>500</v>
      </c>
      <c r="B2329" s="3" t="s">
        <v>26</v>
      </c>
      <c r="C2329" s="3">
        <v>647</v>
      </c>
      <c r="D2329" s="3">
        <v>1</v>
      </c>
      <c r="E2329" s="3" t="s">
        <v>35</v>
      </c>
      <c r="F2329" s="3" t="s">
        <v>36</v>
      </c>
      <c r="G2329" s="3" t="str">
        <f>"2025-09-29 15:22:43.478"</f>
        <v>2025-09-29 15:22:43.478</v>
      </c>
      <c r="H2329" s="3" t="s">
        <v>22</v>
      </c>
    </row>
    <row r="2330" spans="1:10" s="3" customFormat="1" x14ac:dyDescent="0.25">
      <c r="A2330" s="2">
        <v>501</v>
      </c>
      <c r="B2330" s="3" t="s">
        <v>29</v>
      </c>
      <c r="C2330" s="3">
        <v>647</v>
      </c>
      <c r="D2330" s="3">
        <v>1</v>
      </c>
      <c r="E2330" s="3" t="s">
        <v>35</v>
      </c>
      <c r="F2330" s="3" t="s">
        <v>36</v>
      </c>
      <c r="G2330" s="3" t="str">
        <f>"2025-09-29 15:22:40.379"</f>
        <v>2025-09-29 15:22:40.379</v>
      </c>
      <c r="H2330" s="3" t="s">
        <v>22</v>
      </c>
      <c r="I2330" s="3">
        <v>11.14</v>
      </c>
      <c r="J2330" s="3" t="s">
        <v>37</v>
      </c>
    </row>
    <row r="2331" spans="1:10" x14ac:dyDescent="0.25">
      <c r="A2331" s="1">
        <v>502</v>
      </c>
      <c r="B2331" t="s">
        <v>19</v>
      </c>
      <c r="C2331">
        <v>700</v>
      </c>
      <c r="D2331">
        <v>0</v>
      </c>
      <c r="E2331" t="s">
        <v>24</v>
      </c>
      <c r="F2331" t="s">
        <v>24</v>
      </c>
      <c r="G2331" t="str">
        <f>"2025-09-29 01:08:51.601"</f>
        <v>2025-09-29 01:08:51.601</v>
      </c>
      <c r="H2331" t="s">
        <v>22</v>
      </c>
      <c r="I2331">
        <v>0</v>
      </c>
      <c r="J2331" t="s">
        <v>25</v>
      </c>
    </row>
    <row r="2332" spans="1:10" s="3" customFormat="1" x14ac:dyDescent="0.25">
      <c r="A2332" s="2">
        <v>503</v>
      </c>
      <c r="B2332" s="3" t="s">
        <v>26</v>
      </c>
      <c r="C2332" s="3">
        <v>647</v>
      </c>
      <c r="D2332" s="3">
        <v>1</v>
      </c>
      <c r="E2332" s="3" t="s">
        <v>35</v>
      </c>
      <c r="F2332" s="3" t="s">
        <v>36</v>
      </c>
      <c r="G2332" s="3" t="str">
        <f>"2025-09-28 18:34:43.882"</f>
        <v>2025-09-28 18:34:43.882</v>
      </c>
      <c r="H2332" s="3" t="s">
        <v>22</v>
      </c>
    </row>
    <row r="2333" spans="1:10" s="3" customFormat="1" x14ac:dyDescent="0.25">
      <c r="A2333" s="2">
        <v>504</v>
      </c>
      <c r="B2333" s="3" t="s">
        <v>29</v>
      </c>
      <c r="C2333" s="3">
        <v>647</v>
      </c>
      <c r="D2333" s="3">
        <v>1</v>
      </c>
      <c r="E2333" s="3" t="s">
        <v>35</v>
      </c>
      <c r="F2333" s="3" t="s">
        <v>36</v>
      </c>
      <c r="G2333" s="3" t="str">
        <f>"2025-09-28 18:34:39.983"</f>
        <v>2025-09-28 18:34:39.983</v>
      </c>
      <c r="H2333" s="3" t="s">
        <v>22</v>
      </c>
      <c r="I2333" s="3">
        <v>10.88</v>
      </c>
      <c r="J2333" s="3" t="s">
        <v>37</v>
      </c>
    </row>
    <row r="2334" spans="1:10" x14ac:dyDescent="0.25">
      <c r="A2334" s="1">
        <v>505</v>
      </c>
      <c r="B2334" t="s">
        <v>19</v>
      </c>
      <c r="C2334">
        <v>700</v>
      </c>
      <c r="D2334">
        <v>0</v>
      </c>
      <c r="E2334" t="s">
        <v>24</v>
      </c>
      <c r="F2334" t="s">
        <v>24</v>
      </c>
      <c r="G2334" t="str">
        <f>"2025-09-28 03:10:53.615"</f>
        <v>2025-09-28 03:10:53.615</v>
      </c>
      <c r="H2334" t="s">
        <v>22</v>
      </c>
      <c r="I2334">
        <v>0</v>
      </c>
      <c r="J2334" t="s">
        <v>25</v>
      </c>
    </row>
    <row r="2335" spans="1:10" x14ac:dyDescent="0.25">
      <c r="A2335" s="1">
        <v>506</v>
      </c>
      <c r="B2335" t="s">
        <v>19</v>
      </c>
      <c r="C2335">
        <v>700</v>
      </c>
      <c r="D2335">
        <v>0</v>
      </c>
      <c r="E2335" t="s">
        <v>24</v>
      </c>
      <c r="F2335" t="s">
        <v>24</v>
      </c>
      <c r="G2335" t="str">
        <f>"2025-09-28 01:46:56.624"</f>
        <v>2025-09-28 01:46:56.624</v>
      </c>
      <c r="H2335" t="s">
        <v>22</v>
      </c>
      <c r="I2335">
        <v>0</v>
      </c>
      <c r="J2335" t="s">
        <v>25</v>
      </c>
    </row>
    <row r="2336" spans="1:10" x14ac:dyDescent="0.25">
      <c r="A2336" s="1">
        <v>507</v>
      </c>
      <c r="B2336" t="s">
        <v>26</v>
      </c>
      <c r="C2336">
        <v>89</v>
      </c>
      <c r="D2336">
        <v>2</v>
      </c>
      <c r="E2336" t="s">
        <v>42</v>
      </c>
      <c r="F2336" t="s">
        <v>43</v>
      </c>
      <c r="G2336" t="str">
        <f>"2025-09-27 21:57:32.996"</f>
        <v>2025-09-27 21:57:32.996</v>
      </c>
      <c r="H2336" t="s">
        <v>22</v>
      </c>
    </row>
    <row r="2337" spans="1:10" x14ac:dyDescent="0.25">
      <c r="A2337" s="1">
        <v>508</v>
      </c>
      <c r="B2337" t="s">
        <v>34</v>
      </c>
      <c r="C2337">
        <v>89</v>
      </c>
      <c r="D2337">
        <v>2</v>
      </c>
      <c r="E2337" t="s">
        <v>42</v>
      </c>
      <c r="F2337" t="s">
        <v>43</v>
      </c>
      <c r="G2337" t="str">
        <f>"2025-09-27 21:56:14.697"</f>
        <v>2025-09-27 21:56:14.697</v>
      </c>
      <c r="H2337" t="s">
        <v>22</v>
      </c>
      <c r="I2337">
        <v>4.8899999999999997</v>
      </c>
      <c r="J2337" t="s">
        <v>30</v>
      </c>
    </row>
    <row r="2338" spans="1:10" s="3" customFormat="1" x14ac:dyDescent="0.25">
      <c r="A2338" s="2">
        <v>509</v>
      </c>
      <c r="B2338" s="3" t="s">
        <v>26</v>
      </c>
      <c r="C2338" s="3">
        <v>647</v>
      </c>
      <c r="D2338" s="3">
        <v>1</v>
      </c>
      <c r="E2338" s="3" t="s">
        <v>35</v>
      </c>
      <c r="F2338" s="3" t="s">
        <v>36</v>
      </c>
      <c r="G2338" s="3" t="str">
        <f>"2025-09-27 10:52:32.597"</f>
        <v>2025-09-27 10:52:32.597</v>
      </c>
      <c r="H2338" s="3" t="s">
        <v>22</v>
      </c>
    </row>
    <row r="2339" spans="1:10" s="3" customFormat="1" x14ac:dyDescent="0.25">
      <c r="A2339" s="2">
        <v>510</v>
      </c>
      <c r="B2339" s="3" t="s">
        <v>29</v>
      </c>
      <c r="C2339" s="3">
        <v>647</v>
      </c>
      <c r="D2339" s="3">
        <v>1</v>
      </c>
      <c r="E2339" s="3" t="s">
        <v>35</v>
      </c>
      <c r="F2339" s="3" t="s">
        <v>36</v>
      </c>
      <c r="G2339" s="3" t="str">
        <f>"2025-09-27 10:52:28.497"</f>
        <v>2025-09-27 10:52:28.497</v>
      </c>
      <c r="H2339" s="3" t="s">
        <v>22</v>
      </c>
      <c r="I2339" s="3">
        <v>15.5</v>
      </c>
      <c r="J2339" s="3" t="s">
        <v>37</v>
      </c>
    </row>
    <row r="2340" spans="1:10" s="3" customFormat="1" x14ac:dyDescent="0.25">
      <c r="A2340" s="2">
        <v>511</v>
      </c>
      <c r="B2340" s="3" t="s">
        <v>26</v>
      </c>
      <c r="C2340" s="3">
        <v>647</v>
      </c>
      <c r="D2340" s="3">
        <v>1</v>
      </c>
      <c r="E2340" s="3" t="s">
        <v>35</v>
      </c>
      <c r="F2340" s="3" t="s">
        <v>36</v>
      </c>
      <c r="G2340" s="3" t="str">
        <f>"2025-09-27 08:23:27.497"</f>
        <v>2025-09-27 08:23:27.497</v>
      </c>
      <c r="H2340" s="3" t="s">
        <v>22</v>
      </c>
    </row>
    <row r="2341" spans="1:10" s="3" customFormat="1" x14ac:dyDescent="0.25">
      <c r="A2341" s="2">
        <v>512</v>
      </c>
      <c r="B2341" s="3" t="s">
        <v>29</v>
      </c>
      <c r="C2341" s="3">
        <v>647</v>
      </c>
      <c r="D2341" s="3">
        <v>1</v>
      </c>
      <c r="E2341" s="3" t="s">
        <v>35</v>
      </c>
      <c r="F2341" s="3" t="s">
        <v>36</v>
      </c>
      <c r="G2341" s="3" t="str">
        <f>"2025-09-27 08:23:22.797"</f>
        <v>2025-09-27 08:23:22.797</v>
      </c>
      <c r="H2341" s="3" t="s">
        <v>22</v>
      </c>
      <c r="I2341" s="3">
        <v>9.89</v>
      </c>
      <c r="J2341" s="3" t="s">
        <v>37</v>
      </c>
    </row>
    <row r="2342" spans="1:10" x14ac:dyDescent="0.25">
      <c r="A2342" s="1">
        <v>513</v>
      </c>
      <c r="B2342" t="s">
        <v>26</v>
      </c>
      <c r="C2342">
        <v>630</v>
      </c>
      <c r="D2342">
        <v>5</v>
      </c>
      <c r="E2342" t="s">
        <v>39</v>
      </c>
      <c r="F2342" t="s">
        <v>40</v>
      </c>
      <c r="G2342" t="str">
        <f>"2025-09-26 10:57:54.697"</f>
        <v>2025-09-26 10:57:54.697</v>
      </c>
      <c r="H2342" t="s">
        <v>41</v>
      </c>
    </row>
    <row r="2343" spans="1:10" x14ac:dyDescent="0.25">
      <c r="A2343" s="1">
        <v>514</v>
      </c>
      <c r="B2343" t="s">
        <v>19</v>
      </c>
      <c r="C2343">
        <v>706</v>
      </c>
      <c r="D2343">
        <v>2</v>
      </c>
      <c r="E2343" t="s">
        <v>20</v>
      </c>
      <c r="F2343" t="s">
        <v>54</v>
      </c>
      <c r="G2343" t="str">
        <f>"2025-09-26 10:57:24.425"</f>
        <v>2025-09-26 10:57:24.425</v>
      </c>
      <c r="H2343" t="s">
        <v>22</v>
      </c>
      <c r="I2343">
        <v>0</v>
      </c>
      <c r="J2343" t="s">
        <v>23</v>
      </c>
    </row>
    <row r="2344" spans="1:10" x14ac:dyDescent="0.25">
      <c r="A2344" s="1">
        <v>515</v>
      </c>
      <c r="B2344" t="s">
        <v>34</v>
      </c>
      <c r="C2344">
        <v>630</v>
      </c>
      <c r="D2344">
        <v>5</v>
      </c>
      <c r="E2344" t="s">
        <v>39</v>
      </c>
      <c r="F2344" t="s">
        <v>40</v>
      </c>
      <c r="G2344" t="str">
        <f>"2025-09-26 10:48:56.997"</f>
        <v>2025-09-26 10:48:56.997</v>
      </c>
      <c r="H2344" t="s">
        <v>41</v>
      </c>
      <c r="I2344">
        <v>0</v>
      </c>
      <c r="J2344" t="s">
        <v>23</v>
      </c>
    </row>
    <row r="2345" spans="1:10" x14ac:dyDescent="0.25">
      <c r="A2345" s="1">
        <v>516</v>
      </c>
      <c r="B2345" t="s">
        <v>19</v>
      </c>
      <c r="C2345">
        <v>700</v>
      </c>
      <c r="D2345">
        <v>0</v>
      </c>
      <c r="E2345" t="s">
        <v>24</v>
      </c>
      <c r="F2345" t="s">
        <v>24</v>
      </c>
      <c r="G2345" t="str">
        <f>"2025-09-25 13:05:23.615"</f>
        <v>2025-09-25 13:05:23.615</v>
      </c>
      <c r="H2345" t="s">
        <v>22</v>
      </c>
    </row>
    <row r="2346" spans="1:10" s="3" customFormat="1" x14ac:dyDescent="0.25">
      <c r="A2346" s="2">
        <v>517</v>
      </c>
      <c r="B2346" s="3" t="s">
        <v>26</v>
      </c>
      <c r="C2346" s="3">
        <v>647</v>
      </c>
      <c r="D2346" s="3">
        <v>1</v>
      </c>
      <c r="E2346" s="3" t="s">
        <v>35</v>
      </c>
      <c r="F2346" s="3" t="s">
        <v>36</v>
      </c>
      <c r="G2346" s="3" t="str">
        <f>"2025-09-24 18:37:57.444"</f>
        <v>2025-09-24 18:37:57.444</v>
      </c>
      <c r="H2346" s="3" t="s">
        <v>22</v>
      </c>
    </row>
    <row r="2347" spans="1:10" s="3" customFormat="1" x14ac:dyDescent="0.25">
      <c r="A2347" s="2">
        <v>518</v>
      </c>
      <c r="B2347" s="3" t="s">
        <v>29</v>
      </c>
      <c r="C2347" s="3">
        <v>647</v>
      </c>
      <c r="D2347" s="3">
        <v>1</v>
      </c>
      <c r="E2347" s="3" t="s">
        <v>35</v>
      </c>
      <c r="F2347" s="3" t="s">
        <v>36</v>
      </c>
      <c r="G2347" s="3" t="str">
        <f>"2025-09-24 18:37:55.744"</f>
        <v>2025-09-24 18:37:55.744</v>
      </c>
      <c r="H2347" s="3" t="s">
        <v>22</v>
      </c>
      <c r="I2347" s="3">
        <v>10.55</v>
      </c>
      <c r="J2347" s="3" t="s">
        <v>37</v>
      </c>
    </row>
    <row r="2348" spans="1:10" x14ac:dyDescent="0.25">
      <c r="A2348" s="1">
        <v>519</v>
      </c>
      <c r="B2348" t="s">
        <v>26</v>
      </c>
      <c r="C2348">
        <v>635</v>
      </c>
      <c r="D2348">
        <v>1</v>
      </c>
      <c r="E2348" t="s">
        <v>27</v>
      </c>
      <c r="F2348" t="s">
        <v>28</v>
      </c>
      <c r="G2348" t="str">
        <f>"2025-09-24 16:43:54.896"</f>
        <v>2025-09-24 16:43:54.896</v>
      </c>
      <c r="H2348" t="s">
        <v>22</v>
      </c>
    </row>
    <row r="2349" spans="1:10" x14ac:dyDescent="0.25">
      <c r="A2349" s="1">
        <v>520</v>
      </c>
      <c r="B2349" t="s">
        <v>29</v>
      </c>
      <c r="C2349">
        <v>635</v>
      </c>
      <c r="D2349">
        <v>1</v>
      </c>
      <c r="E2349" t="s">
        <v>27</v>
      </c>
      <c r="F2349" t="s">
        <v>28</v>
      </c>
      <c r="G2349" t="str">
        <f>"2025-09-24 16:41:31.396"</f>
        <v>2025-09-24 16:41:31.396</v>
      </c>
      <c r="H2349" t="s">
        <v>22</v>
      </c>
      <c r="I2349">
        <v>2.64</v>
      </c>
      <c r="J2349" t="s">
        <v>30</v>
      </c>
    </row>
    <row r="2350" spans="1:10" x14ac:dyDescent="0.25">
      <c r="A2350" s="1">
        <v>521</v>
      </c>
      <c r="B2350" t="s">
        <v>19</v>
      </c>
      <c r="C2350">
        <v>700</v>
      </c>
      <c r="D2350">
        <v>0</v>
      </c>
      <c r="E2350" t="s">
        <v>24</v>
      </c>
      <c r="F2350" t="s">
        <v>24</v>
      </c>
      <c r="G2350" t="str">
        <f>"2025-09-24 12:42:38.667"</f>
        <v>2025-09-24 12:42:38.667</v>
      </c>
      <c r="H2350" t="s">
        <v>22</v>
      </c>
    </row>
    <row r="2351" spans="1:10" x14ac:dyDescent="0.25">
      <c r="A2351" s="1">
        <v>522</v>
      </c>
      <c r="B2351" t="s">
        <v>19</v>
      </c>
      <c r="C2351">
        <v>706</v>
      </c>
      <c r="D2351">
        <v>4</v>
      </c>
      <c r="E2351" t="s">
        <v>20</v>
      </c>
      <c r="F2351" t="s">
        <v>21</v>
      </c>
      <c r="G2351" t="str">
        <f>"2025-09-24 12:32:00.015"</f>
        <v>2025-09-24 12:32:00.015</v>
      </c>
      <c r="H2351" t="s">
        <v>22</v>
      </c>
      <c r="I2351">
        <v>0</v>
      </c>
      <c r="J2351" t="s">
        <v>23</v>
      </c>
    </row>
    <row r="2352" spans="1:10" x14ac:dyDescent="0.25">
      <c r="A2352" s="1">
        <v>523</v>
      </c>
      <c r="B2352" t="s">
        <v>19</v>
      </c>
      <c r="C2352">
        <v>700</v>
      </c>
      <c r="D2352">
        <v>0</v>
      </c>
      <c r="E2352" t="s">
        <v>24</v>
      </c>
      <c r="F2352" t="s">
        <v>24</v>
      </c>
      <c r="G2352" t="str">
        <f>"2025-09-24 12:27:38.665"</f>
        <v>2025-09-24 12:27:38.665</v>
      </c>
      <c r="H2352" t="s">
        <v>22</v>
      </c>
      <c r="I2352">
        <v>0</v>
      </c>
      <c r="J2352" t="s">
        <v>25</v>
      </c>
    </row>
    <row r="2353" spans="1:10" x14ac:dyDescent="0.25">
      <c r="A2353" s="1">
        <v>524</v>
      </c>
      <c r="B2353" t="s">
        <v>19</v>
      </c>
      <c r="C2353">
        <v>700</v>
      </c>
      <c r="D2353">
        <v>0</v>
      </c>
      <c r="E2353" t="s">
        <v>24</v>
      </c>
      <c r="F2353" t="s">
        <v>24</v>
      </c>
      <c r="G2353" t="str">
        <f>"2025-09-24 10:35:08.603"</f>
        <v>2025-09-24 10:35:08.603</v>
      </c>
      <c r="H2353" t="s">
        <v>22</v>
      </c>
      <c r="I2353">
        <v>0</v>
      </c>
      <c r="J2353" t="s">
        <v>25</v>
      </c>
    </row>
    <row r="2354" spans="1:10" x14ac:dyDescent="0.25">
      <c r="A2354" s="1">
        <v>525</v>
      </c>
      <c r="B2354" t="s">
        <v>19</v>
      </c>
      <c r="C2354">
        <v>700</v>
      </c>
      <c r="D2354">
        <v>0</v>
      </c>
      <c r="E2354" t="s">
        <v>24</v>
      </c>
      <c r="F2354" t="s">
        <v>24</v>
      </c>
      <c r="G2354" t="str">
        <f>"2025-09-24 10:33:34.683"</f>
        <v>2025-09-24 10:33:34.683</v>
      </c>
      <c r="H2354" t="s">
        <v>22</v>
      </c>
    </row>
    <row r="2355" spans="1:10" x14ac:dyDescent="0.25">
      <c r="A2355" s="1">
        <v>526</v>
      </c>
      <c r="B2355" t="s">
        <v>19</v>
      </c>
      <c r="C2355">
        <v>700</v>
      </c>
      <c r="D2355">
        <v>0</v>
      </c>
      <c r="E2355" t="s">
        <v>24</v>
      </c>
      <c r="F2355" t="s">
        <v>24</v>
      </c>
      <c r="G2355" t="str">
        <f>"2025-09-24 10:30:59.608"</f>
        <v>2025-09-24 10:30:59.608</v>
      </c>
      <c r="H2355" t="s">
        <v>22</v>
      </c>
      <c r="I2355">
        <v>0</v>
      </c>
      <c r="J2355" t="s">
        <v>25</v>
      </c>
    </row>
    <row r="2356" spans="1:10" x14ac:dyDescent="0.25">
      <c r="A2356" s="1">
        <v>527</v>
      </c>
      <c r="B2356" t="s">
        <v>19</v>
      </c>
      <c r="C2356">
        <v>706</v>
      </c>
      <c r="D2356">
        <v>3</v>
      </c>
      <c r="E2356" t="s">
        <v>20</v>
      </c>
      <c r="F2356" t="s">
        <v>48</v>
      </c>
      <c r="G2356" t="str">
        <f>"2025-09-24 10:26:54.724"</f>
        <v>2025-09-24 10:26:54.724</v>
      </c>
      <c r="H2356" t="s">
        <v>22</v>
      </c>
      <c r="I2356">
        <v>0</v>
      </c>
      <c r="J2356" t="s">
        <v>23</v>
      </c>
    </row>
    <row r="2357" spans="1:10" x14ac:dyDescent="0.25">
      <c r="A2357" s="1">
        <v>528</v>
      </c>
      <c r="B2357" t="s">
        <v>19</v>
      </c>
      <c r="C2357">
        <v>700</v>
      </c>
      <c r="D2357">
        <v>0</v>
      </c>
      <c r="E2357" t="s">
        <v>24</v>
      </c>
      <c r="F2357" t="s">
        <v>24</v>
      </c>
      <c r="G2357" t="str">
        <f>"2025-09-24 10:25:59.624"</f>
        <v>2025-09-24 10:25:59.624</v>
      </c>
      <c r="H2357" t="s">
        <v>22</v>
      </c>
    </row>
    <row r="2358" spans="1:10" x14ac:dyDescent="0.25">
      <c r="A2358" s="1">
        <v>529</v>
      </c>
      <c r="B2358" t="s">
        <v>44</v>
      </c>
      <c r="C2358">
        <v>77</v>
      </c>
      <c r="D2358">
        <v>1</v>
      </c>
      <c r="E2358" t="s">
        <v>45</v>
      </c>
      <c r="F2358" t="s">
        <v>46</v>
      </c>
      <c r="G2358" t="str">
        <f>"2025-09-24 08:32:58.575"</f>
        <v>2025-09-24 08:32:58.575</v>
      </c>
      <c r="H2358" t="s">
        <v>47</v>
      </c>
    </row>
    <row r="2359" spans="1:10" x14ac:dyDescent="0.25">
      <c r="A2359" s="1">
        <v>530</v>
      </c>
      <c r="B2359" t="s">
        <v>34</v>
      </c>
      <c r="C2359">
        <v>77</v>
      </c>
      <c r="D2359">
        <v>1</v>
      </c>
      <c r="E2359" t="s">
        <v>45</v>
      </c>
      <c r="F2359" t="s">
        <v>46</v>
      </c>
      <c r="G2359" t="str">
        <f>"2025-09-24 08:32:53.486"</f>
        <v>2025-09-24 08:32:53.486</v>
      </c>
      <c r="H2359" t="s">
        <v>47</v>
      </c>
      <c r="I2359">
        <v>0</v>
      </c>
      <c r="J2359" t="s">
        <v>23</v>
      </c>
    </row>
    <row r="2360" spans="1:10" x14ac:dyDescent="0.25">
      <c r="A2360" s="1">
        <v>531</v>
      </c>
      <c r="B2360" t="s">
        <v>19</v>
      </c>
      <c r="C2360">
        <v>700</v>
      </c>
      <c r="D2360">
        <v>0</v>
      </c>
      <c r="E2360" t="s">
        <v>24</v>
      </c>
      <c r="F2360" t="s">
        <v>24</v>
      </c>
      <c r="G2360" t="str">
        <f>"2025-09-24 08:32:16.626"</f>
        <v>2025-09-24 08:32:16.626</v>
      </c>
      <c r="H2360" t="s">
        <v>22</v>
      </c>
      <c r="I2360">
        <v>0</v>
      </c>
      <c r="J2360" t="s">
        <v>25</v>
      </c>
    </row>
    <row r="2361" spans="1:10" x14ac:dyDescent="0.25">
      <c r="A2361" s="1">
        <v>532</v>
      </c>
      <c r="B2361" t="s">
        <v>26</v>
      </c>
      <c r="C2361">
        <v>630</v>
      </c>
      <c r="D2361">
        <v>5</v>
      </c>
      <c r="E2361" t="s">
        <v>39</v>
      </c>
      <c r="F2361" t="s">
        <v>40</v>
      </c>
      <c r="G2361" t="str">
        <f>"2025-09-24 05:17:42.596"</f>
        <v>2025-09-24 05:17:42.596</v>
      </c>
      <c r="H2361" t="s">
        <v>41</v>
      </c>
    </row>
    <row r="2362" spans="1:10" x14ac:dyDescent="0.25">
      <c r="A2362" s="1">
        <v>533</v>
      </c>
      <c r="B2362" t="s">
        <v>34</v>
      </c>
      <c r="C2362">
        <v>630</v>
      </c>
      <c r="D2362">
        <v>5</v>
      </c>
      <c r="E2362" t="s">
        <v>39</v>
      </c>
      <c r="F2362" t="s">
        <v>40</v>
      </c>
      <c r="G2362" t="str">
        <f>"2025-09-24 04:54:41.397"</f>
        <v>2025-09-24 04:54:41.397</v>
      </c>
      <c r="H2362" t="s">
        <v>41</v>
      </c>
      <c r="I2362">
        <v>0</v>
      </c>
      <c r="J2362" t="s">
        <v>23</v>
      </c>
    </row>
    <row r="2363" spans="1:10" x14ac:dyDescent="0.25">
      <c r="A2363" s="1">
        <v>534</v>
      </c>
      <c r="B2363" t="s">
        <v>19</v>
      </c>
      <c r="C2363">
        <v>700</v>
      </c>
      <c r="D2363">
        <v>0</v>
      </c>
      <c r="E2363" t="s">
        <v>24</v>
      </c>
      <c r="F2363" t="s">
        <v>24</v>
      </c>
      <c r="G2363" t="str">
        <f>"2025-09-24 04:49:38.618"</f>
        <v>2025-09-24 04:49:38.618</v>
      </c>
      <c r="H2363" t="s">
        <v>22</v>
      </c>
    </row>
    <row r="2364" spans="1:10" x14ac:dyDescent="0.25">
      <c r="A2364" s="1">
        <v>535</v>
      </c>
      <c r="B2364" t="s">
        <v>34</v>
      </c>
      <c r="C2364">
        <v>630</v>
      </c>
      <c r="D2364">
        <v>5</v>
      </c>
      <c r="E2364" t="s">
        <v>39</v>
      </c>
      <c r="F2364" t="s">
        <v>40</v>
      </c>
      <c r="G2364" t="str">
        <f>"2025-09-24 02:34:47.350"</f>
        <v>2025-09-24 02:34:47.350</v>
      </c>
      <c r="H2364" t="s">
        <v>41</v>
      </c>
      <c r="I2364">
        <v>0</v>
      </c>
      <c r="J2364" t="s">
        <v>23</v>
      </c>
    </row>
    <row r="2365" spans="1:10" x14ac:dyDescent="0.25">
      <c r="A2365" s="1">
        <v>536</v>
      </c>
      <c r="B2365" t="s">
        <v>19</v>
      </c>
      <c r="C2365">
        <v>700</v>
      </c>
      <c r="D2365">
        <v>0</v>
      </c>
      <c r="E2365" t="s">
        <v>24</v>
      </c>
      <c r="F2365" t="s">
        <v>24</v>
      </c>
      <c r="G2365" t="str">
        <f>"2025-09-24 02:29:44.609"</f>
        <v>2025-09-24 02:29:44.609</v>
      </c>
      <c r="H2365" t="s">
        <v>22</v>
      </c>
    </row>
    <row r="2366" spans="1:10" x14ac:dyDescent="0.25">
      <c r="A2366" s="1">
        <v>537</v>
      </c>
      <c r="B2366" t="s">
        <v>19</v>
      </c>
      <c r="C2366">
        <v>700</v>
      </c>
      <c r="D2366">
        <v>0</v>
      </c>
      <c r="E2366" t="s">
        <v>24</v>
      </c>
      <c r="F2366" t="s">
        <v>24</v>
      </c>
      <c r="G2366" t="str">
        <f>"2025-09-24 02:27:25.862"</f>
        <v>2025-09-24 02:27:25.862</v>
      </c>
      <c r="H2366" t="s">
        <v>22</v>
      </c>
    </row>
    <row r="2367" spans="1:10" x14ac:dyDescent="0.25">
      <c r="A2367" s="1">
        <v>538</v>
      </c>
      <c r="B2367" t="s">
        <v>19</v>
      </c>
      <c r="C2367">
        <v>700</v>
      </c>
      <c r="D2367">
        <v>0</v>
      </c>
      <c r="E2367" t="s">
        <v>24</v>
      </c>
      <c r="F2367" t="s">
        <v>24</v>
      </c>
      <c r="G2367" t="str">
        <f>"2025-09-23 17:07:05.609"</f>
        <v>2025-09-23 17:07:05.609</v>
      </c>
      <c r="H2367" t="s">
        <v>22</v>
      </c>
    </row>
    <row r="2368" spans="1:10" x14ac:dyDescent="0.25">
      <c r="A2368" s="1">
        <v>539</v>
      </c>
      <c r="B2368" t="s">
        <v>19</v>
      </c>
      <c r="C2368">
        <v>700</v>
      </c>
      <c r="D2368">
        <v>0</v>
      </c>
      <c r="E2368" t="s">
        <v>24</v>
      </c>
      <c r="F2368" t="s">
        <v>24</v>
      </c>
      <c r="G2368" t="str">
        <f>"2025-09-23 16:18:25.626"</f>
        <v>2025-09-23 16:18:25.626</v>
      </c>
      <c r="H2368" t="s">
        <v>22</v>
      </c>
    </row>
    <row r="2369" spans="1:10" x14ac:dyDescent="0.25">
      <c r="A2369" s="1">
        <v>540</v>
      </c>
      <c r="B2369" t="s">
        <v>19</v>
      </c>
      <c r="C2369">
        <v>706</v>
      </c>
      <c r="D2369">
        <v>2</v>
      </c>
      <c r="E2369" t="s">
        <v>20</v>
      </c>
      <c r="F2369" t="s">
        <v>54</v>
      </c>
      <c r="G2369" t="str">
        <f>"2025-09-23 15:28:20.512"</f>
        <v>2025-09-23 15:28:20.512</v>
      </c>
      <c r="H2369" t="s">
        <v>22</v>
      </c>
      <c r="I2369">
        <v>0</v>
      </c>
      <c r="J2369" t="s">
        <v>23</v>
      </c>
    </row>
    <row r="2370" spans="1:10" x14ac:dyDescent="0.25">
      <c r="A2370" s="1">
        <v>541</v>
      </c>
      <c r="B2370" t="s">
        <v>19</v>
      </c>
      <c r="C2370">
        <v>706</v>
      </c>
      <c r="D2370">
        <v>4</v>
      </c>
      <c r="E2370" t="s">
        <v>20</v>
      </c>
      <c r="F2370" t="s">
        <v>21</v>
      </c>
      <c r="G2370" t="str">
        <f>"2025-09-23 14:43:48.142"</f>
        <v>2025-09-23 14:43:48.142</v>
      </c>
      <c r="H2370" t="s">
        <v>22</v>
      </c>
      <c r="I2370">
        <v>0</v>
      </c>
      <c r="J2370" t="s">
        <v>23</v>
      </c>
    </row>
    <row r="2371" spans="1:10" x14ac:dyDescent="0.25">
      <c r="A2371" s="1">
        <v>542</v>
      </c>
      <c r="B2371" t="s">
        <v>19</v>
      </c>
      <c r="C2371">
        <v>700</v>
      </c>
      <c r="D2371">
        <v>0</v>
      </c>
      <c r="E2371" t="s">
        <v>24</v>
      </c>
      <c r="F2371" t="s">
        <v>24</v>
      </c>
      <c r="G2371" t="str">
        <f>"2025-09-23 14:43:30.622"</f>
        <v>2025-09-23 14:43:30.622</v>
      </c>
      <c r="H2371" t="s">
        <v>22</v>
      </c>
      <c r="I2371">
        <v>0</v>
      </c>
      <c r="J2371" t="s">
        <v>25</v>
      </c>
    </row>
    <row r="2372" spans="1:10" x14ac:dyDescent="0.25">
      <c r="A2372" s="1">
        <v>543</v>
      </c>
      <c r="B2372" t="s">
        <v>34</v>
      </c>
      <c r="C2372">
        <v>47</v>
      </c>
      <c r="D2372">
        <v>2</v>
      </c>
      <c r="E2372" t="s">
        <v>83</v>
      </c>
      <c r="F2372" t="s">
        <v>84</v>
      </c>
      <c r="G2372" t="str">
        <f>"2025-09-23 14:40:15.797"</f>
        <v>2025-09-23 14:40:15.797</v>
      </c>
      <c r="H2372" t="s">
        <v>47</v>
      </c>
      <c r="I2372">
        <v>0</v>
      </c>
      <c r="J2372" t="s">
        <v>72</v>
      </c>
    </row>
    <row r="2373" spans="1:10" x14ac:dyDescent="0.25">
      <c r="A2373" s="1">
        <v>544</v>
      </c>
      <c r="B2373" t="s">
        <v>19</v>
      </c>
      <c r="C2373">
        <v>700</v>
      </c>
      <c r="D2373">
        <v>0</v>
      </c>
      <c r="E2373" t="s">
        <v>24</v>
      </c>
      <c r="F2373" t="s">
        <v>24</v>
      </c>
      <c r="G2373" t="str">
        <f>"2025-09-23 14:40:10.622"</f>
        <v>2025-09-23 14:40:10.622</v>
      </c>
      <c r="H2373" t="s">
        <v>22</v>
      </c>
      <c r="I2373">
        <v>0</v>
      </c>
      <c r="J2373" t="s">
        <v>25</v>
      </c>
    </row>
    <row r="2374" spans="1:10" x14ac:dyDescent="0.25">
      <c r="A2374" s="1">
        <v>545</v>
      </c>
      <c r="B2374" t="s">
        <v>19</v>
      </c>
      <c r="C2374">
        <v>700</v>
      </c>
      <c r="D2374">
        <v>0</v>
      </c>
      <c r="E2374" t="s">
        <v>24</v>
      </c>
      <c r="F2374" t="s">
        <v>24</v>
      </c>
      <c r="G2374" t="str">
        <f>"2025-09-23 14:26:56.619"</f>
        <v>2025-09-23 14:26:56.619</v>
      </c>
      <c r="H2374" t="s">
        <v>22</v>
      </c>
      <c r="I2374">
        <v>0</v>
      </c>
      <c r="J2374" t="s">
        <v>25</v>
      </c>
    </row>
    <row r="2375" spans="1:10" x14ac:dyDescent="0.25">
      <c r="A2375" s="1">
        <v>546</v>
      </c>
      <c r="B2375" t="s">
        <v>19</v>
      </c>
      <c r="C2375">
        <v>706</v>
      </c>
      <c r="D2375">
        <v>3</v>
      </c>
      <c r="E2375" t="s">
        <v>20</v>
      </c>
      <c r="F2375" t="s">
        <v>48</v>
      </c>
      <c r="G2375" t="str">
        <f>"2025-09-23 14:22:26.727"</f>
        <v>2025-09-23 14:22:26.727</v>
      </c>
      <c r="H2375" t="s">
        <v>22</v>
      </c>
      <c r="I2375">
        <v>0</v>
      </c>
      <c r="J2375" t="s">
        <v>23</v>
      </c>
    </row>
    <row r="2376" spans="1:10" x14ac:dyDescent="0.25">
      <c r="A2376" s="1">
        <v>547</v>
      </c>
      <c r="B2376" t="s">
        <v>19</v>
      </c>
      <c r="C2376">
        <v>700</v>
      </c>
      <c r="D2376">
        <v>0</v>
      </c>
      <c r="E2376" t="s">
        <v>24</v>
      </c>
      <c r="F2376" t="s">
        <v>24</v>
      </c>
      <c r="G2376" t="str">
        <f>"2025-09-23 14:20:29.717"</f>
        <v>2025-09-23 14:20:29.717</v>
      </c>
      <c r="H2376" t="s">
        <v>22</v>
      </c>
      <c r="I2376">
        <v>0</v>
      </c>
      <c r="J2376" t="s">
        <v>25</v>
      </c>
    </row>
    <row r="2377" spans="1:10" x14ac:dyDescent="0.25">
      <c r="A2377" s="1">
        <v>548</v>
      </c>
      <c r="B2377" t="s">
        <v>19</v>
      </c>
      <c r="C2377">
        <v>700</v>
      </c>
      <c r="D2377">
        <v>0</v>
      </c>
      <c r="E2377" t="s">
        <v>24</v>
      </c>
      <c r="F2377" t="s">
        <v>24</v>
      </c>
      <c r="G2377" t="str">
        <f>"2025-09-23 14:16:24.628"</f>
        <v>2025-09-23 14:16:24.628</v>
      </c>
      <c r="H2377" t="s">
        <v>22</v>
      </c>
    </row>
    <row r="2378" spans="1:10" x14ac:dyDescent="0.25">
      <c r="A2378" s="1">
        <v>549</v>
      </c>
      <c r="B2378" t="s">
        <v>19</v>
      </c>
      <c r="C2378">
        <v>706</v>
      </c>
      <c r="D2378">
        <v>3</v>
      </c>
      <c r="E2378" t="s">
        <v>20</v>
      </c>
      <c r="F2378" t="s">
        <v>48</v>
      </c>
      <c r="G2378" t="str">
        <f>"2025-09-23 14:14:42.147"</f>
        <v>2025-09-23 14:14:42.147</v>
      </c>
      <c r="H2378" t="s">
        <v>22</v>
      </c>
      <c r="I2378">
        <v>0</v>
      </c>
      <c r="J2378" t="s">
        <v>23</v>
      </c>
    </row>
    <row r="2379" spans="1:10" x14ac:dyDescent="0.25">
      <c r="A2379" s="1">
        <v>550</v>
      </c>
      <c r="B2379" t="s">
        <v>19</v>
      </c>
      <c r="C2379">
        <v>700</v>
      </c>
      <c r="D2379">
        <v>0</v>
      </c>
      <c r="E2379" t="s">
        <v>24</v>
      </c>
      <c r="F2379" t="s">
        <v>24</v>
      </c>
      <c r="G2379" t="str">
        <f>"2025-09-23 14:12:14.627"</f>
        <v>2025-09-23 14:12:14.627</v>
      </c>
      <c r="H2379" t="s">
        <v>22</v>
      </c>
    </row>
    <row r="2380" spans="1:10" x14ac:dyDescent="0.25">
      <c r="A2380" s="1">
        <v>551</v>
      </c>
      <c r="B2380" t="s">
        <v>19</v>
      </c>
      <c r="C2380">
        <v>706</v>
      </c>
      <c r="D2380">
        <v>4</v>
      </c>
      <c r="E2380" t="s">
        <v>20</v>
      </c>
      <c r="F2380" t="s">
        <v>21</v>
      </c>
      <c r="G2380" t="str">
        <f>"2025-09-23 12:07:13.215"</f>
        <v>2025-09-23 12:07:13.215</v>
      </c>
      <c r="H2380" t="s">
        <v>22</v>
      </c>
      <c r="I2380">
        <v>0</v>
      </c>
      <c r="J2380" t="s">
        <v>23</v>
      </c>
    </row>
    <row r="2381" spans="1:10" x14ac:dyDescent="0.25">
      <c r="A2381" s="1">
        <v>552</v>
      </c>
      <c r="B2381" t="s">
        <v>19</v>
      </c>
      <c r="C2381">
        <v>700</v>
      </c>
      <c r="D2381">
        <v>0</v>
      </c>
      <c r="E2381" t="s">
        <v>24</v>
      </c>
      <c r="F2381" t="s">
        <v>24</v>
      </c>
      <c r="G2381" t="str">
        <f>"2025-09-23 12:06:16.705"</f>
        <v>2025-09-23 12:06:16.705</v>
      </c>
      <c r="H2381" t="s">
        <v>22</v>
      </c>
      <c r="I2381">
        <v>0</v>
      </c>
      <c r="J2381" t="s">
        <v>25</v>
      </c>
    </row>
    <row r="2382" spans="1:10" x14ac:dyDescent="0.25">
      <c r="A2382" s="1">
        <v>553</v>
      </c>
      <c r="B2382" t="s">
        <v>19</v>
      </c>
      <c r="C2382">
        <v>706</v>
      </c>
      <c r="D2382">
        <v>2</v>
      </c>
      <c r="E2382" t="s">
        <v>20</v>
      </c>
      <c r="F2382" t="s">
        <v>54</v>
      </c>
      <c r="G2382" t="str">
        <f>"2025-09-23 12:00:49.598"</f>
        <v>2025-09-23 12:00:49.598</v>
      </c>
      <c r="H2382" t="s">
        <v>22</v>
      </c>
      <c r="I2382">
        <v>0</v>
      </c>
      <c r="J2382" t="s">
        <v>23</v>
      </c>
    </row>
    <row r="2383" spans="1:10" x14ac:dyDescent="0.25">
      <c r="A2383" s="1">
        <v>554</v>
      </c>
      <c r="B2383" t="s">
        <v>19</v>
      </c>
      <c r="C2383">
        <v>706</v>
      </c>
      <c r="D2383">
        <v>2</v>
      </c>
      <c r="E2383" t="s">
        <v>20</v>
      </c>
      <c r="F2383" t="s">
        <v>54</v>
      </c>
      <c r="G2383" t="str">
        <f>"2025-09-23 11:49:59.798"</f>
        <v>2025-09-23 11:49:59.798</v>
      </c>
      <c r="H2383" t="s">
        <v>22</v>
      </c>
      <c r="I2383">
        <v>0</v>
      </c>
      <c r="J2383" t="s">
        <v>23</v>
      </c>
    </row>
    <row r="2384" spans="1:10" x14ac:dyDescent="0.25">
      <c r="A2384" s="1">
        <v>555</v>
      </c>
      <c r="B2384" t="s">
        <v>19</v>
      </c>
      <c r="C2384">
        <v>700</v>
      </c>
      <c r="D2384">
        <v>0</v>
      </c>
      <c r="E2384" t="s">
        <v>24</v>
      </c>
      <c r="F2384" t="s">
        <v>24</v>
      </c>
      <c r="G2384" t="str">
        <f>"2025-09-23 11:49:41.698"</f>
        <v>2025-09-23 11:49:41.698</v>
      </c>
      <c r="H2384" t="s">
        <v>22</v>
      </c>
      <c r="I2384">
        <v>0</v>
      </c>
      <c r="J2384" t="s">
        <v>25</v>
      </c>
    </row>
    <row r="2385" spans="1:10" x14ac:dyDescent="0.25">
      <c r="A2385" s="1">
        <v>556</v>
      </c>
      <c r="B2385" t="s">
        <v>19</v>
      </c>
      <c r="C2385">
        <v>700</v>
      </c>
      <c r="D2385">
        <v>0</v>
      </c>
      <c r="E2385" t="s">
        <v>24</v>
      </c>
      <c r="F2385" t="s">
        <v>24</v>
      </c>
      <c r="G2385" t="str">
        <f>"2025-09-23 11:41:21.615"</f>
        <v>2025-09-23 11:41:21.615</v>
      </c>
      <c r="H2385" t="s">
        <v>22</v>
      </c>
      <c r="I2385">
        <v>0</v>
      </c>
      <c r="J2385" t="s">
        <v>25</v>
      </c>
    </row>
    <row r="2386" spans="1:10" x14ac:dyDescent="0.25">
      <c r="A2386" s="1">
        <v>557</v>
      </c>
      <c r="B2386" t="s">
        <v>26</v>
      </c>
      <c r="C2386">
        <v>43</v>
      </c>
      <c r="D2386">
        <v>1</v>
      </c>
      <c r="E2386" t="s">
        <v>70</v>
      </c>
      <c r="F2386" t="s">
        <v>71</v>
      </c>
      <c r="G2386" t="str">
        <f>"2025-09-23 11:35:04.549"</f>
        <v>2025-09-23 11:35:04.549</v>
      </c>
      <c r="H2386" t="s">
        <v>41</v>
      </c>
    </row>
    <row r="2387" spans="1:10" x14ac:dyDescent="0.25">
      <c r="A2387" s="1">
        <v>558</v>
      </c>
      <c r="B2387" t="s">
        <v>26</v>
      </c>
      <c r="C2387">
        <v>4</v>
      </c>
      <c r="D2387">
        <v>1</v>
      </c>
      <c r="E2387" t="s">
        <v>65</v>
      </c>
      <c r="F2387" t="s">
        <v>66</v>
      </c>
      <c r="G2387" t="str">
        <f>"2025-09-23 11:34:59.626"</f>
        <v>2025-09-23 11:34:59.626</v>
      </c>
      <c r="H2387" t="s">
        <v>67</v>
      </c>
    </row>
    <row r="2388" spans="1:10" x14ac:dyDescent="0.25">
      <c r="A2388" s="1">
        <v>560</v>
      </c>
      <c r="B2388" t="s">
        <v>29</v>
      </c>
      <c r="C2388">
        <v>4</v>
      </c>
      <c r="D2388">
        <v>1</v>
      </c>
      <c r="E2388" t="s">
        <v>65</v>
      </c>
      <c r="F2388" t="s">
        <v>66</v>
      </c>
      <c r="G2388" t="str">
        <f>"2025-09-23 11:34:54.606"</f>
        <v>2025-09-23 11:34:54.606</v>
      </c>
      <c r="H2388" t="s">
        <v>67</v>
      </c>
      <c r="I2388">
        <v>0</v>
      </c>
      <c r="J2388" t="s">
        <v>23</v>
      </c>
    </row>
    <row r="2389" spans="1:10" x14ac:dyDescent="0.25">
      <c r="A2389" s="1">
        <v>562</v>
      </c>
      <c r="B2389" t="s">
        <v>29</v>
      </c>
      <c r="C2389">
        <v>43</v>
      </c>
      <c r="D2389">
        <v>1</v>
      </c>
      <c r="E2389" t="s">
        <v>70</v>
      </c>
      <c r="F2389" t="s">
        <v>71</v>
      </c>
      <c r="G2389" t="str">
        <f>"2025-09-23 11:18:42.050"</f>
        <v>2025-09-23 11:18:42.050</v>
      </c>
      <c r="H2389" t="s">
        <v>41</v>
      </c>
      <c r="I2389">
        <v>0</v>
      </c>
      <c r="J2389" t="s">
        <v>23</v>
      </c>
    </row>
    <row r="2390" spans="1:10" x14ac:dyDescent="0.25">
      <c r="A2390" s="1">
        <v>563</v>
      </c>
      <c r="B2390" t="s">
        <v>19</v>
      </c>
      <c r="C2390">
        <v>700</v>
      </c>
      <c r="D2390">
        <v>0</v>
      </c>
      <c r="E2390" t="s">
        <v>24</v>
      </c>
      <c r="F2390" t="s">
        <v>24</v>
      </c>
      <c r="G2390" t="str">
        <f>"2025-09-23 11:18:23.610"</f>
        <v>2025-09-23 11:18:23.610</v>
      </c>
      <c r="H2390" t="s">
        <v>22</v>
      </c>
    </row>
    <row r="2391" spans="1:10" x14ac:dyDescent="0.25">
      <c r="A2391" s="1">
        <v>564</v>
      </c>
      <c r="B2391" t="s">
        <v>19</v>
      </c>
      <c r="C2391">
        <v>706</v>
      </c>
      <c r="D2391">
        <v>2</v>
      </c>
      <c r="E2391" t="s">
        <v>20</v>
      </c>
      <c r="F2391" t="s">
        <v>54</v>
      </c>
      <c r="G2391" t="str">
        <f>"2025-09-23 09:06:37.760"</f>
        <v>2025-09-23 09:06:37.760</v>
      </c>
      <c r="H2391" t="s">
        <v>22</v>
      </c>
      <c r="I2391">
        <v>0</v>
      </c>
      <c r="J2391" t="s">
        <v>23</v>
      </c>
    </row>
    <row r="2392" spans="1:10" x14ac:dyDescent="0.25">
      <c r="A2392" s="1">
        <v>565</v>
      </c>
      <c r="B2392" t="s">
        <v>19</v>
      </c>
      <c r="C2392">
        <v>706</v>
      </c>
      <c r="D2392">
        <v>4</v>
      </c>
      <c r="E2392" t="s">
        <v>20</v>
      </c>
      <c r="F2392" t="s">
        <v>21</v>
      </c>
      <c r="G2392" t="str">
        <f>"2025-09-23 08:56:06.050"</f>
        <v>2025-09-23 08:56:06.050</v>
      </c>
      <c r="H2392" t="s">
        <v>22</v>
      </c>
      <c r="I2392">
        <v>0</v>
      </c>
      <c r="J2392" t="s">
        <v>23</v>
      </c>
    </row>
    <row r="2393" spans="1:10" x14ac:dyDescent="0.25">
      <c r="A2393" s="1">
        <v>566</v>
      </c>
      <c r="B2393" t="s">
        <v>19</v>
      </c>
      <c r="C2393">
        <v>700</v>
      </c>
      <c r="D2393">
        <v>0</v>
      </c>
      <c r="E2393" t="s">
        <v>24</v>
      </c>
      <c r="F2393" t="s">
        <v>24</v>
      </c>
      <c r="G2393" t="str">
        <f>"2025-09-23 08:55:30.670"</f>
        <v>2025-09-23 08:55:30.670</v>
      </c>
      <c r="H2393" t="s">
        <v>22</v>
      </c>
      <c r="I2393">
        <v>0</v>
      </c>
      <c r="J2393" t="s">
        <v>25</v>
      </c>
    </row>
    <row r="2394" spans="1:10" s="3" customFormat="1" x14ac:dyDescent="0.25">
      <c r="A2394" s="2">
        <v>567</v>
      </c>
      <c r="B2394" s="3" t="s">
        <v>26</v>
      </c>
      <c r="C2394" s="3">
        <v>647</v>
      </c>
      <c r="D2394" s="3">
        <v>1</v>
      </c>
      <c r="E2394" s="3" t="s">
        <v>35</v>
      </c>
      <c r="F2394" s="3" t="s">
        <v>36</v>
      </c>
      <c r="G2394" s="3" t="str">
        <f>"2025-09-22 15:25:51.289"</f>
        <v>2025-09-22 15:25:51.289</v>
      </c>
      <c r="H2394" s="3" t="s">
        <v>22</v>
      </c>
    </row>
    <row r="2395" spans="1:10" s="3" customFormat="1" x14ac:dyDescent="0.25">
      <c r="A2395" s="2">
        <v>568</v>
      </c>
      <c r="B2395" s="3" t="s">
        <v>29</v>
      </c>
      <c r="C2395" s="3">
        <v>647</v>
      </c>
      <c r="D2395" s="3">
        <v>1</v>
      </c>
      <c r="E2395" s="3" t="s">
        <v>35</v>
      </c>
      <c r="F2395" s="3" t="s">
        <v>36</v>
      </c>
      <c r="G2395" s="3" t="str">
        <f>"2025-09-22 15:25:47.989"</f>
        <v>2025-09-22 15:25:47.989</v>
      </c>
      <c r="H2395" s="3" t="s">
        <v>22</v>
      </c>
      <c r="I2395" s="3">
        <v>9.5</v>
      </c>
      <c r="J2395" s="3" t="s">
        <v>37</v>
      </c>
    </row>
    <row r="2396" spans="1:10" x14ac:dyDescent="0.25">
      <c r="A2396" s="1">
        <v>569</v>
      </c>
      <c r="B2396" t="s">
        <v>19</v>
      </c>
      <c r="C2396">
        <v>700</v>
      </c>
      <c r="D2396">
        <v>0</v>
      </c>
      <c r="E2396" t="s">
        <v>24</v>
      </c>
      <c r="F2396" t="s">
        <v>24</v>
      </c>
      <c r="G2396" t="str">
        <f>"2025-09-22 12:39:15.608"</f>
        <v>2025-09-22 12:39:15.608</v>
      </c>
      <c r="H2396" t="s">
        <v>22</v>
      </c>
    </row>
    <row r="2397" spans="1:10" x14ac:dyDescent="0.25">
      <c r="A2397" s="1">
        <v>570</v>
      </c>
      <c r="B2397" t="s">
        <v>19</v>
      </c>
      <c r="C2397">
        <v>706</v>
      </c>
      <c r="D2397">
        <v>3</v>
      </c>
      <c r="E2397" t="s">
        <v>20</v>
      </c>
      <c r="F2397" t="s">
        <v>48</v>
      </c>
      <c r="G2397" t="str">
        <f>"2025-09-22 12:28:57.101"</f>
        <v>2025-09-22 12:28:57.101</v>
      </c>
      <c r="H2397" t="s">
        <v>22</v>
      </c>
      <c r="I2397">
        <v>0</v>
      </c>
      <c r="J2397" t="s">
        <v>23</v>
      </c>
    </row>
    <row r="2398" spans="1:10" x14ac:dyDescent="0.25">
      <c r="A2398" s="1">
        <v>571</v>
      </c>
      <c r="B2398" t="s">
        <v>19</v>
      </c>
      <c r="C2398">
        <v>706</v>
      </c>
      <c r="D2398">
        <v>3</v>
      </c>
      <c r="E2398" t="s">
        <v>20</v>
      </c>
      <c r="F2398" t="s">
        <v>48</v>
      </c>
      <c r="G2398" t="str">
        <f>"2025-09-22 12:27:12.901"</f>
        <v>2025-09-22 12:27:12.901</v>
      </c>
      <c r="H2398" t="s">
        <v>22</v>
      </c>
      <c r="I2398">
        <v>0</v>
      </c>
      <c r="J2398" t="s">
        <v>23</v>
      </c>
    </row>
    <row r="2399" spans="1:10" x14ac:dyDescent="0.25">
      <c r="A2399" s="1">
        <v>572</v>
      </c>
      <c r="B2399" t="s">
        <v>26</v>
      </c>
      <c r="C2399">
        <v>619</v>
      </c>
      <c r="D2399">
        <v>1</v>
      </c>
      <c r="E2399" t="s">
        <v>79</v>
      </c>
      <c r="F2399" t="s">
        <v>28</v>
      </c>
      <c r="G2399" t="str">
        <f>"2025-09-22 12:26:08.419"</f>
        <v>2025-09-22 12:26:08.419</v>
      </c>
      <c r="H2399" t="s">
        <v>80</v>
      </c>
    </row>
    <row r="2400" spans="1:10" x14ac:dyDescent="0.25">
      <c r="A2400" s="1">
        <v>573</v>
      </c>
      <c r="B2400" t="s">
        <v>29</v>
      </c>
      <c r="C2400">
        <v>619</v>
      </c>
      <c r="D2400">
        <v>1</v>
      </c>
      <c r="E2400" t="s">
        <v>79</v>
      </c>
      <c r="F2400" t="s">
        <v>28</v>
      </c>
      <c r="G2400" t="str">
        <f>"2025-09-22 12:23:53.519"</f>
        <v>2025-09-22 12:23:53.519</v>
      </c>
      <c r="H2400" t="s">
        <v>80</v>
      </c>
      <c r="I2400">
        <v>0</v>
      </c>
      <c r="J2400" t="s">
        <v>38</v>
      </c>
    </row>
    <row r="2401" spans="1:10" x14ac:dyDescent="0.25">
      <c r="A2401" s="1">
        <v>574</v>
      </c>
      <c r="B2401" t="s">
        <v>19</v>
      </c>
      <c r="C2401">
        <v>706</v>
      </c>
      <c r="D2401">
        <v>4</v>
      </c>
      <c r="E2401" t="s">
        <v>20</v>
      </c>
      <c r="F2401" t="s">
        <v>21</v>
      </c>
      <c r="G2401" t="str">
        <f>"2025-09-22 11:44:54.001"</f>
        <v>2025-09-22 11:44:54.001</v>
      </c>
      <c r="H2401" t="s">
        <v>22</v>
      </c>
      <c r="I2401">
        <v>0</v>
      </c>
      <c r="J2401" t="s">
        <v>23</v>
      </c>
    </row>
    <row r="2402" spans="1:10" x14ac:dyDescent="0.25">
      <c r="A2402" s="1">
        <v>575</v>
      </c>
      <c r="B2402" t="s">
        <v>19</v>
      </c>
      <c r="C2402">
        <v>706</v>
      </c>
      <c r="D2402">
        <v>3</v>
      </c>
      <c r="E2402" t="s">
        <v>20</v>
      </c>
      <c r="F2402" t="s">
        <v>48</v>
      </c>
      <c r="G2402" t="str">
        <f>"2025-09-22 11:44:21.581"</f>
        <v>2025-09-22 11:44:21.581</v>
      </c>
      <c r="H2402" t="s">
        <v>22</v>
      </c>
      <c r="I2402">
        <v>0</v>
      </c>
      <c r="J2402" t="s">
        <v>23</v>
      </c>
    </row>
    <row r="2403" spans="1:10" x14ac:dyDescent="0.25">
      <c r="A2403" s="1">
        <v>576</v>
      </c>
      <c r="B2403" t="s">
        <v>19</v>
      </c>
      <c r="C2403">
        <v>700</v>
      </c>
      <c r="D2403">
        <v>0</v>
      </c>
      <c r="E2403" t="s">
        <v>24</v>
      </c>
      <c r="F2403" t="s">
        <v>24</v>
      </c>
      <c r="G2403" t="str">
        <f>"2025-09-22 11:43:45.611"</f>
        <v>2025-09-22 11:43:45.611</v>
      </c>
      <c r="H2403" t="s">
        <v>22</v>
      </c>
      <c r="I2403">
        <v>0</v>
      </c>
      <c r="J2403" t="s">
        <v>25</v>
      </c>
    </row>
    <row r="2404" spans="1:10" s="3" customFormat="1" x14ac:dyDescent="0.25">
      <c r="A2404" s="2">
        <v>577</v>
      </c>
      <c r="B2404" s="3" t="s">
        <v>26</v>
      </c>
      <c r="C2404" s="3">
        <v>647</v>
      </c>
      <c r="D2404" s="3">
        <v>1</v>
      </c>
      <c r="E2404" s="3" t="s">
        <v>35</v>
      </c>
      <c r="F2404" s="3" t="s">
        <v>36</v>
      </c>
      <c r="G2404" s="3" t="str">
        <f>"2025-09-22 09:33:19.287"</f>
        <v>2025-09-22 09:33:19.287</v>
      </c>
      <c r="H2404" s="3" t="s">
        <v>22</v>
      </c>
    </row>
    <row r="2405" spans="1:10" s="3" customFormat="1" x14ac:dyDescent="0.25">
      <c r="A2405" s="2">
        <v>578</v>
      </c>
      <c r="B2405" s="3" t="s">
        <v>29</v>
      </c>
      <c r="C2405" s="3">
        <v>647</v>
      </c>
      <c r="D2405" s="3">
        <v>1</v>
      </c>
      <c r="E2405" s="3" t="s">
        <v>35</v>
      </c>
      <c r="F2405" s="3" t="s">
        <v>36</v>
      </c>
      <c r="G2405" s="3" t="str">
        <f>"2025-09-22 09:33:17.187"</f>
        <v>2025-09-22 09:33:17.187</v>
      </c>
      <c r="H2405" s="3" t="s">
        <v>22</v>
      </c>
      <c r="I2405" s="3">
        <v>10.93</v>
      </c>
      <c r="J2405" s="3" t="s">
        <v>37</v>
      </c>
    </row>
    <row r="2406" spans="1:10" s="3" customFormat="1" x14ac:dyDescent="0.25">
      <c r="A2406" s="2">
        <v>579</v>
      </c>
      <c r="B2406" s="3" t="s">
        <v>26</v>
      </c>
      <c r="C2406" s="3">
        <v>647</v>
      </c>
      <c r="D2406" s="3">
        <v>1</v>
      </c>
      <c r="E2406" s="3" t="s">
        <v>35</v>
      </c>
      <c r="F2406" s="3" t="s">
        <v>36</v>
      </c>
      <c r="G2406" s="3" t="str">
        <f>"2025-09-21 14:51:23.887"</f>
        <v>2025-09-21 14:51:23.887</v>
      </c>
      <c r="H2406" s="3" t="s">
        <v>22</v>
      </c>
    </row>
    <row r="2407" spans="1:10" s="3" customFormat="1" x14ac:dyDescent="0.25">
      <c r="A2407" s="2">
        <v>580</v>
      </c>
      <c r="B2407" s="3" t="s">
        <v>29</v>
      </c>
      <c r="C2407" s="3">
        <v>647</v>
      </c>
      <c r="D2407" s="3">
        <v>1</v>
      </c>
      <c r="E2407" s="3" t="s">
        <v>35</v>
      </c>
      <c r="F2407" s="3" t="s">
        <v>36</v>
      </c>
      <c r="G2407" s="3" t="str">
        <f>"2025-09-21 14:51:22.787"</f>
        <v>2025-09-21 14:51:22.787</v>
      </c>
      <c r="H2407" s="3" t="s">
        <v>22</v>
      </c>
      <c r="I2407" s="3">
        <v>14.85</v>
      </c>
      <c r="J2407" s="3" t="s">
        <v>37</v>
      </c>
    </row>
    <row r="2408" spans="1:10" x14ac:dyDescent="0.25">
      <c r="A2408" s="1">
        <v>581</v>
      </c>
      <c r="B2408" t="s">
        <v>26</v>
      </c>
      <c r="C2408">
        <v>619</v>
      </c>
      <c r="D2408">
        <v>1</v>
      </c>
      <c r="E2408" t="s">
        <v>79</v>
      </c>
      <c r="F2408" t="s">
        <v>28</v>
      </c>
      <c r="G2408" t="str">
        <f>"2025-09-20 20:26:39.239"</f>
        <v>2025-09-20 20:26:39.239</v>
      </c>
      <c r="H2408" t="s">
        <v>80</v>
      </c>
    </row>
    <row r="2409" spans="1:10" x14ac:dyDescent="0.25">
      <c r="A2409" s="1">
        <v>582</v>
      </c>
      <c r="B2409" t="s">
        <v>29</v>
      </c>
      <c r="C2409">
        <v>619</v>
      </c>
      <c r="D2409">
        <v>1</v>
      </c>
      <c r="E2409" t="s">
        <v>79</v>
      </c>
      <c r="F2409" t="s">
        <v>28</v>
      </c>
      <c r="G2409" t="str">
        <f>"2025-09-20 20:26:31.539"</f>
        <v>2025-09-20 20:26:31.539</v>
      </c>
      <c r="H2409" t="s">
        <v>80</v>
      </c>
      <c r="I2409">
        <v>22.47</v>
      </c>
      <c r="J2409" t="s">
        <v>30</v>
      </c>
    </row>
    <row r="2410" spans="1:10" x14ac:dyDescent="0.25">
      <c r="A2410" s="1">
        <v>583</v>
      </c>
      <c r="B2410" t="s">
        <v>26</v>
      </c>
      <c r="C2410">
        <v>619</v>
      </c>
      <c r="D2410">
        <v>1</v>
      </c>
      <c r="E2410" t="s">
        <v>79</v>
      </c>
      <c r="F2410" t="s">
        <v>28</v>
      </c>
      <c r="G2410" t="str">
        <f>"2025-09-20 05:28:38.887"</f>
        <v>2025-09-20 05:28:38.887</v>
      </c>
      <c r="H2410" t="s">
        <v>80</v>
      </c>
    </row>
    <row r="2411" spans="1:10" x14ac:dyDescent="0.25">
      <c r="A2411" s="1">
        <v>584</v>
      </c>
      <c r="B2411" t="s">
        <v>29</v>
      </c>
      <c r="C2411">
        <v>619</v>
      </c>
      <c r="D2411">
        <v>1</v>
      </c>
      <c r="E2411" t="s">
        <v>79</v>
      </c>
      <c r="F2411" t="s">
        <v>28</v>
      </c>
      <c r="G2411" t="str">
        <f>"2025-09-20 05:28:29.139"</f>
        <v>2025-09-20 05:28:29.139</v>
      </c>
      <c r="H2411" t="s">
        <v>80</v>
      </c>
      <c r="I2411">
        <v>0</v>
      </c>
      <c r="J2411" t="s">
        <v>93</v>
      </c>
    </row>
    <row r="2412" spans="1:10" x14ac:dyDescent="0.25">
      <c r="A2412" s="1">
        <v>585</v>
      </c>
      <c r="B2412" t="s">
        <v>19</v>
      </c>
      <c r="C2412">
        <v>700</v>
      </c>
      <c r="D2412">
        <v>0</v>
      </c>
      <c r="E2412" t="s">
        <v>24</v>
      </c>
      <c r="F2412" t="s">
        <v>24</v>
      </c>
      <c r="G2412" t="str">
        <f>"2025-09-20 05:28:22.610"</f>
        <v>2025-09-20 05:28:22.610</v>
      </c>
      <c r="H2412" t="s">
        <v>22</v>
      </c>
    </row>
    <row r="2413" spans="1:10" x14ac:dyDescent="0.25">
      <c r="A2413" s="1">
        <v>586</v>
      </c>
      <c r="B2413" t="s">
        <v>26</v>
      </c>
      <c r="C2413">
        <v>619</v>
      </c>
      <c r="D2413">
        <v>1</v>
      </c>
      <c r="E2413" t="s">
        <v>79</v>
      </c>
      <c r="F2413" t="s">
        <v>28</v>
      </c>
      <c r="G2413" t="str">
        <f>"2025-09-20 05:26:26.546"</f>
        <v>2025-09-20 05:26:26.546</v>
      </c>
      <c r="H2413" t="s">
        <v>80</v>
      </c>
    </row>
    <row r="2414" spans="1:10" x14ac:dyDescent="0.25">
      <c r="A2414" s="1">
        <v>587</v>
      </c>
      <c r="B2414" t="s">
        <v>29</v>
      </c>
      <c r="C2414">
        <v>619</v>
      </c>
      <c r="D2414">
        <v>1</v>
      </c>
      <c r="E2414" t="s">
        <v>79</v>
      </c>
      <c r="F2414" t="s">
        <v>28</v>
      </c>
      <c r="G2414" t="str">
        <f>"2025-09-20 05:24:42.894"</f>
        <v>2025-09-20 05:24:42.894</v>
      </c>
      <c r="H2414" t="s">
        <v>80</v>
      </c>
      <c r="I2414">
        <v>0</v>
      </c>
      <c r="J2414" t="s">
        <v>38</v>
      </c>
    </row>
    <row r="2415" spans="1:10" x14ac:dyDescent="0.25">
      <c r="A2415" s="1">
        <v>588</v>
      </c>
      <c r="B2415" t="s">
        <v>19</v>
      </c>
      <c r="C2415">
        <v>700</v>
      </c>
      <c r="D2415">
        <v>0</v>
      </c>
      <c r="E2415" t="s">
        <v>24</v>
      </c>
      <c r="F2415" t="s">
        <v>24</v>
      </c>
      <c r="G2415" t="str">
        <f>"2025-09-20 03:54:34.617"</f>
        <v>2025-09-20 03:54:34.617</v>
      </c>
      <c r="H2415" t="s">
        <v>22</v>
      </c>
      <c r="I2415">
        <v>0</v>
      </c>
      <c r="J2415" t="s">
        <v>25</v>
      </c>
    </row>
    <row r="2416" spans="1:10" x14ac:dyDescent="0.25">
      <c r="A2416" s="1">
        <v>589</v>
      </c>
      <c r="B2416" t="s">
        <v>19</v>
      </c>
      <c r="C2416">
        <v>700</v>
      </c>
      <c r="D2416">
        <v>0</v>
      </c>
      <c r="E2416" t="s">
        <v>24</v>
      </c>
      <c r="F2416" t="s">
        <v>24</v>
      </c>
      <c r="G2416" t="str">
        <f>"2025-09-20 02:56:03.619"</f>
        <v>2025-09-20 02:56:03.619</v>
      </c>
      <c r="H2416" t="s">
        <v>22</v>
      </c>
      <c r="I2416">
        <v>0</v>
      </c>
      <c r="J2416" t="s">
        <v>25</v>
      </c>
    </row>
    <row r="2417" spans="1:10" x14ac:dyDescent="0.25">
      <c r="A2417" s="1">
        <v>590</v>
      </c>
      <c r="B2417" t="s">
        <v>26</v>
      </c>
      <c r="C2417">
        <v>619</v>
      </c>
      <c r="D2417">
        <v>1</v>
      </c>
      <c r="E2417" t="s">
        <v>79</v>
      </c>
      <c r="F2417" t="s">
        <v>28</v>
      </c>
      <c r="G2417" t="str">
        <f>"2025-09-20 02:53:21.387"</f>
        <v>2025-09-20 02:53:21.387</v>
      </c>
      <c r="H2417" t="s">
        <v>80</v>
      </c>
    </row>
    <row r="2418" spans="1:10" x14ac:dyDescent="0.25">
      <c r="A2418" s="1">
        <v>591</v>
      </c>
      <c r="B2418" t="s">
        <v>29</v>
      </c>
      <c r="C2418">
        <v>619</v>
      </c>
      <c r="D2418">
        <v>1</v>
      </c>
      <c r="E2418" t="s">
        <v>79</v>
      </c>
      <c r="F2418" t="s">
        <v>28</v>
      </c>
      <c r="G2418" t="str">
        <f>"2025-09-20 02:51:58.187"</f>
        <v>2025-09-20 02:51:58.187</v>
      </c>
      <c r="H2418" t="s">
        <v>80</v>
      </c>
      <c r="I2418">
        <v>-0.01</v>
      </c>
      <c r="J2418" t="s">
        <v>38</v>
      </c>
    </row>
    <row r="2419" spans="1:10" x14ac:dyDescent="0.25">
      <c r="A2419" s="1">
        <v>592</v>
      </c>
      <c r="B2419" t="s">
        <v>26</v>
      </c>
      <c r="C2419">
        <v>619</v>
      </c>
      <c r="D2419">
        <v>1</v>
      </c>
      <c r="E2419" t="s">
        <v>79</v>
      </c>
      <c r="F2419" t="s">
        <v>28</v>
      </c>
      <c r="G2419" t="str">
        <f>"2025-09-20 02:51:47.187"</f>
        <v>2025-09-20 02:51:47.187</v>
      </c>
      <c r="H2419" t="s">
        <v>80</v>
      </c>
    </row>
    <row r="2420" spans="1:10" x14ac:dyDescent="0.25">
      <c r="A2420" s="1">
        <v>593</v>
      </c>
      <c r="B2420" t="s">
        <v>29</v>
      </c>
      <c r="C2420">
        <v>619</v>
      </c>
      <c r="D2420">
        <v>1</v>
      </c>
      <c r="E2420" t="s">
        <v>79</v>
      </c>
      <c r="F2420" t="s">
        <v>28</v>
      </c>
      <c r="G2420" t="str">
        <f>"2025-09-20 02:51:26.987"</f>
        <v>2025-09-20 02:51:26.987</v>
      </c>
      <c r="H2420" t="s">
        <v>80</v>
      </c>
      <c r="I2420">
        <v>0</v>
      </c>
      <c r="J2420" t="s">
        <v>38</v>
      </c>
    </row>
    <row r="2421" spans="1:10" x14ac:dyDescent="0.25">
      <c r="A2421" s="1">
        <v>594</v>
      </c>
      <c r="B2421" t="s">
        <v>26</v>
      </c>
      <c r="C2421">
        <v>619</v>
      </c>
      <c r="D2421">
        <v>1</v>
      </c>
      <c r="E2421" t="s">
        <v>79</v>
      </c>
      <c r="F2421" t="s">
        <v>28</v>
      </c>
      <c r="G2421" t="str">
        <f>"2025-09-20 01:42:45.887"</f>
        <v>2025-09-20 01:42:45.887</v>
      </c>
      <c r="H2421" t="s">
        <v>80</v>
      </c>
    </row>
    <row r="2422" spans="1:10" x14ac:dyDescent="0.25">
      <c r="A2422" s="1">
        <v>595</v>
      </c>
      <c r="B2422" t="s">
        <v>29</v>
      </c>
      <c r="C2422">
        <v>619</v>
      </c>
      <c r="D2422">
        <v>1</v>
      </c>
      <c r="E2422" t="s">
        <v>79</v>
      </c>
      <c r="F2422" t="s">
        <v>28</v>
      </c>
      <c r="G2422" t="str">
        <f>"2025-09-20 01:40:48.987"</f>
        <v>2025-09-20 01:40:48.987</v>
      </c>
      <c r="H2422" t="s">
        <v>80</v>
      </c>
      <c r="I2422">
        <v>10.76</v>
      </c>
      <c r="J2422" t="s">
        <v>37</v>
      </c>
    </row>
    <row r="2423" spans="1:10" s="3" customFormat="1" x14ac:dyDescent="0.25">
      <c r="A2423" s="2">
        <v>596</v>
      </c>
      <c r="B2423" s="3" t="s">
        <v>26</v>
      </c>
      <c r="C2423" s="3">
        <v>647</v>
      </c>
      <c r="D2423" s="3">
        <v>1</v>
      </c>
      <c r="E2423" s="3" t="s">
        <v>35</v>
      </c>
      <c r="F2423" s="3" t="s">
        <v>36</v>
      </c>
      <c r="G2423" s="3" t="str">
        <f>"2025-09-19 01:15:39.587"</f>
        <v>2025-09-19 01:15:39.587</v>
      </c>
      <c r="H2423" s="3" t="s">
        <v>22</v>
      </c>
    </row>
    <row r="2424" spans="1:10" s="3" customFormat="1" x14ac:dyDescent="0.25">
      <c r="A2424" s="2">
        <v>597</v>
      </c>
      <c r="B2424" s="3" t="s">
        <v>29</v>
      </c>
      <c r="C2424" s="3">
        <v>647</v>
      </c>
      <c r="D2424" s="3">
        <v>1</v>
      </c>
      <c r="E2424" s="3" t="s">
        <v>35</v>
      </c>
      <c r="F2424" s="3" t="s">
        <v>36</v>
      </c>
      <c r="G2424" s="3" t="str">
        <f>"2025-09-19 01:15:37.587"</f>
        <v>2025-09-19 01:15:37.587</v>
      </c>
      <c r="H2424" s="3" t="s">
        <v>22</v>
      </c>
      <c r="I2424" s="3">
        <v>10.16</v>
      </c>
      <c r="J2424" s="3" t="s">
        <v>37</v>
      </c>
    </row>
    <row r="2425" spans="1:10" x14ac:dyDescent="0.25">
      <c r="A2425" s="1">
        <v>598</v>
      </c>
      <c r="B2425" t="s">
        <v>26</v>
      </c>
      <c r="C2425">
        <v>98</v>
      </c>
      <c r="D2425">
        <v>1</v>
      </c>
      <c r="E2425" t="s">
        <v>52</v>
      </c>
      <c r="F2425" t="s">
        <v>53</v>
      </c>
      <c r="G2425" t="str">
        <f>"2025-09-18 22:12:07.299"</f>
        <v>2025-09-18 22:12:07.299</v>
      </c>
      <c r="H2425" t="s">
        <v>22</v>
      </c>
    </row>
    <row r="2426" spans="1:10" x14ac:dyDescent="0.25">
      <c r="A2426" s="1">
        <v>599</v>
      </c>
      <c r="B2426" t="s">
        <v>29</v>
      </c>
      <c r="C2426">
        <v>98</v>
      </c>
      <c r="D2426">
        <v>1</v>
      </c>
      <c r="E2426" t="s">
        <v>52</v>
      </c>
      <c r="F2426" t="s">
        <v>53</v>
      </c>
      <c r="G2426" t="str">
        <f>"2025-09-18 22:12:06.300"</f>
        <v>2025-09-18 22:12:06.300</v>
      </c>
      <c r="H2426" t="s">
        <v>22</v>
      </c>
      <c r="I2426">
        <v>18.18</v>
      </c>
      <c r="J2426" t="s">
        <v>30</v>
      </c>
    </row>
    <row r="2427" spans="1:10" x14ac:dyDescent="0.25">
      <c r="A2427" s="1">
        <v>600</v>
      </c>
      <c r="B2427" t="s">
        <v>26</v>
      </c>
      <c r="C2427">
        <v>635</v>
      </c>
      <c r="D2427">
        <v>1</v>
      </c>
      <c r="E2427" t="s">
        <v>27</v>
      </c>
      <c r="F2427" t="s">
        <v>28</v>
      </c>
      <c r="G2427" t="str">
        <f>"2025-09-18 20:31:42.187"</f>
        <v>2025-09-18 20:31:42.187</v>
      </c>
      <c r="H2427" t="s">
        <v>22</v>
      </c>
    </row>
    <row r="2428" spans="1:10" x14ac:dyDescent="0.25">
      <c r="A2428" s="1">
        <v>601</v>
      </c>
      <c r="B2428" t="s">
        <v>29</v>
      </c>
      <c r="C2428">
        <v>635</v>
      </c>
      <c r="D2428">
        <v>1</v>
      </c>
      <c r="E2428" t="s">
        <v>27</v>
      </c>
      <c r="F2428" t="s">
        <v>28</v>
      </c>
      <c r="G2428" t="str">
        <f>"2025-09-18 20:28:40.687"</f>
        <v>2025-09-18 20:28:40.687</v>
      </c>
      <c r="H2428" t="s">
        <v>22</v>
      </c>
      <c r="I2428">
        <v>7.01</v>
      </c>
      <c r="J2428" t="s">
        <v>30</v>
      </c>
    </row>
    <row r="2429" spans="1:10" x14ac:dyDescent="0.25">
      <c r="A2429" s="1">
        <v>602</v>
      </c>
      <c r="B2429" t="s">
        <v>26</v>
      </c>
      <c r="C2429">
        <v>635</v>
      </c>
      <c r="D2429">
        <v>1</v>
      </c>
      <c r="E2429" t="s">
        <v>27</v>
      </c>
      <c r="F2429" t="s">
        <v>28</v>
      </c>
      <c r="G2429" t="str">
        <f>"2025-09-18 17:53:03.387"</f>
        <v>2025-09-18 17:53:03.387</v>
      </c>
      <c r="H2429" t="s">
        <v>22</v>
      </c>
    </row>
    <row r="2430" spans="1:10" x14ac:dyDescent="0.25">
      <c r="A2430" s="1">
        <v>603</v>
      </c>
      <c r="B2430" t="s">
        <v>29</v>
      </c>
      <c r="C2430">
        <v>635</v>
      </c>
      <c r="D2430">
        <v>1</v>
      </c>
      <c r="E2430" t="s">
        <v>27</v>
      </c>
      <c r="F2430" t="s">
        <v>28</v>
      </c>
      <c r="G2430" t="str">
        <f>"2025-09-18 17:50:37.887"</f>
        <v>2025-09-18 17:50:37.887</v>
      </c>
      <c r="H2430" t="s">
        <v>22</v>
      </c>
      <c r="I2430">
        <v>7.56</v>
      </c>
      <c r="J2430" t="s">
        <v>37</v>
      </c>
    </row>
    <row r="2431" spans="1:10" x14ac:dyDescent="0.25">
      <c r="A2431" s="1">
        <v>604</v>
      </c>
      <c r="B2431" t="s">
        <v>19</v>
      </c>
      <c r="C2431">
        <v>700</v>
      </c>
      <c r="D2431">
        <v>0</v>
      </c>
      <c r="E2431" t="s">
        <v>24</v>
      </c>
      <c r="F2431" t="s">
        <v>24</v>
      </c>
      <c r="G2431" t="str">
        <f>"2025-09-18 13:55:49.608"</f>
        <v>2025-09-18 13:55:49.608</v>
      </c>
      <c r="H2431" t="s">
        <v>22</v>
      </c>
    </row>
    <row r="2432" spans="1:10" x14ac:dyDescent="0.25">
      <c r="A2432" s="1">
        <v>605</v>
      </c>
      <c r="B2432" t="s">
        <v>26</v>
      </c>
      <c r="C2432">
        <v>635</v>
      </c>
      <c r="D2432">
        <v>1</v>
      </c>
      <c r="E2432" t="s">
        <v>27</v>
      </c>
      <c r="F2432" t="s">
        <v>28</v>
      </c>
      <c r="G2432" t="str">
        <f>"2025-09-18 10:09:54.813"</f>
        <v>2025-09-18 10:09:54.813</v>
      </c>
      <c r="H2432" t="s">
        <v>22</v>
      </c>
    </row>
    <row r="2433" spans="1:10" x14ac:dyDescent="0.25">
      <c r="A2433" s="1">
        <v>606</v>
      </c>
      <c r="B2433" t="s">
        <v>29</v>
      </c>
      <c r="C2433">
        <v>635</v>
      </c>
      <c r="D2433">
        <v>1</v>
      </c>
      <c r="E2433" t="s">
        <v>27</v>
      </c>
      <c r="F2433" t="s">
        <v>28</v>
      </c>
      <c r="G2433" t="str">
        <f>"2025-09-18 10:05:40.313"</f>
        <v>2025-09-18 10:05:40.313</v>
      </c>
      <c r="H2433" t="s">
        <v>22</v>
      </c>
      <c r="I2433">
        <v>5.49</v>
      </c>
      <c r="J2433" t="s">
        <v>30</v>
      </c>
    </row>
    <row r="2434" spans="1:10" x14ac:dyDescent="0.25">
      <c r="A2434" s="1">
        <v>607</v>
      </c>
      <c r="B2434" t="s">
        <v>26</v>
      </c>
      <c r="C2434">
        <v>635</v>
      </c>
      <c r="D2434">
        <v>1</v>
      </c>
      <c r="E2434" t="s">
        <v>27</v>
      </c>
      <c r="F2434" t="s">
        <v>28</v>
      </c>
      <c r="G2434" t="str">
        <f>"2025-09-18 06:14:40.713"</f>
        <v>2025-09-18 06:14:40.713</v>
      </c>
      <c r="H2434" t="s">
        <v>22</v>
      </c>
    </row>
    <row r="2435" spans="1:10" x14ac:dyDescent="0.25">
      <c r="A2435" s="1">
        <v>608</v>
      </c>
      <c r="B2435" t="s">
        <v>29</v>
      </c>
      <c r="C2435">
        <v>635</v>
      </c>
      <c r="D2435">
        <v>1</v>
      </c>
      <c r="E2435" t="s">
        <v>27</v>
      </c>
      <c r="F2435" t="s">
        <v>28</v>
      </c>
      <c r="G2435" t="str">
        <f>"2025-09-18 06:05:34.713"</f>
        <v>2025-09-18 06:05:34.713</v>
      </c>
      <c r="H2435" t="s">
        <v>22</v>
      </c>
      <c r="I2435">
        <v>9.5399999999999991</v>
      </c>
      <c r="J2435" t="s">
        <v>37</v>
      </c>
    </row>
    <row r="2436" spans="1:10" s="3" customFormat="1" x14ac:dyDescent="0.25">
      <c r="A2436" s="2">
        <v>609</v>
      </c>
      <c r="B2436" s="3" t="s">
        <v>26</v>
      </c>
      <c r="C2436" s="3">
        <v>647</v>
      </c>
      <c r="D2436" s="3">
        <v>1</v>
      </c>
      <c r="E2436" s="3" t="s">
        <v>35</v>
      </c>
      <c r="F2436" s="3" t="s">
        <v>36</v>
      </c>
      <c r="G2436" s="3" t="str">
        <f>"2025-09-18 05:35:58.761"</f>
        <v>2025-09-18 05:35:58.761</v>
      </c>
      <c r="H2436" s="3" t="s">
        <v>22</v>
      </c>
    </row>
    <row r="2437" spans="1:10" s="3" customFormat="1" x14ac:dyDescent="0.25">
      <c r="A2437" s="2">
        <v>610</v>
      </c>
      <c r="B2437" s="3" t="s">
        <v>29</v>
      </c>
      <c r="C2437" s="3">
        <v>647</v>
      </c>
      <c r="D2437" s="3">
        <v>1</v>
      </c>
      <c r="E2437" s="3" t="s">
        <v>35</v>
      </c>
      <c r="F2437" s="3" t="s">
        <v>36</v>
      </c>
      <c r="G2437" s="3" t="str">
        <f>"2025-09-18 05:35:54.662"</f>
        <v>2025-09-18 05:35:54.662</v>
      </c>
      <c r="H2437" s="3" t="s">
        <v>22</v>
      </c>
      <c r="I2437" s="3">
        <v>12.31</v>
      </c>
      <c r="J2437" s="3" t="s">
        <v>37</v>
      </c>
    </row>
    <row r="2438" spans="1:10" x14ac:dyDescent="0.25">
      <c r="A2438" s="1">
        <v>611</v>
      </c>
      <c r="B2438" t="s">
        <v>26</v>
      </c>
      <c r="C2438">
        <v>89</v>
      </c>
      <c r="D2438">
        <v>2</v>
      </c>
      <c r="E2438" t="s">
        <v>42</v>
      </c>
      <c r="F2438" t="s">
        <v>43</v>
      </c>
      <c r="G2438" t="str">
        <f>"2025-09-17 15:58:20.973"</f>
        <v>2025-09-17 15:58:20.973</v>
      </c>
      <c r="H2438" t="s">
        <v>22</v>
      </c>
    </row>
    <row r="2439" spans="1:10" x14ac:dyDescent="0.25">
      <c r="A2439" s="1">
        <v>612</v>
      </c>
      <c r="B2439" t="s">
        <v>34</v>
      </c>
      <c r="C2439">
        <v>89</v>
      </c>
      <c r="D2439">
        <v>2</v>
      </c>
      <c r="E2439" t="s">
        <v>42</v>
      </c>
      <c r="F2439" t="s">
        <v>43</v>
      </c>
      <c r="G2439" t="str">
        <f>"2025-09-17 15:58:03.474"</f>
        <v>2025-09-17 15:58:03.474</v>
      </c>
      <c r="H2439" t="s">
        <v>22</v>
      </c>
      <c r="I2439">
        <v>6.33</v>
      </c>
      <c r="J2439" t="s">
        <v>30</v>
      </c>
    </row>
    <row r="2440" spans="1:10" x14ac:dyDescent="0.25">
      <c r="A2440" s="1">
        <v>613</v>
      </c>
      <c r="B2440" t="s">
        <v>19</v>
      </c>
      <c r="C2440">
        <v>700</v>
      </c>
      <c r="D2440">
        <v>0</v>
      </c>
      <c r="E2440" t="s">
        <v>24</v>
      </c>
      <c r="F2440" t="s">
        <v>24</v>
      </c>
      <c r="G2440" t="str">
        <f>"2025-09-17 14:36:59.783"</f>
        <v>2025-09-17 14:36:59.783</v>
      </c>
      <c r="H2440" t="s">
        <v>22</v>
      </c>
    </row>
    <row r="2441" spans="1:10" x14ac:dyDescent="0.25">
      <c r="A2441" s="1">
        <v>614</v>
      </c>
      <c r="B2441" t="s">
        <v>19</v>
      </c>
      <c r="C2441">
        <v>700</v>
      </c>
      <c r="D2441">
        <v>0</v>
      </c>
      <c r="E2441" t="s">
        <v>24</v>
      </c>
      <c r="F2441" t="s">
        <v>24</v>
      </c>
      <c r="G2441" t="str">
        <f>"2025-09-16 14:05:10.610"</f>
        <v>2025-09-16 14:05:10.610</v>
      </c>
      <c r="H2441" t="s">
        <v>22</v>
      </c>
    </row>
    <row r="2442" spans="1:10" x14ac:dyDescent="0.25">
      <c r="A2442" s="1">
        <v>615</v>
      </c>
      <c r="B2442" t="s">
        <v>19</v>
      </c>
      <c r="C2442">
        <v>700</v>
      </c>
      <c r="D2442">
        <v>0</v>
      </c>
      <c r="E2442" t="s">
        <v>24</v>
      </c>
      <c r="F2442" t="s">
        <v>24</v>
      </c>
      <c r="G2442" t="str">
        <f>"2025-09-16 13:05:56.622"</f>
        <v>2025-09-16 13:05:56.622</v>
      </c>
      <c r="H2442" t="s">
        <v>22</v>
      </c>
    </row>
    <row r="2443" spans="1:10" s="3" customFormat="1" x14ac:dyDescent="0.25">
      <c r="A2443" s="2">
        <v>616</v>
      </c>
      <c r="B2443" s="3" t="s">
        <v>26</v>
      </c>
      <c r="C2443" s="3">
        <v>647</v>
      </c>
      <c r="D2443" s="3">
        <v>1</v>
      </c>
      <c r="E2443" s="3" t="s">
        <v>35</v>
      </c>
      <c r="F2443" s="3" t="s">
        <v>36</v>
      </c>
      <c r="G2443" s="3" t="str">
        <f>"2025-09-16 02:33:56.607"</f>
        <v>2025-09-16 02:33:56.607</v>
      </c>
      <c r="H2443" s="3" t="s">
        <v>22</v>
      </c>
    </row>
    <row r="2444" spans="1:10" s="3" customFormat="1" x14ac:dyDescent="0.25">
      <c r="A2444" s="2">
        <v>617</v>
      </c>
      <c r="B2444" s="3" t="s">
        <v>29</v>
      </c>
      <c r="C2444" s="3">
        <v>647</v>
      </c>
      <c r="D2444" s="3">
        <v>1</v>
      </c>
      <c r="E2444" s="3" t="s">
        <v>35</v>
      </c>
      <c r="F2444" s="3" t="s">
        <v>36</v>
      </c>
      <c r="G2444" s="3" t="str">
        <f>"2025-09-16 02:33:48.807"</f>
        <v>2025-09-16 02:33:48.807</v>
      </c>
      <c r="H2444" s="3" t="s">
        <v>22</v>
      </c>
      <c r="I2444" s="3">
        <v>10.45</v>
      </c>
      <c r="J2444" s="3" t="s">
        <v>37</v>
      </c>
    </row>
    <row r="2445" spans="1:10" s="3" customFormat="1" x14ac:dyDescent="0.25">
      <c r="A2445" s="2">
        <v>618</v>
      </c>
      <c r="B2445" s="3" t="s">
        <v>26</v>
      </c>
      <c r="C2445" s="3">
        <v>647</v>
      </c>
      <c r="D2445" s="3">
        <v>1</v>
      </c>
      <c r="E2445" s="3" t="s">
        <v>35</v>
      </c>
      <c r="F2445" s="3" t="s">
        <v>36</v>
      </c>
      <c r="G2445" s="3" t="str">
        <f>"2025-09-15 22:14:19.507"</f>
        <v>2025-09-15 22:14:19.507</v>
      </c>
      <c r="H2445" s="3" t="s">
        <v>22</v>
      </c>
    </row>
    <row r="2446" spans="1:10" s="3" customFormat="1" x14ac:dyDescent="0.25">
      <c r="A2446" s="2">
        <v>619</v>
      </c>
      <c r="B2446" s="3" t="s">
        <v>29</v>
      </c>
      <c r="C2446" s="3">
        <v>647</v>
      </c>
      <c r="D2446" s="3">
        <v>1</v>
      </c>
      <c r="E2446" s="3" t="s">
        <v>35</v>
      </c>
      <c r="F2446" s="3" t="s">
        <v>36</v>
      </c>
      <c r="G2446" s="3" t="str">
        <f>"2025-09-15 22:14:17.607"</f>
        <v>2025-09-15 22:14:17.607</v>
      </c>
      <c r="H2446" s="3" t="s">
        <v>22</v>
      </c>
      <c r="I2446" s="3">
        <v>8.67</v>
      </c>
      <c r="J2446" s="3" t="s">
        <v>37</v>
      </c>
    </row>
    <row r="2447" spans="1:10" s="3" customFormat="1" x14ac:dyDescent="0.25">
      <c r="A2447" s="2">
        <v>620</v>
      </c>
      <c r="B2447" s="3" t="s">
        <v>26</v>
      </c>
      <c r="C2447" s="3">
        <v>647</v>
      </c>
      <c r="D2447" s="3">
        <v>1</v>
      </c>
      <c r="E2447" s="3" t="s">
        <v>35</v>
      </c>
      <c r="F2447" s="3" t="s">
        <v>36</v>
      </c>
      <c r="G2447" s="3" t="str">
        <f>"2025-09-14 23:20:31.307"</f>
        <v>2025-09-14 23:20:31.307</v>
      </c>
      <c r="H2447" s="3" t="s">
        <v>22</v>
      </c>
    </row>
    <row r="2448" spans="1:10" s="3" customFormat="1" x14ac:dyDescent="0.25">
      <c r="A2448" s="2">
        <v>621</v>
      </c>
      <c r="B2448" s="3" t="s">
        <v>29</v>
      </c>
      <c r="C2448" s="3">
        <v>647</v>
      </c>
      <c r="D2448" s="3">
        <v>1</v>
      </c>
      <c r="E2448" s="3" t="s">
        <v>35</v>
      </c>
      <c r="F2448" s="3" t="s">
        <v>36</v>
      </c>
      <c r="G2448" s="3" t="str">
        <f>"2025-09-14 23:20:30.007"</f>
        <v>2025-09-14 23:20:30.007</v>
      </c>
      <c r="H2448" s="3" t="s">
        <v>22</v>
      </c>
      <c r="I2448" s="3">
        <v>19.64</v>
      </c>
      <c r="J2448" s="3" t="s">
        <v>37</v>
      </c>
    </row>
    <row r="2449" spans="1:10" x14ac:dyDescent="0.25">
      <c r="A2449" s="1">
        <v>622</v>
      </c>
      <c r="B2449" t="s">
        <v>26</v>
      </c>
      <c r="C2449">
        <v>635</v>
      </c>
      <c r="D2449">
        <v>1</v>
      </c>
      <c r="E2449" t="s">
        <v>27</v>
      </c>
      <c r="F2449" t="s">
        <v>28</v>
      </c>
      <c r="G2449" t="str">
        <f>"2025-09-14 21:05:12.653"</f>
        <v>2025-09-14 21:05:12.653</v>
      </c>
      <c r="H2449" t="s">
        <v>22</v>
      </c>
    </row>
    <row r="2450" spans="1:10" x14ac:dyDescent="0.25">
      <c r="A2450" s="1">
        <v>623</v>
      </c>
      <c r="B2450" t="s">
        <v>29</v>
      </c>
      <c r="C2450">
        <v>635</v>
      </c>
      <c r="D2450">
        <v>1</v>
      </c>
      <c r="E2450" t="s">
        <v>27</v>
      </c>
      <c r="F2450" t="s">
        <v>28</v>
      </c>
      <c r="G2450" t="str">
        <f>"2025-09-14 20:43:34.153"</f>
        <v>2025-09-14 20:43:34.153</v>
      </c>
      <c r="H2450" t="s">
        <v>22</v>
      </c>
      <c r="I2450">
        <v>5.71</v>
      </c>
      <c r="J2450" t="s">
        <v>30</v>
      </c>
    </row>
    <row r="2451" spans="1:10" s="3" customFormat="1" x14ac:dyDescent="0.25">
      <c r="A2451" s="2">
        <v>624</v>
      </c>
      <c r="B2451" s="3" t="s">
        <v>26</v>
      </c>
      <c r="C2451" s="3">
        <v>647</v>
      </c>
      <c r="D2451" s="3">
        <v>1</v>
      </c>
      <c r="E2451" s="3" t="s">
        <v>35</v>
      </c>
      <c r="F2451" s="3" t="s">
        <v>36</v>
      </c>
      <c r="G2451" s="3" t="str">
        <f>"2025-09-14 05:30:03.107"</f>
        <v>2025-09-14 05:30:03.107</v>
      </c>
      <c r="H2451" s="3" t="s">
        <v>22</v>
      </c>
    </row>
    <row r="2452" spans="1:10" s="3" customFormat="1" x14ac:dyDescent="0.25">
      <c r="A2452" s="2">
        <v>625</v>
      </c>
      <c r="B2452" s="3" t="s">
        <v>29</v>
      </c>
      <c r="C2452" s="3">
        <v>647</v>
      </c>
      <c r="D2452" s="3">
        <v>1</v>
      </c>
      <c r="E2452" s="3" t="s">
        <v>35</v>
      </c>
      <c r="F2452" s="3" t="s">
        <v>36</v>
      </c>
      <c r="G2452" s="3" t="str">
        <f>"2025-09-14 05:30:00.407"</f>
        <v>2025-09-14 05:30:00.407</v>
      </c>
      <c r="H2452" s="3" t="s">
        <v>22</v>
      </c>
      <c r="I2452" s="3">
        <v>24.08</v>
      </c>
      <c r="J2452" s="3" t="s">
        <v>37</v>
      </c>
    </row>
    <row r="2453" spans="1:10" x14ac:dyDescent="0.25">
      <c r="A2453" s="1">
        <v>626</v>
      </c>
      <c r="B2453" t="s">
        <v>26</v>
      </c>
      <c r="C2453">
        <v>619</v>
      </c>
      <c r="D2453">
        <v>1</v>
      </c>
      <c r="E2453" t="s">
        <v>79</v>
      </c>
      <c r="F2453" t="s">
        <v>28</v>
      </c>
      <c r="G2453" t="str">
        <f>"2025-09-14 01:16:09.453"</f>
        <v>2025-09-14 01:16:09.453</v>
      </c>
      <c r="H2453" t="s">
        <v>80</v>
      </c>
    </row>
    <row r="2454" spans="1:10" x14ac:dyDescent="0.25">
      <c r="A2454" s="1">
        <v>627</v>
      </c>
      <c r="B2454" t="s">
        <v>29</v>
      </c>
      <c r="C2454">
        <v>619</v>
      </c>
      <c r="D2454">
        <v>1</v>
      </c>
      <c r="E2454" t="s">
        <v>79</v>
      </c>
      <c r="F2454" t="s">
        <v>28</v>
      </c>
      <c r="G2454" t="str">
        <f>"2025-09-14 01:15:42.006"</f>
        <v>2025-09-14 01:15:42.006</v>
      </c>
      <c r="H2454" t="s">
        <v>80</v>
      </c>
      <c r="I2454">
        <v>0</v>
      </c>
      <c r="J2454" t="s">
        <v>38</v>
      </c>
    </row>
    <row r="2455" spans="1:10" x14ac:dyDescent="0.25">
      <c r="A2455" s="1">
        <v>628</v>
      </c>
      <c r="B2455" t="s">
        <v>26</v>
      </c>
      <c r="C2455">
        <v>635</v>
      </c>
      <c r="D2455">
        <v>1</v>
      </c>
      <c r="E2455" t="s">
        <v>27</v>
      </c>
      <c r="F2455" t="s">
        <v>28</v>
      </c>
      <c r="G2455" t="str">
        <f>"2025-09-13 16:33:58.653"</f>
        <v>2025-09-13 16:33:58.653</v>
      </c>
      <c r="H2455" t="s">
        <v>22</v>
      </c>
    </row>
    <row r="2456" spans="1:10" x14ac:dyDescent="0.25">
      <c r="A2456" s="1">
        <v>629</v>
      </c>
      <c r="B2456" t="s">
        <v>29</v>
      </c>
      <c r="C2456">
        <v>635</v>
      </c>
      <c r="D2456">
        <v>1</v>
      </c>
      <c r="E2456" t="s">
        <v>27</v>
      </c>
      <c r="F2456" t="s">
        <v>28</v>
      </c>
      <c r="G2456" t="str">
        <f>"2025-09-13 16:31:51.653"</f>
        <v>2025-09-13 16:31:51.653</v>
      </c>
      <c r="H2456" t="s">
        <v>22</v>
      </c>
      <c r="I2456">
        <v>-1.4</v>
      </c>
      <c r="J2456" t="s">
        <v>30</v>
      </c>
    </row>
    <row r="2457" spans="1:10" x14ac:dyDescent="0.25">
      <c r="A2457" s="1">
        <v>630</v>
      </c>
      <c r="B2457" t="s">
        <v>19</v>
      </c>
      <c r="C2457">
        <v>706</v>
      </c>
      <c r="D2457">
        <v>4</v>
      </c>
      <c r="E2457" t="s">
        <v>20</v>
      </c>
      <c r="F2457" t="s">
        <v>21</v>
      </c>
      <c r="G2457" t="str">
        <f>"2025-09-13 14:50:05.405"</f>
        <v>2025-09-13 14:50:05.405</v>
      </c>
      <c r="H2457" t="s">
        <v>22</v>
      </c>
      <c r="I2457">
        <v>0</v>
      </c>
      <c r="J2457" t="s">
        <v>23</v>
      </c>
    </row>
    <row r="2458" spans="1:10" x14ac:dyDescent="0.25">
      <c r="A2458" s="1">
        <v>631</v>
      </c>
      <c r="B2458" t="s">
        <v>19</v>
      </c>
      <c r="C2458">
        <v>700</v>
      </c>
      <c r="D2458">
        <v>0</v>
      </c>
      <c r="E2458" t="s">
        <v>24</v>
      </c>
      <c r="F2458" t="s">
        <v>24</v>
      </c>
      <c r="G2458" t="str">
        <f>"2025-09-13 14:49:30.625"</f>
        <v>2025-09-13 14:49:30.625</v>
      </c>
      <c r="H2458" t="s">
        <v>22</v>
      </c>
      <c r="I2458">
        <v>0</v>
      </c>
      <c r="J2458" t="s">
        <v>25</v>
      </c>
    </row>
    <row r="2459" spans="1:10" x14ac:dyDescent="0.25">
      <c r="A2459" s="1">
        <v>632</v>
      </c>
      <c r="B2459" t="s">
        <v>19</v>
      </c>
      <c r="C2459">
        <v>706</v>
      </c>
      <c r="D2459">
        <v>2</v>
      </c>
      <c r="E2459" t="s">
        <v>20</v>
      </c>
      <c r="F2459" t="s">
        <v>54</v>
      </c>
      <c r="G2459" t="str">
        <f>"2025-09-12 19:16:26.488"</f>
        <v>2025-09-12 19:16:26.488</v>
      </c>
      <c r="H2459" t="s">
        <v>22</v>
      </c>
      <c r="I2459">
        <v>0</v>
      </c>
      <c r="J2459" t="s">
        <v>23</v>
      </c>
    </row>
    <row r="2460" spans="1:10" x14ac:dyDescent="0.25">
      <c r="A2460" s="1">
        <v>633</v>
      </c>
      <c r="B2460" t="s">
        <v>19</v>
      </c>
      <c r="C2460">
        <v>700</v>
      </c>
      <c r="D2460">
        <v>0</v>
      </c>
      <c r="E2460" t="s">
        <v>24</v>
      </c>
      <c r="F2460" t="s">
        <v>24</v>
      </c>
      <c r="G2460" t="str">
        <f>"2025-09-12 19:15:39.638"</f>
        <v>2025-09-12 19:15:39.638</v>
      </c>
      <c r="H2460" t="s">
        <v>22</v>
      </c>
    </row>
    <row r="2461" spans="1:10" x14ac:dyDescent="0.25">
      <c r="A2461" s="1">
        <v>634</v>
      </c>
      <c r="B2461" t="s">
        <v>19</v>
      </c>
      <c r="C2461">
        <v>706</v>
      </c>
      <c r="D2461">
        <v>2</v>
      </c>
      <c r="E2461" t="s">
        <v>20</v>
      </c>
      <c r="F2461" t="s">
        <v>54</v>
      </c>
      <c r="G2461" t="str">
        <f>"2025-09-12 08:29:37.175"</f>
        <v>2025-09-12 08:29:37.175</v>
      </c>
      <c r="H2461" t="s">
        <v>22</v>
      </c>
      <c r="I2461">
        <v>0</v>
      </c>
      <c r="J2461" t="s">
        <v>23</v>
      </c>
    </row>
    <row r="2462" spans="1:10" x14ac:dyDescent="0.25">
      <c r="A2462" s="1">
        <v>635</v>
      </c>
      <c r="B2462" t="s">
        <v>19</v>
      </c>
      <c r="C2462">
        <v>706</v>
      </c>
      <c r="D2462">
        <v>4</v>
      </c>
      <c r="E2462" t="s">
        <v>20</v>
      </c>
      <c r="F2462" t="s">
        <v>21</v>
      </c>
      <c r="G2462" t="str">
        <f>"2025-09-12 08:26:18.495"</f>
        <v>2025-09-12 08:26:18.495</v>
      </c>
      <c r="H2462" t="s">
        <v>22</v>
      </c>
      <c r="I2462">
        <v>0</v>
      </c>
      <c r="J2462" t="s">
        <v>23</v>
      </c>
    </row>
    <row r="2463" spans="1:10" x14ac:dyDescent="0.25">
      <c r="A2463" s="1">
        <v>636</v>
      </c>
      <c r="B2463" t="s">
        <v>19</v>
      </c>
      <c r="C2463">
        <v>700</v>
      </c>
      <c r="D2463">
        <v>0</v>
      </c>
      <c r="E2463" t="s">
        <v>24</v>
      </c>
      <c r="F2463" t="s">
        <v>24</v>
      </c>
      <c r="G2463" t="str">
        <f>"2025-09-12 07:59:15.695"</f>
        <v>2025-09-12 07:59:15.695</v>
      </c>
      <c r="H2463" t="s">
        <v>22</v>
      </c>
    </row>
    <row r="2464" spans="1:10" x14ac:dyDescent="0.25">
      <c r="A2464" s="1">
        <v>637</v>
      </c>
      <c r="B2464" t="s">
        <v>19</v>
      </c>
      <c r="C2464">
        <v>706</v>
      </c>
      <c r="D2464">
        <v>2</v>
      </c>
      <c r="E2464" t="s">
        <v>20</v>
      </c>
      <c r="F2464" t="s">
        <v>54</v>
      </c>
      <c r="G2464" t="str">
        <f>"2025-09-11 21:31:27.020"</f>
        <v>2025-09-11 21:31:27.020</v>
      </c>
      <c r="H2464" t="s">
        <v>22</v>
      </c>
      <c r="I2464">
        <v>0</v>
      </c>
      <c r="J2464" t="s">
        <v>23</v>
      </c>
    </row>
    <row r="2465" spans="1:10" x14ac:dyDescent="0.25">
      <c r="A2465" s="1">
        <v>638</v>
      </c>
      <c r="B2465" t="s">
        <v>19</v>
      </c>
      <c r="C2465">
        <v>700</v>
      </c>
      <c r="D2465">
        <v>0</v>
      </c>
      <c r="E2465" t="s">
        <v>24</v>
      </c>
      <c r="F2465" t="s">
        <v>24</v>
      </c>
      <c r="G2465" t="str">
        <f>"2025-09-11 21:25:42.630"</f>
        <v>2025-09-11 21:25:42.630</v>
      </c>
      <c r="H2465" t="s">
        <v>22</v>
      </c>
    </row>
    <row r="2466" spans="1:10" x14ac:dyDescent="0.25">
      <c r="A2466" s="1">
        <v>639</v>
      </c>
      <c r="B2466" t="s">
        <v>19</v>
      </c>
      <c r="C2466">
        <v>700</v>
      </c>
      <c r="D2466">
        <v>0</v>
      </c>
      <c r="E2466" t="s">
        <v>24</v>
      </c>
      <c r="F2466" t="s">
        <v>24</v>
      </c>
      <c r="G2466" t="str">
        <f>"2025-09-11 21:14:46.642"</f>
        <v>2025-09-11 21:14:46.642</v>
      </c>
      <c r="H2466" t="s">
        <v>22</v>
      </c>
    </row>
    <row r="2467" spans="1:10" x14ac:dyDescent="0.25">
      <c r="A2467" s="1">
        <v>640</v>
      </c>
      <c r="B2467" t="s">
        <v>19</v>
      </c>
      <c r="C2467">
        <v>700</v>
      </c>
      <c r="D2467">
        <v>0</v>
      </c>
      <c r="E2467" t="s">
        <v>24</v>
      </c>
      <c r="F2467" t="s">
        <v>24</v>
      </c>
      <c r="G2467" t="str">
        <f>"2025-09-11 21:08:07.635"</f>
        <v>2025-09-11 21:08:07.635</v>
      </c>
      <c r="H2467" t="s">
        <v>22</v>
      </c>
      <c r="I2467">
        <v>0</v>
      </c>
      <c r="J2467" t="s">
        <v>25</v>
      </c>
    </row>
    <row r="2468" spans="1:10" x14ac:dyDescent="0.25">
      <c r="A2468" s="1">
        <v>641</v>
      </c>
      <c r="B2468" t="s">
        <v>19</v>
      </c>
      <c r="C2468">
        <v>700</v>
      </c>
      <c r="D2468">
        <v>0</v>
      </c>
      <c r="E2468" t="s">
        <v>24</v>
      </c>
      <c r="F2468" t="s">
        <v>24</v>
      </c>
      <c r="G2468" t="str">
        <f>"2025-09-11 20:56:59.638"</f>
        <v>2025-09-11 20:56:59.638</v>
      </c>
      <c r="H2468" t="s">
        <v>22</v>
      </c>
      <c r="I2468">
        <v>0</v>
      </c>
      <c r="J2468" t="s">
        <v>25</v>
      </c>
    </row>
    <row r="2469" spans="1:10" x14ac:dyDescent="0.25">
      <c r="A2469" s="1">
        <v>642</v>
      </c>
      <c r="B2469" t="s">
        <v>19</v>
      </c>
      <c r="C2469">
        <v>706</v>
      </c>
      <c r="D2469">
        <v>4</v>
      </c>
      <c r="E2469" t="s">
        <v>20</v>
      </c>
      <c r="F2469" t="s">
        <v>21</v>
      </c>
      <c r="G2469" t="str">
        <f>"2025-09-11 20:54:52.127"</f>
        <v>2025-09-11 20:54:52.127</v>
      </c>
      <c r="H2469" t="s">
        <v>22</v>
      </c>
      <c r="I2469">
        <v>0</v>
      </c>
      <c r="J2469" t="s">
        <v>23</v>
      </c>
    </row>
    <row r="2470" spans="1:10" x14ac:dyDescent="0.25">
      <c r="A2470" s="1">
        <v>643</v>
      </c>
      <c r="B2470" t="s">
        <v>19</v>
      </c>
      <c r="C2470">
        <v>706</v>
      </c>
      <c r="D2470">
        <v>2</v>
      </c>
      <c r="E2470" t="s">
        <v>20</v>
      </c>
      <c r="F2470" t="s">
        <v>54</v>
      </c>
      <c r="G2470" t="str">
        <f>"2025-09-11 20:43:38.847"</f>
        <v>2025-09-11 20:43:38.847</v>
      </c>
      <c r="H2470" t="s">
        <v>22</v>
      </c>
      <c r="I2470">
        <v>0</v>
      </c>
      <c r="J2470" t="s">
        <v>23</v>
      </c>
    </row>
    <row r="2471" spans="1:10" x14ac:dyDescent="0.25">
      <c r="A2471" s="1">
        <v>644</v>
      </c>
      <c r="B2471" t="s">
        <v>19</v>
      </c>
      <c r="C2471">
        <v>700</v>
      </c>
      <c r="D2471">
        <v>0</v>
      </c>
      <c r="E2471" t="s">
        <v>24</v>
      </c>
      <c r="F2471" t="s">
        <v>24</v>
      </c>
      <c r="G2471" t="str">
        <f>"2025-09-11 20:43:09.627"</f>
        <v>2025-09-11 20:43:09.627</v>
      </c>
      <c r="H2471" t="s">
        <v>22</v>
      </c>
    </row>
    <row r="2472" spans="1:10" x14ac:dyDescent="0.25">
      <c r="A2472" s="1">
        <v>645</v>
      </c>
      <c r="B2472" t="s">
        <v>19</v>
      </c>
      <c r="C2472">
        <v>700</v>
      </c>
      <c r="D2472">
        <v>0</v>
      </c>
      <c r="E2472" t="s">
        <v>24</v>
      </c>
      <c r="F2472" t="s">
        <v>24</v>
      </c>
      <c r="G2472" t="str">
        <f>"2025-09-11 20:05:35.623"</f>
        <v>2025-09-11 20:05:35.623</v>
      </c>
      <c r="H2472" t="s">
        <v>22</v>
      </c>
      <c r="I2472">
        <v>0</v>
      </c>
      <c r="J2472" t="s">
        <v>25</v>
      </c>
    </row>
    <row r="2473" spans="1:10" x14ac:dyDescent="0.25">
      <c r="A2473" s="1">
        <v>646</v>
      </c>
      <c r="B2473" t="s">
        <v>19</v>
      </c>
      <c r="C2473">
        <v>700</v>
      </c>
      <c r="D2473">
        <v>0</v>
      </c>
      <c r="E2473" t="s">
        <v>24</v>
      </c>
      <c r="F2473" t="s">
        <v>24</v>
      </c>
      <c r="G2473" t="str">
        <f>"2025-09-11 20:00:17.621"</f>
        <v>2025-09-11 20:00:17.621</v>
      </c>
      <c r="H2473" t="s">
        <v>22</v>
      </c>
      <c r="I2473">
        <v>0</v>
      </c>
      <c r="J2473" t="s">
        <v>25</v>
      </c>
    </row>
    <row r="2474" spans="1:10" x14ac:dyDescent="0.25">
      <c r="A2474" s="1">
        <v>647</v>
      </c>
      <c r="B2474" t="s">
        <v>19</v>
      </c>
      <c r="C2474">
        <v>700</v>
      </c>
      <c r="D2474">
        <v>0</v>
      </c>
      <c r="E2474" t="s">
        <v>24</v>
      </c>
      <c r="F2474" t="s">
        <v>24</v>
      </c>
      <c r="G2474" t="str">
        <f>"2025-09-11 19:46:07.625"</f>
        <v>2025-09-11 19:46:07.625</v>
      </c>
      <c r="H2474" t="s">
        <v>22</v>
      </c>
    </row>
    <row r="2475" spans="1:10" x14ac:dyDescent="0.25">
      <c r="A2475" s="1">
        <v>648</v>
      </c>
      <c r="B2475" t="s">
        <v>19</v>
      </c>
      <c r="C2475">
        <v>700</v>
      </c>
      <c r="D2475">
        <v>0</v>
      </c>
      <c r="E2475" t="s">
        <v>24</v>
      </c>
      <c r="F2475" t="s">
        <v>24</v>
      </c>
      <c r="G2475" t="str">
        <f>"2025-09-11 19:36:22.815"</f>
        <v>2025-09-11 19:36:22.815</v>
      </c>
      <c r="H2475" t="s">
        <v>22</v>
      </c>
    </row>
    <row r="2476" spans="1:10" x14ac:dyDescent="0.25">
      <c r="A2476" s="1">
        <v>649</v>
      </c>
      <c r="B2476" t="s">
        <v>19</v>
      </c>
      <c r="C2476">
        <v>706</v>
      </c>
      <c r="D2476">
        <v>4</v>
      </c>
      <c r="E2476" t="s">
        <v>20</v>
      </c>
      <c r="F2476" t="s">
        <v>21</v>
      </c>
      <c r="G2476" t="str">
        <f>"2025-09-11 19:27:59.353"</f>
        <v>2025-09-11 19:27:59.353</v>
      </c>
      <c r="H2476" t="s">
        <v>22</v>
      </c>
      <c r="I2476">
        <v>0</v>
      </c>
      <c r="J2476" t="s">
        <v>23</v>
      </c>
    </row>
    <row r="2477" spans="1:10" x14ac:dyDescent="0.25">
      <c r="A2477" s="1">
        <v>650</v>
      </c>
      <c r="B2477" t="s">
        <v>19</v>
      </c>
      <c r="C2477">
        <v>700</v>
      </c>
      <c r="D2477">
        <v>0</v>
      </c>
      <c r="E2477" t="s">
        <v>24</v>
      </c>
      <c r="F2477" t="s">
        <v>24</v>
      </c>
      <c r="G2477" t="str">
        <f>"2025-09-11 19:27:08.633"</f>
        <v>2025-09-11 19:27:08.633</v>
      </c>
      <c r="H2477" t="s">
        <v>22</v>
      </c>
    </row>
    <row r="2478" spans="1:10" x14ac:dyDescent="0.25">
      <c r="A2478" s="1">
        <v>651</v>
      </c>
      <c r="B2478" t="s">
        <v>19</v>
      </c>
      <c r="C2478">
        <v>706</v>
      </c>
      <c r="D2478">
        <v>4</v>
      </c>
      <c r="E2478" t="s">
        <v>20</v>
      </c>
      <c r="F2478" t="s">
        <v>21</v>
      </c>
      <c r="G2478" t="str">
        <f>"2025-09-11 12:00:14.733"</f>
        <v>2025-09-11 12:00:14.733</v>
      </c>
      <c r="H2478" t="s">
        <v>22</v>
      </c>
      <c r="I2478">
        <v>0</v>
      </c>
      <c r="J2478" t="s">
        <v>23</v>
      </c>
    </row>
    <row r="2479" spans="1:10" x14ac:dyDescent="0.25">
      <c r="A2479" s="1">
        <v>652</v>
      </c>
      <c r="B2479" t="s">
        <v>19</v>
      </c>
      <c r="C2479">
        <v>700</v>
      </c>
      <c r="D2479">
        <v>0</v>
      </c>
      <c r="E2479" t="s">
        <v>24</v>
      </c>
      <c r="F2479" t="s">
        <v>24</v>
      </c>
      <c r="G2479" t="str">
        <f>"2025-09-11 11:56:47.613"</f>
        <v>2025-09-11 11:56:47.613</v>
      </c>
      <c r="H2479" t="s">
        <v>22</v>
      </c>
      <c r="I2479">
        <v>0</v>
      </c>
      <c r="J2479" t="s">
        <v>25</v>
      </c>
    </row>
    <row r="2480" spans="1:10" x14ac:dyDescent="0.25">
      <c r="A2480" s="1">
        <v>653</v>
      </c>
      <c r="B2480" t="s">
        <v>34</v>
      </c>
      <c r="C2480">
        <v>630</v>
      </c>
      <c r="D2480">
        <v>5</v>
      </c>
      <c r="E2480" t="s">
        <v>39</v>
      </c>
      <c r="F2480" t="s">
        <v>40</v>
      </c>
      <c r="G2480" t="str">
        <f>"2025-09-11 11:07:48.393"</f>
        <v>2025-09-11 11:07:48.393</v>
      </c>
      <c r="H2480" t="s">
        <v>41</v>
      </c>
      <c r="I2480">
        <v>0</v>
      </c>
      <c r="J2480" t="s">
        <v>23</v>
      </c>
    </row>
    <row r="2481" spans="1:10" x14ac:dyDescent="0.25">
      <c r="A2481" s="1">
        <v>654</v>
      </c>
      <c r="B2481" t="s">
        <v>19</v>
      </c>
      <c r="C2481">
        <v>700</v>
      </c>
      <c r="D2481">
        <v>0</v>
      </c>
      <c r="E2481" t="s">
        <v>24</v>
      </c>
      <c r="F2481" t="s">
        <v>24</v>
      </c>
      <c r="G2481" t="str">
        <f>"2025-09-11 11:02:45.621"</f>
        <v>2025-09-11 11:02:45.621</v>
      </c>
      <c r="H2481" t="s">
        <v>22</v>
      </c>
      <c r="I2481">
        <v>0</v>
      </c>
      <c r="J2481" t="s">
        <v>25</v>
      </c>
    </row>
    <row r="2482" spans="1:10" x14ac:dyDescent="0.25">
      <c r="A2482" s="1">
        <v>655</v>
      </c>
      <c r="B2482" t="s">
        <v>26</v>
      </c>
      <c r="C2482">
        <v>630</v>
      </c>
      <c r="D2482">
        <v>5</v>
      </c>
      <c r="E2482" t="s">
        <v>39</v>
      </c>
      <c r="F2482" t="s">
        <v>40</v>
      </c>
      <c r="G2482" t="str">
        <f>"2025-09-11 10:56:45.942"</f>
        <v>2025-09-11 10:56:45.942</v>
      </c>
      <c r="H2482" t="s">
        <v>41</v>
      </c>
    </row>
    <row r="2483" spans="1:10" x14ac:dyDescent="0.25">
      <c r="A2483" s="1">
        <v>656</v>
      </c>
      <c r="B2483" t="s">
        <v>19</v>
      </c>
      <c r="C2483">
        <v>706</v>
      </c>
      <c r="D2483">
        <v>4</v>
      </c>
      <c r="E2483" t="s">
        <v>20</v>
      </c>
      <c r="F2483" t="s">
        <v>21</v>
      </c>
      <c r="G2483" t="str">
        <f>"2025-09-11 10:56:15.781"</f>
        <v>2025-09-11 10:56:15.781</v>
      </c>
      <c r="H2483" t="s">
        <v>22</v>
      </c>
      <c r="I2483">
        <v>0</v>
      </c>
      <c r="J2483" t="s">
        <v>23</v>
      </c>
    </row>
    <row r="2484" spans="1:10" x14ac:dyDescent="0.25">
      <c r="A2484" s="1">
        <v>657</v>
      </c>
      <c r="B2484" t="s">
        <v>34</v>
      </c>
      <c r="C2484">
        <v>630</v>
      </c>
      <c r="D2484">
        <v>5</v>
      </c>
      <c r="E2484" t="s">
        <v>39</v>
      </c>
      <c r="F2484" t="s">
        <v>40</v>
      </c>
      <c r="G2484" t="str">
        <f>"2025-09-11 10:53:22.442"</f>
        <v>2025-09-11 10:53:22.442</v>
      </c>
      <c r="H2484" t="s">
        <v>41</v>
      </c>
      <c r="I2484">
        <v>0</v>
      </c>
      <c r="J2484" t="s">
        <v>23</v>
      </c>
    </row>
    <row r="2485" spans="1:10" x14ac:dyDescent="0.25">
      <c r="A2485" s="1">
        <v>658</v>
      </c>
      <c r="B2485" t="s">
        <v>19</v>
      </c>
      <c r="C2485">
        <v>700</v>
      </c>
      <c r="D2485">
        <v>0</v>
      </c>
      <c r="E2485" t="s">
        <v>24</v>
      </c>
      <c r="F2485" t="s">
        <v>24</v>
      </c>
      <c r="G2485" t="str">
        <f>"2025-09-11 10:48:19.621"</f>
        <v>2025-09-11 10:48:19.621</v>
      </c>
      <c r="H2485" t="s">
        <v>22</v>
      </c>
    </row>
    <row r="2486" spans="1:10" x14ac:dyDescent="0.25">
      <c r="A2486" s="1">
        <v>659</v>
      </c>
      <c r="B2486" t="s">
        <v>34</v>
      </c>
      <c r="C2486">
        <v>630</v>
      </c>
      <c r="D2486">
        <v>5</v>
      </c>
      <c r="E2486" t="s">
        <v>39</v>
      </c>
      <c r="F2486" t="s">
        <v>40</v>
      </c>
      <c r="G2486" t="str">
        <f>"2025-09-11 09:31:45.568"</f>
        <v>2025-09-11 09:31:45.568</v>
      </c>
      <c r="H2486" t="s">
        <v>41</v>
      </c>
      <c r="I2486">
        <v>0</v>
      </c>
      <c r="J2486" t="s">
        <v>23</v>
      </c>
    </row>
    <row r="2487" spans="1:10" x14ac:dyDescent="0.25">
      <c r="A2487" s="1">
        <v>660</v>
      </c>
      <c r="B2487" t="s">
        <v>19</v>
      </c>
      <c r="C2487">
        <v>700</v>
      </c>
      <c r="D2487">
        <v>0</v>
      </c>
      <c r="E2487" t="s">
        <v>24</v>
      </c>
      <c r="F2487" t="s">
        <v>24</v>
      </c>
      <c r="G2487" t="str">
        <f>"2025-09-11 09:26:42.859"</f>
        <v>2025-09-11 09:26:42.859</v>
      </c>
      <c r="H2487" t="s">
        <v>22</v>
      </c>
    </row>
    <row r="2488" spans="1:10" x14ac:dyDescent="0.25">
      <c r="A2488" s="1">
        <v>661</v>
      </c>
      <c r="B2488" t="s">
        <v>19</v>
      </c>
      <c r="C2488">
        <v>706</v>
      </c>
      <c r="D2488">
        <v>4</v>
      </c>
      <c r="E2488" t="s">
        <v>20</v>
      </c>
      <c r="F2488" t="s">
        <v>21</v>
      </c>
      <c r="G2488" t="str">
        <f>"2025-09-11 09:22:05.802"</f>
        <v>2025-09-11 09:22:05.802</v>
      </c>
      <c r="H2488" t="s">
        <v>22</v>
      </c>
      <c r="I2488">
        <v>0</v>
      </c>
      <c r="J2488" t="s">
        <v>23</v>
      </c>
    </row>
    <row r="2489" spans="1:10" x14ac:dyDescent="0.25">
      <c r="A2489" s="1">
        <v>662</v>
      </c>
      <c r="B2489" t="s">
        <v>19</v>
      </c>
      <c r="C2489">
        <v>700</v>
      </c>
      <c r="D2489">
        <v>0</v>
      </c>
      <c r="E2489" t="s">
        <v>24</v>
      </c>
      <c r="F2489" t="s">
        <v>24</v>
      </c>
      <c r="G2489" t="str">
        <f>"2025-09-11 09:07:38.642"</f>
        <v>2025-09-11 09:07:38.642</v>
      </c>
      <c r="H2489" t="s">
        <v>22</v>
      </c>
    </row>
    <row r="2490" spans="1:10" x14ac:dyDescent="0.25">
      <c r="A2490" s="1">
        <v>663</v>
      </c>
      <c r="B2490" t="s">
        <v>26</v>
      </c>
      <c r="C2490">
        <v>635</v>
      </c>
      <c r="D2490">
        <v>1</v>
      </c>
      <c r="E2490" t="s">
        <v>27</v>
      </c>
      <c r="F2490" t="s">
        <v>28</v>
      </c>
      <c r="G2490" t="str">
        <f>"2025-09-10 23:07:34.681"</f>
        <v>2025-09-10 23:07:34.681</v>
      </c>
      <c r="H2490" t="s">
        <v>22</v>
      </c>
    </row>
    <row r="2491" spans="1:10" x14ac:dyDescent="0.25">
      <c r="A2491" s="1">
        <v>664</v>
      </c>
      <c r="B2491" t="s">
        <v>29</v>
      </c>
      <c r="C2491">
        <v>635</v>
      </c>
      <c r="D2491">
        <v>1</v>
      </c>
      <c r="E2491" t="s">
        <v>27</v>
      </c>
      <c r="F2491" t="s">
        <v>28</v>
      </c>
      <c r="G2491" t="str">
        <f>"2025-09-10 22:49:21.682"</f>
        <v>2025-09-10 22:49:21.682</v>
      </c>
      <c r="H2491" t="s">
        <v>22</v>
      </c>
      <c r="I2491">
        <v>5.56</v>
      </c>
      <c r="J2491" t="s">
        <v>30</v>
      </c>
    </row>
    <row r="2492" spans="1:10" s="3" customFormat="1" x14ac:dyDescent="0.25">
      <c r="A2492" s="2">
        <v>665</v>
      </c>
      <c r="B2492" s="3" t="s">
        <v>26</v>
      </c>
      <c r="C2492" s="3">
        <v>647</v>
      </c>
      <c r="D2492" s="3">
        <v>1</v>
      </c>
      <c r="E2492" s="3" t="s">
        <v>35</v>
      </c>
      <c r="F2492" s="3" t="s">
        <v>36</v>
      </c>
      <c r="G2492" s="3" t="str">
        <f>"2025-09-10 22:11:35.083"</f>
        <v>2025-09-10 22:11:35.083</v>
      </c>
      <c r="H2492" s="3" t="s">
        <v>22</v>
      </c>
    </row>
    <row r="2493" spans="1:10" s="3" customFormat="1" x14ac:dyDescent="0.25">
      <c r="A2493" s="2">
        <v>666</v>
      </c>
      <c r="B2493" s="3" t="s">
        <v>29</v>
      </c>
      <c r="C2493" s="3">
        <v>647</v>
      </c>
      <c r="D2493" s="3">
        <v>1</v>
      </c>
      <c r="E2493" s="3" t="s">
        <v>35</v>
      </c>
      <c r="F2493" s="3" t="s">
        <v>36</v>
      </c>
      <c r="G2493" s="3" t="str">
        <f>"2025-09-10 22:11:32.383"</f>
        <v>2025-09-10 22:11:32.383</v>
      </c>
      <c r="H2493" s="3" t="s">
        <v>22</v>
      </c>
      <c r="I2493" s="3">
        <v>24.1</v>
      </c>
      <c r="J2493" s="3" t="s">
        <v>37</v>
      </c>
    </row>
    <row r="2494" spans="1:10" s="3" customFormat="1" x14ac:dyDescent="0.25">
      <c r="A2494" s="2">
        <v>667</v>
      </c>
      <c r="B2494" s="3" t="s">
        <v>26</v>
      </c>
      <c r="C2494" s="3">
        <v>647</v>
      </c>
      <c r="D2494" s="3">
        <v>1</v>
      </c>
      <c r="E2494" s="3" t="s">
        <v>35</v>
      </c>
      <c r="F2494" s="3" t="s">
        <v>36</v>
      </c>
      <c r="G2494" s="3" t="str">
        <f>"2025-09-10 22:10:36.783"</f>
        <v>2025-09-10 22:10:36.783</v>
      </c>
      <c r="H2494" s="3" t="s">
        <v>22</v>
      </c>
    </row>
    <row r="2495" spans="1:10" s="3" customFormat="1" x14ac:dyDescent="0.25">
      <c r="A2495" s="2">
        <v>668</v>
      </c>
      <c r="B2495" s="3" t="s">
        <v>29</v>
      </c>
      <c r="C2495" s="3">
        <v>647</v>
      </c>
      <c r="D2495" s="3">
        <v>1</v>
      </c>
      <c r="E2495" s="3" t="s">
        <v>35</v>
      </c>
      <c r="F2495" s="3" t="s">
        <v>36</v>
      </c>
      <c r="G2495" s="3" t="str">
        <f>"2025-09-10 22:10:34.983"</f>
        <v>2025-09-10 22:10:34.983</v>
      </c>
      <c r="H2495" s="3" t="s">
        <v>22</v>
      </c>
      <c r="I2495" s="3">
        <v>28.29</v>
      </c>
      <c r="J2495" s="3" t="s">
        <v>37</v>
      </c>
    </row>
    <row r="2496" spans="1:10" x14ac:dyDescent="0.25">
      <c r="A2496" s="1">
        <v>669</v>
      </c>
      <c r="B2496" t="s">
        <v>26</v>
      </c>
      <c r="C2496">
        <v>635</v>
      </c>
      <c r="D2496">
        <v>1</v>
      </c>
      <c r="E2496" t="s">
        <v>27</v>
      </c>
      <c r="F2496" t="s">
        <v>28</v>
      </c>
      <c r="G2496" t="str">
        <f>"2025-09-10 20:04:14.982"</f>
        <v>2025-09-10 20:04:14.982</v>
      </c>
      <c r="H2496" t="s">
        <v>22</v>
      </c>
    </row>
    <row r="2497" spans="1:10" x14ac:dyDescent="0.25">
      <c r="A2497" s="1">
        <v>670</v>
      </c>
      <c r="B2497" t="s">
        <v>29</v>
      </c>
      <c r="C2497">
        <v>635</v>
      </c>
      <c r="D2497">
        <v>1</v>
      </c>
      <c r="E2497" t="s">
        <v>27</v>
      </c>
      <c r="F2497" t="s">
        <v>28</v>
      </c>
      <c r="G2497" t="str">
        <f>"2025-09-10 19:49:44.482"</f>
        <v>2025-09-10 19:49:44.482</v>
      </c>
      <c r="H2497" t="s">
        <v>22</v>
      </c>
      <c r="I2497">
        <v>9.7100000000000009</v>
      </c>
      <c r="J2497" t="s">
        <v>30</v>
      </c>
    </row>
    <row r="2498" spans="1:10" x14ac:dyDescent="0.25">
      <c r="A2498" s="1">
        <v>671</v>
      </c>
      <c r="B2498" t="s">
        <v>19</v>
      </c>
      <c r="C2498">
        <v>700</v>
      </c>
      <c r="D2498">
        <v>0</v>
      </c>
      <c r="E2498" t="s">
        <v>24</v>
      </c>
      <c r="F2498" t="s">
        <v>24</v>
      </c>
      <c r="G2498" t="str">
        <f>"2025-09-10 17:08:33.642"</f>
        <v>2025-09-10 17:08:33.642</v>
      </c>
      <c r="H2498" t="s">
        <v>22</v>
      </c>
    </row>
    <row r="2499" spans="1:10" x14ac:dyDescent="0.25">
      <c r="A2499" s="1">
        <v>672</v>
      </c>
      <c r="B2499" t="s">
        <v>26</v>
      </c>
      <c r="C2499">
        <v>630</v>
      </c>
      <c r="D2499">
        <v>5</v>
      </c>
      <c r="E2499" t="s">
        <v>39</v>
      </c>
      <c r="F2499" t="s">
        <v>40</v>
      </c>
      <c r="G2499" t="str">
        <f>"2025-09-10 10:03:48.954"</f>
        <v>2025-09-10 10:03:48.954</v>
      </c>
      <c r="H2499" t="s">
        <v>41</v>
      </c>
    </row>
    <row r="2500" spans="1:10" x14ac:dyDescent="0.25">
      <c r="A2500" s="1">
        <v>673</v>
      </c>
      <c r="B2500" t="s">
        <v>19</v>
      </c>
      <c r="C2500">
        <v>706</v>
      </c>
      <c r="D2500">
        <v>4</v>
      </c>
      <c r="E2500" t="s">
        <v>20</v>
      </c>
      <c r="F2500" t="s">
        <v>21</v>
      </c>
      <c r="G2500" t="str">
        <f>"2025-09-10 10:03:18.977"</f>
        <v>2025-09-10 10:03:18.977</v>
      </c>
      <c r="H2500" t="s">
        <v>22</v>
      </c>
      <c r="I2500">
        <v>0</v>
      </c>
      <c r="J2500" t="s">
        <v>23</v>
      </c>
    </row>
    <row r="2501" spans="1:10" x14ac:dyDescent="0.25">
      <c r="A2501" s="1">
        <v>674</v>
      </c>
      <c r="B2501" t="s">
        <v>19</v>
      </c>
      <c r="C2501">
        <v>706</v>
      </c>
      <c r="D2501">
        <v>2</v>
      </c>
      <c r="E2501" t="s">
        <v>20</v>
      </c>
      <c r="F2501" t="s">
        <v>54</v>
      </c>
      <c r="G2501" t="str">
        <f>"2025-09-10 10:03:06.187"</f>
        <v>2025-09-10 10:03:06.187</v>
      </c>
      <c r="H2501" t="s">
        <v>22</v>
      </c>
      <c r="I2501">
        <v>0</v>
      </c>
      <c r="J2501" t="s">
        <v>23</v>
      </c>
    </row>
    <row r="2502" spans="1:10" x14ac:dyDescent="0.25">
      <c r="A2502" s="1">
        <v>675</v>
      </c>
      <c r="B2502" t="s">
        <v>34</v>
      </c>
      <c r="C2502">
        <v>630</v>
      </c>
      <c r="D2502">
        <v>5</v>
      </c>
      <c r="E2502" t="s">
        <v>39</v>
      </c>
      <c r="F2502" t="s">
        <v>40</v>
      </c>
      <c r="G2502" t="str">
        <f>"2025-09-10 09:58:10.555"</f>
        <v>2025-09-10 09:58:10.555</v>
      </c>
      <c r="H2502" t="s">
        <v>41</v>
      </c>
      <c r="I2502">
        <v>0</v>
      </c>
      <c r="J2502" t="s">
        <v>23</v>
      </c>
    </row>
    <row r="2503" spans="1:10" x14ac:dyDescent="0.25">
      <c r="A2503" s="1">
        <v>677</v>
      </c>
      <c r="B2503" t="s">
        <v>19</v>
      </c>
      <c r="C2503">
        <v>700</v>
      </c>
      <c r="D2503">
        <v>0</v>
      </c>
      <c r="E2503" t="s">
        <v>24</v>
      </c>
      <c r="F2503" t="s">
        <v>24</v>
      </c>
      <c r="G2503" t="str">
        <f>"2025-09-09 14:58:29.607"</f>
        <v>2025-09-09 14:58:29.607</v>
      </c>
      <c r="H2503" t="s">
        <v>22</v>
      </c>
      <c r="I2503">
        <v>0</v>
      </c>
      <c r="J2503" t="s">
        <v>25</v>
      </c>
    </row>
    <row r="2504" spans="1:10" x14ac:dyDescent="0.25">
      <c r="A2504" s="1">
        <v>678</v>
      </c>
      <c r="B2504" t="s">
        <v>26</v>
      </c>
      <c r="C2504">
        <v>635</v>
      </c>
      <c r="D2504">
        <v>1</v>
      </c>
      <c r="E2504" t="s">
        <v>27</v>
      </c>
      <c r="F2504" t="s">
        <v>28</v>
      </c>
      <c r="G2504" t="str">
        <f>"2025-09-09 14:05:17.338"</f>
        <v>2025-09-09 14:05:17.338</v>
      </c>
      <c r="H2504" t="s">
        <v>22</v>
      </c>
    </row>
    <row r="2505" spans="1:10" x14ac:dyDescent="0.25">
      <c r="A2505" s="1">
        <v>679</v>
      </c>
      <c r="B2505" t="s">
        <v>29</v>
      </c>
      <c r="C2505">
        <v>635</v>
      </c>
      <c r="D2505">
        <v>1</v>
      </c>
      <c r="E2505" t="s">
        <v>27</v>
      </c>
      <c r="F2505" t="s">
        <v>28</v>
      </c>
      <c r="G2505" t="str">
        <f>"2025-09-09 13:53:22.838"</f>
        <v>2025-09-09 13:53:22.838</v>
      </c>
      <c r="H2505" t="s">
        <v>22</v>
      </c>
      <c r="I2505">
        <v>3.88</v>
      </c>
      <c r="J2505" t="s">
        <v>30</v>
      </c>
    </row>
    <row r="2506" spans="1:10" x14ac:dyDescent="0.25">
      <c r="A2506" s="1">
        <v>680</v>
      </c>
      <c r="B2506" t="s">
        <v>26</v>
      </c>
      <c r="C2506">
        <v>61</v>
      </c>
      <c r="D2506">
        <v>2</v>
      </c>
      <c r="E2506" t="s">
        <v>81</v>
      </c>
      <c r="F2506" t="s">
        <v>82</v>
      </c>
      <c r="G2506" t="str">
        <f>"2025-09-09 08:57:38.379"</f>
        <v>2025-09-09 08:57:38.379</v>
      </c>
      <c r="H2506" t="s">
        <v>22</v>
      </c>
    </row>
    <row r="2507" spans="1:10" x14ac:dyDescent="0.25">
      <c r="A2507" s="1">
        <v>681</v>
      </c>
      <c r="B2507" t="s">
        <v>34</v>
      </c>
      <c r="C2507">
        <v>61</v>
      </c>
      <c r="D2507">
        <v>2</v>
      </c>
      <c r="E2507" t="s">
        <v>81</v>
      </c>
      <c r="F2507" t="s">
        <v>82</v>
      </c>
      <c r="G2507" t="str">
        <f>"2025-09-09 08:57:31.779"</f>
        <v>2025-09-09 08:57:31.779</v>
      </c>
      <c r="H2507" t="s">
        <v>22</v>
      </c>
      <c r="I2507">
        <v>35.18</v>
      </c>
      <c r="J2507" t="s">
        <v>37</v>
      </c>
    </row>
    <row r="2508" spans="1:10" x14ac:dyDescent="0.25">
      <c r="A2508" s="1">
        <v>682</v>
      </c>
      <c r="B2508" t="s">
        <v>26</v>
      </c>
      <c r="C2508">
        <v>635</v>
      </c>
      <c r="D2508">
        <v>1</v>
      </c>
      <c r="E2508" t="s">
        <v>27</v>
      </c>
      <c r="F2508" t="s">
        <v>28</v>
      </c>
      <c r="G2508" t="str">
        <f>"2025-09-08 18:14:29.838"</f>
        <v>2025-09-08 18:14:29.838</v>
      </c>
      <c r="H2508" t="s">
        <v>22</v>
      </c>
    </row>
    <row r="2509" spans="1:10" x14ac:dyDescent="0.25">
      <c r="A2509" s="1">
        <v>683</v>
      </c>
      <c r="B2509" t="s">
        <v>29</v>
      </c>
      <c r="C2509">
        <v>635</v>
      </c>
      <c r="D2509">
        <v>1</v>
      </c>
      <c r="E2509" t="s">
        <v>27</v>
      </c>
      <c r="F2509" t="s">
        <v>28</v>
      </c>
      <c r="G2509" t="str">
        <f>"2025-09-08 18:10:07.338"</f>
        <v>2025-09-08 18:10:07.338</v>
      </c>
      <c r="H2509" t="s">
        <v>22</v>
      </c>
      <c r="I2509">
        <v>7.75</v>
      </c>
      <c r="J2509" t="s">
        <v>30</v>
      </c>
    </row>
    <row r="2510" spans="1:10" x14ac:dyDescent="0.25">
      <c r="A2510" s="1">
        <v>684</v>
      </c>
      <c r="B2510" t="s">
        <v>26</v>
      </c>
      <c r="C2510">
        <v>635</v>
      </c>
      <c r="D2510">
        <v>1</v>
      </c>
      <c r="E2510" t="s">
        <v>27</v>
      </c>
      <c r="F2510" t="s">
        <v>28</v>
      </c>
      <c r="G2510" t="str">
        <f>"2025-09-08 17:12:33.438"</f>
        <v>2025-09-08 17:12:33.438</v>
      </c>
      <c r="H2510" t="s">
        <v>22</v>
      </c>
    </row>
    <row r="2511" spans="1:10" x14ac:dyDescent="0.25">
      <c r="A2511" s="1">
        <v>685</v>
      </c>
      <c r="B2511" t="s">
        <v>29</v>
      </c>
      <c r="C2511">
        <v>635</v>
      </c>
      <c r="D2511">
        <v>1</v>
      </c>
      <c r="E2511" t="s">
        <v>27</v>
      </c>
      <c r="F2511" t="s">
        <v>28</v>
      </c>
      <c r="G2511" t="str">
        <f>"2025-09-08 17:09:38.438"</f>
        <v>2025-09-08 17:09:38.438</v>
      </c>
      <c r="H2511" t="s">
        <v>22</v>
      </c>
      <c r="I2511">
        <v>9.5500000000000007</v>
      </c>
      <c r="J2511" t="s">
        <v>37</v>
      </c>
    </row>
    <row r="2512" spans="1:10" x14ac:dyDescent="0.25">
      <c r="A2512" s="1">
        <v>686</v>
      </c>
      <c r="B2512" t="s">
        <v>26</v>
      </c>
      <c r="C2512">
        <v>635</v>
      </c>
      <c r="D2512">
        <v>1</v>
      </c>
      <c r="E2512" t="s">
        <v>27</v>
      </c>
      <c r="F2512" t="s">
        <v>28</v>
      </c>
      <c r="G2512" t="str">
        <f>"2025-09-08 12:31:30.438"</f>
        <v>2025-09-08 12:31:30.438</v>
      </c>
      <c r="H2512" t="s">
        <v>22</v>
      </c>
    </row>
    <row r="2513" spans="1:10" x14ac:dyDescent="0.25">
      <c r="A2513" s="1">
        <v>687</v>
      </c>
      <c r="B2513" t="s">
        <v>29</v>
      </c>
      <c r="C2513">
        <v>635</v>
      </c>
      <c r="D2513">
        <v>1</v>
      </c>
      <c r="E2513" t="s">
        <v>27</v>
      </c>
      <c r="F2513" t="s">
        <v>28</v>
      </c>
      <c r="G2513" t="str">
        <f>"2025-09-08 12:06:43.538"</f>
        <v>2025-09-08 12:06:43.538</v>
      </c>
      <c r="H2513" t="s">
        <v>22</v>
      </c>
      <c r="I2513">
        <v>3.88</v>
      </c>
      <c r="J2513" t="s">
        <v>38</v>
      </c>
    </row>
    <row r="2514" spans="1:10" x14ac:dyDescent="0.25">
      <c r="A2514" s="1">
        <v>688</v>
      </c>
      <c r="B2514" t="s">
        <v>26</v>
      </c>
      <c r="C2514">
        <v>635</v>
      </c>
      <c r="D2514">
        <v>1</v>
      </c>
      <c r="E2514" t="s">
        <v>27</v>
      </c>
      <c r="F2514" t="s">
        <v>28</v>
      </c>
      <c r="G2514" t="str">
        <f>"2025-09-07 18:05:51.837"</f>
        <v>2025-09-07 18:05:51.837</v>
      </c>
      <c r="H2514" t="s">
        <v>22</v>
      </c>
    </row>
    <row r="2515" spans="1:10" x14ac:dyDescent="0.25">
      <c r="A2515" s="1">
        <v>689</v>
      </c>
      <c r="B2515" t="s">
        <v>29</v>
      </c>
      <c r="C2515">
        <v>635</v>
      </c>
      <c r="D2515">
        <v>1</v>
      </c>
      <c r="E2515" t="s">
        <v>27</v>
      </c>
      <c r="F2515" t="s">
        <v>28</v>
      </c>
      <c r="G2515" t="str">
        <f>"2025-09-07 17:58:37.838"</f>
        <v>2025-09-07 17:58:37.838</v>
      </c>
      <c r="H2515" t="s">
        <v>22</v>
      </c>
      <c r="I2515">
        <v>0.32</v>
      </c>
      <c r="J2515" t="s">
        <v>30</v>
      </c>
    </row>
    <row r="2516" spans="1:10" x14ac:dyDescent="0.25">
      <c r="A2516" s="1">
        <v>690</v>
      </c>
      <c r="B2516" t="s">
        <v>26</v>
      </c>
      <c r="C2516">
        <v>635</v>
      </c>
      <c r="D2516">
        <v>1</v>
      </c>
      <c r="E2516" t="s">
        <v>27</v>
      </c>
      <c r="F2516" t="s">
        <v>28</v>
      </c>
      <c r="G2516" t="str">
        <f>"2025-09-07 16:44:47.538"</f>
        <v>2025-09-07 16:44:47.538</v>
      </c>
      <c r="H2516" t="s">
        <v>22</v>
      </c>
    </row>
    <row r="2517" spans="1:10" x14ac:dyDescent="0.25">
      <c r="A2517" s="1">
        <v>691</v>
      </c>
      <c r="B2517" t="s">
        <v>29</v>
      </c>
      <c r="C2517">
        <v>635</v>
      </c>
      <c r="D2517">
        <v>1</v>
      </c>
      <c r="E2517" t="s">
        <v>27</v>
      </c>
      <c r="F2517" t="s">
        <v>28</v>
      </c>
      <c r="G2517" t="str">
        <f>"2025-09-07 16:40:55.038"</f>
        <v>2025-09-07 16:40:55.038</v>
      </c>
      <c r="H2517" t="s">
        <v>22</v>
      </c>
      <c r="I2517">
        <v>8.16</v>
      </c>
      <c r="J2517" t="s">
        <v>30</v>
      </c>
    </row>
    <row r="2518" spans="1:10" x14ac:dyDescent="0.25">
      <c r="A2518" s="1">
        <v>692</v>
      </c>
      <c r="B2518" t="s">
        <v>26</v>
      </c>
      <c r="C2518">
        <v>619</v>
      </c>
      <c r="D2518">
        <v>1</v>
      </c>
      <c r="E2518" t="s">
        <v>79</v>
      </c>
      <c r="F2518" t="s">
        <v>28</v>
      </c>
      <c r="G2518" t="str">
        <f>"2025-09-07 16:03:46.786"</f>
        <v>2025-09-07 16:03:46.786</v>
      </c>
      <c r="H2518" t="s">
        <v>80</v>
      </c>
    </row>
    <row r="2519" spans="1:10" x14ac:dyDescent="0.25">
      <c r="A2519" s="1">
        <v>693</v>
      </c>
      <c r="B2519" t="s">
        <v>29</v>
      </c>
      <c r="C2519">
        <v>619</v>
      </c>
      <c r="D2519">
        <v>1</v>
      </c>
      <c r="E2519" t="s">
        <v>79</v>
      </c>
      <c r="F2519" t="s">
        <v>28</v>
      </c>
      <c r="G2519" t="str">
        <f>"2025-09-07 16:03:11.039"</f>
        <v>2025-09-07 16:03:11.039</v>
      </c>
      <c r="H2519" t="s">
        <v>80</v>
      </c>
      <c r="I2519">
        <v>10.15</v>
      </c>
      <c r="J2519" t="s">
        <v>37</v>
      </c>
    </row>
    <row r="2520" spans="1:10" x14ac:dyDescent="0.25">
      <c r="A2520" s="1">
        <v>694</v>
      </c>
      <c r="B2520" t="s">
        <v>26</v>
      </c>
      <c r="C2520">
        <v>61</v>
      </c>
      <c r="D2520">
        <v>2</v>
      </c>
      <c r="E2520" t="s">
        <v>81</v>
      </c>
      <c r="F2520" t="s">
        <v>82</v>
      </c>
      <c r="G2520" t="str">
        <f>"2025-09-07 15:41:14.779"</f>
        <v>2025-09-07 15:41:14.779</v>
      </c>
      <c r="H2520" t="s">
        <v>22</v>
      </c>
    </row>
    <row r="2521" spans="1:10" x14ac:dyDescent="0.25">
      <c r="A2521" s="1">
        <v>695</v>
      </c>
      <c r="B2521" t="s">
        <v>34</v>
      </c>
      <c r="C2521">
        <v>61</v>
      </c>
      <c r="D2521">
        <v>2</v>
      </c>
      <c r="E2521" t="s">
        <v>81</v>
      </c>
      <c r="F2521" t="s">
        <v>82</v>
      </c>
      <c r="G2521" t="str">
        <f>"2025-09-07 15:40:52.879"</f>
        <v>2025-09-07 15:40:52.879</v>
      </c>
      <c r="H2521" t="s">
        <v>22</v>
      </c>
      <c r="I2521">
        <v>37.08</v>
      </c>
      <c r="J2521" t="s">
        <v>37</v>
      </c>
    </row>
    <row r="2522" spans="1:10" x14ac:dyDescent="0.25">
      <c r="A2522" s="1">
        <v>696</v>
      </c>
      <c r="B2522" t="s">
        <v>19</v>
      </c>
      <c r="C2522">
        <v>700</v>
      </c>
      <c r="D2522">
        <v>0</v>
      </c>
      <c r="E2522" t="s">
        <v>24</v>
      </c>
      <c r="F2522" t="s">
        <v>24</v>
      </c>
      <c r="G2522" t="str">
        <f>"2025-09-07 13:39:15.618"</f>
        <v>2025-09-07 13:39:15.618</v>
      </c>
      <c r="H2522" t="s">
        <v>22</v>
      </c>
      <c r="I2522">
        <v>0</v>
      </c>
      <c r="J2522" t="s">
        <v>25</v>
      </c>
    </row>
    <row r="2523" spans="1:10" x14ac:dyDescent="0.25">
      <c r="A2523" s="1">
        <v>697</v>
      </c>
      <c r="B2523" t="s">
        <v>19</v>
      </c>
      <c r="C2523">
        <v>700</v>
      </c>
      <c r="D2523">
        <v>0</v>
      </c>
      <c r="E2523" t="s">
        <v>24</v>
      </c>
      <c r="F2523" t="s">
        <v>24</v>
      </c>
      <c r="G2523" t="str">
        <f>"2025-09-07 12:54:39.615"</f>
        <v>2025-09-07 12:54:39.615</v>
      </c>
      <c r="H2523" t="s">
        <v>22</v>
      </c>
      <c r="I2523">
        <v>0</v>
      </c>
      <c r="J2523" t="s">
        <v>25</v>
      </c>
    </row>
    <row r="2524" spans="1:10" x14ac:dyDescent="0.25">
      <c r="A2524" s="1">
        <v>698</v>
      </c>
      <c r="B2524" t="s">
        <v>26</v>
      </c>
      <c r="C2524">
        <v>635</v>
      </c>
      <c r="D2524">
        <v>1</v>
      </c>
      <c r="E2524" t="s">
        <v>27</v>
      </c>
      <c r="F2524" t="s">
        <v>28</v>
      </c>
      <c r="G2524" t="str">
        <f>"2025-09-07 01:08:40.194"</f>
        <v>2025-09-07 01:08:40.194</v>
      </c>
      <c r="H2524" t="s">
        <v>22</v>
      </c>
    </row>
    <row r="2525" spans="1:10" x14ac:dyDescent="0.25">
      <c r="A2525" s="1">
        <v>699</v>
      </c>
      <c r="B2525" t="s">
        <v>29</v>
      </c>
      <c r="C2525">
        <v>635</v>
      </c>
      <c r="D2525">
        <v>1</v>
      </c>
      <c r="E2525" t="s">
        <v>27</v>
      </c>
      <c r="F2525" t="s">
        <v>28</v>
      </c>
      <c r="G2525" t="str">
        <f>"2025-09-07 00:52:22.694"</f>
        <v>2025-09-07 00:52:22.694</v>
      </c>
      <c r="H2525" t="s">
        <v>22</v>
      </c>
      <c r="I2525">
        <v>5.61</v>
      </c>
      <c r="J2525" t="s">
        <v>38</v>
      </c>
    </row>
    <row r="2526" spans="1:10" x14ac:dyDescent="0.25">
      <c r="A2526" s="1">
        <v>700</v>
      </c>
      <c r="B2526" t="s">
        <v>26</v>
      </c>
      <c r="C2526">
        <v>635</v>
      </c>
      <c r="D2526">
        <v>1</v>
      </c>
      <c r="E2526" t="s">
        <v>27</v>
      </c>
      <c r="F2526" t="s">
        <v>28</v>
      </c>
      <c r="G2526" t="str">
        <f>"2025-09-05 21:57:24.494"</f>
        <v>2025-09-05 21:57:24.494</v>
      </c>
      <c r="H2526" t="s">
        <v>22</v>
      </c>
    </row>
    <row r="2527" spans="1:10" x14ac:dyDescent="0.25">
      <c r="A2527" s="1">
        <v>701</v>
      </c>
      <c r="B2527" t="s">
        <v>29</v>
      </c>
      <c r="C2527">
        <v>635</v>
      </c>
      <c r="D2527">
        <v>1</v>
      </c>
      <c r="E2527" t="s">
        <v>27</v>
      </c>
      <c r="F2527" t="s">
        <v>28</v>
      </c>
      <c r="G2527" t="str">
        <f>"2025-09-05 21:52:45.994"</f>
        <v>2025-09-05 21:52:45.994</v>
      </c>
      <c r="H2527" t="s">
        <v>22</v>
      </c>
      <c r="I2527">
        <v>1.98</v>
      </c>
      <c r="J2527" t="s">
        <v>30</v>
      </c>
    </row>
    <row r="2528" spans="1:10" x14ac:dyDescent="0.25">
      <c r="A2528" s="1">
        <v>702</v>
      </c>
      <c r="B2528" t="s">
        <v>26</v>
      </c>
      <c r="C2528">
        <v>635</v>
      </c>
      <c r="D2528">
        <v>1</v>
      </c>
      <c r="E2528" t="s">
        <v>27</v>
      </c>
      <c r="F2528" t="s">
        <v>28</v>
      </c>
      <c r="G2528" t="str">
        <f>"2025-09-05 13:08:19.894"</f>
        <v>2025-09-05 13:08:19.894</v>
      </c>
      <c r="H2528" t="s">
        <v>22</v>
      </c>
    </row>
    <row r="2529" spans="1:10" x14ac:dyDescent="0.25">
      <c r="A2529" s="1">
        <v>703</v>
      </c>
      <c r="B2529" t="s">
        <v>29</v>
      </c>
      <c r="C2529">
        <v>635</v>
      </c>
      <c r="D2529">
        <v>1</v>
      </c>
      <c r="E2529" t="s">
        <v>27</v>
      </c>
      <c r="F2529" t="s">
        <v>28</v>
      </c>
      <c r="G2529" t="str">
        <f>"2025-09-05 13:04:24.894"</f>
        <v>2025-09-05 13:04:24.894</v>
      </c>
      <c r="H2529" t="s">
        <v>22</v>
      </c>
      <c r="I2529">
        <v>3.26</v>
      </c>
      <c r="J2529" t="s">
        <v>30</v>
      </c>
    </row>
    <row r="2530" spans="1:10" x14ac:dyDescent="0.25">
      <c r="A2530" s="1">
        <v>704</v>
      </c>
      <c r="B2530" t="s">
        <v>26</v>
      </c>
      <c r="C2530">
        <v>635</v>
      </c>
      <c r="D2530">
        <v>1</v>
      </c>
      <c r="E2530" t="s">
        <v>27</v>
      </c>
      <c r="F2530" t="s">
        <v>28</v>
      </c>
      <c r="G2530" t="str">
        <f>"2025-09-05 07:49:26.494"</f>
        <v>2025-09-05 07:49:26.494</v>
      </c>
      <c r="H2530" t="s">
        <v>22</v>
      </c>
    </row>
    <row r="2531" spans="1:10" x14ac:dyDescent="0.25">
      <c r="A2531" s="1">
        <v>705</v>
      </c>
      <c r="B2531" t="s">
        <v>29</v>
      </c>
      <c r="C2531">
        <v>635</v>
      </c>
      <c r="D2531">
        <v>1</v>
      </c>
      <c r="E2531" t="s">
        <v>27</v>
      </c>
      <c r="F2531" t="s">
        <v>28</v>
      </c>
      <c r="G2531" t="str">
        <f>"2025-09-05 07:39:58.494"</f>
        <v>2025-09-05 07:39:58.494</v>
      </c>
      <c r="H2531" t="s">
        <v>22</v>
      </c>
      <c r="I2531">
        <v>5.04</v>
      </c>
      <c r="J2531" t="s">
        <v>30</v>
      </c>
    </row>
    <row r="2532" spans="1:10" x14ac:dyDescent="0.25">
      <c r="A2532" s="1">
        <v>706</v>
      </c>
      <c r="B2532" t="s">
        <v>19</v>
      </c>
      <c r="C2532">
        <v>700</v>
      </c>
      <c r="D2532">
        <v>0</v>
      </c>
      <c r="E2532" t="s">
        <v>24</v>
      </c>
      <c r="F2532" t="s">
        <v>24</v>
      </c>
      <c r="G2532" t="str">
        <f>"2025-09-04 13:54:06.857"</f>
        <v>2025-09-04 13:54:06.857</v>
      </c>
      <c r="H2532" t="s">
        <v>22</v>
      </c>
    </row>
    <row r="2533" spans="1:10" x14ac:dyDescent="0.25">
      <c r="A2533" s="1">
        <v>707</v>
      </c>
      <c r="B2533" t="s">
        <v>26</v>
      </c>
      <c r="C2533">
        <v>635</v>
      </c>
      <c r="D2533">
        <v>1</v>
      </c>
      <c r="E2533" t="s">
        <v>27</v>
      </c>
      <c r="F2533" t="s">
        <v>28</v>
      </c>
      <c r="G2533" t="str">
        <f>"2025-09-03 15:26:12.325"</f>
        <v>2025-09-03 15:26:12.325</v>
      </c>
      <c r="H2533" t="s">
        <v>22</v>
      </c>
    </row>
    <row r="2534" spans="1:10" x14ac:dyDescent="0.25">
      <c r="A2534" s="1">
        <v>708</v>
      </c>
      <c r="B2534" t="s">
        <v>29</v>
      </c>
      <c r="C2534">
        <v>635</v>
      </c>
      <c r="D2534">
        <v>1</v>
      </c>
      <c r="E2534" t="s">
        <v>27</v>
      </c>
      <c r="F2534" t="s">
        <v>28</v>
      </c>
      <c r="G2534" t="str">
        <f>"2025-09-03 15:23:47.825"</f>
        <v>2025-09-03 15:23:47.825</v>
      </c>
      <c r="H2534" t="s">
        <v>22</v>
      </c>
      <c r="I2534">
        <v>7.57</v>
      </c>
      <c r="J2534" t="s">
        <v>30</v>
      </c>
    </row>
    <row r="2535" spans="1:10" s="3" customFormat="1" x14ac:dyDescent="0.25">
      <c r="A2535" s="2">
        <v>709</v>
      </c>
      <c r="B2535" s="3" t="s">
        <v>26</v>
      </c>
      <c r="C2535" s="3">
        <v>647</v>
      </c>
      <c r="D2535" s="3">
        <v>1</v>
      </c>
      <c r="E2535" s="3" t="s">
        <v>35</v>
      </c>
      <c r="F2535" s="3" t="s">
        <v>36</v>
      </c>
      <c r="G2535" s="3" t="str">
        <f>"2025-09-03 03:47:29.426"</f>
        <v>2025-09-03 03:47:29.426</v>
      </c>
      <c r="H2535" s="3" t="s">
        <v>22</v>
      </c>
    </row>
    <row r="2536" spans="1:10" s="3" customFormat="1" x14ac:dyDescent="0.25">
      <c r="A2536" s="2">
        <v>710</v>
      </c>
      <c r="B2536" s="3" t="s">
        <v>29</v>
      </c>
      <c r="C2536" s="3">
        <v>647</v>
      </c>
      <c r="D2536" s="3">
        <v>1</v>
      </c>
      <c r="E2536" s="3" t="s">
        <v>35</v>
      </c>
      <c r="F2536" s="3" t="s">
        <v>36</v>
      </c>
      <c r="G2536" s="3" t="str">
        <f>"2025-09-03 03:47:27.326"</f>
        <v>2025-09-03 03:47:27.326</v>
      </c>
      <c r="H2536" s="3" t="s">
        <v>22</v>
      </c>
      <c r="I2536" s="3">
        <v>27.64</v>
      </c>
      <c r="J2536" s="3" t="s">
        <v>37</v>
      </c>
    </row>
    <row r="2537" spans="1:10" s="3" customFormat="1" x14ac:dyDescent="0.25">
      <c r="A2537" s="2">
        <v>711</v>
      </c>
      <c r="B2537" s="3" t="s">
        <v>26</v>
      </c>
      <c r="C2537" s="3">
        <v>647</v>
      </c>
      <c r="D2537" s="3">
        <v>1</v>
      </c>
      <c r="E2537" s="3" t="s">
        <v>35</v>
      </c>
      <c r="F2537" s="3" t="s">
        <v>36</v>
      </c>
      <c r="G2537" s="3" t="str">
        <f>"2025-09-03 03:36:52.026"</f>
        <v>2025-09-03 03:36:52.026</v>
      </c>
      <c r="H2537" s="3" t="s">
        <v>22</v>
      </c>
    </row>
    <row r="2538" spans="1:10" s="3" customFormat="1" x14ac:dyDescent="0.25">
      <c r="A2538" s="2">
        <v>712</v>
      </c>
      <c r="B2538" s="3" t="s">
        <v>29</v>
      </c>
      <c r="C2538" s="3">
        <v>647</v>
      </c>
      <c r="D2538" s="3">
        <v>1</v>
      </c>
      <c r="E2538" s="3" t="s">
        <v>35</v>
      </c>
      <c r="F2538" s="3" t="s">
        <v>36</v>
      </c>
      <c r="G2538" s="3" t="str">
        <f>"2025-09-03 03:36:45.726"</f>
        <v>2025-09-03 03:36:45.726</v>
      </c>
      <c r="H2538" s="3" t="s">
        <v>22</v>
      </c>
      <c r="I2538" s="3">
        <v>12.42</v>
      </c>
      <c r="J2538" s="3" t="s">
        <v>37</v>
      </c>
    </row>
    <row r="2539" spans="1:10" s="3" customFormat="1" x14ac:dyDescent="0.25">
      <c r="A2539" s="2">
        <v>713</v>
      </c>
      <c r="B2539" s="3" t="s">
        <v>26</v>
      </c>
      <c r="C2539" s="3">
        <v>647</v>
      </c>
      <c r="D2539" s="3">
        <v>1</v>
      </c>
      <c r="E2539" s="3" t="s">
        <v>35</v>
      </c>
      <c r="F2539" s="3" t="s">
        <v>36</v>
      </c>
      <c r="G2539" s="3" t="str">
        <f>"2025-09-02 21:53:30.826"</f>
        <v>2025-09-02 21:53:30.826</v>
      </c>
      <c r="H2539" s="3" t="s">
        <v>22</v>
      </c>
    </row>
    <row r="2540" spans="1:10" s="3" customFormat="1" x14ac:dyDescent="0.25">
      <c r="A2540" s="2">
        <v>714</v>
      </c>
      <c r="B2540" s="3" t="s">
        <v>29</v>
      </c>
      <c r="C2540" s="3">
        <v>647</v>
      </c>
      <c r="D2540" s="3">
        <v>1</v>
      </c>
      <c r="E2540" s="3" t="s">
        <v>35</v>
      </c>
      <c r="F2540" s="3" t="s">
        <v>36</v>
      </c>
      <c r="G2540" s="3" t="str">
        <f>"2025-09-02 21:53:27.326"</f>
        <v>2025-09-02 21:53:27.326</v>
      </c>
      <c r="H2540" s="3" t="s">
        <v>22</v>
      </c>
      <c r="I2540" s="3">
        <v>9.3000000000000007</v>
      </c>
      <c r="J2540" s="3" t="s">
        <v>37</v>
      </c>
    </row>
    <row r="2541" spans="1:10" x14ac:dyDescent="0.25">
      <c r="A2541" s="1">
        <v>715</v>
      </c>
      <c r="B2541" t="s">
        <v>19</v>
      </c>
      <c r="C2541">
        <v>706</v>
      </c>
      <c r="D2541">
        <v>3</v>
      </c>
      <c r="E2541" t="s">
        <v>20</v>
      </c>
      <c r="F2541" t="s">
        <v>48</v>
      </c>
      <c r="G2541" t="str">
        <f>"2025-09-02 19:21:21.394"</f>
        <v>2025-09-02 19:21:21.394</v>
      </c>
      <c r="H2541" t="s">
        <v>22</v>
      </c>
      <c r="I2541">
        <v>0</v>
      </c>
      <c r="J2541" t="s">
        <v>23</v>
      </c>
    </row>
    <row r="2542" spans="1:10" x14ac:dyDescent="0.25">
      <c r="A2542" s="1">
        <v>716</v>
      </c>
      <c r="B2542" t="s">
        <v>19</v>
      </c>
      <c r="C2542">
        <v>700</v>
      </c>
      <c r="D2542">
        <v>0</v>
      </c>
      <c r="E2542" t="s">
        <v>24</v>
      </c>
      <c r="F2542" t="s">
        <v>24</v>
      </c>
      <c r="G2542" t="str">
        <f>"2025-09-02 19:18:54.744"</f>
        <v>2025-09-02 19:18:54.744</v>
      </c>
      <c r="H2542" t="s">
        <v>22</v>
      </c>
    </row>
    <row r="2543" spans="1:10" x14ac:dyDescent="0.25">
      <c r="A2543" s="1">
        <v>717</v>
      </c>
      <c r="B2543" t="s">
        <v>19</v>
      </c>
      <c r="C2543">
        <v>700</v>
      </c>
      <c r="D2543">
        <v>0</v>
      </c>
      <c r="E2543" t="s">
        <v>24</v>
      </c>
      <c r="F2543" t="s">
        <v>24</v>
      </c>
      <c r="G2543" t="str">
        <f>"2025-09-02 19:17:54.685"</f>
        <v>2025-09-02 19:17:54.685</v>
      </c>
      <c r="H2543" t="s">
        <v>22</v>
      </c>
    </row>
    <row r="2544" spans="1:10" x14ac:dyDescent="0.25">
      <c r="A2544" s="1">
        <v>718</v>
      </c>
      <c r="B2544" t="s">
        <v>19</v>
      </c>
      <c r="C2544">
        <v>700</v>
      </c>
      <c r="D2544">
        <v>0</v>
      </c>
      <c r="E2544" t="s">
        <v>24</v>
      </c>
      <c r="F2544" t="s">
        <v>24</v>
      </c>
      <c r="G2544" t="str">
        <f>"2025-09-02 14:40:35.926"</f>
        <v>2025-09-02 14:40:35.926</v>
      </c>
      <c r="H2544" t="s">
        <v>22</v>
      </c>
      <c r="I2544">
        <v>0</v>
      </c>
      <c r="J2544" t="s">
        <v>25</v>
      </c>
    </row>
    <row r="2545" spans="1:10" x14ac:dyDescent="0.25">
      <c r="A2545" s="1">
        <v>719</v>
      </c>
      <c r="B2545" t="s">
        <v>19</v>
      </c>
      <c r="C2545">
        <v>700</v>
      </c>
      <c r="D2545">
        <v>0</v>
      </c>
      <c r="E2545" t="s">
        <v>24</v>
      </c>
      <c r="F2545" t="s">
        <v>24</v>
      </c>
      <c r="G2545" t="str">
        <f>"2025-09-02 14:35:41.948"</f>
        <v>2025-09-02 14:35:41.948</v>
      </c>
      <c r="H2545" t="s">
        <v>22</v>
      </c>
      <c r="I2545">
        <v>0</v>
      </c>
      <c r="J2545" t="s">
        <v>25</v>
      </c>
    </row>
    <row r="2546" spans="1:10" x14ac:dyDescent="0.25">
      <c r="A2546" s="1">
        <v>720</v>
      </c>
      <c r="B2546" t="s">
        <v>26</v>
      </c>
      <c r="C2546">
        <v>61</v>
      </c>
      <c r="D2546">
        <v>2</v>
      </c>
      <c r="E2546" t="s">
        <v>81</v>
      </c>
      <c r="F2546" t="s">
        <v>82</v>
      </c>
      <c r="G2546" t="str">
        <f>"2025-09-02 12:14:46.742"</f>
        <v>2025-09-02 12:14:46.742</v>
      </c>
      <c r="H2546" t="s">
        <v>22</v>
      </c>
    </row>
    <row r="2547" spans="1:10" x14ac:dyDescent="0.25">
      <c r="A2547" s="1">
        <v>721</v>
      </c>
      <c r="B2547" t="s">
        <v>34</v>
      </c>
      <c r="C2547">
        <v>61</v>
      </c>
      <c r="D2547">
        <v>2</v>
      </c>
      <c r="E2547" t="s">
        <v>81</v>
      </c>
      <c r="F2547" t="s">
        <v>82</v>
      </c>
      <c r="G2547" t="str">
        <f>"2025-09-02 12:14:39.642"</f>
        <v>2025-09-02 12:14:39.642</v>
      </c>
      <c r="H2547" t="s">
        <v>22</v>
      </c>
      <c r="I2547">
        <v>35.22</v>
      </c>
      <c r="J2547" t="s">
        <v>37</v>
      </c>
    </row>
    <row r="2548" spans="1:10" x14ac:dyDescent="0.25">
      <c r="A2548" s="1">
        <v>722</v>
      </c>
      <c r="B2548" t="s">
        <v>19</v>
      </c>
      <c r="C2548">
        <v>700</v>
      </c>
      <c r="D2548">
        <v>0</v>
      </c>
      <c r="E2548" t="s">
        <v>24</v>
      </c>
      <c r="F2548" t="s">
        <v>24</v>
      </c>
      <c r="G2548" t="str">
        <f>"2025-09-02 12:07:21.955"</f>
        <v>2025-09-02 12:07:21.955</v>
      </c>
      <c r="H2548" t="s">
        <v>22</v>
      </c>
      <c r="I2548">
        <v>0</v>
      </c>
      <c r="J2548" t="s">
        <v>25</v>
      </c>
    </row>
    <row r="2549" spans="1:10" x14ac:dyDescent="0.25">
      <c r="A2549" s="1">
        <v>723</v>
      </c>
      <c r="B2549" t="s">
        <v>34</v>
      </c>
      <c r="C2549">
        <v>630</v>
      </c>
      <c r="D2549">
        <v>5</v>
      </c>
      <c r="E2549" t="s">
        <v>39</v>
      </c>
      <c r="F2549" t="s">
        <v>40</v>
      </c>
      <c r="G2549" t="str">
        <f>"2025-09-02 11:46:15.155"</f>
        <v>2025-09-02 11:46:15.155</v>
      </c>
      <c r="H2549" t="s">
        <v>41</v>
      </c>
      <c r="I2549">
        <v>0</v>
      </c>
      <c r="J2549" t="s">
        <v>23</v>
      </c>
    </row>
    <row r="2550" spans="1:10" s="3" customFormat="1" x14ac:dyDescent="0.25">
      <c r="A2550" s="2">
        <v>724</v>
      </c>
      <c r="B2550" s="3" t="s">
        <v>26</v>
      </c>
      <c r="C2550" s="3">
        <v>647</v>
      </c>
      <c r="D2550" s="3">
        <v>1</v>
      </c>
      <c r="E2550" s="3" t="s">
        <v>35</v>
      </c>
      <c r="F2550" s="3" t="s">
        <v>36</v>
      </c>
      <c r="G2550" s="3" t="str">
        <f>"2025-09-02 06:11:10.456"</f>
        <v>2025-09-02 06:11:10.456</v>
      </c>
      <c r="H2550" s="3" t="s">
        <v>22</v>
      </c>
    </row>
    <row r="2551" spans="1:10" s="3" customFormat="1" x14ac:dyDescent="0.25">
      <c r="A2551" s="2">
        <v>725</v>
      </c>
      <c r="B2551" s="3" t="s">
        <v>29</v>
      </c>
      <c r="C2551" s="3">
        <v>647</v>
      </c>
      <c r="D2551" s="3">
        <v>1</v>
      </c>
      <c r="E2551" s="3" t="s">
        <v>35</v>
      </c>
      <c r="F2551" s="3" t="s">
        <v>36</v>
      </c>
      <c r="G2551" s="3" t="str">
        <f>"2025-09-02 06:11:08.755"</f>
        <v>2025-09-02 06:11:08.755</v>
      </c>
      <c r="H2551" s="3" t="s">
        <v>22</v>
      </c>
      <c r="I2551" s="3">
        <v>17.350000000000001</v>
      </c>
      <c r="J2551" s="3" t="s">
        <v>37</v>
      </c>
    </row>
    <row r="2552" spans="1:10" s="3" customFormat="1" x14ac:dyDescent="0.25">
      <c r="A2552" s="2">
        <v>726</v>
      </c>
      <c r="B2552" s="3" t="s">
        <v>26</v>
      </c>
      <c r="C2552" s="3">
        <v>647</v>
      </c>
      <c r="D2552" s="3">
        <v>1</v>
      </c>
      <c r="E2552" s="3" t="s">
        <v>35</v>
      </c>
      <c r="F2552" s="3" t="s">
        <v>36</v>
      </c>
      <c r="G2552" s="3" t="str">
        <f>"2025-09-02 05:18:02.355"</f>
        <v>2025-09-02 05:18:02.355</v>
      </c>
      <c r="H2552" s="3" t="s">
        <v>22</v>
      </c>
    </row>
    <row r="2553" spans="1:10" s="3" customFormat="1" x14ac:dyDescent="0.25">
      <c r="A2553" s="2">
        <v>727</v>
      </c>
      <c r="B2553" s="3" t="s">
        <v>29</v>
      </c>
      <c r="C2553" s="3">
        <v>647</v>
      </c>
      <c r="D2553" s="3">
        <v>1</v>
      </c>
      <c r="E2553" s="3" t="s">
        <v>35</v>
      </c>
      <c r="F2553" s="3" t="s">
        <v>36</v>
      </c>
      <c r="G2553" s="3" t="str">
        <f>"2025-09-02 05:17:56.456"</f>
        <v>2025-09-02 05:17:56.456</v>
      </c>
      <c r="H2553" s="3" t="s">
        <v>22</v>
      </c>
      <c r="I2553" s="3">
        <v>12.73</v>
      </c>
      <c r="J2553" s="3" t="s">
        <v>37</v>
      </c>
    </row>
    <row r="2554" spans="1:10" x14ac:dyDescent="0.25">
      <c r="A2554" s="1">
        <v>728</v>
      </c>
      <c r="B2554" t="s">
        <v>19</v>
      </c>
      <c r="C2554">
        <v>700</v>
      </c>
      <c r="D2554">
        <v>0</v>
      </c>
      <c r="E2554" t="s">
        <v>24</v>
      </c>
      <c r="F2554" t="s">
        <v>24</v>
      </c>
      <c r="G2554" t="str">
        <f>"2025-09-01 14:43:08.667"</f>
        <v>2025-09-01 14:43:08.667</v>
      </c>
      <c r="H2554" t="s">
        <v>22</v>
      </c>
    </row>
    <row r="2555" spans="1:10" x14ac:dyDescent="0.25">
      <c r="A2555" s="1">
        <v>729</v>
      </c>
      <c r="B2555" t="s">
        <v>19</v>
      </c>
      <c r="C2555">
        <v>700</v>
      </c>
      <c r="D2555">
        <v>0</v>
      </c>
      <c r="E2555" t="s">
        <v>24</v>
      </c>
      <c r="F2555" t="s">
        <v>24</v>
      </c>
      <c r="G2555" t="str">
        <f>"2025-09-01 12:28:53.694"</f>
        <v>2025-09-01 12:28:53.694</v>
      </c>
      <c r="H2555" t="s">
        <v>22</v>
      </c>
    </row>
    <row r="2556" spans="1:10" x14ac:dyDescent="0.25">
      <c r="A2556" s="1">
        <v>730</v>
      </c>
      <c r="B2556" t="s">
        <v>34</v>
      </c>
      <c r="C2556">
        <v>630</v>
      </c>
      <c r="D2556">
        <v>5</v>
      </c>
      <c r="E2556" t="s">
        <v>39</v>
      </c>
      <c r="F2556" t="s">
        <v>40</v>
      </c>
      <c r="G2556" t="str">
        <f>"2025-09-01 11:59:09.108"</f>
        <v>2025-09-01 11:59:09.108</v>
      </c>
      <c r="H2556" t="s">
        <v>41</v>
      </c>
      <c r="I2556">
        <v>0</v>
      </c>
      <c r="J2556" t="s">
        <v>23</v>
      </c>
    </row>
    <row r="2557" spans="1:10" x14ac:dyDescent="0.25">
      <c r="A2557" s="1">
        <v>731</v>
      </c>
      <c r="B2557" t="s">
        <v>19</v>
      </c>
      <c r="C2557">
        <v>706</v>
      </c>
      <c r="D2557">
        <v>2</v>
      </c>
      <c r="E2557" t="s">
        <v>20</v>
      </c>
      <c r="F2557" t="s">
        <v>54</v>
      </c>
      <c r="G2557" t="str">
        <f>"2025-09-01 09:17:15.889"</f>
        <v>2025-09-01 09:17:15.889</v>
      </c>
      <c r="H2557" t="s">
        <v>22</v>
      </c>
      <c r="I2557">
        <v>0</v>
      </c>
      <c r="J2557" t="s">
        <v>23</v>
      </c>
    </row>
    <row r="2558" spans="1:10" x14ac:dyDescent="0.25">
      <c r="A2558" s="1">
        <v>732</v>
      </c>
      <c r="B2558" t="s">
        <v>19</v>
      </c>
      <c r="C2558">
        <v>700</v>
      </c>
      <c r="D2558">
        <v>0</v>
      </c>
      <c r="E2558" t="s">
        <v>24</v>
      </c>
      <c r="F2558" t="s">
        <v>24</v>
      </c>
      <c r="G2558" t="str">
        <f>"2025-09-01 09:15:48.689"</f>
        <v>2025-09-01 09:15:48.689</v>
      </c>
      <c r="H2558" t="s">
        <v>22</v>
      </c>
      <c r="I2558">
        <v>0</v>
      </c>
      <c r="J2558" t="s">
        <v>25</v>
      </c>
    </row>
    <row r="2559" spans="1:10" x14ac:dyDescent="0.25">
      <c r="A2559" s="1">
        <v>733</v>
      </c>
      <c r="B2559" t="s">
        <v>34</v>
      </c>
      <c r="C2559">
        <v>630</v>
      </c>
      <c r="D2559">
        <v>5</v>
      </c>
      <c r="E2559" t="s">
        <v>39</v>
      </c>
      <c r="F2559" t="s">
        <v>40</v>
      </c>
      <c r="G2559" t="str">
        <f>"2025-09-01 08:58:41.756"</f>
        <v>2025-09-01 08:58:41.756</v>
      </c>
      <c r="H2559" t="s">
        <v>41</v>
      </c>
      <c r="I2559">
        <v>0</v>
      </c>
      <c r="J2559" t="s">
        <v>23</v>
      </c>
    </row>
    <row r="2560" spans="1:10" x14ac:dyDescent="0.25">
      <c r="A2560" s="1">
        <v>734</v>
      </c>
      <c r="B2560" t="s">
        <v>19</v>
      </c>
      <c r="C2560">
        <v>700</v>
      </c>
      <c r="D2560">
        <v>0</v>
      </c>
      <c r="E2560" t="s">
        <v>24</v>
      </c>
      <c r="F2560" t="s">
        <v>24</v>
      </c>
      <c r="G2560" t="str">
        <f>"2025-09-01 08:27:18.674"</f>
        <v>2025-09-01 08:27:18.674</v>
      </c>
      <c r="H2560" t="s">
        <v>22</v>
      </c>
    </row>
    <row r="2561" spans="1:10" x14ac:dyDescent="0.25">
      <c r="A2561" s="1">
        <v>735</v>
      </c>
      <c r="B2561" t="s">
        <v>19</v>
      </c>
      <c r="C2561">
        <v>706</v>
      </c>
      <c r="D2561">
        <v>2</v>
      </c>
      <c r="E2561" t="s">
        <v>20</v>
      </c>
      <c r="F2561" t="s">
        <v>54</v>
      </c>
      <c r="G2561" t="str">
        <f>"2025-08-31 21:07:28.303"</f>
        <v>2025-08-31 21:07:28.303</v>
      </c>
      <c r="H2561" t="s">
        <v>22</v>
      </c>
      <c r="I2561">
        <v>0</v>
      </c>
      <c r="J2561" t="s">
        <v>23</v>
      </c>
    </row>
    <row r="2562" spans="1:10" x14ac:dyDescent="0.25">
      <c r="A2562" s="1">
        <v>736</v>
      </c>
      <c r="B2562" t="s">
        <v>19</v>
      </c>
      <c r="C2562">
        <v>700</v>
      </c>
      <c r="D2562">
        <v>0</v>
      </c>
      <c r="E2562" t="s">
        <v>24</v>
      </c>
      <c r="F2562" t="s">
        <v>24</v>
      </c>
      <c r="G2562" t="str">
        <f>"2025-08-31 21:07:09.693"</f>
        <v>2025-08-31 21:07:09.693</v>
      </c>
      <c r="H2562" t="s">
        <v>22</v>
      </c>
      <c r="I2562">
        <v>0</v>
      </c>
      <c r="J2562" t="s">
        <v>25</v>
      </c>
    </row>
    <row r="2563" spans="1:10" x14ac:dyDescent="0.25">
      <c r="A2563" s="1">
        <v>737</v>
      </c>
      <c r="B2563" t="s">
        <v>19</v>
      </c>
      <c r="C2563">
        <v>700</v>
      </c>
      <c r="D2563">
        <v>0</v>
      </c>
      <c r="E2563" t="s">
        <v>24</v>
      </c>
      <c r="F2563" t="s">
        <v>24</v>
      </c>
      <c r="G2563" t="str">
        <f>"2025-08-31 20:38:25.690"</f>
        <v>2025-08-31 20:38:25.690</v>
      </c>
      <c r="H2563" t="s">
        <v>22</v>
      </c>
      <c r="I2563">
        <v>0</v>
      </c>
      <c r="J2563" t="s">
        <v>25</v>
      </c>
    </row>
    <row r="2564" spans="1:10" x14ac:dyDescent="0.25">
      <c r="A2564" s="1">
        <v>738</v>
      </c>
      <c r="B2564" t="s">
        <v>26</v>
      </c>
      <c r="C2564">
        <v>630</v>
      </c>
      <c r="D2564">
        <v>5</v>
      </c>
      <c r="E2564" t="s">
        <v>39</v>
      </c>
      <c r="F2564" t="s">
        <v>40</v>
      </c>
      <c r="G2564" t="str">
        <f>"2025-08-31 19:07:17.169"</f>
        <v>2025-08-31 19:07:17.169</v>
      </c>
      <c r="H2564" t="s">
        <v>41</v>
      </c>
    </row>
    <row r="2565" spans="1:10" x14ac:dyDescent="0.25">
      <c r="A2565" s="1">
        <v>739</v>
      </c>
      <c r="B2565" t="s">
        <v>19</v>
      </c>
      <c r="C2565">
        <v>706</v>
      </c>
      <c r="D2565">
        <v>2</v>
      </c>
      <c r="E2565" t="s">
        <v>20</v>
      </c>
      <c r="F2565" t="s">
        <v>54</v>
      </c>
      <c r="G2565" t="str">
        <f>"2025-08-31 19:06:47.009"</f>
        <v>2025-08-31 19:06:47.009</v>
      </c>
      <c r="H2565" t="s">
        <v>22</v>
      </c>
      <c r="I2565">
        <v>0</v>
      </c>
      <c r="J2565" t="s">
        <v>23</v>
      </c>
    </row>
    <row r="2566" spans="1:10" x14ac:dyDescent="0.25">
      <c r="A2566" s="1">
        <v>740</v>
      </c>
      <c r="B2566" t="s">
        <v>34</v>
      </c>
      <c r="C2566">
        <v>630</v>
      </c>
      <c r="D2566">
        <v>5</v>
      </c>
      <c r="E2566" t="s">
        <v>39</v>
      </c>
      <c r="F2566" t="s">
        <v>40</v>
      </c>
      <c r="G2566" t="str">
        <f>"2025-08-31 18:52:26.369"</f>
        <v>2025-08-31 18:52:26.369</v>
      </c>
      <c r="H2566" t="s">
        <v>41</v>
      </c>
      <c r="I2566">
        <v>0</v>
      </c>
      <c r="J2566" t="s">
        <v>23</v>
      </c>
    </row>
    <row r="2567" spans="1:10" x14ac:dyDescent="0.25">
      <c r="A2567" s="1">
        <v>741</v>
      </c>
      <c r="B2567" t="s">
        <v>19</v>
      </c>
      <c r="C2567">
        <v>700</v>
      </c>
      <c r="D2567">
        <v>0</v>
      </c>
      <c r="E2567" t="s">
        <v>24</v>
      </c>
      <c r="F2567" t="s">
        <v>24</v>
      </c>
      <c r="G2567" t="str">
        <f>"2025-08-31 18:47:23.689"</f>
        <v>2025-08-31 18:47:23.689</v>
      </c>
      <c r="H2567" t="s">
        <v>22</v>
      </c>
    </row>
    <row r="2568" spans="1:10" x14ac:dyDescent="0.25">
      <c r="A2568" s="1">
        <v>742</v>
      </c>
      <c r="B2568" t="s">
        <v>34</v>
      </c>
      <c r="C2568">
        <v>630</v>
      </c>
      <c r="D2568">
        <v>5</v>
      </c>
      <c r="E2568" t="s">
        <v>39</v>
      </c>
      <c r="F2568" t="s">
        <v>40</v>
      </c>
      <c r="G2568" t="str">
        <f>"2025-08-31 18:40:26.623"</f>
        <v>2025-08-31 18:40:26.623</v>
      </c>
      <c r="H2568" t="s">
        <v>41</v>
      </c>
      <c r="I2568">
        <v>0</v>
      </c>
      <c r="J2568" t="s">
        <v>23</v>
      </c>
    </row>
    <row r="2569" spans="1:10" x14ac:dyDescent="0.25">
      <c r="A2569" s="1">
        <v>743</v>
      </c>
      <c r="B2569" t="s">
        <v>19</v>
      </c>
      <c r="C2569">
        <v>700</v>
      </c>
      <c r="D2569">
        <v>0</v>
      </c>
      <c r="E2569" t="s">
        <v>24</v>
      </c>
      <c r="F2569" t="s">
        <v>24</v>
      </c>
      <c r="G2569" t="str">
        <f>"2025-08-31 18:35:23.945"</f>
        <v>2025-08-31 18:35:23.945</v>
      </c>
      <c r="H2569" t="s">
        <v>22</v>
      </c>
    </row>
    <row r="2570" spans="1:10" x14ac:dyDescent="0.25">
      <c r="A2570" s="1">
        <v>744</v>
      </c>
      <c r="B2570" t="s">
        <v>34</v>
      </c>
      <c r="C2570">
        <v>630</v>
      </c>
      <c r="D2570">
        <v>5</v>
      </c>
      <c r="E2570" t="s">
        <v>39</v>
      </c>
      <c r="F2570" t="s">
        <v>40</v>
      </c>
      <c r="G2570" t="str">
        <f>"2025-08-31 18:28:52.454"</f>
        <v>2025-08-31 18:28:52.454</v>
      </c>
      <c r="H2570" t="s">
        <v>41</v>
      </c>
      <c r="I2570">
        <v>0</v>
      </c>
      <c r="J2570" t="s">
        <v>23</v>
      </c>
    </row>
    <row r="2571" spans="1:10" x14ac:dyDescent="0.25">
      <c r="A2571" s="1">
        <v>745</v>
      </c>
      <c r="B2571" t="s">
        <v>19</v>
      </c>
      <c r="C2571">
        <v>700</v>
      </c>
      <c r="D2571">
        <v>0</v>
      </c>
      <c r="E2571" t="s">
        <v>24</v>
      </c>
      <c r="F2571" t="s">
        <v>24</v>
      </c>
      <c r="G2571" t="str">
        <f>"2025-08-31 18:23:49.682"</f>
        <v>2025-08-31 18:23:49.682</v>
      </c>
      <c r="H2571" t="s">
        <v>22</v>
      </c>
      <c r="I2571">
        <v>0</v>
      </c>
      <c r="J2571" t="s">
        <v>25</v>
      </c>
    </row>
    <row r="2572" spans="1:10" x14ac:dyDescent="0.25">
      <c r="A2572" s="1">
        <v>746</v>
      </c>
      <c r="B2572" t="s">
        <v>19</v>
      </c>
      <c r="C2572">
        <v>700</v>
      </c>
      <c r="D2572">
        <v>0</v>
      </c>
      <c r="E2572" t="s">
        <v>24</v>
      </c>
      <c r="F2572" t="s">
        <v>24</v>
      </c>
      <c r="G2572" t="str">
        <f>"2025-08-31 17:24:00.964"</f>
        <v>2025-08-31 17:24:00.964</v>
      </c>
      <c r="H2572" t="s">
        <v>22</v>
      </c>
    </row>
    <row r="2573" spans="1:10" x14ac:dyDescent="0.25">
      <c r="A2573" s="1">
        <v>747</v>
      </c>
      <c r="B2573" t="s">
        <v>19</v>
      </c>
      <c r="C2573">
        <v>706</v>
      </c>
      <c r="D2573">
        <v>4</v>
      </c>
      <c r="E2573" t="s">
        <v>20</v>
      </c>
      <c r="F2573" t="s">
        <v>21</v>
      </c>
      <c r="G2573" t="str">
        <f>"2025-08-31 17:20:26.405"</f>
        <v>2025-08-31 17:20:26.405</v>
      </c>
      <c r="H2573" t="s">
        <v>22</v>
      </c>
      <c r="I2573">
        <v>0</v>
      </c>
      <c r="J2573" t="s">
        <v>23</v>
      </c>
    </row>
    <row r="2574" spans="1:10" x14ac:dyDescent="0.25">
      <c r="A2574" s="1">
        <v>748</v>
      </c>
      <c r="B2574" t="s">
        <v>19</v>
      </c>
      <c r="C2574">
        <v>706</v>
      </c>
      <c r="D2574">
        <v>4</v>
      </c>
      <c r="E2574" t="s">
        <v>20</v>
      </c>
      <c r="F2574" t="s">
        <v>21</v>
      </c>
      <c r="G2574" t="str">
        <f>"2025-08-31 17:16:53.005"</f>
        <v>2025-08-31 17:16:53.005</v>
      </c>
      <c r="H2574" t="s">
        <v>22</v>
      </c>
      <c r="I2574">
        <v>0</v>
      </c>
      <c r="J2574" t="s">
        <v>23</v>
      </c>
    </row>
    <row r="2575" spans="1:10" x14ac:dyDescent="0.25">
      <c r="A2575" s="1">
        <v>749</v>
      </c>
      <c r="B2575" t="s">
        <v>19</v>
      </c>
      <c r="C2575">
        <v>700</v>
      </c>
      <c r="D2575">
        <v>0</v>
      </c>
      <c r="E2575" t="s">
        <v>24</v>
      </c>
      <c r="F2575" t="s">
        <v>24</v>
      </c>
      <c r="G2575" t="str">
        <f>"2025-08-31 17:15:24.725"</f>
        <v>2025-08-31 17:15:24.725</v>
      </c>
      <c r="H2575" t="s">
        <v>22</v>
      </c>
      <c r="I2575">
        <v>0</v>
      </c>
      <c r="J2575" t="s">
        <v>25</v>
      </c>
    </row>
    <row r="2576" spans="1:10" x14ac:dyDescent="0.25">
      <c r="A2576" s="1">
        <v>750</v>
      </c>
      <c r="B2576" t="s">
        <v>26</v>
      </c>
      <c r="C2576">
        <v>630</v>
      </c>
      <c r="D2576">
        <v>5</v>
      </c>
      <c r="E2576" t="s">
        <v>39</v>
      </c>
      <c r="F2576" t="s">
        <v>40</v>
      </c>
      <c r="G2576" t="str">
        <f>"2025-08-31 17:12:41.150"</f>
        <v>2025-08-31 17:12:41.150</v>
      </c>
      <c r="H2576" t="s">
        <v>41</v>
      </c>
    </row>
    <row r="2577" spans="1:10" x14ac:dyDescent="0.25">
      <c r="A2577" s="1">
        <v>751</v>
      </c>
      <c r="B2577" t="s">
        <v>19</v>
      </c>
      <c r="C2577">
        <v>706</v>
      </c>
      <c r="D2577">
        <v>2</v>
      </c>
      <c r="E2577" t="s">
        <v>20</v>
      </c>
      <c r="F2577" t="s">
        <v>54</v>
      </c>
      <c r="G2577" t="str">
        <f>"2025-08-31 17:12:10.988"</f>
        <v>2025-08-31 17:12:10.988</v>
      </c>
      <c r="H2577" t="s">
        <v>22</v>
      </c>
      <c r="I2577">
        <v>0</v>
      </c>
      <c r="J2577" t="s">
        <v>23</v>
      </c>
    </row>
    <row r="2578" spans="1:10" x14ac:dyDescent="0.25">
      <c r="A2578" s="1">
        <v>752</v>
      </c>
      <c r="B2578" t="s">
        <v>34</v>
      </c>
      <c r="C2578">
        <v>630</v>
      </c>
      <c r="D2578">
        <v>5</v>
      </c>
      <c r="E2578" t="s">
        <v>39</v>
      </c>
      <c r="F2578" t="s">
        <v>40</v>
      </c>
      <c r="G2578" t="str">
        <f>"2025-08-31 16:38:51.450"</f>
        <v>2025-08-31 16:38:51.450</v>
      </c>
      <c r="H2578" t="s">
        <v>41</v>
      </c>
      <c r="I2578">
        <v>0</v>
      </c>
      <c r="J2578" t="s">
        <v>23</v>
      </c>
    </row>
    <row r="2579" spans="1:10" x14ac:dyDescent="0.25">
      <c r="A2579" s="1">
        <v>753</v>
      </c>
      <c r="B2579" t="s">
        <v>19</v>
      </c>
      <c r="C2579">
        <v>700</v>
      </c>
      <c r="D2579">
        <v>0</v>
      </c>
      <c r="E2579" t="s">
        <v>24</v>
      </c>
      <c r="F2579" t="s">
        <v>24</v>
      </c>
      <c r="G2579" t="str">
        <f>"2025-08-31 14:19:43.688"</f>
        <v>2025-08-31 14:19:43.688</v>
      </c>
      <c r="H2579" t="s">
        <v>22</v>
      </c>
      <c r="I2579">
        <v>0</v>
      </c>
      <c r="J2579" t="s">
        <v>25</v>
      </c>
    </row>
    <row r="2580" spans="1:10" x14ac:dyDescent="0.25">
      <c r="A2580" s="1">
        <v>754</v>
      </c>
      <c r="B2580" t="s">
        <v>19</v>
      </c>
      <c r="C2580">
        <v>700</v>
      </c>
      <c r="D2580">
        <v>0</v>
      </c>
      <c r="E2580" t="s">
        <v>24</v>
      </c>
      <c r="F2580" t="s">
        <v>24</v>
      </c>
      <c r="G2580" t="str">
        <f>"2025-08-31 13:13:33.726"</f>
        <v>2025-08-31 13:13:33.726</v>
      </c>
      <c r="H2580" t="s">
        <v>22</v>
      </c>
      <c r="I2580">
        <v>0</v>
      </c>
      <c r="J2580" t="s">
        <v>25</v>
      </c>
    </row>
    <row r="2581" spans="1:10" x14ac:dyDescent="0.25">
      <c r="A2581" s="1">
        <v>755</v>
      </c>
      <c r="B2581" t="s">
        <v>34</v>
      </c>
      <c r="C2581">
        <v>630</v>
      </c>
      <c r="D2581">
        <v>5</v>
      </c>
      <c r="E2581" t="s">
        <v>39</v>
      </c>
      <c r="F2581" t="s">
        <v>40</v>
      </c>
      <c r="G2581" t="str">
        <f>"2025-08-31 12:49:05.758"</f>
        <v>2025-08-31 12:49:05.758</v>
      </c>
      <c r="H2581" t="s">
        <v>41</v>
      </c>
      <c r="I2581">
        <v>0</v>
      </c>
      <c r="J2581" t="s">
        <v>23</v>
      </c>
    </row>
    <row r="2582" spans="1:10" x14ac:dyDescent="0.25">
      <c r="A2582" s="1">
        <v>756</v>
      </c>
      <c r="B2582" t="s">
        <v>19</v>
      </c>
      <c r="C2582">
        <v>700</v>
      </c>
      <c r="D2582">
        <v>0</v>
      </c>
      <c r="E2582" t="s">
        <v>24</v>
      </c>
      <c r="F2582" t="s">
        <v>24</v>
      </c>
      <c r="G2582" t="str">
        <f>"2025-08-31 09:40:40.696"</f>
        <v>2025-08-31 09:40:40.696</v>
      </c>
      <c r="H2582" t="s">
        <v>22</v>
      </c>
      <c r="I2582">
        <v>0</v>
      </c>
      <c r="J2582" t="s">
        <v>25</v>
      </c>
    </row>
    <row r="2583" spans="1:10" x14ac:dyDescent="0.25">
      <c r="A2583" s="1">
        <v>757</v>
      </c>
      <c r="B2583" t="s">
        <v>34</v>
      </c>
      <c r="C2583">
        <v>630</v>
      </c>
      <c r="D2583">
        <v>5</v>
      </c>
      <c r="E2583" t="s">
        <v>39</v>
      </c>
      <c r="F2583" t="s">
        <v>40</v>
      </c>
      <c r="G2583" t="str">
        <f>"2025-08-31 09:33:37.841"</f>
        <v>2025-08-31 09:33:37.841</v>
      </c>
      <c r="H2583" t="s">
        <v>41</v>
      </c>
      <c r="I2583">
        <v>0</v>
      </c>
      <c r="J2583" t="s">
        <v>23</v>
      </c>
    </row>
    <row r="2584" spans="1:10" x14ac:dyDescent="0.25">
      <c r="A2584" s="1">
        <v>758</v>
      </c>
      <c r="B2584" t="s">
        <v>19</v>
      </c>
      <c r="C2584">
        <v>706</v>
      </c>
      <c r="D2584">
        <v>4</v>
      </c>
      <c r="E2584" t="s">
        <v>20</v>
      </c>
      <c r="F2584" t="s">
        <v>21</v>
      </c>
      <c r="G2584" t="str">
        <f>"2025-08-30 20:19:05.283"</f>
        <v>2025-08-30 20:19:05.283</v>
      </c>
      <c r="H2584" t="s">
        <v>22</v>
      </c>
      <c r="I2584">
        <v>0</v>
      </c>
      <c r="J2584" t="s">
        <v>23</v>
      </c>
    </row>
    <row r="2585" spans="1:10" x14ac:dyDescent="0.25">
      <c r="A2585" s="1">
        <v>759</v>
      </c>
      <c r="B2585" t="s">
        <v>19</v>
      </c>
      <c r="C2585">
        <v>700</v>
      </c>
      <c r="D2585">
        <v>0</v>
      </c>
      <c r="E2585" t="s">
        <v>24</v>
      </c>
      <c r="F2585" t="s">
        <v>24</v>
      </c>
      <c r="G2585" t="str">
        <f>"2025-08-30 20:18:31.943"</f>
        <v>2025-08-30 20:18:31.943</v>
      </c>
      <c r="H2585" t="s">
        <v>22</v>
      </c>
    </row>
    <row r="2586" spans="1:10" x14ac:dyDescent="0.25">
      <c r="A2586" s="1">
        <v>760</v>
      </c>
      <c r="B2586" t="s">
        <v>19</v>
      </c>
      <c r="C2586">
        <v>706</v>
      </c>
      <c r="D2586">
        <v>3</v>
      </c>
      <c r="E2586" t="s">
        <v>20</v>
      </c>
      <c r="F2586" t="s">
        <v>48</v>
      </c>
      <c r="G2586" t="str">
        <f>"2025-08-30 20:16:56.497"</f>
        <v>2025-08-30 20:16:56.497</v>
      </c>
      <c r="H2586" t="s">
        <v>22</v>
      </c>
      <c r="I2586">
        <v>0</v>
      </c>
      <c r="J2586" t="s">
        <v>23</v>
      </c>
    </row>
    <row r="2587" spans="1:10" x14ac:dyDescent="0.25">
      <c r="A2587" s="1">
        <v>761</v>
      </c>
      <c r="B2587" t="s">
        <v>26</v>
      </c>
      <c r="C2587">
        <v>635</v>
      </c>
      <c r="D2587">
        <v>1</v>
      </c>
      <c r="E2587" t="s">
        <v>27</v>
      </c>
      <c r="F2587" t="s">
        <v>28</v>
      </c>
      <c r="G2587" t="str">
        <f>"2025-08-30 20:08:39.204"</f>
        <v>2025-08-30 20:08:39.204</v>
      </c>
      <c r="H2587" t="s">
        <v>22</v>
      </c>
    </row>
    <row r="2588" spans="1:10" x14ac:dyDescent="0.25">
      <c r="A2588" s="1">
        <v>762</v>
      </c>
      <c r="B2588" t="s">
        <v>29</v>
      </c>
      <c r="C2588">
        <v>635</v>
      </c>
      <c r="D2588">
        <v>1</v>
      </c>
      <c r="E2588" t="s">
        <v>27</v>
      </c>
      <c r="F2588" t="s">
        <v>28</v>
      </c>
      <c r="G2588" t="str">
        <f>"2025-08-30 19:45:46.705"</f>
        <v>2025-08-30 19:45:46.705</v>
      </c>
      <c r="H2588" t="s">
        <v>22</v>
      </c>
      <c r="I2588">
        <v>8.27</v>
      </c>
      <c r="J2588" t="s">
        <v>30</v>
      </c>
    </row>
    <row r="2589" spans="1:10" x14ac:dyDescent="0.25">
      <c r="A2589" s="1">
        <v>763</v>
      </c>
      <c r="B2589" t="s">
        <v>19</v>
      </c>
      <c r="C2589">
        <v>700</v>
      </c>
      <c r="D2589">
        <v>0</v>
      </c>
      <c r="E2589" t="s">
        <v>24</v>
      </c>
      <c r="F2589" t="s">
        <v>24</v>
      </c>
      <c r="G2589" t="str">
        <f>"2025-08-30 19:14:08.697"</f>
        <v>2025-08-30 19:14:08.697</v>
      </c>
      <c r="H2589" t="s">
        <v>22</v>
      </c>
      <c r="I2589">
        <v>0</v>
      </c>
      <c r="J2589" t="s">
        <v>25</v>
      </c>
    </row>
    <row r="2590" spans="1:10" x14ac:dyDescent="0.25">
      <c r="A2590" s="1">
        <v>764</v>
      </c>
      <c r="B2590" t="s">
        <v>26</v>
      </c>
      <c r="C2590">
        <v>635</v>
      </c>
      <c r="D2590">
        <v>1</v>
      </c>
      <c r="E2590" t="s">
        <v>27</v>
      </c>
      <c r="F2590" t="s">
        <v>28</v>
      </c>
      <c r="G2590" t="str">
        <f>"2025-08-30 16:18:34.492"</f>
        <v>2025-08-30 16:18:34.492</v>
      </c>
      <c r="H2590" t="s">
        <v>22</v>
      </c>
    </row>
    <row r="2591" spans="1:10" x14ac:dyDescent="0.25">
      <c r="A2591" s="1">
        <v>765</v>
      </c>
      <c r="B2591" t="s">
        <v>29</v>
      </c>
      <c r="C2591">
        <v>635</v>
      </c>
      <c r="D2591">
        <v>1</v>
      </c>
      <c r="E2591" t="s">
        <v>27</v>
      </c>
      <c r="F2591" t="s">
        <v>28</v>
      </c>
      <c r="G2591" t="str">
        <f>"2025-08-30 16:15:59.492"</f>
        <v>2025-08-30 16:15:59.492</v>
      </c>
      <c r="H2591" t="s">
        <v>22</v>
      </c>
      <c r="I2591">
        <v>5.04</v>
      </c>
      <c r="J2591" t="s">
        <v>30</v>
      </c>
    </row>
    <row r="2592" spans="1:10" x14ac:dyDescent="0.25">
      <c r="A2592" s="1">
        <v>766</v>
      </c>
      <c r="B2592" t="s">
        <v>19</v>
      </c>
      <c r="C2592">
        <v>700</v>
      </c>
      <c r="D2592">
        <v>0</v>
      </c>
      <c r="E2592" t="s">
        <v>24</v>
      </c>
      <c r="F2592" t="s">
        <v>24</v>
      </c>
      <c r="G2592" t="str">
        <f>"2025-08-30 13:41:41.724"</f>
        <v>2025-08-30 13:41:41.724</v>
      </c>
      <c r="H2592" t="s">
        <v>22</v>
      </c>
      <c r="I2592">
        <v>0</v>
      </c>
      <c r="J2592" t="s">
        <v>25</v>
      </c>
    </row>
    <row r="2593" spans="1:10" x14ac:dyDescent="0.25">
      <c r="A2593" s="1">
        <v>767</v>
      </c>
      <c r="B2593" t="s">
        <v>26</v>
      </c>
      <c r="C2593">
        <v>630</v>
      </c>
      <c r="D2593">
        <v>5</v>
      </c>
      <c r="E2593" t="s">
        <v>39</v>
      </c>
      <c r="F2593" t="s">
        <v>40</v>
      </c>
      <c r="G2593" t="str">
        <f>"2025-08-30 13:04:52.080"</f>
        <v>2025-08-30 13:04:52.080</v>
      </c>
      <c r="H2593" t="s">
        <v>41</v>
      </c>
    </row>
    <row r="2594" spans="1:10" x14ac:dyDescent="0.25">
      <c r="A2594" s="1">
        <v>768</v>
      </c>
      <c r="B2594" t="s">
        <v>19</v>
      </c>
      <c r="C2594">
        <v>706</v>
      </c>
      <c r="D2594">
        <v>2</v>
      </c>
      <c r="E2594" t="s">
        <v>20</v>
      </c>
      <c r="F2594" t="s">
        <v>54</v>
      </c>
      <c r="G2594" t="str">
        <f>"2025-08-30 13:04:22.033"</f>
        <v>2025-08-30 13:04:22.033</v>
      </c>
      <c r="H2594" t="s">
        <v>22</v>
      </c>
      <c r="I2594">
        <v>0</v>
      </c>
      <c r="J2594" t="s">
        <v>23</v>
      </c>
    </row>
    <row r="2595" spans="1:10" x14ac:dyDescent="0.25">
      <c r="A2595" s="1">
        <v>769</v>
      </c>
      <c r="B2595" t="s">
        <v>34</v>
      </c>
      <c r="C2595">
        <v>630</v>
      </c>
      <c r="D2595">
        <v>5</v>
      </c>
      <c r="E2595" t="s">
        <v>39</v>
      </c>
      <c r="F2595" t="s">
        <v>40</v>
      </c>
      <c r="G2595" t="str">
        <f>"2025-08-30 12:45:21.281"</f>
        <v>2025-08-30 12:45:21.281</v>
      </c>
      <c r="H2595" t="s">
        <v>41</v>
      </c>
      <c r="I2595">
        <v>0</v>
      </c>
      <c r="J2595" t="s">
        <v>23</v>
      </c>
    </row>
    <row r="2596" spans="1:10" x14ac:dyDescent="0.25">
      <c r="A2596" s="1">
        <v>770</v>
      </c>
      <c r="B2596" t="s">
        <v>19</v>
      </c>
      <c r="C2596">
        <v>700</v>
      </c>
      <c r="D2596">
        <v>0</v>
      </c>
      <c r="E2596" t="s">
        <v>24</v>
      </c>
      <c r="F2596" t="s">
        <v>24</v>
      </c>
      <c r="G2596" t="str">
        <f>"2025-08-30 01:10:47.723"</f>
        <v>2025-08-30 01:10:47.723</v>
      </c>
      <c r="H2596" t="s">
        <v>22</v>
      </c>
      <c r="I2596">
        <v>0</v>
      </c>
      <c r="J2596" t="s">
        <v>25</v>
      </c>
    </row>
    <row r="2597" spans="1:10" x14ac:dyDescent="0.25">
      <c r="A2597" s="1">
        <v>771</v>
      </c>
      <c r="B2597" t="s">
        <v>26</v>
      </c>
      <c r="C2597">
        <v>619</v>
      </c>
      <c r="D2597">
        <v>1</v>
      </c>
      <c r="E2597" t="s">
        <v>79</v>
      </c>
      <c r="F2597" t="s">
        <v>28</v>
      </c>
      <c r="G2597" t="str">
        <f>"2025-08-30 01:01:45.900"</f>
        <v>2025-08-30 01:01:45.900</v>
      </c>
      <c r="H2597" t="s">
        <v>80</v>
      </c>
    </row>
    <row r="2598" spans="1:10" x14ac:dyDescent="0.25">
      <c r="A2598" s="1">
        <v>772</v>
      </c>
      <c r="B2598" t="s">
        <v>29</v>
      </c>
      <c r="C2598">
        <v>619</v>
      </c>
      <c r="D2598">
        <v>1</v>
      </c>
      <c r="E2598" t="s">
        <v>79</v>
      </c>
      <c r="F2598" t="s">
        <v>28</v>
      </c>
      <c r="G2598" t="str">
        <f>"2025-08-30 01:01:21.549"</f>
        <v>2025-08-30 01:01:21.549</v>
      </c>
      <c r="H2598" t="s">
        <v>80</v>
      </c>
      <c r="I2598">
        <v>0</v>
      </c>
      <c r="J2598" t="s">
        <v>38</v>
      </c>
    </row>
    <row r="2599" spans="1:10" x14ac:dyDescent="0.25">
      <c r="A2599" s="1">
        <v>773</v>
      </c>
      <c r="B2599" t="s">
        <v>19</v>
      </c>
      <c r="C2599">
        <v>700</v>
      </c>
      <c r="D2599">
        <v>0</v>
      </c>
      <c r="E2599" t="s">
        <v>24</v>
      </c>
      <c r="F2599" t="s">
        <v>24</v>
      </c>
      <c r="G2599" t="str">
        <f>"2025-08-29 15:10:38.090"</f>
        <v>2025-08-29 15:10:38.090</v>
      </c>
      <c r="H2599" t="s">
        <v>22</v>
      </c>
      <c r="I2599">
        <v>0</v>
      </c>
      <c r="J2599" t="s">
        <v>25</v>
      </c>
    </row>
    <row r="2600" spans="1:10" x14ac:dyDescent="0.25">
      <c r="A2600" s="1">
        <v>774</v>
      </c>
      <c r="B2600" t="s">
        <v>19</v>
      </c>
      <c r="C2600">
        <v>700</v>
      </c>
      <c r="D2600">
        <v>0</v>
      </c>
      <c r="E2600" t="s">
        <v>24</v>
      </c>
      <c r="F2600" t="s">
        <v>24</v>
      </c>
      <c r="G2600" t="str">
        <f>"2025-08-29 14:30:24.686"</f>
        <v>2025-08-29 14:30:24.686</v>
      </c>
      <c r="H2600" t="s">
        <v>22</v>
      </c>
      <c r="I2600">
        <v>0</v>
      </c>
      <c r="J2600" t="s">
        <v>25</v>
      </c>
    </row>
    <row r="2601" spans="1:10" x14ac:dyDescent="0.25">
      <c r="A2601" s="1">
        <v>775</v>
      </c>
      <c r="B2601" t="s">
        <v>19</v>
      </c>
      <c r="C2601">
        <v>700</v>
      </c>
      <c r="D2601">
        <v>0</v>
      </c>
      <c r="E2601" t="s">
        <v>24</v>
      </c>
      <c r="F2601" t="s">
        <v>24</v>
      </c>
      <c r="G2601" t="str">
        <f>"2025-08-29 14:01:35.706"</f>
        <v>2025-08-29 14:01:35.706</v>
      </c>
      <c r="H2601" t="s">
        <v>22</v>
      </c>
    </row>
    <row r="2602" spans="1:10" x14ac:dyDescent="0.25">
      <c r="A2602" s="1">
        <v>776</v>
      </c>
      <c r="B2602" t="s">
        <v>26</v>
      </c>
      <c r="C2602">
        <v>635</v>
      </c>
      <c r="D2602">
        <v>1</v>
      </c>
      <c r="E2602" t="s">
        <v>27</v>
      </c>
      <c r="F2602" t="s">
        <v>28</v>
      </c>
      <c r="G2602" t="str">
        <f>"2025-08-29 12:03:25.753"</f>
        <v>2025-08-29 12:03:25.753</v>
      </c>
      <c r="H2602" t="s">
        <v>22</v>
      </c>
    </row>
    <row r="2603" spans="1:10" x14ac:dyDescent="0.25">
      <c r="A2603" s="1">
        <v>777</v>
      </c>
      <c r="B2603" t="s">
        <v>29</v>
      </c>
      <c r="C2603">
        <v>635</v>
      </c>
      <c r="D2603">
        <v>1</v>
      </c>
      <c r="E2603" t="s">
        <v>27</v>
      </c>
      <c r="F2603" t="s">
        <v>28</v>
      </c>
      <c r="G2603" t="str">
        <f>"2025-08-29 12:00:06.753"</f>
        <v>2025-08-29 12:00:06.753</v>
      </c>
      <c r="H2603" t="s">
        <v>22</v>
      </c>
      <c r="I2603">
        <v>3.73</v>
      </c>
      <c r="J2603" t="s">
        <v>30</v>
      </c>
    </row>
    <row r="2604" spans="1:10" x14ac:dyDescent="0.25">
      <c r="A2604" s="1">
        <v>778</v>
      </c>
      <c r="B2604" t="s">
        <v>19</v>
      </c>
      <c r="C2604">
        <v>706</v>
      </c>
      <c r="D2604">
        <v>2</v>
      </c>
      <c r="E2604" t="s">
        <v>20</v>
      </c>
      <c r="F2604" t="s">
        <v>54</v>
      </c>
      <c r="G2604" t="str">
        <f>"2025-08-29 11:16:41.625"</f>
        <v>2025-08-29 11:16:41.625</v>
      </c>
      <c r="H2604" t="s">
        <v>22</v>
      </c>
      <c r="I2604">
        <v>0</v>
      </c>
      <c r="J2604" t="s">
        <v>23</v>
      </c>
    </row>
    <row r="2605" spans="1:10" x14ac:dyDescent="0.25">
      <c r="A2605" s="1">
        <v>779</v>
      </c>
      <c r="B2605" t="s">
        <v>19</v>
      </c>
      <c r="C2605">
        <v>700</v>
      </c>
      <c r="D2605">
        <v>0</v>
      </c>
      <c r="E2605" t="s">
        <v>24</v>
      </c>
      <c r="F2605" t="s">
        <v>24</v>
      </c>
      <c r="G2605" t="str">
        <f>"2025-08-29 11:16:06.725"</f>
        <v>2025-08-29 11:16:06.725</v>
      </c>
      <c r="H2605" t="s">
        <v>22</v>
      </c>
      <c r="I2605">
        <v>0</v>
      </c>
      <c r="J2605" t="s">
        <v>25</v>
      </c>
    </row>
    <row r="2606" spans="1:10" x14ac:dyDescent="0.25">
      <c r="A2606" s="1">
        <v>780</v>
      </c>
      <c r="B2606" t="s">
        <v>34</v>
      </c>
      <c r="C2606">
        <v>630</v>
      </c>
      <c r="D2606">
        <v>5</v>
      </c>
      <c r="E2606" t="s">
        <v>39</v>
      </c>
      <c r="F2606" t="s">
        <v>40</v>
      </c>
      <c r="G2606" t="str">
        <f>"2025-08-29 11:08:05.829"</f>
        <v>2025-08-29 11:08:05.829</v>
      </c>
      <c r="H2606" t="s">
        <v>41</v>
      </c>
      <c r="I2606">
        <v>0</v>
      </c>
      <c r="J2606" t="s">
        <v>23</v>
      </c>
    </row>
    <row r="2607" spans="1:10" x14ac:dyDescent="0.25">
      <c r="A2607" s="1">
        <v>781</v>
      </c>
      <c r="B2607" t="s">
        <v>26</v>
      </c>
      <c r="C2607">
        <v>635</v>
      </c>
      <c r="D2607">
        <v>1</v>
      </c>
      <c r="E2607" t="s">
        <v>27</v>
      </c>
      <c r="F2607" t="s">
        <v>28</v>
      </c>
      <c r="G2607" t="str">
        <f>"2025-08-29 09:23:22.828"</f>
        <v>2025-08-29 09:23:22.828</v>
      </c>
      <c r="H2607" t="s">
        <v>22</v>
      </c>
    </row>
    <row r="2608" spans="1:10" x14ac:dyDescent="0.25">
      <c r="A2608" s="1">
        <v>782</v>
      </c>
      <c r="B2608" t="s">
        <v>29</v>
      </c>
      <c r="C2608">
        <v>635</v>
      </c>
      <c r="D2608">
        <v>1</v>
      </c>
      <c r="E2608" t="s">
        <v>27</v>
      </c>
      <c r="F2608" t="s">
        <v>28</v>
      </c>
      <c r="G2608" t="str">
        <f>"2025-08-29 09:21:37.328"</f>
        <v>2025-08-29 09:21:37.328</v>
      </c>
      <c r="H2608" t="s">
        <v>22</v>
      </c>
      <c r="I2608">
        <v>9.33</v>
      </c>
      <c r="J2608" t="s">
        <v>37</v>
      </c>
    </row>
    <row r="2609" spans="1:10" x14ac:dyDescent="0.25">
      <c r="A2609" s="1">
        <v>783</v>
      </c>
      <c r="B2609" t="s">
        <v>19</v>
      </c>
      <c r="C2609">
        <v>700</v>
      </c>
      <c r="D2609">
        <v>0</v>
      </c>
      <c r="E2609" t="s">
        <v>24</v>
      </c>
      <c r="F2609" t="s">
        <v>24</v>
      </c>
      <c r="G2609" t="str">
        <f>"2025-08-28 15:09:06.767"</f>
        <v>2025-08-28 15:09:06.767</v>
      </c>
      <c r="H2609" t="s">
        <v>22</v>
      </c>
      <c r="I2609">
        <v>0</v>
      </c>
      <c r="J2609" t="s">
        <v>25</v>
      </c>
    </row>
    <row r="2610" spans="1:10" x14ac:dyDescent="0.25">
      <c r="A2610" s="1">
        <v>784</v>
      </c>
      <c r="B2610" t="s">
        <v>19</v>
      </c>
      <c r="C2610">
        <v>700</v>
      </c>
      <c r="D2610">
        <v>0</v>
      </c>
      <c r="E2610" t="s">
        <v>24</v>
      </c>
      <c r="F2610" t="s">
        <v>24</v>
      </c>
      <c r="G2610" t="str">
        <f>"2025-08-28 15:05:27.675"</f>
        <v>2025-08-28 15:05:27.675</v>
      </c>
      <c r="H2610" t="s">
        <v>22</v>
      </c>
    </row>
    <row r="2611" spans="1:10" x14ac:dyDescent="0.25">
      <c r="A2611" s="1">
        <v>785</v>
      </c>
      <c r="B2611" t="s">
        <v>19</v>
      </c>
      <c r="C2611">
        <v>700</v>
      </c>
      <c r="D2611">
        <v>0</v>
      </c>
      <c r="E2611" t="s">
        <v>24</v>
      </c>
      <c r="F2611" t="s">
        <v>24</v>
      </c>
      <c r="G2611" t="str">
        <f>"2025-08-28 13:58:29.672"</f>
        <v>2025-08-28 13:58:29.672</v>
      </c>
      <c r="H2611" t="s">
        <v>22</v>
      </c>
    </row>
    <row r="2612" spans="1:10" x14ac:dyDescent="0.25">
      <c r="A2612" s="1">
        <v>786</v>
      </c>
      <c r="B2612" t="s">
        <v>34</v>
      </c>
      <c r="C2612">
        <v>630</v>
      </c>
      <c r="D2612">
        <v>5</v>
      </c>
      <c r="E2612" t="s">
        <v>39</v>
      </c>
      <c r="F2612" t="s">
        <v>40</v>
      </c>
      <c r="G2612" t="str">
        <f>"2025-08-28 13:29:06.057"</f>
        <v>2025-08-28 13:29:06.057</v>
      </c>
      <c r="H2612" t="s">
        <v>41</v>
      </c>
      <c r="I2612">
        <v>0</v>
      </c>
      <c r="J2612" t="s">
        <v>23</v>
      </c>
    </row>
    <row r="2613" spans="1:10" x14ac:dyDescent="0.25">
      <c r="A2613" s="1">
        <v>787</v>
      </c>
      <c r="B2613" t="s">
        <v>19</v>
      </c>
      <c r="C2613">
        <v>700</v>
      </c>
      <c r="D2613">
        <v>0</v>
      </c>
      <c r="E2613" t="s">
        <v>24</v>
      </c>
      <c r="F2613" t="s">
        <v>24</v>
      </c>
      <c r="G2613" t="str">
        <f>"2025-08-28 10:06:58.679"</f>
        <v>2025-08-28 10:06:58.679</v>
      </c>
      <c r="H2613" t="s">
        <v>22</v>
      </c>
    </row>
    <row r="2614" spans="1:10" x14ac:dyDescent="0.25">
      <c r="A2614" s="1">
        <v>788</v>
      </c>
      <c r="B2614" t="s">
        <v>19</v>
      </c>
      <c r="C2614">
        <v>700</v>
      </c>
      <c r="D2614">
        <v>0</v>
      </c>
      <c r="E2614" t="s">
        <v>24</v>
      </c>
      <c r="F2614" t="s">
        <v>24</v>
      </c>
      <c r="G2614" t="str">
        <f>"2025-08-28 09:58:50.766"</f>
        <v>2025-08-28 09:58:50.766</v>
      </c>
      <c r="H2614" t="s">
        <v>22</v>
      </c>
    </row>
    <row r="2615" spans="1:10" x14ac:dyDescent="0.25">
      <c r="A2615" s="1">
        <v>789</v>
      </c>
      <c r="B2615" t="s">
        <v>19</v>
      </c>
      <c r="C2615">
        <v>700</v>
      </c>
      <c r="D2615">
        <v>0</v>
      </c>
      <c r="E2615" t="s">
        <v>24</v>
      </c>
      <c r="F2615" t="s">
        <v>24</v>
      </c>
      <c r="G2615" t="str">
        <f>"2025-08-28 09:20:46.709"</f>
        <v>2025-08-28 09:20:46.709</v>
      </c>
      <c r="H2615" t="s">
        <v>22</v>
      </c>
    </row>
    <row r="2616" spans="1:10" s="3" customFormat="1" x14ac:dyDescent="0.25">
      <c r="A2616" s="2">
        <v>790</v>
      </c>
      <c r="B2616" s="3" t="s">
        <v>26</v>
      </c>
      <c r="C2616" s="3">
        <v>647</v>
      </c>
      <c r="D2616" s="3">
        <v>1</v>
      </c>
      <c r="E2616" s="3" t="s">
        <v>35</v>
      </c>
      <c r="F2616" s="3" t="s">
        <v>36</v>
      </c>
      <c r="G2616" s="3" t="str">
        <f>"2025-08-28 05:09:52.148"</f>
        <v>2025-08-28 05:09:52.148</v>
      </c>
      <c r="H2616" s="3" t="s">
        <v>22</v>
      </c>
    </row>
    <row r="2617" spans="1:10" s="3" customFormat="1" x14ac:dyDescent="0.25">
      <c r="A2617" s="2">
        <v>791</v>
      </c>
      <c r="B2617" s="3" t="s">
        <v>29</v>
      </c>
      <c r="C2617" s="3">
        <v>647</v>
      </c>
      <c r="D2617" s="3">
        <v>1</v>
      </c>
      <c r="E2617" s="3" t="s">
        <v>35</v>
      </c>
      <c r="F2617" s="3" t="s">
        <v>36</v>
      </c>
      <c r="G2617" s="3" t="str">
        <f>"2025-08-28 05:09:47.549"</f>
        <v>2025-08-28 05:09:47.549</v>
      </c>
      <c r="H2617" s="3" t="s">
        <v>22</v>
      </c>
      <c r="I2617" s="3">
        <v>12.98</v>
      </c>
      <c r="J2617" s="3" t="s">
        <v>37</v>
      </c>
    </row>
    <row r="2618" spans="1:10" x14ac:dyDescent="0.25">
      <c r="A2618" s="1">
        <v>792</v>
      </c>
      <c r="B2618" t="s">
        <v>19</v>
      </c>
      <c r="C2618">
        <v>700</v>
      </c>
      <c r="D2618">
        <v>0</v>
      </c>
      <c r="E2618" t="s">
        <v>24</v>
      </c>
      <c r="F2618" t="s">
        <v>24</v>
      </c>
      <c r="G2618" t="str">
        <f>"2025-08-27 16:30:05.690"</f>
        <v>2025-08-27 16:30:05.690</v>
      </c>
      <c r="H2618" t="s">
        <v>22</v>
      </c>
      <c r="I2618">
        <v>0</v>
      </c>
      <c r="J2618" t="s">
        <v>25</v>
      </c>
    </row>
    <row r="2619" spans="1:10" x14ac:dyDescent="0.25">
      <c r="A2619" s="1">
        <v>793</v>
      </c>
      <c r="B2619" t="s">
        <v>26</v>
      </c>
      <c r="C2619">
        <v>635</v>
      </c>
      <c r="D2619">
        <v>1</v>
      </c>
      <c r="E2619" t="s">
        <v>27</v>
      </c>
      <c r="F2619" t="s">
        <v>28</v>
      </c>
      <c r="G2619" t="str">
        <f>"2025-08-27 14:18:13.094"</f>
        <v>2025-08-27 14:18:13.094</v>
      </c>
      <c r="H2619" t="s">
        <v>22</v>
      </c>
    </row>
    <row r="2620" spans="1:10" x14ac:dyDescent="0.25">
      <c r="A2620" s="1">
        <v>794</v>
      </c>
      <c r="B2620" t="s">
        <v>29</v>
      </c>
      <c r="C2620">
        <v>635</v>
      </c>
      <c r="D2620">
        <v>1</v>
      </c>
      <c r="E2620" t="s">
        <v>27</v>
      </c>
      <c r="F2620" t="s">
        <v>28</v>
      </c>
      <c r="G2620" t="str">
        <f>"2025-08-27 14:14:45.194"</f>
        <v>2025-08-27 14:14:45.194</v>
      </c>
      <c r="H2620" t="s">
        <v>22</v>
      </c>
      <c r="I2620">
        <v>5</v>
      </c>
      <c r="J2620" t="s">
        <v>30</v>
      </c>
    </row>
    <row r="2621" spans="1:10" x14ac:dyDescent="0.25">
      <c r="A2621" s="1">
        <v>795</v>
      </c>
      <c r="B2621" t="s">
        <v>19</v>
      </c>
      <c r="C2621">
        <v>700</v>
      </c>
      <c r="D2621">
        <v>0</v>
      </c>
      <c r="E2621" t="s">
        <v>24</v>
      </c>
      <c r="F2621" t="s">
        <v>24</v>
      </c>
      <c r="G2621" t="str">
        <f>"2025-08-27 12:49:40.686"</f>
        <v>2025-08-27 12:49:40.686</v>
      </c>
      <c r="H2621" t="s">
        <v>22</v>
      </c>
      <c r="I2621">
        <v>0</v>
      </c>
      <c r="J2621" t="s">
        <v>25</v>
      </c>
    </row>
    <row r="2622" spans="1:10" x14ac:dyDescent="0.25">
      <c r="A2622" s="1">
        <v>796</v>
      </c>
      <c r="B2622" t="s">
        <v>34</v>
      </c>
      <c r="C2622">
        <v>630</v>
      </c>
      <c r="D2622">
        <v>5</v>
      </c>
      <c r="E2622" t="s">
        <v>39</v>
      </c>
      <c r="F2622" t="s">
        <v>40</v>
      </c>
      <c r="G2622" t="str">
        <f>"2025-08-27 12:18:09.749"</f>
        <v>2025-08-27 12:18:09.749</v>
      </c>
      <c r="H2622" t="s">
        <v>41</v>
      </c>
      <c r="I2622">
        <v>0</v>
      </c>
      <c r="J2622" t="s">
        <v>23</v>
      </c>
    </row>
    <row r="2623" spans="1:10" x14ac:dyDescent="0.25">
      <c r="A2623" s="1">
        <v>797</v>
      </c>
      <c r="B2623" t="s">
        <v>19</v>
      </c>
      <c r="C2623">
        <v>700</v>
      </c>
      <c r="D2623">
        <v>0</v>
      </c>
      <c r="E2623" t="s">
        <v>24</v>
      </c>
      <c r="F2623" t="s">
        <v>24</v>
      </c>
      <c r="G2623" t="str">
        <f>"2025-08-27 10:58:28.687"</f>
        <v>2025-08-27 10:58:28.687</v>
      </c>
      <c r="H2623" t="s">
        <v>22</v>
      </c>
      <c r="I2623">
        <v>0</v>
      </c>
      <c r="J2623" t="s">
        <v>25</v>
      </c>
    </row>
    <row r="2624" spans="1:10" x14ac:dyDescent="0.25">
      <c r="A2624" s="1">
        <v>798</v>
      </c>
      <c r="B2624" t="s">
        <v>34</v>
      </c>
      <c r="C2624">
        <v>630</v>
      </c>
      <c r="D2624">
        <v>5</v>
      </c>
      <c r="E2624" t="s">
        <v>39</v>
      </c>
      <c r="F2624" t="s">
        <v>40</v>
      </c>
      <c r="G2624" t="str">
        <f>"2025-08-27 10:53:18.251"</f>
        <v>2025-08-27 10:53:18.251</v>
      </c>
      <c r="H2624" t="s">
        <v>41</v>
      </c>
      <c r="I2624">
        <v>0</v>
      </c>
      <c r="J2624" t="s">
        <v>23</v>
      </c>
    </row>
    <row r="2625" spans="1:10" x14ac:dyDescent="0.25">
      <c r="A2625" s="1">
        <v>799</v>
      </c>
      <c r="B2625" t="s">
        <v>26</v>
      </c>
      <c r="C2625">
        <v>635</v>
      </c>
      <c r="D2625">
        <v>1</v>
      </c>
      <c r="E2625" t="s">
        <v>27</v>
      </c>
      <c r="F2625" t="s">
        <v>28</v>
      </c>
      <c r="G2625" t="str">
        <f>"2025-08-26 17:03:43.503"</f>
        <v>2025-08-26 17:03:43.503</v>
      </c>
      <c r="H2625" t="s">
        <v>22</v>
      </c>
    </row>
    <row r="2626" spans="1:10" x14ac:dyDescent="0.25">
      <c r="A2626" s="1">
        <v>800</v>
      </c>
      <c r="B2626" t="s">
        <v>29</v>
      </c>
      <c r="C2626">
        <v>635</v>
      </c>
      <c r="D2626">
        <v>1</v>
      </c>
      <c r="E2626" t="s">
        <v>27</v>
      </c>
      <c r="F2626" t="s">
        <v>28</v>
      </c>
      <c r="G2626" t="str">
        <f>"2025-08-26 17:00:40.503"</f>
        <v>2025-08-26 17:00:40.503</v>
      </c>
      <c r="H2626" t="s">
        <v>22</v>
      </c>
      <c r="I2626">
        <v>7.7</v>
      </c>
      <c r="J2626" t="s">
        <v>37</v>
      </c>
    </row>
    <row r="2627" spans="1:10" x14ac:dyDescent="0.25">
      <c r="A2627" s="1">
        <v>801</v>
      </c>
      <c r="B2627" t="s">
        <v>19</v>
      </c>
      <c r="C2627">
        <v>700</v>
      </c>
      <c r="D2627">
        <v>0</v>
      </c>
      <c r="E2627" t="s">
        <v>24</v>
      </c>
      <c r="F2627" t="s">
        <v>24</v>
      </c>
      <c r="G2627" t="str">
        <f>"2025-08-26 13:38:02.683"</f>
        <v>2025-08-26 13:38:02.683</v>
      </c>
      <c r="H2627" t="s">
        <v>22</v>
      </c>
      <c r="I2627">
        <v>0</v>
      </c>
      <c r="J2627" t="s">
        <v>25</v>
      </c>
    </row>
    <row r="2628" spans="1:10" x14ac:dyDescent="0.25">
      <c r="A2628" s="1">
        <v>802</v>
      </c>
      <c r="B2628" t="s">
        <v>34</v>
      </c>
      <c r="C2628">
        <v>630</v>
      </c>
      <c r="D2628">
        <v>5</v>
      </c>
      <c r="E2628" t="s">
        <v>39</v>
      </c>
      <c r="F2628" t="s">
        <v>40</v>
      </c>
      <c r="G2628" t="str">
        <f>"2025-08-26 13:20:01.546"</f>
        <v>2025-08-26 13:20:01.546</v>
      </c>
      <c r="H2628" t="s">
        <v>41</v>
      </c>
      <c r="I2628">
        <v>0</v>
      </c>
      <c r="J2628" t="s">
        <v>23</v>
      </c>
    </row>
    <row r="2629" spans="1:10" x14ac:dyDescent="0.25">
      <c r="A2629" s="1">
        <v>803</v>
      </c>
      <c r="B2629" t="s">
        <v>19</v>
      </c>
      <c r="C2629">
        <v>706</v>
      </c>
      <c r="D2629">
        <v>3</v>
      </c>
      <c r="E2629" t="s">
        <v>20</v>
      </c>
      <c r="F2629" t="s">
        <v>48</v>
      </c>
      <c r="G2629" t="str">
        <f>"2025-08-26 13:14:58.074"</f>
        <v>2025-08-26 13:14:58.074</v>
      </c>
      <c r="H2629" t="s">
        <v>22</v>
      </c>
      <c r="I2629">
        <v>0</v>
      </c>
      <c r="J2629" t="s">
        <v>23</v>
      </c>
    </row>
    <row r="2630" spans="1:10" x14ac:dyDescent="0.25">
      <c r="A2630" s="1">
        <v>804</v>
      </c>
      <c r="B2630" t="s">
        <v>19</v>
      </c>
      <c r="C2630">
        <v>700</v>
      </c>
      <c r="D2630">
        <v>0</v>
      </c>
      <c r="E2630" t="s">
        <v>24</v>
      </c>
      <c r="F2630" t="s">
        <v>24</v>
      </c>
      <c r="G2630" t="str">
        <f>"2025-08-26 13:12:20.674"</f>
        <v>2025-08-26 13:12:20.674</v>
      </c>
      <c r="H2630" t="s">
        <v>22</v>
      </c>
      <c r="I2630">
        <v>0</v>
      </c>
      <c r="J2630" t="s">
        <v>25</v>
      </c>
    </row>
    <row r="2631" spans="1:10" x14ac:dyDescent="0.25">
      <c r="A2631" s="1">
        <v>805</v>
      </c>
      <c r="B2631" t="s">
        <v>19</v>
      </c>
      <c r="C2631">
        <v>706</v>
      </c>
      <c r="D2631">
        <v>2</v>
      </c>
      <c r="E2631" t="s">
        <v>20</v>
      </c>
      <c r="F2631" t="s">
        <v>54</v>
      </c>
      <c r="G2631" t="str">
        <f>"2025-08-26 12:58:39.508"</f>
        <v>2025-08-26 12:58:39.508</v>
      </c>
      <c r="H2631" t="s">
        <v>22</v>
      </c>
      <c r="I2631">
        <v>0</v>
      </c>
      <c r="J2631" t="s">
        <v>23</v>
      </c>
    </row>
    <row r="2632" spans="1:10" x14ac:dyDescent="0.25">
      <c r="A2632" s="1">
        <v>806</v>
      </c>
      <c r="B2632" t="s">
        <v>19</v>
      </c>
      <c r="C2632">
        <v>700</v>
      </c>
      <c r="D2632">
        <v>0</v>
      </c>
      <c r="E2632" t="s">
        <v>24</v>
      </c>
      <c r="F2632" t="s">
        <v>24</v>
      </c>
      <c r="G2632" t="str">
        <f>"2025-08-26 12:57:54.718"</f>
        <v>2025-08-26 12:57:54.718</v>
      </c>
      <c r="H2632" t="s">
        <v>22</v>
      </c>
      <c r="I2632">
        <v>0</v>
      </c>
      <c r="J2632" t="s">
        <v>25</v>
      </c>
    </row>
    <row r="2633" spans="1:10" x14ac:dyDescent="0.25">
      <c r="A2633" s="1">
        <v>807</v>
      </c>
      <c r="B2633" t="s">
        <v>34</v>
      </c>
      <c r="C2633">
        <v>630</v>
      </c>
      <c r="D2633">
        <v>5</v>
      </c>
      <c r="E2633" t="s">
        <v>39</v>
      </c>
      <c r="F2633" t="s">
        <v>40</v>
      </c>
      <c r="G2633" t="str">
        <f>"2025-08-26 12:14:14.961"</f>
        <v>2025-08-26 12:14:14.961</v>
      </c>
      <c r="H2633" t="s">
        <v>41</v>
      </c>
      <c r="I2633">
        <v>0</v>
      </c>
      <c r="J2633" t="s">
        <v>23</v>
      </c>
    </row>
    <row r="2634" spans="1:10" s="3" customFormat="1" x14ac:dyDescent="0.25">
      <c r="A2634" s="2">
        <v>808</v>
      </c>
      <c r="B2634" s="3" t="s">
        <v>26</v>
      </c>
      <c r="C2634" s="3">
        <v>647</v>
      </c>
      <c r="D2634" s="3">
        <v>1</v>
      </c>
      <c r="E2634" s="3" t="s">
        <v>35</v>
      </c>
      <c r="F2634" s="3" t="s">
        <v>36</v>
      </c>
      <c r="G2634" s="3" t="str">
        <f>"2025-08-26 02:08:15.961"</f>
        <v>2025-08-26 02:08:15.961</v>
      </c>
      <c r="H2634" s="3" t="s">
        <v>22</v>
      </c>
    </row>
    <row r="2635" spans="1:10" s="3" customFormat="1" x14ac:dyDescent="0.25">
      <c r="A2635" s="2">
        <v>809</v>
      </c>
      <c r="B2635" s="3" t="s">
        <v>29</v>
      </c>
      <c r="C2635" s="3">
        <v>647</v>
      </c>
      <c r="D2635" s="3">
        <v>1</v>
      </c>
      <c r="E2635" s="3" t="s">
        <v>35</v>
      </c>
      <c r="F2635" s="3" t="s">
        <v>36</v>
      </c>
      <c r="G2635" s="3" t="str">
        <f>"2025-08-26 02:08:11.261"</f>
        <v>2025-08-26 02:08:11.261</v>
      </c>
      <c r="H2635" s="3" t="s">
        <v>22</v>
      </c>
      <c r="I2635" s="3">
        <v>13.89</v>
      </c>
      <c r="J2635" s="3" t="s">
        <v>37</v>
      </c>
    </row>
    <row r="2636" spans="1:10" s="3" customFormat="1" x14ac:dyDescent="0.25">
      <c r="A2636" s="2">
        <v>810</v>
      </c>
      <c r="B2636" s="3" t="s">
        <v>26</v>
      </c>
      <c r="C2636" s="3">
        <v>647</v>
      </c>
      <c r="D2636" s="3">
        <v>1</v>
      </c>
      <c r="E2636" s="3" t="s">
        <v>35</v>
      </c>
      <c r="F2636" s="3" t="s">
        <v>36</v>
      </c>
      <c r="G2636" s="3" t="str">
        <f>"2025-08-26 01:17:38.061"</f>
        <v>2025-08-26 01:17:38.061</v>
      </c>
      <c r="H2636" s="3" t="s">
        <v>22</v>
      </c>
    </row>
    <row r="2637" spans="1:10" s="3" customFormat="1" x14ac:dyDescent="0.25">
      <c r="A2637" s="2">
        <v>811</v>
      </c>
      <c r="B2637" s="3" t="s">
        <v>29</v>
      </c>
      <c r="C2637" s="3">
        <v>647</v>
      </c>
      <c r="D2637" s="3">
        <v>1</v>
      </c>
      <c r="E2637" s="3" t="s">
        <v>35</v>
      </c>
      <c r="F2637" s="3" t="s">
        <v>36</v>
      </c>
      <c r="G2637" s="3" t="str">
        <f>"2025-08-26 01:17:36.761"</f>
        <v>2025-08-26 01:17:36.761</v>
      </c>
      <c r="H2637" s="3" t="s">
        <v>22</v>
      </c>
      <c r="I2637" s="3">
        <v>18.72</v>
      </c>
      <c r="J2637" s="3" t="s">
        <v>37</v>
      </c>
    </row>
    <row r="2638" spans="1:10" x14ac:dyDescent="0.25">
      <c r="A2638" s="1">
        <v>812</v>
      </c>
      <c r="B2638" t="s">
        <v>19</v>
      </c>
      <c r="C2638">
        <v>700</v>
      </c>
      <c r="D2638">
        <v>0</v>
      </c>
      <c r="E2638" t="s">
        <v>24</v>
      </c>
      <c r="F2638" t="s">
        <v>24</v>
      </c>
      <c r="G2638" t="str">
        <f>"2025-08-25 16:04:09.680"</f>
        <v>2025-08-25 16:04:09.680</v>
      </c>
      <c r="H2638" t="s">
        <v>22</v>
      </c>
    </row>
    <row r="2639" spans="1:10" x14ac:dyDescent="0.25">
      <c r="A2639" s="1">
        <v>813</v>
      </c>
      <c r="B2639" t="s">
        <v>19</v>
      </c>
      <c r="C2639">
        <v>700</v>
      </c>
      <c r="D2639">
        <v>0</v>
      </c>
      <c r="E2639" t="s">
        <v>24</v>
      </c>
      <c r="F2639" t="s">
        <v>24</v>
      </c>
      <c r="G2639" t="str">
        <f>"2025-08-25 13:50:08.673"</f>
        <v>2025-08-25 13:50:08.673</v>
      </c>
      <c r="H2639" t="s">
        <v>22</v>
      </c>
    </row>
    <row r="2640" spans="1:10" x14ac:dyDescent="0.25">
      <c r="A2640" s="1">
        <v>814</v>
      </c>
      <c r="B2640" t="s">
        <v>34</v>
      </c>
      <c r="C2640">
        <v>630</v>
      </c>
      <c r="D2640">
        <v>5</v>
      </c>
      <c r="E2640" t="s">
        <v>39</v>
      </c>
      <c r="F2640" t="s">
        <v>40</v>
      </c>
      <c r="G2640" t="str">
        <f>"2025-08-25 13:26:47.205"</f>
        <v>2025-08-25 13:26:47.205</v>
      </c>
      <c r="H2640" t="s">
        <v>41</v>
      </c>
      <c r="I2640">
        <v>0</v>
      </c>
      <c r="J2640" t="s">
        <v>23</v>
      </c>
    </row>
    <row r="2641" spans="1:10" s="3" customFormat="1" x14ac:dyDescent="0.25">
      <c r="A2641" s="2">
        <v>815</v>
      </c>
      <c r="B2641" s="3" t="s">
        <v>26</v>
      </c>
      <c r="C2641" s="3">
        <v>647</v>
      </c>
      <c r="D2641" s="3">
        <v>1</v>
      </c>
      <c r="E2641" s="3" t="s">
        <v>35</v>
      </c>
      <c r="F2641" s="3" t="s">
        <v>36</v>
      </c>
      <c r="G2641" s="3" t="str">
        <f>"2025-08-25 02:20:37.105"</f>
        <v>2025-08-25 02:20:37.105</v>
      </c>
      <c r="H2641" s="3" t="s">
        <v>22</v>
      </c>
    </row>
    <row r="2642" spans="1:10" s="3" customFormat="1" x14ac:dyDescent="0.25">
      <c r="A2642" s="2">
        <v>816</v>
      </c>
      <c r="B2642" s="3" t="s">
        <v>29</v>
      </c>
      <c r="C2642" s="3">
        <v>647</v>
      </c>
      <c r="D2642" s="3">
        <v>1</v>
      </c>
      <c r="E2642" s="3" t="s">
        <v>35</v>
      </c>
      <c r="F2642" s="3" t="s">
        <v>36</v>
      </c>
      <c r="G2642" s="3" t="str">
        <f>"2025-08-25 02:20:33.005"</f>
        <v>2025-08-25 02:20:33.005</v>
      </c>
      <c r="H2642" s="3" t="s">
        <v>22</v>
      </c>
      <c r="I2642" s="3">
        <v>11.15</v>
      </c>
      <c r="J2642" s="3" t="s">
        <v>37</v>
      </c>
    </row>
    <row r="2643" spans="1:10" x14ac:dyDescent="0.25">
      <c r="A2643" s="1">
        <v>817</v>
      </c>
      <c r="B2643" t="s">
        <v>26</v>
      </c>
      <c r="C2643">
        <v>635</v>
      </c>
      <c r="D2643">
        <v>1</v>
      </c>
      <c r="E2643" t="s">
        <v>27</v>
      </c>
      <c r="F2643" t="s">
        <v>28</v>
      </c>
      <c r="G2643" t="str">
        <f>"2025-08-24 17:26:04.557"</f>
        <v>2025-08-24 17:26:04.557</v>
      </c>
      <c r="H2643" t="s">
        <v>22</v>
      </c>
    </row>
    <row r="2644" spans="1:10" x14ac:dyDescent="0.25">
      <c r="A2644" s="1">
        <v>818</v>
      </c>
      <c r="B2644" t="s">
        <v>29</v>
      </c>
      <c r="C2644">
        <v>635</v>
      </c>
      <c r="D2644">
        <v>1</v>
      </c>
      <c r="E2644" t="s">
        <v>27</v>
      </c>
      <c r="F2644" t="s">
        <v>28</v>
      </c>
      <c r="G2644" t="str">
        <f>"2025-08-24 17:23:20.557"</f>
        <v>2025-08-24 17:23:20.557</v>
      </c>
      <c r="H2644" t="s">
        <v>22</v>
      </c>
      <c r="I2644">
        <v>3.66</v>
      </c>
      <c r="J2644" t="s">
        <v>30</v>
      </c>
    </row>
    <row r="2645" spans="1:10" x14ac:dyDescent="0.25">
      <c r="A2645" s="1">
        <v>819</v>
      </c>
      <c r="B2645" t="s">
        <v>26</v>
      </c>
      <c r="C2645">
        <v>630</v>
      </c>
      <c r="D2645">
        <v>5</v>
      </c>
      <c r="E2645" t="s">
        <v>39</v>
      </c>
      <c r="F2645" t="s">
        <v>40</v>
      </c>
      <c r="G2645" t="str">
        <f>"2025-08-23 17:14:23.505"</f>
        <v>2025-08-23 17:14:23.505</v>
      </c>
      <c r="H2645" t="s">
        <v>41</v>
      </c>
    </row>
    <row r="2646" spans="1:10" x14ac:dyDescent="0.25">
      <c r="A2646" s="1">
        <v>820</v>
      </c>
      <c r="B2646" t="s">
        <v>19</v>
      </c>
      <c r="C2646">
        <v>706</v>
      </c>
      <c r="D2646">
        <v>4</v>
      </c>
      <c r="E2646" t="s">
        <v>20</v>
      </c>
      <c r="F2646" t="s">
        <v>21</v>
      </c>
      <c r="G2646" t="str">
        <f>"2025-08-23 17:13:53.518"</f>
        <v>2025-08-23 17:13:53.518</v>
      </c>
      <c r="H2646" t="s">
        <v>22</v>
      </c>
      <c r="I2646">
        <v>0</v>
      </c>
      <c r="J2646" t="s">
        <v>23</v>
      </c>
    </row>
    <row r="2647" spans="1:10" x14ac:dyDescent="0.25">
      <c r="A2647" s="1">
        <v>821</v>
      </c>
      <c r="B2647" t="s">
        <v>34</v>
      </c>
      <c r="C2647">
        <v>630</v>
      </c>
      <c r="D2647">
        <v>5</v>
      </c>
      <c r="E2647" t="s">
        <v>39</v>
      </c>
      <c r="F2647" t="s">
        <v>40</v>
      </c>
      <c r="G2647" t="str">
        <f>"2025-08-23 16:59:52.405"</f>
        <v>2025-08-23 16:59:52.405</v>
      </c>
      <c r="H2647" t="s">
        <v>41</v>
      </c>
      <c r="I2647">
        <v>0</v>
      </c>
      <c r="J2647" t="s">
        <v>23</v>
      </c>
    </row>
    <row r="2648" spans="1:10" x14ac:dyDescent="0.25">
      <c r="A2648" s="1">
        <v>822</v>
      </c>
      <c r="B2648" t="s">
        <v>19</v>
      </c>
      <c r="C2648">
        <v>706</v>
      </c>
      <c r="D2648">
        <v>3</v>
      </c>
      <c r="E2648" t="s">
        <v>20</v>
      </c>
      <c r="F2648" t="s">
        <v>48</v>
      </c>
      <c r="G2648" t="str">
        <f>"2025-08-23 16:54:49.418"</f>
        <v>2025-08-23 16:54:49.418</v>
      </c>
      <c r="H2648" t="s">
        <v>22</v>
      </c>
      <c r="I2648">
        <v>0</v>
      </c>
      <c r="J2648" t="s">
        <v>23</v>
      </c>
    </row>
    <row r="2649" spans="1:10" x14ac:dyDescent="0.25">
      <c r="A2649" s="1">
        <v>823</v>
      </c>
      <c r="B2649" t="s">
        <v>26</v>
      </c>
      <c r="C2649">
        <v>635</v>
      </c>
      <c r="D2649">
        <v>1</v>
      </c>
      <c r="E2649" t="s">
        <v>27</v>
      </c>
      <c r="F2649" t="s">
        <v>28</v>
      </c>
      <c r="G2649" t="str">
        <f>"2025-08-23 05:57:44.057"</f>
        <v>2025-08-23 05:57:44.057</v>
      </c>
      <c r="H2649" t="s">
        <v>22</v>
      </c>
    </row>
    <row r="2650" spans="1:10" x14ac:dyDescent="0.25">
      <c r="A2650" s="1">
        <v>824</v>
      </c>
      <c r="B2650" t="s">
        <v>29</v>
      </c>
      <c r="C2650">
        <v>635</v>
      </c>
      <c r="D2650">
        <v>1</v>
      </c>
      <c r="E2650" t="s">
        <v>27</v>
      </c>
      <c r="F2650" t="s">
        <v>28</v>
      </c>
      <c r="G2650" t="str">
        <f>"2025-08-23 05:42:04.657"</f>
        <v>2025-08-23 05:42:04.657</v>
      </c>
      <c r="H2650" t="s">
        <v>22</v>
      </c>
      <c r="I2650">
        <v>7.64</v>
      </c>
      <c r="J2650" t="s">
        <v>30</v>
      </c>
    </row>
    <row r="2651" spans="1:10" s="3" customFormat="1" x14ac:dyDescent="0.25">
      <c r="A2651" s="2">
        <v>825</v>
      </c>
      <c r="B2651" s="3" t="s">
        <v>26</v>
      </c>
      <c r="C2651" s="3">
        <v>647</v>
      </c>
      <c r="D2651" s="3">
        <v>1</v>
      </c>
      <c r="E2651" s="3" t="s">
        <v>35</v>
      </c>
      <c r="F2651" s="3" t="s">
        <v>36</v>
      </c>
      <c r="G2651" s="3" t="str">
        <f>"2025-08-22 20:43:41.505"</f>
        <v>2025-08-22 20:43:41.505</v>
      </c>
      <c r="H2651" s="3" t="s">
        <v>22</v>
      </c>
    </row>
    <row r="2652" spans="1:10" s="3" customFormat="1" x14ac:dyDescent="0.25">
      <c r="A2652" s="2">
        <v>826</v>
      </c>
      <c r="B2652" s="3" t="s">
        <v>29</v>
      </c>
      <c r="C2652" s="3">
        <v>647</v>
      </c>
      <c r="D2652" s="3">
        <v>1</v>
      </c>
      <c r="E2652" s="3" t="s">
        <v>35</v>
      </c>
      <c r="F2652" s="3" t="s">
        <v>36</v>
      </c>
      <c r="G2652" s="3" t="str">
        <f>"2025-08-22 20:43:36.205"</f>
        <v>2025-08-22 20:43:36.205</v>
      </c>
      <c r="H2652" s="3" t="s">
        <v>22</v>
      </c>
      <c r="I2652" s="3">
        <v>11.65</v>
      </c>
      <c r="J2652" s="3" t="s">
        <v>37</v>
      </c>
    </row>
    <row r="2653" spans="1:10" x14ac:dyDescent="0.25">
      <c r="A2653" s="1">
        <v>827</v>
      </c>
      <c r="B2653" t="s">
        <v>26</v>
      </c>
      <c r="C2653">
        <v>630</v>
      </c>
      <c r="D2653">
        <v>5</v>
      </c>
      <c r="E2653" t="s">
        <v>39</v>
      </c>
      <c r="F2653" t="s">
        <v>40</v>
      </c>
      <c r="G2653" t="str">
        <f>"2025-08-22 13:58:24.905"</f>
        <v>2025-08-22 13:58:24.905</v>
      </c>
      <c r="H2653" t="s">
        <v>41</v>
      </c>
    </row>
    <row r="2654" spans="1:10" x14ac:dyDescent="0.25">
      <c r="A2654" s="1">
        <v>828</v>
      </c>
      <c r="B2654" t="s">
        <v>19</v>
      </c>
      <c r="C2654">
        <v>706</v>
      </c>
      <c r="D2654">
        <v>4</v>
      </c>
      <c r="E2654" t="s">
        <v>20</v>
      </c>
      <c r="F2654" t="s">
        <v>21</v>
      </c>
      <c r="G2654" t="str">
        <f>"2025-08-22 13:57:54.928"</f>
        <v>2025-08-22 13:57:54.928</v>
      </c>
      <c r="H2654" t="s">
        <v>22</v>
      </c>
      <c r="I2654">
        <v>0</v>
      </c>
      <c r="J2654" t="s">
        <v>23</v>
      </c>
    </row>
    <row r="2655" spans="1:10" x14ac:dyDescent="0.25">
      <c r="A2655" s="1">
        <v>829</v>
      </c>
      <c r="B2655" t="s">
        <v>34</v>
      </c>
      <c r="C2655">
        <v>630</v>
      </c>
      <c r="D2655">
        <v>5</v>
      </c>
      <c r="E2655" t="s">
        <v>39</v>
      </c>
      <c r="F2655" t="s">
        <v>40</v>
      </c>
      <c r="G2655" t="str">
        <f>"2025-08-22 13:20:30.406"</f>
        <v>2025-08-22 13:20:30.406</v>
      </c>
      <c r="H2655" t="s">
        <v>41</v>
      </c>
      <c r="I2655">
        <v>0</v>
      </c>
      <c r="J2655" t="s">
        <v>23</v>
      </c>
    </row>
    <row r="2656" spans="1:10" x14ac:dyDescent="0.25">
      <c r="A2656" s="1">
        <v>830</v>
      </c>
      <c r="B2656" t="s">
        <v>19</v>
      </c>
      <c r="C2656">
        <v>700</v>
      </c>
      <c r="D2656">
        <v>0</v>
      </c>
      <c r="E2656" t="s">
        <v>24</v>
      </c>
      <c r="F2656" t="s">
        <v>24</v>
      </c>
      <c r="G2656" t="str">
        <f>"2025-08-22 13:15:27.678"</f>
        <v>2025-08-22 13:15:27.678</v>
      </c>
      <c r="H2656" t="s">
        <v>22</v>
      </c>
      <c r="I2656">
        <v>0</v>
      </c>
      <c r="J2656" t="s">
        <v>25</v>
      </c>
    </row>
    <row r="2657" spans="1:10" x14ac:dyDescent="0.25">
      <c r="A2657" s="1">
        <v>831</v>
      </c>
      <c r="B2657" t="s">
        <v>26</v>
      </c>
      <c r="C2657">
        <v>635</v>
      </c>
      <c r="D2657">
        <v>1</v>
      </c>
      <c r="E2657" t="s">
        <v>27</v>
      </c>
      <c r="F2657" t="s">
        <v>28</v>
      </c>
      <c r="G2657" t="str">
        <f>"2025-08-21 12:29:59.744"</f>
        <v>2025-08-21 12:29:59.744</v>
      </c>
      <c r="H2657" t="s">
        <v>22</v>
      </c>
    </row>
    <row r="2658" spans="1:10" x14ac:dyDescent="0.25">
      <c r="A2658" s="1">
        <v>832</v>
      </c>
      <c r="B2658" t="s">
        <v>29</v>
      </c>
      <c r="C2658">
        <v>635</v>
      </c>
      <c r="D2658">
        <v>1</v>
      </c>
      <c r="E2658" t="s">
        <v>27</v>
      </c>
      <c r="F2658" t="s">
        <v>28</v>
      </c>
      <c r="G2658" t="str">
        <f>"2025-08-21 12:27:13.744"</f>
        <v>2025-08-21 12:27:13.744</v>
      </c>
      <c r="H2658" t="s">
        <v>22</v>
      </c>
      <c r="I2658">
        <v>4.74</v>
      </c>
      <c r="J2658" t="s">
        <v>37</v>
      </c>
    </row>
    <row r="2659" spans="1:10" x14ac:dyDescent="0.25">
      <c r="A2659" s="1">
        <v>833</v>
      </c>
      <c r="B2659" t="s">
        <v>26</v>
      </c>
      <c r="C2659">
        <v>635</v>
      </c>
      <c r="D2659">
        <v>1</v>
      </c>
      <c r="E2659" t="s">
        <v>27</v>
      </c>
      <c r="F2659" t="s">
        <v>28</v>
      </c>
      <c r="G2659" t="str">
        <f>"2025-08-21 10:36:12.944"</f>
        <v>2025-08-21 10:36:12.944</v>
      </c>
      <c r="H2659" t="s">
        <v>22</v>
      </c>
    </row>
    <row r="2660" spans="1:10" x14ac:dyDescent="0.25">
      <c r="A2660" s="1">
        <v>834</v>
      </c>
      <c r="B2660" t="s">
        <v>29</v>
      </c>
      <c r="C2660">
        <v>635</v>
      </c>
      <c r="D2660">
        <v>1</v>
      </c>
      <c r="E2660" t="s">
        <v>27</v>
      </c>
      <c r="F2660" t="s">
        <v>28</v>
      </c>
      <c r="G2660" t="str">
        <f>"2025-08-21 10:33:32.444"</f>
        <v>2025-08-21 10:33:32.444</v>
      </c>
      <c r="H2660" t="s">
        <v>22</v>
      </c>
      <c r="I2660">
        <v>6.58</v>
      </c>
      <c r="J2660" t="s">
        <v>30</v>
      </c>
    </row>
    <row r="2661" spans="1:10" s="3" customFormat="1" x14ac:dyDescent="0.25">
      <c r="A2661" s="2">
        <v>835</v>
      </c>
      <c r="B2661" s="3" t="s">
        <v>26</v>
      </c>
      <c r="C2661" s="3">
        <v>647</v>
      </c>
      <c r="D2661" s="3">
        <v>1</v>
      </c>
      <c r="E2661" s="3" t="s">
        <v>35</v>
      </c>
      <c r="F2661" s="3" t="s">
        <v>36</v>
      </c>
      <c r="G2661" s="3" t="str">
        <f>"2025-08-21 06:30:51.044"</f>
        <v>2025-08-21 06:30:51.044</v>
      </c>
      <c r="H2661" s="3" t="s">
        <v>22</v>
      </c>
    </row>
    <row r="2662" spans="1:10" s="3" customFormat="1" x14ac:dyDescent="0.25">
      <c r="A2662" s="2">
        <v>836</v>
      </c>
      <c r="B2662" s="3" t="s">
        <v>29</v>
      </c>
      <c r="C2662" s="3">
        <v>647</v>
      </c>
      <c r="D2662" s="3">
        <v>1</v>
      </c>
      <c r="E2662" s="3" t="s">
        <v>35</v>
      </c>
      <c r="F2662" s="3" t="s">
        <v>36</v>
      </c>
      <c r="G2662" s="3" t="str">
        <f>"2025-08-21 06:30:47.745"</f>
        <v>2025-08-21 06:30:47.745</v>
      </c>
      <c r="H2662" s="3" t="s">
        <v>22</v>
      </c>
      <c r="I2662" s="3">
        <v>8.7799999999999994</v>
      </c>
      <c r="J2662" s="3" t="s">
        <v>37</v>
      </c>
    </row>
    <row r="2663" spans="1:10" x14ac:dyDescent="0.25">
      <c r="A2663" s="1">
        <v>837</v>
      </c>
      <c r="B2663" t="s">
        <v>26</v>
      </c>
      <c r="C2663">
        <v>98</v>
      </c>
      <c r="D2663">
        <v>1</v>
      </c>
      <c r="E2663" t="s">
        <v>52</v>
      </c>
      <c r="F2663" t="s">
        <v>53</v>
      </c>
      <c r="G2663" t="str">
        <f>"2025-08-21 03:56:49.856"</f>
        <v>2025-08-21 03:56:49.856</v>
      </c>
      <c r="H2663" t="s">
        <v>22</v>
      </c>
    </row>
    <row r="2664" spans="1:10" x14ac:dyDescent="0.25">
      <c r="A2664" s="1">
        <v>838</v>
      </c>
      <c r="B2664" t="s">
        <v>29</v>
      </c>
      <c r="C2664">
        <v>98</v>
      </c>
      <c r="D2664">
        <v>1</v>
      </c>
      <c r="E2664" t="s">
        <v>52</v>
      </c>
      <c r="F2664" t="s">
        <v>53</v>
      </c>
      <c r="G2664" t="str">
        <f>"2025-08-21 03:56:48.757"</f>
        <v>2025-08-21 03:56:48.757</v>
      </c>
      <c r="H2664" t="s">
        <v>22</v>
      </c>
      <c r="I2664">
        <v>0</v>
      </c>
      <c r="J2664" t="s">
        <v>38</v>
      </c>
    </row>
    <row r="2665" spans="1:10" x14ac:dyDescent="0.25">
      <c r="A2665" s="1">
        <v>839</v>
      </c>
      <c r="B2665" t="s">
        <v>19</v>
      </c>
      <c r="C2665">
        <v>700</v>
      </c>
      <c r="D2665">
        <v>0</v>
      </c>
      <c r="E2665" t="s">
        <v>24</v>
      </c>
      <c r="F2665" t="s">
        <v>24</v>
      </c>
      <c r="G2665" t="str">
        <f>"2025-08-21 03:31:38.677"</f>
        <v>2025-08-21 03:31:38.677</v>
      </c>
      <c r="H2665" t="s">
        <v>22</v>
      </c>
      <c r="I2665">
        <v>0</v>
      </c>
      <c r="J2665" t="s">
        <v>25</v>
      </c>
    </row>
    <row r="2666" spans="1:10" x14ac:dyDescent="0.25">
      <c r="A2666" s="1">
        <v>840</v>
      </c>
      <c r="B2666" t="s">
        <v>19</v>
      </c>
      <c r="C2666">
        <v>700</v>
      </c>
      <c r="D2666">
        <v>0</v>
      </c>
      <c r="E2666" t="s">
        <v>24</v>
      </c>
      <c r="F2666" t="s">
        <v>24</v>
      </c>
      <c r="G2666" t="str">
        <f>"2025-08-21 00:23:14.658"</f>
        <v>2025-08-21 00:23:14.658</v>
      </c>
      <c r="H2666" t="s">
        <v>22</v>
      </c>
    </row>
    <row r="2667" spans="1:10" x14ac:dyDescent="0.25">
      <c r="A2667" s="1">
        <v>841</v>
      </c>
      <c r="B2667" t="s">
        <v>19</v>
      </c>
      <c r="C2667">
        <v>700</v>
      </c>
      <c r="D2667">
        <v>0</v>
      </c>
      <c r="E2667" t="s">
        <v>24</v>
      </c>
      <c r="F2667" t="s">
        <v>24</v>
      </c>
      <c r="G2667" t="str">
        <f>"2025-08-21 00:19:27.665"</f>
        <v>2025-08-21 00:19:27.665</v>
      </c>
      <c r="H2667" t="s">
        <v>22</v>
      </c>
      <c r="I2667">
        <v>0</v>
      </c>
      <c r="J2667" t="s">
        <v>25</v>
      </c>
    </row>
    <row r="2668" spans="1:10" x14ac:dyDescent="0.25">
      <c r="A2668" s="1">
        <v>842</v>
      </c>
      <c r="B2668" t="s">
        <v>19</v>
      </c>
      <c r="C2668">
        <v>700</v>
      </c>
      <c r="D2668">
        <v>0</v>
      </c>
      <c r="E2668" t="s">
        <v>24</v>
      </c>
      <c r="F2668" t="s">
        <v>24</v>
      </c>
      <c r="G2668" t="str">
        <f>"2025-08-21 00:16:21.668"</f>
        <v>2025-08-21 00:16:21.668</v>
      </c>
      <c r="H2668" t="s">
        <v>22</v>
      </c>
    </row>
    <row r="2669" spans="1:10" x14ac:dyDescent="0.25">
      <c r="A2669" s="1">
        <v>843</v>
      </c>
      <c r="B2669" t="s">
        <v>19</v>
      </c>
      <c r="C2669">
        <v>706</v>
      </c>
      <c r="D2669">
        <v>3</v>
      </c>
      <c r="E2669" t="s">
        <v>20</v>
      </c>
      <c r="F2669" t="s">
        <v>48</v>
      </c>
      <c r="G2669" t="str">
        <f>"2025-08-21 00:14:44.616"</f>
        <v>2025-08-21 00:14:44.616</v>
      </c>
      <c r="H2669" t="s">
        <v>22</v>
      </c>
      <c r="I2669">
        <v>0</v>
      </c>
      <c r="J2669" t="s">
        <v>23</v>
      </c>
    </row>
    <row r="2670" spans="1:10" x14ac:dyDescent="0.25">
      <c r="A2670" s="1">
        <v>844</v>
      </c>
      <c r="B2670" t="s">
        <v>19</v>
      </c>
      <c r="C2670">
        <v>700</v>
      </c>
      <c r="D2670">
        <v>0</v>
      </c>
      <c r="E2670" t="s">
        <v>24</v>
      </c>
      <c r="F2670" t="s">
        <v>24</v>
      </c>
      <c r="G2670" t="str">
        <f>"2025-08-21 00:12:21.856"</f>
        <v>2025-08-21 00:12:21.856</v>
      </c>
      <c r="H2670" t="s">
        <v>22</v>
      </c>
      <c r="I2670">
        <v>0</v>
      </c>
      <c r="J2670" t="s">
        <v>25</v>
      </c>
    </row>
    <row r="2671" spans="1:10" x14ac:dyDescent="0.25">
      <c r="A2671" s="1">
        <v>845</v>
      </c>
      <c r="B2671" t="s">
        <v>19</v>
      </c>
      <c r="C2671">
        <v>706</v>
      </c>
      <c r="D2671">
        <v>4</v>
      </c>
      <c r="E2671" t="s">
        <v>20</v>
      </c>
      <c r="F2671" t="s">
        <v>21</v>
      </c>
      <c r="G2671" t="str">
        <f>"2025-08-21 00:01:24.396"</f>
        <v>2025-08-21 00:01:24.396</v>
      </c>
      <c r="H2671" t="s">
        <v>22</v>
      </c>
      <c r="I2671">
        <v>0</v>
      </c>
      <c r="J2671" t="s">
        <v>23</v>
      </c>
    </row>
    <row r="2672" spans="1:10" x14ac:dyDescent="0.25">
      <c r="A2672" s="1">
        <v>846</v>
      </c>
      <c r="B2672" t="s">
        <v>19</v>
      </c>
      <c r="C2672">
        <v>700</v>
      </c>
      <c r="D2672">
        <v>0</v>
      </c>
      <c r="E2672" t="s">
        <v>24</v>
      </c>
      <c r="F2672" t="s">
        <v>24</v>
      </c>
      <c r="G2672" t="str">
        <f>"2025-08-20 23:58:44.666"</f>
        <v>2025-08-20 23:58:44.666</v>
      </c>
      <c r="H2672" t="s">
        <v>22</v>
      </c>
      <c r="I2672">
        <v>0</v>
      </c>
      <c r="J2672" t="s">
        <v>25</v>
      </c>
    </row>
    <row r="2673" spans="1:10" x14ac:dyDescent="0.25">
      <c r="A2673" s="1">
        <v>847</v>
      </c>
      <c r="B2673" t="s">
        <v>19</v>
      </c>
      <c r="C2673">
        <v>700</v>
      </c>
      <c r="D2673">
        <v>0</v>
      </c>
      <c r="E2673" t="s">
        <v>24</v>
      </c>
      <c r="F2673" t="s">
        <v>24</v>
      </c>
      <c r="G2673" t="str">
        <f>"2025-08-20 23:15:22.672"</f>
        <v>2025-08-20 23:15:22.672</v>
      </c>
      <c r="H2673" t="s">
        <v>22</v>
      </c>
      <c r="I2673">
        <v>0</v>
      </c>
      <c r="J2673" t="s">
        <v>25</v>
      </c>
    </row>
    <row r="2674" spans="1:10" x14ac:dyDescent="0.25">
      <c r="A2674" s="1">
        <v>848</v>
      </c>
      <c r="B2674" t="s">
        <v>34</v>
      </c>
      <c r="C2674">
        <v>630</v>
      </c>
      <c r="D2674">
        <v>5</v>
      </c>
      <c r="E2674" t="s">
        <v>39</v>
      </c>
      <c r="F2674" t="s">
        <v>40</v>
      </c>
      <c r="G2674" t="str">
        <f>"2025-08-20 21:35:06.577"</f>
        <v>2025-08-20 21:35:06.577</v>
      </c>
      <c r="H2674" t="s">
        <v>41</v>
      </c>
      <c r="I2674">
        <v>0</v>
      </c>
      <c r="J2674" t="s">
        <v>23</v>
      </c>
    </row>
    <row r="2675" spans="1:10" x14ac:dyDescent="0.25">
      <c r="A2675" s="1">
        <v>849</v>
      </c>
      <c r="B2675" t="s">
        <v>19</v>
      </c>
      <c r="C2675">
        <v>700</v>
      </c>
      <c r="D2675">
        <v>0</v>
      </c>
      <c r="E2675" t="s">
        <v>24</v>
      </c>
      <c r="F2675" t="s">
        <v>24</v>
      </c>
      <c r="G2675" t="str">
        <f>"2025-08-20 21:30:03.806"</f>
        <v>2025-08-20 21:30:03.806</v>
      </c>
      <c r="H2675" t="s">
        <v>22</v>
      </c>
      <c r="I2675">
        <v>0</v>
      </c>
      <c r="J2675" t="s">
        <v>25</v>
      </c>
    </row>
    <row r="2676" spans="1:10" x14ac:dyDescent="0.25">
      <c r="A2676" s="1">
        <v>850</v>
      </c>
      <c r="B2676" t="s">
        <v>26</v>
      </c>
      <c r="C2676">
        <v>630</v>
      </c>
      <c r="D2676">
        <v>5</v>
      </c>
      <c r="E2676" t="s">
        <v>39</v>
      </c>
      <c r="F2676" t="s">
        <v>40</v>
      </c>
      <c r="G2676" t="str">
        <f>"2025-08-20 14:31:40.785"</f>
        <v>2025-08-20 14:31:40.785</v>
      </c>
      <c r="H2676" t="s">
        <v>41</v>
      </c>
    </row>
    <row r="2677" spans="1:10" x14ac:dyDescent="0.25">
      <c r="A2677" s="1">
        <v>851</v>
      </c>
      <c r="B2677" t="s">
        <v>19</v>
      </c>
      <c r="C2677">
        <v>706</v>
      </c>
      <c r="D2677">
        <v>2</v>
      </c>
      <c r="E2677" t="s">
        <v>20</v>
      </c>
      <c r="F2677" t="s">
        <v>54</v>
      </c>
      <c r="G2677" t="str">
        <f>"2025-08-20 14:31:10.497"</f>
        <v>2025-08-20 14:31:10.497</v>
      </c>
      <c r="H2677" t="s">
        <v>22</v>
      </c>
      <c r="I2677">
        <v>0</v>
      </c>
      <c r="J2677" t="s">
        <v>23</v>
      </c>
    </row>
    <row r="2678" spans="1:10" x14ac:dyDescent="0.25">
      <c r="A2678" s="1">
        <v>852</v>
      </c>
      <c r="B2678" t="s">
        <v>34</v>
      </c>
      <c r="C2678">
        <v>630</v>
      </c>
      <c r="D2678">
        <v>5</v>
      </c>
      <c r="E2678" t="s">
        <v>39</v>
      </c>
      <c r="F2678" t="s">
        <v>40</v>
      </c>
      <c r="G2678" t="str">
        <f>"2025-08-20 13:15:50.085"</f>
        <v>2025-08-20 13:15:50.085</v>
      </c>
      <c r="H2678" t="s">
        <v>41</v>
      </c>
      <c r="I2678">
        <v>0</v>
      </c>
      <c r="J2678" t="s">
        <v>23</v>
      </c>
    </row>
    <row r="2679" spans="1:10" x14ac:dyDescent="0.25">
      <c r="A2679" s="1">
        <v>853</v>
      </c>
      <c r="B2679" t="s">
        <v>26</v>
      </c>
      <c r="C2679">
        <v>635</v>
      </c>
      <c r="D2679">
        <v>1</v>
      </c>
      <c r="E2679" t="s">
        <v>27</v>
      </c>
      <c r="F2679" t="s">
        <v>28</v>
      </c>
      <c r="G2679" t="str">
        <f>"2025-08-20 10:30:11.837"</f>
        <v>2025-08-20 10:30:11.837</v>
      </c>
      <c r="H2679" t="s">
        <v>22</v>
      </c>
    </row>
    <row r="2680" spans="1:10" x14ac:dyDescent="0.25">
      <c r="A2680" s="1">
        <v>854</v>
      </c>
      <c r="B2680" t="s">
        <v>29</v>
      </c>
      <c r="C2680">
        <v>635</v>
      </c>
      <c r="D2680">
        <v>1</v>
      </c>
      <c r="E2680" t="s">
        <v>27</v>
      </c>
      <c r="F2680" t="s">
        <v>28</v>
      </c>
      <c r="G2680" t="str">
        <f>"2025-08-20 10:21:20.937"</f>
        <v>2025-08-20 10:21:20.937</v>
      </c>
      <c r="H2680" t="s">
        <v>22</v>
      </c>
      <c r="I2680">
        <v>4.09</v>
      </c>
      <c r="J2680" t="s">
        <v>30</v>
      </c>
    </row>
    <row r="2681" spans="1:10" x14ac:dyDescent="0.25">
      <c r="A2681" s="1">
        <v>856</v>
      </c>
      <c r="B2681" t="s">
        <v>26</v>
      </c>
      <c r="C2681">
        <v>630</v>
      </c>
      <c r="D2681">
        <v>5</v>
      </c>
      <c r="E2681" t="s">
        <v>39</v>
      </c>
      <c r="F2681" t="s">
        <v>40</v>
      </c>
      <c r="G2681" t="str">
        <f>"2025-08-19 18:13:36.575"</f>
        <v>2025-08-19 18:13:36.575</v>
      </c>
      <c r="H2681" t="s">
        <v>41</v>
      </c>
    </row>
    <row r="2682" spans="1:10" x14ac:dyDescent="0.25">
      <c r="A2682" s="1">
        <v>857</v>
      </c>
      <c r="B2682" t="s">
        <v>19</v>
      </c>
      <c r="C2682">
        <v>706</v>
      </c>
      <c r="D2682">
        <v>2</v>
      </c>
      <c r="E2682" t="s">
        <v>20</v>
      </c>
      <c r="F2682" t="s">
        <v>54</v>
      </c>
      <c r="G2682" t="str">
        <f>"2025-08-19 18:13:06.397"</f>
        <v>2025-08-19 18:13:06.397</v>
      </c>
      <c r="H2682" t="s">
        <v>22</v>
      </c>
      <c r="I2682">
        <v>0</v>
      </c>
      <c r="J2682" t="s">
        <v>23</v>
      </c>
    </row>
    <row r="2683" spans="1:10" x14ac:dyDescent="0.25">
      <c r="A2683" s="1">
        <v>858</v>
      </c>
      <c r="B2683" t="s">
        <v>19</v>
      </c>
      <c r="C2683">
        <v>706</v>
      </c>
      <c r="D2683">
        <v>2</v>
      </c>
      <c r="E2683" t="s">
        <v>20</v>
      </c>
      <c r="F2683" t="s">
        <v>54</v>
      </c>
      <c r="G2683" t="str">
        <f>"2025-08-19 18:12:17.397"</f>
        <v>2025-08-19 18:12:17.397</v>
      </c>
      <c r="H2683" t="s">
        <v>22</v>
      </c>
      <c r="I2683">
        <v>0</v>
      </c>
      <c r="J2683" t="s">
        <v>23</v>
      </c>
    </row>
    <row r="2684" spans="1:10" x14ac:dyDescent="0.25">
      <c r="A2684" s="1">
        <v>859</v>
      </c>
      <c r="B2684" t="s">
        <v>34</v>
      </c>
      <c r="C2684">
        <v>630</v>
      </c>
      <c r="D2684">
        <v>5</v>
      </c>
      <c r="E2684" t="s">
        <v>39</v>
      </c>
      <c r="F2684" t="s">
        <v>40</v>
      </c>
      <c r="G2684" t="str">
        <f>"2025-08-19 17:52:37.675"</f>
        <v>2025-08-19 17:52:37.675</v>
      </c>
      <c r="H2684" t="s">
        <v>41</v>
      </c>
      <c r="I2684">
        <v>0</v>
      </c>
      <c r="J2684" t="s">
        <v>23</v>
      </c>
    </row>
    <row r="2685" spans="1:10" x14ac:dyDescent="0.25">
      <c r="A2685" s="1">
        <v>860</v>
      </c>
      <c r="B2685" t="s">
        <v>31</v>
      </c>
      <c r="C2685">
        <v>620</v>
      </c>
      <c r="D2685">
        <v>1</v>
      </c>
      <c r="E2685" t="s">
        <v>116</v>
      </c>
      <c r="F2685" t="s">
        <v>28</v>
      </c>
      <c r="G2685" t="str">
        <f>"2025-08-19 11:29:43.228"</f>
        <v>2025-08-19 11:29:43.228</v>
      </c>
      <c r="H2685" t="s">
        <v>80</v>
      </c>
    </row>
    <row r="2686" spans="1:10" x14ac:dyDescent="0.25">
      <c r="A2686" s="1">
        <v>861</v>
      </c>
      <c r="B2686" t="s">
        <v>34</v>
      </c>
      <c r="C2686">
        <v>620</v>
      </c>
      <c r="D2686">
        <v>1</v>
      </c>
      <c r="E2686" t="s">
        <v>116</v>
      </c>
      <c r="F2686" t="s">
        <v>28</v>
      </c>
      <c r="G2686" t="str">
        <f>"2025-08-19 11:29:37.695"</f>
        <v>2025-08-19 11:29:37.695</v>
      </c>
      <c r="H2686" t="s">
        <v>80</v>
      </c>
      <c r="I2686">
        <v>9.01</v>
      </c>
      <c r="J2686" t="s">
        <v>30</v>
      </c>
    </row>
    <row r="2687" spans="1:10" x14ac:dyDescent="0.25">
      <c r="A2687" s="1">
        <v>862</v>
      </c>
      <c r="B2687" t="s">
        <v>26</v>
      </c>
      <c r="C2687">
        <v>635</v>
      </c>
      <c r="D2687">
        <v>1</v>
      </c>
      <c r="E2687" t="s">
        <v>27</v>
      </c>
      <c r="F2687" t="s">
        <v>28</v>
      </c>
      <c r="G2687" t="str">
        <f>"2025-08-18 03:31:59.927"</f>
        <v>2025-08-18 03:31:59.927</v>
      </c>
      <c r="H2687" t="s">
        <v>22</v>
      </c>
    </row>
    <row r="2688" spans="1:10" x14ac:dyDescent="0.25">
      <c r="A2688" s="1">
        <v>863</v>
      </c>
      <c r="B2688" t="s">
        <v>29</v>
      </c>
      <c r="C2688">
        <v>635</v>
      </c>
      <c r="D2688">
        <v>1</v>
      </c>
      <c r="E2688" t="s">
        <v>27</v>
      </c>
      <c r="F2688" t="s">
        <v>28</v>
      </c>
      <c r="G2688" t="str">
        <f>"2025-08-18 03:29:45.927"</f>
        <v>2025-08-18 03:29:45.927</v>
      </c>
      <c r="H2688" t="s">
        <v>22</v>
      </c>
      <c r="I2688">
        <v>5.91</v>
      </c>
      <c r="J2688" t="s">
        <v>30</v>
      </c>
    </row>
    <row r="2689" spans="1:10" x14ac:dyDescent="0.25">
      <c r="A2689" s="1">
        <v>864</v>
      </c>
      <c r="B2689" t="s">
        <v>26</v>
      </c>
      <c r="C2689">
        <v>630</v>
      </c>
      <c r="D2689">
        <v>5</v>
      </c>
      <c r="E2689" t="s">
        <v>39</v>
      </c>
      <c r="F2689" t="s">
        <v>40</v>
      </c>
      <c r="G2689" t="str">
        <f>"2025-08-18 03:09:24.275"</f>
        <v>2025-08-18 03:09:24.275</v>
      </c>
      <c r="H2689" t="s">
        <v>41</v>
      </c>
    </row>
    <row r="2690" spans="1:10" x14ac:dyDescent="0.25">
      <c r="A2690" s="1">
        <v>865</v>
      </c>
      <c r="B2690" t="s">
        <v>19</v>
      </c>
      <c r="C2690">
        <v>706</v>
      </c>
      <c r="D2690">
        <v>4</v>
      </c>
      <c r="E2690" t="s">
        <v>20</v>
      </c>
      <c r="F2690" t="s">
        <v>21</v>
      </c>
      <c r="G2690" t="str">
        <f>"2025-08-18 03:08:54.307"</f>
        <v>2025-08-18 03:08:54.307</v>
      </c>
      <c r="H2690" t="s">
        <v>22</v>
      </c>
      <c r="I2690">
        <v>0</v>
      </c>
      <c r="J2690" t="s">
        <v>23</v>
      </c>
    </row>
    <row r="2691" spans="1:10" x14ac:dyDescent="0.25">
      <c r="A2691" s="1">
        <v>866</v>
      </c>
      <c r="B2691" t="s">
        <v>34</v>
      </c>
      <c r="C2691">
        <v>630</v>
      </c>
      <c r="D2691">
        <v>5</v>
      </c>
      <c r="E2691" t="s">
        <v>39</v>
      </c>
      <c r="F2691" t="s">
        <v>40</v>
      </c>
      <c r="G2691" t="str">
        <f>"2025-08-18 03:04:29.475"</f>
        <v>2025-08-18 03:04:29.475</v>
      </c>
      <c r="H2691" t="s">
        <v>41</v>
      </c>
      <c r="I2691">
        <v>0</v>
      </c>
      <c r="J2691" t="s">
        <v>23</v>
      </c>
    </row>
    <row r="2692" spans="1:10" x14ac:dyDescent="0.25">
      <c r="A2692" s="1">
        <v>868</v>
      </c>
      <c r="B2692" t="s">
        <v>26</v>
      </c>
      <c r="C2692">
        <v>635</v>
      </c>
      <c r="D2692">
        <v>1</v>
      </c>
      <c r="E2692" t="s">
        <v>27</v>
      </c>
      <c r="F2692" t="s">
        <v>28</v>
      </c>
      <c r="G2692" t="str">
        <f>"2025-08-17 12:12:14.027"</f>
        <v>2025-08-17 12:12:14.027</v>
      </c>
      <c r="H2692" t="s">
        <v>22</v>
      </c>
    </row>
    <row r="2693" spans="1:10" x14ac:dyDescent="0.25">
      <c r="A2693" s="1">
        <v>869</v>
      </c>
      <c r="B2693" t="s">
        <v>29</v>
      </c>
      <c r="C2693">
        <v>635</v>
      </c>
      <c r="D2693">
        <v>1</v>
      </c>
      <c r="E2693" t="s">
        <v>27</v>
      </c>
      <c r="F2693" t="s">
        <v>28</v>
      </c>
      <c r="G2693" t="str">
        <f>"2025-08-17 12:09:37.528"</f>
        <v>2025-08-17 12:09:37.528</v>
      </c>
      <c r="H2693" t="s">
        <v>22</v>
      </c>
      <c r="I2693">
        <v>0</v>
      </c>
      <c r="J2693" t="s">
        <v>38</v>
      </c>
    </row>
    <row r="2694" spans="1:10" x14ac:dyDescent="0.25">
      <c r="A2694" s="1">
        <v>870</v>
      </c>
      <c r="B2694" t="s">
        <v>19</v>
      </c>
      <c r="C2694">
        <v>700</v>
      </c>
      <c r="D2694">
        <v>0</v>
      </c>
      <c r="E2694" t="s">
        <v>24</v>
      </c>
      <c r="F2694" t="s">
        <v>24</v>
      </c>
      <c r="G2694" t="str">
        <f>"2025-08-17 04:27:49.897"</f>
        <v>2025-08-17 04:27:49.897</v>
      </c>
      <c r="H2694" t="s">
        <v>22</v>
      </c>
    </row>
    <row r="2695" spans="1:10" x14ac:dyDescent="0.25">
      <c r="A2695" s="1">
        <v>871</v>
      </c>
      <c r="B2695" t="s">
        <v>19</v>
      </c>
      <c r="C2695">
        <v>700</v>
      </c>
      <c r="D2695">
        <v>0</v>
      </c>
      <c r="E2695" t="s">
        <v>24</v>
      </c>
      <c r="F2695" t="s">
        <v>24</v>
      </c>
      <c r="G2695" t="str">
        <f>"2025-08-16 15:34:24.716"</f>
        <v>2025-08-16 15:34:24.716</v>
      </c>
      <c r="H2695" t="s">
        <v>22</v>
      </c>
      <c r="I2695">
        <v>0</v>
      </c>
      <c r="J2695" t="s">
        <v>25</v>
      </c>
    </row>
    <row r="2696" spans="1:10" x14ac:dyDescent="0.25">
      <c r="A2696" s="1">
        <v>872</v>
      </c>
      <c r="B2696" t="s">
        <v>19</v>
      </c>
      <c r="C2696">
        <v>700</v>
      </c>
      <c r="D2696">
        <v>0</v>
      </c>
      <c r="E2696" t="s">
        <v>24</v>
      </c>
      <c r="F2696" t="s">
        <v>24</v>
      </c>
      <c r="G2696" t="str">
        <f>"2025-08-16 07:20:03.739"</f>
        <v>2025-08-16 07:20:03.739</v>
      </c>
      <c r="H2696" t="s">
        <v>22</v>
      </c>
      <c r="I2696">
        <v>0</v>
      </c>
      <c r="J2696" t="s">
        <v>25</v>
      </c>
    </row>
    <row r="2697" spans="1:10" x14ac:dyDescent="0.25">
      <c r="A2697" s="1">
        <v>873</v>
      </c>
      <c r="B2697" t="s">
        <v>26</v>
      </c>
      <c r="C2697">
        <v>630</v>
      </c>
      <c r="D2697">
        <v>5</v>
      </c>
      <c r="E2697" t="s">
        <v>39</v>
      </c>
      <c r="F2697" t="s">
        <v>40</v>
      </c>
      <c r="G2697" t="str">
        <f>"2025-08-16 03:09:28.235"</f>
        <v>2025-08-16 03:09:28.235</v>
      </c>
      <c r="H2697" t="s">
        <v>41</v>
      </c>
    </row>
    <row r="2698" spans="1:10" x14ac:dyDescent="0.25">
      <c r="A2698" s="1">
        <v>874</v>
      </c>
      <c r="B2698" t="s">
        <v>19</v>
      </c>
      <c r="C2698">
        <v>706</v>
      </c>
      <c r="D2698">
        <v>4</v>
      </c>
      <c r="E2698" t="s">
        <v>20</v>
      </c>
      <c r="F2698" t="s">
        <v>21</v>
      </c>
      <c r="G2698" t="str">
        <f>"2025-08-16 03:08:58.278"</f>
        <v>2025-08-16 03:08:58.278</v>
      </c>
      <c r="H2698" t="s">
        <v>22</v>
      </c>
      <c r="I2698">
        <v>0</v>
      </c>
      <c r="J2698" t="s">
        <v>23</v>
      </c>
    </row>
    <row r="2699" spans="1:10" x14ac:dyDescent="0.25">
      <c r="A2699" s="1">
        <v>875</v>
      </c>
      <c r="B2699" t="s">
        <v>34</v>
      </c>
      <c r="C2699">
        <v>630</v>
      </c>
      <c r="D2699">
        <v>5</v>
      </c>
      <c r="E2699" t="s">
        <v>39</v>
      </c>
      <c r="F2699" t="s">
        <v>40</v>
      </c>
      <c r="G2699" t="str">
        <f>"2025-08-16 03:02:01.336"</f>
        <v>2025-08-16 03:02:01.336</v>
      </c>
      <c r="H2699" t="s">
        <v>41</v>
      </c>
      <c r="I2699">
        <v>0</v>
      </c>
      <c r="J2699" t="s">
        <v>23</v>
      </c>
    </row>
    <row r="2700" spans="1:10" x14ac:dyDescent="0.25">
      <c r="A2700" s="1">
        <v>876</v>
      </c>
      <c r="B2700" t="s">
        <v>19</v>
      </c>
      <c r="C2700">
        <v>700</v>
      </c>
      <c r="D2700">
        <v>0</v>
      </c>
      <c r="E2700" t="s">
        <v>24</v>
      </c>
      <c r="F2700" t="s">
        <v>24</v>
      </c>
      <c r="G2700" t="str">
        <f>"2025-08-15 04:11:12.708"</f>
        <v>2025-08-15 04:11:12.708</v>
      </c>
      <c r="H2700" t="s">
        <v>22</v>
      </c>
      <c r="I2700">
        <v>0</v>
      </c>
      <c r="J2700" t="s">
        <v>25</v>
      </c>
    </row>
    <row r="2701" spans="1:10" x14ac:dyDescent="0.25">
      <c r="A2701" s="1">
        <v>877</v>
      </c>
      <c r="B2701" t="s">
        <v>26</v>
      </c>
      <c r="C2701">
        <v>619</v>
      </c>
      <c r="D2701">
        <v>1</v>
      </c>
      <c r="E2701" t="s">
        <v>79</v>
      </c>
      <c r="F2701" t="s">
        <v>28</v>
      </c>
      <c r="G2701" t="str">
        <f>"2025-08-15 02:50:00.346"</f>
        <v>2025-08-15 02:50:00.346</v>
      </c>
      <c r="H2701" t="s">
        <v>80</v>
      </c>
    </row>
    <row r="2702" spans="1:10" x14ac:dyDescent="0.25">
      <c r="A2702" s="1">
        <v>878</v>
      </c>
      <c r="B2702" t="s">
        <v>29</v>
      </c>
      <c r="C2702">
        <v>619</v>
      </c>
      <c r="D2702">
        <v>1</v>
      </c>
      <c r="E2702" t="s">
        <v>79</v>
      </c>
      <c r="F2702" t="s">
        <v>28</v>
      </c>
      <c r="G2702" t="str">
        <f>"2025-08-15 02:49:53.699"</f>
        <v>2025-08-15 02:49:53.699</v>
      </c>
      <c r="H2702" t="s">
        <v>80</v>
      </c>
      <c r="I2702">
        <v>12.9</v>
      </c>
      <c r="J2702" t="s">
        <v>37</v>
      </c>
    </row>
    <row r="2703" spans="1:10" x14ac:dyDescent="0.25">
      <c r="A2703" s="1">
        <v>879</v>
      </c>
      <c r="B2703" t="s">
        <v>26</v>
      </c>
      <c r="C2703">
        <v>630</v>
      </c>
      <c r="D2703">
        <v>5</v>
      </c>
      <c r="E2703" t="s">
        <v>39</v>
      </c>
      <c r="F2703" t="s">
        <v>40</v>
      </c>
      <c r="G2703" t="str">
        <f>"2025-08-15 02:08:05.200"</f>
        <v>2025-08-15 02:08:05.200</v>
      </c>
      <c r="H2703" t="s">
        <v>41</v>
      </c>
    </row>
    <row r="2704" spans="1:10" x14ac:dyDescent="0.25">
      <c r="A2704" s="1">
        <v>880</v>
      </c>
      <c r="B2704" t="s">
        <v>19</v>
      </c>
      <c r="C2704">
        <v>706</v>
      </c>
      <c r="D2704">
        <v>4</v>
      </c>
      <c r="E2704" t="s">
        <v>20</v>
      </c>
      <c r="F2704" t="s">
        <v>21</v>
      </c>
      <c r="G2704" t="str">
        <f>"2025-08-15 02:07:35.157"</f>
        <v>2025-08-15 02:07:35.157</v>
      </c>
      <c r="H2704" t="s">
        <v>22</v>
      </c>
      <c r="I2704">
        <v>0</v>
      </c>
      <c r="J2704" t="s">
        <v>23</v>
      </c>
    </row>
    <row r="2705" spans="1:10" x14ac:dyDescent="0.25">
      <c r="A2705" s="1">
        <v>881</v>
      </c>
      <c r="B2705" t="s">
        <v>34</v>
      </c>
      <c r="C2705">
        <v>630</v>
      </c>
      <c r="D2705">
        <v>5</v>
      </c>
      <c r="E2705" t="s">
        <v>39</v>
      </c>
      <c r="F2705" t="s">
        <v>40</v>
      </c>
      <c r="G2705" t="str">
        <f>"2025-08-15 01:41:48.100"</f>
        <v>2025-08-15 01:41:48.100</v>
      </c>
      <c r="H2705" t="s">
        <v>41</v>
      </c>
      <c r="I2705">
        <v>0</v>
      </c>
      <c r="J2705" t="s">
        <v>23</v>
      </c>
    </row>
    <row r="2706" spans="1:10" x14ac:dyDescent="0.25">
      <c r="A2706" s="1">
        <v>882</v>
      </c>
      <c r="B2706" t="s">
        <v>19</v>
      </c>
      <c r="C2706">
        <v>700</v>
      </c>
      <c r="D2706">
        <v>0</v>
      </c>
      <c r="E2706" t="s">
        <v>24</v>
      </c>
      <c r="F2706" t="s">
        <v>24</v>
      </c>
      <c r="G2706" t="str">
        <f>"2025-08-14 23:25:29.717"</f>
        <v>2025-08-14 23:25:29.717</v>
      </c>
      <c r="H2706" t="s">
        <v>22</v>
      </c>
    </row>
    <row r="2707" spans="1:10" x14ac:dyDescent="0.25">
      <c r="A2707" s="1">
        <v>883</v>
      </c>
      <c r="B2707" t="s">
        <v>19</v>
      </c>
      <c r="C2707">
        <v>700</v>
      </c>
      <c r="D2707">
        <v>0</v>
      </c>
      <c r="E2707" t="s">
        <v>24</v>
      </c>
      <c r="F2707" t="s">
        <v>24</v>
      </c>
      <c r="G2707" t="str">
        <f>"2025-08-14 14:01:50.699"</f>
        <v>2025-08-14 14:01:50.699</v>
      </c>
      <c r="H2707" t="s">
        <v>22</v>
      </c>
      <c r="I2707">
        <v>0</v>
      </c>
      <c r="J2707" t="s">
        <v>25</v>
      </c>
    </row>
    <row r="2708" spans="1:10" x14ac:dyDescent="0.25">
      <c r="A2708" s="1">
        <v>884</v>
      </c>
      <c r="B2708" t="s">
        <v>26</v>
      </c>
      <c r="C2708">
        <v>619</v>
      </c>
      <c r="D2708">
        <v>1</v>
      </c>
      <c r="E2708" t="s">
        <v>79</v>
      </c>
      <c r="F2708" t="s">
        <v>28</v>
      </c>
      <c r="G2708" t="str">
        <f>"2025-08-14 12:14:44.864"</f>
        <v>2025-08-14 12:14:44.864</v>
      </c>
      <c r="H2708" t="s">
        <v>80</v>
      </c>
    </row>
    <row r="2709" spans="1:10" x14ac:dyDescent="0.25">
      <c r="A2709" s="1">
        <v>885</v>
      </c>
      <c r="B2709" t="s">
        <v>29</v>
      </c>
      <c r="C2709">
        <v>619</v>
      </c>
      <c r="D2709">
        <v>1</v>
      </c>
      <c r="E2709" t="s">
        <v>79</v>
      </c>
      <c r="F2709" t="s">
        <v>28</v>
      </c>
      <c r="G2709" t="str">
        <f>"2025-08-14 12:14:37.164"</f>
        <v>2025-08-14 12:14:37.164</v>
      </c>
      <c r="H2709" t="s">
        <v>80</v>
      </c>
      <c r="I2709">
        <v>0</v>
      </c>
      <c r="J2709" t="s">
        <v>38</v>
      </c>
    </row>
    <row r="2710" spans="1:10" x14ac:dyDescent="0.25">
      <c r="A2710" s="1">
        <v>886</v>
      </c>
      <c r="B2710" t="s">
        <v>26</v>
      </c>
      <c r="C2710">
        <v>630</v>
      </c>
      <c r="D2710">
        <v>5</v>
      </c>
      <c r="E2710" t="s">
        <v>39</v>
      </c>
      <c r="F2710" t="s">
        <v>40</v>
      </c>
      <c r="G2710" t="str">
        <f>"2025-08-14 03:39:47.965"</f>
        <v>2025-08-14 03:39:47.965</v>
      </c>
      <c r="H2710" t="s">
        <v>41</v>
      </c>
    </row>
    <row r="2711" spans="1:10" x14ac:dyDescent="0.25">
      <c r="A2711" s="1">
        <v>887</v>
      </c>
      <c r="B2711" t="s">
        <v>19</v>
      </c>
      <c r="C2711">
        <v>706</v>
      </c>
      <c r="D2711">
        <v>2</v>
      </c>
      <c r="E2711" t="s">
        <v>20</v>
      </c>
      <c r="F2711" t="s">
        <v>54</v>
      </c>
      <c r="G2711" t="str">
        <f>"2025-08-14 03:39:17.933"</f>
        <v>2025-08-14 03:39:17.933</v>
      </c>
      <c r="H2711" t="s">
        <v>22</v>
      </c>
      <c r="I2711">
        <v>0</v>
      </c>
      <c r="J2711" t="s">
        <v>23</v>
      </c>
    </row>
    <row r="2712" spans="1:10" x14ac:dyDescent="0.25">
      <c r="A2712" s="1">
        <v>888</v>
      </c>
      <c r="B2712" t="s">
        <v>34</v>
      </c>
      <c r="C2712">
        <v>630</v>
      </c>
      <c r="D2712">
        <v>5</v>
      </c>
      <c r="E2712" t="s">
        <v>39</v>
      </c>
      <c r="F2712" t="s">
        <v>40</v>
      </c>
      <c r="G2712" t="str">
        <f>"2025-08-14 03:34:00.665"</f>
        <v>2025-08-14 03:34:00.665</v>
      </c>
      <c r="H2712" t="s">
        <v>41</v>
      </c>
      <c r="I2712">
        <v>0</v>
      </c>
      <c r="J2712" t="s">
        <v>23</v>
      </c>
    </row>
    <row r="2713" spans="1:10" x14ac:dyDescent="0.25">
      <c r="A2713" s="1">
        <v>889</v>
      </c>
      <c r="B2713" t="s">
        <v>26</v>
      </c>
      <c r="C2713">
        <v>630</v>
      </c>
      <c r="D2713">
        <v>5</v>
      </c>
      <c r="E2713" t="s">
        <v>39</v>
      </c>
      <c r="F2713" t="s">
        <v>40</v>
      </c>
      <c r="G2713" t="str">
        <f>"2025-08-13 20:49:53.765"</f>
        <v>2025-08-13 20:49:53.765</v>
      </c>
      <c r="H2713" t="s">
        <v>41</v>
      </c>
    </row>
    <row r="2714" spans="1:10" x14ac:dyDescent="0.25">
      <c r="A2714" s="1">
        <v>890</v>
      </c>
      <c r="B2714" t="s">
        <v>19</v>
      </c>
      <c r="C2714">
        <v>706</v>
      </c>
      <c r="D2714">
        <v>4</v>
      </c>
      <c r="E2714" t="s">
        <v>20</v>
      </c>
      <c r="F2714" t="s">
        <v>21</v>
      </c>
      <c r="G2714" t="str">
        <f>"2025-08-13 20:49:23.743"</f>
        <v>2025-08-13 20:49:23.743</v>
      </c>
      <c r="H2714" t="s">
        <v>22</v>
      </c>
      <c r="I2714">
        <v>0</v>
      </c>
      <c r="J2714" t="s">
        <v>23</v>
      </c>
    </row>
    <row r="2715" spans="1:10" x14ac:dyDescent="0.25">
      <c r="A2715" s="1">
        <v>891</v>
      </c>
      <c r="B2715" t="s">
        <v>34</v>
      </c>
      <c r="C2715">
        <v>630</v>
      </c>
      <c r="D2715">
        <v>5</v>
      </c>
      <c r="E2715" t="s">
        <v>39</v>
      </c>
      <c r="F2715" t="s">
        <v>40</v>
      </c>
      <c r="G2715" t="str">
        <f>"2025-08-13 20:42:18.365"</f>
        <v>2025-08-13 20:42:18.365</v>
      </c>
      <c r="H2715" t="s">
        <v>41</v>
      </c>
      <c r="I2715">
        <v>0</v>
      </c>
      <c r="J2715" t="s">
        <v>23</v>
      </c>
    </row>
    <row r="2716" spans="1:10" x14ac:dyDescent="0.25">
      <c r="A2716" s="1">
        <v>892</v>
      </c>
      <c r="B2716" t="s">
        <v>26</v>
      </c>
      <c r="C2716">
        <v>635</v>
      </c>
      <c r="D2716">
        <v>1</v>
      </c>
      <c r="E2716" t="s">
        <v>27</v>
      </c>
      <c r="F2716" t="s">
        <v>28</v>
      </c>
      <c r="G2716" t="str">
        <f>"2025-08-13 20:33:30.464"</f>
        <v>2025-08-13 20:33:30.464</v>
      </c>
      <c r="H2716" t="s">
        <v>22</v>
      </c>
    </row>
    <row r="2717" spans="1:10" x14ac:dyDescent="0.25">
      <c r="A2717" s="1">
        <v>893</v>
      </c>
      <c r="B2717" t="s">
        <v>29</v>
      </c>
      <c r="C2717">
        <v>635</v>
      </c>
      <c r="D2717">
        <v>1</v>
      </c>
      <c r="E2717" t="s">
        <v>27</v>
      </c>
      <c r="F2717" t="s">
        <v>28</v>
      </c>
      <c r="G2717" t="str">
        <f>"2025-08-13 20:27:16.464"</f>
        <v>2025-08-13 20:27:16.464</v>
      </c>
      <c r="H2717" t="s">
        <v>22</v>
      </c>
      <c r="I2717">
        <v>3.87</v>
      </c>
      <c r="J2717" t="s">
        <v>30</v>
      </c>
    </row>
    <row r="2718" spans="1:10" x14ac:dyDescent="0.25">
      <c r="A2718" s="1">
        <v>894</v>
      </c>
      <c r="B2718" t="s">
        <v>19</v>
      </c>
      <c r="C2718">
        <v>700</v>
      </c>
      <c r="D2718">
        <v>0</v>
      </c>
      <c r="E2718" t="s">
        <v>24</v>
      </c>
      <c r="F2718" t="s">
        <v>24</v>
      </c>
      <c r="G2718" t="str">
        <f>"2025-08-13 02:37:46.693"</f>
        <v>2025-08-13 02:37:46.693</v>
      </c>
      <c r="H2718" t="s">
        <v>22</v>
      </c>
      <c r="I2718">
        <v>0</v>
      </c>
      <c r="J2718" t="s">
        <v>25</v>
      </c>
    </row>
    <row r="2719" spans="1:10" x14ac:dyDescent="0.25">
      <c r="A2719" s="1">
        <v>895</v>
      </c>
      <c r="B2719" t="s">
        <v>19</v>
      </c>
      <c r="C2719">
        <v>700</v>
      </c>
      <c r="D2719">
        <v>0</v>
      </c>
      <c r="E2719" t="s">
        <v>24</v>
      </c>
      <c r="F2719" t="s">
        <v>24</v>
      </c>
      <c r="G2719" t="str">
        <f>"2025-08-13 02:16:36.711"</f>
        <v>2025-08-13 02:16:36.711</v>
      </c>
      <c r="H2719" t="s">
        <v>22</v>
      </c>
      <c r="I2719">
        <v>0</v>
      </c>
      <c r="J2719" t="s">
        <v>25</v>
      </c>
    </row>
    <row r="2720" spans="1:10" x14ac:dyDescent="0.25">
      <c r="A2720" s="1">
        <v>896</v>
      </c>
      <c r="B2720" t="s">
        <v>34</v>
      </c>
      <c r="C2720">
        <v>630</v>
      </c>
      <c r="D2720">
        <v>5</v>
      </c>
      <c r="E2720" t="s">
        <v>39</v>
      </c>
      <c r="F2720" t="s">
        <v>40</v>
      </c>
      <c r="G2720" t="str">
        <f>"2025-08-13 01:47:42.337"</f>
        <v>2025-08-13 01:47:42.337</v>
      </c>
      <c r="H2720" t="s">
        <v>41</v>
      </c>
      <c r="I2720">
        <v>0</v>
      </c>
      <c r="J2720" t="s">
        <v>23</v>
      </c>
    </row>
    <row r="2721" spans="1:10" x14ac:dyDescent="0.25">
      <c r="A2721" s="1">
        <v>897</v>
      </c>
      <c r="B2721" t="s">
        <v>19</v>
      </c>
      <c r="C2721">
        <v>706</v>
      </c>
      <c r="D2721">
        <v>2</v>
      </c>
      <c r="E2721" t="s">
        <v>20</v>
      </c>
      <c r="F2721" t="s">
        <v>54</v>
      </c>
      <c r="G2721" t="str">
        <f>"2025-08-12 20:48:35.860"</f>
        <v>2025-08-12 20:48:35.860</v>
      </c>
      <c r="H2721" t="s">
        <v>22</v>
      </c>
      <c r="I2721">
        <v>0</v>
      </c>
      <c r="J2721" t="s">
        <v>23</v>
      </c>
    </row>
    <row r="2722" spans="1:10" x14ac:dyDescent="0.25">
      <c r="A2722" s="1">
        <v>898</v>
      </c>
      <c r="B2722" t="s">
        <v>19</v>
      </c>
      <c r="C2722">
        <v>700</v>
      </c>
      <c r="D2722">
        <v>0</v>
      </c>
      <c r="E2722" t="s">
        <v>24</v>
      </c>
      <c r="F2722" t="s">
        <v>24</v>
      </c>
      <c r="G2722" t="str">
        <f>"2025-08-12 20:47:51.710"</f>
        <v>2025-08-12 20:47:51.710</v>
      </c>
      <c r="H2722" t="s">
        <v>22</v>
      </c>
    </row>
    <row r="2723" spans="1:10" x14ac:dyDescent="0.25">
      <c r="A2723" s="1">
        <v>899</v>
      </c>
      <c r="B2723" t="s">
        <v>26</v>
      </c>
      <c r="C2723">
        <v>61</v>
      </c>
      <c r="D2723">
        <v>2</v>
      </c>
      <c r="E2723" t="s">
        <v>81</v>
      </c>
      <c r="F2723" t="s">
        <v>82</v>
      </c>
      <c r="G2723" t="str">
        <f>"2025-08-12 06:48:20.864"</f>
        <v>2025-08-12 06:48:20.864</v>
      </c>
      <c r="H2723" t="s">
        <v>22</v>
      </c>
    </row>
    <row r="2724" spans="1:10" x14ac:dyDescent="0.25">
      <c r="A2724" s="1">
        <v>900</v>
      </c>
      <c r="B2724" t="s">
        <v>34</v>
      </c>
      <c r="C2724">
        <v>61</v>
      </c>
      <c r="D2724">
        <v>2</v>
      </c>
      <c r="E2724" t="s">
        <v>81</v>
      </c>
      <c r="F2724" t="s">
        <v>82</v>
      </c>
      <c r="G2724" t="str">
        <f>"2025-08-12 06:48:00.964"</f>
        <v>2025-08-12 06:48:00.964</v>
      </c>
      <c r="H2724" t="s">
        <v>22</v>
      </c>
      <c r="I2724">
        <v>37.479999999999997</v>
      </c>
      <c r="J2724" t="s">
        <v>37</v>
      </c>
    </row>
    <row r="2725" spans="1:10" x14ac:dyDescent="0.25">
      <c r="A2725" s="1">
        <v>901</v>
      </c>
      <c r="B2725" t="s">
        <v>26</v>
      </c>
      <c r="C2725">
        <v>61</v>
      </c>
      <c r="D2725">
        <v>2</v>
      </c>
      <c r="E2725" t="s">
        <v>81</v>
      </c>
      <c r="F2725" t="s">
        <v>82</v>
      </c>
      <c r="G2725" t="str">
        <f>"2025-08-12 06:14:07.664"</f>
        <v>2025-08-12 06:14:07.664</v>
      </c>
      <c r="H2725" t="s">
        <v>22</v>
      </c>
    </row>
    <row r="2726" spans="1:10" x14ac:dyDescent="0.25">
      <c r="A2726" s="1">
        <v>902</v>
      </c>
      <c r="B2726" t="s">
        <v>34</v>
      </c>
      <c r="C2726">
        <v>61</v>
      </c>
      <c r="D2726">
        <v>2</v>
      </c>
      <c r="E2726" t="s">
        <v>81</v>
      </c>
      <c r="F2726" t="s">
        <v>82</v>
      </c>
      <c r="G2726" t="str">
        <f>"2025-08-12 06:13:58.464"</f>
        <v>2025-08-12 06:13:58.464</v>
      </c>
      <c r="H2726" t="s">
        <v>22</v>
      </c>
      <c r="I2726">
        <v>37.01</v>
      </c>
      <c r="J2726" t="s">
        <v>37</v>
      </c>
    </row>
    <row r="2727" spans="1:10" x14ac:dyDescent="0.25">
      <c r="A2727" s="1">
        <v>903</v>
      </c>
      <c r="B2727" t="s">
        <v>26</v>
      </c>
      <c r="C2727">
        <v>61</v>
      </c>
      <c r="D2727">
        <v>2</v>
      </c>
      <c r="E2727" t="s">
        <v>81</v>
      </c>
      <c r="F2727" t="s">
        <v>82</v>
      </c>
      <c r="G2727" t="str">
        <f>"2025-08-12 05:07:12.964"</f>
        <v>2025-08-12 05:07:12.964</v>
      </c>
      <c r="H2727" t="s">
        <v>22</v>
      </c>
    </row>
    <row r="2728" spans="1:10" x14ac:dyDescent="0.25">
      <c r="A2728" s="1">
        <v>904</v>
      </c>
      <c r="B2728" t="s">
        <v>34</v>
      </c>
      <c r="C2728">
        <v>61</v>
      </c>
      <c r="D2728">
        <v>2</v>
      </c>
      <c r="E2728" t="s">
        <v>81</v>
      </c>
      <c r="F2728" t="s">
        <v>82</v>
      </c>
      <c r="G2728" t="str">
        <f>"2025-08-12 05:06:53.864"</f>
        <v>2025-08-12 05:06:53.864</v>
      </c>
      <c r="H2728" t="s">
        <v>22</v>
      </c>
      <c r="I2728">
        <v>36.85</v>
      </c>
      <c r="J2728" t="s">
        <v>37</v>
      </c>
    </row>
    <row r="2729" spans="1:10" x14ac:dyDescent="0.25">
      <c r="A2729" s="1">
        <v>905</v>
      </c>
      <c r="B2729" t="s">
        <v>26</v>
      </c>
      <c r="C2729">
        <v>630</v>
      </c>
      <c r="D2729">
        <v>5</v>
      </c>
      <c r="E2729" t="s">
        <v>39</v>
      </c>
      <c r="F2729" t="s">
        <v>40</v>
      </c>
      <c r="G2729" t="str">
        <f>"2025-08-12 03:00:30.951"</f>
        <v>2025-08-12 03:00:30.951</v>
      </c>
      <c r="H2729" t="s">
        <v>41</v>
      </c>
    </row>
    <row r="2730" spans="1:10" x14ac:dyDescent="0.25">
      <c r="A2730" s="1">
        <v>906</v>
      </c>
      <c r="B2730" t="s">
        <v>19</v>
      </c>
      <c r="C2730">
        <v>706</v>
      </c>
      <c r="D2730">
        <v>4</v>
      </c>
      <c r="E2730" t="s">
        <v>20</v>
      </c>
      <c r="F2730" t="s">
        <v>21</v>
      </c>
      <c r="G2730" t="str">
        <f>"2025-08-12 03:00:00.798"</f>
        <v>2025-08-12 03:00:00.798</v>
      </c>
      <c r="H2730" t="s">
        <v>22</v>
      </c>
      <c r="I2730">
        <v>0</v>
      </c>
      <c r="J2730" t="s">
        <v>23</v>
      </c>
    </row>
    <row r="2731" spans="1:10" x14ac:dyDescent="0.25">
      <c r="A2731" s="1">
        <v>907</v>
      </c>
      <c r="B2731" t="s">
        <v>34</v>
      </c>
      <c r="C2731">
        <v>630</v>
      </c>
      <c r="D2731">
        <v>5</v>
      </c>
      <c r="E2731" t="s">
        <v>39</v>
      </c>
      <c r="F2731" t="s">
        <v>40</v>
      </c>
      <c r="G2731" t="str">
        <f>"2025-08-12 02:56:03.651"</f>
        <v>2025-08-12 02:56:03.651</v>
      </c>
      <c r="H2731" t="s">
        <v>41</v>
      </c>
      <c r="I2731">
        <v>0</v>
      </c>
      <c r="J2731" t="s">
        <v>23</v>
      </c>
    </row>
    <row r="2732" spans="1:10" x14ac:dyDescent="0.25">
      <c r="A2732" s="1">
        <v>908</v>
      </c>
      <c r="B2732" t="s">
        <v>26</v>
      </c>
      <c r="C2732">
        <v>630</v>
      </c>
      <c r="D2732">
        <v>5</v>
      </c>
      <c r="E2732" t="s">
        <v>39</v>
      </c>
      <c r="F2732" t="s">
        <v>40</v>
      </c>
      <c r="G2732" t="str">
        <f>"2025-08-12 01:11:14.051"</f>
        <v>2025-08-12 01:11:14.051</v>
      </c>
      <c r="H2732" t="s">
        <v>41</v>
      </c>
    </row>
    <row r="2733" spans="1:10" x14ac:dyDescent="0.25">
      <c r="A2733" s="1">
        <v>909</v>
      </c>
      <c r="B2733" t="s">
        <v>19</v>
      </c>
      <c r="C2733">
        <v>706</v>
      </c>
      <c r="D2733">
        <v>2</v>
      </c>
      <c r="E2733" t="s">
        <v>20</v>
      </c>
      <c r="F2733" t="s">
        <v>54</v>
      </c>
      <c r="G2733" t="str">
        <f>"2025-08-12 01:10:44.038"</f>
        <v>2025-08-12 01:10:44.038</v>
      </c>
      <c r="H2733" t="s">
        <v>22</v>
      </c>
      <c r="I2733">
        <v>0</v>
      </c>
      <c r="J2733" t="s">
        <v>23</v>
      </c>
    </row>
    <row r="2734" spans="1:10" x14ac:dyDescent="0.25">
      <c r="A2734" s="1">
        <v>910</v>
      </c>
      <c r="B2734" t="s">
        <v>34</v>
      </c>
      <c r="C2734">
        <v>630</v>
      </c>
      <c r="D2734">
        <v>5</v>
      </c>
      <c r="E2734" t="s">
        <v>39</v>
      </c>
      <c r="F2734" t="s">
        <v>40</v>
      </c>
      <c r="G2734" t="str">
        <f>"2025-08-12 00:42:02.151"</f>
        <v>2025-08-12 00:42:02.151</v>
      </c>
      <c r="H2734" t="s">
        <v>41</v>
      </c>
      <c r="I2734">
        <v>0</v>
      </c>
      <c r="J2734" t="s">
        <v>23</v>
      </c>
    </row>
    <row r="2735" spans="1:10" x14ac:dyDescent="0.25">
      <c r="A2735" s="1">
        <v>911</v>
      </c>
      <c r="B2735" t="s">
        <v>26</v>
      </c>
      <c r="C2735">
        <v>630</v>
      </c>
      <c r="D2735">
        <v>5</v>
      </c>
      <c r="E2735" t="s">
        <v>39</v>
      </c>
      <c r="F2735" t="s">
        <v>40</v>
      </c>
      <c r="G2735" t="str">
        <f>"2025-08-11 23:20:58.951"</f>
        <v>2025-08-11 23:20:58.951</v>
      </c>
      <c r="H2735" t="s">
        <v>41</v>
      </c>
    </row>
    <row r="2736" spans="1:10" x14ac:dyDescent="0.25">
      <c r="A2736" s="1">
        <v>912</v>
      </c>
      <c r="B2736" t="s">
        <v>19</v>
      </c>
      <c r="C2736">
        <v>706</v>
      </c>
      <c r="D2736">
        <v>4</v>
      </c>
      <c r="E2736" t="s">
        <v>20</v>
      </c>
      <c r="F2736" t="s">
        <v>21</v>
      </c>
      <c r="G2736" t="str">
        <f>"2025-08-11 23:20:28.968"</f>
        <v>2025-08-11 23:20:28.968</v>
      </c>
      <c r="H2736" t="s">
        <v>22</v>
      </c>
      <c r="I2736">
        <v>0</v>
      </c>
      <c r="J2736" t="s">
        <v>23</v>
      </c>
    </row>
    <row r="2737" spans="1:10" x14ac:dyDescent="0.25">
      <c r="A2737" s="1">
        <v>913</v>
      </c>
      <c r="B2737" t="s">
        <v>34</v>
      </c>
      <c r="C2737">
        <v>630</v>
      </c>
      <c r="D2737">
        <v>5</v>
      </c>
      <c r="E2737" t="s">
        <v>39</v>
      </c>
      <c r="F2737" t="s">
        <v>40</v>
      </c>
      <c r="G2737" t="str">
        <f>"2025-08-11 23:11:01.252"</f>
        <v>2025-08-11 23:11:01.252</v>
      </c>
      <c r="H2737" t="s">
        <v>41</v>
      </c>
      <c r="I2737">
        <v>0</v>
      </c>
      <c r="J2737" t="s">
        <v>23</v>
      </c>
    </row>
    <row r="2738" spans="1:10" x14ac:dyDescent="0.25">
      <c r="A2738" s="1">
        <v>914</v>
      </c>
      <c r="B2738" t="s">
        <v>26</v>
      </c>
      <c r="C2738">
        <v>61</v>
      </c>
      <c r="D2738">
        <v>2</v>
      </c>
      <c r="E2738" t="s">
        <v>81</v>
      </c>
      <c r="F2738" t="s">
        <v>82</v>
      </c>
      <c r="G2738" t="str">
        <f>"2025-08-11 19:50:33.164"</f>
        <v>2025-08-11 19:50:33.164</v>
      </c>
      <c r="H2738" t="s">
        <v>22</v>
      </c>
    </row>
    <row r="2739" spans="1:10" x14ac:dyDescent="0.25">
      <c r="A2739" s="1">
        <v>915</v>
      </c>
      <c r="B2739" t="s">
        <v>34</v>
      </c>
      <c r="C2739">
        <v>61</v>
      </c>
      <c r="D2739">
        <v>2</v>
      </c>
      <c r="E2739" t="s">
        <v>81</v>
      </c>
      <c r="F2739" t="s">
        <v>82</v>
      </c>
      <c r="G2739" t="str">
        <f>"2025-08-11 19:50:17.064"</f>
        <v>2025-08-11 19:50:17.064</v>
      </c>
      <c r="H2739" t="s">
        <v>22</v>
      </c>
      <c r="I2739">
        <v>37.5</v>
      </c>
      <c r="J2739" t="s">
        <v>37</v>
      </c>
    </row>
    <row r="2740" spans="1:10" x14ac:dyDescent="0.25">
      <c r="A2740" s="1">
        <v>916</v>
      </c>
      <c r="B2740" t="s">
        <v>19</v>
      </c>
      <c r="C2740">
        <v>700</v>
      </c>
      <c r="D2740">
        <v>0</v>
      </c>
      <c r="E2740" t="s">
        <v>24</v>
      </c>
      <c r="F2740" t="s">
        <v>24</v>
      </c>
      <c r="G2740" t="str">
        <f>"2025-08-11 19:19:04.958"</f>
        <v>2025-08-11 19:19:04.958</v>
      </c>
      <c r="H2740" t="s">
        <v>22</v>
      </c>
      <c r="I2740">
        <v>0</v>
      </c>
      <c r="J2740" t="s">
        <v>25</v>
      </c>
    </row>
    <row r="2741" spans="1:10" x14ac:dyDescent="0.25">
      <c r="A2741" s="1">
        <v>917</v>
      </c>
      <c r="B2741" t="s">
        <v>26</v>
      </c>
      <c r="C2741">
        <v>619</v>
      </c>
      <c r="D2741">
        <v>1</v>
      </c>
      <c r="E2741" t="s">
        <v>79</v>
      </c>
      <c r="F2741" t="s">
        <v>28</v>
      </c>
      <c r="G2741" t="str">
        <f>"2025-08-11 19:17:16.971"</f>
        <v>2025-08-11 19:17:16.971</v>
      </c>
      <c r="H2741" t="s">
        <v>80</v>
      </c>
    </row>
    <row r="2742" spans="1:10" x14ac:dyDescent="0.25">
      <c r="A2742" s="1">
        <v>918</v>
      </c>
      <c r="B2742" t="s">
        <v>29</v>
      </c>
      <c r="C2742">
        <v>619</v>
      </c>
      <c r="D2742">
        <v>1</v>
      </c>
      <c r="E2742" t="s">
        <v>79</v>
      </c>
      <c r="F2742" t="s">
        <v>28</v>
      </c>
      <c r="G2742" t="str">
        <f>"2025-08-11 19:17:05.223"</f>
        <v>2025-08-11 19:17:05.223</v>
      </c>
      <c r="H2742" t="s">
        <v>80</v>
      </c>
      <c r="I2742">
        <v>0</v>
      </c>
      <c r="J2742" t="s">
        <v>38</v>
      </c>
    </row>
    <row r="2743" spans="1:10" x14ac:dyDescent="0.25">
      <c r="A2743" s="1">
        <v>919</v>
      </c>
      <c r="B2743" t="s">
        <v>26</v>
      </c>
      <c r="C2743">
        <v>630</v>
      </c>
      <c r="D2743">
        <v>5</v>
      </c>
      <c r="E2743" t="s">
        <v>39</v>
      </c>
      <c r="F2743" t="s">
        <v>40</v>
      </c>
      <c r="G2743" t="str">
        <f>"2025-08-11 04:22:03.171"</f>
        <v>2025-08-11 04:22:03.171</v>
      </c>
      <c r="H2743" t="s">
        <v>41</v>
      </c>
    </row>
    <row r="2744" spans="1:10" x14ac:dyDescent="0.25">
      <c r="A2744" s="1">
        <v>920</v>
      </c>
      <c r="B2744" t="s">
        <v>19</v>
      </c>
      <c r="C2744">
        <v>706</v>
      </c>
      <c r="D2744">
        <v>2</v>
      </c>
      <c r="E2744" t="s">
        <v>20</v>
      </c>
      <c r="F2744" t="s">
        <v>54</v>
      </c>
      <c r="G2744" t="str">
        <f>"2025-08-11 04:21:33.154"</f>
        <v>2025-08-11 04:21:33.154</v>
      </c>
      <c r="H2744" t="s">
        <v>22</v>
      </c>
      <c r="I2744">
        <v>0</v>
      </c>
      <c r="J2744" t="s">
        <v>23</v>
      </c>
    </row>
    <row r="2745" spans="1:10" x14ac:dyDescent="0.25">
      <c r="A2745" s="1">
        <v>921</v>
      </c>
      <c r="B2745" t="s">
        <v>34</v>
      </c>
      <c r="C2745">
        <v>630</v>
      </c>
      <c r="D2745">
        <v>5</v>
      </c>
      <c r="E2745" t="s">
        <v>39</v>
      </c>
      <c r="F2745" t="s">
        <v>40</v>
      </c>
      <c r="G2745" t="str">
        <f>"2025-08-11 04:16:41.171"</f>
        <v>2025-08-11 04:16:41.171</v>
      </c>
      <c r="H2745" t="s">
        <v>41</v>
      </c>
      <c r="I2745">
        <v>0</v>
      </c>
      <c r="J2745" t="s">
        <v>23</v>
      </c>
    </row>
    <row r="2746" spans="1:10" x14ac:dyDescent="0.25">
      <c r="A2746" s="1">
        <v>922</v>
      </c>
      <c r="B2746" t="s">
        <v>26</v>
      </c>
      <c r="C2746">
        <v>635</v>
      </c>
      <c r="D2746">
        <v>1</v>
      </c>
      <c r="E2746" t="s">
        <v>27</v>
      </c>
      <c r="F2746" t="s">
        <v>28</v>
      </c>
      <c r="G2746" t="str">
        <f>"2025-08-10 23:30:09.771"</f>
        <v>2025-08-10 23:30:09.771</v>
      </c>
      <c r="H2746" t="s">
        <v>22</v>
      </c>
    </row>
    <row r="2747" spans="1:10" x14ac:dyDescent="0.25">
      <c r="A2747" s="1">
        <v>923</v>
      </c>
      <c r="B2747" t="s">
        <v>29</v>
      </c>
      <c r="C2747">
        <v>635</v>
      </c>
      <c r="D2747">
        <v>1</v>
      </c>
      <c r="E2747" t="s">
        <v>27</v>
      </c>
      <c r="F2747" t="s">
        <v>28</v>
      </c>
      <c r="G2747" t="str">
        <f>"2025-08-10 23:26:49.771"</f>
        <v>2025-08-10 23:26:49.771</v>
      </c>
      <c r="H2747" t="s">
        <v>22</v>
      </c>
      <c r="I2747">
        <v>7.94</v>
      </c>
      <c r="J2747" t="s">
        <v>30</v>
      </c>
    </row>
    <row r="2748" spans="1:10" x14ac:dyDescent="0.25">
      <c r="A2748" s="1">
        <v>924</v>
      </c>
      <c r="B2748" t="s">
        <v>26</v>
      </c>
      <c r="C2748">
        <v>630</v>
      </c>
      <c r="D2748">
        <v>5</v>
      </c>
      <c r="E2748" t="s">
        <v>39</v>
      </c>
      <c r="F2748" t="s">
        <v>40</v>
      </c>
      <c r="G2748" t="str">
        <f>"2025-08-10 23:18:48.671"</f>
        <v>2025-08-10 23:18:48.671</v>
      </c>
      <c r="H2748" t="s">
        <v>41</v>
      </c>
    </row>
    <row r="2749" spans="1:10" x14ac:dyDescent="0.25">
      <c r="A2749" s="1">
        <v>925</v>
      </c>
      <c r="B2749" t="s">
        <v>19</v>
      </c>
      <c r="C2749">
        <v>706</v>
      </c>
      <c r="D2749">
        <v>2</v>
      </c>
      <c r="E2749" t="s">
        <v>20</v>
      </c>
      <c r="F2749" t="s">
        <v>54</v>
      </c>
      <c r="G2749" t="str">
        <f>"2025-08-10 23:18:18.654"</f>
        <v>2025-08-10 23:18:18.654</v>
      </c>
      <c r="H2749" t="s">
        <v>22</v>
      </c>
      <c r="I2749">
        <v>0</v>
      </c>
      <c r="J2749" t="s">
        <v>23</v>
      </c>
    </row>
    <row r="2750" spans="1:10" x14ac:dyDescent="0.25">
      <c r="A2750" s="1">
        <v>926</v>
      </c>
      <c r="B2750" t="s">
        <v>34</v>
      </c>
      <c r="C2750">
        <v>630</v>
      </c>
      <c r="D2750">
        <v>5</v>
      </c>
      <c r="E2750" t="s">
        <v>39</v>
      </c>
      <c r="F2750" t="s">
        <v>40</v>
      </c>
      <c r="G2750" t="str">
        <f>"2025-08-10 23:11:38.272"</f>
        <v>2025-08-10 23:11:38.272</v>
      </c>
      <c r="H2750" t="s">
        <v>41</v>
      </c>
      <c r="I2750">
        <v>0</v>
      </c>
      <c r="J2750" t="s">
        <v>23</v>
      </c>
    </row>
    <row r="2751" spans="1:10" x14ac:dyDescent="0.25">
      <c r="A2751" s="1">
        <v>927</v>
      </c>
      <c r="B2751" t="s">
        <v>19</v>
      </c>
      <c r="C2751">
        <v>700</v>
      </c>
      <c r="D2751">
        <v>0</v>
      </c>
      <c r="E2751" t="s">
        <v>24</v>
      </c>
      <c r="F2751" t="s">
        <v>24</v>
      </c>
      <c r="G2751" t="str">
        <f>"2025-08-10 13:27:44.714"</f>
        <v>2025-08-10 13:27:44.714</v>
      </c>
      <c r="H2751" t="s">
        <v>22</v>
      </c>
      <c r="I2751">
        <v>0</v>
      </c>
      <c r="J2751" t="s">
        <v>25</v>
      </c>
    </row>
    <row r="2752" spans="1:10" x14ac:dyDescent="0.25">
      <c r="A2752" s="1">
        <v>928</v>
      </c>
      <c r="B2752" t="s">
        <v>19</v>
      </c>
      <c r="C2752">
        <v>700</v>
      </c>
      <c r="D2752">
        <v>0</v>
      </c>
      <c r="E2752" t="s">
        <v>24</v>
      </c>
      <c r="F2752" t="s">
        <v>24</v>
      </c>
      <c r="G2752" t="str">
        <f>"2025-08-10 10:25:00.711"</f>
        <v>2025-08-10 10:25:00.711</v>
      </c>
      <c r="H2752" t="s">
        <v>22</v>
      </c>
    </row>
    <row r="2753" spans="1:10" x14ac:dyDescent="0.25">
      <c r="A2753" s="1">
        <v>929</v>
      </c>
      <c r="B2753" t="s">
        <v>26</v>
      </c>
      <c r="C2753">
        <v>61</v>
      </c>
      <c r="D2753">
        <v>2</v>
      </c>
      <c r="E2753" t="s">
        <v>81</v>
      </c>
      <c r="F2753" t="s">
        <v>82</v>
      </c>
      <c r="G2753" t="str">
        <f>"2025-08-10 06:55:07.066"</f>
        <v>2025-08-10 06:55:07.066</v>
      </c>
      <c r="H2753" t="s">
        <v>22</v>
      </c>
    </row>
    <row r="2754" spans="1:10" x14ac:dyDescent="0.25">
      <c r="A2754" s="1">
        <v>930</v>
      </c>
      <c r="B2754" t="s">
        <v>34</v>
      </c>
      <c r="C2754">
        <v>61</v>
      </c>
      <c r="D2754">
        <v>2</v>
      </c>
      <c r="E2754" t="s">
        <v>81</v>
      </c>
      <c r="F2754" t="s">
        <v>82</v>
      </c>
      <c r="G2754" t="str">
        <f>"2025-08-10 06:54:54.766"</f>
        <v>2025-08-10 06:54:54.766</v>
      </c>
      <c r="H2754" t="s">
        <v>22</v>
      </c>
      <c r="I2754">
        <v>37.17</v>
      </c>
      <c r="J2754" t="s">
        <v>37</v>
      </c>
    </row>
    <row r="2755" spans="1:10" x14ac:dyDescent="0.25">
      <c r="A2755" s="1">
        <v>931</v>
      </c>
      <c r="B2755" t="s">
        <v>26</v>
      </c>
      <c r="C2755">
        <v>630</v>
      </c>
      <c r="D2755">
        <v>5</v>
      </c>
      <c r="E2755" t="s">
        <v>39</v>
      </c>
      <c r="F2755" t="s">
        <v>40</v>
      </c>
      <c r="G2755" t="str">
        <f>"2025-08-10 04:07:15.445"</f>
        <v>2025-08-10 04:07:15.445</v>
      </c>
      <c r="H2755" t="s">
        <v>41</v>
      </c>
    </row>
    <row r="2756" spans="1:10" x14ac:dyDescent="0.25">
      <c r="A2756" s="1">
        <v>932</v>
      </c>
      <c r="B2756" t="s">
        <v>19</v>
      </c>
      <c r="C2756">
        <v>706</v>
      </c>
      <c r="D2756">
        <v>4</v>
      </c>
      <c r="E2756" t="s">
        <v>20</v>
      </c>
      <c r="F2756" t="s">
        <v>21</v>
      </c>
      <c r="G2756" t="str">
        <f>"2025-08-10 04:06:45.348"</f>
        <v>2025-08-10 04:06:45.348</v>
      </c>
      <c r="H2756" t="s">
        <v>22</v>
      </c>
      <c r="I2756">
        <v>0</v>
      </c>
      <c r="J2756" t="s">
        <v>23</v>
      </c>
    </row>
    <row r="2757" spans="1:10" x14ac:dyDescent="0.25">
      <c r="A2757" s="1">
        <v>933</v>
      </c>
      <c r="B2757" t="s">
        <v>34</v>
      </c>
      <c r="C2757">
        <v>630</v>
      </c>
      <c r="D2757">
        <v>5</v>
      </c>
      <c r="E2757" t="s">
        <v>39</v>
      </c>
      <c r="F2757" t="s">
        <v>40</v>
      </c>
      <c r="G2757" t="str">
        <f>"2025-08-10 03:59:29.246"</f>
        <v>2025-08-10 03:59:29.246</v>
      </c>
      <c r="H2757" t="s">
        <v>41</v>
      </c>
      <c r="I2757">
        <v>0</v>
      </c>
      <c r="J2757" t="s">
        <v>23</v>
      </c>
    </row>
    <row r="2758" spans="1:10" x14ac:dyDescent="0.25">
      <c r="A2758" s="1">
        <v>934</v>
      </c>
      <c r="B2758" t="s">
        <v>19</v>
      </c>
      <c r="C2758">
        <v>700</v>
      </c>
      <c r="D2758">
        <v>0</v>
      </c>
      <c r="E2758" t="s">
        <v>24</v>
      </c>
      <c r="F2758" t="s">
        <v>24</v>
      </c>
      <c r="G2758" t="str">
        <f>"2025-08-10 01:38:48.168"</f>
        <v>2025-08-10 01:38:48.168</v>
      </c>
      <c r="H2758" t="s">
        <v>22</v>
      </c>
      <c r="I2758">
        <v>0</v>
      </c>
      <c r="J2758" t="s">
        <v>25</v>
      </c>
    </row>
    <row r="2759" spans="1:10" x14ac:dyDescent="0.25">
      <c r="A2759" s="1">
        <v>935</v>
      </c>
      <c r="B2759" t="s">
        <v>34</v>
      </c>
      <c r="C2759">
        <v>630</v>
      </c>
      <c r="D2759">
        <v>5</v>
      </c>
      <c r="E2759" t="s">
        <v>39</v>
      </c>
      <c r="F2759" t="s">
        <v>40</v>
      </c>
      <c r="G2759" t="str">
        <f>"2025-08-10 01:12:11.892"</f>
        <v>2025-08-10 01:12:11.892</v>
      </c>
      <c r="H2759" t="s">
        <v>41</v>
      </c>
      <c r="I2759">
        <v>0</v>
      </c>
      <c r="J2759" t="s">
        <v>23</v>
      </c>
    </row>
    <row r="2760" spans="1:10" x14ac:dyDescent="0.25">
      <c r="A2760" s="1">
        <v>936</v>
      </c>
      <c r="B2760" t="s">
        <v>19</v>
      </c>
      <c r="C2760">
        <v>700</v>
      </c>
      <c r="D2760">
        <v>0</v>
      </c>
      <c r="E2760" t="s">
        <v>24</v>
      </c>
      <c r="F2760" t="s">
        <v>24</v>
      </c>
      <c r="G2760" t="str">
        <f>"2025-08-09 22:55:34.913"</f>
        <v>2025-08-09 22:55:34.913</v>
      </c>
      <c r="H2760" t="s">
        <v>22</v>
      </c>
      <c r="I2760">
        <v>0</v>
      </c>
      <c r="J2760" t="s">
        <v>25</v>
      </c>
    </row>
    <row r="2761" spans="1:10" x14ac:dyDescent="0.25">
      <c r="A2761" s="1">
        <v>937</v>
      </c>
      <c r="B2761" t="s">
        <v>19</v>
      </c>
      <c r="C2761">
        <v>706</v>
      </c>
      <c r="D2761">
        <v>2</v>
      </c>
      <c r="E2761" t="s">
        <v>20</v>
      </c>
      <c r="F2761" t="s">
        <v>54</v>
      </c>
      <c r="G2761" t="str">
        <f>"2025-08-09 17:45:15.283"</f>
        <v>2025-08-09 17:45:15.283</v>
      </c>
      <c r="H2761" t="s">
        <v>22</v>
      </c>
      <c r="I2761">
        <v>0</v>
      </c>
      <c r="J2761" t="s">
        <v>23</v>
      </c>
    </row>
    <row r="2762" spans="1:10" x14ac:dyDescent="0.25">
      <c r="A2762" s="1">
        <v>938</v>
      </c>
      <c r="B2762" t="s">
        <v>19</v>
      </c>
      <c r="C2762">
        <v>700</v>
      </c>
      <c r="D2762">
        <v>0</v>
      </c>
      <c r="E2762" t="s">
        <v>24</v>
      </c>
      <c r="F2762" t="s">
        <v>24</v>
      </c>
      <c r="G2762" t="str">
        <f>"2025-08-09 17:44:31.953"</f>
        <v>2025-08-09 17:44:31.953</v>
      </c>
      <c r="H2762" t="s">
        <v>22</v>
      </c>
      <c r="I2762">
        <v>0</v>
      </c>
      <c r="J2762" t="s">
        <v>25</v>
      </c>
    </row>
    <row r="2763" spans="1:10" x14ac:dyDescent="0.25">
      <c r="A2763" s="1">
        <v>939</v>
      </c>
      <c r="B2763" t="s">
        <v>34</v>
      </c>
      <c r="C2763">
        <v>630</v>
      </c>
      <c r="D2763">
        <v>5</v>
      </c>
      <c r="E2763" t="s">
        <v>39</v>
      </c>
      <c r="F2763" t="s">
        <v>40</v>
      </c>
      <c r="G2763" t="str">
        <f>"2025-08-09 17:37:16.766"</f>
        <v>2025-08-09 17:37:16.766</v>
      </c>
      <c r="H2763" t="s">
        <v>41</v>
      </c>
      <c r="I2763">
        <v>0</v>
      </c>
      <c r="J2763" t="s">
        <v>23</v>
      </c>
    </row>
    <row r="2764" spans="1:10" x14ac:dyDescent="0.25">
      <c r="A2764" s="1">
        <v>940</v>
      </c>
      <c r="B2764" t="s">
        <v>19</v>
      </c>
      <c r="C2764">
        <v>706</v>
      </c>
      <c r="D2764">
        <v>2</v>
      </c>
      <c r="E2764" t="s">
        <v>20</v>
      </c>
      <c r="F2764" t="s">
        <v>54</v>
      </c>
      <c r="G2764" t="str">
        <f>"2025-08-09 17:28:22.107"</f>
        <v>2025-08-09 17:28:22.107</v>
      </c>
      <c r="H2764" t="s">
        <v>22</v>
      </c>
      <c r="I2764">
        <v>0</v>
      </c>
      <c r="J2764" t="s">
        <v>23</v>
      </c>
    </row>
    <row r="2765" spans="1:10" x14ac:dyDescent="0.25">
      <c r="A2765" s="1">
        <v>941</v>
      </c>
      <c r="B2765" t="s">
        <v>19</v>
      </c>
      <c r="C2765">
        <v>700</v>
      </c>
      <c r="D2765">
        <v>0</v>
      </c>
      <c r="E2765" t="s">
        <v>24</v>
      </c>
      <c r="F2765" t="s">
        <v>24</v>
      </c>
      <c r="G2765" t="str">
        <f>"2025-08-09 17:28:03.687"</f>
        <v>2025-08-09 17:28:03.687</v>
      </c>
      <c r="H2765" t="s">
        <v>22</v>
      </c>
      <c r="I2765">
        <v>0</v>
      </c>
      <c r="J2765" t="s">
        <v>25</v>
      </c>
    </row>
    <row r="2766" spans="1:10" x14ac:dyDescent="0.25">
      <c r="A2766" s="1">
        <v>942</v>
      </c>
      <c r="B2766" t="s">
        <v>19</v>
      </c>
      <c r="C2766">
        <v>706</v>
      </c>
      <c r="D2766">
        <v>4</v>
      </c>
      <c r="E2766" t="s">
        <v>20</v>
      </c>
      <c r="F2766" t="s">
        <v>21</v>
      </c>
      <c r="G2766" t="str">
        <f>"2025-08-09 16:41:59.337"</f>
        <v>2025-08-09 16:41:59.337</v>
      </c>
      <c r="H2766" t="s">
        <v>22</v>
      </c>
      <c r="I2766">
        <v>0</v>
      </c>
      <c r="J2766" t="s">
        <v>23</v>
      </c>
    </row>
    <row r="2767" spans="1:10" x14ac:dyDescent="0.25">
      <c r="A2767" s="1">
        <v>943</v>
      </c>
      <c r="B2767" t="s">
        <v>19</v>
      </c>
      <c r="C2767">
        <v>700</v>
      </c>
      <c r="D2767">
        <v>0</v>
      </c>
      <c r="E2767" t="s">
        <v>24</v>
      </c>
      <c r="F2767" t="s">
        <v>24</v>
      </c>
      <c r="G2767" t="str">
        <f>"2025-08-09 16:41:28.687"</f>
        <v>2025-08-09 16:41:28.687</v>
      </c>
      <c r="H2767" t="s">
        <v>22</v>
      </c>
      <c r="I2767">
        <v>0</v>
      </c>
      <c r="J2767" t="s">
        <v>25</v>
      </c>
    </row>
    <row r="2768" spans="1:10" x14ac:dyDescent="0.25">
      <c r="A2768" s="1">
        <v>944</v>
      </c>
      <c r="B2768" t="s">
        <v>19</v>
      </c>
      <c r="C2768">
        <v>706</v>
      </c>
      <c r="D2768">
        <v>2</v>
      </c>
      <c r="E2768" t="s">
        <v>20</v>
      </c>
      <c r="F2768" t="s">
        <v>54</v>
      </c>
      <c r="G2768" t="str">
        <f>"2025-08-09 16:36:15.792"</f>
        <v>2025-08-09 16:36:15.792</v>
      </c>
      <c r="H2768" t="s">
        <v>22</v>
      </c>
      <c r="I2768">
        <v>0</v>
      </c>
      <c r="J2768" t="s">
        <v>23</v>
      </c>
    </row>
    <row r="2769" spans="1:10" x14ac:dyDescent="0.25">
      <c r="A2769" s="1">
        <v>945</v>
      </c>
      <c r="B2769" t="s">
        <v>19</v>
      </c>
      <c r="C2769">
        <v>706</v>
      </c>
      <c r="D2769">
        <v>4</v>
      </c>
      <c r="E2769" t="s">
        <v>20</v>
      </c>
      <c r="F2769" t="s">
        <v>21</v>
      </c>
      <c r="G2769" t="str">
        <f>"2025-08-09 16:32:57.742"</f>
        <v>2025-08-09 16:32:57.742</v>
      </c>
      <c r="H2769" t="s">
        <v>22</v>
      </c>
      <c r="I2769">
        <v>0</v>
      </c>
      <c r="J2769" t="s">
        <v>23</v>
      </c>
    </row>
    <row r="2770" spans="1:10" x14ac:dyDescent="0.25">
      <c r="A2770" s="1">
        <v>946</v>
      </c>
      <c r="B2770" t="s">
        <v>19</v>
      </c>
      <c r="C2770">
        <v>700</v>
      </c>
      <c r="D2770">
        <v>0</v>
      </c>
      <c r="E2770" t="s">
        <v>24</v>
      </c>
      <c r="F2770" t="s">
        <v>24</v>
      </c>
      <c r="G2770" t="str">
        <f>"2025-08-09 16:32:40.682"</f>
        <v>2025-08-09 16:32:40.682</v>
      </c>
      <c r="H2770" t="s">
        <v>22</v>
      </c>
    </row>
    <row r="2771" spans="1:10" x14ac:dyDescent="0.25">
      <c r="A2771" s="1">
        <v>947</v>
      </c>
      <c r="B2771" t="s">
        <v>19</v>
      </c>
      <c r="C2771">
        <v>700</v>
      </c>
      <c r="D2771">
        <v>0</v>
      </c>
      <c r="E2771" t="s">
        <v>24</v>
      </c>
      <c r="F2771" t="s">
        <v>24</v>
      </c>
      <c r="G2771" t="str">
        <f>"2025-08-09 16:29:33.927"</f>
        <v>2025-08-09 16:29:33.927</v>
      </c>
      <c r="H2771" t="s">
        <v>22</v>
      </c>
    </row>
    <row r="2772" spans="1:10" x14ac:dyDescent="0.25">
      <c r="A2772" s="1">
        <v>948</v>
      </c>
      <c r="B2772" t="s">
        <v>26</v>
      </c>
      <c r="C2772">
        <v>630</v>
      </c>
      <c r="D2772">
        <v>5</v>
      </c>
      <c r="E2772" t="s">
        <v>39</v>
      </c>
      <c r="F2772" t="s">
        <v>40</v>
      </c>
      <c r="G2772" t="str">
        <f>"2025-08-09 16:20:15.154"</f>
        <v>2025-08-09 16:20:15.154</v>
      </c>
      <c r="H2772" t="s">
        <v>41</v>
      </c>
    </row>
    <row r="2773" spans="1:10" x14ac:dyDescent="0.25">
      <c r="A2773" s="1">
        <v>949</v>
      </c>
      <c r="B2773" t="s">
        <v>19</v>
      </c>
      <c r="C2773">
        <v>706</v>
      </c>
      <c r="D2773">
        <v>4</v>
      </c>
      <c r="E2773" t="s">
        <v>20</v>
      </c>
      <c r="F2773" t="s">
        <v>21</v>
      </c>
      <c r="G2773" t="str">
        <f>"2025-08-09 16:19:45.122"</f>
        <v>2025-08-09 16:19:45.122</v>
      </c>
      <c r="H2773" t="s">
        <v>22</v>
      </c>
      <c r="I2773">
        <v>0</v>
      </c>
      <c r="J2773" t="s">
        <v>23</v>
      </c>
    </row>
    <row r="2774" spans="1:10" x14ac:dyDescent="0.25">
      <c r="A2774" s="1">
        <v>950</v>
      </c>
      <c r="B2774" t="s">
        <v>34</v>
      </c>
      <c r="C2774">
        <v>630</v>
      </c>
      <c r="D2774">
        <v>5</v>
      </c>
      <c r="E2774" t="s">
        <v>39</v>
      </c>
      <c r="F2774" t="s">
        <v>40</v>
      </c>
      <c r="G2774" t="str">
        <f>"2025-08-09 16:06:04.454"</f>
        <v>2025-08-09 16:06:04.454</v>
      </c>
      <c r="H2774" t="s">
        <v>41</v>
      </c>
      <c r="I2774">
        <v>0</v>
      </c>
      <c r="J2774" t="s">
        <v>23</v>
      </c>
    </row>
    <row r="2775" spans="1:10" x14ac:dyDescent="0.25">
      <c r="A2775" s="1">
        <v>951</v>
      </c>
      <c r="B2775" t="s">
        <v>19</v>
      </c>
      <c r="C2775">
        <v>700</v>
      </c>
      <c r="D2775">
        <v>0</v>
      </c>
      <c r="E2775" t="s">
        <v>24</v>
      </c>
      <c r="F2775" t="s">
        <v>24</v>
      </c>
      <c r="G2775" t="str">
        <f>"2025-08-09 16:01:01.672"</f>
        <v>2025-08-09 16:01:01.672</v>
      </c>
      <c r="H2775" t="s">
        <v>22</v>
      </c>
      <c r="I2775">
        <v>0</v>
      </c>
      <c r="J2775" t="s">
        <v>25</v>
      </c>
    </row>
    <row r="2776" spans="1:10" x14ac:dyDescent="0.25">
      <c r="A2776" s="1">
        <v>952</v>
      </c>
      <c r="B2776" t="s">
        <v>19</v>
      </c>
      <c r="C2776">
        <v>700</v>
      </c>
      <c r="D2776">
        <v>0</v>
      </c>
      <c r="E2776" t="s">
        <v>24</v>
      </c>
      <c r="F2776" t="s">
        <v>24</v>
      </c>
      <c r="G2776" t="str">
        <f>"2025-08-09 15:46:27.687"</f>
        <v>2025-08-09 15:46:27.687</v>
      </c>
      <c r="H2776" t="s">
        <v>22</v>
      </c>
      <c r="I2776">
        <v>0</v>
      </c>
      <c r="J2776" t="s">
        <v>25</v>
      </c>
    </row>
    <row r="2777" spans="1:10" x14ac:dyDescent="0.25">
      <c r="A2777" s="1">
        <v>953</v>
      </c>
      <c r="B2777" t="s">
        <v>19</v>
      </c>
      <c r="C2777">
        <v>706</v>
      </c>
      <c r="D2777">
        <v>3</v>
      </c>
      <c r="E2777" t="s">
        <v>20</v>
      </c>
      <c r="F2777" t="s">
        <v>48</v>
      </c>
      <c r="G2777" t="str">
        <f>"2025-08-09 15:42:26.399"</f>
        <v>2025-08-09 15:42:26.399</v>
      </c>
      <c r="H2777" t="s">
        <v>22</v>
      </c>
      <c r="I2777">
        <v>0</v>
      </c>
      <c r="J2777" t="s">
        <v>23</v>
      </c>
    </row>
    <row r="2778" spans="1:10" x14ac:dyDescent="0.25">
      <c r="A2778" s="1">
        <v>954</v>
      </c>
      <c r="B2778" t="s">
        <v>19</v>
      </c>
      <c r="C2778">
        <v>700</v>
      </c>
      <c r="D2778">
        <v>0</v>
      </c>
      <c r="E2778" t="s">
        <v>24</v>
      </c>
      <c r="F2778" t="s">
        <v>24</v>
      </c>
      <c r="G2778" t="str">
        <f>"2025-08-09 15:41:59.689"</f>
        <v>2025-08-09 15:41:59.689</v>
      </c>
      <c r="H2778" t="s">
        <v>22</v>
      </c>
    </row>
    <row r="2779" spans="1:10" x14ac:dyDescent="0.25">
      <c r="A2779" s="1">
        <v>955</v>
      </c>
      <c r="B2779" t="s">
        <v>34</v>
      </c>
      <c r="C2779">
        <v>630</v>
      </c>
      <c r="D2779">
        <v>5</v>
      </c>
      <c r="E2779" t="s">
        <v>39</v>
      </c>
      <c r="F2779" t="s">
        <v>40</v>
      </c>
      <c r="G2779" t="str">
        <f>"2025-08-09 15:00:04.009"</f>
        <v>2025-08-09 15:00:04.009</v>
      </c>
      <c r="H2779" t="s">
        <v>41</v>
      </c>
      <c r="I2779">
        <v>0</v>
      </c>
      <c r="J2779" t="s">
        <v>23</v>
      </c>
    </row>
    <row r="2780" spans="1:10" x14ac:dyDescent="0.25">
      <c r="A2780" s="1">
        <v>957</v>
      </c>
      <c r="B2780" t="s">
        <v>19</v>
      </c>
      <c r="C2780">
        <v>700</v>
      </c>
      <c r="D2780">
        <v>0</v>
      </c>
      <c r="E2780" t="s">
        <v>24</v>
      </c>
      <c r="F2780" t="s">
        <v>24</v>
      </c>
      <c r="G2780" t="str">
        <f>"2025-08-09 14:55:01.197"</f>
        <v>2025-08-09 14:55:01.197</v>
      </c>
      <c r="H2780" t="s">
        <v>22</v>
      </c>
    </row>
    <row r="2781" spans="1:10" x14ac:dyDescent="0.25">
      <c r="A2781" s="1">
        <v>958</v>
      </c>
      <c r="B2781" t="s">
        <v>26</v>
      </c>
      <c r="C2781">
        <v>630</v>
      </c>
      <c r="D2781">
        <v>5</v>
      </c>
      <c r="E2781" t="s">
        <v>39</v>
      </c>
      <c r="F2781" t="s">
        <v>40</v>
      </c>
      <c r="G2781" t="str">
        <f>"2025-08-09 13:53:43.540"</f>
        <v>2025-08-09 13:53:43.540</v>
      </c>
      <c r="H2781" t="s">
        <v>41</v>
      </c>
    </row>
    <row r="2782" spans="1:10" x14ac:dyDescent="0.25">
      <c r="A2782" s="1">
        <v>959</v>
      </c>
      <c r="B2782" t="s">
        <v>19</v>
      </c>
      <c r="C2782">
        <v>706</v>
      </c>
      <c r="D2782">
        <v>2</v>
      </c>
      <c r="E2782" t="s">
        <v>20</v>
      </c>
      <c r="F2782" t="s">
        <v>54</v>
      </c>
      <c r="G2782" t="str">
        <f>"2025-08-09 13:53:13.472"</f>
        <v>2025-08-09 13:53:13.472</v>
      </c>
      <c r="H2782" t="s">
        <v>22</v>
      </c>
      <c r="I2782">
        <v>0</v>
      </c>
      <c r="J2782" t="s">
        <v>23</v>
      </c>
    </row>
    <row r="2783" spans="1:10" x14ac:dyDescent="0.25">
      <c r="A2783" s="1">
        <v>960</v>
      </c>
      <c r="B2783" t="s">
        <v>34</v>
      </c>
      <c r="C2783">
        <v>630</v>
      </c>
      <c r="D2783">
        <v>5</v>
      </c>
      <c r="E2783" t="s">
        <v>39</v>
      </c>
      <c r="F2783" t="s">
        <v>40</v>
      </c>
      <c r="G2783" t="str">
        <f>"2025-08-09 13:51:42.541"</f>
        <v>2025-08-09 13:51:42.541</v>
      </c>
      <c r="H2783" t="s">
        <v>41</v>
      </c>
      <c r="I2783">
        <v>0</v>
      </c>
      <c r="J2783" t="s">
        <v>23</v>
      </c>
    </row>
    <row r="2784" spans="1:10" x14ac:dyDescent="0.25">
      <c r="A2784" s="1">
        <v>961</v>
      </c>
      <c r="B2784" t="s">
        <v>19</v>
      </c>
      <c r="C2784">
        <v>700</v>
      </c>
      <c r="D2784">
        <v>0</v>
      </c>
      <c r="E2784" t="s">
        <v>24</v>
      </c>
      <c r="F2784" t="s">
        <v>24</v>
      </c>
      <c r="G2784" t="str">
        <f>"2025-08-09 13:46:39.772"</f>
        <v>2025-08-09 13:46:39.772</v>
      </c>
      <c r="H2784" t="s">
        <v>22</v>
      </c>
      <c r="I2784">
        <v>0</v>
      </c>
      <c r="J2784" t="s">
        <v>25</v>
      </c>
    </row>
    <row r="2785" spans="1:10" x14ac:dyDescent="0.25">
      <c r="A2785" s="1">
        <v>962</v>
      </c>
      <c r="B2785" t="s">
        <v>19</v>
      </c>
      <c r="C2785">
        <v>706</v>
      </c>
      <c r="D2785">
        <v>4</v>
      </c>
      <c r="E2785" t="s">
        <v>20</v>
      </c>
      <c r="F2785" t="s">
        <v>21</v>
      </c>
      <c r="G2785" t="str">
        <f>"2025-08-09 07:18:06.427"</f>
        <v>2025-08-09 07:18:06.427</v>
      </c>
      <c r="H2785" t="s">
        <v>22</v>
      </c>
      <c r="I2785">
        <v>0</v>
      </c>
      <c r="J2785" t="s">
        <v>23</v>
      </c>
    </row>
    <row r="2786" spans="1:10" x14ac:dyDescent="0.25">
      <c r="A2786" s="1">
        <v>963</v>
      </c>
      <c r="B2786" t="s">
        <v>19</v>
      </c>
      <c r="C2786">
        <v>700</v>
      </c>
      <c r="D2786">
        <v>0</v>
      </c>
      <c r="E2786" t="s">
        <v>24</v>
      </c>
      <c r="F2786" t="s">
        <v>24</v>
      </c>
      <c r="G2786" t="str">
        <f>"2025-08-09 07:16:59.687"</f>
        <v>2025-08-09 07:16:59.687</v>
      </c>
      <c r="H2786" t="s">
        <v>22</v>
      </c>
      <c r="I2786">
        <v>0</v>
      </c>
      <c r="J2786" t="s">
        <v>25</v>
      </c>
    </row>
    <row r="2787" spans="1:10" x14ac:dyDescent="0.25">
      <c r="A2787" s="1">
        <v>964</v>
      </c>
      <c r="B2787" t="s">
        <v>19</v>
      </c>
      <c r="C2787">
        <v>700</v>
      </c>
      <c r="D2787">
        <v>0</v>
      </c>
      <c r="E2787" t="s">
        <v>24</v>
      </c>
      <c r="F2787" t="s">
        <v>24</v>
      </c>
      <c r="G2787" t="str">
        <f>"2025-08-09 05:45:16.730"</f>
        <v>2025-08-09 05:45:16.730</v>
      </c>
      <c r="H2787" t="s">
        <v>22</v>
      </c>
      <c r="I2787">
        <v>0</v>
      </c>
      <c r="J2787" t="s">
        <v>25</v>
      </c>
    </row>
    <row r="2788" spans="1:10" x14ac:dyDescent="0.25">
      <c r="A2788" s="1">
        <v>965</v>
      </c>
      <c r="B2788" t="s">
        <v>19</v>
      </c>
      <c r="C2788">
        <v>706</v>
      </c>
      <c r="D2788">
        <v>2</v>
      </c>
      <c r="E2788" t="s">
        <v>20</v>
      </c>
      <c r="F2788" t="s">
        <v>54</v>
      </c>
      <c r="G2788" t="str">
        <f>"2025-08-09 00:44:39.276"</f>
        <v>2025-08-09 00:44:39.276</v>
      </c>
      <c r="H2788" t="s">
        <v>22</v>
      </c>
      <c r="I2788">
        <v>0</v>
      </c>
      <c r="J2788" t="s">
        <v>23</v>
      </c>
    </row>
    <row r="2789" spans="1:10" x14ac:dyDescent="0.25">
      <c r="A2789" s="1">
        <v>966</v>
      </c>
      <c r="B2789" t="s">
        <v>19</v>
      </c>
      <c r="C2789">
        <v>700</v>
      </c>
      <c r="D2789">
        <v>0</v>
      </c>
      <c r="E2789" t="s">
        <v>24</v>
      </c>
      <c r="F2789" t="s">
        <v>24</v>
      </c>
      <c r="G2789" t="str">
        <f>"2025-08-09 00:43:43.716"</f>
        <v>2025-08-09 00:43:43.716</v>
      </c>
      <c r="H2789" t="s">
        <v>22</v>
      </c>
      <c r="I2789">
        <v>0</v>
      </c>
      <c r="J2789" t="s">
        <v>25</v>
      </c>
    </row>
    <row r="2790" spans="1:10" x14ac:dyDescent="0.25">
      <c r="A2790" s="1">
        <v>967</v>
      </c>
      <c r="B2790" t="s">
        <v>34</v>
      </c>
      <c r="C2790">
        <v>630</v>
      </c>
      <c r="D2790">
        <v>5</v>
      </c>
      <c r="E2790" t="s">
        <v>39</v>
      </c>
      <c r="F2790" t="s">
        <v>40</v>
      </c>
      <c r="G2790" t="str">
        <f>"2025-08-09 00:14:32.958"</f>
        <v>2025-08-09 00:14:32.958</v>
      </c>
      <c r="H2790" t="s">
        <v>41</v>
      </c>
      <c r="I2790">
        <v>0</v>
      </c>
      <c r="J2790" t="s">
        <v>23</v>
      </c>
    </row>
    <row r="2791" spans="1:10" x14ac:dyDescent="0.25">
      <c r="A2791" s="1">
        <v>968</v>
      </c>
      <c r="B2791" t="s">
        <v>26</v>
      </c>
      <c r="C2791">
        <v>630</v>
      </c>
      <c r="D2791">
        <v>5</v>
      </c>
      <c r="E2791" t="s">
        <v>39</v>
      </c>
      <c r="F2791" t="s">
        <v>40</v>
      </c>
      <c r="G2791" t="str">
        <f>"2025-08-08 13:51:06.458"</f>
        <v>2025-08-08 13:51:06.458</v>
      </c>
      <c r="H2791" t="s">
        <v>41</v>
      </c>
    </row>
    <row r="2792" spans="1:10" x14ac:dyDescent="0.25">
      <c r="A2792" s="1">
        <v>969</v>
      </c>
      <c r="B2792" t="s">
        <v>19</v>
      </c>
      <c r="C2792">
        <v>706</v>
      </c>
      <c r="D2792">
        <v>4</v>
      </c>
      <c r="E2792" t="s">
        <v>20</v>
      </c>
      <c r="F2792" t="s">
        <v>21</v>
      </c>
      <c r="G2792" t="str">
        <f>"2025-08-08 13:50:36.410"</f>
        <v>2025-08-08 13:50:36.410</v>
      </c>
      <c r="H2792" t="s">
        <v>22</v>
      </c>
      <c r="I2792">
        <v>0</v>
      </c>
      <c r="J2792" t="s">
        <v>23</v>
      </c>
    </row>
    <row r="2793" spans="1:10" x14ac:dyDescent="0.25">
      <c r="A2793" s="1">
        <v>970</v>
      </c>
      <c r="B2793" t="s">
        <v>34</v>
      </c>
      <c r="C2793">
        <v>630</v>
      </c>
      <c r="D2793">
        <v>5</v>
      </c>
      <c r="E2793" t="s">
        <v>39</v>
      </c>
      <c r="F2793" t="s">
        <v>40</v>
      </c>
      <c r="G2793" t="str">
        <f>"2025-08-08 13:46:09.459"</f>
        <v>2025-08-08 13:46:09.459</v>
      </c>
      <c r="H2793" t="s">
        <v>41</v>
      </c>
      <c r="I2793">
        <v>0</v>
      </c>
      <c r="J2793" t="s">
        <v>23</v>
      </c>
    </row>
    <row r="2794" spans="1:10" x14ac:dyDescent="0.25">
      <c r="A2794" s="1">
        <v>971</v>
      </c>
      <c r="B2794" t="s">
        <v>19</v>
      </c>
      <c r="C2794">
        <v>700</v>
      </c>
      <c r="D2794">
        <v>0</v>
      </c>
      <c r="E2794" t="s">
        <v>24</v>
      </c>
      <c r="F2794" t="s">
        <v>24</v>
      </c>
      <c r="G2794" t="str">
        <f>"2025-08-08 13:41:06.680"</f>
        <v>2025-08-08 13:41:06.680</v>
      </c>
      <c r="H2794" t="s">
        <v>22</v>
      </c>
    </row>
    <row r="2795" spans="1:10" x14ac:dyDescent="0.25">
      <c r="A2795" s="1">
        <v>972</v>
      </c>
      <c r="B2795" t="s">
        <v>19</v>
      </c>
      <c r="C2795">
        <v>706</v>
      </c>
      <c r="D2795">
        <v>4</v>
      </c>
      <c r="E2795" t="s">
        <v>20</v>
      </c>
      <c r="F2795" t="s">
        <v>21</v>
      </c>
      <c r="G2795" t="str">
        <f>"2025-08-08 13:05:03.627"</f>
        <v>2025-08-08 13:05:03.627</v>
      </c>
      <c r="H2795" t="s">
        <v>22</v>
      </c>
      <c r="I2795">
        <v>0</v>
      </c>
      <c r="J2795" t="s">
        <v>23</v>
      </c>
    </row>
    <row r="2796" spans="1:10" x14ac:dyDescent="0.25">
      <c r="A2796" s="1">
        <v>973</v>
      </c>
      <c r="B2796" t="s">
        <v>26</v>
      </c>
      <c r="C2796">
        <v>619</v>
      </c>
      <c r="D2796">
        <v>1</v>
      </c>
      <c r="E2796" t="s">
        <v>79</v>
      </c>
      <c r="F2796" t="s">
        <v>28</v>
      </c>
      <c r="G2796" t="str">
        <f>"2025-08-08 13:04:46.135"</f>
        <v>2025-08-08 13:04:46.135</v>
      </c>
      <c r="H2796" t="s">
        <v>80</v>
      </c>
    </row>
    <row r="2797" spans="1:10" x14ac:dyDescent="0.25">
      <c r="A2797" s="1">
        <v>974</v>
      </c>
      <c r="B2797" t="s">
        <v>29</v>
      </c>
      <c r="C2797">
        <v>619</v>
      </c>
      <c r="D2797">
        <v>1</v>
      </c>
      <c r="E2797" t="s">
        <v>79</v>
      </c>
      <c r="F2797" t="s">
        <v>28</v>
      </c>
      <c r="G2797" t="str">
        <f>"2025-08-08 13:04:11.135"</f>
        <v>2025-08-08 13:04:11.135</v>
      </c>
      <c r="H2797" t="s">
        <v>80</v>
      </c>
      <c r="I2797">
        <v>0</v>
      </c>
      <c r="J2797" t="s">
        <v>23</v>
      </c>
    </row>
    <row r="2798" spans="1:10" x14ac:dyDescent="0.25">
      <c r="A2798" s="1">
        <v>975</v>
      </c>
      <c r="B2798" t="s">
        <v>19</v>
      </c>
      <c r="C2798">
        <v>706</v>
      </c>
      <c r="D2798">
        <v>4</v>
      </c>
      <c r="E2798" t="s">
        <v>20</v>
      </c>
      <c r="F2798" t="s">
        <v>21</v>
      </c>
      <c r="G2798" t="str">
        <f>"2025-08-08 13:03:55.317"</f>
        <v>2025-08-08 13:03:55.317</v>
      </c>
      <c r="H2798" t="s">
        <v>22</v>
      </c>
      <c r="I2798">
        <v>0</v>
      </c>
      <c r="J2798" t="s">
        <v>23</v>
      </c>
    </row>
    <row r="2799" spans="1:10" x14ac:dyDescent="0.25">
      <c r="A2799" s="1">
        <v>976</v>
      </c>
      <c r="B2799" t="s">
        <v>19</v>
      </c>
      <c r="C2799">
        <v>700</v>
      </c>
      <c r="D2799">
        <v>0</v>
      </c>
      <c r="E2799" t="s">
        <v>24</v>
      </c>
      <c r="F2799" t="s">
        <v>24</v>
      </c>
      <c r="G2799" t="str">
        <f>"2025-08-08 13:03:41.747"</f>
        <v>2025-08-08 13:03:41.747</v>
      </c>
      <c r="H2799" t="s">
        <v>22</v>
      </c>
      <c r="I2799">
        <v>0</v>
      </c>
      <c r="J2799" t="s">
        <v>25</v>
      </c>
    </row>
    <row r="2800" spans="1:10" x14ac:dyDescent="0.25">
      <c r="A2800" s="1">
        <v>977</v>
      </c>
      <c r="B2800" t="s">
        <v>26</v>
      </c>
      <c r="C2800">
        <v>635</v>
      </c>
      <c r="D2800">
        <v>1</v>
      </c>
      <c r="E2800" t="s">
        <v>27</v>
      </c>
      <c r="F2800" t="s">
        <v>28</v>
      </c>
      <c r="G2800" t="str">
        <f>"2025-08-08 08:10:43.959"</f>
        <v>2025-08-08 08:10:43.959</v>
      </c>
      <c r="H2800" t="s">
        <v>22</v>
      </c>
    </row>
    <row r="2801" spans="1:10" x14ac:dyDescent="0.25">
      <c r="A2801" s="1">
        <v>978</v>
      </c>
      <c r="B2801" t="s">
        <v>29</v>
      </c>
      <c r="C2801">
        <v>635</v>
      </c>
      <c r="D2801">
        <v>1</v>
      </c>
      <c r="E2801" t="s">
        <v>27</v>
      </c>
      <c r="F2801" t="s">
        <v>28</v>
      </c>
      <c r="G2801" t="str">
        <f>"2025-08-08 08:08:28.459"</f>
        <v>2025-08-08 08:08:28.459</v>
      </c>
      <c r="H2801" t="s">
        <v>22</v>
      </c>
      <c r="I2801">
        <v>3.75</v>
      </c>
      <c r="J2801" t="s">
        <v>30</v>
      </c>
    </row>
    <row r="2802" spans="1:10" x14ac:dyDescent="0.25">
      <c r="A2802" s="1">
        <v>979</v>
      </c>
      <c r="B2802" t="s">
        <v>19</v>
      </c>
      <c r="C2802">
        <v>700</v>
      </c>
      <c r="D2802">
        <v>0</v>
      </c>
      <c r="E2802" t="s">
        <v>24</v>
      </c>
      <c r="F2802" t="s">
        <v>24</v>
      </c>
      <c r="G2802" t="str">
        <f>"2025-08-08 05:01:47.751"</f>
        <v>2025-08-08 05:01:47.751</v>
      </c>
      <c r="H2802" t="s">
        <v>22</v>
      </c>
      <c r="I2802">
        <v>0</v>
      </c>
      <c r="J2802" t="s">
        <v>25</v>
      </c>
    </row>
    <row r="2803" spans="1:10" x14ac:dyDescent="0.25">
      <c r="A2803" s="1">
        <v>980</v>
      </c>
      <c r="B2803" t="s">
        <v>19</v>
      </c>
      <c r="C2803">
        <v>700</v>
      </c>
      <c r="D2803">
        <v>0</v>
      </c>
      <c r="E2803" t="s">
        <v>24</v>
      </c>
      <c r="F2803" t="s">
        <v>24</v>
      </c>
      <c r="G2803" t="str">
        <f>"2025-08-08 04:54:04.924"</f>
        <v>2025-08-08 04:54:04.924</v>
      </c>
      <c r="H2803" t="s">
        <v>22</v>
      </c>
      <c r="I2803">
        <v>0</v>
      </c>
      <c r="J2803" t="s">
        <v>25</v>
      </c>
    </row>
    <row r="2804" spans="1:10" x14ac:dyDescent="0.25">
      <c r="A2804" s="1">
        <v>981</v>
      </c>
      <c r="B2804" t="s">
        <v>34</v>
      </c>
      <c r="C2804">
        <v>630</v>
      </c>
      <c r="D2804">
        <v>5</v>
      </c>
      <c r="E2804" t="s">
        <v>39</v>
      </c>
      <c r="F2804" t="s">
        <v>40</v>
      </c>
      <c r="G2804" t="str">
        <f>"2025-08-08 04:53:04.066"</f>
        <v>2025-08-08 04:53:04.066</v>
      </c>
      <c r="H2804" t="s">
        <v>41</v>
      </c>
      <c r="I2804">
        <v>0</v>
      </c>
      <c r="J2804" t="s">
        <v>23</v>
      </c>
    </row>
    <row r="2805" spans="1:10" x14ac:dyDescent="0.25">
      <c r="A2805" s="1">
        <v>982</v>
      </c>
      <c r="B2805" t="s">
        <v>19</v>
      </c>
      <c r="C2805">
        <v>706</v>
      </c>
      <c r="D2805">
        <v>2</v>
      </c>
      <c r="E2805" t="s">
        <v>20</v>
      </c>
      <c r="F2805" t="s">
        <v>54</v>
      </c>
      <c r="G2805" t="str">
        <f>"2025-08-08 03:35:37.214"</f>
        <v>2025-08-08 03:35:37.214</v>
      </c>
      <c r="H2805" t="s">
        <v>22</v>
      </c>
      <c r="I2805">
        <v>0</v>
      </c>
      <c r="J2805" t="s">
        <v>23</v>
      </c>
    </row>
    <row r="2806" spans="1:10" x14ac:dyDescent="0.25">
      <c r="A2806" s="1">
        <v>983</v>
      </c>
      <c r="B2806" t="s">
        <v>19</v>
      </c>
      <c r="C2806">
        <v>700</v>
      </c>
      <c r="D2806">
        <v>0</v>
      </c>
      <c r="E2806" t="s">
        <v>24</v>
      </c>
      <c r="F2806" t="s">
        <v>24</v>
      </c>
      <c r="G2806" t="str">
        <f>"2025-08-08 03:33:39.684"</f>
        <v>2025-08-08 03:33:39.684</v>
      </c>
      <c r="H2806" t="s">
        <v>22</v>
      </c>
      <c r="I2806">
        <v>0</v>
      </c>
      <c r="J2806" t="s">
        <v>25</v>
      </c>
    </row>
    <row r="2807" spans="1:10" x14ac:dyDescent="0.25">
      <c r="A2807" s="1">
        <v>984</v>
      </c>
      <c r="B2807" t="s">
        <v>34</v>
      </c>
      <c r="C2807">
        <v>630</v>
      </c>
      <c r="D2807">
        <v>5</v>
      </c>
      <c r="E2807" t="s">
        <v>39</v>
      </c>
      <c r="F2807" t="s">
        <v>40</v>
      </c>
      <c r="G2807" t="str">
        <f>"2025-08-08 03:25:55.461"</f>
        <v>2025-08-08 03:25:55.461</v>
      </c>
      <c r="H2807" t="s">
        <v>41</v>
      </c>
      <c r="I2807">
        <v>0</v>
      </c>
      <c r="J2807" t="s">
        <v>23</v>
      </c>
    </row>
    <row r="2808" spans="1:10" x14ac:dyDescent="0.25">
      <c r="A2808" s="1">
        <v>985</v>
      </c>
      <c r="B2808" t="s">
        <v>19</v>
      </c>
      <c r="C2808">
        <v>700</v>
      </c>
      <c r="D2808">
        <v>0</v>
      </c>
      <c r="E2808" t="s">
        <v>24</v>
      </c>
      <c r="F2808" t="s">
        <v>24</v>
      </c>
      <c r="G2808" t="str">
        <f>"2025-08-08 03:20:52.679"</f>
        <v>2025-08-08 03:20:52.679</v>
      </c>
      <c r="H2808" t="s">
        <v>22</v>
      </c>
      <c r="I2808">
        <v>0</v>
      </c>
      <c r="J2808" t="s">
        <v>25</v>
      </c>
    </row>
    <row r="2809" spans="1:10" x14ac:dyDescent="0.25">
      <c r="A2809" s="1">
        <v>986</v>
      </c>
      <c r="B2809" t="s">
        <v>19</v>
      </c>
      <c r="C2809">
        <v>700</v>
      </c>
      <c r="D2809">
        <v>0</v>
      </c>
      <c r="E2809" t="s">
        <v>24</v>
      </c>
      <c r="F2809" t="s">
        <v>24</v>
      </c>
      <c r="G2809" t="str">
        <f>"2025-08-08 03:17:29.678"</f>
        <v>2025-08-08 03:17:29.678</v>
      </c>
      <c r="H2809" t="s">
        <v>22</v>
      </c>
      <c r="I2809">
        <v>0</v>
      </c>
      <c r="J2809" t="s">
        <v>25</v>
      </c>
    </row>
    <row r="2810" spans="1:10" x14ac:dyDescent="0.25">
      <c r="A2810" s="1">
        <v>987</v>
      </c>
      <c r="B2810" t="s">
        <v>19</v>
      </c>
      <c r="C2810">
        <v>700</v>
      </c>
      <c r="D2810">
        <v>0</v>
      </c>
      <c r="E2810" t="s">
        <v>24</v>
      </c>
      <c r="F2810" t="s">
        <v>24</v>
      </c>
      <c r="G2810" t="str">
        <f>"2025-08-08 03:13:23.678"</f>
        <v>2025-08-08 03:13:23.678</v>
      </c>
      <c r="H2810" t="s">
        <v>22</v>
      </c>
      <c r="I2810">
        <v>0</v>
      </c>
      <c r="J2810" t="s">
        <v>25</v>
      </c>
    </row>
    <row r="2811" spans="1:10" x14ac:dyDescent="0.25">
      <c r="A2811" s="1">
        <v>988</v>
      </c>
      <c r="B2811" t="s">
        <v>19</v>
      </c>
      <c r="C2811">
        <v>700</v>
      </c>
      <c r="D2811">
        <v>0</v>
      </c>
      <c r="E2811" t="s">
        <v>24</v>
      </c>
      <c r="F2811" t="s">
        <v>24</v>
      </c>
      <c r="G2811" t="str">
        <f>"2025-08-08 03:10:22.671"</f>
        <v>2025-08-08 03:10:22.671</v>
      </c>
      <c r="H2811" t="s">
        <v>22</v>
      </c>
      <c r="I2811">
        <v>0</v>
      </c>
      <c r="J2811" t="s">
        <v>25</v>
      </c>
    </row>
    <row r="2812" spans="1:10" x14ac:dyDescent="0.25">
      <c r="A2812" s="1">
        <v>989</v>
      </c>
      <c r="B2812" t="s">
        <v>19</v>
      </c>
      <c r="C2812">
        <v>700</v>
      </c>
      <c r="D2812">
        <v>0</v>
      </c>
      <c r="E2812" t="s">
        <v>24</v>
      </c>
      <c r="F2812" t="s">
        <v>24</v>
      </c>
      <c r="G2812" t="str">
        <f>"2025-08-08 03:09:10.663"</f>
        <v>2025-08-08 03:09:10.663</v>
      </c>
      <c r="H2812" t="s">
        <v>22</v>
      </c>
    </row>
    <row r="2813" spans="1:10" x14ac:dyDescent="0.25">
      <c r="A2813" s="1">
        <v>990</v>
      </c>
      <c r="B2813" t="s">
        <v>19</v>
      </c>
      <c r="C2813">
        <v>700</v>
      </c>
      <c r="D2813">
        <v>0</v>
      </c>
      <c r="E2813" t="s">
        <v>24</v>
      </c>
      <c r="F2813" t="s">
        <v>24</v>
      </c>
      <c r="G2813" t="str">
        <f>"2025-08-08 03:05:09.676"</f>
        <v>2025-08-08 03:05:09.676</v>
      </c>
      <c r="H2813" t="s">
        <v>22</v>
      </c>
      <c r="I2813">
        <v>0</v>
      </c>
      <c r="J2813" t="s">
        <v>25</v>
      </c>
    </row>
    <row r="2814" spans="1:10" x14ac:dyDescent="0.25">
      <c r="A2814" s="1">
        <v>991</v>
      </c>
      <c r="B2814" t="s">
        <v>19</v>
      </c>
      <c r="C2814">
        <v>700</v>
      </c>
      <c r="D2814">
        <v>0</v>
      </c>
      <c r="E2814" t="s">
        <v>24</v>
      </c>
      <c r="F2814" t="s">
        <v>24</v>
      </c>
      <c r="G2814" t="str">
        <f>"2025-08-08 03:00:47.680"</f>
        <v>2025-08-08 03:00:47.680</v>
      </c>
      <c r="H2814" t="s">
        <v>22</v>
      </c>
      <c r="I2814">
        <v>0</v>
      </c>
      <c r="J2814" t="s">
        <v>25</v>
      </c>
    </row>
    <row r="2815" spans="1:10" x14ac:dyDescent="0.25">
      <c r="A2815" s="1">
        <v>992</v>
      </c>
      <c r="B2815" t="s">
        <v>19</v>
      </c>
      <c r="C2815">
        <v>700</v>
      </c>
      <c r="D2815">
        <v>0</v>
      </c>
      <c r="E2815" t="s">
        <v>24</v>
      </c>
      <c r="F2815" t="s">
        <v>24</v>
      </c>
      <c r="G2815" t="str">
        <f>"2025-08-08 00:56:28.686"</f>
        <v>2025-08-08 00:56:28.686</v>
      </c>
      <c r="H2815" t="s">
        <v>22</v>
      </c>
      <c r="I2815">
        <v>0</v>
      </c>
      <c r="J2815" t="s">
        <v>25</v>
      </c>
    </row>
    <row r="2816" spans="1:10" x14ac:dyDescent="0.25">
      <c r="A2816" s="1">
        <v>993</v>
      </c>
      <c r="B2816" t="s">
        <v>34</v>
      </c>
      <c r="C2816">
        <v>630</v>
      </c>
      <c r="D2816">
        <v>5</v>
      </c>
      <c r="E2816" t="s">
        <v>39</v>
      </c>
      <c r="F2816" t="s">
        <v>40</v>
      </c>
      <c r="G2816" t="str">
        <f>"2025-08-08 00:35:18.857"</f>
        <v>2025-08-08 00:35:18.857</v>
      </c>
      <c r="H2816" t="s">
        <v>41</v>
      </c>
      <c r="I2816">
        <v>0</v>
      </c>
      <c r="J2816" t="s">
        <v>23</v>
      </c>
    </row>
    <row r="2817" spans="1:10" x14ac:dyDescent="0.25">
      <c r="A2817" s="1">
        <v>994</v>
      </c>
      <c r="B2817" t="s">
        <v>19</v>
      </c>
      <c r="C2817">
        <v>700</v>
      </c>
      <c r="D2817">
        <v>0</v>
      </c>
      <c r="E2817" t="s">
        <v>24</v>
      </c>
      <c r="F2817" t="s">
        <v>24</v>
      </c>
      <c r="G2817" t="str">
        <f>"2025-08-07 16:33:35.685"</f>
        <v>2025-08-07 16:33:35.685</v>
      </c>
      <c r="H2817" t="s">
        <v>22</v>
      </c>
      <c r="I2817">
        <v>0</v>
      </c>
      <c r="J2817" t="s">
        <v>25</v>
      </c>
    </row>
    <row r="2818" spans="1:10" x14ac:dyDescent="0.25">
      <c r="A2818" s="1">
        <v>995</v>
      </c>
      <c r="B2818" t="s">
        <v>34</v>
      </c>
      <c r="C2818">
        <v>630</v>
      </c>
      <c r="D2818">
        <v>5</v>
      </c>
      <c r="E2818" t="s">
        <v>39</v>
      </c>
      <c r="F2818" t="s">
        <v>40</v>
      </c>
      <c r="G2818" t="str">
        <f>"2025-08-07 16:23:20.414"</f>
        <v>2025-08-07 16:23:20.414</v>
      </c>
      <c r="H2818" t="s">
        <v>41</v>
      </c>
      <c r="I2818">
        <v>0</v>
      </c>
      <c r="J2818" t="s">
        <v>23</v>
      </c>
    </row>
    <row r="2819" spans="1:10" x14ac:dyDescent="0.25">
      <c r="A2819" s="1">
        <v>996</v>
      </c>
      <c r="B2819" t="s">
        <v>19</v>
      </c>
      <c r="C2819">
        <v>700</v>
      </c>
      <c r="D2819">
        <v>0</v>
      </c>
      <c r="E2819" t="s">
        <v>24</v>
      </c>
      <c r="F2819" t="s">
        <v>24</v>
      </c>
      <c r="G2819" t="str">
        <f>"2025-08-07 16:18:17.676"</f>
        <v>2025-08-07 16:18:17.676</v>
      </c>
      <c r="H2819" t="s">
        <v>22</v>
      </c>
      <c r="I2819">
        <v>0</v>
      </c>
      <c r="J2819" t="s">
        <v>25</v>
      </c>
    </row>
    <row r="2820" spans="1:10" x14ac:dyDescent="0.25">
      <c r="A2820" s="1">
        <v>997</v>
      </c>
      <c r="B2820" t="s">
        <v>19</v>
      </c>
      <c r="C2820">
        <v>700</v>
      </c>
      <c r="D2820">
        <v>0</v>
      </c>
      <c r="E2820" t="s">
        <v>24</v>
      </c>
      <c r="F2820" t="s">
        <v>24</v>
      </c>
      <c r="G2820" t="str">
        <f>"2025-08-07 16:03:50.749"</f>
        <v>2025-08-07 16:03:50.749</v>
      </c>
      <c r="H2820" t="s">
        <v>22</v>
      </c>
    </row>
    <row r="2821" spans="1:10" x14ac:dyDescent="0.25">
      <c r="A2821" s="1">
        <v>998</v>
      </c>
      <c r="B2821" t="s">
        <v>19</v>
      </c>
      <c r="C2821">
        <v>700</v>
      </c>
      <c r="D2821">
        <v>0</v>
      </c>
      <c r="E2821" t="s">
        <v>24</v>
      </c>
      <c r="F2821" t="s">
        <v>24</v>
      </c>
      <c r="G2821" t="str">
        <f>"2025-08-07 15:59:44.683"</f>
        <v>2025-08-07 15:59:44.683</v>
      </c>
      <c r="H2821" t="s">
        <v>22</v>
      </c>
      <c r="I2821">
        <v>0</v>
      </c>
      <c r="J2821" t="s">
        <v>25</v>
      </c>
    </row>
    <row r="2822" spans="1:10" x14ac:dyDescent="0.25">
      <c r="A2822" s="1">
        <v>999</v>
      </c>
      <c r="B2822" t="s">
        <v>19</v>
      </c>
      <c r="C2822">
        <v>700</v>
      </c>
      <c r="D2822">
        <v>0</v>
      </c>
      <c r="E2822" t="s">
        <v>24</v>
      </c>
      <c r="F2822" t="s">
        <v>24</v>
      </c>
      <c r="G2822" t="str">
        <f>"2025-08-07 15:53:41.928"</f>
        <v>2025-08-07 15:53:41.928</v>
      </c>
      <c r="H2822" t="s">
        <v>22</v>
      </c>
      <c r="I2822">
        <v>0</v>
      </c>
      <c r="J2822" t="s">
        <v>25</v>
      </c>
    </row>
    <row r="2823" spans="1:10" x14ac:dyDescent="0.25">
      <c r="A2823" s="1">
        <v>0</v>
      </c>
      <c r="B2823" t="s">
        <v>19</v>
      </c>
      <c r="C2823">
        <v>700</v>
      </c>
      <c r="D2823">
        <v>0</v>
      </c>
      <c r="E2823" t="s">
        <v>24</v>
      </c>
      <c r="F2823" t="s">
        <v>24</v>
      </c>
      <c r="G2823" t="str">
        <f>"2025-08-07 15:49:47.676"</f>
        <v>2025-08-07 15:49:47.676</v>
      </c>
      <c r="H2823" t="s">
        <v>22</v>
      </c>
      <c r="I2823">
        <v>0</v>
      </c>
      <c r="J2823" t="s">
        <v>25</v>
      </c>
    </row>
    <row r="2824" spans="1:10" x14ac:dyDescent="0.25">
      <c r="A2824" s="1">
        <v>1</v>
      </c>
      <c r="B2824" t="s">
        <v>19</v>
      </c>
      <c r="C2824">
        <v>700</v>
      </c>
      <c r="D2824">
        <v>0</v>
      </c>
      <c r="E2824" t="s">
        <v>24</v>
      </c>
      <c r="F2824" t="s">
        <v>24</v>
      </c>
      <c r="G2824" t="str">
        <f>"2025-08-07 15:39:57.810"</f>
        <v>2025-08-07 15:39:57.810</v>
      </c>
      <c r="H2824" t="s">
        <v>22</v>
      </c>
      <c r="I2824">
        <v>0</v>
      </c>
      <c r="J2824" t="s">
        <v>25</v>
      </c>
    </row>
    <row r="2825" spans="1:10" x14ac:dyDescent="0.25">
      <c r="A2825" s="1">
        <v>2</v>
      </c>
      <c r="B2825" t="s">
        <v>19</v>
      </c>
      <c r="C2825">
        <v>706</v>
      </c>
      <c r="D2825">
        <v>4</v>
      </c>
      <c r="E2825" t="s">
        <v>20</v>
      </c>
      <c r="F2825" t="s">
        <v>21</v>
      </c>
      <c r="G2825" t="str">
        <f>"2025-08-07 15:26:05.010"</f>
        <v>2025-08-07 15:26:05.010</v>
      </c>
      <c r="H2825" t="s">
        <v>22</v>
      </c>
      <c r="I2825">
        <v>0</v>
      </c>
      <c r="J2825" t="s">
        <v>23</v>
      </c>
    </row>
    <row r="2826" spans="1:10" x14ac:dyDescent="0.25">
      <c r="A2826" s="1">
        <v>3</v>
      </c>
      <c r="B2826" t="s">
        <v>19</v>
      </c>
      <c r="C2826">
        <v>706</v>
      </c>
      <c r="D2826">
        <v>4</v>
      </c>
      <c r="E2826" t="s">
        <v>20</v>
      </c>
      <c r="F2826" t="s">
        <v>21</v>
      </c>
      <c r="G2826" t="str">
        <f>"2025-08-07 15:25:18.200"</f>
        <v>2025-08-07 15:25:18.200</v>
      </c>
      <c r="H2826" t="s">
        <v>22</v>
      </c>
      <c r="I2826">
        <v>0</v>
      </c>
      <c r="J2826" t="s">
        <v>23</v>
      </c>
    </row>
    <row r="2827" spans="1:10" x14ac:dyDescent="0.25">
      <c r="A2827" s="1">
        <v>4</v>
      </c>
      <c r="B2827" t="s">
        <v>34</v>
      </c>
      <c r="C2827">
        <v>89</v>
      </c>
      <c r="D2827">
        <v>2</v>
      </c>
      <c r="E2827" t="s">
        <v>42</v>
      </c>
      <c r="F2827" t="s">
        <v>43</v>
      </c>
      <c r="G2827" t="str">
        <f>"2025-08-07 15:23:47.780"</f>
        <v>2025-08-07 15:23:47.780</v>
      </c>
      <c r="H2827" t="s">
        <v>22</v>
      </c>
      <c r="I2827">
        <v>7.44</v>
      </c>
      <c r="J2827" t="s">
        <v>37</v>
      </c>
    </row>
    <row r="2828" spans="1:10" x14ac:dyDescent="0.25">
      <c r="A2828" s="1">
        <v>5</v>
      </c>
      <c r="B2828" t="s">
        <v>19</v>
      </c>
      <c r="C2828">
        <v>700</v>
      </c>
      <c r="D2828">
        <v>0</v>
      </c>
      <c r="E2828" t="s">
        <v>24</v>
      </c>
      <c r="F2828" t="s">
        <v>24</v>
      </c>
      <c r="G2828" t="str">
        <f>"2025-08-07 13:21:13.700"</f>
        <v>2025-08-07 13:21:13.700</v>
      </c>
      <c r="H2828" t="s">
        <v>22</v>
      </c>
      <c r="I2828">
        <v>0</v>
      </c>
      <c r="J2828" t="s">
        <v>25</v>
      </c>
    </row>
    <row r="2829" spans="1:10" x14ac:dyDescent="0.25">
      <c r="A2829" s="1">
        <v>6</v>
      </c>
      <c r="B2829" t="s">
        <v>19</v>
      </c>
      <c r="C2829">
        <v>700</v>
      </c>
      <c r="D2829">
        <v>0</v>
      </c>
      <c r="E2829" t="s">
        <v>24</v>
      </c>
      <c r="F2829" t="s">
        <v>24</v>
      </c>
      <c r="G2829" t="str">
        <f>"2025-08-07 07:28:04.767"</f>
        <v>2025-08-07 07:28:04.767</v>
      </c>
      <c r="H2829" t="s">
        <v>22</v>
      </c>
    </row>
    <row r="2830" spans="1:10" x14ac:dyDescent="0.25">
      <c r="A2830" s="1">
        <v>7</v>
      </c>
      <c r="B2830" t="s">
        <v>19</v>
      </c>
      <c r="C2830">
        <v>700</v>
      </c>
      <c r="D2830">
        <v>0</v>
      </c>
      <c r="E2830" t="s">
        <v>24</v>
      </c>
      <c r="F2830" t="s">
        <v>24</v>
      </c>
      <c r="G2830" t="str">
        <f>"2025-08-07 05:57:09.674"</f>
        <v>2025-08-07 05:57:09.674</v>
      </c>
      <c r="H2830" t="s">
        <v>22</v>
      </c>
    </row>
    <row r="2831" spans="1:10" x14ac:dyDescent="0.25">
      <c r="A2831" s="1">
        <v>8</v>
      </c>
      <c r="B2831" t="s">
        <v>19</v>
      </c>
      <c r="C2831">
        <v>700</v>
      </c>
      <c r="D2831">
        <v>0</v>
      </c>
      <c r="E2831" t="s">
        <v>24</v>
      </c>
      <c r="F2831" t="s">
        <v>24</v>
      </c>
      <c r="G2831" t="str">
        <f>"2025-08-07 05:50:03.691"</f>
        <v>2025-08-07 05:50:03.691</v>
      </c>
      <c r="H2831" t="s">
        <v>22</v>
      </c>
    </row>
    <row r="2832" spans="1:10" x14ac:dyDescent="0.25">
      <c r="A2832" s="1">
        <v>9</v>
      </c>
      <c r="B2832" t="s">
        <v>34</v>
      </c>
      <c r="C2832">
        <v>630</v>
      </c>
      <c r="D2832">
        <v>5</v>
      </c>
      <c r="E2832" t="s">
        <v>39</v>
      </c>
      <c r="F2832" t="s">
        <v>40</v>
      </c>
      <c r="G2832" t="str">
        <f>"2025-08-07 05:36:29.215"</f>
        <v>2025-08-07 05:36:29.215</v>
      </c>
      <c r="H2832" t="s">
        <v>41</v>
      </c>
      <c r="I2832">
        <v>0</v>
      </c>
      <c r="J2832" t="s">
        <v>23</v>
      </c>
    </row>
    <row r="2833" spans="1:10" x14ac:dyDescent="0.25">
      <c r="A2833" s="1">
        <v>10</v>
      </c>
      <c r="B2833" t="s">
        <v>19</v>
      </c>
      <c r="C2833">
        <v>706</v>
      </c>
      <c r="D2833">
        <v>4</v>
      </c>
      <c r="E2833" t="s">
        <v>20</v>
      </c>
      <c r="F2833" t="s">
        <v>21</v>
      </c>
      <c r="G2833" t="str">
        <f>"2025-08-07 01:09:51.628"</f>
        <v>2025-08-07 01:09:51.628</v>
      </c>
      <c r="H2833" t="s">
        <v>22</v>
      </c>
      <c r="I2833">
        <v>0</v>
      </c>
      <c r="J2833" t="s">
        <v>23</v>
      </c>
    </row>
    <row r="2834" spans="1:10" x14ac:dyDescent="0.25">
      <c r="A2834" s="1">
        <v>11</v>
      </c>
      <c r="B2834" t="s">
        <v>26</v>
      </c>
      <c r="C2834">
        <v>619</v>
      </c>
      <c r="D2834">
        <v>1</v>
      </c>
      <c r="E2834" t="s">
        <v>79</v>
      </c>
      <c r="F2834" t="s">
        <v>28</v>
      </c>
      <c r="G2834" t="str">
        <f>"2025-08-07 01:09:25.368"</f>
        <v>2025-08-07 01:09:25.368</v>
      </c>
      <c r="H2834" t="s">
        <v>80</v>
      </c>
    </row>
    <row r="2835" spans="1:10" x14ac:dyDescent="0.25">
      <c r="A2835" s="1">
        <v>12</v>
      </c>
      <c r="B2835" t="s">
        <v>29</v>
      </c>
      <c r="C2835">
        <v>619</v>
      </c>
      <c r="D2835">
        <v>1</v>
      </c>
      <c r="E2835" t="s">
        <v>79</v>
      </c>
      <c r="F2835" t="s">
        <v>28</v>
      </c>
      <c r="G2835" t="str">
        <f>"2025-08-07 01:09:11.116"</f>
        <v>2025-08-07 01:09:11.116</v>
      </c>
      <c r="H2835" t="s">
        <v>80</v>
      </c>
      <c r="I2835">
        <v>0</v>
      </c>
      <c r="J2835" t="s">
        <v>38</v>
      </c>
    </row>
    <row r="2836" spans="1:10" x14ac:dyDescent="0.25">
      <c r="A2836" s="1">
        <v>13</v>
      </c>
      <c r="B2836" t="s">
        <v>19</v>
      </c>
      <c r="C2836">
        <v>700</v>
      </c>
      <c r="D2836">
        <v>0</v>
      </c>
      <c r="E2836" t="s">
        <v>24</v>
      </c>
      <c r="F2836" t="s">
        <v>24</v>
      </c>
      <c r="G2836" t="str">
        <f>"2025-08-06 19:19:53.778"</f>
        <v>2025-08-06 19:19:53.778</v>
      </c>
      <c r="H2836" t="s">
        <v>22</v>
      </c>
    </row>
    <row r="2837" spans="1:10" x14ac:dyDescent="0.25">
      <c r="A2837" s="1">
        <v>14</v>
      </c>
      <c r="B2837" t="s">
        <v>19</v>
      </c>
      <c r="C2837">
        <v>700</v>
      </c>
      <c r="D2837">
        <v>0</v>
      </c>
      <c r="E2837" t="s">
        <v>24</v>
      </c>
      <c r="F2837" t="s">
        <v>24</v>
      </c>
      <c r="G2837" t="str">
        <f>"2025-08-06 18:10:02.696"</f>
        <v>2025-08-06 18:10:02.696</v>
      </c>
      <c r="H2837" t="s">
        <v>22</v>
      </c>
    </row>
    <row r="2838" spans="1:10" s="3" customFormat="1" x14ac:dyDescent="0.25">
      <c r="A2838" s="2">
        <v>15</v>
      </c>
      <c r="B2838" s="3" t="s">
        <v>26</v>
      </c>
      <c r="C2838" s="3">
        <v>647</v>
      </c>
      <c r="D2838" s="3">
        <v>1</v>
      </c>
      <c r="E2838" s="3" t="s">
        <v>35</v>
      </c>
      <c r="F2838" s="3" t="s">
        <v>36</v>
      </c>
      <c r="G2838" s="3" t="str">
        <f>"2025-08-06 17:18:04.249"</f>
        <v>2025-08-06 17:18:04.249</v>
      </c>
      <c r="H2838" s="3" t="s">
        <v>22</v>
      </c>
    </row>
    <row r="2839" spans="1:10" s="3" customFormat="1" x14ac:dyDescent="0.25">
      <c r="A2839" s="2">
        <v>16</v>
      </c>
      <c r="B2839" s="3" t="s">
        <v>29</v>
      </c>
      <c r="C2839" s="3">
        <v>647</v>
      </c>
      <c r="D2839" s="3">
        <v>1</v>
      </c>
      <c r="E2839" s="3" t="s">
        <v>35</v>
      </c>
      <c r="F2839" s="3" t="s">
        <v>36</v>
      </c>
      <c r="G2839" s="3" t="str">
        <f>"2025-08-06 17:18:01.349"</f>
        <v>2025-08-06 17:18:01.349</v>
      </c>
      <c r="H2839" s="3" t="s">
        <v>22</v>
      </c>
      <c r="I2839" s="3">
        <v>15.61</v>
      </c>
      <c r="J2839" s="3" t="s">
        <v>37</v>
      </c>
    </row>
    <row r="2840" spans="1:10" x14ac:dyDescent="0.25">
      <c r="A2840" s="1">
        <v>17</v>
      </c>
      <c r="B2840" t="s">
        <v>19</v>
      </c>
      <c r="C2840">
        <v>700</v>
      </c>
      <c r="D2840">
        <v>0</v>
      </c>
      <c r="E2840" t="s">
        <v>24</v>
      </c>
      <c r="F2840" t="s">
        <v>24</v>
      </c>
      <c r="G2840" t="str">
        <f>"2025-08-06 13:40:35.677"</f>
        <v>2025-08-06 13:40:35.677</v>
      </c>
      <c r="H2840" t="s">
        <v>22</v>
      </c>
      <c r="I2840">
        <v>0</v>
      </c>
      <c r="J2840" t="s">
        <v>25</v>
      </c>
    </row>
    <row r="2841" spans="1:10" x14ac:dyDescent="0.25">
      <c r="A2841" s="1">
        <v>18</v>
      </c>
      <c r="B2841" t="s">
        <v>26</v>
      </c>
      <c r="C2841">
        <v>635</v>
      </c>
      <c r="D2841">
        <v>1</v>
      </c>
      <c r="E2841" t="s">
        <v>27</v>
      </c>
      <c r="F2841" t="s">
        <v>28</v>
      </c>
      <c r="G2841" t="str">
        <f>"2025-08-06 09:37:14.318"</f>
        <v>2025-08-06 09:37:14.318</v>
      </c>
      <c r="H2841" t="s">
        <v>22</v>
      </c>
    </row>
    <row r="2842" spans="1:10" x14ac:dyDescent="0.25">
      <c r="A2842" s="1">
        <v>19</v>
      </c>
      <c r="B2842" t="s">
        <v>29</v>
      </c>
      <c r="C2842">
        <v>635</v>
      </c>
      <c r="D2842">
        <v>1</v>
      </c>
      <c r="E2842" t="s">
        <v>27</v>
      </c>
      <c r="F2842" t="s">
        <v>28</v>
      </c>
      <c r="G2842" t="str">
        <f>"2025-08-06 09:34:07.318"</f>
        <v>2025-08-06 09:34:07.318</v>
      </c>
      <c r="H2842" t="s">
        <v>22</v>
      </c>
      <c r="I2842">
        <v>5.33</v>
      </c>
      <c r="J2842" t="s">
        <v>37</v>
      </c>
    </row>
    <row r="2843" spans="1:10" x14ac:dyDescent="0.25">
      <c r="A2843" s="1">
        <v>20</v>
      </c>
      <c r="B2843" t="s">
        <v>26</v>
      </c>
      <c r="C2843">
        <v>630</v>
      </c>
      <c r="D2843">
        <v>5</v>
      </c>
      <c r="E2843" t="s">
        <v>39</v>
      </c>
      <c r="F2843" t="s">
        <v>40</v>
      </c>
      <c r="G2843" t="str">
        <f>"2025-08-06 05:08:42.866"</f>
        <v>2025-08-06 05:08:42.866</v>
      </c>
      <c r="H2843" t="s">
        <v>41</v>
      </c>
    </row>
    <row r="2844" spans="1:10" x14ac:dyDescent="0.25">
      <c r="A2844" s="1">
        <v>21</v>
      </c>
      <c r="B2844" t="s">
        <v>19</v>
      </c>
      <c r="C2844">
        <v>706</v>
      </c>
      <c r="D2844">
        <v>4</v>
      </c>
      <c r="E2844" t="s">
        <v>20</v>
      </c>
      <c r="F2844" t="s">
        <v>21</v>
      </c>
      <c r="G2844" t="str">
        <f>"2025-08-06 05:08:12.878"</f>
        <v>2025-08-06 05:08:12.878</v>
      </c>
      <c r="H2844" t="s">
        <v>22</v>
      </c>
      <c r="I2844">
        <v>0</v>
      </c>
      <c r="J2844" t="s">
        <v>23</v>
      </c>
    </row>
    <row r="2845" spans="1:10" x14ac:dyDescent="0.25">
      <c r="A2845" s="1">
        <v>22</v>
      </c>
      <c r="B2845" t="s">
        <v>19</v>
      </c>
      <c r="C2845">
        <v>706</v>
      </c>
      <c r="D2845">
        <v>4</v>
      </c>
      <c r="E2845" t="s">
        <v>20</v>
      </c>
      <c r="F2845" t="s">
        <v>21</v>
      </c>
      <c r="G2845" t="str">
        <f>"2025-08-06 05:07:22.288"</f>
        <v>2025-08-06 05:07:22.288</v>
      </c>
      <c r="H2845" t="s">
        <v>22</v>
      </c>
      <c r="I2845">
        <v>0</v>
      </c>
      <c r="J2845" t="s">
        <v>23</v>
      </c>
    </row>
    <row r="2846" spans="1:10" x14ac:dyDescent="0.25">
      <c r="A2846" s="1">
        <v>23</v>
      </c>
      <c r="B2846" t="s">
        <v>34</v>
      </c>
      <c r="C2846">
        <v>630</v>
      </c>
      <c r="D2846">
        <v>5</v>
      </c>
      <c r="E2846" t="s">
        <v>39</v>
      </c>
      <c r="F2846" t="s">
        <v>40</v>
      </c>
      <c r="G2846" t="str">
        <f>"2025-08-06 05:02:24.366"</f>
        <v>2025-08-06 05:02:24.366</v>
      </c>
      <c r="H2846" t="s">
        <v>41</v>
      </c>
      <c r="I2846">
        <v>0</v>
      </c>
      <c r="J2846" t="s">
        <v>23</v>
      </c>
    </row>
    <row r="2847" spans="1:10" x14ac:dyDescent="0.25">
      <c r="A2847" s="1">
        <v>24</v>
      </c>
      <c r="B2847" t="s">
        <v>26</v>
      </c>
      <c r="C2847">
        <v>630</v>
      </c>
      <c r="D2847">
        <v>5</v>
      </c>
      <c r="E2847" t="s">
        <v>39</v>
      </c>
      <c r="F2847" t="s">
        <v>40</v>
      </c>
      <c r="G2847" t="str">
        <f>"2025-08-06 01:44:35.566"</f>
        <v>2025-08-06 01:44:35.566</v>
      </c>
      <c r="H2847" t="s">
        <v>41</v>
      </c>
    </row>
    <row r="2848" spans="1:10" x14ac:dyDescent="0.25">
      <c r="A2848" s="1">
        <v>25</v>
      </c>
      <c r="B2848" t="s">
        <v>19</v>
      </c>
      <c r="C2848">
        <v>706</v>
      </c>
      <c r="D2848">
        <v>2</v>
      </c>
      <c r="E2848" t="s">
        <v>20</v>
      </c>
      <c r="F2848" t="s">
        <v>54</v>
      </c>
      <c r="G2848" t="str">
        <f>"2025-08-06 01:44:05.498"</f>
        <v>2025-08-06 01:44:05.498</v>
      </c>
      <c r="H2848" t="s">
        <v>22</v>
      </c>
      <c r="I2848">
        <v>0</v>
      </c>
      <c r="J2848" t="s">
        <v>23</v>
      </c>
    </row>
    <row r="2849" spans="1:10" x14ac:dyDescent="0.25">
      <c r="A2849" s="1">
        <v>26</v>
      </c>
      <c r="B2849" t="s">
        <v>34</v>
      </c>
      <c r="C2849">
        <v>630</v>
      </c>
      <c r="D2849">
        <v>5</v>
      </c>
      <c r="E2849" t="s">
        <v>39</v>
      </c>
      <c r="F2849" t="s">
        <v>40</v>
      </c>
      <c r="G2849" t="str">
        <f>"2025-08-06 01:15:18.266"</f>
        <v>2025-08-06 01:15:18.266</v>
      </c>
      <c r="H2849" t="s">
        <v>41</v>
      </c>
      <c r="I2849">
        <v>0</v>
      </c>
      <c r="J2849" t="s">
        <v>23</v>
      </c>
    </row>
    <row r="2850" spans="1:10" x14ac:dyDescent="0.25">
      <c r="A2850" s="1">
        <v>27</v>
      </c>
      <c r="B2850" t="s">
        <v>26</v>
      </c>
      <c r="C2850">
        <v>630</v>
      </c>
      <c r="D2850">
        <v>5</v>
      </c>
      <c r="E2850" t="s">
        <v>39</v>
      </c>
      <c r="F2850" t="s">
        <v>40</v>
      </c>
      <c r="G2850" t="str">
        <f>"2025-08-06 00:40:01.666"</f>
        <v>2025-08-06 00:40:01.666</v>
      </c>
      <c r="H2850" t="s">
        <v>41</v>
      </c>
    </row>
    <row r="2851" spans="1:10" x14ac:dyDescent="0.25">
      <c r="A2851" s="1">
        <v>28</v>
      </c>
      <c r="B2851" t="s">
        <v>19</v>
      </c>
      <c r="C2851">
        <v>706</v>
      </c>
      <c r="D2851">
        <v>2</v>
      </c>
      <c r="E2851" t="s">
        <v>20</v>
      </c>
      <c r="F2851" t="s">
        <v>54</v>
      </c>
      <c r="G2851" t="str">
        <f>"2025-08-06 00:39:31.398"</f>
        <v>2025-08-06 00:39:31.398</v>
      </c>
      <c r="H2851" t="s">
        <v>22</v>
      </c>
      <c r="I2851">
        <v>0</v>
      </c>
      <c r="J2851" t="s">
        <v>23</v>
      </c>
    </row>
    <row r="2852" spans="1:10" x14ac:dyDescent="0.25">
      <c r="A2852" s="1">
        <v>29</v>
      </c>
      <c r="B2852" t="s">
        <v>19</v>
      </c>
      <c r="C2852">
        <v>706</v>
      </c>
      <c r="D2852">
        <v>2</v>
      </c>
      <c r="E2852" t="s">
        <v>20</v>
      </c>
      <c r="F2852" t="s">
        <v>54</v>
      </c>
      <c r="G2852" t="str">
        <f>"2025-08-06 00:38:42.798"</f>
        <v>2025-08-06 00:38:42.798</v>
      </c>
      <c r="H2852" t="s">
        <v>22</v>
      </c>
      <c r="I2852">
        <v>0</v>
      </c>
      <c r="J2852" t="s">
        <v>23</v>
      </c>
    </row>
    <row r="2853" spans="1:10" x14ac:dyDescent="0.25">
      <c r="A2853" s="1">
        <v>30</v>
      </c>
      <c r="B2853" t="s">
        <v>34</v>
      </c>
      <c r="C2853">
        <v>630</v>
      </c>
      <c r="D2853">
        <v>5</v>
      </c>
      <c r="E2853" t="s">
        <v>39</v>
      </c>
      <c r="F2853" t="s">
        <v>40</v>
      </c>
      <c r="G2853" t="str">
        <f>"2025-08-06 00:35:09.867"</f>
        <v>2025-08-06 00:35:09.867</v>
      </c>
      <c r="H2853" t="s">
        <v>41</v>
      </c>
      <c r="I2853">
        <v>0</v>
      </c>
      <c r="J2853" t="s">
        <v>23</v>
      </c>
    </row>
    <row r="2854" spans="1:10" x14ac:dyDescent="0.25">
      <c r="A2854" s="1">
        <v>31</v>
      </c>
      <c r="B2854" t="s">
        <v>19</v>
      </c>
      <c r="C2854">
        <v>700</v>
      </c>
      <c r="D2854">
        <v>0</v>
      </c>
      <c r="E2854" t="s">
        <v>24</v>
      </c>
      <c r="F2854" t="s">
        <v>24</v>
      </c>
      <c r="G2854" t="str">
        <f>"2025-08-05 14:09:17.678"</f>
        <v>2025-08-05 14:09:17.678</v>
      </c>
      <c r="H2854" t="s">
        <v>22</v>
      </c>
    </row>
    <row r="2855" spans="1:10" x14ac:dyDescent="0.25">
      <c r="A2855" s="1">
        <v>32</v>
      </c>
      <c r="B2855" t="s">
        <v>19</v>
      </c>
      <c r="C2855">
        <v>700</v>
      </c>
      <c r="D2855">
        <v>0</v>
      </c>
      <c r="E2855" t="s">
        <v>24</v>
      </c>
      <c r="F2855" t="s">
        <v>24</v>
      </c>
      <c r="G2855" t="str">
        <f>"2025-08-05 07:18:09.708"</f>
        <v>2025-08-05 07:18:09.708</v>
      </c>
      <c r="H2855" t="s">
        <v>22</v>
      </c>
      <c r="I2855">
        <v>0</v>
      </c>
      <c r="J2855" t="s">
        <v>25</v>
      </c>
    </row>
    <row r="2856" spans="1:10" x14ac:dyDescent="0.25">
      <c r="A2856" s="1">
        <v>33</v>
      </c>
      <c r="B2856" t="s">
        <v>26</v>
      </c>
      <c r="C2856">
        <v>635</v>
      </c>
      <c r="D2856">
        <v>1</v>
      </c>
      <c r="E2856" t="s">
        <v>27</v>
      </c>
      <c r="F2856" t="s">
        <v>28</v>
      </c>
      <c r="G2856" t="str">
        <f>"2025-08-05 03:35:30.060"</f>
        <v>2025-08-05 03:35:30.060</v>
      </c>
      <c r="H2856" t="s">
        <v>22</v>
      </c>
    </row>
    <row r="2857" spans="1:10" x14ac:dyDescent="0.25">
      <c r="A2857" s="1">
        <v>34</v>
      </c>
      <c r="B2857" t="s">
        <v>29</v>
      </c>
      <c r="C2857">
        <v>635</v>
      </c>
      <c r="D2857">
        <v>1</v>
      </c>
      <c r="E2857" t="s">
        <v>27</v>
      </c>
      <c r="F2857" t="s">
        <v>28</v>
      </c>
      <c r="G2857" t="str">
        <f>"2025-08-05 03:27:10.060"</f>
        <v>2025-08-05 03:27:10.060</v>
      </c>
      <c r="H2857" t="s">
        <v>22</v>
      </c>
      <c r="I2857">
        <v>8.06</v>
      </c>
      <c r="J2857" t="s">
        <v>30</v>
      </c>
    </row>
    <row r="2858" spans="1:10" x14ac:dyDescent="0.25">
      <c r="A2858" s="1">
        <v>35</v>
      </c>
      <c r="B2858" t="s">
        <v>19</v>
      </c>
      <c r="C2858">
        <v>700</v>
      </c>
      <c r="D2858">
        <v>0</v>
      </c>
      <c r="E2858" t="s">
        <v>24</v>
      </c>
      <c r="F2858" t="s">
        <v>24</v>
      </c>
      <c r="G2858" t="str">
        <f>"2025-08-05 01:30:24.957"</f>
        <v>2025-08-05 01:30:24.957</v>
      </c>
      <c r="H2858" t="s">
        <v>22</v>
      </c>
    </row>
    <row r="2859" spans="1:10" x14ac:dyDescent="0.25">
      <c r="A2859" s="1">
        <v>36</v>
      </c>
      <c r="B2859" t="s">
        <v>19</v>
      </c>
      <c r="C2859">
        <v>700</v>
      </c>
      <c r="D2859">
        <v>0</v>
      </c>
      <c r="E2859" t="s">
        <v>24</v>
      </c>
      <c r="F2859" t="s">
        <v>24</v>
      </c>
      <c r="G2859" t="str">
        <f>"2025-08-05 00:18:48.664"</f>
        <v>2025-08-05 00:18:48.664</v>
      </c>
      <c r="H2859" t="s">
        <v>22</v>
      </c>
    </row>
    <row r="2860" spans="1:10" x14ac:dyDescent="0.25">
      <c r="A2860" s="1">
        <v>37</v>
      </c>
      <c r="B2860" t="s">
        <v>34</v>
      </c>
      <c r="C2860">
        <v>630</v>
      </c>
      <c r="D2860">
        <v>5</v>
      </c>
      <c r="E2860" t="s">
        <v>39</v>
      </c>
      <c r="F2860" t="s">
        <v>40</v>
      </c>
      <c r="G2860" t="str">
        <f>"2025-08-04 23:58:12.086"</f>
        <v>2025-08-04 23:58:12.086</v>
      </c>
      <c r="H2860" t="s">
        <v>41</v>
      </c>
      <c r="I2860">
        <v>0</v>
      </c>
      <c r="J2860" t="s">
        <v>23</v>
      </c>
    </row>
    <row r="2861" spans="1:10" x14ac:dyDescent="0.25">
      <c r="A2861" s="1">
        <v>38</v>
      </c>
      <c r="B2861" t="s">
        <v>19</v>
      </c>
      <c r="C2861">
        <v>700</v>
      </c>
      <c r="D2861">
        <v>0</v>
      </c>
      <c r="E2861" t="s">
        <v>24</v>
      </c>
      <c r="F2861" t="s">
        <v>24</v>
      </c>
      <c r="G2861" t="str">
        <f>"2025-08-04 23:37:39.697"</f>
        <v>2025-08-04 23:37:39.697</v>
      </c>
      <c r="H2861" t="s">
        <v>22</v>
      </c>
      <c r="I2861">
        <v>0</v>
      </c>
      <c r="J2861" t="s">
        <v>25</v>
      </c>
    </row>
    <row r="2862" spans="1:10" x14ac:dyDescent="0.25">
      <c r="A2862" s="1">
        <v>39</v>
      </c>
      <c r="B2862" t="s">
        <v>34</v>
      </c>
      <c r="C2862">
        <v>630</v>
      </c>
      <c r="D2862">
        <v>5</v>
      </c>
      <c r="E2862" t="s">
        <v>39</v>
      </c>
      <c r="F2862" t="s">
        <v>40</v>
      </c>
      <c r="G2862" t="str">
        <f>"2025-08-04 23:32:12.070"</f>
        <v>2025-08-04 23:32:12.070</v>
      </c>
      <c r="H2862" t="s">
        <v>41</v>
      </c>
      <c r="I2862">
        <v>0</v>
      </c>
      <c r="J2862" t="s">
        <v>23</v>
      </c>
    </row>
    <row r="2863" spans="1:10" x14ac:dyDescent="0.25">
      <c r="A2863" s="1">
        <v>40</v>
      </c>
      <c r="B2863" t="s">
        <v>26</v>
      </c>
      <c r="C2863">
        <v>630</v>
      </c>
      <c r="D2863">
        <v>5</v>
      </c>
      <c r="E2863" t="s">
        <v>39</v>
      </c>
      <c r="F2863" t="s">
        <v>40</v>
      </c>
      <c r="G2863" t="str">
        <f>"2025-08-04 12:30:28.470"</f>
        <v>2025-08-04 12:30:28.470</v>
      </c>
      <c r="H2863" t="s">
        <v>41</v>
      </c>
    </row>
    <row r="2864" spans="1:10" x14ac:dyDescent="0.25">
      <c r="A2864" s="1">
        <v>41</v>
      </c>
      <c r="B2864" t="s">
        <v>19</v>
      </c>
      <c r="C2864">
        <v>706</v>
      </c>
      <c r="D2864">
        <v>2</v>
      </c>
      <c r="E2864" t="s">
        <v>20</v>
      </c>
      <c r="F2864" t="s">
        <v>54</v>
      </c>
      <c r="G2864" t="str">
        <f>"2025-08-04 12:29:58.304"</f>
        <v>2025-08-04 12:29:58.304</v>
      </c>
      <c r="H2864" t="s">
        <v>22</v>
      </c>
      <c r="I2864">
        <v>0</v>
      </c>
      <c r="J2864" t="s">
        <v>23</v>
      </c>
    </row>
    <row r="2865" spans="1:10" x14ac:dyDescent="0.25">
      <c r="A2865" s="1">
        <v>42</v>
      </c>
      <c r="B2865" t="s">
        <v>34</v>
      </c>
      <c r="C2865">
        <v>630</v>
      </c>
      <c r="D2865">
        <v>5</v>
      </c>
      <c r="E2865" t="s">
        <v>39</v>
      </c>
      <c r="F2865" t="s">
        <v>40</v>
      </c>
      <c r="G2865" t="str">
        <f>"2025-08-04 12:01:32.970"</f>
        <v>2025-08-04 12:01:32.970</v>
      </c>
      <c r="H2865" t="s">
        <v>41</v>
      </c>
      <c r="I2865">
        <v>0</v>
      </c>
      <c r="J2865" t="s">
        <v>23</v>
      </c>
    </row>
    <row r="2866" spans="1:10" x14ac:dyDescent="0.25">
      <c r="A2866" s="1">
        <v>43</v>
      </c>
      <c r="B2866" t="s">
        <v>26</v>
      </c>
      <c r="C2866">
        <v>630</v>
      </c>
      <c r="D2866">
        <v>5</v>
      </c>
      <c r="E2866" t="s">
        <v>39</v>
      </c>
      <c r="F2866" t="s">
        <v>40</v>
      </c>
      <c r="G2866" t="str">
        <f>"2025-08-04 06:51:23.370"</f>
        <v>2025-08-04 06:51:23.370</v>
      </c>
      <c r="H2866" t="s">
        <v>41</v>
      </c>
    </row>
    <row r="2867" spans="1:10" x14ac:dyDescent="0.25">
      <c r="A2867" s="1">
        <v>44</v>
      </c>
      <c r="B2867" t="s">
        <v>19</v>
      </c>
      <c r="C2867">
        <v>706</v>
      </c>
      <c r="D2867">
        <v>2</v>
      </c>
      <c r="E2867" t="s">
        <v>20</v>
      </c>
      <c r="F2867" t="s">
        <v>54</v>
      </c>
      <c r="G2867" t="str">
        <f>"2025-08-04 06:50:53.304"</f>
        <v>2025-08-04 06:50:53.304</v>
      </c>
      <c r="H2867" t="s">
        <v>22</v>
      </c>
      <c r="I2867">
        <v>0</v>
      </c>
      <c r="J2867" t="s">
        <v>23</v>
      </c>
    </row>
    <row r="2868" spans="1:10" x14ac:dyDescent="0.25">
      <c r="A2868" s="1">
        <v>45</v>
      </c>
      <c r="B2868" t="s">
        <v>34</v>
      </c>
      <c r="C2868">
        <v>630</v>
      </c>
      <c r="D2868">
        <v>5</v>
      </c>
      <c r="E2868" t="s">
        <v>39</v>
      </c>
      <c r="F2868" t="s">
        <v>40</v>
      </c>
      <c r="G2868" t="str">
        <f>"2025-08-04 06:42:41.971"</f>
        <v>2025-08-04 06:42:41.971</v>
      </c>
      <c r="H2868" t="s">
        <v>41</v>
      </c>
      <c r="I2868">
        <v>0</v>
      </c>
      <c r="J2868" t="s">
        <v>23</v>
      </c>
    </row>
    <row r="2869" spans="1:10" x14ac:dyDescent="0.25">
      <c r="A2869" s="1">
        <v>46</v>
      </c>
      <c r="B2869" t="s">
        <v>19</v>
      </c>
      <c r="C2869">
        <v>700</v>
      </c>
      <c r="D2869">
        <v>0</v>
      </c>
      <c r="E2869" t="s">
        <v>24</v>
      </c>
      <c r="F2869" t="s">
        <v>24</v>
      </c>
      <c r="G2869" t="str">
        <f>"2025-08-04 01:40:02.104"</f>
        <v>2025-08-04 01:40:02.104</v>
      </c>
      <c r="H2869" t="s">
        <v>22</v>
      </c>
      <c r="I2869">
        <v>0</v>
      </c>
      <c r="J2869" t="s">
        <v>25</v>
      </c>
    </row>
    <row r="2870" spans="1:10" x14ac:dyDescent="0.25">
      <c r="A2870" s="1">
        <v>47</v>
      </c>
      <c r="B2870" t="s">
        <v>34</v>
      </c>
      <c r="C2870">
        <v>630</v>
      </c>
      <c r="D2870">
        <v>5</v>
      </c>
      <c r="E2870" t="s">
        <v>39</v>
      </c>
      <c r="F2870" t="s">
        <v>40</v>
      </c>
      <c r="G2870" t="str">
        <f>"2025-08-04 01:08:37.214"</f>
        <v>2025-08-04 01:08:37.214</v>
      </c>
      <c r="H2870" t="s">
        <v>41</v>
      </c>
      <c r="I2870">
        <v>0</v>
      </c>
      <c r="J2870" t="s">
        <v>23</v>
      </c>
    </row>
    <row r="2871" spans="1:10" x14ac:dyDescent="0.25">
      <c r="A2871" s="1">
        <v>48</v>
      </c>
      <c r="B2871" t="s">
        <v>19</v>
      </c>
      <c r="C2871">
        <v>700</v>
      </c>
      <c r="D2871">
        <v>0</v>
      </c>
      <c r="E2871" t="s">
        <v>24</v>
      </c>
      <c r="F2871" t="s">
        <v>24</v>
      </c>
      <c r="G2871" t="str">
        <f>"2025-08-03 14:03:16.732"</f>
        <v>2025-08-03 14:03:16.732</v>
      </c>
      <c r="H2871" t="s">
        <v>22</v>
      </c>
    </row>
    <row r="2872" spans="1:10" x14ac:dyDescent="0.25">
      <c r="A2872" s="1">
        <v>49</v>
      </c>
      <c r="B2872" t="s">
        <v>19</v>
      </c>
      <c r="C2872">
        <v>700</v>
      </c>
      <c r="D2872">
        <v>0</v>
      </c>
      <c r="E2872" t="s">
        <v>24</v>
      </c>
      <c r="F2872" t="s">
        <v>24</v>
      </c>
      <c r="G2872" t="str">
        <f>"2025-08-03 07:15:13.661"</f>
        <v>2025-08-03 07:15:13.661</v>
      </c>
      <c r="H2872" t="s">
        <v>22</v>
      </c>
    </row>
    <row r="2873" spans="1:10" x14ac:dyDescent="0.25">
      <c r="A2873" s="1">
        <v>50</v>
      </c>
      <c r="B2873" t="s">
        <v>19</v>
      </c>
      <c r="C2873">
        <v>700</v>
      </c>
      <c r="D2873">
        <v>0</v>
      </c>
      <c r="E2873" t="s">
        <v>24</v>
      </c>
      <c r="F2873" t="s">
        <v>24</v>
      </c>
      <c r="G2873" t="str">
        <f>"2025-08-03 05:00:04.905"</f>
        <v>2025-08-03 05:00:04.905</v>
      </c>
      <c r="H2873" t="s">
        <v>22</v>
      </c>
    </row>
    <row r="2874" spans="1:10" x14ac:dyDescent="0.25">
      <c r="A2874" s="1">
        <v>51</v>
      </c>
      <c r="B2874" t="s">
        <v>19</v>
      </c>
      <c r="C2874">
        <v>706</v>
      </c>
      <c r="D2874">
        <v>2</v>
      </c>
      <c r="E2874" t="s">
        <v>20</v>
      </c>
      <c r="F2874" t="s">
        <v>54</v>
      </c>
      <c r="G2874" t="str">
        <f>"2025-08-03 00:57:45.861"</f>
        <v>2025-08-03 00:57:45.861</v>
      </c>
      <c r="H2874" t="s">
        <v>22</v>
      </c>
      <c r="I2874">
        <v>0</v>
      </c>
      <c r="J2874" t="s">
        <v>23</v>
      </c>
    </row>
    <row r="2875" spans="1:10" x14ac:dyDescent="0.25">
      <c r="A2875" s="1">
        <v>52</v>
      </c>
      <c r="B2875" t="s">
        <v>19</v>
      </c>
      <c r="C2875">
        <v>700</v>
      </c>
      <c r="D2875">
        <v>0</v>
      </c>
      <c r="E2875" t="s">
        <v>24</v>
      </c>
      <c r="F2875" t="s">
        <v>24</v>
      </c>
      <c r="G2875" t="str">
        <f>"2025-08-03 00:57:07.681"</f>
        <v>2025-08-03 00:57:07.681</v>
      </c>
      <c r="H2875" t="s">
        <v>22</v>
      </c>
      <c r="I2875">
        <v>0</v>
      </c>
      <c r="J2875" t="s">
        <v>25</v>
      </c>
    </row>
    <row r="2876" spans="1:10" x14ac:dyDescent="0.25">
      <c r="A2876" s="1">
        <v>53</v>
      </c>
      <c r="B2876" t="s">
        <v>34</v>
      </c>
      <c r="C2876">
        <v>630</v>
      </c>
      <c r="D2876">
        <v>5</v>
      </c>
      <c r="E2876" t="s">
        <v>39</v>
      </c>
      <c r="F2876" t="s">
        <v>40</v>
      </c>
      <c r="G2876" t="str">
        <f>"2025-08-03 00:34:38.267"</f>
        <v>2025-08-03 00:34:38.267</v>
      </c>
      <c r="H2876" t="s">
        <v>41</v>
      </c>
      <c r="I2876">
        <v>0</v>
      </c>
      <c r="J2876" t="s">
        <v>23</v>
      </c>
    </row>
    <row r="2877" spans="1:10" x14ac:dyDescent="0.25">
      <c r="A2877" s="1">
        <v>54</v>
      </c>
      <c r="B2877" t="s">
        <v>26</v>
      </c>
      <c r="C2877">
        <v>630</v>
      </c>
      <c r="D2877">
        <v>5</v>
      </c>
      <c r="E2877" t="s">
        <v>39</v>
      </c>
      <c r="F2877" t="s">
        <v>40</v>
      </c>
      <c r="G2877" t="str">
        <f>"2025-08-02 23:17:35.767"</f>
        <v>2025-08-02 23:17:35.767</v>
      </c>
      <c r="H2877" t="s">
        <v>41</v>
      </c>
    </row>
    <row r="2878" spans="1:10" x14ac:dyDescent="0.25">
      <c r="A2878" s="1">
        <v>55</v>
      </c>
      <c r="B2878" t="s">
        <v>19</v>
      </c>
      <c r="C2878">
        <v>706</v>
      </c>
      <c r="D2878">
        <v>2</v>
      </c>
      <c r="E2878" t="s">
        <v>20</v>
      </c>
      <c r="F2878" t="s">
        <v>54</v>
      </c>
      <c r="G2878" t="str">
        <f>"2025-08-02 23:17:05.515"</f>
        <v>2025-08-02 23:17:05.515</v>
      </c>
      <c r="H2878" t="s">
        <v>22</v>
      </c>
      <c r="I2878">
        <v>0</v>
      </c>
      <c r="J2878" t="s">
        <v>23</v>
      </c>
    </row>
    <row r="2879" spans="1:10" x14ac:dyDescent="0.25">
      <c r="A2879" s="1">
        <v>56</v>
      </c>
      <c r="B2879" t="s">
        <v>34</v>
      </c>
      <c r="C2879">
        <v>630</v>
      </c>
      <c r="D2879">
        <v>5</v>
      </c>
      <c r="E2879" t="s">
        <v>39</v>
      </c>
      <c r="F2879" t="s">
        <v>40</v>
      </c>
      <c r="G2879" t="str">
        <f>"2025-08-02 23:11:32.267"</f>
        <v>2025-08-02 23:11:32.267</v>
      </c>
      <c r="H2879" t="s">
        <v>41</v>
      </c>
      <c r="I2879">
        <v>0</v>
      </c>
      <c r="J2879" t="s">
        <v>23</v>
      </c>
    </row>
    <row r="2880" spans="1:10" x14ac:dyDescent="0.25">
      <c r="A2880" s="1">
        <v>57</v>
      </c>
      <c r="B2880" t="s">
        <v>26</v>
      </c>
      <c r="C2880">
        <v>635</v>
      </c>
      <c r="D2880">
        <v>1</v>
      </c>
      <c r="E2880" t="s">
        <v>27</v>
      </c>
      <c r="F2880" t="s">
        <v>28</v>
      </c>
      <c r="G2880" t="str">
        <f>"2025-08-02 17:50:20.466"</f>
        <v>2025-08-02 17:50:20.466</v>
      </c>
      <c r="H2880" t="s">
        <v>22</v>
      </c>
    </row>
    <row r="2881" spans="1:10" x14ac:dyDescent="0.25">
      <c r="A2881" s="1">
        <v>58</v>
      </c>
      <c r="B2881" t="s">
        <v>29</v>
      </c>
      <c r="C2881">
        <v>635</v>
      </c>
      <c r="D2881">
        <v>1</v>
      </c>
      <c r="E2881" t="s">
        <v>27</v>
      </c>
      <c r="F2881" t="s">
        <v>28</v>
      </c>
      <c r="G2881" t="str">
        <f>"2025-08-02 17:47:38.966"</f>
        <v>2025-08-02 17:47:38.966</v>
      </c>
      <c r="H2881" t="s">
        <v>22</v>
      </c>
      <c r="I2881">
        <v>4.21</v>
      </c>
      <c r="J2881" t="s">
        <v>30</v>
      </c>
    </row>
    <row r="2882" spans="1:10" x14ac:dyDescent="0.25">
      <c r="A2882" s="1">
        <v>59</v>
      </c>
      <c r="B2882" t="s">
        <v>19</v>
      </c>
      <c r="C2882">
        <v>700</v>
      </c>
      <c r="D2882">
        <v>0</v>
      </c>
      <c r="E2882" t="s">
        <v>24</v>
      </c>
      <c r="F2882" t="s">
        <v>24</v>
      </c>
      <c r="G2882" t="str">
        <f>"2025-08-02 13:59:50.685"</f>
        <v>2025-08-02 13:59:50.685</v>
      </c>
      <c r="H2882" t="s">
        <v>22</v>
      </c>
    </row>
    <row r="2883" spans="1:10" s="3" customFormat="1" x14ac:dyDescent="0.25">
      <c r="A2883" s="2">
        <v>60</v>
      </c>
      <c r="B2883" s="3" t="s">
        <v>26</v>
      </c>
      <c r="C2883" s="3">
        <v>647</v>
      </c>
      <c r="D2883" s="3">
        <v>1</v>
      </c>
      <c r="E2883" s="3" t="s">
        <v>35</v>
      </c>
      <c r="F2883" s="3" t="s">
        <v>36</v>
      </c>
      <c r="G2883" s="3" t="str">
        <f>"2025-08-02 09:47:42.865"</f>
        <v>2025-08-02 09:47:42.865</v>
      </c>
      <c r="H2883" s="3" t="s">
        <v>22</v>
      </c>
    </row>
    <row r="2884" spans="1:10" s="3" customFormat="1" x14ac:dyDescent="0.25">
      <c r="A2884" s="2">
        <v>61</v>
      </c>
      <c r="B2884" s="3" t="s">
        <v>29</v>
      </c>
      <c r="C2884" s="3">
        <v>647</v>
      </c>
      <c r="D2884" s="3">
        <v>1</v>
      </c>
      <c r="E2884" s="3" t="s">
        <v>35</v>
      </c>
      <c r="F2884" s="3" t="s">
        <v>36</v>
      </c>
      <c r="G2884" s="3" t="str">
        <f>"2025-08-02 09:47:40.365"</f>
        <v>2025-08-02 09:47:40.365</v>
      </c>
      <c r="H2884" s="3" t="s">
        <v>22</v>
      </c>
      <c r="I2884" s="3">
        <v>16.649999999999999</v>
      </c>
      <c r="J2884" s="3" t="s">
        <v>37</v>
      </c>
    </row>
    <row r="2885" spans="1:10" x14ac:dyDescent="0.25">
      <c r="A2885" s="1">
        <v>62</v>
      </c>
      <c r="B2885" t="s">
        <v>19</v>
      </c>
      <c r="C2885">
        <v>700</v>
      </c>
      <c r="D2885">
        <v>0</v>
      </c>
      <c r="E2885" t="s">
        <v>24</v>
      </c>
      <c r="F2885" t="s">
        <v>24</v>
      </c>
      <c r="G2885" t="str">
        <f>"2025-08-02 04:51:54.683"</f>
        <v>2025-08-02 04:51:54.683</v>
      </c>
      <c r="H2885" t="s">
        <v>22</v>
      </c>
      <c r="I2885">
        <v>0</v>
      </c>
      <c r="J2885" t="s">
        <v>25</v>
      </c>
    </row>
    <row r="2886" spans="1:10" x14ac:dyDescent="0.25">
      <c r="A2886" s="1">
        <v>63</v>
      </c>
      <c r="B2886" t="s">
        <v>26</v>
      </c>
      <c r="C2886">
        <v>630</v>
      </c>
      <c r="D2886">
        <v>5</v>
      </c>
      <c r="E2886" t="s">
        <v>39</v>
      </c>
      <c r="F2886" t="s">
        <v>40</v>
      </c>
      <c r="G2886" t="str">
        <f>"2025-08-02 01:08:09.072"</f>
        <v>2025-08-02 01:08:09.072</v>
      </c>
      <c r="H2886" t="s">
        <v>41</v>
      </c>
    </row>
    <row r="2887" spans="1:10" x14ac:dyDescent="0.25">
      <c r="A2887" s="1">
        <v>64</v>
      </c>
      <c r="B2887" t="s">
        <v>19</v>
      </c>
      <c r="C2887">
        <v>706</v>
      </c>
      <c r="D2887">
        <v>4</v>
      </c>
      <c r="E2887" t="s">
        <v>20</v>
      </c>
      <c r="F2887" t="s">
        <v>21</v>
      </c>
      <c r="G2887" t="str">
        <f>"2025-08-02 01:07:39.084"</f>
        <v>2025-08-02 01:07:39.084</v>
      </c>
      <c r="H2887" t="s">
        <v>22</v>
      </c>
      <c r="I2887">
        <v>0</v>
      </c>
      <c r="J2887" t="s">
        <v>23</v>
      </c>
    </row>
    <row r="2888" spans="1:10" x14ac:dyDescent="0.25">
      <c r="A2888" s="1">
        <v>65</v>
      </c>
      <c r="B2888" t="s">
        <v>34</v>
      </c>
      <c r="C2888">
        <v>630</v>
      </c>
      <c r="D2888">
        <v>5</v>
      </c>
      <c r="E2888" t="s">
        <v>39</v>
      </c>
      <c r="F2888" t="s">
        <v>40</v>
      </c>
      <c r="G2888" t="str">
        <f>"2025-08-02 00:40:23.173"</f>
        <v>2025-08-02 00:40:23.173</v>
      </c>
      <c r="H2888" t="s">
        <v>41</v>
      </c>
      <c r="I2888">
        <v>0</v>
      </c>
      <c r="J2888" t="s">
        <v>23</v>
      </c>
    </row>
    <row r="2889" spans="1:10" x14ac:dyDescent="0.25">
      <c r="A2889" s="1">
        <v>66</v>
      </c>
      <c r="B2889" t="s">
        <v>19</v>
      </c>
      <c r="C2889">
        <v>700</v>
      </c>
      <c r="D2889">
        <v>0</v>
      </c>
      <c r="E2889" t="s">
        <v>24</v>
      </c>
      <c r="F2889" t="s">
        <v>24</v>
      </c>
      <c r="G2889" t="str">
        <f>"2025-08-01 21:53:25.694"</f>
        <v>2025-08-01 21:53:25.694</v>
      </c>
      <c r="H2889" t="s">
        <v>22</v>
      </c>
    </row>
    <row r="2890" spans="1:10" x14ac:dyDescent="0.25">
      <c r="A2890" s="1">
        <v>67</v>
      </c>
      <c r="B2890" t="s">
        <v>19</v>
      </c>
      <c r="C2890">
        <v>700</v>
      </c>
      <c r="D2890">
        <v>0</v>
      </c>
      <c r="E2890" t="s">
        <v>24</v>
      </c>
      <c r="F2890" t="s">
        <v>24</v>
      </c>
      <c r="G2890" t="str">
        <f>"2025-08-01 19:14:09.697"</f>
        <v>2025-08-01 19:14:09.697</v>
      </c>
      <c r="H2890" t="s">
        <v>22</v>
      </c>
    </row>
    <row r="2891" spans="1:10" x14ac:dyDescent="0.25">
      <c r="A2891" s="1">
        <v>68</v>
      </c>
      <c r="B2891" t="s">
        <v>19</v>
      </c>
      <c r="C2891">
        <v>700</v>
      </c>
      <c r="D2891">
        <v>0</v>
      </c>
      <c r="E2891" t="s">
        <v>24</v>
      </c>
      <c r="F2891" t="s">
        <v>24</v>
      </c>
      <c r="G2891" t="str">
        <f>"2025-08-01 13:58:24.780"</f>
        <v>2025-08-01 13:58:24.780</v>
      </c>
      <c r="H2891" t="s">
        <v>22</v>
      </c>
      <c r="I2891">
        <v>0</v>
      </c>
      <c r="J2891" t="s">
        <v>25</v>
      </c>
    </row>
    <row r="2892" spans="1:10" s="3" customFormat="1" x14ac:dyDescent="0.25">
      <c r="A2892" s="2">
        <v>69</v>
      </c>
      <c r="B2892" s="3" t="s">
        <v>26</v>
      </c>
      <c r="C2892" s="3">
        <v>647</v>
      </c>
      <c r="D2892" s="3">
        <v>1</v>
      </c>
      <c r="E2892" s="3" t="s">
        <v>35</v>
      </c>
      <c r="F2892" s="3" t="s">
        <v>36</v>
      </c>
      <c r="G2892" s="3" t="str">
        <f>"2025-08-01 10:39:18.444"</f>
        <v>2025-08-01 10:39:18.444</v>
      </c>
      <c r="H2892" s="3" t="s">
        <v>22</v>
      </c>
    </row>
    <row r="2893" spans="1:10" s="3" customFormat="1" x14ac:dyDescent="0.25">
      <c r="A2893" s="2">
        <v>70</v>
      </c>
      <c r="B2893" s="3" t="s">
        <v>29</v>
      </c>
      <c r="C2893" s="3">
        <v>647</v>
      </c>
      <c r="D2893" s="3">
        <v>1</v>
      </c>
      <c r="E2893" s="3" t="s">
        <v>35</v>
      </c>
      <c r="F2893" s="3" t="s">
        <v>36</v>
      </c>
      <c r="G2893" s="3" t="str">
        <f>"2025-08-01 10:39:07.044"</f>
        <v>2025-08-01 10:39:07.044</v>
      </c>
      <c r="H2893" s="3" t="s">
        <v>22</v>
      </c>
      <c r="I2893" s="3">
        <v>10.220000000000001</v>
      </c>
      <c r="J2893" s="3" t="s">
        <v>37</v>
      </c>
    </row>
    <row r="2894" spans="1:10" x14ac:dyDescent="0.25">
      <c r="A2894" s="1">
        <v>71</v>
      </c>
      <c r="B2894" t="s">
        <v>26</v>
      </c>
      <c r="C2894">
        <v>619</v>
      </c>
      <c r="D2894">
        <v>1</v>
      </c>
      <c r="E2894" t="s">
        <v>79</v>
      </c>
      <c r="F2894" t="s">
        <v>28</v>
      </c>
      <c r="G2894" t="str">
        <f>"2025-08-01 07:24:49.796"</f>
        <v>2025-08-01 07:24:49.796</v>
      </c>
      <c r="H2894" t="s">
        <v>80</v>
      </c>
    </row>
    <row r="2895" spans="1:10" x14ac:dyDescent="0.25">
      <c r="A2895" s="1">
        <v>72</v>
      </c>
      <c r="B2895" t="s">
        <v>29</v>
      </c>
      <c r="C2895">
        <v>619</v>
      </c>
      <c r="D2895">
        <v>1</v>
      </c>
      <c r="E2895" t="s">
        <v>79</v>
      </c>
      <c r="F2895" t="s">
        <v>28</v>
      </c>
      <c r="G2895" t="str">
        <f>"2025-08-01 07:24:31.696"</f>
        <v>2025-08-01 07:24:31.696</v>
      </c>
      <c r="H2895" t="s">
        <v>80</v>
      </c>
      <c r="I2895">
        <v>9.01</v>
      </c>
      <c r="J2895" t="s">
        <v>30</v>
      </c>
    </row>
    <row r="2896" spans="1:10" x14ac:dyDescent="0.25">
      <c r="A2896" s="1">
        <v>73</v>
      </c>
      <c r="B2896" t="s">
        <v>26</v>
      </c>
      <c r="C2896">
        <v>630</v>
      </c>
      <c r="D2896">
        <v>5</v>
      </c>
      <c r="E2896" t="s">
        <v>39</v>
      </c>
      <c r="F2896" t="s">
        <v>40</v>
      </c>
      <c r="G2896" t="str">
        <f>"2025-08-01 05:08:47.144"</f>
        <v>2025-08-01 05:08:47.144</v>
      </c>
      <c r="H2896" t="s">
        <v>41</v>
      </c>
    </row>
    <row r="2897" spans="1:10" x14ac:dyDescent="0.25">
      <c r="A2897" s="1">
        <v>74</v>
      </c>
      <c r="B2897" t="s">
        <v>19</v>
      </c>
      <c r="C2897">
        <v>706</v>
      </c>
      <c r="D2897">
        <v>2</v>
      </c>
      <c r="E2897" t="s">
        <v>20</v>
      </c>
      <c r="F2897" t="s">
        <v>54</v>
      </c>
      <c r="G2897" t="str">
        <f>"2025-08-01 05:08:17.060"</f>
        <v>2025-08-01 05:08:17.060</v>
      </c>
      <c r="H2897" t="s">
        <v>22</v>
      </c>
      <c r="I2897">
        <v>0</v>
      </c>
      <c r="J2897" t="s">
        <v>23</v>
      </c>
    </row>
    <row r="2898" spans="1:10" x14ac:dyDescent="0.25">
      <c r="A2898" s="1">
        <v>75</v>
      </c>
      <c r="B2898" t="s">
        <v>34</v>
      </c>
      <c r="C2898">
        <v>630</v>
      </c>
      <c r="D2898">
        <v>5</v>
      </c>
      <c r="E2898" t="s">
        <v>39</v>
      </c>
      <c r="F2898" t="s">
        <v>40</v>
      </c>
      <c r="G2898" t="str">
        <f>"2025-08-01 05:03:47.345"</f>
        <v>2025-08-01 05:03:47.345</v>
      </c>
      <c r="H2898" t="s">
        <v>41</v>
      </c>
      <c r="I2898">
        <v>0</v>
      </c>
      <c r="J2898" t="s">
        <v>23</v>
      </c>
    </row>
    <row r="2899" spans="1:10" x14ac:dyDescent="0.25">
      <c r="A2899" s="1">
        <v>76</v>
      </c>
      <c r="B2899" t="s">
        <v>19</v>
      </c>
      <c r="C2899">
        <v>700</v>
      </c>
      <c r="D2899">
        <v>0</v>
      </c>
      <c r="E2899" t="s">
        <v>24</v>
      </c>
      <c r="F2899" t="s">
        <v>24</v>
      </c>
      <c r="G2899" t="str">
        <f>"2025-08-01 01:33:48.060"</f>
        <v>2025-08-01 01:33:48.060</v>
      </c>
      <c r="H2899" t="s">
        <v>22</v>
      </c>
      <c r="I2899">
        <v>0</v>
      </c>
      <c r="J2899" t="s">
        <v>25</v>
      </c>
    </row>
    <row r="2900" spans="1:10" x14ac:dyDescent="0.25">
      <c r="A2900" s="1">
        <v>77</v>
      </c>
      <c r="B2900" t="s">
        <v>34</v>
      </c>
      <c r="C2900">
        <v>630</v>
      </c>
      <c r="D2900">
        <v>5</v>
      </c>
      <c r="E2900" t="s">
        <v>39</v>
      </c>
      <c r="F2900" t="s">
        <v>40</v>
      </c>
      <c r="G2900" t="str">
        <f>"2025-08-01 01:12:44.634"</f>
        <v>2025-08-01 01:12:44.634</v>
      </c>
      <c r="H2900" t="s">
        <v>41</v>
      </c>
      <c r="I2900">
        <v>0</v>
      </c>
      <c r="J2900" t="s">
        <v>23</v>
      </c>
    </row>
    <row r="2901" spans="1:10" x14ac:dyDescent="0.25">
      <c r="A2901" s="1">
        <v>78</v>
      </c>
      <c r="B2901" t="s">
        <v>19</v>
      </c>
      <c r="C2901">
        <v>700</v>
      </c>
      <c r="D2901">
        <v>0</v>
      </c>
      <c r="E2901" t="s">
        <v>24</v>
      </c>
      <c r="F2901" t="s">
        <v>24</v>
      </c>
      <c r="G2901" t="str">
        <f>"2025-07-31 22:08:06.695"</f>
        <v>2025-07-31 22:08:06.695</v>
      </c>
      <c r="H2901" t="s">
        <v>22</v>
      </c>
    </row>
    <row r="2902" spans="1:10" x14ac:dyDescent="0.25">
      <c r="A2902" s="1">
        <v>79</v>
      </c>
      <c r="B2902" t="s">
        <v>19</v>
      </c>
      <c r="C2902">
        <v>700</v>
      </c>
      <c r="D2902">
        <v>0</v>
      </c>
      <c r="E2902" t="s">
        <v>24</v>
      </c>
      <c r="F2902" t="s">
        <v>24</v>
      </c>
      <c r="G2902" t="str">
        <f>"2025-07-31 19:17:11.668"</f>
        <v>2025-07-31 19:17:11.668</v>
      </c>
      <c r="H2902" t="s">
        <v>22</v>
      </c>
    </row>
    <row r="2903" spans="1:10" x14ac:dyDescent="0.25">
      <c r="A2903" s="1">
        <v>80</v>
      </c>
      <c r="B2903" t="s">
        <v>26</v>
      </c>
      <c r="C2903">
        <v>635</v>
      </c>
      <c r="D2903">
        <v>1</v>
      </c>
      <c r="E2903" t="s">
        <v>27</v>
      </c>
      <c r="F2903" t="s">
        <v>28</v>
      </c>
      <c r="G2903" t="str">
        <f>"2025-07-31 14:27:51.096"</f>
        <v>2025-07-31 14:27:51.096</v>
      </c>
      <c r="H2903" t="s">
        <v>22</v>
      </c>
    </row>
    <row r="2904" spans="1:10" x14ac:dyDescent="0.25">
      <c r="A2904" s="1">
        <v>81</v>
      </c>
      <c r="B2904" t="s">
        <v>29</v>
      </c>
      <c r="C2904">
        <v>635</v>
      </c>
      <c r="D2904">
        <v>1</v>
      </c>
      <c r="E2904" t="s">
        <v>27</v>
      </c>
      <c r="F2904" t="s">
        <v>28</v>
      </c>
      <c r="G2904" t="str">
        <f>"2025-07-31 14:24:56.596"</f>
        <v>2025-07-31 14:24:56.596</v>
      </c>
      <c r="H2904" t="s">
        <v>22</v>
      </c>
      <c r="I2904">
        <v>-0.1</v>
      </c>
      <c r="J2904" t="s">
        <v>38</v>
      </c>
    </row>
    <row r="2905" spans="1:10" x14ac:dyDescent="0.25">
      <c r="A2905" s="1">
        <v>82</v>
      </c>
      <c r="B2905" t="s">
        <v>19</v>
      </c>
      <c r="C2905">
        <v>700</v>
      </c>
      <c r="D2905">
        <v>0</v>
      </c>
      <c r="E2905" t="s">
        <v>24</v>
      </c>
      <c r="F2905" t="s">
        <v>24</v>
      </c>
      <c r="G2905" t="str">
        <f>"2025-07-31 12:55:37.718"</f>
        <v>2025-07-31 12:55:37.718</v>
      </c>
      <c r="H2905" t="s">
        <v>22</v>
      </c>
    </row>
    <row r="2906" spans="1:10" x14ac:dyDescent="0.25">
      <c r="A2906" s="1">
        <v>83</v>
      </c>
      <c r="B2906" t="s">
        <v>26</v>
      </c>
      <c r="C2906">
        <v>630</v>
      </c>
      <c r="D2906">
        <v>5</v>
      </c>
      <c r="E2906" t="s">
        <v>39</v>
      </c>
      <c r="F2906" t="s">
        <v>40</v>
      </c>
      <c r="G2906" t="str">
        <f>"2025-07-31 07:12:47.088"</f>
        <v>2025-07-31 07:12:47.088</v>
      </c>
      <c r="H2906" t="s">
        <v>41</v>
      </c>
    </row>
    <row r="2907" spans="1:10" x14ac:dyDescent="0.25">
      <c r="A2907" s="1">
        <v>84</v>
      </c>
      <c r="B2907" t="s">
        <v>19</v>
      </c>
      <c r="C2907">
        <v>706</v>
      </c>
      <c r="D2907">
        <v>2</v>
      </c>
      <c r="E2907" t="s">
        <v>20</v>
      </c>
      <c r="F2907" t="s">
        <v>54</v>
      </c>
      <c r="G2907" t="str">
        <f>"2025-07-31 07:12:17.077"</f>
        <v>2025-07-31 07:12:17.077</v>
      </c>
      <c r="H2907" t="s">
        <v>22</v>
      </c>
      <c r="I2907">
        <v>0</v>
      </c>
      <c r="J2907" t="s">
        <v>23</v>
      </c>
    </row>
    <row r="2908" spans="1:10" x14ac:dyDescent="0.25">
      <c r="A2908" s="1">
        <v>85</v>
      </c>
      <c r="B2908" t="s">
        <v>34</v>
      </c>
      <c r="C2908">
        <v>630</v>
      </c>
      <c r="D2908">
        <v>5</v>
      </c>
      <c r="E2908" t="s">
        <v>39</v>
      </c>
      <c r="F2908" t="s">
        <v>40</v>
      </c>
      <c r="G2908" t="str">
        <f>"2025-07-31 07:08:07.488"</f>
        <v>2025-07-31 07:08:07.488</v>
      </c>
      <c r="H2908" t="s">
        <v>41</v>
      </c>
      <c r="I2908">
        <v>0</v>
      </c>
      <c r="J2908" t="s">
        <v>23</v>
      </c>
    </row>
    <row r="2909" spans="1:10" x14ac:dyDescent="0.25">
      <c r="A2909" s="1">
        <v>88</v>
      </c>
      <c r="B2909" t="s">
        <v>26</v>
      </c>
      <c r="C2909">
        <v>630</v>
      </c>
      <c r="D2909">
        <v>5</v>
      </c>
      <c r="E2909" t="s">
        <v>39</v>
      </c>
      <c r="F2909" t="s">
        <v>40</v>
      </c>
      <c r="G2909" t="str">
        <f>"2025-07-31 02:38:26.288"</f>
        <v>2025-07-31 02:38:26.288</v>
      </c>
      <c r="H2909" t="s">
        <v>41</v>
      </c>
    </row>
    <row r="2910" spans="1:10" x14ac:dyDescent="0.25">
      <c r="A2910" s="1">
        <v>89</v>
      </c>
      <c r="B2910" t="s">
        <v>19</v>
      </c>
      <c r="C2910">
        <v>706</v>
      </c>
      <c r="D2910">
        <v>4</v>
      </c>
      <c r="E2910" t="s">
        <v>20</v>
      </c>
      <c r="F2910" t="s">
        <v>21</v>
      </c>
      <c r="G2910" t="str">
        <f>"2025-07-31 02:37:56.287"</f>
        <v>2025-07-31 02:37:56.287</v>
      </c>
      <c r="H2910" t="s">
        <v>22</v>
      </c>
      <c r="I2910">
        <v>0</v>
      </c>
      <c r="J2910" t="s">
        <v>23</v>
      </c>
    </row>
    <row r="2911" spans="1:10" x14ac:dyDescent="0.25">
      <c r="A2911" s="1">
        <v>90</v>
      </c>
      <c r="B2911" t="s">
        <v>34</v>
      </c>
      <c r="C2911">
        <v>630</v>
      </c>
      <c r="D2911">
        <v>5</v>
      </c>
      <c r="E2911" t="s">
        <v>39</v>
      </c>
      <c r="F2911" t="s">
        <v>40</v>
      </c>
      <c r="G2911" t="str">
        <f>"2025-07-31 02:33:25.388"</f>
        <v>2025-07-31 02:33:25.388</v>
      </c>
      <c r="H2911" t="s">
        <v>41</v>
      </c>
      <c r="I2911">
        <v>0</v>
      </c>
      <c r="J2911" t="s">
        <v>23</v>
      </c>
    </row>
    <row r="2912" spans="1:10" x14ac:dyDescent="0.25">
      <c r="A2912" s="1">
        <v>91</v>
      </c>
      <c r="B2912" t="s">
        <v>19</v>
      </c>
      <c r="C2912">
        <v>700</v>
      </c>
      <c r="D2912">
        <v>0</v>
      </c>
      <c r="E2912" t="s">
        <v>24</v>
      </c>
      <c r="F2912" t="s">
        <v>24</v>
      </c>
      <c r="G2912" t="str">
        <f>"2025-07-31 01:28:28.697"</f>
        <v>2025-07-31 01:28:28.697</v>
      </c>
      <c r="H2912" t="s">
        <v>22</v>
      </c>
    </row>
    <row r="2913" spans="1:10" x14ac:dyDescent="0.25">
      <c r="A2913" s="1">
        <v>92</v>
      </c>
      <c r="B2913" t="s">
        <v>34</v>
      </c>
      <c r="C2913">
        <v>630</v>
      </c>
      <c r="D2913">
        <v>5</v>
      </c>
      <c r="E2913" t="s">
        <v>39</v>
      </c>
      <c r="F2913" t="s">
        <v>40</v>
      </c>
      <c r="G2913" t="str">
        <f>"2025-07-31 00:58:33.569"</f>
        <v>2025-07-31 00:58:33.569</v>
      </c>
      <c r="H2913" t="s">
        <v>41</v>
      </c>
      <c r="I2913">
        <v>0</v>
      </c>
      <c r="J2913" t="s">
        <v>23</v>
      </c>
    </row>
    <row r="2914" spans="1:10" x14ac:dyDescent="0.25">
      <c r="A2914" s="1">
        <v>93</v>
      </c>
      <c r="B2914" t="s">
        <v>19</v>
      </c>
      <c r="C2914">
        <v>700</v>
      </c>
      <c r="D2914">
        <v>0</v>
      </c>
      <c r="E2914" t="s">
        <v>24</v>
      </c>
      <c r="F2914" t="s">
        <v>24</v>
      </c>
      <c r="G2914" t="str">
        <f>"2025-07-30 21:10:17.690"</f>
        <v>2025-07-30 21:10:17.690</v>
      </c>
      <c r="H2914" t="s">
        <v>22</v>
      </c>
      <c r="I2914">
        <v>0</v>
      </c>
      <c r="J2914" t="s">
        <v>25</v>
      </c>
    </row>
    <row r="2915" spans="1:10" x14ac:dyDescent="0.25">
      <c r="A2915" s="1">
        <v>94</v>
      </c>
      <c r="B2915" t="s">
        <v>19</v>
      </c>
      <c r="C2915">
        <v>700</v>
      </c>
      <c r="D2915">
        <v>0</v>
      </c>
      <c r="E2915" t="s">
        <v>24</v>
      </c>
      <c r="F2915" t="s">
        <v>24</v>
      </c>
      <c r="G2915" t="str">
        <f>"2025-07-30 19:16:29.725"</f>
        <v>2025-07-30 19:16:29.725</v>
      </c>
      <c r="H2915" t="s">
        <v>22</v>
      </c>
      <c r="I2915">
        <v>0</v>
      </c>
      <c r="J2915" t="s">
        <v>25</v>
      </c>
    </row>
    <row r="2916" spans="1:10" x14ac:dyDescent="0.25">
      <c r="A2916" s="1">
        <v>95</v>
      </c>
      <c r="B2916" t="s">
        <v>26</v>
      </c>
      <c r="C2916">
        <v>630</v>
      </c>
      <c r="D2916">
        <v>5</v>
      </c>
      <c r="E2916" t="s">
        <v>39</v>
      </c>
      <c r="F2916" t="s">
        <v>40</v>
      </c>
      <c r="G2916" t="str">
        <f>"2025-07-30 14:57:14.758"</f>
        <v>2025-07-30 14:57:14.758</v>
      </c>
      <c r="H2916" t="s">
        <v>41</v>
      </c>
    </row>
    <row r="2917" spans="1:10" x14ac:dyDescent="0.25">
      <c r="A2917" s="1">
        <v>96</v>
      </c>
      <c r="B2917" t="s">
        <v>19</v>
      </c>
      <c r="C2917">
        <v>706</v>
      </c>
      <c r="D2917">
        <v>4</v>
      </c>
      <c r="E2917" t="s">
        <v>20</v>
      </c>
      <c r="F2917" t="s">
        <v>21</v>
      </c>
      <c r="G2917" t="str">
        <f>"2025-07-30 14:56:44.776"</f>
        <v>2025-07-30 14:56:44.776</v>
      </c>
      <c r="H2917" t="s">
        <v>22</v>
      </c>
      <c r="I2917">
        <v>0</v>
      </c>
      <c r="J2917" t="s">
        <v>23</v>
      </c>
    </row>
    <row r="2918" spans="1:10" x14ac:dyDescent="0.25">
      <c r="A2918" s="1">
        <v>97</v>
      </c>
      <c r="B2918" t="s">
        <v>34</v>
      </c>
      <c r="C2918">
        <v>630</v>
      </c>
      <c r="D2918">
        <v>5</v>
      </c>
      <c r="E2918" t="s">
        <v>39</v>
      </c>
      <c r="F2918" t="s">
        <v>40</v>
      </c>
      <c r="G2918" t="str">
        <f>"2025-07-30 14:40:10.458"</f>
        <v>2025-07-30 14:40:10.458</v>
      </c>
      <c r="H2918" t="s">
        <v>41</v>
      </c>
      <c r="I2918">
        <v>0</v>
      </c>
      <c r="J2918" t="s">
        <v>23</v>
      </c>
    </row>
    <row r="2919" spans="1:10" x14ac:dyDescent="0.25">
      <c r="A2919" s="1">
        <v>98</v>
      </c>
      <c r="B2919" t="s">
        <v>19</v>
      </c>
      <c r="C2919">
        <v>700</v>
      </c>
      <c r="D2919">
        <v>0</v>
      </c>
      <c r="E2919" t="s">
        <v>24</v>
      </c>
      <c r="F2919" t="s">
        <v>24</v>
      </c>
      <c r="G2919" t="str">
        <f>"2025-07-30 14:35:07.686"</f>
        <v>2025-07-30 14:35:07.686</v>
      </c>
      <c r="H2919" t="s">
        <v>22</v>
      </c>
      <c r="I2919">
        <v>0</v>
      </c>
      <c r="J2919" t="s">
        <v>25</v>
      </c>
    </row>
    <row r="2920" spans="1:10" x14ac:dyDescent="0.25">
      <c r="A2920" s="1">
        <v>99</v>
      </c>
      <c r="B2920" t="s">
        <v>19</v>
      </c>
      <c r="C2920">
        <v>700</v>
      </c>
      <c r="D2920">
        <v>0</v>
      </c>
      <c r="E2920" t="s">
        <v>24</v>
      </c>
      <c r="F2920" t="s">
        <v>24</v>
      </c>
      <c r="G2920" t="str">
        <f>"2025-07-30 07:20:28.673"</f>
        <v>2025-07-30 07:20:28.673</v>
      </c>
      <c r="H2920" t="s">
        <v>22</v>
      </c>
      <c r="I2920">
        <v>0</v>
      </c>
      <c r="J2920" t="s">
        <v>25</v>
      </c>
    </row>
    <row r="2921" spans="1:10" x14ac:dyDescent="0.25">
      <c r="A2921" s="1">
        <v>100</v>
      </c>
      <c r="B2921" t="s">
        <v>19</v>
      </c>
      <c r="C2921">
        <v>700</v>
      </c>
      <c r="D2921">
        <v>0</v>
      </c>
      <c r="E2921" t="s">
        <v>24</v>
      </c>
      <c r="F2921" t="s">
        <v>24</v>
      </c>
      <c r="G2921" t="str">
        <f>"2025-07-30 06:19:50.739"</f>
        <v>2025-07-30 06:19:50.739</v>
      </c>
      <c r="H2921" t="s">
        <v>22</v>
      </c>
      <c r="I2921">
        <v>0</v>
      </c>
      <c r="J2921" t="s">
        <v>25</v>
      </c>
    </row>
    <row r="2922" spans="1:10" x14ac:dyDescent="0.25">
      <c r="A2922" s="1">
        <v>101</v>
      </c>
      <c r="B2922" t="s">
        <v>34</v>
      </c>
      <c r="C2922">
        <v>630</v>
      </c>
      <c r="D2922">
        <v>5</v>
      </c>
      <c r="E2922" t="s">
        <v>39</v>
      </c>
      <c r="F2922" t="s">
        <v>40</v>
      </c>
      <c r="G2922" t="str">
        <f>"2025-07-30 06:13:43.367"</f>
        <v>2025-07-30 06:13:43.367</v>
      </c>
      <c r="H2922" t="s">
        <v>41</v>
      </c>
      <c r="I2922">
        <v>0</v>
      </c>
      <c r="J2922" t="s">
        <v>23</v>
      </c>
    </row>
    <row r="2923" spans="1:10" x14ac:dyDescent="0.25">
      <c r="A2923" s="1">
        <v>102</v>
      </c>
      <c r="B2923" t="s">
        <v>19</v>
      </c>
      <c r="C2923">
        <v>700</v>
      </c>
      <c r="D2923">
        <v>0</v>
      </c>
      <c r="E2923" t="s">
        <v>24</v>
      </c>
      <c r="F2923" t="s">
        <v>24</v>
      </c>
      <c r="G2923" t="str">
        <f>"2025-07-30 02:37:57.689"</f>
        <v>2025-07-30 02:37:57.689</v>
      </c>
      <c r="H2923" t="s">
        <v>22</v>
      </c>
    </row>
    <row r="2924" spans="1:10" x14ac:dyDescent="0.25">
      <c r="A2924" s="1">
        <v>103</v>
      </c>
      <c r="B2924" t="s">
        <v>19</v>
      </c>
      <c r="C2924">
        <v>706</v>
      </c>
      <c r="D2924">
        <v>4</v>
      </c>
      <c r="E2924" t="s">
        <v>20</v>
      </c>
      <c r="F2924" t="s">
        <v>21</v>
      </c>
      <c r="G2924" t="str">
        <f>"2025-07-30 01:30:37.176"</f>
        <v>2025-07-30 01:30:37.176</v>
      </c>
      <c r="H2924" t="s">
        <v>22</v>
      </c>
      <c r="I2924">
        <v>0</v>
      </c>
      <c r="J2924" t="s">
        <v>23</v>
      </c>
    </row>
    <row r="2925" spans="1:10" x14ac:dyDescent="0.25">
      <c r="A2925" s="1">
        <v>104</v>
      </c>
      <c r="B2925" t="s">
        <v>26</v>
      </c>
      <c r="C2925">
        <v>619</v>
      </c>
      <c r="D2925">
        <v>1</v>
      </c>
      <c r="E2925" t="s">
        <v>79</v>
      </c>
      <c r="F2925" t="s">
        <v>28</v>
      </c>
      <c r="G2925" t="str">
        <f>"2025-07-30 01:30:20.654"</f>
        <v>2025-07-30 01:30:20.654</v>
      </c>
      <c r="H2925" t="s">
        <v>80</v>
      </c>
    </row>
    <row r="2926" spans="1:10" x14ac:dyDescent="0.25">
      <c r="A2926" s="1">
        <v>105</v>
      </c>
      <c r="B2926" t="s">
        <v>29</v>
      </c>
      <c r="C2926">
        <v>619</v>
      </c>
      <c r="D2926">
        <v>1</v>
      </c>
      <c r="E2926" t="s">
        <v>79</v>
      </c>
      <c r="F2926" t="s">
        <v>28</v>
      </c>
      <c r="G2926" t="str">
        <f>"2025-07-30 01:29:28.255"</f>
        <v>2025-07-30 01:29:28.255</v>
      </c>
      <c r="H2926" t="s">
        <v>80</v>
      </c>
      <c r="I2926">
        <v>18.84</v>
      </c>
      <c r="J2926" t="s">
        <v>30</v>
      </c>
    </row>
    <row r="2927" spans="1:10" x14ac:dyDescent="0.25">
      <c r="A2927" s="1">
        <v>106</v>
      </c>
      <c r="B2927" t="s">
        <v>19</v>
      </c>
      <c r="C2927">
        <v>700</v>
      </c>
      <c r="D2927">
        <v>0</v>
      </c>
      <c r="E2927" t="s">
        <v>24</v>
      </c>
      <c r="F2927" t="s">
        <v>24</v>
      </c>
      <c r="G2927" t="str">
        <f>"2025-07-30 01:00:45.676"</f>
        <v>2025-07-30 01:00:45.676</v>
      </c>
      <c r="H2927" t="s">
        <v>22</v>
      </c>
      <c r="I2927">
        <v>0</v>
      </c>
      <c r="J2927" t="s">
        <v>25</v>
      </c>
    </row>
    <row r="2928" spans="1:10" x14ac:dyDescent="0.25">
      <c r="A2928" s="1">
        <v>107</v>
      </c>
      <c r="B2928" t="s">
        <v>34</v>
      </c>
      <c r="C2928">
        <v>630</v>
      </c>
      <c r="D2928">
        <v>5</v>
      </c>
      <c r="E2928" t="s">
        <v>39</v>
      </c>
      <c r="F2928" t="s">
        <v>40</v>
      </c>
      <c r="G2928" t="str">
        <f>"2025-07-30 00:29:06.542"</f>
        <v>2025-07-30 00:29:06.542</v>
      </c>
      <c r="H2928" t="s">
        <v>41</v>
      </c>
      <c r="I2928">
        <v>0</v>
      </c>
      <c r="J2928" t="s">
        <v>23</v>
      </c>
    </row>
    <row r="2929" spans="1:10" x14ac:dyDescent="0.25">
      <c r="A2929" s="1">
        <v>108</v>
      </c>
      <c r="B2929" t="s">
        <v>26</v>
      </c>
      <c r="C2929">
        <v>630</v>
      </c>
      <c r="D2929">
        <v>5</v>
      </c>
      <c r="E2929" t="s">
        <v>39</v>
      </c>
      <c r="F2929" t="s">
        <v>40</v>
      </c>
      <c r="G2929" t="str">
        <f>"2025-07-29 20:09:38.042"</f>
        <v>2025-07-29 20:09:38.042</v>
      </c>
      <c r="H2929" t="s">
        <v>41</v>
      </c>
    </row>
    <row r="2930" spans="1:10" x14ac:dyDescent="0.25">
      <c r="A2930" s="1">
        <v>109</v>
      </c>
      <c r="B2930" t="s">
        <v>19</v>
      </c>
      <c r="C2930">
        <v>706</v>
      </c>
      <c r="D2930">
        <v>4</v>
      </c>
      <c r="E2930" t="s">
        <v>20</v>
      </c>
      <c r="F2930" t="s">
        <v>21</v>
      </c>
      <c r="G2930" t="str">
        <f>"2025-07-29 20:09:07.916"</f>
        <v>2025-07-29 20:09:07.916</v>
      </c>
      <c r="H2930" t="s">
        <v>22</v>
      </c>
      <c r="I2930">
        <v>0</v>
      </c>
      <c r="J2930" t="s">
        <v>23</v>
      </c>
    </row>
    <row r="2931" spans="1:10" x14ac:dyDescent="0.25">
      <c r="A2931" s="1">
        <v>110</v>
      </c>
      <c r="B2931" t="s">
        <v>34</v>
      </c>
      <c r="C2931">
        <v>630</v>
      </c>
      <c r="D2931">
        <v>5</v>
      </c>
      <c r="E2931" t="s">
        <v>39</v>
      </c>
      <c r="F2931" t="s">
        <v>40</v>
      </c>
      <c r="G2931" t="str">
        <f>"2025-07-29 20:06:28.843"</f>
        <v>2025-07-29 20:06:28.843</v>
      </c>
      <c r="H2931" t="s">
        <v>41</v>
      </c>
      <c r="I2931">
        <v>0</v>
      </c>
      <c r="J2931" t="s">
        <v>23</v>
      </c>
    </row>
    <row r="2932" spans="1:10" x14ac:dyDescent="0.25">
      <c r="A2932" s="1">
        <v>111</v>
      </c>
      <c r="B2932" t="s">
        <v>19</v>
      </c>
      <c r="C2932">
        <v>700</v>
      </c>
      <c r="D2932">
        <v>0</v>
      </c>
      <c r="E2932" t="s">
        <v>24</v>
      </c>
      <c r="F2932" t="s">
        <v>24</v>
      </c>
      <c r="G2932" t="str">
        <f>"2025-07-29 19:24:58.966"</f>
        <v>2025-07-29 19:24:58.966</v>
      </c>
      <c r="H2932" t="s">
        <v>22</v>
      </c>
    </row>
    <row r="2933" spans="1:10" x14ac:dyDescent="0.25">
      <c r="A2933" s="1">
        <v>112</v>
      </c>
      <c r="B2933" t="s">
        <v>19</v>
      </c>
      <c r="C2933">
        <v>700</v>
      </c>
      <c r="D2933">
        <v>0</v>
      </c>
      <c r="E2933" t="s">
        <v>24</v>
      </c>
      <c r="F2933" t="s">
        <v>24</v>
      </c>
      <c r="G2933" t="str">
        <f>"2025-07-29 12:59:48.706"</f>
        <v>2025-07-29 12:59:48.706</v>
      </c>
      <c r="H2933" t="s">
        <v>22</v>
      </c>
      <c r="I2933">
        <v>0</v>
      </c>
      <c r="J2933" t="s">
        <v>25</v>
      </c>
    </row>
    <row r="2934" spans="1:10" x14ac:dyDescent="0.25">
      <c r="A2934" s="1">
        <v>113</v>
      </c>
      <c r="B2934" t="s">
        <v>19</v>
      </c>
      <c r="C2934">
        <v>700</v>
      </c>
      <c r="D2934">
        <v>0</v>
      </c>
      <c r="E2934" t="s">
        <v>24</v>
      </c>
      <c r="F2934" t="s">
        <v>24</v>
      </c>
      <c r="G2934" t="str">
        <f>"2025-07-29 09:47:02.721"</f>
        <v>2025-07-29 09:47:02.721</v>
      </c>
      <c r="H2934" t="s">
        <v>22</v>
      </c>
    </row>
    <row r="2935" spans="1:10" x14ac:dyDescent="0.25">
      <c r="A2935" s="1">
        <v>114</v>
      </c>
      <c r="B2935" t="s">
        <v>19</v>
      </c>
      <c r="C2935">
        <v>700</v>
      </c>
      <c r="D2935">
        <v>0</v>
      </c>
      <c r="E2935" t="s">
        <v>24</v>
      </c>
      <c r="F2935" t="s">
        <v>24</v>
      </c>
      <c r="G2935" t="str">
        <f>"2025-07-29 07:20:20.682"</f>
        <v>2025-07-29 07:20:20.682</v>
      </c>
      <c r="H2935" t="s">
        <v>22</v>
      </c>
    </row>
    <row r="2936" spans="1:10" x14ac:dyDescent="0.25">
      <c r="A2936" s="1">
        <v>115</v>
      </c>
      <c r="B2936" t="s">
        <v>19</v>
      </c>
      <c r="C2936">
        <v>700</v>
      </c>
      <c r="D2936">
        <v>0</v>
      </c>
      <c r="E2936" t="s">
        <v>24</v>
      </c>
      <c r="F2936" t="s">
        <v>24</v>
      </c>
      <c r="G2936" t="str">
        <f>"2025-07-29 06:17:16.876"</f>
        <v>2025-07-29 06:17:16.876</v>
      </c>
      <c r="H2936" t="s">
        <v>22</v>
      </c>
      <c r="I2936">
        <v>0</v>
      </c>
      <c r="J2936" t="s">
        <v>25</v>
      </c>
    </row>
    <row r="2937" spans="1:10" x14ac:dyDescent="0.25">
      <c r="A2937" s="1">
        <v>116</v>
      </c>
      <c r="B2937" t="s">
        <v>19</v>
      </c>
      <c r="C2937">
        <v>700</v>
      </c>
      <c r="D2937">
        <v>0</v>
      </c>
      <c r="E2937" t="s">
        <v>24</v>
      </c>
      <c r="F2937" t="s">
        <v>24</v>
      </c>
      <c r="G2937" t="str">
        <f>"2025-07-29 03:21:09.743"</f>
        <v>2025-07-29 03:21:09.743</v>
      </c>
      <c r="H2937" t="s">
        <v>22</v>
      </c>
      <c r="I2937">
        <v>0</v>
      </c>
      <c r="J2937" t="s">
        <v>25</v>
      </c>
    </row>
    <row r="2938" spans="1:10" x14ac:dyDescent="0.25">
      <c r="A2938" s="1">
        <v>117</v>
      </c>
      <c r="B2938" t="s">
        <v>34</v>
      </c>
      <c r="C2938">
        <v>47</v>
      </c>
      <c r="D2938">
        <v>2</v>
      </c>
      <c r="E2938" t="s">
        <v>83</v>
      </c>
      <c r="F2938" t="s">
        <v>84</v>
      </c>
      <c r="G2938" t="str">
        <f>"2025-07-29 03:20:10.764"</f>
        <v>2025-07-29 03:20:10.764</v>
      </c>
      <c r="H2938" t="s">
        <v>47</v>
      </c>
      <c r="I2938">
        <v>0</v>
      </c>
      <c r="J2938" t="s">
        <v>72</v>
      </c>
    </row>
    <row r="2939" spans="1:10" x14ac:dyDescent="0.25">
      <c r="A2939" s="1">
        <v>118</v>
      </c>
      <c r="B2939" t="s">
        <v>19</v>
      </c>
      <c r="C2939">
        <v>700</v>
      </c>
      <c r="D2939">
        <v>0</v>
      </c>
      <c r="E2939" t="s">
        <v>24</v>
      </c>
      <c r="F2939" t="s">
        <v>24</v>
      </c>
      <c r="G2939" t="str">
        <f>"2025-07-29 03:20:06.683"</f>
        <v>2025-07-29 03:20:06.683</v>
      </c>
      <c r="H2939" t="s">
        <v>22</v>
      </c>
    </row>
    <row r="2940" spans="1:10" x14ac:dyDescent="0.25">
      <c r="A2940" s="1">
        <v>119</v>
      </c>
      <c r="B2940" t="s">
        <v>26</v>
      </c>
      <c r="C2940">
        <v>630</v>
      </c>
      <c r="D2940">
        <v>5</v>
      </c>
      <c r="E2940" t="s">
        <v>39</v>
      </c>
      <c r="F2940" t="s">
        <v>40</v>
      </c>
      <c r="G2940" t="str">
        <f>"2025-07-29 03:02:56.011"</f>
        <v>2025-07-29 03:02:56.011</v>
      </c>
      <c r="H2940" t="s">
        <v>41</v>
      </c>
    </row>
    <row r="2941" spans="1:10" x14ac:dyDescent="0.25">
      <c r="A2941" s="1">
        <v>120</v>
      </c>
      <c r="B2941" t="s">
        <v>19</v>
      </c>
      <c r="C2941">
        <v>706</v>
      </c>
      <c r="D2941">
        <v>4</v>
      </c>
      <c r="E2941" t="s">
        <v>20</v>
      </c>
      <c r="F2941" t="s">
        <v>21</v>
      </c>
      <c r="G2941" t="str">
        <f>"2025-07-29 03:02:25.929"</f>
        <v>2025-07-29 03:02:25.929</v>
      </c>
      <c r="H2941" t="s">
        <v>22</v>
      </c>
      <c r="I2941">
        <v>0</v>
      </c>
      <c r="J2941" t="s">
        <v>23</v>
      </c>
    </row>
    <row r="2942" spans="1:10" x14ac:dyDescent="0.25">
      <c r="A2942" s="1">
        <v>121</v>
      </c>
      <c r="B2942" t="s">
        <v>34</v>
      </c>
      <c r="C2942">
        <v>630</v>
      </c>
      <c r="D2942">
        <v>5</v>
      </c>
      <c r="E2942" t="s">
        <v>39</v>
      </c>
      <c r="F2942" t="s">
        <v>40</v>
      </c>
      <c r="G2942" t="str">
        <f>"2025-07-29 02:58:50.511"</f>
        <v>2025-07-29 02:58:50.511</v>
      </c>
      <c r="H2942" t="s">
        <v>41</v>
      </c>
      <c r="I2942">
        <v>0</v>
      </c>
      <c r="J2942" t="s">
        <v>23</v>
      </c>
    </row>
    <row r="2943" spans="1:10" x14ac:dyDescent="0.25">
      <c r="A2943" s="1">
        <v>122</v>
      </c>
      <c r="B2943" t="s">
        <v>19</v>
      </c>
      <c r="C2943">
        <v>700</v>
      </c>
      <c r="D2943">
        <v>0</v>
      </c>
      <c r="E2943" t="s">
        <v>24</v>
      </c>
      <c r="F2943" t="s">
        <v>24</v>
      </c>
      <c r="G2943" t="str">
        <f>"2025-07-29 02:53:47.679"</f>
        <v>2025-07-29 02:53:47.679</v>
      </c>
      <c r="H2943" t="s">
        <v>22</v>
      </c>
    </row>
    <row r="2944" spans="1:10" x14ac:dyDescent="0.25">
      <c r="A2944" s="1">
        <v>123</v>
      </c>
      <c r="B2944" t="s">
        <v>34</v>
      </c>
      <c r="C2944">
        <v>630</v>
      </c>
      <c r="D2944">
        <v>5</v>
      </c>
      <c r="E2944" t="s">
        <v>39</v>
      </c>
      <c r="F2944" t="s">
        <v>40</v>
      </c>
      <c r="G2944" t="str">
        <f>"2025-07-28 22:11:24.613"</f>
        <v>2025-07-28 22:11:24.613</v>
      </c>
      <c r="H2944" t="s">
        <v>41</v>
      </c>
      <c r="I2944">
        <v>0</v>
      </c>
      <c r="J2944" t="s">
        <v>23</v>
      </c>
    </row>
    <row r="2945" spans="1:10" x14ac:dyDescent="0.25">
      <c r="A2945" s="1">
        <v>124</v>
      </c>
      <c r="B2945" t="s">
        <v>19</v>
      </c>
      <c r="C2945">
        <v>700</v>
      </c>
      <c r="D2945">
        <v>0</v>
      </c>
      <c r="E2945" t="s">
        <v>24</v>
      </c>
      <c r="F2945" t="s">
        <v>24</v>
      </c>
      <c r="G2945" t="str">
        <f>"2025-07-28 22:06:21.937"</f>
        <v>2025-07-28 22:06:21.937</v>
      </c>
      <c r="H2945" t="s">
        <v>22</v>
      </c>
      <c r="I2945">
        <v>0</v>
      </c>
      <c r="J2945" t="s">
        <v>25</v>
      </c>
    </row>
    <row r="2946" spans="1:10" x14ac:dyDescent="0.25">
      <c r="A2946" s="1">
        <v>125</v>
      </c>
      <c r="B2946" t="s">
        <v>19</v>
      </c>
      <c r="C2946">
        <v>700</v>
      </c>
      <c r="D2946">
        <v>0</v>
      </c>
      <c r="E2946" t="s">
        <v>24</v>
      </c>
      <c r="F2946" t="s">
        <v>24</v>
      </c>
      <c r="G2946" t="str">
        <f>"2025-07-28 20:16:12.689"</f>
        <v>2025-07-28 20:16:12.689</v>
      </c>
      <c r="H2946" t="s">
        <v>22</v>
      </c>
      <c r="I2946">
        <v>0</v>
      </c>
      <c r="J2946" t="s">
        <v>25</v>
      </c>
    </row>
    <row r="2947" spans="1:10" x14ac:dyDescent="0.25">
      <c r="A2947" s="1">
        <v>126</v>
      </c>
      <c r="B2947" t="s">
        <v>19</v>
      </c>
      <c r="C2947">
        <v>706</v>
      </c>
      <c r="D2947">
        <v>4</v>
      </c>
      <c r="E2947" t="s">
        <v>20</v>
      </c>
      <c r="F2947" t="s">
        <v>21</v>
      </c>
      <c r="G2947" t="str">
        <f>"2025-07-28 20:06:48.550"</f>
        <v>2025-07-28 20:06:48.550</v>
      </c>
      <c r="H2947" t="s">
        <v>22</v>
      </c>
      <c r="I2947">
        <v>0</v>
      </c>
      <c r="J2947" t="s">
        <v>23</v>
      </c>
    </row>
    <row r="2948" spans="1:10" x14ac:dyDescent="0.25">
      <c r="A2948" s="1">
        <v>127</v>
      </c>
      <c r="B2948" t="s">
        <v>19</v>
      </c>
      <c r="C2948">
        <v>700</v>
      </c>
      <c r="D2948">
        <v>0</v>
      </c>
      <c r="E2948" t="s">
        <v>24</v>
      </c>
      <c r="F2948" t="s">
        <v>24</v>
      </c>
      <c r="G2948" t="str">
        <f>"2025-07-28 19:24:54.720"</f>
        <v>2025-07-28 19:24:54.720</v>
      </c>
      <c r="H2948" t="s">
        <v>22</v>
      </c>
      <c r="I2948">
        <v>0</v>
      </c>
      <c r="J2948" t="s">
        <v>25</v>
      </c>
    </row>
    <row r="2949" spans="1:10" x14ac:dyDescent="0.25">
      <c r="A2949" s="1">
        <v>128</v>
      </c>
      <c r="B2949" t="s">
        <v>19</v>
      </c>
      <c r="C2949">
        <v>706</v>
      </c>
      <c r="D2949">
        <v>4</v>
      </c>
      <c r="E2949" t="s">
        <v>20</v>
      </c>
      <c r="F2949" t="s">
        <v>21</v>
      </c>
      <c r="G2949" t="str">
        <f>"2025-07-28 16:07:16.014"</f>
        <v>2025-07-28 16:07:16.014</v>
      </c>
      <c r="H2949" t="s">
        <v>22</v>
      </c>
      <c r="I2949">
        <v>0</v>
      </c>
      <c r="J2949" t="s">
        <v>23</v>
      </c>
    </row>
    <row r="2950" spans="1:10" x14ac:dyDescent="0.25">
      <c r="A2950" s="1">
        <v>129</v>
      </c>
      <c r="B2950" t="s">
        <v>19</v>
      </c>
      <c r="C2950">
        <v>700</v>
      </c>
      <c r="D2950">
        <v>0</v>
      </c>
      <c r="E2950" t="s">
        <v>24</v>
      </c>
      <c r="F2950" t="s">
        <v>24</v>
      </c>
      <c r="G2950" t="str">
        <f>"2025-07-28 16:06:31.804"</f>
        <v>2025-07-28 16:06:31.804</v>
      </c>
      <c r="H2950" t="s">
        <v>22</v>
      </c>
    </row>
    <row r="2951" spans="1:10" x14ac:dyDescent="0.25">
      <c r="A2951" s="1">
        <v>130</v>
      </c>
      <c r="B2951" t="s">
        <v>26</v>
      </c>
      <c r="C2951">
        <v>42</v>
      </c>
      <c r="D2951">
        <v>1</v>
      </c>
      <c r="E2951" t="s">
        <v>117</v>
      </c>
      <c r="F2951" t="s">
        <v>118</v>
      </c>
      <c r="G2951" t="str">
        <f>"2025-07-28 15:37:55.299"</f>
        <v>2025-07-28 15:37:55.299</v>
      </c>
      <c r="H2951" t="s">
        <v>64</v>
      </c>
    </row>
    <row r="2952" spans="1:10" x14ac:dyDescent="0.25">
      <c r="A2952" s="1">
        <v>131</v>
      </c>
      <c r="B2952" t="s">
        <v>29</v>
      </c>
      <c r="C2952">
        <v>42</v>
      </c>
      <c r="D2952">
        <v>1</v>
      </c>
      <c r="E2952" t="s">
        <v>117</v>
      </c>
      <c r="F2952" t="s">
        <v>118</v>
      </c>
      <c r="G2952" t="str">
        <f>"2025-07-28 15:37:49.699"</f>
        <v>2025-07-28 15:37:49.699</v>
      </c>
      <c r="H2952" t="s">
        <v>64</v>
      </c>
      <c r="I2952">
        <v>0</v>
      </c>
      <c r="J2952" t="s">
        <v>23</v>
      </c>
    </row>
    <row r="2953" spans="1:10" x14ac:dyDescent="0.25">
      <c r="A2953" s="1">
        <v>132</v>
      </c>
      <c r="B2953" t="s">
        <v>19</v>
      </c>
      <c r="C2953">
        <v>700</v>
      </c>
      <c r="D2953">
        <v>0</v>
      </c>
      <c r="E2953" t="s">
        <v>24</v>
      </c>
      <c r="F2953" t="s">
        <v>24</v>
      </c>
      <c r="G2953" t="str">
        <f>"2025-07-28 12:51:52.739"</f>
        <v>2025-07-28 12:51:52.739</v>
      </c>
      <c r="H2953" t="s">
        <v>22</v>
      </c>
      <c r="I2953">
        <v>0</v>
      </c>
      <c r="J2953" t="s">
        <v>25</v>
      </c>
    </row>
    <row r="2954" spans="1:10" x14ac:dyDescent="0.25">
      <c r="A2954" s="1">
        <v>133</v>
      </c>
      <c r="B2954" t="s">
        <v>19</v>
      </c>
      <c r="C2954">
        <v>700</v>
      </c>
      <c r="D2954">
        <v>0</v>
      </c>
      <c r="E2954" t="s">
        <v>24</v>
      </c>
      <c r="F2954" t="s">
        <v>24</v>
      </c>
      <c r="G2954" t="str">
        <f>"2025-07-28 07:52:20.696"</f>
        <v>2025-07-28 07:52:20.696</v>
      </c>
      <c r="H2954" t="s">
        <v>22</v>
      </c>
    </row>
    <row r="2955" spans="1:10" x14ac:dyDescent="0.25">
      <c r="A2955" s="1">
        <v>134</v>
      </c>
      <c r="B2955" t="s">
        <v>19</v>
      </c>
      <c r="C2955">
        <v>706</v>
      </c>
      <c r="D2955">
        <v>4</v>
      </c>
      <c r="E2955" t="s">
        <v>20</v>
      </c>
      <c r="F2955" t="s">
        <v>21</v>
      </c>
      <c r="G2955" t="str">
        <f>"2025-07-28 05:44:56.208"</f>
        <v>2025-07-28 05:44:56.208</v>
      </c>
      <c r="H2955" t="s">
        <v>22</v>
      </c>
      <c r="I2955">
        <v>0</v>
      </c>
      <c r="J2955" t="s">
        <v>23</v>
      </c>
    </row>
    <row r="2956" spans="1:10" x14ac:dyDescent="0.25">
      <c r="A2956" s="1">
        <v>135</v>
      </c>
      <c r="B2956" t="s">
        <v>19</v>
      </c>
      <c r="C2956">
        <v>700</v>
      </c>
      <c r="D2956">
        <v>0</v>
      </c>
      <c r="E2956" t="s">
        <v>24</v>
      </c>
      <c r="F2956" t="s">
        <v>24</v>
      </c>
      <c r="G2956" t="str">
        <f>"2025-07-28 05:44:24.708"</f>
        <v>2025-07-28 05:44:24.708</v>
      </c>
      <c r="H2956" t="s">
        <v>22</v>
      </c>
      <c r="I2956">
        <v>0</v>
      </c>
      <c r="J2956" t="s">
        <v>25</v>
      </c>
    </row>
    <row r="2957" spans="1:10" x14ac:dyDescent="0.25">
      <c r="A2957" s="1">
        <v>136</v>
      </c>
      <c r="B2957" t="s">
        <v>34</v>
      </c>
      <c r="C2957">
        <v>630</v>
      </c>
      <c r="D2957">
        <v>5</v>
      </c>
      <c r="E2957" t="s">
        <v>39</v>
      </c>
      <c r="F2957" t="s">
        <v>40</v>
      </c>
      <c r="G2957" t="str">
        <f>"2025-07-28 05:38:07.833"</f>
        <v>2025-07-28 05:38:07.833</v>
      </c>
      <c r="H2957" t="s">
        <v>41</v>
      </c>
      <c r="I2957">
        <v>0</v>
      </c>
      <c r="J2957" t="s">
        <v>23</v>
      </c>
    </row>
    <row r="2958" spans="1:10" x14ac:dyDescent="0.25">
      <c r="A2958" s="1">
        <v>137</v>
      </c>
      <c r="B2958" t="s">
        <v>19</v>
      </c>
      <c r="C2958">
        <v>700</v>
      </c>
      <c r="D2958">
        <v>0</v>
      </c>
      <c r="E2958" t="s">
        <v>24</v>
      </c>
      <c r="F2958" t="s">
        <v>24</v>
      </c>
      <c r="G2958" t="str">
        <f>"2025-07-28 01:45:21.695"</f>
        <v>2025-07-28 01:45:21.695</v>
      </c>
      <c r="H2958" t="s">
        <v>22</v>
      </c>
    </row>
    <row r="2959" spans="1:10" x14ac:dyDescent="0.25">
      <c r="A2959" s="1">
        <v>138</v>
      </c>
      <c r="B2959" t="s">
        <v>34</v>
      </c>
      <c r="C2959">
        <v>630</v>
      </c>
      <c r="D2959">
        <v>5</v>
      </c>
      <c r="E2959" t="s">
        <v>39</v>
      </c>
      <c r="F2959" t="s">
        <v>40</v>
      </c>
      <c r="G2959" t="str">
        <f>"2025-07-28 01:37:33.994"</f>
        <v>2025-07-28 01:37:33.994</v>
      </c>
      <c r="H2959" t="s">
        <v>41</v>
      </c>
      <c r="I2959">
        <v>0</v>
      </c>
      <c r="J2959" t="s">
        <v>23</v>
      </c>
    </row>
    <row r="2960" spans="1:10" x14ac:dyDescent="0.25">
      <c r="A2960" s="1">
        <v>139</v>
      </c>
      <c r="B2960" t="s">
        <v>19</v>
      </c>
      <c r="C2960">
        <v>700</v>
      </c>
      <c r="D2960">
        <v>0</v>
      </c>
      <c r="E2960" t="s">
        <v>24</v>
      </c>
      <c r="F2960" t="s">
        <v>24</v>
      </c>
      <c r="G2960" t="str">
        <f>"2025-07-28 00:43:40.725"</f>
        <v>2025-07-28 00:43:40.725</v>
      </c>
      <c r="H2960" t="s">
        <v>22</v>
      </c>
      <c r="I2960">
        <v>0</v>
      </c>
      <c r="J2960" t="s">
        <v>25</v>
      </c>
    </row>
    <row r="2961" spans="1:10" x14ac:dyDescent="0.25">
      <c r="A2961" s="1">
        <v>140</v>
      </c>
      <c r="B2961" t="s">
        <v>34</v>
      </c>
      <c r="C2961">
        <v>630</v>
      </c>
      <c r="D2961">
        <v>5</v>
      </c>
      <c r="E2961" t="s">
        <v>39</v>
      </c>
      <c r="F2961" t="s">
        <v>40</v>
      </c>
      <c r="G2961" t="str">
        <f>"2025-07-28 00:20:56.666"</f>
        <v>2025-07-28 00:20:56.666</v>
      </c>
      <c r="H2961" t="s">
        <v>41</v>
      </c>
      <c r="I2961">
        <v>0</v>
      </c>
      <c r="J2961" t="s">
        <v>23</v>
      </c>
    </row>
    <row r="2962" spans="1:10" x14ac:dyDescent="0.25">
      <c r="A2962" s="1">
        <v>141</v>
      </c>
      <c r="B2962" t="s">
        <v>19</v>
      </c>
      <c r="C2962">
        <v>700</v>
      </c>
      <c r="D2962">
        <v>0</v>
      </c>
      <c r="E2962" t="s">
        <v>24</v>
      </c>
      <c r="F2962" t="s">
        <v>24</v>
      </c>
      <c r="G2962" t="str">
        <f>"2025-07-27 19:22:06.677"</f>
        <v>2025-07-27 19:22:06.677</v>
      </c>
      <c r="H2962" t="s">
        <v>22</v>
      </c>
      <c r="I2962">
        <v>0</v>
      </c>
      <c r="J2962" t="s">
        <v>25</v>
      </c>
    </row>
    <row r="2963" spans="1:10" x14ac:dyDescent="0.25">
      <c r="A2963" s="1">
        <v>142</v>
      </c>
      <c r="B2963" t="s">
        <v>19</v>
      </c>
      <c r="C2963">
        <v>700</v>
      </c>
      <c r="D2963">
        <v>0</v>
      </c>
      <c r="E2963" t="s">
        <v>24</v>
      </c>
      <c r="F2963" t="s">
        <v>24</v>
      </c>
      <c r="G2963" t="str">
        <f>"2025-07-27 13:26:20.731"</f>
        <v>2025-07-27 13:26:20.731</v>
      </c>
      <c r="H2963" t="s">
        <v>22</v>
      </c>
    </row>
    <row r="2964" spans="1:10" x14ac:dyDescent="0.25">
      <c r="A2964" s="1">
        <v>143</v>
      </c>
      <c r="B2964" t="s">
        <v>19</v>
      </c>
      <c r="C2964">
        <v>700</v>
      </c>
      <c r="D2964">
        <v>0</v>
      </c>
      <c r="E2964" t="s">
        <v>24</v>
      </c>
      <c r="F2964" t="s">
        <v>24</v>
      </c>
      <c r="G2964" t="str">
        <f>"2025-07-27 06:02:09.689"</f>
        <v>2025-07-27 06:02:09.689</v>
      </c>
      <c r="H2964" t="s">
        <v>22</v>
      </c>
      <c r="I2964">
        <v>0</v>
      </c>
      <c r="J2964" t="s">
        <v>25</v>
      </c>
    </row>
    <row r="2965" spans="1:10" x14ac:dyDescent="0.25">
      <c r="A2965" s="1">
        <v>144</v>
      </c>
      <c r="B2965" t="s">
        <v>26</v>
      </c>
      <c r="C2965">
        <v>630</v>
      </c>
      <c r="D2965">
        <v>5</v>
      </c>
      <c r="E2965" t="s">
        <v>39</v>
      </c>
      <c r="F2965" t="s">
        <v>40</v>
      </c>
      <c r="G2965" t="str">
        <f>"2025-07-27 00:35:25.706"</f>
        <v>2025-07-27 00:35:25.706</v>
      </c>
      <c r="H2965" t="s">
        <v>41</v>
      </c>
    </row>
    <row r="2966" spans="1:10" x14ac:dyDescent="0.25">
      <c r="A2966" s="1">
        <v>145</v>
      </c>
      <c r="B2966" t="s">
        <v>19</v>
      </c>
      <c r="C2966">
        <v>706</v>
      </c>
      <c r="D2966">
        <v>4</v>
      </c>
      <c r="E2966" t="s">
        <v>20</v>
      </c>
      <c r="F2966" t="s">
        <v>21</v>
      </c>
      <c r="G2966" t="str">
        <f>"2025-07-27 00:34:55.688"</f>
        <v>2025-07-27 00:34:55.688</v>
      </c>
      <c r="H2966" t="s">
        <v>22</v>
      </c>
      <c r="I2966">
        <v>0</v>
      </c>
      <c r="J2966" t="s">
        <v>23</v>
      </c>
    </row>
    <row r="2967" spans="1:10" x14ac:dyDescent="0.25">
      <c r="A2967" s="1">
        <v>146</v>
      </c>
      <c r="B2967" t="s">
        <v>19</v>
      </c>
      <c r="C2967">
        <v>706</v>
      </c>
      <c r="D2967">
        <v>2</v>
      </c>
      <c r="E2967" t="s">
        <v>20</v>
      </c>
      <c r="F2967" t="s">
        <v>54</v>
      </c>
      <c r="G2967" t="str">
        <f>"2025-07-27 00:34:01.508"</f>
        <v>2025-07-27 00:34:01.508</v>
      </c>
      <c r="H2967" t="s">
        <v>22</v>
      </c>
      <c r="I2967">
        <v>0</v>
      </c>
      <c r="J2967" t="s">
        <v>23</v>
      </c>
    </row>
    <row r="2968" spans="1:10" x14ac:dyDescent="0.25">
      <c r="A2968" s="1">
        <v>147</v>
      </c>
      <c r="B2968" t="s">
        <v>34</v>
      </c>
      <c r="C2968">
        <v>630</v>
      </c>
      <c r="D2968">
        <v>5</v>
      </c>
      <c r="E2968" t="s">
        <v>39</v>
      </c>
      <c r="F2968" t="s">
        <v>40</v>
      </c>
      <c r="G2968" t="str">
        <f>"2025-07-27 00:13:03.007"</f>
        <v>2025-07-27 00:13:03.007</v>
      </c>
      <c r="H2968" t="s">
        <v>41</v>
      </c>
      <c r="I2968">
        <v>0</v>
      </c>
      <c r="J2968" t="s">
        <v>23</v>
      </c>
    </row>
    <row r="2969" spans="1:10" x14ac:dyDescent="0.25">
      <c r="A2969" s="1">
        <v>148</v>
      </c>
      <c r="B2969" t="s">
        <v>19</v>
      </c>
      <c r="C2969">
        <v>700</v>
      </c>
      <c r="D2969">
        <v>0</v>
      </c>
      <c r="E2969" t="s">
        <v>24</v>
      </c>
      <c r="F2969" t="s">
        <v>24</v>
      </c>
      <c r="G2969" t="str">
        <f>"2025-07-26 19:22:57.738"</f>
        <v>2025-07-26 19:22:57.738</v>
      </c>
      <c r="H2969" t="s">
        <v>22</v>
      </c>
      <c r="I2969">
        <v>0</v>
      </c>
      <c r="J2969" t="s">
        <v>25</v>
      </c>
    </row>
    <row r="2970" spans="1:10" x14ac:dyDescent="0.25">
      <c r="A2970" s="1">
        <v>149</v>
      </c>
      <c r="B2970" t="s">
        <v>19</v>
      </c>
      <c r="C2970">
        <v>700</v>
      </c>
      <c r="D2970">
        <v>0</v>
      </c>
      <c r="E2970" t="s">
        <v>24</v>
      </c>
      <c r="F2970" t="s">
        <v>24</v>
      </c>
      <c r="G2970" t="str">
        <f>"2025-07-26 13:44:37.697"</f>
        <v>2025-07-26 13:44:37.697</v>
      </c>
      <c r="H2970" t="s">
        <v>22</v>
      </c>
      <c r="I2970">
        <v>0</v>
      </c>
      <c r="J2970" t="s">
        <v>25</v>
      </c>
    </row>
    <row r="2971" spans="1:10" x14ac:dyDescent="0.25">
      <c r="A2971" s="1">
        <v>150</v>
      </c>
      <c r="B2971" t="s">
        <v>19</v>
      </c>
      <c r="C2971">
        <v>700</v>
      </c>
      <c r="D2971">
        <v>0</v>
      </c>
      <c r="E2971" t="s">
        <v>24</v>
      </c>
      <c r="F2971" t="s">
        <v>24</v>
      </c>
      <c r="G2971" t="str">
        <f>"2025-07-26 13:08:44.753"</f>
        <v>2025-07-26 13:08:44.753</v>
      </c>
      <c r="H2971" t="s">
        <v>22</v>
      </c>
      <c r="I2971">
        <v>0</v>
      </c>
      <c r="J2971" t="s">
        <v>25</v>
      </c>
    </row>
    <row r="2972" spans="1:10" x14ac:dyDescent="0.25">
      <c r="A2972" s="1">
        <v>151</v>
      </c>
      <c r="B2972" t="s">
        <v>19</v>
      </c>
      <c r="C2972">
        <v>700</v>
      </c>
      <c r="D2972">
        <v>0</v>
      </c>
      <c r="E2972" t="s">
        <v>24</v>
      </c>
      <c r="F2972" t="s">
        <v>24</v>
      </c>
      <c r="G2972" t="str">
        <f>"2025-07-26 07:21:36.945"</f>
        <v>2025-07-26 07:21:36.945</v>
      </c>
      <c r="H2972" t="s">
        <v>22</v>
      </c>
      <c r="I2972">
        <v>0</v>
      </c>
      <c r="J2972" t="s">
        <v>25</v>
      </c>
    </row>
    <row r="2973" spans="1:10" x14ac:dyDescent="0.25">
      <c r="A2973" s="1">
        <v>152</v>
      </c>
      <c r="B2973" t="s">
        <v>26</v>
      </c>
      <c r="C2973">
        <v>635</v>
      </c>
      <c r="D2973">
        <v>1</v>
      </c>
      <c r="E2973" t="s">
        <v>27</v>
      </c>
      <c r="F2973" t="s">
        <v>28</v>
      </c>
      <c r="G2973" t="str">
        <f>"2025-07-26 05:32:03.668"</f>
        <v>2025-07-26 05:32:03.668</v>
      </c>
      <c r="H2973" t="s">
        <v>22</v>
      </c>
    </row>
    <row r="2974" spans="1:10" x14ac:dyDescent="0.25">
      <c r="A2974" s="1">
        <v>153</v>
      </c>
      <c r="B2974" t="s">
        <v>29</v>
      </c>
      <c r="C2974">
        <v>635</v>
      </c>
      <c r="D2974">
        <v>1</v>
      </c>
      <c r="E2974" t="s">
        <v>27</v>
      </c>
      <c r="F2974" t="s">
        <v>28</v>
      </c>
      <c r="G2974" t="str">
        <f>"2025-07-26 05:28:06.168"</f>
        <v>2025-07-26 05:28:06.168</v>
      </c>
      <c r="H2974" t="s">
        <v>22</v>
      </c>
      <c r="I2974">
        <v>5.59</v>
      </c>
      <c r="J2974" t="s">
        <v>30</v>
      </c>
    </row>
    <row r="2975" spans="1:10" x14ac:dyDescent="0.25">
      <c r="A2975" s="1">
        <v>154</v>
      </c>
      <c r="B2975" t="s">
        <v>19</v>
      </c>
      <c r="C2975">
        <v>700</v>
      </c>
      <c r="D2975">
        <v>0</v>
      </c>
      <c r="E2975" t="s">
        <v>24</v>
      </c>
      <c r="F2975" t="s">
        <v>24</v>
      </c>
      <c r="G2975" t="str">
        <f>"2025-07-26 04:11:29.700"</f>
        <v>2025-07-26 04:11:29.700</v>
      </c>
      <c r="H2975" t="s">
        <v>22</v>
      </c>
      <c r="I2975">
        <v>0</v>
      </c>
      <c r="J2975" t="s">
        <v>25</v>
      </c>
    </row>
    <row r="2976" spans="1:10" x14ac:dyDescent="0.25">
      <c r="A2976" s="1">
        <v>155</v>
      </c>
      <c r="B2976" t="s">
        <v>19</v>
      </c>
      <c r="C2976">
        <v>706</v>
      </c>
      <c r="D2976">
        <v>2</v>
      </c>
      <c r="E2976" t="s">
        <v>20</v>
      </c>
      <c r="F2976" t="s">
        <v>54</v>
      </c>
      <c r="G2976" t="str">
        <f>"2025-07-26 04:03:09.147"</f>
        <v>2025-07-26 04:03:09.147</v>
      </c>
      <c r="H2976" t="s">
        <v>22</v>
      </c>
      <c r="I2976">
        <v>0</v>
      </c>
      <c r="J2976" t="s">
        <v>23</v>
      </c>
    </row>
    <row r="2977" spans="1:10" x14ac:dyDescent="0.25">
      <c r="A2977" s="1">
        <v>156</v>
      </c>
      <c r="B2977" t="s">
        <v>19</v>
      </c>
      <c r="C2977">
        <v>700</v>
      </c>
      <c r="D2977">
        <v>0</v>
      </c>
      <c r="E2977" t="s">
        <v>24</v>
      </c>
      <c r="F2977" t="s">
        <v>24</v>
      </c>
      <c r="G2977" t="str">
        <f>"2025-07-26 00:26:54.707"</f>
        <v>2025-07-26 00:26:54.707</v>
      </c>
      <c r="H2977" t="s">
        <v>22</v>
      </c>
      <c r="I2977">
        <v>0</v>
      </c>
      <c r="J2977" t="s">
        <v>25</v>
      </c>
    </row>
    <row r="2978" spans="1:10" x14ac:dyDescent="0.25">
      <c r="A2978" s="1">
        <v>157</v>
      </c>
      <c r="B2978" t="s">
        <v>34</v>
      </c>
      <c r="C2978">
        <v>630</v>
      </c>
      <c r="D2978">
        <v>5</v>
      </c>
      <c r="E2978" t="s">
        <v>39</v>
      </c>
      <c r="F2978" t="s">
        <v>40</v>
      </c>
      <c r="G2978" t="str">
        <f>"2025-07-26 00:06:56.267"</f>
        <v>2025-07-26 00:06:56.267</v>
      </c>
      <c r="H2978" t="s">
        <v>41</v>
      </c>
      <c r="I2978">
        <v>0</v>
      </c>
      <c r="J2978" t="s">
        <v>23</v>
      </c>
    </row>
    <row r="2979" spans="1:10" x14ac:dyDescent="0.25">
      <c r="A2979" s="1">
        <v>158</v>
      </c>
      <c r="B2979" t="s">
        <v>19</v>
      </c>
      <c r="C2979">
        <v>700</v>
      </c>
      <c r="D2979">
        <v>0</v>
      </c>
      <c r="E2979" t="s">
        <v>24</v>
      </c>
      <c r="F2979" t="s">
        <v>24</v>
      </c>
      <c r="G2979" t="str">
        <f>"2025-07-25 20:14:01.697"</f>
        <v>2025-07-25 20:14:01.697</v>
      </c>
      <c r="H2979" t="s">
        <v>22</v>
      </c>
    </row>
    <row r="2980" spans="1:10" x14ac:dyDescent="0.25">
      <c r="A2980" s="1">
        <v>159</v>
      </c>
      <c r="B2980" t="s">
        <v>19</v>
      </c>
      <c r="C2980">
        <v>700</v>
      </c>
      <c r="D2980">
        <v>0</v>
      </c>
      <c r="E2980" t="s">
        <v>24</v>
      </c>
      <c r="F2980" t="s">
        <v>24</v>
      </c>
      <c r="G2980" t="str">
        <f>"2025-07-25 19:26:50.688"</f>
        <v>2025-07-25 19:26:50.688</v>
      </c>
      <c r="H2980" t="s">
        <v>22</v>
      </c>
      <c r="I2980">
        <v>0</v>
      </c>
      <c r="J2980" t="s">
        <v>25</v>
      </c>
    </row>
    <row r="2981" spans="1:10" x14ac:dyDescent="0.25">
      <c r="A2981" s="1">
        <v>160</v>
      </c>
      <c r="B2981" t="s">
        <v>19</v>
      </c>
      <c r="C2981">
        <v>700</v>
      </c>
      <c r="D2981">
        <v>0</v>
      </c>
      <c r="E2981" t="s">
        <v>24</v>
      </c>
      <c r="F2981" t="s">
        <v>24</v>
      </c>
      <c r="G2981" t="str">
        <f>"2025-07-25 13:33:14.722"</f>
        <v>2025-07-25 13:33:14.722</v>
      </c>
      <c r="H2981" t="s">
        <v>22</v>
      </c>
    </row>
    <row r="2982" spans="1:10" x14ac:dyDescent="0.25">
      <c r="A2982" s="1">
        <v>161</v>
      </c>
      <c r="B2982" t="s">
        <v>19</v>
      </c>
      <c r="C2982">
        <v>700</v>
      </c>
      <c r="D2982">
        <v>0</v>
      </c>
      <c r="E2982" t="s">
        <v>24</v>
      </c>
      <c r="F2982" t="s">
        <v>24</v>
      </c>
      <c r="G2982" t="str">
        <f>"2025-07-25 05:43:26.707"</f>
        <v>2025-07-25 05:43:26.707</v>
      </c>
      <c r="H2982" t="s">
        <v>22</v>
      </c>
      <c r="I2982">
        <v>0</v>
      </c>
      <c r="J2982" t="s">
        <v>25</v>
      </c>
    </row>
    <row r="2983" spans="1:10" x14ac:dyDescent="0.25">
      <c r="A2983" s="1">
        <v>162</v>
      </c>
      <c r="B2983" t="s">
        <v>26</v>
      </c>
      <c r="C2983">
        <v>630</v>
      </c>
      <c r="D2983">
        <v>5</v>
      </c>
      <c r="E2983" t="s">
        <v>39</v>
      </c>
      <c r="F2983" t="s">
        <v>40</v>
      </c>
      <c r="G2983" t="str">
        <f>"2025-07-25 01:38:52.494"</f>
        <v>2025-07-25 01:38:52.494</v>
      </c>
      <c r="H2983" t="s">
        <v>41</v>
      </c>
    </row>
    <row r="2984" spans="1:10" x14ac:dyDescent="0.25">
      <c r="A2984" s="1">
        <v>163</v>
      </c>
      <c r="B2984" t="s">
        <v>19</v>
      </c>
      <c r="C2984">
        <v>706</v>
      </c>
      <c r="D2984">
        <v>4</v>
      </c>
      <c r="E2984" t="s">
        <v>20</v>
      </c>
      <c r="F2984" t="s">
        <v>21</v>
      </c>
      <c r="G2984" t="str">
        <f>"2025-07-25 01:38:22.381"</f>
        <v>2025-07-25 01:38:22.381</v>
      </c>
      <c r="H2984" t="s">
        <v>22</v>
      </c>
      <c r="I2984">
        <v>0</v>
      </c>
      <c r="J2984" t="s">
        <v>23</v>
      </c>
    </row>
    <row r="2985" spans="1:10" x14ac:dyDescent="0.25">
      <c r="A2985" s="1">
        <v>164</v>
      </c>
      <c r="B2985" t="s">
        <v>34</v>
      </c>
      <c r="C2985">
        <v>630</v>
      </c>
      <c r="D2985">
        <v>5</v>
      </c>
      <c r="E2985" t="s">
        <v>39</v>
      </c>
      <c r="F2985" t="s">
        <v>40</v>
      </c>
      <c r="G2985" t="str">
        <f>"2025-07-25 01:18:51.294"</f>
        <v>2025-07-25 01:18:51.294</v>
      </c>
      <c r="H2985" t="s">
        <v>41</v>
      </c>
      <c r="I2985">
        <v>0</v>
      </c>
      <c r="J2985" t="s">
        <v>23</v>
      </c>
    </row>
    <row r="2986" spans="1:10" x14ac:dyDescent="0.25">
      <c r="A2986" s="1">
        <v>165</v>
      </c>
      <c r="B2986" t="s">
        <v>19</v>
      </c>
      <c r="C2986">
        <v>700</v>
      </c>
      <c r="D2986">
        <v>0</v>
      </c>
      <c r="E2986" t="s">
        <v>24</v>
      </c>
      <c r="F2986" t="s">
        <v>24</v>
      </c>
      <c r="G2986" t="str">
        <f>"2025-07-24 21:35:17.721"</f>
        <v>2025-07-24 21:35:17.721</v>
      </c>
      <c r="H2986" t="s">
        <v>22</v>
      </c>
      <c r="I2986">
        <v>0</v>
      </c>
      <c r="J2986" t="s">
        <v>25</v>
      </c>
    </row>
    <row r="2987" spans="1:10" x14ac:dyDescent="0.25">
      <c r="A2987" s="1">
        <v>166</v>
      </c>
      <c r="B2987" t="s">
        <v>19</v>
      </c>
      <c r="C2987">
        <v>700</v>
      </c>
      <c r="D2987">
        <v>0</v>
      </c>
      <c r="E2987" t="s">
        <v>24</v>
      </c>
      <c r="F2987" t="s">
        <v>24</v>
      </c>
      <c r="G2987" t="str">
        <f>"2025-07-24 13:32:45.724"</f>
        <v>2025-07-24 13:32:45.724</v>
      </c>
      <c r="H2987" t="s">
        <v>22</v>
      </c>
      <c r="I2987">
        <v>0</v>
      </c>
      <c r="J2987" t="s">
        <v>25</v>
      </c>
    </row>
    <row r="2988" spans="1:10" x14ac:dyDescent="0.25">
      <c r="A2988" s="1">
        <v>167</v>
      </c>
      <c r="B2988" t="s">
        <v>19</v>
      </c>
      <c r="C2988">
        <v>700</v>
      </c>
      <c r="D2988">
        <v>0</v>
      </c>
      <c r="E2988" t="s">
        <v>24</v>
      </c>
      <c r="F2988" t="s">
        <v>24</v>
      </c>
      <c r="G2988" t="str">
        <f>"2025-07-24 07:20:06.719"</f>
        <v>2025-07-24 07:20:06.719</v>
      </c>
      <c r="H2988" t="s">
        <v>22</v>
      </c>
      <c r="I2988">
        <v>0</v>
      </c>
      <c r="J2988" t="s">
        <v>25</v>
      </c>
    </row>
    <row r="2989" spans="1:10" x14ac:dyDescent="0.25">
      <c r="A2989" s="1">
        <v>168</v>
      </c>
      <c r="B2989" t="s">
        <v>19</v>
      </c>
      <c r="C2989">
        <v>700</v>
      </c>
      <c r="D2989">
        <v>0</v>
      </c>
      <c r="E2989" t="s">
        <v>24</v>
      </c>
      <c r="F2989" t="s">
        <v>24</v>
      </c>
      <c r="G2989" t="str">
        <f>"2025-07-24 06:29:41.692"</f>
        <v>2025-07-24 06:29:41.692</v>
      </c>
      <c r="H2989" t="s">
        <v>22</v>
      </c>
      <c r="I2989">
        <v>0</v>
      </c>
      <c r="J2989" t="s">
        <v>25</v>
      </c>
    </row>
    <row r="2990" spans="1:10" x14ac:dyDescent="0.25">
      <c r="A2990" s="1">
        <v>169</v>
      </c>
      <c r="B2990" t="s">
        <v>26</v>
      </c>
      <c r="C2990">
        <v>630</v>
      </c>
      <c r="D2990">
        <v>5</v>
      </c>
      <c r="E2990" t="s">
        <v>39</v>
      </c>
      <c r="F2990" t="s">
        <v>40</v>
      </c>
      <c r="G2990" t="str">
        <f>"2025-07-24 02:15:25.090"</f>
        <v>2025-07-24 02:15:25.090</v>
      </c>
      <c r="H2990" t="s">
        <v>41</v>
      </c>
    </row>
    <row r="2991" spans="1:10" x14ac:dyDescent="0.25">
      <c r="A2991" s="1">
        <v>170</v>
      </c>
      <c r="B2991" t="s">
        <v>19</v>
      </c>
      <c r="C2991">
        <v>706</v>
      </c>
      <c r="D2991">
        <v>4</v>
      </c>
      <c r="E2991" t="s">
        <v>20</v>
      </c>
      <c r="F2991" t="s">
        <v>21</v>
      </c>
      <c r="G2991" t="str">
        <f>"2025-07-24 02:14:54.976"</f>
        <v>2025-07-24 02:14:54.976</v>
      </c>
      <c r="H2991" t="s">
        <v>22</v>
      </c>
      <c r="I2991">
        <v>0</v>
      </c>
      <c r="J2991" t="s">
        <v>23</v>
      </c>
    </row>
    <row r="2992" spans="1:10" x14ac:dyDescent="0.25">
      <c r="A2992" s="1">
        <v>171</v>
      </c>
      <c r="B2992" t="s">
        <v>34</v>
      </c>
      <c r="C2992">
        <v>630</v>
      </c>
      <c r="D2992">
        <v>5</v>
      </c>
      <c r="E2992" t="s">
        <v>39</v>
      </c>
      <c r="F2992" t="s">
        <v>40</v>
      </c>
      <c r="G2992" t="str">
        <f>"2025-07-24 01:55:13.890"</f>
        <v>2025-07-24 01:55:13.890</v>
      </c>
      <c r="H2992" t="s">
        <v>41</v>
      </c>
      <c r="I2992">
        <v>0</v>
      </c>
      <c r="J2992" t="s">
        <v>23</v>
      </c>
    </row>
    <row r="2993" spans="1:10" x14ac:dyDescent="0.25">
      <c r="A2993" s="1">
        <v>172</v>
      </c>
      <c r="B2993" t="s">
        <v>26</v>
      </c>
      <c r="C2993">
        <v>635</v>
      </c>
      <c r="D2993">
        <v>1</v>
      </c>
      <c r="E2993" t="s">
        <v>27</v>
      </c>
      <c r="F2993" t="s">
        <v>28</v>
      </c>
      <c r="G2993" t="str">
        <f>"2025-07-23 14:47:08.589"</f>
        <v>2025-07-23 14:47:08.589</v>
      </c>
      <c r="H2993" t="s">
        <v>22</v>
      </c>
    </row>
    <row r="2994" spans="1:10" x14ac:dyDescent="0.25">
      <c r="A2994" s="1">
        <v>173</v>
      </c>
      <c r="B2994" t="s">
        <v>29</v>
      </c>
      <c r="C2994">
        <v>635</v>
      </c>
      <c r="D2994">
        <v>1</v>
      </c>
      <c r="E2994" t="s">
        <v>27</v>
      </c>
      <c r="F2994" t="s">
        <v>28</v>
      </c>
      <c r="G2994" t="str">
        <f>"2025-07-23 14:45:22.589"</f>
        <v>2025-07-23 14:45:22.589</v>
      </c>
      <c r="H2994" t="s">
        <v>22</v>
      </c>
      <c r="I2994">
        <v>-4</v>
      </c>
      <c r="J2994" t="s">
        <v>30</v>
      </c>
    </row>
    <row r="2995" spans="1:10" x14ac:dyDescent="0.25">
      <c r="A2995" s="1">
        <v>174</v>
      </c>
      <c r="B2995" t="s">
        <v>26</v>
      </c>
      <c r="C2995">
        <v>630</v>
      </c>
      <c r="D2995">
        <v>5</v>
      </c>
      <c r="E2995" t="s">
        <v>39</v>
      </c>
      <c r="F2995" t="s">
        <v>40</v>
      </c>
      <c r="G2995" t="str">
        <f>"2025-07-23 07:25:06.690"</f>
        <v>2025-07-23 07:25:06.690</v>
      </c>
      <c r="H2995" t="s">
        <v>41</v>
      </c>
    </row>
    <row r="2996" spans="1:10" x14ac:dyDescent="0.25">
      <c r="A2996" s="1">
        <v>175</v>
      </c>
      <c r="B2996" t="s">
        <v>19</v>
      </c>
      <c r="C2996">
        <v>706</v>
      </c>
      <c r="D2996">
        <v>2</v>
      </c>
      <c r="E2996" t="s">
        <v>20</v>
      </c>
      <c r="F2996" t="s">
        <v>54</v>
      </c>
      <c r="G2996" t="str">
        <f>"2025-07-23 07:24:36.686"</f>
        <v>2025-07-23 07:24:36.686</v>
      </c>
      <c r="H2996" t="s">
        <v>22</v>
      </c>
      <c r="I2996">
        <v>0</v>
      </c>
      <c r="J2996" t="s">
        <v>23</v>
      </c>
    </row>
    <row r="2997" spans="1:10" x14ac:dyDescent="0.25">
      <c r="A2997" s="1">
        <v>176</v>
      </c>
      <c r="B2997" t="s">
        <v>19</v>
      </c>
      <c r="C2997">
        <v>706</v>
      </c>
      <c r="D2997">
        <v>2</v>
      </c>
      <c r="E2997" t="s">
        <v>20</v>
      </c>
      <c r="F2997" t="s">
        <v>54</v>
      </c>
      <c r="G2997" t="str">
        <f>"2025-07-23 07:24:25.486"</f>
        <v>2025-07-23 07:24:25.486</v>
      </c>
      <c r="H2997" t="s">
        <v>22</v>
      </c>
      <c r="I2997">
        <v>0</v>
      </c>
      <c r="J2997" t="s">
        <v>23</v>
      </c>
    </row>
    <row r="2998" spans="1:10" x14ac:dyDescent="0.25">
      <c r="A2998" s="1">
        <v>177</v>
      </c>
      <c r="B2998" t="s">
        <v>34</v>
      </c>
      <c r="C2998">
        <v>630</v>
      </c>
      <c r="D2998">
        <v>5</v>
      </c>
      <c r="E2998" t="s">
        <v>39</v>
      </c>
      <c r="F2998" t="s">
        <v>40</v>
      </c>
      <c r="G2998" t="str">
        <f>"2025-07-23 07:14:42.390"</f>
        <v>2025-07-23 07:14:42.390</v>
      </c>
      <c r="H2998" t="s">
        <v>41</v>
      </c>
      <c r="I2998">
        <v>0</v>
      </c>
      <c r="J2998" t="s">
        <v>23</v>
      </c>
    </row>
    <row r="2999" spans="1:10" x14ac:dyDescent="0.25">
      <c r="A2999" s="1">
        <v>178</v>
      </c>
      <c r="B2999" t="s">
        <v>19</v>
      </c>
      <c r="C2999">
        <v>700</v>
      </c>
      <c r="D2999">
        <v>0</v>
      </c>
      <c r="E2999" t="s">
        <v>24</v>
      </c>
      <c r="F2999" t="s">
        <v>24</v>
      </c>
      <c r="G2999" t="str">
        <f>"2025-07-23 03:37:21.916"</f>
        <v>2025-07-23 03:37:21.916</v>
      </c>
      <c r="H2999" t="s">
        <v>22</v>
      </c>
      <c r="I2999">
        <v>0</v>
      </c>
      <c r="J2999" t="s">
        <v>25</v>
      </c>
    </row>
    <row r="3000" spans="1:10" x14ac:dyDescent="0.25">
      <c r="A3000" s="1">
        <v>179</v>
      </c>
      <c r="B3000" t="s">
        <v>26</v>
      </c>
      <c r="C3000">
        <v>635</v>
      </c>
      <c r="D3000">
        <v>1</v>
      </c>
      <c r="E3000" t="s">
        <v>27</v>
      </c>
      <c r="F3000" t="s">
        <v>28</v>
      </c>
      <c r="G3000" t="str">
        <f>"2025-07-23 02:46:43.452"</f>
        <v>2025-07-23 02:46:43.452</v>
      </c>
      <c r="H3000" t="s">
        <v>22</v>
      </c>
    </row>
    <row r="3001" spans="1:10" x14ac:dyDescent="0.25">
      <c r="A3001" s="1">
        <v>180</v>
      </c>
      <c r="B3001" t="s">
        <v>29</v>
      </c>
      <c r="C3001">
        <v>635</v>
      </c>
      <c r="D3001">
        <v>1</v>
      </c>
      <c r="E3001" t="s">
        <v>27</v>
      </c>
      <c r="F3001" t="s">
        <v>28</v>
      </c>
      <c r="G3001" t="str">
        <f>"2025-07-23 02:39:22.452"</f>
        <v>2025-07-23 02:39:22.452</v>
      </c>
      <c r="H3001" t="s">
        <v>22</v>
      </c>
      <c r="I3001">
        <v>4.08</v>
      </c>
      <c r="J3001" t="s">
        <v>37</v>
      </c>
    </row>
    <row r="3002" spans="1:10" x14ac:dyDescent="0.25">
      <c r="A3002" s="1">
        <v>181</v>
      </c>
      <c r="B3002" t="s">
        <v>26</v>
      </c>
      <c r="C3002">
        <v>630</v>
      </c>
      <c r="D3002">
        <v>5</v>
      </c>
      <c r="E3002" t="s">
        <v>39</v>
      </c>
      <c r="F3002" t="s">
        <v>40</v>
      </c>
      <c r="G3002" t="str">
        <f>"2025-07-23 02:03:54.106"</f>
        <v>2025-07-23 02:03:54.106</v>
      </c>
      <c r="H3002" t="s">
        <v>41</v>
      </c>
    </row>
    <row r="3003" spans="1:10" x14ac:dyDescent="0.25">
      <c r="A3003" s="1">
        <v>182</v>
      </c>
      <c r="B3003" t="s">
        <v>19</v>
      </c>
      <c r="C3003">
        <v>706</v>
      </c>
      <c r="D3003">
        <v>2</v>
      </c>
      <c r="E3003" t="s">
        <v>20</v>
      </c>
      <c r="F3003" t="s">
        <v>54</v>
      </c>
      <c r="G3003" t="str">
        <f>"2025-07-23 02:03:24.014"</f>
        <v>2025-07-23 02:03:24.014</v>
      </c>
      <c r="H3003" t="s">
        <v>22</v>
      </c>
      <c r="I3003">
        <v>0</v>
      </c>
      <c r="J3003" t="s">
        <v>23</v>
      </c>
    </row>
    <row r="3004" spans="1:10" x14ac:dyDescent="0.25">
      <c r="A3004" s="1">
        <v>183</v>
      </c>
      <c r="B3004" t="s">
        <v>34</v>
      </c>
      <c r="C3004">
        <v>630</v>
      </c>
      <c r="D3004">
        <v>5</v>
      </c>
      <c r="E3004" t="s">
        <v>39</v>
      </c>
      <c r="F3004" t="s">
        <v>40</v>
      </c>
      <c r="G3004" t="str">
        <f>"2025-07-23 01:40:12.706"</f>
        <v>2025-07-23 01:40:12.706</v>
      </c>
      <c r="H3004" t="s">
        <v>41</v>
      </c>
      <c r="I3004">
        <v>0</v>
      </c>
      <c r="J3004" t="s">
        <v>23</v>
      </c>
    </row>
    <row r="3005" spans="1:10" x14ac:dyDescent="0.25">
      <c r="A3005" s="1">
        <v>184</v>
      </c>
      <c r="B3005" t="s">
        <v>19</v>
      </c>
      <c r="C3005">
        <v>700</v>
      </c>
      <c r="D3005">
        <v>0</v>
      </c>
      <c r="E3005" t="s">
        <v>24</v>
      </c>
      <c r="F3005" t="s">
        <v>24</v>
      </c>
      <c r="G3005" t="str">
        <f>"2025-07-22 23:11:24.734"</f>
        <v>2025-07-22 23:11:24.734</v>
      </c>
      <c r="H3005" t="s">
        <v>22</v>
      </c>
      <c r="I3005">
        <v>0</v>
      </c>
      <c r="J3005" t="s">
        <v>25</v>
      </c>
    </row>
    <row r="3006" spans="1:10" x14ac:dyDescent="0.25">
      <c r="A3006" s="1">
        <v>185</v>
      </c>
      <c r="B3006" t="s">
        <v>34</v>
      </c>
      <c r="C3006">
        <v>630</v>
      </c>
      <c r="D3006">
        <v>5</v>
      </c>
      <c r="E3006" t="s">
        <v>39</v>
      </c>
      <c r="F3006" t="s">
        <v>40</v>
      </c>
      <c r="G3006" t="str">
        <f>"2025-07-22 23:05:40.923"</f>
        <v>2025-07-22 23:05:40.923</v>
      </c>
      <c r="H3006" t="s">
        <v>41</v>
      </c>
      <c r="I3006">
        <v>0</v>
      </c>
      <c r="J3006" t="s">
        <v>23</v>
      </c>
    </row>
    <row r="3007" spans="1:10" x14ac:dyDescent="0.25">
      <c r="A3007" s="1">
        <v>186</v>
      </c>
      <c r="B3007" t="s">
        <v>19</v>
      </c>
      <c r="C3007">
        <v>700</v>
      </c>
      <c r="D3007">
        <v>0</v>
      </c>
      <c r="E3007" t="s">
        <v>24</v>
      </c>
      <c r="F3007" t="s">
        <v>24</v>
      </c>
      <c r="G3007" t="str">
        <f>"2025-07-22 20:05:16.744"</f>
        <v>2025-07-22 20:05:16.744</v>
      </c>
      <c r="H3007" t="s">
        <v>22</v>
      </c>
      <c r="I3007">
        <v>0</v>
      </c>
      <c r="J3007" t="s">
        <v>25</v>
      </c>
    </row>
    <row r="3008" spans="1:10" x14ac:dyDescent="0.25">
      <c r="A3008" s="1">
        <v>187</v>
      </c>
      <c r="B3008" t="s">
        <v>26</v>
      </c>
      <c r="C3008">
        <v>635</v>
      </c>
      <c r="D3008">
        <v>1</v>
      </c>
      <c r="E3008" t="s">
        <v>27</v>
      </c>
      <c r="F3008" t="s">
        <v>28</v>
      </c>
      <c r="G3008" t="str">
        <f>"2025-07-22 15:05:24.238"</f>
        <v>2025-07-22 15:05:24.238</v>
      </c>
      <c r="H3008" t="s">
        <v>22</v>
      </c>
    </row>
    <row r="3009" spans="1:10" x14ac:dyDescent="0.25">
      <c r="A3009" s="1">
        <v>188</v>
      </c>
      <c r="B3009" t="s">
        <v>29</v>
      </c>
      <c r="C3009">
        <v>635</v>
      </c>
      <c r="D3009">
        <v>1</v>
      </c>
      <c r="E3009" t="s">
        <v>27</v>
      </c>
      <c r="F3009" t="s">
        <v>28</v>
      </c>
      <c r="G3009" t="str">
        <f>"2025-07-22 15:02:51.238"</f>
        <v>2025-07-22 15:02:51.238</v>
      </c>
      <c r="H3009" t="s">
        <v>22</v>
      </c>
      <c r="I3009">
        <v>4.38</v>
      </c>
      <c r="J3009" t="s">
        <v>30</v>
      </c>
    </row>
    <row r="3010" spans="1:10" x14ac:dyDescent="0.25">
      <c r="A3010" s="1">
        <v>189</v>
      </c>
      <c r="B3010" t="s">
        <v>26</v>
      </c>
      <c r="C3010">
        <v>635</v>
      </c>
      <c r="D3010">
        <v>1</v>
      </c>
      <c r="E3010" t="s">
        <v>27</v>
      </c>
      <c r="F3010" t="s">
        <v>28</v>
      </c>
      <c r="G3010" t="str">
        <f>"2025-07-22 14:27:42.838"</f>
        <v>2025-07-22 14:27:42.838</v>
      </c>
      <c r="H3010" t="s">
        <v>22</v>
      </c>
    </row>
    <row r="3011" spans="1:10" x14ac:dyDescent="0.25">
      <c r="A3011" s="1">
        <v>190</v>
      </c>
      <c r="B3011" t="s">
        <v>29</v>
      </c>
      <c r="C3011">
        <v>635</v>
      </c>
      <c r="D3011">
        <v>1</v>
      </c>
      <c r="E3011" t="s">
        <v>27</v>
      </c>
      <c r="F3011" t="s">
        <v>28</v>
      </c>
      <c r="G3011" t="str">
        <f>"2025-07-22 14:25:24.838"</f>
        <v>2025-07-22 14:25:24.838</v>
      </c>
      <c r="H3011" t="s">
        <v>22</v>
      </c>
      <c r="I3011">
        <v>-0.02</v>
      </c>
      <c r="J3011" t="s">
        <v>38</v>
      </c>
    </row>
    <row r="3012" spans="1:10" x14ac:dyDescent="0.25">
      <c r="A3012" s="1">
        <v>191</v>
      </c>
      <c r="B3012" t="s">
        <v>26</v>
      </c>
      <c r="C3012">
        <v>630</v>
      </c>
      <c r="D3012">
        <v>5</v>
      </c>
      <c r="E3012" t="s">
        <v>39</v>
      </c>
      <c r="F3012" t="s">
        <v>40</v>
      </c>
      <c r="G3012" t="str">
        <f>"2025-07-22 01:27:30.286"</f>
        <v>2025-07-22 01:27:30.286</v>
      </c>
      <c r="H3012" t="s">
        <v>41</v>
      </c>
    </row>
    <row r="3013" spans="1:10" x14ac:dyDescent="0.25">
      <c r="A3013" s="1">
        <v>192</v>
      </c>
      <c r="B3013" t="s">
        <v>19</v>
      </c>
      <c r="C3013">
        <v>706</v>
      </c>
      <c r="D3013">
        <v>4</v>
      </c>
      <c r="E3013" t="s">
        <v>20</v>
      </c>
      <c r="F3013" t="s">
        <v>21</v>
      </c>
      <c r="G3013" t="str">
        <f>"2025-07-22 01:27:00.248"</f>
        <v>2025-07-22 01:27:00.248</v>
      </c>
      <c r="H3013" t="s">
        <v>22</v>
      </c>
      <c r="I3013">
        <v>0</v>
      </c>
      <c r="J3013" t="s">
        <v>23</v>
      </c>
    </row>
    <row r="3014" spans="1:10" x14ac:dyDescent="0.25">
      <c r="A3014" s="1">
        <v>193</v>
      </c>
      <c r="B3014" t="s">
        <v>34</v>
      </c>
      <c r="C3014">
        <v>630</v>
      </c>
      <c r="D3014">
        <v>5</v>
      </c>
      <c r="E3014" t="s">
        <v>39</v>
      </c>
      <c r="F3014" t="s">
        <v>40</v>
      </c>
      <c r="G3014" t="str">
        <f>"2025-07-22 01:21:21.287"</f>
        <v>2025-07-22 01:21:21.287</v>
      </c>
      <c r="H3014" t="s">
        <v>41</v>
      </c>
      <c r="I3014">
        <v>0</v>
      </c>
      <c r="J3014" t="s">
        <v>23</v>
      </c>
    </row>
    <row r="3015" spans="1:10" x14ac:dyDescent="0.25">
      <c r="A3015" s="1">
        <v>194</v>
      </c>
      <c r="B3015" t="s">
        <v>19</v>
      </c>
      <c r="C3015">
        <v>700</v>
      </c>
      <c r="D3015">
        <v>0</v>
      </c>
      <c r="E3015" t="s">
        <v>24</v>
      </c>
      <c r="F3015" t="s">
        <v>24</v>
      </c>
      <c r="G3015" t="str">
        <f>"2025-07-21 23:46:28.718"</f>
        <v>2025-07-21 23:46:28.718</v>
      </c>
      <c r="H3015" t="s">
        <v>22</v>
      </c>
      <c r="I3015">
        <v>0</v>
      </c>
      <c r="J3015" t="s">
        <v>25</v>
      </c>
    </row>
    <row r="3016" spans="1:10" x14ac:dyDescent="0.25">
      <c r="A3016" s="1">
        <v>195</v>
      </c>
      <c r="B3016" t="s">
        <v>19</v>
      </c>
      <c r="C3016">
        <v>700</v>
      </c>
      <c r="D3016">
        <v>0</v>
      </c>
      <c r="E3016" t="s">
        <v>24</v>
      </c>
      <c r="F3016" t="s">
        <v>24</v>
      </c>
      <c r="G3016" t="str">
        <f>"2025-07-21 21:24:45.810"</f>
        <v>2025-07-21 21:24:45.810</v>
      </c>
      <c r="H3016" t="s">
        <v>22</v>
      </c>
      <c r="I3016">
        <v>0</v>
      </c>
      <c r="J3016" t="s">
        <v>25</v>
      </c>
    </row>
    <row r="3017" spans="1:10" x14ac:dyDescent="0.25">
      <c r="A3017" s="1">
        <v>196</v>
      </c>
      <c r="B3017" t="s">
        <v>19</v>
      </c>
      <c r="C3017">
        <v>700</v>
      </c>
      <c r="D3017">
        <v>0</v>
      </c>
      <c r="E3017" t="s">
        <v>24</v>
      </c>
      <c r="F3017" t="s">
        <v>24</v>
      </c>
      <c r="G3017" t="str">
        <f>"2025-07-21 03:11:14.857"</f>
        <v>2025-07-21 03:11:14.857</v>
      </c>
      <c r="H3017" t="s">
        <v>22</v>
      </c>
      <c r="I3017">
        <v>0</v>
      </c>
      <c r="J3017" t="s">
        <v>25</v>
      </c>
    </row>
    <row r="3018" spans="1:10" x14ac:dyDescent="0.25">
      <c r="A3018" s="1">
        <v>197</v>
      </c>
      <c r="B3018" t="s">
        <v>19</v>
      </c>
      <c r="C3018">
        <v>700</v>
      </c>
      <c r="D3018">
        <v>0</v>
      </c>
      <c r="E3018" t="s">
        <v>24</v>
      </c>
      <c r="F3018" t="s">
        <v>24</v>
      </c>
      <c r="G3018" t="str">
        <f>"2025-07-21 01:46:21.902"</f>
        <v>2025-07-21 01:46:21.902</v>
      </c>
      <c r="H3018" t="s">
        <v>22</v>
      </c>
    </row>
    <row r="3019" spans="1:10" x14ac:dyDescent="0.25">
      <c r="A3019" s="1">
        <v>198</v>
      </c>
      <c r="B3019" t="s">
        <v>34</v>
      </c>
      <c r="C3019">
        <v>630</v>
      </c>
      <c r="D3019">
        <v>5</v>
      </c>
      <c r="E3019" t="s">
        <v>39</v>
      </c>
      <c r="F3019" t="s">
        <v>40</v>
      </c>
      <c r="G3019" t="str">
        <f>"2025-07-21 01:22:26.665"</f>
        <v>2025-07-21 01:22:26.665</v>
      </c>
      <c r="H3019" t="s">
        <v>41</v>
      </c>
      <c r="I3019">
        <v>0</v>
      </c>
      <c r="J3019" t="s">
        <v>23</v>
      </c>
    </row>
    <row r="3020" spans="1:10" x14ac:dyDescent="0.25">
      <c r="A3020" s="1">
        <v>199</v>
      </c>
      <c r="B3020" t="s">
        <v>26</v>
      </c>
      <c r="C3020">
        <v>619</v>
      </c>
      <c r="D3020">
        <v>1</v>
      </c>
      <c r="E3020" t="s">
        <v>79</v>
      </c>
      <c r="F3020" t="s">
        <v>28</v>
      </c>
      <c r="G3020" t="str">
        <f>"2025-07-20 20:03:28.265"</f>
        <v>2025-07-20 20:03:28.265</v>
      </c>
      <c r="H3020" t="s">
        <v>80</v>
      </c>
    </row>
    <row r="3021" spans="1:10" x14ac:dyDescent="0.25">
      <c r="A3021" s="1">
        <v>200</v>
      </c>
      <c r="B3021" t="s">
        <v>29</v>
      </c>
      <c r="C3021">
        <v>619</v>
      </c>
      <c r="D3021">
        <v>1</v>
      </c>
      <c r="E3021" t="s">
        <v>79</v>
      </c>
      <c r="F3021" t="s">
        <v>28</v>
      </c>
      <c r="G3021" t="str">
        <f>"2025-07-20 20:03:19.565"</f>
        <v>2025-07-20 20:03:19.565</v>
      </c>
      <c r="H3021" t="s">
        <v>80</v>
      </c>
      <c r="I3021">
        <v>6.34</v>
      </c>
      <c r="J3021" t="s">
        <v>30</v>
      </c>
    </row>
    <row r="3022" spans="1:10" x14ac:dyDescent="0.25">
      <c r="A3022" s="1">
        <v>201</v>
      </c>
      <c r="B3022" t="s">
        <v>19</v>
      </c>
      <c r="C3022">
        <v>700</v>
      </c>
      <c r="D3022">
        <v>0</v>
      </c>
      <c r="E3022" t="s">
        <v>24</v>
      </c>
      <c r="F3022" t="s">
        <v>24</v>
      </c>
      <c r="G3022" t="str">
        <f>"2025-07-20 19:54:05.990"</f>
        <v>2025-07-20 19:54:05.990</v>
      </c>
      <c r="H3022" t="s">
        <v>22</v>
      </c>
    </row>
    <row r="3023" spans="1:10" x14ac:dyDescent="0.25">
      <c r="A3023" s="1">
        <v>202</v>
      </c>
      <c r="B3023" t="s">
        <v>26</v>
      </c>
      <c r="C3023">
        <v>635</v>
      </c>
      <c r="D3023">
        <v>1</v>
      </c>
      <c r="E3023" t="s">
        <v>27</v>
      </c>
      <c r="F3023" t="s">
        <v>28</v>
      </c>
      <c r="G3023" t="str">
        <f>"2025-07-20 19:39:49.332"</f>
        <v>2025-07-20 19:39:49.332</v>
      </c>
      <c r="H3023" t="s">
        <v>22</v>
      </c>
    </row>
    <row r="3024" spans="1:10" x14ac:dyDescent="0.25">
      <c r="A3024" s="1">
        <v>203</v>
      </c>
      <c r="B3024" t="s">
        <v>29</v>
      </c>
      <c r="C3024">
        <v>635</v>
      </c>
      <c r="D3024">
        <v>1</v>
      </c>
      <c r="E3024" t="s">
        <v>27</v>
      </c>
      <c r="F3024" t="s">
        <v>28</v>
      </c>
      <c r="G3024" t="str">
        <f>"2025-07-20 19:37:29.332"</f>
        <v>2025-07-20 19:37:29.332</v>
      </c>
      <c r="H3024" t="s">
        <v>22</v>
      </c>
      <c r="I3024">
        <v>4.45</v>
      </c>
      <c r="J3024" t="s">
        <v>30</v>
      </c>
    </row>
    <row r="3025" spans="1:10" s="3" customFormat="1" x14ac:dyDescent="0.25">
      <c r="A3025" s="2">
        <v>205</v>
      </c>
      <c r="B3025" s="3" t="s">
        <v>26</v>
      </c>
      <c r="C3025" s="3">
        <v>647</v>
      </c>
      <c r="D3025" s="3">
        <v>1</v>
      </c>
      <c r="E3025" s="3" t="s">
        <v>35</v>
      </c>
      <c r="F3025" s="3" t="s">
        <v>36</v>
      </c>
      <c r="G3025" s="3" t="str">
        <f>"2025-07-20 11:40:49.986"</f>
        <v>2025-07-20 11:40:49.986</v>
      </c>
      <c r="H3025" s="3" t="s">
        <v>22</v>
      </c>
    </row>
    <row r="3026" spans="1:10" s="3" customFormat="1" x14ac:dyDescent="0.25">
      <c r="A3026" s="2">
        <v>206</v>
      </c>
      <c r="B3026" s="3" t="s">
        <v>29</v>
      </c>
      <c r="C3026" s="3">
        <v>647</v>
      </c>
      <c r="D3026" s="3">
        <v>1</v>
      </c>
      <c r="E3026" s="3" t="s">
        <v>35</v>
      </c>
      <c r="F3026" s="3" t="s">
        <v>36</v>
      </c>
      <c r="G3026" s="3" t="str">
        <f>"2025-07-20 11:40:45.086"</f>
        <v>2025-07-20 11:40:45.086</v>
      </c>
      <c r="H3026" s="3" t="s">
        <v>22</v>
      </c>
      <c r="I3026" s="3">
        <v>11.61</v>
      </c>
      <c r="J3026" s="3" t="s">
        <v>37</v>
      </c>
    </row>
    <row r="3027" spans="1:10" x14ac:dyDescent="0.25">
      <c r="A3027" s="1">
        <v>207</v>
      </c>
      <c r="B3027" t="s">
        <v>19</v>
      </c>
      <c r="C3027">
        <v>700</v>
      </c>
      <c r="D3027">
        <v>0</v>
      </c>
      <c r="E3027" t="s">
        <v>24</v>
      </c>
      <c r="F3027" t="s">
        <v>24</v>
      </c>
      <c r="G3027" t="str">
        <f>"2025-07-20 01:08:59.684"</f>
        <v>2025-07-20 01:08:59.684</v>
      </c>
      <c r="H3027" t="s">
        <v>22</v>
      </c>
    </row>
    <row r="3028" spans="1:10" x14ac:dyDescent="0.25">
      <c r="A3028" s="1">
        <v>208</v>
      </c>
      <c r="B3028" t="s">
        <v>34</v>
      </c>
      <c r="C3028">
        <v>630</v>
      </c>
      <c r="D3028">
        <v>5</v>
      </c>
      <c r="E3028" t="s">
        <v>39</v>
      </c>
      <c r="F3028" t="s">
        <v>40</v>
      </c>
      <c r="G3028" t="str">
        <f>"2025-07-20 00:40:24.716"</f>
        <v>2025-07-20 00:40:24.716</v>
      </c>
      <c r="H3028" t="s">
        <v>41</v>
      </c>
      <c r="I3028">
        <v>0</v>
      </c>
      <c r="J3028" t="s">
        <v>23</v>
      </c>
    </row>
    <row r="3029" spans="1:10" x14ac:dyDescent="0.25">
      <c r="A3029" s="1">
        <v>209</v>
      </c>
      <c r="B3029" t="s">
        <v>19</v>
      </c>
      <c r="C3029">
        <v>700</v>
      </c>
      <c r="D3029">
        <v>0</v>
      </c>
      <c r="E3029" t="s">
        <v>24</v>
      </c>
      <c r="F3029" t="s">
        <v>24</v>
      </c>
      <c r="G3029" t="str">
        <f>"2025-07-19 21:37:08.745"</f>
        <v>2025-07-19 21:37:08.745</v>
      </c>
      <c r="H3029" t="s">
        <v>22</v>
      </c>
      <c r="I3029">
        <v>0</v>
      </c>
      <c r="J3029" t="s">
        <v>25</v>
      </c>
    </row>
    <row r="3030" spans="1:10" x14ac:dyDescent="0.25">
      <c r="A3030" s="1">
        <v>210</v>
      </c>
      <c r="B3030" t="s">
        <v>19</v>
      </c>
      <c r="C3030">
        <v>700</v>
      </c>
      <c r="D3030">
        <v>0</v>
      </c>
      <c r="E3030" t="s">
        <v>24</v>
      </c>
      <c r="F3030" t="s">
        <v>24</v>
      </c>
      <c r="G3030" t="str">
        <f>"2025-07-19 13:59:17.714"</f>
        <v>2025-07-19 13:59:17.714</v>
      </c>
      <c r="H3030" t="s">
        <v>22</v>
      </c>
    </row>
    <row r="3031" spans="1:10" s="3" customFormat="1" x14ac:dyDescent="0.25">
      <c r="A3031" s="2">
        <v>211</v>
      </c>
      <c r="B3031" s="3" t="s">
        <v>26</v>
      </c>
      <c r="C3031" s="3">
        <v>647</v>
      </c>
      <c r="D3031" s="3">
        <v>1</v>
      </c>
      <c r="E3031" s="3" t="s">
        <v>35</v>
      </c>
      <c r="F3031" s="3" t="s">
        <v>36</v>
      </c>
      <c r="G3031" s="3" t="str">
        <f>"2025-07-19 10:43:48.720"</f>
        <v>2025-07-19 10:43:48.720</v>
      </c>
      <c r="H3031" s="3" t="s">
        <v>22</v>
      </c>
    </row>
    <row r="3032" spans="1:10" s="3" customFormat="1" x14ac:dyDescent="0.25">
      <c r="A3032" s="2">
        <v>212</v>
      </c>
      <c r="B3032" s="3" t="s">
        <v>29</v>
      </c>
      <c r="C3032" s="3">
        <v>647</v>
      </c>
      <c r="D3032" s="3">
        <v>1</v>
      </c>
      <c r="E3032" s="3" t="s">
        <v>35</v>
      </c>
      <c r="F3032" s="3" t="s">
        <v>36</v>
      </c>
      <c r="G3032" s="3" t="str">
        <f>"2025-07-19 10:43:44.420"</f>
        <v>2025-07-19 10:43:44.420</v>
      </c>
      <c r="H3032" s="3" t="s">
        <v>22</v>
      </c>
      <c r="I3032" s="3">
        <v>8.18</v>
      </c>
      <c r="J3032" s="3" t="s">
        <v>37</v>
      </c>
    </row>
    <row r="3033" spans="1:10" s="3" customFormat="1" x14ac:dyDescent="0.25">
      <c r="A3033" s="2">
        <v>213</v>
      </c>
      <c r="B3033" s="3" t="s">
        <v>26</v>
      </c>
      <c r="C3033" s="3">
        <v>647</v>
      </c>
      <c r="D3033" s="3">
        <v>1</v>
      </c>
      <c r="E3033" s="3" t="s">
        <v>35</v>
      </c>
      <c r="F3033" s="3" t="s">
        <v>36</v>
      </c>
      <c r="G3033" s="3" t="str">
        <f>"2025-07-19 08:55:03.720"</f>
        <v>2025-07-19 08:55:03.720</v>
      </c>
      <c r="H3033" s="3" t="s">
        <v>22</v>
      </c>
    </row>
    <row r="3034" spans="1:10" s="3" customFormat="1" x14ac:dyDescent="0.25">
      <c r="A3034" s="2">
        <v>214</v>
      </c>
      <c r="B3034" s="3" t="s">
        <v>29</v>
      </c>
      <c r="C3034" s="3">
        <v>647</v>
      </c>
      <c r="D3034" s="3">
        <v>1</v>
      </c>
      <c r="E3034" s="3" t="s">
        <v>35</v>
      </c>
      <c r="F3034" s="3" t="s">
        <v>36</v>
      </c>
      <c r="G3034" s="3" t="str">
        <f>"2025-07-19 08:54:59.821"</f>
        <v>2025-07-19 08:54:59.821</v>
      </c>
      <c r="H3034" s="3" t="s">
        <v>22</v>
      </c>
      <c r="I3034" s="3">
        <v>15.13</v>
      </c>
      <c r="J3034" s="3" t="s">
        <v>37</v>
      </c>
    </row>
    <row r="3035" spans="1:10" x14ac:dyDescent="0.25">
      <c r="A3035" s="1">
        <v>215</v>
      </c>
      <c r="B3035" t="s">
        <v>19</v>
      </c>
      <c r="C3035">
        <v>700</v>
      </c>
      <c r="D3035">
        <v>0</v>
      </c>
      <c r="E3035" t="s">
        <v>24</v>
      </c>
      <c r="F3035" t="s">
        <v>24</v>
      </c>
      <c r="G3035" t="str">
        <f>"2025-07-19 07:17:13.954"</f>
        <v>2025-07-19 07:17:13.954</v>
      </c>
      <c r="H3035" t="s">
        <v>22</v>
      </c>
      <c r="I3035">
        <v>0</v>
      </c>
      <c r="J3035" t="s">
        <v>25</v>
      </c>
    </row>
    <row r="3036" spans="1:10" x14ac:dyDescent="0.25">
      <c r="A3036" s="1">
        <v>216</v>
      </c>
      <c r="B3036" t="s">
        <v>19</v>
      </c>
      <c r="C3036">
        <v>700</v>
      </c>
      <c r="D3036">
        <v>0</v>
      </c>
      <c r="E3036" t="s">
        <v>24</v>
      </c>
      <c r="F3036" t="s">
        <v>24</v>
      </c>
      <c r="G3036" t="str">
        <f>"2025-07-19 01:24:31.703"</f>
        <v>2025-07-19 01:24:31.703</v>
      </c>
      <c r="H3036" t="s">
        <v>22</v>
      </c>
    </row>
    <row r="3037" spans="1:10" x14ac:dyDescent="0.25">
      <c r="A3037" s="1">
        <v>217</v>
      </c>
      <c r="B3037" t="s">
        <v>34</v>
      </c>
      <c r="C3037">
        <v>630</v>
      </c>
      <c r="D3037">
        <v>5</v>
      </c>
      <c r="E3037" t="s">
        <v>39</v>
      </c>
      <c r="F3037" t="s">
        <v>40</v>
      </c>
      <c r="G3037" t="str">
        <f>"2025-07-19 01:08:38.161"</f>
        <v>2025-07-19 01:08:38.161</v>
      </c>
      <c r="H3037" t="s">
        <v>41</v>
      </c>
      <c r="I3037">
        <v>0</v>
      </c>
      <c r="J3037" t="s">
        <v>23</v>
      </c>
    </row>
    <row r="3038" spans="1:10" x14ac:dyDescent="0.25">
      <c r="A3038" s="1">
        <v>218</v>
      </c>
      <c r="B3038" t="s">
        <v>26</v>
      </c>
      <c r="C3038">
        <v>630</v>
      </c>
      <c r="D3038">
        <v>5</v>
      </c>
      <c r="E3038" t="s">
        <v>39</v>
      </c>
      <c r="F3038" t="s">
        <v>40</v>
      </c>
      <c r="G3038" t="str">
        <f>"2025-07-18 09:57:57.761"</f>
        <v>2025-07-18 09:57:57.761</v>
      </c>
      <c r="H3038" t="s">
        <v>41</v>
      </c>
    </row>
    <row r="3039" spans="1:10" x14ac:dyDescent="0.25">
      <c r="A3039" s="1">
        <v>219</v>
      </c>
      <c r="B3039" t="s">
        <v>19</v>
      </c>
      <c r="C3039">
        <v>706</v>
      </c>
      <c r="D3039">
        <v>4</v>
      </c>
      <c r="E3039" t="s">
        <v>20</v>
      </c>
      <c r="F3039" t="s">
        <v>21</v>
      </c>
      <c r="G3039" t="str">
        <f>"2025-07-18 09:57:27.787"</f>
        <v>2025-07-18 09:57:27.787</v>
      </c>
      <c r="H3039" t="s">
        <v>22</v>
      </c>
      <c r="I3039">
        <v>0</v>
      </c>
      <c r="J3039" t="s">
        <v>23</v>
      </c>
    </row>
    <row r="3040" spans="1:10" x14ac:dyDescent="0.25">
      <c r="A3040" s="1">
        <v>220</v>
      </c>
      <c r="B3040" t="s">
        <v>34</v>
      </c>
      <c r="C3040">
        <v>630</v>
      </c>
      <c r="D3040">
        <v>5</v>
      </c>
      <c r="E3040" t="s">
        <v>39</v>
      </c>
      <c r="F3040" t="s">
        <v>40</v>
      </c>
      <c r="G3040" t="str">
        <f>"2025-07-18 09:52:47.762"</f>
        <v>2025-07-18 09:52:47.762</v>
      </c>
      <c r="H3040" t="s">
        <v>41</v>
      </c>
      <c r="I3040">
        <v>0</v>
      </c>
      <c r="J3040" t="s">
        <v>23</v>
      </c>
    </row>
    <row r="3041" spans="1:10" x14ac:dyDescent="0.25">
      <c r="A3041" s="1">
        <v>221</v>
      </c>
      <c r="B3041" t="s">
        <v>19</v>
      </c>
      <c r="C3041">
        <v>700</v>
      </c>
      <c r="D3041">
        <v>0</v>
      </c>
      <c r="E3041" t="s">
        <v>24</v>
      </c>
      <c r="F3041" t="s">
        <v>24</v>
      </c>
      <c r="G3041" t="str">
        <f>"2025-07-18 09:47:45.087"</f>
        <v>2025-07-18 09:47:45.087</v>
      </c>
      <c r="H3041" t="s">
        <v>22</v>
      </c>
      <c r="I3041">
        <v>0</v>
      </c>
      <c r="J3041" t="s">
        <v>25</v>
      </c>
    </row>
    <row r="3042" spans="1:10" x14ac:dyDescent="0.25">
      <c r="A3042" s="1">
        <v>222</v>
      </c>
      <c r="B3042" t="s">
        <v>26</v>
      </c>
      <c r="C3042">
        <v>619</v>
      </c>
      <c r="D3042">
        <v>1</v>
      </c>
      <c r="E3042" t="s">
        <v>79</v>
      </c>
      <c r="F3042" t="s">
        <v>28</v>
      </c>
      <c r="G3042" t="str">
        <f>"2025-07-18 01:07:59.973"</f>
        <v>2025-07-18 01:07:59.973</v>
      </c>
      <c r="H3042" t="s">
        <v>80</v>
      </c>
    </row>
    <row r="3043" spans="1:10" x14ac:dyDescent="0.25">
      <c r="A3043" s="1">
        <v>223</v>
      </c>
      <c r="B3043" t="s">
        <v>29</v>
      </c>
      <c r="C3043">
        <v>619</v>
      </c>
      <c r="D3043">
        <v>1</v>
      </c>
      <c r="E3043" t="s">
        <v>79</v>
      </c>
      <c r="F3043" t="s">
        <v>28</v>
      </c>
      <c r="G3043" t="str">
        <f>"2025-07-18 01:07:40.873"</f>
        <v>2025-07-18 01:07:40.873</v>
      </c>
      <c r="H3043" t="s">
        <v>80</v>
      </c>
      <c r="I3043">
        <v>0</v>
      </c>
      <c r="J3043" t="s">
        <v>38</v>
      </c>
    </row>
    <row r="3044" spans="1:10" x14ac:dyDescent="0.25">
      <c r="A3044" s="1">
        <v>224</v>
      </c>
      <c r="B3044" t="s">
        <v>26</v>
      </c>
      <c r="C3044">
        <v>619</v>
      </c>
      <c r="D3044">
        <v>1</v>
      </c>
      <c r="E3044" t="s">
        <v>79</v>
      </c>
      <c r="F3044" t="s">
        <v>28</v>
      </c>
      <c r="G3044" t="str">
        <f>"2025-07-18 01:06:57.573"</f>
        <v>2025-07-18 01:06:57.573</v>
      </c>
      <c r="H3044" t="s">
        <v>80</v>
      </c>
    </row>
    <row r="3045" spans="1:10" x14ac:dyDescent="0.25">
      <c r="A3045" s="1">
        <v>225</v>
      </c>
      <c r="B3045" t="s">
        <v>29</v>
      </c>
      <c r="C3045">
        <v>619</v>
      </c>
      <c r="D3045">
        <v>1</v>
      </c>
      <c r="E3045" t="s">
        <v>79</v>
      </c>
      <c r="F3045" t="s">
        <v>28</v>
      </c>
      <c r="G3045" t="str">
        <f>"2025-07-18 01:06:38.474"</f>
        <v>2025-07-18 01:06:38.474</v>
      </c>
      <c r="H3045" t="s">
        <v>80</v>
      </c>
      <c r="I3045">
        <v>0</v>
      </c>
      <c r="J3045" t="s">
        <v>38</v>
      </c>
    </row>
    <row r="3046" spans="1:10" x14ac:dyDescent="0.25">
      <c r="A3046" s="1">
        <v>226</v>
      </c>
      <c r="B3046" t="s">
        <v>19</v>
      </c>
      <c r="C3046">
        <v>700</v>
      </c>
      <c r="D3046">
        <v>0</v>
      </c>
      <c r="E3046" t="s">
        <v>24</v>
      </c>
      <c r="F3046" t="s">
        <v>24</v>
      </c>
      <c r="G3046" t="str">
        <f>"2025-07-17 23:53:11.705"</f>
        <v>2025-07-17 23:53:11.705</v>
      </c>
      <c r="H3046" t="s">
        <v>22</v>
      </c>
      <c r="I3046">
        <v>0</v>
      </c>
      <c r="J3046" t="s">
        <v>25</v>
      </c>
    </row>
    <row r="3047" spans="1:10" x14ac:dyDescent="0.25">
      <c r="A3047" s="1">
        <v>227</v>
      </c>
      <c r="B3047" t="s">
        <v>19</v>
      </c>
      <c r="C3047">
        <v>706</v>
      </c>
      <c r="D3047">
        <v>4</v>
      </c>
      <c r="E3047" t="s">
        <v>20</v>
      </c>
      <c r="F3047" t="s">
        <v>21</v>
      </c>
      <c r="G3047" t="str">
        <f>"2025-07-17 23:50:03.496"</f>
        <v>2025-07-17 23:50:03.496</v>
      </c>
      <c r="H3047" t="s">
        <v>22</v>
      </c>
      <c r="I3047">
        <v>0</v>
      </c>
      <c r="J3047" t="s">
        <v>23</v>
      </c>
    </row>
    <row r="3048" spans="1:10" x14ac:dyDescent="0.25">
      <c r="A3048" s="1">
        <v>228</v>
      </c>
      <c r="B3048" t="s">
        <v>19</v>
      </c>
      <c r="C3048">
        <v>700</v>
      </c>
      <c r="D3048">
        <v>0</v>
      </c>
      <c r="E3048" t="s">
        <v>24</v>
      </c>
      <c r="F3048" t="s">
        <v>24</v>
      </c>
      <c r="G3048" t="str">
        <f>"2025-07-17 23:49:32.706"</f>
        <v>2025-07-17 23:49:32.706</v>
      </c>
      <c r="H3048" t="s">
        <v>22</v>
      </c>
      <c r="I3048">
        <v>0</v>
      </c>
      <c r="J3048" t="s">
        <v>25</v>
      </c>
    </row>
    <row r="3049" spans="1:10" x14ac:dyDescent="0.25">
      <c r="A3049" s="1">
        <v>229</v>
      </c>
      <c r="B3049" t="s">
        <v>19</v>
      </c>
      <c r="C3049">
        <v>706</v>
      </c>
      <c r="D3049">
        <v>4</v>
      </c>
      <c r="E3049" t="s">
        <v>20</v>
      </c>
      <c r="F3049" t="s">
        <v>21</v>
      </c>
      <c r="G3049" t="str">
        <f>"2025-07-17 23:22:17.404"</f>
        <v>2025-07-17 23:22:17.404</v>
      </c>
      <c r="H3049" t="s">
        <v>22</v>
      </c>
      <c r="I3049">
        <v>0</v>
      </c>
      <c r="J3049" t="s">
        <v>23</v>
      </c>
    </row>
    <row r="3050" spans="1:10" x14ac:dyDescent="0.25">
      <c r="A3050" s="1">
        <v>230</v>
      </c>
      <c r="B3050" t="s">
        <v>19</v>
      </c>
      <c r="C3050">
        <v>700</v>
      </c>
      <c r="D3050">
        <v>0</v>
      </c>
      <c r="E3050" t="s">
        <v>24</v>
      </c>
      <c r="F3050" t="s">
        <v>24</v>
      </c>
      <c r="G3050" t="str">
        <f>"2025-07-17 23:18:26.714"</f>
        <v>2025-07-17 23:18:26.714</v>
      </c>
      <c r="H3050" t="s">
        <v>22</v>
      </c>
      <c r="I3050">
        <v>0</v>
      </c>
      <c r="J3050" t="s">
        <v>25</v>
      </c>
    </row>
    <row r="3051" spans="1:10" x14ac:dyDescent="0.25">
      <c r="A3051" s="1">
        <v>231</v>
      </c>
      <c r="B3051" t="s">
        <v>34</v>
      </c>
      <c r="C3051">
        <v>630</v>
      </c>
      <c r="D3051">
        <v>5</v>
      </c>
      <c r="E3051" t="s">
        <v>39</v>
      </c>
      <c r="F3051" t="s">
        <v>40</v>
      </c>
      <c r="G3051" t="str">
        <f>"2025-07-17 21:48:06.693"</f>
        <v>2025-07-17 21:48:06.693</v>
      </c>
      <c r="H3051" t="s">
        <v>41</v>
      </c>
      <c r="I3051">
        <v>0</v>
      </c>
      <c r="J3051" t="s">
        <v>23</v>
      </c>
    </row>
    <row r="3052" spans="1:10" x14ac:dyDescent="0.25">
      <c r="A3052" s="1">
        <v>232</v>
      </c>
      <c r="B3052" t="s">
        <v>19</v>
      </c>
      <c r="C3052">
        <v>700</v>
      </c>
      <c r="D3052">
        <v>0</v>
      </c>
      <c r="E3052" t="s">
        <v>24</v>
      </c>
      <c r="F3052" t="s">
        <v>24</v>
      </c>
      <c r="G3052" t="str">
        <f>"2025-07-17 21:43:03.872"</f>
        <v>2025-07-17 21:43:03.872</v>
      </c>
      <c r="H3052" t="s">
        <v>22</v>
      </c>
    </row>
    <row r="3053" spans="1:10" x14ac:dyDescent="0.25">
      <c r="A3053" s="1">
        <v>233</v>
      </c>
      <c r="B3053" t="s">
        <v>19</v>
      </c>
      <c r="C3053">
        <v>719</v>
      </c>
      <c r="D3053">
        <v>5</v>
      </c>
      <c r="E3053" t="s">
        <v>114</v>
      </c>
      <c r="F3053" t="s">
        <v>115</v>
      </c>
      <c r="G3053" t="str">
        <f>"2025-07-17 21:29:00.654"</f>
        <v>2025-07-17 21:29:00.654</v>
      </c>
      <c r="H3053" t="s">
        <v>22</v>
      </c>
      <c r="I3053">
        <v>0</v>
      </c>
      <c r="J3053" t="s">
        <v>38</v>
      </c>
    </row>
    <row r="3054" spans="1:10" s="3" customFormat="1" x14ac:dyDescent="0.25">
      <c r="A3054" s="2">
        <v>234</v>
      </c>
      <c r="B3054" s="3" t="s">
        <v>26</v>
      </c>
      <c r="C3054" s="3">
        <v>647</v>
      </c>
      <c r="D3054" s="3">
        <v>1</v>
      </c>
      <c r="E3054" s="3" t="s">
        <v>35</v>
      </c>
      <c r="F3054" s="3" t="s">
        <v>36</v>
      </c>
      <c r="G3054" s="3" t="str">
        <f>"2025-07-17 20:17:28.795"</f>
        <v>2025-07-17 20:17:28.795</v>
      </c>
      <c r="H3054" s="3" t="s">
        <v>22</v>
      </c>
    </row>
    <row r="3055" spans="1:10" s="3" customFormat="1" x14ac:dyDescent="0.25">
      <c r="A3055" s="2">
        <v>235</v>
      </c>
      <c r="B3055" s="3" t="s">
        <v>29</v>
      </c>
      <c r="C3055" s="3">
        <v>647</v>
      </c>
      <c r="D3055" s="3">
        <v>1</v>
      </c>
      <c r="E3055" s="3" t="s">
        <v>35</v>
      </c>
      <c r="F3055" s="3" t="s">
        <v>36</v>
      </c>
      <c r="G3055" s="3" t="str">
        <f>"2025-07-17 20:17:19.495"</f>
        <v>2025-07-17 20:17:19.495</v>
      </c>
      <c r="H3055" s="3" t="s">
        <v>22</v>
      </c>
      <c r="I3055" s="3">
        <v>14.03</v>
      </c>
      <c r="J3055" s="3" t="s">
        <v>37</v>
      </c>
    </row>
    <row r="3056" spans="1:10" x14ac:dyDescent="0.25">
      <c r="A3056" s="1">
        <v>236</v>
      </c>
      <c r="B3056" t="s">
        <v>19</v>
      </c>
      <c r="C3056">
        <v>700</v>
      </c>
      <c r="D3056">
        <v>0</v>
      </c>
      <c r="E3056" t="s">
        <v>24</v>
      </c>
      <c r="F3056" t="s">
        <v>24</v>
      </c>
      <c r="G3056" t="str">
        <f>"2025-07-17 13:38:18.904"</f>
        <v>2025-07-17 13:38:18.904</v>
      </c>
      <c r="H3056" t="s">
        <v>22</v>
      </c>
    </row>
    <row r="3057" spans="1:10" x14ac:dyDescent="0.25">
      <c r="A3057" s="1">
        <v>237</v>
      </c>
      <c r="B3057" t="s">
        <v>26</v>
      </c>
      <c r="C3057">
        <v>54</v>
      </c>
      <c r="D3057">
        <v>1</v>
      </c>
      <c r="E3057" t="s">
        <v>87</v>
      </c>
      <c r="F3057" t="s">
        <v>88</v>
      </c>
      <c r="G3057" t="str">
        <f>"2025-07-17 10:06:28.709"</f>
        <v>2025-07-17 10:06:28.709</v>
      </c>
      <c r="H3057" t="s">
        <v>22</v>
      </c>
    </row>
    <row r="3058" spans="1:10" x14ac:dyDescent="0.25">
      <c r="A3058" s="1">
        <v>238</v>
      </c>
      <c r="B3058" t="s">
        <v>19</v>
      </c>
      <c r="C3058">
        <v>700</v>
      </c>
      <c r="D3058">
        <v>0</v>
      </c>
      <c r="E3058" t="s">
        <v>24</v>
      </c>
      <c r="F3058" t="s">
        <v>24</v>
      </c>
      <c r="G3058" t="str">
        <f>"2025-07-17 10:06:16.003"</f>
        <v>2025-07-17 10:06:16.003</v>
      </c>
      <c r="H3058" t="s">
        <v>22</v>
      </c>
      <c r="I3058">
        <v>0</v>
      </c>
      <c r="J3058" t="s">
        <v>25</v>
      </c>
    </row>
    <row r="3059" spans="1:10" x14ac:dyDescent="0.25">
      <c r="A3059" s="1">
        <v>239</v>
      </c>
      <c r="B3059" t="s">
        <v>26</v>
      </c>
      <c r="C3059">
        <v>619</v>
      </c>
      <c r="D3059">
        <v>1</v>
      </c>
      <c r="E3059" t="s">
        <v>79</v>
      </c>
      <c r="F3059" t="s">
        <v>28</v>
      </c>
      <c r="G3059" t="str">
        <f>"2025-07-17 10:02:54.673"</f>
        <v>2025-07-17 10:02:54.673</v>
      </c>
      <c r="H3059" t="s">
        <v>80</v>
      </c>
    </row>
    <row r="3060" spans="1:10" x14ac:dyDescent="0.25">
      <c r="A3060" s="1">
        <v>240</v>
      </c>
      <c r="B3060" t="s">
        <v>29</v>
      </c>
      <c r="C3060">
        <v>619</v>
      </c>
      <c r="D3060">
        <v>1</v>
      </c>
      <c r="E3060" t="s">
        <v>79</v>
      </c>
      <c r="F3060" t="s">
        <v>28</v>
      </c>
      <c r="G3060" t="str">
        <f>"2025-07-17 10:00:45.273"</f>
        <v>2025-07-17 10:00:45.273</v>
      </c>
      <c r="H3060" t="s">
        <v>80</v>
      </c>
      <c r="I3060">
        <v>12.82</v>
      </c>
      <c r="J3060" t="s">
        <v>37</v>
      </c>
    </row>
    <row r="3061" spans="1:10" s="3" customFormat="1" x14ac:dyDescent="0.25">
      <c r="A3061" s="2">
        <v>241</v>
      </c>
      <c r="B3061" s="3" t="s">
        <v>26</v>
      </c>
      <c r="C3061" s="3">
        <v>647</v>
      </c>
      <c r="D3061" s="3">
        <v>1</v>
      </c>
      <c r="E3061" s="3" t="s">
        <v>35</v>
      </c>
      <c r="F3061" s="3" t="s">
        <v>36</v>
      </c>
      <c r="G3061" s="3" t="str">
        <f>"2025-07-17 07:19:29.373"</f>
        <v>2025-07-17 07:19:29.373</v>
      </c>
      <c r="H3061" s="3" t="s">
        <v>22</v>
      </c>
    </row>
    <row r="3062" spans="1:10" s="3" customFormat="1" x14ac:dyDescent="0.25">
      <c r="A3062" s="2">
        <v>242</v>
      </c>
      <c r="B3062" s="3" t="s">
        <v>29</v>
      </c>
      <c r="C3062" s="3">
        <v>647</v>
      </c>
      <c r="D3062" s="3">
        <v>1</v>
      </c>
      <c r="E3062" s="3" t="s">
        <v>35</v>
      </c>
      <c r="F3062" s="3" t="s">
        <v>36</v>
      </c>
      <c r="G3062" s="3" t="str">
        <f>"2025-07-17 07:19:26.074"</f>
        <v>2025-07-17 07:19:26.074</v>
      </c>
      <c r="H3062" s="3" t="s">
        <v>22</v>
      </c>
      <c r="I3062" s="3">
        <v>11.38</v>
      </c>
      <c r="J3062" s="3" t="s">
        <v>38</v>
      </c>
    </row>
    <row r="3063" spans="1:10" x14ac:dyDescent="0.25">
      <c r="A3063" s="1">
        <v>243</v>
      </c>
      <c r="B3063" t="s">
        <v>26</v>
      </c>
      <c r="C3063">
        <v>98</v>
      </c>
      <c r="D3063">
        <v>1</v>
      </c>
      <c r="E3063" t="s">
        <v>52</v>
      </c>
      <c r="F3063" t="s">
        <v>53</v>
      </c>
      <c r="G3063" t="str">
        <f>"2025-07-16 01:24:22.985"</f>
        <v>2025-07-16 01:24:22.985</v>
      </c>
      <c r="H3063" t="s">
        <v>22</v>
      </c>
    </row>
    <row r="3064" spans="1:10" x14ac:dyDescent="0.25">
      <c r="A3064" s="1">
        <v>244</v>
      </c>
      <c r="B3064" t="s">
        <v>29</v>
      </c>
      <c r="C3064">
        <v>98</v>
      </c>
      <c r="D3064">
        <v>1</v>
      </c>
      <c r="E3064" t="s">
        <v>52</v>
      </c>
      <c r="F3064" t="s">
        <v>53</v>
      </c>
      <c r="G3064" t="str">
        <f>"2025-07-16 01:24:21.986"</f>
        <v>2025-07-16 01:24:21.986</v>
      </c>
      <c r="H3064" t="s">
        <v>22</v>
      </c>
      <c r="I3064">
        <v>0</v>
      </c>
      <c r="J3064" t="s">
        <v>38</v>
      </c>
    </row>
    <row r="3065" spans="1:10" x14ac:dyDescent="0.25">
      <c r="A3065" s="1">
        <v>245</v>
      </c>
      <c r="B3065" t="s">
        <v>29</v>
      </c>
      <c r="C3065">
        <v>54</v>
      </c>
      <c r="D3065">
        <v>1</v>
      </c>
      <c r="E3065" t="s">
        <v>87</v>
      </c>
      <c r="F3065" t="s">
        <v>88</v>
      </c>
      <c r="G3065" t="str">
        <f>"2025-07-16 00:49:17.586"</f>
        <v>2025-07-16 00:49:17.586</v>
      </c>
      <c r="H3065" t="s">
        <v>22</v>
      </c>
      <c r="I3065">
        <v>6.23</v>
      </c>
      <c r="J3065" t="s">
        <v>30</v>
      </c>
    </row>
    <row r="3066" spans="1:10" x14ac:dyDescent="0.25">
      <c r="A3066" s="1">
        <v>246</v>
      </c>
      <c r="B3066" t="s">
        <v>19</v>
      </c>
      <c r="C3066">
        <v>700</v>
      </c>
      <c r="D3066">
        <v>0</v>
      </c>
      <c r="E3066" t="s">
        <v>24</v>
      </c>
      <c r="F3066" t="s">
        <v>24</v>
      </c>
      <c r="G3066" t="str">
        <f>"2025-07-15 19:31:24.747"</f>
        <v>2025-07-15 19:31:24.747</v>
      </c>
      <c r="H3066" t="s">
        <v>22</v>
      </c>
      <c r="I3066">
        <v>0</v>
      </c>
      <c r="J3066" t="s">
        <v>25</v>
      </c>
    </row>
    <row r="3067" spans="1:10" x14ac:dyDescent="0.25">
      <c r="A3067" s="1">
        <v>247</v>
      </c>
      <c r="B3067" t="s">
        <v>26</v>
      </c>
      <c r="C3067">
        <v>619</v>
      </c>
      <c r="D3067">
        <v>1</v>
      </c>
      <c r="E3067" t="s">
        <v>79</v>
      </c>
      <c r="F3067" t="s">
        <v>28</v>
      </c>
      <c r="G3067" t="str">
        <f>"2025-07-15 19:30:24.568"</f>
        <v>2025-07-15 19:30:24.568</v>
      </c>
      <c r="H3067" t="s">
        <v>80</v>
      </c>
    </row>
    <row r="3068" spans="1:10" x14ac:dyDescent="0.25">
      <c r="A3068" s="1">
        <v>248</v>
      </c>
      <c r="B3068" t="s">
        <v>29</v>
      </c>
      <c r="C3068">
        <v>619</v>
      </c>
      <c r="D3068">
        <v>1</v>
      </c>
      <c r="E3068" t="s">
        <v>79</v>
      </c>
      <c r="F3068" t="s">
        <v>28</v>
      </c>
      <c r="G3068" t="str">
        <f>"2025-07-15 19:29:53.268"</f>
        <v>2025-07-15 19:29:53.268</v>
      </c>
      <c r="H3068" t="s">
        <v>80</v>
      </c>
      <c r="I3068">
        <v>0</v>
      </c>
      <c r="J3068" t="s">
        <v>38</v>
      </c>
    </row>
    <row r="3069" spans="1:10" x14ac:dyDescent="0.25">
      <c r="A3069" s="1">
        <v>249</v>
      </c>
      <c r="B3069" t="s">
        <v>26</v>
      </c>
      <c r="C3069">
        <v>619</v>
      </c>
      <c r="D3069">
        <v>1</v>
      </c>
      <c r="E3069" t="s">
        <v>79</v>
      </c>
      <c r="F3069" t="s">
        <v>28</v>
      </c>
      <c r="G3069" t="str">
        <f>"2025-07-15 15:58:02.768"</f>
        <v>2025-07-15 15:58:02.768</v>
      </c>
      <c r="H3069" t="s">
        <v>80</v>
      </c>
    </row>
    <row r="3070" spans="1:10" x14ac:dyDescent="0.25">
      <c r="A3070" s="1">
        <v>250</v>
      </c>
      <c r="B3070" t="s">
        <v>29</v>
      </c>
      <c r="C3070">
        <v>619</v>
      </c>
      <c r="D3070">
        <v>1</v>
      </c>
      <c r="E3070" t="s">
        <v>79</v>
      </c>
      <c r="F3070" t="s">
        <v>28</v>
      </c>
      <c r="G3070" t="str">
        <f>"2025-07-15 15:57:56.116"</f>
        <v>2025-07-15 15:57:56.116</v>
      </c>
      <c r="H3070" t="s">
        <v>80</v>
      </c>
      <c r="I3070">
        <v>1.62</v>
      </c>
      <c r="J3070" t="s">
        <v>30</v>
      </c>
    </row>
    <row r="3071" spans="1:10" x14ac:dyDescent="0.25">
      <c r="A3071" s="1">
        <v>251</v>
      </c>
      <c r="B3071" t="s">
        <v>26</v>
      </c>
      <c r="C3071">
        <v>619</v>
      </c>
      <c r="D3071">
        <v>1</v>
      </c>
      <c r="E3071" t="s">
        <v>79</v>
      </c>
      <c r="F3071" t="s">
        <v>28</v>
      </c>
      <c r="G3071" t="str">
        <f>"2025-07-15 15:57:51.316"</f>
        <v>2025-07-15 15:57:51.316</v>
      </c>
      <c r="H3071" t="s">
        <v>80</v>
      </c>
    </row>
    <row r="3072" spans="1:10" x14ac:dyDescent="0.25">
      <c r="A3072" s="1">
        <v>252</v>
      </c>
      <c r="B3072" t="s">
        <v>29</v>
      </c>
      <c r="C3072">
        <v>619</v>
      </c>
      <c r="D3072">
        <v>1</v>
      </c>
      <c r="E3072" t="s">
        <v>79</v>
      </c>
      <c r="F3072" t="s">
        <v>28</v>
      </c>
      <c r="G3072" t="str">
        <f>"2025-07-15 15:57:31.168"</f>
        <v>2025-07-15 15:57:31.168</v>
      </c>
      <c r="H3072" t="s">
        <v>80</v>
      </c>
      <c r="I3072">
        <v>0</v>
      </c>
      <c r="J3072" t="s">
        <v>38</v>
      </c>
    </row>
    <row r="3073" spans="1:10" x14ac:dyDescent="0.25">
      <c r="A3073" s="1">
        <v>253</v>
      </c>
      <c r="B3073" t="s">
        <v>19</v>
      </c>
      <c r="C3073">
        <v>700</v>
      </c>
      <c r="D3073">
        <v>0</v>
      </c>
      <c r="E3073" t="s">
        <v>24</v>
      </c>
      <c r="F3073" t="s">
        <v>24</v>
      </c>
      <c r="G3073" t="str">
        <f>"2025-07-15 12:25:32.729"</f>
        <v>2025-07-15 12:25:32.729</v>
      </c>
      <c r="H3073" t="s">
        <v>22</v>
      </c>
    </row>
    <row r="3074" spans="1:10" x14ac:dyDescent="0.25">
      <c r="A3074" s="1">
        <v>254</v>
      </c>
      <c r="B3074" t="s">
        <v>19</v>
      </c>
      <c r="C3074">
        <v>700</v>
      </c>
      <c r="D3074">
        <v>0</v>
      </c>
      <c r="E3074" t="s">
        <v>24</v>
      </c>
      <c r="F3074" t="s">
        <v>24</v>
      </c>
      <c r="G3074" t="str">
        <f>"2025-07-13 13:38:27.709"</f>
        <v>2025-07-13 13:38:27.709</v>
      </c>
      <c r="H3074" t="s">
        <v>22</v>
      </c>
      <c r="I3074">
        <v>0</v>
      </c>
      <c r="J3074" t="s">
        <v>25</v>
      </c>
    </row>
    <row r="3075" spans="1:10" x14ac:dyDescent="0.25">
      <c r="A3075" s="1">
        <v>255</v>
      </c>
      <c r="B3075" t="s">
        <v>19</v>
      </c>
      <c r="C3075">
        <v>700</v>
      </c>
      <c r="D3075">
        <v>0</v>
      </c>
      <c r="E3075" t="s">
        <v>24</v>
      </c>
      <c r="F3075" t="s">
        <v>24</v>
      </c>
      <c r="G3075" t="str">
        <f>"2025-07-11 13:20:46.709"</f>
        <v>2025-07-11 13:20:46.709</v>
      </c>
      <c r="H3075" t="s">
        <v>22</v>
      </c>
      <c r="I3075">
        <v>0</v>
      </c>
      <c r="J3075" t="s">
        <v>25</v>
      </c>
    </row>
    <row r="3076" spans="1:10" x14ac:dyDescent="0.25">
      <c r="A3076" s="1">
        <v>256</v>
      </c>
      <c r="B3076" t="s">
        <v>26</v>
      </c>
      <c r="C3076">
        <v>635</v>
      </c>
      <c r="D3076">
        <v>1</v>
      </c>
      <c r="E3076" t="s">
        <v>27</v>
      </c>
      <c r="F3076" t="s">
        <v>28</v>
      </c>
      <c r="G3076" t="str">
        <f>"2025-07-10 20:07:19.020"</f>
        <v>2025-07-10 20:07:19.020</v>
      </c>
      <c r="H3076" t="s">
        <v>22</v>
      </c>
    </row>
    <row r="3077" spans="1:10" x14ac:dyDescent="0.25">
      <c r="A3077" s="1">
        <v>257</v>
      </c>
      <c r="B3077" t="s">
        <v>29</v>
      </c>
      <c r="C3077">
        <v>635</v>
      </c>
      <c r="D3077">
        <v>1</v>
      </c>
      <c r="E3077" t="s">
        <v>27</v>
      </c>
      <c r="F3077" t="s">
        <v>28</v>
      </c>
      <c r="G3077" t="str">
        <f>"2025-07-10 20:03:45.520"</f>
        <v>2025-07-10 20:03:45.520</v>
      </c>
      <c r="H3077" t="s">
        <v>22</v>
      </c>
      <c r="I3077">
        <v>4.8099999999999996</v>
      </c>
      <c r="J3077" t="s">
        <v>38</v>
      </c>
    </row>
    <row r="3078" spans="1:10" s="3" customFormat="1" x14ac:dyDescent="0.25">
      <c r="A3078" s="2">
        <v>258</v>
      </c>
      <c r="B3078" s="3" t="s">
        <v>26</v>
      </c>
      <c r="C3078" s="3">
        <v>647</v>
      </c>
      <c r="D3078" s="3">
        <v>1</v>
      </c>
      <c r="E3078" s="3" t="s">
        <v>35</v>
      </c>
      <c r="F3078" s="3" t="s">
        <v>36</v>
      </c>
      <c r="G3078" s="3" t="str">
        <f>"2025-07-10 19:52:32.721"</f>
        <v>2025-07-10 19:52:32.721</v>
      </c>
      <c r="H3078" s="3" t="s">
        <v>22</v>
      </c>
    </row>
    <row r="3079" spans="1:10" s="3" customFormat="1" x14ac:dyDescent="0.25">
      <c r="A3079" s="2">
        <v>259</v>
      </c>
      <c r="B3079" s="3" t="s">
        <v>29</v>
      </c>
      <c r="C3079" s="3">
        <v>647</v>
      </c>
      <c r="D3079" s="3">
        <v>1</v>
      </c>
      <c r="E3079" s="3" t="s">
        <v>35</v>
      </c>
      <c r="F3079" s="3" t="s">
        <v>36</v>
      </c>
      <c r="G3079" s="3" t="str">
        <f>"2025-07-10 19:52:29.421"</f>
        <v>2025-07-10 19:52:29.421</v>
      </c>
      <c r="H3079" s="3" t="s">
        <v>22</v>
      </c>
      <c r="I3079" s="3">
        <v>8.65</v>
      </c>
      <c r="J3079" s="3" t="s">
        <v>37</v>
      </c>
    </row>
    <row r="3080" spans="1:10" x14ac:dyDescent="0.25">
      <c r="A3080" s="1">
        <v>260</v>
      </c>
      <c r="B3080" t="s">
        <v>26</v>
      </c>
      <c r="C3080">
        <v>89</v>
      </c>
      <c r="D3080">
        <v>2</v>
      </c>
      <c r="E3080" t="s">
        <v>42</v>
      </c>
      <c r="F3080" t="s">
        <v>43</v>
      </c>
      <c r="G3080" t="str">
        <f>"2025-07-10 13:09:44.912"</f>
        <v>2025-07-10 13:09:44.912</v>
      </c>
      <c r="H3080" t="s">
        <v>22</v>
      </c>
    </row>
    <row r="3081" spans="1:10" x14ac:dyDescent="0.25">
      <c r="A3081" s="1">
        <v>261</v>
      </c>
      <c r="B3081" t="s">
        <v>34</v>
      </c>
      <c r="C3081">
        <v>89</v>
      </c>
      <c r="D3081">
        <v>2</v>
      </c>
      <c r="E3081" t="s">
        <v>42</v>
      </c>
      <c r="F3081" t="s">
        <v>43</v>
      </c>
      <c r="G3081" t="str">
        <f>"2025-07-10 13:09:06.313"</f>
        <v>2025-07-10 13:09:06.313</v>
      </c>
      <c r="H3081" t="s">
        <v>22</v>
      </c>
      <c r="I3081">
        <v>6.87</v>
      </c>
      <c r="J3081" t="s">
        <v>30</v>
      </c>
    </row>
    <row r="3082" spans="1:10" x14ac:dyDescent="0.25">
      <c r="A3082" s="1">
        <v>262</v>
      </c>
      <c r="B3082" t="s">
        <v>19</v>
      </c>
      <c r="C3082">
        <v>700</v>
      </c>
      <c r="D3082">
        <v>0</v>
      </c>
      <c r="E3082" t="s">
        <v>24</v>
      </c>
      <c r="F3082" t="s">
        <v>24</v>
      </c>
      <c r="G3082" t="str">
        <f>"2025-07-10 12:34:01.732"</f>
        <v>2025-07-10 12:34:01.732</v>
      </c>
      <c r="H3082" t="s">
        <v>22</v>
      </c>
    </row>
    <row r="3083" spans="1:10" x14ac:dyDescent="0.25">
      <c r="A3083" s="1">
        <v>263</v>
      </c>
      <c r="B3083" t="s">
        <v>26</v>
      </c>
      <c r="C3083">
        <v>619</v>
      </c>
      <c r="D3083">
        <v>1</v>
      </c>
      <c r="E3083" t="s">
        <v>79</v>
      </c>
      <c r="F3083" t="s">
        <v>28</v>
      </c>
      <c r="G3083" t="str">
        <f>"2025-07-10 12:31:59.287"</f>
        <v>2025-07-10 12:31:59.287</v>
      </c>
      <c r="H3083" t="s">
        <v>80</v>
      </c>
    </row>
    <row r="3084" spans="1:10" x14ac:dyDescent="0.25">
      <c r="A3084" s="1">
        <v>264</v>
      </c>
      <c r="B3084" t="s">
        <v>29</v>
      </c>
      <c r="C3084">
        <v>619</v>
      </c>
      <c r="D3084">
        <v>1</v>
      </c>
      <c r="E3084" t="s">
        <v>79</v>
      </c>
      <c r="F3084" t="s">
        <v>28</v>
      </c>
      <c r="G3084" t="str">
        <f>"2025-07-10 12:31:39.835"</f>
        <v>2025-07-10 12:31:39.835</v>
      </c>
      <c r="H3084" t="s">
        <v>80</v>
      </c>
      <c r="I3084">
        <v>0</v>
      </c>
      <c r="J3084" t="s">
        <v>38</v>
      </c>
    </row>
    <row r="3085" spans="1:10" x14ac:dyDescent="0.25">
      <c r="A3085" s="1">
        <v>265</v>
      </c>
      <c r="B3085" t="s">
        <v>26</v>
      </c>
      <c r="C3085">
        <v>98</v>
      </c>
      <c r="D3085">
        <v>1</v>
      </c>
      <c r="E3085" t="s">
        <v>52</v>
      </c>
      <c r="F3085" t="s">
        <v>53</v>
      </c>
      <c r="G3085" t="str">
        <f>"2025-07-10 07:28:42.447"</f>
        <v>2025-07-10 07:28:42.447</v>
      </c>
      <c r="H3085" t="s">
        <v>22</v>
      </c>
    </row>
    <row r="3086" spans="1:10" x14ac:dyDescent="0.25">
      <c r="A3086" s="1">
        <v>266</v>
      </c>
      <c r="B3086" t="s">
        <v>29</v>
      </c>
      <c r="C3086">
        <v>98</v>
      </c>
      <c r="D3086">
        <v>1</v>
      </c>
      <c r="E3086" t="s">
        <v>52</v>
      </c>
      <c r="F3086" t="s">
        <v>53</v>
      </c>
      <c r="G3086" t="str">
        <f>"2025-07-10 07:28:41.448"</f>
        <v>2025-07-10 07:28:41.448</v>
      </c>
      <c r="H3086" t="s">
        <v>22</v>
      </c>
      <c r="I3086">
        <v>13.43</v>
      </c>
      <c r="J3086" t="s">
        <v>30</v>
      </c>
    </row>
    <row r="3087" spans="1:10" s="3" customFormat="1" x14ac:dyDescent="0.25">
      <c r="A3087" s="2">
        <v>267</v>
      </c>
      <c r="B3087" s="3" t="s">
        <v>26</v>
      </c>
      <c r="C3087" s="3">
        <v>647</v>
      </c>
      <c r="D3087" s="3">
        <v>1</v>
      </c>
      <c r="E3087" s="3" t="s">
        <v>35</v>
      </c>
      <c r="F3087" s="3" t="s">
        <v>36</v>
      </c>
      <c r="G3087" s="3" t="str">
        <f>"2025-07-10 04:33:46.635"</f>
        <v>2025-07-10 04:33:46.635</v>
      </c>
      <c r="H3087" s="3" t="s">
        <v>22</v>
      </c>
    </row>
    <row r="3088" spans="1:10" s="3" customFormat="1" x14ac:dyDescent="0.25">
      <c r="A3088" s="2">
        <v>268</v>
      </c>
      <c r="B3088" s="3" t="s">
        <v>29</v>
      </c>
      <c r="C3088" s="3">
        <v>647</v>
      </c>
      <c r="D3088" s="3">
        <v>1</v>
      </c>
      <c r="E3088" s="3" t="s">
        <v>35</v>
      </c>
      <c r="F3088" s="3" t="s">
        <v>36</v>
      </c>
      <c r="G3088" s="3" t="str">
        <f>"2025-07-10 04:33:42.936"</f>
        <v>2025-07-10 04:33:42.936</v>
      </c>
      <c r="H3088" s="3" t="s">
        <v>22</v>
      </c>
      <c r="I3088" s="3">
        <v>17.16</v>
      </c>
      <c r="J3088" s="3" t="s">
        <v>37</v>
      </c>
    </row>
    <row r="3089" spans="1:10" x14ac:dyDescent="0.25">
      <c r="A3089" s="1">
        <v>269</v>
      </c>
      <c r="B3089" t="s">
        <v>26</v>
      </c>
      <c r="C3089">
        <v>98</v>
      </c>
      <c r="D3089">
        <v>1</v>
      </c>
      <c r="E3089" t="s">
        <v>52</v>
      </c>
      <c r="F3089" t="s">
        <v>53</v>
      </c>
      <c r="G3089" t="str">
        <f>"2025-07-09 17:02:49.547"</f>
        <v>2025-07-09 17:02:49.547</v>
      </c>
      <c r="H3089" t="s">
        <v>22</v>
      </c>
    </row>
    <row r="3090" spans="1:10" x14ac:dyDescent="0.25">
      <c r="A3090" s="1">
        <v>270</v>
      </c>
      <c r="B3090" t="s">
        <v>29</v>
      </c>
      <c r="C3090">
        <v>98</v>
      </c>
      <c r="D3090">
        <v>1</v>
      </c>
      <c r="E3090" t="s">
        <v>52</v>
      </c>
      <c r="F3090" t="s">
        <v>53</v>
      </c>
      <c r="G3090" t="str">
        <f>"2025-07-09 17:02:45.748"</f>
        <v>2025-07-09 17:02:45.748</v>
      </c>
      <c r="H3090" t="s">
        <v>22</v>
      </c>
      <c r="I3090">
        <v>0</v>
      </c>
      <c r="J3090" t="s">
        <v>38</v>
      </c>
    </row>
    <row r="3091" spans="1:10" x14ac:dyDescent="0.25">
      <c r="A3091" s="1">
        <v>271</v>
      </c>
      <c r="B3091" t="s">
        <v>19</v>
      </c>
      <c r="C3091">
        <v>700</v>
      </c>
      <c r="D3091">
        <v>0</v>
      </c>
      <c r="E3091" t="s">
        <v>24</v>
      </c>
      <c r="F3091" t="s">
        <v>24</v>
      </c>
      <c r="G3091" t="str">
        <f>"2025-07-09 13:23:23.857"</f>
        <v>2025-07-09 13:23:23.857</v>
      </c>
      <c r="H3091" t="s">
        <v>22</v>
      </c>
    </row>
    <row r="3092" spans="1:10" x14ac:dyDescent="0.25">
      <c r="A3092" s="1">
        <v>272</v>
      </c>
      <c r="B3092" t="s">
        <v>19</v>
      </c>
      <c r="C3092">
        <v>700</v>
      </c>
      <c r="D3092">
        <v>0</v>
      </c>
      <c r="E3092" t="s">
        <v>24</v>
      </c>
      <c r="F3092" t="s">
        <v>24</v>
      </c>
      <c r="G3092" t="str">
        <f>"2025-07-09 10:17:05.706"</f>
        <v>2025-07-09 10:17:05.706</v>
      </c>
      <c r="H3092" t="s">
        <v>22</v>
      </c>
      <c r="I3092">
        <v>0</v>
      </c>
      <c r="J3092" t="s">
        <v>25</v>
      </c>
    </row>
    <row r="3093" spans="1:10" x14ac:dyDescent="0.25">
      <c r="A3093" s="1">
        <v>273</v>
      </c>
      <c r="B3093" t="s">
        <v>31</v>
      </c>
      <c r="C3093">
        <v>33</v>
      </c>
      <c r="D3093">
        <v>1</v>
      </c>
      <c r="E3093" t="s">
        <v>49</v>
      </c>
      <c r="F3093" t="s">
        <v>50</v>
      </c>
      <c r="G3093" t="str">
        <f>"2025-07-09 05:50:48.336"</f>
        <v>2025-07-09 05:50:48.336</v>
      </c>
      <c r="H3093" t="s">
        <v>51</v>
      </c>
    </row>
    <row r="3094" spans="1:10" x14ac:dyDescent="0.25">
      <c r="A3094" s="1">
        <v>274</v>
      </c>
      <c r="B3094" t="s">
        <v>34</v>
      </c>
      <c r="C3094">
        <v>33</v>
      </c>
      <c r="D3094">
        <v>1</v>
      </c>
      <c r="E3094" t="s">
        <v>49</v>
      </c>
      <c r="F3094" t="s">
        <v>50</v>
      </c>
      <c r="G3094" t="str">
        <f>"2025-07-09 05:49:51.968"</f>
        <v>2025-07-09 05:49:51.968</v>
      </c>
      <c r="H3094" t="s">
        <v>51</v>
      </c>
      <c r="I3094">
        <v>9.1</v>
      </c>
      <c r="J3094" t="s">
        <v>30</v>
      </c>
    </row>
    <row r="3095" spans="1:10" x14ac:dyDescent="0.25">
      <c r="A3095" s="1">
        <v>275</v>
      </c>
      <c r="B3095" t="s">
        <v>19</v>
      </c>
      <c r="C3095">
        <v>706</v>
      </c>
      <c r="D3095">
        <v>2</v>
      </c>
      <c r="E3095" t="s">
        <v>20</v>
      </c>
      <c r="F3095" t="s">
        <v>54</v>
      </c>
      <c r="G3095" t="str">
        <f>"2025-07-08 19:45:58.377"</f>
        <v>2025-07-08 19:45:58.377</v>
      </c>
      <c r="H3095" t="s">
        <v>22</v>
      </c>
      <c r="I3095">
        <v>0</v>
      </c>
      <c r="J3095" t="s">
        <v>23</v>
      </c>
    </row>
    <row r="3096" spans="1:10" x14ac:dyDescent="0.25">
      <c r="A3096" s="1">
        <v>276</v>
      </c>
      <c r="B3096" t="s">
        <v>19</v>
      </c>
      <c r="C3096">
        <v>700</v>
      </c>
      <c r="D3096">
        <v>0</v>
      </c>
      <c r="E3096" t="s">
        <v>24</v>
      </c>
      <c r="F3096" t="s">
        <v>24</v>
      </c>
      <c r="G3096" t="str">
        <f>"2025-07-08 19:45:28.717"</f>
        <v>2025-07-08 19:45:28.717</v>
      </c>
      <c r="H3096" t="s">
        <v>22</v>
      </c>
      <c r="I3096">
        <v>0</v>
      </c>
      <c r="J3096" t="s">
        <v>25</v>
      </c>
    </row>
    <row r="3097" spans="1:10" x14ac:dyDescent="0.25">
      <c r="A3097" s="1">
        <v>279</v>
      </c>
      <c r="B3097" t="s">
        <v>19</v>
      </c>
      <c r="C3097">
        <v>706</v>
      </c>
      <c r="D3097">
        <v>2</v>
      </c>
      <c r="E3097" t="s">
        <v>20</v>
      </c>
      <c r="F3097" t="s">
        <v>54</v>
      </c>
      <c r="G3097" t="str">
        <f>"2025-07-08 17:54:51.710"</f>
        <v>2025-07-08 17:54:51.710</v>
      </c>
      <c r="H3097" t="s">
        <v>22</v>
      </c>
      <c r="I3097">
        <v>0</v>
      </c>
      <c r="J3097" t="s">
        <v>23</v>
      </c>
    </row>
    <row r="3098" spans="1:10" x14ac:dyDescent="0.25">
      <c r="A3098" s="1">
        <v>280</v>
      </c>
      <c r="B3098" t="s">
        <v>19</v>
      </c>
      <c r="C3098">
        <v>700</v>
      </c>
      <c r="D3098">
        <v>0</v>
      </c>
      <c r="E3098" t="s">
        <v>24</v>
      </c>
      <c r="F3098" t="s">
        <v>24</v>
      </c>
      <c r="G3098" t="str">
        <f>"2025-07-08 17:54:35.760"</f>
        <v>2025-07-08 17:54:35.760</v>
      </c>
      <c r="H3098" t="s">
        <v>22</v>
      </c>
      <c r="I3098">
        <v>0</v>
      </c>
      <c r="J3098" t="s">
        <v>25</v>
      </c>
    </row>
    <row r="3099" spans="1:10" x14ac:dyDescent="0.25">
      <c r="A3099" s="1">
        <v>283</v>
      </c>
      <c r="B3099" t="s">
        <v>19</v>
      </c>
      <c r="C3099">
        <v>782</v>
      </c>
      <c r="D3099">
        <v>7</v>
      </c>
      <c r="E3099" t="s">
        <v>55</v>
      </c>
      <c r="F3099" t="s">
        <v>56</v>
      </c>
      <c r="G3099" t="str">
        <f>"2025-07-08 17:51:24.451"</f>
        <v>2025-07-08 17:51:24.451</v>
      </c>
      <c r="H3099" t="s">
        <v>22</v>
      </c>
      <c r="I3099">
        <v>0</v>
      </c>
      <c r="J3099" t="s">
        <v>93</v>
      </c>
    </row>
    <row r="3100" spans="1:10" x14ac:dyDescent="0.25">
      <c r="A3100" s="1">
        <v>286</v>
      </c>
      <c r="B3100" t="s">
        <v>26</v>
      </c>
      <c r="C3100">
        <v>129</v>
      </c>
      <c r="D3100">
        <v>6</v>
      </c>
      <c r="E3100" t="s">
        <v>119</v>
      </c>
      <c r="F3100" t="s">
        <v>120</v>
      </c>
      <c r="G3100" t="str">
        <f>"2025-07-08 17:51:24.439"</f>
        <v>2025-07-08 17:51:24.439</v>
      </c>
      <c r="H3100" t="s">
        <v>22</v>
      </c>
    </row>
    <row r="3101" spans="1:10" x14ac:dyDescent="0.25">
      <c r="A3101" s="1">
        <v>287</v>
      </c>
      <c r="B3101" t="s">
        <v>26</v>
      </c>
      <c r="C3101">
        <v>128</v>
      </c>
      <c r="D3101">
        <v>2</v>
      </c>
      <c r="E3101" t="s">
        <v>89</v>
      </c>
      <c r="F3101" t="s">
        <v>121</v>
      </c>
      <c r="G3101" t="str">
        <f>"2025-07-08 17:51:24.436"</f>
        <v>2025-07-08 17:51:24.436</v>
      </c>
      <c r="H3101" t="s">
        <v>61</v>
      </c>
    </row>
    <row r="3102" spans="1:10" x14ac:dyDescent="0.25">
      <c r="A3102" s="1">
        <v>288</v>
      </c>
      <c r="B3102" t="s">
        <v>19</v>
      </c>
      <c r="C3102">
        <v>782</v>
      </c>
      <c r="D3102">
        <v>7</v>
      </c>
      <c r="E3102" t="s">
        <v>55</v>
      </c>
      <c r="F3102" t="s">
        <v>56</v>
      </c>
      <c r="G3102" t="str">
        <f>"2025-07-08 17:51:24.435"</f>
        <v>2025-07-08 17:51:24.435</v>
      </c>
      <c r="H3102" t="s">
        <v>22</v>
      </c>
      <c r="I3102">
        <v>0</v>
      </c>
      <c r="J3102" t="s">
        <v>93</v>
      </c>
    </row>
    <row r="3103" spans="1:10" x14ac:dyDescent="0.25">
      <c r="A3103" s="1">
        <v>289</v>
      </c>
      <c r="B3103" t="s">
        <v>19</v>
      </c>
      <c r="C3103">
        <v>700</v>
      </c>
      <c r="D3103">
        <v>0</v>
      </c>
      <c r="E3103" t="s">
        <v>24</v>
      </c>
      <c r="F3103" t="s">
        <v>24</v>
      </c>
      <c r="G3103" t="str">
        <f>"2025-07-08 17:48:33.716"</f>
        <v>2025-07-08 17:48:33.716</v>
      </c>
      <c r="H3103" t="s">
        <v>22</v>
      </c>
      <c r="I3103">
        <v>0</v>
      </c>
      <c r="J3103" t="s">
        <v>25</v>
      </c>
    </row>
    <row r="3104" spans="1:10" x14ac:dyDescent="0.25">
      <c r="A3104" s="1">
        <v>290</v>
      </c>
      <c r="B3104" t="s">
        <v>44</v>
      </c>
      <c r="C3104">
        <v>77</v>
      </c>
      <c r="D3104">
        <v>1</v>
      </c>
      <c r="E3104" t="s">
        <v>45</v>
      </c>
      <c r="F3104" t="s">
        <v>46</v>
      </c>
      <c r="G3104" t="str">
        <f>"2025-07-08 17:46:32.019"</f>
        <v>2025-07-08 17:46:32.019</v>
      </c>
      <c r="H3104" t="s">
        <v>47</v>
      </c>
    </row>
    <row r="3105" spans="1:10" x14ac:dyDescent="0.25">
      <c r="A3105" s="1">
        <v>291</v>
      </c>
      <c r="B3105" t="s">
        <v>29</v>
      </c>
      <c r="C3105">
        <v>128</v>
      </c>
      <c r="D3105">
        <v>2</v>
      </c>
      <c r="E3105" t="s">
        <v>89</v>
      </c>
      <c r="F3105" t="s">
        <v>121</v>
      </c>
      <c r="G3105" t="str">
        <f>"2025-07-08 17:46:27.564"</f>
        <v>2025-07-08 17:46:27.564</v>
      </c>
      <c r="H3105" t="s">
        <v>61</v>
      </c>
      <c r="I3105">
        <v>0</v>
      </c>
      <c r="J3105" t="s">
        <v>23</v>
      </c>
    </row>
    <row r="3106" spans="1:10" x14ac:dyDescent="0.25">
      <c r="A3106" s="1">
        <v>292</v>
      </c>
      <c r="B3106" t="s">
        <v>34</v>
      </c>
      <c r="C3106">
        <v>77</v>
      </c>
      <c r="D3106">
        <v>1</v>
      </c>
      <c r="E3106" t="s">
        <v>45</v>
      </c>
      <c r="F3106" t="s">
        <v>46</v>
      </c>
      <c r="G3106" t="str">
        <f>"2025-07-08 17:46:26.928"</f>
        <v>2025-07-08 17:46:26.928</v>
      </c>
      <c r="H3106" t="s">
        <v>47</v>
      </c>
      <c r="I3106">
        <v>0</v>
      </c>
      <c r="J3106" t="s">
        <v>23</v>
      </c>
    </row>
    <row r="3107" spans="1:10" x14ac:dyDescent="0.25">
      <c r="A3107" s="1">
        <v>293</v>
      </c>
      <c r="B3107" t="s">
        <v>44</v>
      </c>
      <c r="C3107">
        <v>128</v>
      </c>
      <c r="D3107">
        <v>2</v>
      </c>
      <c r="E3107" t="s">
        <v>89</v>
      </c>
      <c r="F3107" t="s">
        <v>121</v>
      </c>
      <c r="G3107" t="str">
        <f>"2025-07-08 17:46:22.819"</f>
        <v>2025-07-08 17:46:22.819</v>
      </c>
      <c r="H3107" t="s">
        <v>61</v>
      </c>
    </row>
    <row r="3108" spans="1:10" x14ac:dyDescent="0.25">
      <c r="A3108" s="1">
        <v>294</v>
      </c>
      <c r="B3108" t="s">
        <v>44</v>
      </c>
      <c r="C3108">
        <v>77</v>
      </c>
      <c r="D3108">
        <v>1</v>
      </c>
      <c r="E3108" t="s">
        <v>45</v>
      </c>
      <c r="F3108" t="s">
        <v>46</v>
      </c>
      <c r="G3108" t="str">
        <f>"2025-07-08 17:46:22.619"</f>
        <v>2025-07-08 17:46:22.619</v>
      </c>
      <c r="H3108" t="s">
        <v>47</v>
      </c>
    </row>
    <row r="3109" spans="1:10" x14ac:dyDescent="0.25">
      <c r="A3109" s="1">
        <v>295</v>
      </c>
      <c r="B3109" t="s">
        <v>34</v>
      </c>
      <c r="C3109">
        <v>128</v>
      </c>
      <c r="D3109">
        <v>2</v>
      </c>
      <c r="E3109" t="s">
        <v>89</v>
      </c>
      <c r="F3109" t="s">
        <v>121</v>
      </c>
      <c r="G3109" t="str">
        <f>"2025-07-08 17:46:17.764"</f>
        <v>2025-07-08 17:46:17.764</v>
      </c>
      <c r="H3109" t="s">
        <v>61</v>
      </c>
      <c r="I3109">
        <v>0</v>
      </c>
      <c r="J3109" t="s">
        <v>23</v>
      </c>
    </row>
    <row r="3110" spans="1:10" x14ac:dyDescent="0.25">
      <c r="A3110" s="1">
        <v>296</v>
      </c>
      <c r="B3110" t="s">
        <v>34</v>
      </c>
      <c r="C3110">
        <v>77</v>
      </c>
      <c r="D3110">
        <v>1</v>
      </c>
      <c r="E3110" t="s">
        <v>45</v>
      </c>
      <c r="F3110" t="s">
        <v>46</v>
      </c>
      <c r="G3110" t="str">
        <f>"2025-07-08 17:46:17.528"</f>
        <v>2025-07-08 17:46:17.528</v>
      </c>
      <c r="H3110" t="s">
        <v>47</v>
      </c>
      <c r="I3110">
        <v>0</v>
      </c>
      <c r="J3110" t="s">
        <v>23</v>
      </c>
    </row>
    <row r="3111" spans="1:10" x14ac:dyDescent="0.25">
      <c r="A3111" s="1">
        <v>297</v>
      </c>
      <c r="B3111" t="s">
        <v>29</v>
      </c>
      <c r="C3111">
        <v>129</v>
      </c>
      <c r="D3111">
        <v>6</v>
      </c>
      <c r="E3111" t="s">
        <v>119</v>
      </c>
      <c r="F3111" t="s">
        <v>120</v>
      </c>
      <c r="G3111" t="str">
        <f>"2025-07-08 17:46:16.084"</f>
        <v>2025-07-08 17:46:16.084</v>
      </c>
      <c r="H3111" t="s">
        <v>22</v>
      </c>
      <c r="I3111">
        <v>0</v>
      </c>
      <c r="J3111" t="s">
        <v>23</v>
      </c>
    </row>
    <row r="3112" spans="1:10" x14ac:dyDescent="0.25">
      <c r="A3112" s="1">
        <v>298</v>
      </c>
      <c r="B3112" t="s">
        <v>44</v>
      </c>
      <c r="C3112">
        <v>129</v>
      </c>
      <c r="D3112">
        <v>6</v>
      </c>
      <c r="E3112" t="s">
        <v>119</v>
      </c>
      <c r="F3112" t="s">
        <v>120</v>
      </c>
      <c r="G3112" t="str">
        <f>"2025-07-08 17:46:15.919"</f>
        <v>2025-07-08 17:46:15.919</v>
      </c>
      <c r="H3112" t="s">
        <v>22</v>
      </c>
    </row>
    <row r="3113" spans="1:10" x14ac:dyDescent="0.25">
      <c r="A3113" s="1">
        <v>299</v>
      </c>
      <c r="B3113" t="s">
        <v>44</v>
      </c>
      <c r="C3113">
        <v>128</v>
      </c>
      <c r="D3113">
        <v>2</v>
      </c>
      <c r="E3113" t="s">
        <v>89</v>
      </c>
      <c r="F3113" t="s">
        <v>121</v>
      </c>
      <c r="G3113" t="str">
        <f>"2025-07-08 17:46:13.619"</f>
        <v>2025-07-08 17:46:13.619</v>
      </c>
      <c r="H3113" t="s">
        <v>61</v>
      </c>
    </row>
    <row r="3114" spans="1:10" x14ac:dyDescent="0.25">
      <c r="A3114" s="1">
        <v>300</v>
      </c>
      <c r="B3114" t="s">
        <v>44</v>
      </c>
      <c r="C3114">
        <v>77</v>
      </c>
      <c r="D3114">
        <v>1</v>
      </c>
      <c r="E3114" t="s">
        <v>45</v>
      </c>
      <c r="F3114" t="s">
        <v>46</v>
      </c>
      <c r="G3114" t="str">
        <f>"2025-07-08 17:46:13.219"</f>
        <v>2025-07-08 17:46:13.219</v>
      </c>
      <c r="H3114" t="s">
        <v>47</v>
      </c>
    </row>
    <row r="3115" spans="1:10" x14ac:dyDescent="0.25">
      <c r="A3115" s="1">
        <v>301</v>
      </c>
      <c r="B3115" t="s">
        <v>34</v>
      </c>
      <c r="C3115">
        <v>129</v>
      </c>
      <c r="D3115">
        <v>6</v>
      </c>
      <c r="E3115" t="s">
        <v>119</v>
      </c>
      <c r="F3115" t="s">
        <v>120</v>
      </c>
      <c r="G3115" t="str">
        <f>"2025-07-08 17:46:10.884"</f>
        <v>2025-07-08 17:46:10.884</v>
      </c>
      <c r="H3115" t="s">
        <v>22</v>
      </c>
      <c r="I3115">
        <v>0</v>
      </c>
      <c r="J3115" t="s">
        <v>23</v>
      </c>
    </row>
    <row r="3116" spans="1:10" x14ac:dyDescent="0.25">
      <c r="A3116" s="1">
        <v>302</v>
      </c>
      <c r="B3116" t="s">
        <v>44</v>
      </c>
      <c r="C3116">
        <v>129</v>
      </c>
      <c r="D3116">
        <v>6</v>
      </c>
      <c r="E3116" t="s">
        <v>119</v>
      </c>
      <c r="F3116" t="s">
        <v>120</v>
      </c>
      <c r="G3116" t="str">
        <f>"2025-07-08 17:46:10.719"</f>
        <v>2025-07-08 17:46:10.719</v>
      </c>
      <c r="H3116" t="s">
        <v>22</v>
      </c>
    </row>
    <row r="3117" spans="1:10" x14ac:dyDescent="0.25">
      <c r="A3117" s="1">
        <v>303</v>
      </c>
      <c r="B3117" t="s">
        <v>34</v>
      </c>
      <c r="C3117">
        <v>128</v>
      </c>
      <c r="D3117">
        <v>2</v>
      </c>
      <c r="E3117" t="s">
        <v>89</v>
      </c>
      <c r="F3117" t="s">
        <v>121</v>
      </c>
      <c r="G3117" t="str">
        <f>"2025-07-08 17:46:08.584"</f>
        <v>2025-07-08 17:46:08.584</v>
      </c>
      <c r="H3117" t="s">
        <v>61</v>
      </c>
      <c r="I3117">
        <v>0</v>
      </c>
      <c r="J3117" t="s">
        <v>23</v>
      </c>
    </row>
    <row r="3118" spans="1:10" x14ac:dyDescent="0.25">
      <c r="A3118" s="1">
        <v>304</v>
      </c>
      <c r="B3118" t="s">
        <v>34</v>
      </c>
      <c r="C3118">
        <v>77</v>
      </c>
      <c r="D3118">
        <v>1</v>
      </c>
      <c r="E3118" t="s">
        <v>45</v>
      </c>
      <c r="F3118" t="s">
        <v>46</v>
      </c>
      <c r="G3118" t="str">
        <f>"2025-07-08 17:46:08.128"</f>
        <v>2025-07-08 17:46:08.128</v>
      </c>
      <c r="H3118" t="s">
        <v>47</v>
      </c>
      <c r="I3118">
        <v>0</v>
      </c>
      <c r="J3118" t="s">
        <v>23</v>
      </c>
    </row>
    <row r="3119" spans="1:10" x14ac:dyDescent="0.25">
      <c r="A3119" s="1">
        <v>305</v>
      </c>
      <c r="B3119" t="s">
        <v>34</v>
      </c>
      <c r="C3119">
        <v>129</v>
      </c>
      <c r="D3119">
        <v>6</v>
      </c>
      <c r="E3119" t="s">
        <v>119</v>
      </c>
      <c r="F3119" t="s">
        <v>120</v>
      </c>
      <c r="G3119" t="str">
        <f>"2025-07-08 17:46:05.684"</f>
        <v>2025-07-08 17:46:05.684</v>
      </c>
      <c r="H3119" t="s">
        <v>22</v>
      </c>
      <c r="I3119">
        <v>0</v>
      </c>
      <c r="J3119" t="s">
        <v>23</v>
      </c>
    </row>
    <row r="3120" spans="1:10" x14ac:dyDescent="0.25">
      <c r="A3120" s="1">
        <v>306</v>
      </c>
      <c r="B3120" t="s">
        <v>44</v>
      </c>
      <c r="C3120">
        <v>129</v>
      </c>
      <c r="D3120">
        <v>6</v>
      </c>
      <c r="E3120" t="s">
        <v>119</v>
      </c>
      <c r="F3120" t="s">
        <v>120</v>
      </c>
      <c r="G3120" t="str">
        <f>"2025-07-08 17:46:05.518"</f>
        <v>2025-07-08 17:46:05.518</v>
      </c>
      <c r="H3120" t="s">
        <v>22</v>
      </c>
    </row>
    <row r="3121" spans="1:10" x14ac:dyDescent="0.25">
      <c r="A3121" s="1">
        <v>307</v>
      </c>
      <c r="B3121" t="s">
        <v>44</v>
      </c>
      <c r="C3121">
        <v>128</v>
      </c>
      <c r="D3121">
        <v>2</v>
      </c>
      <c r="E3121" t="s">
        <v>89</v>
      </c>
      <c r="F3121" t="s">
        <v>121</v>
      </c>
      <c r="G3121" t="str">
        <f>"2025-07-08 17:46:03.919"</f>
        <v>2025-07-08 17:46:03.919</v>
      </c>
      <c r="H3121" t="s">
        <v>61</v>
      </c>
    </row>
    <row r="3122" spans="1:10" x14ac:dyDescent="0.25">
      <c r="A3122" s="1">
        <v>308</v>
      </c>
      <c r="B3122" t="s">
        <v>44</v>
      </c>
      <c r="C3122">
        <v>77</v>
      </c>
      <c r="D3122">
        <v>1</v>
      </c>
      <c r="E3122" t="s">
        <v>45</v>
      </c>
      <c r="F3122" t="s">
        <v>46</v>
      </c>
      <c r="G3122" t="str">
        <f>"2025-07-08 17:46:03.819"</f>
        <v>2025-07-08 17:46:03.819</v>
      </c>
      <c r="H3122" t="s">
        <v>47</v>
      </c>
    </row>
    <row r="3123" spans="1:10" x14ac:dyDescent="0.25">
      <c r="A3123" s="1">
        <v>309</v>
      </c>
      <c r="B3123" t="s">
        <v>34</v>
      </c>
      <c r="C3123">
        <v>129</v>
      </c>
      <c r="D3123">
        <v>6</v>
      </c>
      <c r="E3123" t="s">
        <v>119</v>
      </c>
      <c r="F3123" t="s">
        <v>120</v>
      </c>
      <c r="G3123" t="str">
        <f>"2025-07-08 17:46:00.104"</f>
        <v>2025-07-08 17:46:00.104</v>
      </c>
      <c r="H3123" t="s">
        <v>22</v>
      </c>
      <c r="I3123">
        <v>0</v>
      </c>
      <c r="J3123" t="s">
        <v>23</v>
      </c>
    </row>
    <row r="3124" spans="1:10" x14ac:dyDescent="0.25">
      <c r="A3124" s="1">
        <v>310</v>
      </c>
      <c r="B3124" t="s">
        <v>34</v>
      </c>
      <c r="C3124">
        <v>128</v>
      </c>
      <c r="D3124">
        <v>2</v>
      </c>
      <c r="E3124" t="s">
        <v>89</v>
      </c>
      <c r="F3124" t="s">
        <v>121</v>
      </c>
      <c r="G3124" t="str">
        <f>"2025-07-08 17:45:58.784"</f>
        <v>2025-07-08 17:45:58.784</v>
      </c>
      <c r="H3124" t="s">
        <v>61</v>
      </c>
      <c r="I3124">
        <v>0</v>
      </c>
      <c r="J3124" t="s">
        <v>23</v>
      </c>
    </row>
    <row r="3125" spans="1:10" x14ac:dyDescent="0.25">
      <c r="A3125" s="1">
        <v>311</v>
      </c>
      <c r="B3125" t="s">
        <v>34</v>
      </c>
      <c r="C3125">
        <v>77</v>
      </c>
      <c r="D3125">
        <v>1</v>
      </c>
      <c r="E3125" t="s">
        <v>45</v>
      </c>
      <c r="F3125" t="s">
        <v>46</v>
      </c>
      <c r="G3125" t="str">
        <f>"2025-07-08 17:45:58.549"</f>
        <v>2025-07-08 17:45:58.549</v>
      </c>
      <c r="H3125" t="s">
        <v>47</v>
      </c>
      <c r="I3125">
        <v>0</v>
      </c>
      <c r="J3125" t="s">
        <v>23</v>
      </c>
    </row>
    <row r="3126" spans="1:10" x14ac:dyDescent="0.25">
      <c r="A3126" s="1">
        <v>312</v>
      </c>
      <c r="B3126" t="s">
        <v>19</v>
      </c>
      <c r="C3126">
        <v>706</v>
      </c>
      <c r="D3126">
        <v>2</v>
      </c>
      <c r="E3126" t="s">
        <v>20</v>
      </c>
      <c r="F3126" t="s">
        <v>54</v>
      </c>
      <c r="G3126" t="str">
        <f>"2025-07-08 17:45:52.450"</f>
        <v>2025-07-08 17:45:52.450</v>
      </c>
      <c r="H3126" t="s">
        <v>22</v>
      </c>
      <c r="I3126">
        <v>0</v>
      </c>
      <c r="J3126" t="s">
        <v>23</v>
      </c>
    </row>
    <row r="3127" spans="1:10" x14ac:dyDescent="0.25">
      <c r="A3127" s="1">
        <v>313</v>
      </c>
      <c r="B3127" t="s">
        <v>19</v>
      </c>
      <c r="C3127">
        <v>700</v>
      </c>
      <c r="D3127">
        <v>0</v>
      </c>
      <c r="E3127" t="s">
        <v>24</v>
      </c>
      <c r="F3127" t="s">
        <v>24</v>
      </c>
      <c r="G3127" t="str">
        <f>"2025-07-08 17:44:41.770"</f>
        <v>2025-07-08 17:44:41.770</v>
      </c>
      <c r="H3127" t="s">
        <v>22</v>
      </c>
      <c r="I3127">
        <v>0</v>
      </c>
      <c r="J3127" t="s">
        <v>25</v>
      </c>
    </row>
    <row r="3128" spans="1:10" x14ac:dyDescent="0.25">
      <c r="A3128" s="1">
        <v>314</v>
      </c>
      <c r="B3128" t="s">
        <v>19</v>
      </c>
      <c r="C3128">
        <v>700</v>
      </c>
      <c r="D3128">
        <v>0</v>
      </c>
      <c r="E3128" t="s">
        <v>24</v>
      </c>
      <c r="F3128" t="s">
        <v>24</v>
      </c>
      <c r="G3128" t="str">
        <f>"2025-07-08 17:32:40.698"</f>
        <v>2025-07-08 17:32:40.698</v>
      </c>
      <c r="H3128" t="s">
        <v>22</v>
      </c>
    </row>
    <row r="3129" spans="1:10" x14ac:dyDescent="0.25">
      <c r="A3129" s="1">
        <v>315</v>
      </c>
      <c r="B3129" t="s">
        <v>19</v>
      </c>
      <c r="C3129">
        <v>700</v>
      </c>
      <c r="D3129">
        <v>0</v>
      </c>
      <c r="E3129" t="s">
        <v>24</v>
      </c>
      <c r="F3129" t="s">
        <v>24</v>
      </c>
      <c r="G3129" t="str">
        <f>"2025-07-08 16:38:17.710"</f>
        <v>2025-07-08 16:38:17.710</v>
      </c>
      <c r="H3129" t="s">
        <v>22</v>
      </c>
      <c r="I3129">
        <v>0</v>
      </c>
      <c r="J3129" t="s">
        <v>25</v>
      </c>
    </row>
    <row r="3130" spans="1:10" x14ac:dyDescent="0.25">
      <c r="A3130" s="1">
        <v>316</v>
      </c>
      <c r="B3130" t="s">
        <v>19</v>
      </c>
      <c r="C3130">
        <v>700</v>
      </c>
      <c r="D3130">
        <v>0</v>
      </c>
      <c r="E3130" t="s">
        <v>24</v>
      </c>
      <c r="F3130" t="s">
        <v>24</v>
      </c>
      <c r="G3130" t="str">
        <f>"2025-07-08 15:58:56.692"</f>
        <v>2025-07-08 15:58:56.692</v>
      </c>
      <c r="H3130" t="s">
        <v>22</v>
      </c>
    </row>
    <row r="3131" spans="1:10" x14ac:dyDescent="0.25">
      <c r="A3131" s="1">
        <v>317</v>
      </c>
      <c r="B3131" t="s">
        <v>19</v>
      </c>
      <c r="C3131">
        <v>700</v>
      </c>
      <c r="D3131">
        <v>0</v>
      </c>
      <c r="E3131" t="s">
        <v>24</v>
      </c>
      <c r="F3131" t="s">
        <v>24</v>
      </c>
      <c r="G3131" t="str">
        <f>"2025-07-08 15:42:16.709"</f>
        <v>2025-07-08 15:42:16.709</v>
      </c>
      <c r="H3131" t="s">
        <v>22</v>
      </c>
    </row>
    <row r="3132" spans="1:10" x14ac:dyDescent="0.25">
      <c r="A3132" s="1">
        <v>318</v>
      </c>
      <c r="B3132" t="s">
        <v>19</v>
      </c>
      <c r="C3132">
        <v>700</v>
      </c>
      <c r="D3132">
        <v>0</v>
      </c>
      <c r="E3132" t="s">
        <v>24</v>
      </c>
      <c r="F3132" t="s">
        <v>24</v>
      </c>
      <c r="G3132" t="str">
        <f>"2025-07-08 15:39:48.699"</f>
        <v>2025-07-08 15:39:48.699</v>
      </c>
      <c r="H3132" t="s">
        <v>22</v>
      </c>
      <c r="I3132">
        <v>0</v>
      </c>
      <c r="J3132" t="s">
        <v>25</v>
      </c>
    </row>
    <row r="3133" spans="1:10" x14ac:dyDescent="0.25">
      <c r="A3133" s="1">
        <v>321</v>
      </c>
      <c r="B3133" t="s">
        <v>19</v>
      </c>
      <c r="C3133">
        <v>706</v>
      </c>
      <c r="D3133">
        <v>2</v>
      </c>
      <c r="E3133" t="s">
        <v>20</v>
      </c>
      <c r="F3133" t="s">
        <v>54</v>
      </c>
      <c r="G3133" t="str">
        <f>"2025-07-08 15:14:17.240"</f>
        <v>2025-07-08 15:14:17.240</v>
      </c>
      <c r="H3133" t="s">
        <v>22</v>
      </c>
      <c r="I3133">
        <v>0</v>
      </c>
      <c r="J3133" t="s">
        <v>23</v>
      </c>
    </row>
    <row r="3134" spans="1:10" x14ac:dyDescent="0.25">
      <c r="A3134" s="1">
        <v>322</v>
      </c>
      <c r="B3134" t="s">
        <v>19</v>
      </c>
      <c r="C3134">
        <v>782</v>
      </c>
      <c r="D3134">
        <v>7</v>
      </c>
      <c r="E3134" t="s">
        <v>55</v>
      </c>
      <c r="F3134" t="s">
        <v>56</v>
      </c>
      <c r="G3134" t="str">
        <f>"2025-07-08 15:14:10.991"</f>
        <v>2025-07-08 15:14:10.991</v>
      </c>
      <c r="H3134" t="s">
        <v>22</v>
      </c>
      <c r="I3134">
        <v>0</v>
      </c>
      <c r="J3134" t="s">
        <v>23</v>
      </c>
    </row>
    <row r="3135" spans="1:10" x14ac:dyDescent="0.25">
      <c r="A3135" s="1">
        <v>325</v>
      </c>
      <c r="B3135" t="s">
        <v>26</v>
      </c>
      <c r="C3135">
        <v>45</v>
      </c>
      <c r="D3135">
        <v>1</v>
      </c>
      <c r="E3135" t="s">
        <v>122</v>
      </c>
      <c r="F3135" t="s">
        <v>123</v>
      </c>
      <c r="G3135" t="str">
        <f>"2025-07-08 15:14:10.980"</f>
        <v>2025-07-08 15:14:10.980</v>
      </c>
      <c r="H3135" t="s">
        <v>41</v>
      </c>
    </row>
    <row r="3136" spans="1:10" x14ac:dyDescent="0.25">
      <c r="A3136" s="1">
        <v>326</v>
      </c>
      <c r="B3136" t="s">
        <v>19</v>
      </c>
      <c r="C3136">
        <v>782</v>
      </c>
      <c r="D3136">
        <v>7</v>
      </c>
      <c r="E3136" t="s">
        <v>55</v>
      </c>
      <c r="F3136" t="s">
        <v>56</v>
      </c>
      <c r="G3136" t="str">
        <f>"2025-07-08 15:14:10.979"</f>
        <v>2025-07-08 15:14:10.979</v>
      </c>
      <c r="H3136" t="s">
        <v>22</v>
      </c>
      <c r="I3136">
        <v>0</v>
      </c>
      <c r="J3136" t="s">
        <v>23</v>
      </c>
    </row>
    <row r="3137" spans="1:10" x14ac:dyDescent="0.25">
      <c r="A3137" s="1">
        <v>327</v>
      </c>
      <c r="B3137" t="s">
        <v>19</v>
      </c>
      <c r="C3137">
        <v>700</v>
      </c>
      <c r="D3137">
        <v>0</v>
      </c>
      <c r="E3137" t="s">
        <v>24</v>
      </c>
      <c r="F3137" t="s">
        <v>24</v>
      </c>
      <c r="G3137" t="str">
        <f>"2025-07-08 15:13:56.700"</f>
        <v>2025-07-08 15:13:56.700</v>
      </c>
      <c r="H3137" t="s">
        <v>22</v>
      </c>
      <c r="I3137">
        <v>0</v>
      </c>
      <c r="J3137" t="s">
        <v>25</v>
      </c>
    </row>
    <row r="3138" spans="1:10" x14ac:dyDescent="0.25">
      <c r="A3138" s="1">
        <v>328</v>
      </c>
      <c r="B3138" t="s">
        <v>29</v>
      </c>
      <c r="C3138">
        <v>45</v>
      </c>
      <c r="D3138">
        <v>1</v>
      </c>
      <c r="E3138" t="s">
        <v>122</v>
      </c>
      <c r="F3138" t="s">
        <v>123</v>
      </c>
      <c r="G3138" t="str">
        <f>"2025-07-08 14:29:48.172"</f>
        <v>2025-07-08 14:29:48.172</v>
      </c>
      <c r="H3138" t="s">
        <v>41</v>
      </c>
      <c r="I3138">
        <v>0</v>
      </c>
      <c r="J3138" t="s">
        <v>23</v>
      </c>
    </row>
    <row r="3139" spans="1:10" x14ac:dyDescent="0.25">
      <c r="A3139" s="1">
        <v>329</v>
      </c>
      <c r="B3139" t="s">
        <v>19</v>
      </c>
      <c r="C3139">
        <v>700</v>
      </c>
      <c r="D3139">
        <v>0</v>
      </c>
      <c r="E3139" t="s">
        <v>24</v>
      </c>
      <c r="F3139" t="s">
        <v>24</v>
      </c>
      <c r="G3139" t="str">
        <f>"2025-07-08 14:29:28.703"</f>
        <v>2025-07-08 14:29:28.703</v>
      </c>
      <c r="H3139" t="s">
        <v>22</v>
      </c>
    </row>
    <row r="3140" spans="1:10" x14ac:dyDescent="0.25">
      <c r="A3140" s="1">
        <v>332</v>
      </c>
      <c r="B3140" t="s">
        <v>19</v>
      </c>
      <c r="C3140">
        <v>782</v>
      </c>
      <c r="D3140">
        <v>7</v>
      </c>
      <c r="E3140" t="s">
        <v>55</v>
      </c>
      <c r="F3140" t="s">
        <v>56</v>
      </c>
      <c r="G3140" t="str">
        <f>"2025-07-08 14:28:11.446"</f>
        <v>2025-07-08 14:28:11.446</v>
      </c>
      <c r="H3140" t="s">
        <v>22</v>
      </c>
      <c r="I3140">
        <v>0</v>
      </c>
      <c r="J3140" t="s">
        <v>38</v>
      </c>
    </row>
    <row r="3141" spans="1:10" x14ac:dyDescent="0.25">
      <c r="A3141" s="1">
        <v>333</v>
      </c>
      <c r="B3141" t="s">
        <v>26</v>
      </c>
      <c r="C3141">
        <v>45</v>
      </c>
      <c r="D3141">
        <v>1</v>
      </c>
      <c r="E3141" t="s">
        <v>122</v>
      </c>
      <c r="F3141" t="s">
        <v>123</v>
      </c>
      <c r="G3141" t="str">
        <f>"2025-07-08 14:28:11.442"</f>
        <v>2025-07-08 14:28:11.442</v>
      </c>
      <c r="H3141" t="s">
        <v>41</v>
      </c>
    </row>
    <row r="3142" spans="1:10" x14ac:dyDescent="0.25">
      <c r="A3142" s="1">
        <v>334</v>
      </c>
      <c r="B3142" t="s">
        <v>19</v>
      </c>
      <c r="C3142">
        <v>782</v>
      </c>
      <c r="D3142">
        <v>7</v>
      </c>
      <c r="E3142" t="s">
        <v>55</v>
      </c>
      <c r="F3142" t="s">
        <v>56</v>
      </c>
      <c r="G3142" t="str">
        <f>"2025-07-08 14:28:11.441"</f>
        <v>2025-07-08 14:28:11.441</v>
      </c>
      <c r="H3142" t="s">
        <v>22</v>
      </c>
      <c r="I3142">
        <v>0</v>
      </c>
      <c r="J3142" t="s">
        <v>38</v>
      </c>
    </row>
    <row r="3143" spans="1:10" x14ac:dyDescent="0.25">
      <c r="A3143" s="1">
        <v>335</v>
      </c>
      <c r="B3143" t="s">
        <v>29</v>
      </c>
      <c r="C3143">
        <v>45</v>
      </c>
      <c r="D3143">
        <v>1</v>
      </c>
      <c r="E3143" t="s">
        <v>122</v>
      </c>
      <c r="F3143" t="s">
        <v>123</v>
      </c>
      <c r="G3143" t="str">
        <f>"2025-07-08 14:27:51.221"</f>
        <v>2025-07-08 14:27:51.221</v>
      </c>
      <c r="H3143" t="s">
        <v>41</v>
      </c>
      <c r="I3143">
        <v>0</v>
      </c>
      <c r="J3143" t="s">
        <v>23</v>
      </c>
    </row>
    <row r="3144" spans="1:10" x14ac:dyDescent="0.25">
      <c r="A3144" s="1">
        <v>336</v>
      </c>
      <c r="B3144" t="s">
        <v>19</v>
      </c>
      <c r="C3144">
        <v>700</v>
      </c>
      <c r="D3144">
        <v>0</v>
      </c>
      <c r="E3144" t="s">
        <v>24</v>
      </c>
      <c r="F3144" t="s">
        <v>24</v>
      </c>
      <c r="G3144" t="str">
        <f>"2025-07-08 14:27:31.701"</f>
        <v>2025-07-08 14:27:31.701</v>
      </c>
      <c r="H3144" t="s">
        <v>22</v>
      </c>
    </row>
    <row r="3145" spans="1:10" x14ac:dyDescent="0.25">
      <c r="A3145" s="1">
        <v>339</v>
      </c>
      <c r="B3145" t="s">
        <v>19</v>
      </c>
      <c r="C3145">
        <v>782</v>
      </c>
      <c r="D3145">
        <v>7</v>
      </c>
      <c r="E3145" t="s">
        <v>55</v>
      </c>
      <c r="F3145" t="s">
        <v>56</v>
      </c>
      <c r="G3145" t="str">
        <f>"2025-07-08 14:26:11.387"</f>
        <v>2025-07-08 14:26:11.387</v>
      </c>
      <c r="H3145" t="s">
        <v>22</v>
      </c>
      <c r="I3145">
        <v>0</v>
      </c>
      <c r="J3145" t="s">
        <v>38</v>
      </c>
    </row>
    <row r="3146" spans="1:10" x14ac:dyDescent="0.25">
      <c r="A3146" s="1">
        <v>342</v>
      </c>
      <c r="B3146" t="s">
        <v>26</v>
      </c>
      <c r="C3146">
        <v>45</v>
      </c>
      <c r="D3146">
        <v>1</v>
      </c>
      <c r="E3146" t="s">
        <v>122</v>
      </c>
      <c r="F3146" t="s">
        <v>123</v>
      </c>
      <c r="G3146" t="str">
        <f>"2025-07-08 14:26:11.376"</f>
        <v>2025-07-08 14:26:11.376</v>
      </c>
      <c r="H3146" t="s">
        <v>41</v>
      </c>
    </row>
    <row r="3147" spans="1:10" x14ac:dyDescent="0.25">
      <c r="A3147" s="1">
        <v>343</v>
      </c>
      <c r="B3147" t="s">
        <v>19</v>
      </c>
      <c r="C3147">
        <v>782</v>
      </c>
      <c r="D3147">
        <v>7</v>
      </c>
      <c r="E3147" t="s">
        <v>55</v>
      </c>
      <c r="F3147" t="s">
        <v>56</v>
      </c>
      <c r="G3147" t="str">
        <f>"2025-07-08 14:26:11.375"</f>
        <v>2025-07-08 14:26:11.375</v>
      </c>
      <c r="H3147" t="s">
        <v>22</v>
      </c>
      <c r="I3147">
        <v>0</v>
      </c>
      <c r="J3147" t="s">
        <v>38</v>
      </c>
    </row>
    <row r="3148" spans="1:10" x14ac:dyDescent="0.25">
      <c r="A3148" s="1">
        <v>344</v>
      </c>
      <c r="B3148" t="s">
        <v>29</v>
      </c>
      <c r="C3148">
        <v>45</v>
      </c>
      <c r="D3148">
        <v>1</v>
      </c>
      <c r="E3148" t="s">
        <v>122</v>
      </c>
      <c r="F3148" t="s">
        <v>123</v>
      </c>
      <c r="G3148" t="str">
        <f>"2025-07-08 14:25:39.594"</f>
        <v>2025-07-08 14:25:39.594</v>
      </c>
      <c r="H3148" t="s">
        <v>41</v>
      </c>
      <c r="I3148">
        <v>0</v>
      </c>
      <c r="J3148" t="s">
        <v>23</v>
      </c>
    </row>
    <row r="3149" spans="1:10" x14ac:dyDescent="0.25">
      <c r="A3149" s="1">
        <v>345</v>
      </c>
      <c r="B3149" t="s">
        <v>19</v>
      </c>
      <c r="C3149">
        <v>706</v>
      </c>
      <c r="D3149">
        <v>2</v>
      </c>
      <c r="E3149" t="s">
        <v>20</v>
      </c>
      <c r="F3149" t="s">
        <v>54</v>
      </c>
      <c r="G3149" t="str">
        <f>"2025-07-08 14:25:22.985"</f>
        <v>2025-07-08 14:25:22.985</v>
      </c>
      <c r="H3149" t="s">
        <v>22</v>
      </c>
      <c r="I3149">
        <v>0</v>
      </c>
      <c r="J3149" t="s">
        <v>23</v>
      </c>
    </row>
    <row r="3150" spans="1:10" x14ac:dyDescent="0.25">
      <c r="A3150" s="1">
        <v>346</v>
      </c>
      <c r="B3150" t="s">
        <v>19</v>
      </c>
      <c r="C3150">
        <v>700</v>
      </c>
      <c r="D3150">
        <v>0</v>
      </c>
      <c r="E3150" t="s">
        <v>24</v>
      </c>
      <c r="F3150" t="s">
        <v>24</v>
      </c>
      <c r="G3150" t="str">
        <f>"2025-07-08 14:24:52.695"</f>
        <v>2025-07-08 14:24:52.695</v>
      </c>
      <c r="H3150" t="s">
        <v>22</v>
      </c>
      <c r="I3150">
        <v>0</v>
      </c>
      <c r="J3150" t="s">
        <v>25</v>
      </c>
    </row>
    <row r="3151" spans="1:10" x14ac:dyDescent="0.25">
      <c r="A3151" s="1">
        <v>347</v>
      </c>
      <c r="B3151" t="s">
        <v>34</v>
      </c>
      <c r="C3151">
        <v>630</v>
      </c>
      <c r="D3151">
        <v>5</v>
      </c>
      <c r="E3151" t="s">
        <v>39</v>
      </c>
      <c r="F3151" t="s">
        <v>40</v>
      </c>
      <c r="G3151" t="str">
        <f>"2025-07-08 12:34:22.464"</f>
        <v>2025-07-08 12:34:22.464</v>
      </c>
      <c r="H3151" t="s">
        <v>41</v>
      </c>
      <c r="I3151">
        <v>0</v>
      </c>
      <c r="J3151" t="s">
        <v>23</v>
      </c>
    </row>
    <row r="3152" spans="1:10" x14ac:dyDescent="0.25">
      <c r="A3152" s="1">
        <v>350</v>
      </c>
      <c r="B3152" t="s">
        <v>19</v>
      </c>
      <c r="C3152">
        <v>782</v>
      </c>
      <c r="D3152">
        <v>7</v>
      </c>
      <c r="E3152" t="s">
        <v>55</v>
      </c>
      <c r="F3152" t="s">
        <v>56</v>
      </c>
      <c r="G3152" t="str">
        <f>"2025-07-08 12:31:19.027"</f>
        <v>2025-07-08 12:31:19.027</v>
      </c>
      <c r="H3152" t="s">
        <v>22</v>
      </c>
      <c r="I3152">
        <v>0</v>
      </c>
      <c r="J3152" t="s">
        <v>23</v>
      </c>
    </row>
    <row r="3153" spans="1:10" x14ac:dyDescent="0.25">
      <c r="A3153" s="1">
        <v>353</v>
      </c>
      <c r="B3153" t="s">
        <v>26</v>
      </c>
      <c r="C3153">
        <v>150</v>
      </c>
      <c r="D3153">
        <v>7</v>
      </c>
      <c r="E3153" t="s">
        <v>124</v>
      </c>
      <c r="F3153" t="s">
        <v>100</v>
      </c>
      <c r="G3153" t="str">
        <f>"2025-07-08 12:31:19.017"</f>
        <v>2025-07-08 12:31:19.017</v>
      </c>
      <c r="H3153" t="s">
        <v>22</v>
      </c>
    </row>
    <row r="3154" spans="1:10" x14ac:dyDescent="0.25">
      <c r="A3154" s="1">
        <v>354</v>
      </c>
      <c r="B3154" t="s">
        <v>19</v>
      </c>
      <c r="C3154">
        <v>782</v>
      </c>
      <c r="D3154">
        <v>7</v>
      </c>
      <c r="E3154" t="s">
        <v>55</v>
      </c>
      <c r="F3154" t="s">
        <v>56</v>
      </c>
      <c r="G3154" t="str">
        <f>"2025-07-08 12:31:19.016"</f>
        <v>2025-07-08 12:31:19.016</v>
      </c>
      <c r="H3154" t="s">
        <v>22</v>
      </c>
      <c r="I3154">
        <v>0</v>
      </c>
      <c r="J3154" t="s">
        <v>23</v>
      </c>
    </row>
    <row r="3155" spans="1:10" x14ac:dyDescent="0.25">
      <c r="A3155" s="1">
        <v>355</v>
      </c>
      <c r="B3155" t="s">
        <v>19</v>
      </c>
      <c r="C3155">
        <v>700</v>
      </c>
      <c r="D3155">
        <v>0</v>
      </c>
      <c r="E3155" t="s">
        <v>24</v>
      </c>
      <c r="F3155" t="s">
        <v>24</v>
      </c>
      <c r="G3155" t="str">
        <f>"2025-07-08 12:29:19.687"</f>
        <v>2025-07-08 12:29:19.687</v>
      </c>
      <c r="H3155" t="s">
        <v>22</v>
      </c>
      <c r="I3155">
        <v>0</v>
      </c>
      <c r="J3155" t="s">
        <v>25</v>
      </c>
    </row>
    <row r="3156" spans="1:10" x14ac:dyDescent="0.25">
      <c r="A3156" s="1">
        <v>356</v>
      </c>
      <c r="B3156" t="s">
        <v>19</v>
      </c>
      <c r="C3156">
        <v>700</v>
      </c>
      <c r="D3156">
        <v>0</v>
      </c>
      <c r="E3156" t="s">
        <v>24</v>
      </c>
      <c r="F3156" t="s">
        <v>24</v>
      </c>
      <c r="G3156" t="str">
        <f>"2025-07-08 12:28:06.944"</f>
        <v>2025-07-08 12:28:06.944</v>
      </c>
      <c r="H3156" t="s">
        <v>22</v>
      </c>
    </row>
    <row r="3157" spans="1:10" x14ac:dyDescent="0.25">
      <c r="A3157" s="1">
        <v>357</v>
      </c>
      <c r="B3157" t="s">
        <v>29</v>
      </c>
      <c r="C3157">
        <v>150</v>
      </c>
      <c r="D3157">
        <v>7</v>
      </c>
      <c r="E3157" t="s">
        <v>124</v>
      </c>
      <c r="F3157" t="s">
        <v>100</v>
      </c>
      <c r="G3157" t="str">
        <f>"2025-07-08 12:26:42.294"</f>
        <v>2025-07-08 12:26:42.294</v>
      </c>
      <c r="H3157" t="s">
        <v>22</v>
      </c>
      <c r="I3157">
        <v>0</v>
      </c>
      <c r="J3157" t="s">
        <v>93</v>
      </c>
    </row>
    <row r="3158" spans="1:10" x14ac:dyDescent="0.25">
      <c r="A3158" s="1">
        <v>358</v>
      </c>
      <c r="B3158" t="s">
        <v>44</v>
      </c>
      <c r="C3158">
        <v>150</v>
      </c>
      <c r="D3158">
        <v>7</v>
      </c>
      <c r="E3158" t="s">
        <v>124</v>
      </c>
      <c r="F3158" t="s">
        <v>100</v>
      </c>
      <c r="G3158" t="str">
        <f>"2025-07-08 12:26:42.030"</f>
        <v>2025-07-08 12:26:42.030</v>
      </c>
      <c r="H3158" t="s">
        <v>22</v>
      </c>
    </row>
    <row r="3159" spans="1:10" x14ac:dyDescent="0.25">
      <c r="A3159" s="1">
        <v>359</v>
      </c>
      <c r="B3159" t="s">
        <v>34</v>
      </c>
      <c r="C3159">
        <v>150</v>
      </c>
      <c r="D3159">
        <v>7</v>
      </c>
      <c r="E3159" t="s">
        <v>124</v>
      </c>
      <c r="F3159" t="s">
        <v>100</v>
      </c>
      <c r="G3159" t="str">
        <f>"2025-07-08 12:26:36.934"</f>
        <v>2025-07-08 12:26:36.934</v>
      </c>
      <c r="H3159" t="s">
        <v>22</v>
      </c>
      <c r="I3159">
        <v>0</v>
      </c>
      <c r="J3159" t="s">
        <v>93</v>
      </c>
    </row>
    <row r="3160" spans="1:10" x14ac:dyDescent="0.25">
      <c r="A3160" s="1">
        <v>362</v>
      </c>
      <c r="B3160" t="s">
        <v>19</v>
      </c>
      <c r="C3160">
        <v>782</v>
      </c>
      <c r="D3160">
        <v>7</v>
      </c>
      <c r="E3160" t="s">
        <v>55</v>
      </c>
      <c r="F3160" t="s">
        <v>56</v>
      </c>
      <c r="G3160" t="str">
        <f>"2025-07-08 12:26:36.266"</f>
        <v>2025-07-08 12:26:36.266</v>
      </c>
      <c r="H3160" t="s">
        <v>22</v>
      </c>
      <c r="I3160">
        <v>0</v>
      </c>
      <c r="J3160" t="s">
        <v>93</v>
      </c>
    </row>
    <row r="3161" spans="1:10" x14ac:dyDescent="0.25">
      <c r="A3161" s="1">
        <v>365</v>
      </c>
      <c r="B3161" t="s">
        <v>26</v>
      </c>
      <c r="C3161">
        <v>150</v>
      </c>
      <c r="D3161">
        <v>7</v>
      </c>
      <c r="E3161" t="s">
        <v>124</v>
      </c>
      <c r="F3161" t="s">
        <v>100</v>
      </c>
      <c r="G3161" t="str">
        <f>"2025-07-08 12:26:36.256"</f>
        <v>2025-07-08 12:26:36.256</v>
      </c>
      <c r="H3161" t="s">
        <v>22</v>
      </c>
    </row>
    <row r="3162" spans="1:10" x14ac:dyDescent="0.25">
      <c r="A3162" s="1">
        <v>366</v>
      </c>
      <c r="B3162" t="s">
        <v>26</v>
      </c>
      <c r="C3162">
        <v>150</v>
      </c>
      <c r="D3162">
        <v>1</v>
      </c>
      <c r="E3162" t="s">
        <v>124</v>
      </c>
      <c r="F3162" t="s">
        <v>125</v>
      </c>
      <c r="G3162" t="str">
        <f>"2025-07-08 12:26:36.252"</f>
        <v>2025-07-08 12:26:36.252</v>
      </c>
      <c r="H3162" t="s">
        <v>22</v>
      </c>
    </row>
    <row r="3163" spans="1:10" x14ac:dyDescent="0.25">
      <c r="A3163" s="1">
        <v>367</v>
      </c>
      <c r="B3163" t="s">
        <v>19</v>
      </c>
      <c r="C3163">
        <v>782</v>
      </c>
      <c r="D3163">
        <v>7</v>
      </c>
      <c r="E3163" t="s">
        <v>55</v>
      </c>
      <c r="F3163" t="s">
        <v>56</v>
      </c>
      <c r="G3163" t="str">
        <f>"2025-07-08 12:26:36.251"</f>
        <v>2025-07-08 12:26:36.251</v>
      </c>
      <c r="H3163" t="s">
        <v>22</v>
      </c>
      <c r="I3163">
        <v>0</v>
      </c>
      <c r="J3163" t="s">
        <v>93</v>
      </c>
    </row>
    <row r="3164" spans="1:10" x14ac:dyDescent="0.25">
      <c r="A3164" s="1">
        <v>368</v>
      </c>
      <c r="B3164" t="s">
        <v>44</v>
      </c>
      <c r="C3164">
        <v>148</v>
      </c>
      <c r="D3164">
        <v>2</v>
      </c>
      <c r="E3164" t="s">
        <v>126</v>
      </c>
      <c r="F3164" t="s">
        <v>127</v>
      </c>
      <c r="G3164" t="str">
        <f>"2025-07-08 12:26:03.030"</f>
        <v>2025-07-08 12:26:03.030</v>
      </c>
      <c r="H3164" t="s">
        <v>22</v>
      </c>
    </row>
    <row r="3165" spans="1:10" x14ac:dyDescent="0.25">
      <c r="A3165" s="1">
        <v>369</v>
      </c>
      <c r="B3165" t="s">
        <v>34</v>
      </c>
      <c r="C3165">
        <v>148</v>
      </c>
      <c r="D3165">
        <v>2</v>
      </c>
      <c r="E3165" t="s">
        <v>126</v>
      </c>
      <c r="F3165" t="s">
        <v>127</v>
      </c>
      <c r="G3165" t="str">
        <f>"2025-07-08 12:25:57.939"</f>
        <v>2025-07-08 12:25:57.939</v>
      </c>
      <c r="H3165" t="s">
        <v>22</v>
      </c>
      <c r="I3165">
        <v>0</v>
      </c>
      <c r="J3165" t="s">
        <v>23</v>
      </c>
    </row>
    <row r="3166" spans="1:10" x14ac:dyDescent="0.25">
      <c r="A3166" s="1">
        <v>370</v>
      </c>
      <c r="B3166" t="s">
        <v>29</v>
      </c>
      <c r="C3166">
        <v>150</v>
      </c>
      <c r="D3166">
        <v>1</v>
      </c>
      <c r="E3166" t="s">
        <v>124</v>
      </c>
      <c r="F3166" t="s">
        <v>125</v>
      </c>
      <c r="G3166" t="str">
        <f>"2025-07-08 12:25:57.934"</f>
        <v>2025-07-08 12:25:57.934</v>
      </c>
      <c r="H3166" t="s">
        <v>22</v>
      </c>
      <c r="I3166">
        <v>0</v>
      </c>
      <c r="J3166" t="s">
        <v>23</v>
      </c>
    </row>
    <row r="3167" spans="1:10" x14ac:dyDescent="0.25">
      <c r="A3167" s="1">
        <v>371</v>
      </c>
      <c r="B3167" t="s">
        <v>29</v>
      </c>
      <c r="C3167">
        <v>150</v>
      </c>
      <c r="D3167">
        <v>7</v>
      </c>
      <c r="E3167" t="s">
        <v>124</v>
      </c>
      <c r="F3167" t="s">
        <v>100</v>
      </c>
      <c r="G3167" t="str">
        <f>"2025-07-08 12:25:27.774"</f>
        <v>2025-07-08 12:25:27.774</v>
      </c>
      <c r="H3167" t="s">
        <v>22</v>
      </c>
      <c r="I3167">
        <v>0</v>
      </c>
      <c r="J3167" t="s">
        <v>93</v>
      </c>
    </row>
    <row r="3168" spans="1:10" x14ac:dyDescent="0.25">
      <c r="A3168" s="1">
        <v>372</v>
      </c>
      <c r="B3168" t="s">
        <v>44</v>
      </c>
      <c r="C3168">
        <v>150</v>
      </c>
      <c r="D3168">
        <v>7</v>
      </c>
      <c r="E3168" t="s">
        <v>124</v>
      </c>
      <c r="F3168" t="s">
        <v>100</v>
      </c>
      <c r="G3168" t="str">
        <f>"2025-07-08 12:25:26.330"</f>
        <v>2025-07-08 12:25:26.330</v>
      </c>
      <c r="H3168" t="s">
        <v>22</v>
      </c>
    </row>
    <row r="3169" spans="1:10" x14ac:dyDescent="0.25">
      <c r="A3169" s="1">
        <v>373</v>
      </c>
      <c r="B3169" t="s">
        <v>34</v>
      </c>
      <c r="C3169">
        <v>150</v>
      </c>
      <c r="D3169">
        <v>7</v>
      </c>
      <c r="E3169" t="s">
        <v>124</v>
      </c>
      <c r="F3169" t="s">
        <v>100</v>
      </c>
      <c r="G3169" t="str">
        <f>"2025-07-08 12:25:21.254"</f>
        <v>2025-07-08 12:25:21.254</v>
      </c>
      <c r="H3169" t="s">
        <v>22</v>
      </c>
      <c r="I3169">
        <v>0</v>
      </c>
      <c r="J3169" t="s">
        <v>93</v>
      </c>
    </row>
    <row r="3170" spans="1:10" x14ac:dyDescent="0.25">
      <c r="A3170" s="1">
        <v>376</v>
      </c>
      <c r="B3170" t="s">
        <v>19</v>
      </c>
      <c r="C3170">
        <v>782</v>
      </c>
      <c r="D3170">
        <v>7</v>
      </c>
      <c r="E3170" t="s">
        <v>55</v>
      </c>
      <c r="F3170" t="s">
        <v>56</v>
      </c>
      <c r="G3170" t="str">
        <f>"2025-07-08 12:25:20.666"</f>
        <v>2025-07-08 12:25:20.666</v>
      </c>
      <c r="H3170" t="s">
        <v>22</v>
      </c>
      <c r="I3170">
        <v>0</v>
      </c>
      <c r="J3170" t="s">
        <v>93</v>
      </c>
    </row>
    <row r="3171" spans="1:10" x14ac:dyDescent="0.25">
      <c r="A3171" s="1">
        <v>379</v>
      </c>
      <c r="B3171" t="s">
        <v>26</v>
      </c>
      <c r="C3171">
        <v>150</v>
      </c>
      <c r="D3171">
        <v>7</v>
      </c>
      <c r="E3171" t="s">
        <v>124</v>
      </c>
      <c r="F3171" t="s">
        <v>100</v>
      </c>
      <c r="G3171" t="str">
        <f>"2025-07-08 12:25:20.656"</f>
        <v>2025-07-08 12:25:20.656</v>
      </c>
      <c r="H3171" t="s">
        <v>22</v>
      </c>
    </row>
    <row r="3172" spans="1:10" x14ac:dyDescent="0.25">
      <c r="A3172" s="1">
        <v>380</v>
      </c>
      <c r="B3172" t="s">
        <v>26</v>
      </c>
      <c r="C3172">
        <v>148</v>
      </c>
      <c r="D3172">
        <v>7</v>
      </c>
      <c r="E3172" t="s">
        <v>126</v>
      </c>
      <c r="F3172" t="s">
        <v>102</v>
      </c>
      <c r="G3172" t="str">
        <f>"2025-07-08 12:25:20.652"</f>
        <v>2025-07-08 12:25:20.652</v>
      </c>
      <c r="H3172" t="s">
        <v>22</v>
      </c>
    </row>
    <row r="3173" spans="1:10" x14ac:dyDescent="0.25">
      <c r="A3173" s="1">
        <v>381</v>
      </c>
      <c r="B3173" t="s">
        <v>19</v>
      </c>
      <c r="C3173">
        <v>782</v>
      </c>
      <c r="D3173">
        <v>7</v>
      </c>
      <c r="E3173" t="s">
        <v>55</v>
      </c>
      <c r="F3173" t="s">
        <v>56</v>
      </c>
      <c r="G3173" t="str">
        <f>"2025-07-08 12:25:20.651"</f>
        <v>2025-07-08 12:25:20.651</v>
      </c>
      <c r="H3173" t="s">
        <v>22</v>
      </c>
      <c r="I3173">
        <v>0</v>
      </c>
      <c r="J3173" t="s">
        <v>93</v>
      </c>
    </row>
    <row r="3174" spans="1:10" x14ac:dyDescent="0.25">
      <c r="A3174" s="1">
        <v>382</v>
      </c>
      <c r="B3174" t="s">
        <v>29</v>
      </c>
      <c r="C3174">
        <v>148</v>
      </c>
      <c r="D3174">
        <v>7</v>
      </c>
      <c r="E3174" t="s">
        <v>126</v>
      </c>
      <c r="F3174" t="s">
        <v>102</v>
      </c>
      <c r="G3174" t="str">
        <f>"2025-07-08 12:24:40.634"</f>
        <v>2025-07-08 12:24:40.634</v>
      </c>
      <c r="H3174" t="s">
        <v>22</v>
      </c>
      <c r="I3174">
        <v>0</v>
      </c>
      <c r="J3174" t="s">
        <v>93</v>
      </c>
    </row>
    <row r="3175" spans="1:10" x14ac:dyDescent="0.25">
      <c r="A3175" s="1">
        <v>383</v>
      </c>
      <c r="B3175" t="s">
        <v>44</v>
      </c>
      <c r="C3175">
        <v>148</v>
      </c>
      <c r="D3175">
        <v>7</v>
      </c>
      <c r="E3175" t="s">
        <v>126</v>
      </c>
      <c r="F3175" t="s">
        <v>102</v>
      </c>
      <c r="G3175" t="str">
        <f>"2025-07-08 12:24:29.130"</f>
        <v>2025-07-08 12:24:29.130</v>
      </c>
      <c r="H3175" t="s">
        <v>22</v>
      </c>
    </row>
    <row r="3176" spans="1:10" x14ac:dyDescent="0.25">
      <c r="A3176" s="1">
        <v>384</v>
      </c>
      <c r="B3176" t="s">
        <v>34</v>
      </c>
      <c r="C3176">
        <v>148</v>
      </c>
      <c r="D3176">
        <v>7</v>
      </c>
      <c r="E3176" t="s">
        <v>126</v>
      </c>
      <c r="F3176" t="s">
        <v>102</v>
      </c>
      <c r="G3176" t="str">
        <f>"2025-07-08 12:24:24.034"</f>
        <v>2025-07-08 12:24:24.034</v>
      </c>
      <c r="H3176" t="s">
        <v>22</v>
      </c>
      <c r="I3176">
        <v>0</v>
      </c>
      <c r="J3176" t="s">
        <v>93</v>
      </c>
    </row>
    <row r="3177" spans="1:10" x14ac:dyDescent="0.25">
      <c r="A3177" s="1">
        <v>385</v>
      </c>
      <c r="B3177" t="s">
        <v>29</v>
      </c>
      <c r="C3177">
        <v>150</v>
      </c>
      <c r="D3177">
        <v>7</v>
      </c>
      <c r="E3177" t="s">
        <v>124</v>
      </c>
      <c r="F3177" t="s">
        <v>100</v>
      </c>
      <c r="G3177" t="str">
        <f>"2025-07-08 12:24:07.134"</f>
        <v>2025-07-08 12:24:07.134</v>
      </c>
      <c r="H3177" t="s">
        <v>22</v>
      </c>
      <c r="I3177">
        <v>0</v>
      </c>
      <c r="J3177" t="s">
        <v>93</v>
      </c>
    </row>
    <row r="3178" spans="1:10" x14ac:dyDescent="0.25">
      <c r="A3178" s="1">
        <v>386</v>
      </c>
      <c r="B3178" t="s">
        <v>44</v>
      </c>
      <c r="C3178">
        <v>150</v>
      </c>
      <c r="D3178">
        <v>7</v>
      </c>
      <c r="E3178" t="s">
        <v>124</v>
      </c>
      <c r="F3178" t="s">
        <v>100</v>
      </c>
      <c r="G3178" t="str">
        <f>"2025-07-08 12:24:06.530"</f>
        <v>2025-07-08 12:24:06.530</v>
      </c>
      <c r="H3178" t="s">
        <v>22</v>
      </c>
    </row>
    <row r="3179" spans="1:10" x14ac:dyDescent="0.25">
      <c r="A3179" s="1">
        <v>389</v>
      </c>
      <c r="B3179" t="s">
        <v>34</v>
      </c>
      <c r="C3179">
        <v>150</v>
      </c>
      <c r="D3179">
        <v>7</v>
      </c>
      <c r="E3179" t="s">
        <v>124</v>
      </c>
      <c r="F3179" t="s">
        <v>100</v>
      </c>
      <c r="G3179" t="str">
        <f>"2025-07-08 12:24:01.514"</f>
        <v>2025-07-08 12:24:01.514</v>
      </c>
      <c r="H3179" t="s">
        <v>22</v>
      </c>
      <c r="I3179">
        <v>0</v>
      </c>
      <c r="J3179" t="s">
        <v>93</v>
      </c>
    </row>
    <row r="3180" spans="1:10" x14ac:dyDescent="0.25">
      <c r="A3180" s="1">
        <v>390</v>
      </c>
      <c r="B3180" t="s">
        <v>19</v>
      </c>
      <c r="C3180">
        <v>782</v>
      </c>
      <c r="D3180">
        <v>7</v>
      </c>
      <c r="E3180" t="s">
        <v>55</v>
      </c>
      <c r="F3180" t="s">
        <v>56</v>
      </c>
      <c r="G3180" t="str">
        <f>"2025-07-08 12:24:00.678"</f>
        <v>2025-07-08 12:24:00.678</v>
      </c>
      <c r="H3180" t="s">
        <v>22</v>
      </c>
      <c r="I3180">
        <v>0</v>
      </c>
      <c r="J3180" t="s">
        <v>93</v>
      </c>
    </row>
    <row r="3181" spans="1:10" x14ac:dyDescent="0.25">
      <c r="A3181" s="1">
        <v>393</v>
      </c>
      <c r="B3181" t="s">
        <v>26</v>
      </c>
      <c r="C3181">
        <v>150</v>
      </c>
      <c r="D3181">
        <v>7</v>
      </c>
      <c r="E3181" t="s">
        <v>124</v>
      </c>
      <c r="F3181" t="s">
        <v>100</v>
      </c>
      <c r="G3181" t="str">
        <f>"2025-07-08 12:24:00.666"</f>
        <v>2025-07-08 12:24:00.666</v>
      </c>
      <c r="H3181" t="s">
        <v>22</v>
      </c>
    </row>
    <row r="3182" spans="1:10" x14ac:dyDescent="0.25">
      <c r="A3182" s="1">
        <v>394</v>
      </c>
      <c r="B3182" t="s">
        <v>26</v>
      </c>
      <c r="C3182">
        <v>150</v>
      </c>
      <c r="D3182">
        <v>1</v>
      </c>
      <c r="E3182" t="s">
        <v>124</v>
      </c>
      <c r="F3182" t="s">
        <v>125</v>
      </c>
      <c r="G3182" t="str">
        <f>"2025-07-08 12:24:00.663"</f>
        <v>2025-07-08 12:24:00.663</v>
      </c>
      <c r="H3182" t="s">
        <v>22</v>
      </c>
    </row>
    <row r="3183" spans="1:10" x14ac:dyDescent="0.25">
      <c r="A3183" s="1">
        <v>395</v>
      </c>
      <c r="B3183" t="s">
        <v>26</v>
      </c>
      <c r="C3183">
        <v>148</v>
      </c>
      <c r="D3183">
        <v>2</v>
      </c>
      <c r="E3183" t="s">
        <v>126</v>
      </c>
      <c r="F3183" t="s">
        <v>127</v>
      </c>
      <c r="G3183" t="str">
        <f>"2025-07-08 12:24:00.660"</f>
        <v>2025-07-08 12:24:00.660</v>
      </c>
      <c r="H3183" t="s">
        <v>22</v>
      </c>
    </row>
    <row r="3184" spans="1:10" x14ac:dyDescent="0.25">
      <c r="A3184" s="1">
        <v>396</v>
      </c>
      <c r="B3184" t="s">
        <v>26</v>
      </c>
      <c r="C3184">
        <v>45</v>
      </c>
      <c r="D3184">
        <v>2</v>
      </c>
      <c r="E3184" t="s">
        <v>122</v>
      </c>
      <c r="F3184" t="s">
        <v>128</v>
      </c>
      <c r="G3184" t="str">
        <f>"2025-07-08 12:24:00.656"</f>
        <v>2025-07-08 12:24:00.656</v>
      </c>
      <c r="H3184" t="s">
        <v>41</v>
      </c>
    </row>
    <row r="3185" spans="1:10" x14ac:dyDescent="0.25">
      <c r="A3185" s="1">
        <v>397</v>
      </c>
      <c r="B3185" t="s">
        <v>26</v>
      </c>
      <c r="C3185">
        <v>45</v>
      </c>
      <c r="D3185">
        <v>1</v>
      </c>
      <c r="E3185" t="s">
        <v>122</v>
      </c>
      <c r="F3185" t="s">
        <v>123</v>
      </c>
      <c r="G3185" t="str">
        <f>"2025-07-08 12:24:00.652"</f>
        <v>2025-07-08 12:24:00.652</v>
      </c>
      <c r="H3185" t="s">
        <v>41</v>
      </c>
    </row>
    <row r="3186" spans="1:10" x14ac:dyDescent="0.25">
      <c r="A3186" s="1">
        <v>398</v>
      </c>
      <c r="B3186" t="s">
        <v>19</v>
      </c>
      <c r="C3186">
        <v>782</v>
      </c>
      <c r="D3186">
        <v>7</v>
      </c>
      <c r="E3186" t="s">
        <v>55</v>
      </c>
      <c r="F3186" t="s">
        <v>56</v>
      </c>
      <c r="G3186" t="str">
        <f>"2025-07-08 12:24:00.651"</f>
        <v>2025-07-08 12:24:00.651</v>
      </c>
      <c r="H3186" t="s">
        <v>22</v>
      </c>
      <c r="I3186">
        <v>0</v>
      </c>
      <c r="J3186" t="s">
        <v>93</v>
      </c>
    </row>
    <row r="3187" spans="1:10" x14ac:dyDescent="0.25">
      <c r="A3187" s="1">
        <v>399</v>
      </c>
      <c r="B3187" t="s">
        <v>44</v>
      </c>
      <c r="C3187">
        <v>77</v>
      </c>
      <c r="D3187">
        <v>1</v>
      </c>
      <c r="E3187" t="s">
        <v>45</v>
      </c>
      <c r="F3187" t="s">
        <v>46</v>
      </c>
      <c r="G3187" t="str">
        <f>"2025-07-08 12:23:03.330"</f>
        <v>2025-07-08 12:23:03.330</v>
      </c>
      <c r="H3187" t="s">
        <v>47</v>
      </c>
    </row>
    <row r="3188" spans="1:10" x14ac:dyDescent="0.25">
      <c r="A3188" s="1">
        <v>400</v>
      </c>
      <c r="B3188" t="s">
        <v>34</v>
      </c>
      <c r="C3188">
        <v>77</v>
      </c>
      <c r="D3188">
        <v>1</v>
      </c>
      <c r="E3188" t="s">
        <v>45</v>
      </c>
      <c r="F3188" t="s">
        <v>46</v>
      </c>
      <c r="G3188" t="str">
        <f>"2025-07-08 12:22:58.248"</f>
        <v>2025-07-08 12:22:58.248</v>
      </c>
      <c r="H3188" t="s">
        <v>47</v>
      </c>
      <c r="I3188">
        <v>0</v>
      </c>
      <c r="J3188" t="s">
        <v>23</v>
      </c>
    </row>
    <row r="3189" spans="1:10" x14ac:dyDescent="0.25">
      <c r="A3189" s="1">
        <v>401</v>
      </c>
      <c r="B3189" t="s">
        <v>44</v>
      </c>
      <c r="C3189">
        <v>77</v>
      </c>
      <c r="D3189">
        <v>1</v>
      </c>
      <c r="E3189" t="s">
        <v>45</v>
      </c>
      <c r="F3189" t="s">
        <v>46</v>
      </c>
      <c r="G3189" t="str">
        <f>"2025-07-08 12:22:44.230"</f>
        <v>2025-07-08 12:22:44.230</v>
      </c>
      <c r="H3189" t="s">
        <v>47</v>
      </c>
    </row>
    <row r="3190" spans="1:10" x14ac:dyDescent="0.25">
      <c r="A3190" s="1">
        <v>402</v>
      </c>
      <c r="B3190" t="s">
        <v>34</v>
      </c>
      <c r="C3190">
        <v>77</v>
      </c>
      <c r="D3190">
        <v>1</v>
      </c>
      <c r="E3190" t="s">
        <v>45</v>
      </c>
      <c r="F3190" t="s">
        <v>46</v>
      </c>
      <c r="G3190" t="str">
        <f>"2025-07-08 12:22:39.149"</f>
        <v>2025-07-08 12:22:39.149</v>
      </c>
      <c r="H3190" t="s">
        <v>47</v>
      </c>
      <c r="I3190">
        <v>0</v>
      </c>
      <c r="J3190" t="s">
        <v>23</v>
      </c>
    </row>
    <row r="3191" spans="1:10" x14ac:dyDescent="0.25">
      <c r="A3191" s="1">
        <v>403</v>
      </c>
      <c r="B3191" t="s">
        <v>44</v>
      </c>
      <c r="C3191">
        <v>77</v>
      </c>
      <c r="D3191">
        <v>1</v>
      </c>
      <c r="E3191" t="s">
        <v>45</v>
      </c>
      <c r="F3191" t="s">
        <v>46</v>
      </c>
      <c r="G3191" t="str">
        <f>"2025-07-08 12:22:25.131"</f>
        <v>2025-07-08 12:22:25.131</v>
      </c>
      <c r="H3191" t="s">
        <v>47</v>
      </c>
    </row>
    <row r="3192" spans="1:10" x14ac:dyDescent="0.25">
      <c r="A3192" s="1">
        <v>404</v>
      </c>
      <c r="B3192" t="s">
        <v>34</v>
      </c>
      <c r="C3192">
        <v>77</v>
      </c>
      <c r="D3192">
        <v>1</v>
      </c>
      <c r="E3192" t="s">
        <v>45</v>
      </c>
      <c r="F3192" t="s">
        <v>46</v>
      </c>
      <c r="G3192" t="str">
        <f>"2025-07-08 12:22:20.049"</f>
        <v>2025-07-08 12:22:20.049</v>
      </c>
      <c r="H3192" t="s">
        <v>47</v>
      </c>
      <c r="I3192">
        <v>0</v>
      </c>
      <c r="J3192" t="s">
        <v>23</v>
      </c>
    </row>
    <row r="3193" spans="1:10" x14ac:dyDescent="0.25">
      <c r="A3193" s="1">
        <v>405</v>
      </c>
      <c r="B3193" t="s">
        <v>44</v>
      </c>
      <c r="C3193">
        <v>77</v>
      </c>
      <c r="D3193">
        <v>1</v>
      </c>
      <c r="E3193" t="s">
        <v>45</v>
      </c>
      <c r="F3193" t="s">
        <v>46</v>
      </c>
      <c r="G3193" t="str">
        <f>"2025-07-08 12:22:06.030"</f>
        <v>2025-07-08 12:22:06.030</v>
      </c>
      <c r="H3193" t="s">
        <v>47</v>
      </c>
    </row>
    <row r="3194" spans="1:10" x14ac:dyDescent="0.25">
      <c r="A3194" s="1">
        <v>406</v>
      </c>
      <c r="B3194" t="s">
        <v>34</v>
      </c>
      <c r="C3194">
        <v>77</v>
      </c>
      <c r="D3194">
        <v>1</v>
      </c>
      <c r="E3194" t="s">
        <v>45</v>
      </c>
      <c r="F3194" t="s">
        <v>46</v>
      </c>
      <c r="G3194" t="str">
        <f>"2025-07-08 12:22:00.949"</f>
        <v>2025-07-08 12:22:00.949</v>
      </c>
      <c r="H3194" t="s">
        <v>47</v>
      </c>
      <c r="I3194">
        <v>0</v>
      </c>
      <c r="J3194" t="s">
        <v>23</v>
      </c>
    </row>
    <row r="3195" spans="1:10" x14ac:dyDescent="0.25">
      <c r="A3195" s="1">
        <v>407</v>
      </c>
      <c r="B3195" t="s">
        <v>44</v>
      </c>
      <c r="C3195">
        <v>77</v>
      </c>
      <c r="D3195">
        <v>1</v>
      </c>
      <c r="E3195" t="s">
        <v>45</v>
      </c>
      <c r="F3195" t="s">
        <v>46</v>
      </c>
      <c r="G3195" t="str">
        <f>"2025-07-08 12:21:46.930"</f>
        <v>2025-07-08 12:21:46.930</v>
      </c>
      <c r="H3195" t="s">
        <v>47</v>
      </c>
    </row>
    <row r="3196" spans="1:10" x14ac:dyDescent="0.25">
      <c r="A3196" s="1">
        <v>408</v>
      </c>
      <c r="B3196" t="s">
        <v>34</v>
      </c>
      <c r="C3196">
        <v>77</v>
      </c>
      <c r="D3196">
        <v>1</v>
      </c>
      <c r="E3196" t="s">
        <v>45</v>
      </c>
      <c r="F3196" t="s">
        <v>46</v>
      </c>
      <c r="G3196" t="str">
        <f>"2025-07-08 12:21:41.849"</f>
        <v>2025-07-08 12:21:41.849</v>
      </c>
      <c r="H3196" t="s">
        <v>47</v>
      </c>
      <c r="I3196">
        <v>0</v>
      </c>
      <c r="J3196" t="s">
        <v>23</v>
      </c>
    </row>
    <row r="3197" spans="1:10" x14ac:dyDescent="0.25">
      <c r="A3197" s="1">
        <v>409</v>
      </c>
      <c r="B3197" t="s">
        <v>44</v>
      </c>
      <c r="C3197">
        <v>77</v>
      </c>
      <c r="D3197">
        <v>1</v>
      </c>
      <c r="E3197" t="s">
        <v>45</v>
      </c>
      <c r="F3197" t="s">
        <v>46</v>
      </c>
      <c r="G3197" t="str">
        <f>"2025-07-08 12:21:27.830"</f>
        <v>2025-07-08 12:21:27.830</v>
      </c>
      <c r="H3197" t="s">
        <v>47</v>
      </c>
    </row>
    <row r="3198" spans="1:10" x14ac:dyDescent="0.25">
      <c r="A3198" s="1">
        <v>410</v>
      </c>
      <c r="B3198" t="s">
        <v>34</v>
      </c>
      <c r="C3198">
        <v>77</v>
      </c>
      <c r="D3198">
        <v>1</v>
      </c>
      <c r="E3198" t="s">
        <v>45</v>
      </c>
      <c r="F3198" t="s">
        <v>46</v>
      </c>
      <c r="G3198" t="str">
        <f>"2025-07-08 12:21:22.749"</f>
        <v>2025-07-08 12:21:22.749</v>
      </c>
      <c r="H3198" t="s">
        <v>47</v>
      </c>
      <c r="I3198">
        <v>0</v>
      </c>
      <c r="J3198" t="s">
        <v>23</v>
      </c>
    </row>
    <row r="3199" spans="1:10" x14ac:dyDescent="0.25">
      <c r="A3199" s="1">
        <v>411</v>
      </c>
      <c r="B3199" t="s">
        <v>44</v>
      </c>
      <c r="C3199">
        <v>77</v>
      </c>
      <c r="D3199">
        <v>1</v>
      </c>
      <c r="E3199" t="s">
        <v>45</v>
      </c>
      <c r="F3199" t="s">
        <v>46</v>
      </c>
      <c r="G3199" t="str">
        <f>"2025-07-08 12:21:08.730"</f>
        <v>2025-07-08 12:21:08.730</v>
      </c>
      <c r="H3199" t="s">
        <v>47</v>
      </c>
    </row>
    <row r="3200" spans="1:10" x14ac:dyDescent="0.25">
      <c r="A3200" s="1">
        <v>412</v>
      </c>
      <c r="B3200" t="s">
        <v>34</v>
      </c>
      <c r="C3200">
        <v>77</v>
      </c>
      <c r="D3200">
        <v>1</v>
      </c>
      <c r="E3200" t="s">
        <v>45</v>
      </c>
      <c r="F3200" t="s">
        <v>46</v>
      </c>
      <c r="G3200" t="str">
        <f>"2025-07-08 12:21:03.649"</f>
        <v>2025-07-08 12:21:03.649</v>
      </c>
      <c r="H3200" t="s">
        <v>47</v>
      </c>
      <c r="I3200">
        <v>0</v>
      </c>
      <c r="J3200" t="s">
        <v>23</v>
      </c>
    </row>
    <row r="3201" spans="1:10" x14ac:dyDescent="0.25">
      <c r="A3201" s="1">
        <v>413</v>
      </c>
      <c r="B3201" t="s">
        <v>44</v>
      </c>
      <c r="C3201">
        <v>77</v>
      </c>
      <c r="D3201">
        <v>1</v>
      </c>
      <c r="E3201" t="s">
        <v>45</v>
      </c>
      <c r="F3201" t="s">
        <v>46</v>
      </c>
      <c r="G3201" t="str">
        <f>"2025-07-08 12:20:49.630"</f>
        <v>2025-07-08 12:20:49.630</v>
      </c>
      <c r="H3201" t="s">
        <v>47</v>
      </c>
    </row>
    <row r="3202" spans="1:10" x14ac:dyDescent="0.25">
      <c r="A3202" s="1">
        <v>414</v>
      </c>
      <c r="B3202" t="s">
        <v>34</v>
      </c>
      <c r="C3202">
        <v>77</v>
      </c>
      <c r="D3202">
        <v>1</v>
      </c>
      <c r="E3202" t="s">
        <v>45</v>
      </c>
      <c r="F3202" t="s">
        <v>46</v>
      </c>
      <c r="G3202" t="str">
        <f>"2025-07-08 12:20:44.549"</f>
        <v>2025-07-08 12:20:44.549</v>
      </c>
      <c r="H3202" t="s">
        <v>47</v>
      </c>
      <c r="I3202">
        <v>0</v>
      </c>
      <c r="J3202" t="s">
        <v>23</v>
      </c>
    </row>
    <row r="3203" spans="1:10" x14ac:dyDescent="0.25">
      <c r="A3203" s="1">
        <v>415</v>
      </c>
      <c r="B3203" t="s">
        <v>29</v>
      </c>
      <c r="C3203">
        <v>148</v>
      </c>
      <c r="D3203">
        <v>2</v>
      </c>
      <c r="E3203" t="s">
        <v>126</v>
      </c>
      <c r="F3203" t="s">
        <v>127</v>
      </c>
      <c r="G3203" t="str">
        <f>"2025-07-08 12:20:35.074"</f>
        <v>2025-07-08 12:20:35.074</v>
      </c>
      <c r="H3203" t="s">
        <v>22</v>
      </c>
      <c r="I3203">
        <v>0</v>
      </c>
      <c r="J3203" t="s">
        <v>23</v>
      </c>
    </row>
    <row r="3204" spans="1:10" x14ac:dyDescent="0.25">
      <c r="A3204" s="1">
        <v>416</v>
      </c>
      <c r="B3204" t="s">
        <v>44</v>
      </c>
      <c r="C3204">
        <v>77</v>
      </c>
      <c r="D3204">
        <v>1</v>
      </c>
      <c r="E3204" t="s">
        <v>45</v>
      </c>
      <c r="F3204" t="s">
        <v>46</v>
      </c>
      <c r="G3204" t="str">
        <f>"2025-07-08 12:20:30.530"</f>
        <v>2025-07-08 12:20:30.530</v>
      </c>
      <c r="H3204" t="s">
        <v>47</v>
      </c>
    </row>
    <row r="3205" spans="1:10" x14ac:dyDescent="0.25">
      <c r="A3205" s="1">
        <v>417</v>
      </c>
      <c r="B3205" t="s">
        <v>44</v>
      </c>
      <c r="C3205">
        <v>148</v>
      </c>
      <c r="D3205">
        <v>2</v>
      </c>
      <c r="E3205" t="s">
        <v>126</v>
      </c>
      <c r="F3205" t="s">
        <v>127</v>
      </c>
      <c r="G3205" t="str">
        <f>"2025-07-08 12:20:27.230"</f>
        <v>2025-07-08 12:20:27.230</v>
      </c>
      <c r="H3205" t="s">
        <v>22</v>
      </c>
    </row>
    <row r="3206" spans="1:10" x14ac:dyDescent="0.25">
      <c r="A3206" s="1">
        <v>418</v>
      </c>
      <c r="B3206" t="s">
        <v>34</v>
      </c>
      <c r="C3206">
        <v>77</v>
      </c>
      <c r="D3206">
        <v>1</v>
      </c>
      <c r="E3206" t="s">
        <v>45</v>
      </c>
      <c r="F3206" t="s">
        <v>46</v>
      </c>
      <c r="G3206" t="str">
        <f>"2025-07-08 12:20:25.469"</f>
        <v>2025-07-08 12:20:25.469</v>
      </c>
      <c r="H3206" t="s">
        <v>47</v>
      </c>
      <c r="I3206">
        <v>0</v>
      </c>
      <c r="J3206" t="s">
        <v>23</v>
      </c>
    </row>
    <row r="3207" spans="1:10" x14ac:dyDescent="0.25">
      <c r="A3207" s="1">
        <v>419</v>
      </c>
      <c r="B3207" t="s">
        <v>34</v>
      </c>
      <c r="C3207">
        <v>148</v>
      </c>
      <c r="D3207">
        <v>2</v>
      </c>
      <c r="E3207" t="s">
        <v>126</v>
      </c>
      <c r="F3207" t="s">
        <v>127</v>
      </c>
      <c r="G3207" t="str">
        <f>"2025-07-08 12:20:22.159"</f>
        <v>2025-07-08 12:20:22.159</v>
      </c>
      <c r="H3207" t="s">
        <v>22</v>
      </c>
      <c r="I3207">
        <v>0</v>
      </c>
      <c r="J3207" t="s">
        <v>23</v>
      </c>
    </row>
    <row r="3208" spans="1:10" x14ac:dyDescent="0.25">
      <c r="A3208" s="1">
        <v>420</v>
      </c>
      <c r="B3208" t="s">
        <v>29</v>
      </c>
      <c r="C3208">
        <v>150</v>
      </c>
      <c r="D3208">
        <v>1</v>
      </c>
      <c r="E3208" t="s">
        <v>124</v>
      </c>
      <c r="F3208" t="s">
        <v>125</v>
      </c>
      <c r="G3208" t="str">
        <f>"2025-07-08 12:20:22.154"</f>
        <v>2025-07-08 12:20:22.154</v>
      </c>
      <c r="H3208" t="s">
        <v>22</v>
      </c>
      <c r="I3208">
        <v>0</v>
      </c>
      <c r="J3208" t="s">
        <v>23</v>
      </c>
    </row>
    <row r="3209" spans="1:10" x14ac:dyDescent="0.25">
      <c r="A3209" s="1">
        <v>421</v>
      </c>
      <c r="B3209" t="s">
        <v>29</v>
      </c>
      <c r="C3209">
        <v>150</v>
      </c>
      <c r="D3209">
        <v>7</v>
      </c>
      <c r="E3209" t="s">
        <v>124</v>
      </c>
      <c r="F3209" t="s">
        <v>100</v>
      </c>
      <c r="G3209" t="str">
        <f>"2025-07-08 12:20:03.374"</f>
        <v>2025-07-08 12:20:03.374</v>
      </c>
      <c r="H3209" t="s">
        <v>22</v>
      </c>
      <c r="I3209">
        <v>0</v>
      </c>
      <c r="J3209" t="s">
        <v>23</v>
      </c>
    </row>
    <row r="3210" spans="1:10" x14ac:dyDescent="0.25">
      <c r="A3210" s="1">
        <v>422</v>
      </c>
      <c r="B3210" t="s">
        <v>29</v>
      </c>
      <c r="C3210">
        <v>45</v>
      </c>
      <c r="D3210">
        <v>2</v>
      </c>
      <c r="E3210" t="s">
        <v>122</v>
      </c>
      <c r="F3210" t="s">
        <v>128</v>
      </c>
      <c r="G3210" t="str">
        <f>"2025-07-08 12:20:02.116"</f>
        <v>2025-07-08 12:20:02.116</v>
      </c>
      <c r="H3210" t="s">
        <v>41</v>
      </c>
      <c r="I3210">
        <v>0</v>
      </c>
      <c r="J3210" t="s">
        <v>23</v>
      </c>
    </row>
    <row r="3211" spans="1:10" x14ac:dyDescent="0.25">
      <c r="A3211" s="1">
        <v>423</v>
      </c>
      <c r="B3211" t="s">
        <v>29</v>
      </c>
      <c r="C3211">
        <v>45</v>
      </c>
      <c r="D3211">
        <v>1</v>
      </c>
      <c r="E3211" t="s">
        <v>122</v>
      </c>
      <c r="F3211" t="s">
        <v>123</v>
      </c>
      <c r="G3211" t="str">
        <f>"2025-07-08 12:20:02.110"</f>
        <v>2025-07-08 12:20:02.110</v>
      </c>
      <c r="H3211" t="s">
        <v>41</v>
      </c>
      <c r="I3211">
        <v>0</v>
      </c>
      <c r="J3211" t="s">
        <v>23</v>
      </c>
    </row>
    <row r="3212" spans="1:10" x14ac:dyDescent="0.25">
      <c r="A3212" s="1">
        <v>424</v>
      </c>
      <c r="B3212" t="s">
        <v>44</v>
      </c>
      <c r="C3212">
        <v>150</v>
      </c>
      <c r="D3212">
        <v>7</v>
      </c>
      <c r="E3212" t="s">
        <v>124</v>
      </c>
      <c r="F3212" t="s">
        <v>100</v>
      </c>
      <c r="G3212" t="str">
        <f>"2025-07-08 12:19:51.231"</f>
        <v>2025-07-08 12:19:51.231</v>
      </c>
      <c r="H3212" t="s">
        <v>22</v>
      </c>
    </row>
    <row r="3213" spans="1:10" x14ac:dyDescent="0.25">
      <c r="A3213" s="1">
        <v>425</v>
      </c>
      <c r="B3213" t="s">
        <v>34</v>
      </c>
      <c r="C3213">
        <v>150</v>
      </c>
      <c r="D3213">
        <v>7</v>
      </c>
      <c r="E3213" t="s">
        <v>124</v>
      </c>
      <c r="F3213" t="s">
        <v>100</v>
      </c>
      <c r="G3213" t="str">
        <f>"2025-07-08 12:19:46.214"</f>
        <v>2025-07-08 12:19:46.214</v>
      </c>
      <c r="H3213" t="s">
        <v>22</v>
      </c>
      <c r="I3213">
        <v>0</v>
      </c>
      <c r="J3213" t="s">
        <v>23</v>
      </c>
    </row>
    <row r="3214" spans="1:10" x14ac:dyDescent="0.25">
      <c r="A3214" s="1">
        <v>426</v>
      </c>
      <c r="B3214" t="s">
        <v>19</v>
      </c>
      <c r="C3214">
        <v>706</v>
      </c>
      <c r="D3214">
        <v>2</v>
      </c>
      <c r="E3214" t="s">
        <v>20</v>
      </c>
      <c r="F3214" t="s">
        <v>54</v>
      </c>
      <c r="G3214" t="str">
        <f>"2025-07-08 12:19:36.539"</f>
        <v>2025-07-08 12:19:36.539</v>
      </c>
      <c r="H3214" t="s">
        <v>22</v>
      </c>
      <c r="I3214">
        <v>0</v>
      </c>
      <c r="J3214" t="s">
        <v>23</v>
      </c>
    </row>
    <row r="3215" spans="1:10" x14ac:dyDescent="0.25">
      <c r="A3215" s="1">
        <v>427</v>
      </c>
      <c r="B3215" t="s">
        <v>19</v>
      </c>
      <c r="C3215">
        <v>700</v>
      </c>
      <c r="D3215">
        <v>0</v>
      </c>
      <c r="E3215" t="s">
        <v>24</v>
      </c>
      <c r="F3215" t="s">
        <v>24</v>
      </c>
      <c r="G3215" t="str">
        <f>"2025-07-08 12:19:19.769"</f>
        <v>2025-07-08 12:19:19.769</v>
      </c>
      <c r="H3215" t="s">
        <v>22</v>
      </c>
      <c r="I3215">
        <v>0</v>
      </c>
      <c r="J3215" t="s">
        <v>25</v>
      </c>
    </row>
    <row r="3216" spans="1:10" x14ac:dyDescent="0.25">
      <c r="A3216" s="1">
        <v>428</v>
      </c>
      <c r="B3216" t="s">
        <v>19</v>
      </c>
      <c r="C3216">
        <v>700</v>
      </c>
      <c r="D3216">
        <v>0</v>
      </c>
      <c r="E3216" t="s">
        <v>24</v>
      </c>
      <c r="F3216" t="s">
        <v>24</v>
      </c>
      <c r="G3216" t="str">
        <f>"2025-07-08 11:16:44.703"</f>
        <v>2025-07-08 11:16:44.703</v>
      </c>
      <c r="H3216" t="s">
        <v>22</v>
      </c>
      <c r="I3216">
        <v>0</v>
      </c>
      <c r="J3216" t="s">
        <v>25</v>
      </c>
    </row>
    <row r="3217" spans="1:10" x14ac:dyDescent="0.25">
      <c r="A3217" s="1">
        <v>429</v>
      </c>
      <c r="B3217" t="s">
        <v>19</v>
      </c>
      <c r="C3217">
        <v>700</v>
      </c>
      <c r="D3217">
        <v>0</v>
      </c>
      <c r="E3217" t="s">
        <v>24</v>
      </c>
      <c r="F3217" t="s">
        <v>24</v>
      </c>
      <c r="G3217" t="str">
        <f>"2025-07-08 11:09:21.697"</f>
        <v>2025-07-08 11:09:21.697</v>
      </c>
      <c r="H3217" t="s">
        <v>22</v>
      </c>
      <c r="I3217">
        <v>0</v>
      </c>
      <c r="J3217" t="s">
        <v>25</v>
      </c>
    </row>
    <row r="3218" spans="1:10" x14ac:dyDescent="0.25">
      <c r="A3218" s="1">
        <v>430</v>
      </c>
      <c r="B3218" t="s">
        <v>19</v>
      </c>
      <c r="C3218">
        <v>700</v>
      </c>
      <c r="D3218">
        <v>0</v>
      </c>
      <c r="E3218" t="s">
        <v>24</v>
      </c>
      <c r="F3218" t="s">
        <v>24</v>
      </c>
      <c r="G3218" t="str">
        <f>"2025-07-08 11:07:11.760"</f>
        <v>2025-07-08 11:07:11.760</v>
      </c>
      <c r="H3218" t="s">
        <v>22</v>
      </c>
    </row>
    <row r="3219" spans="1:10" x14ac:dyDescent="0.25">
      <c r="A3219" s="1">
        <v>431</v>
      </c>
      <c r="B3219" t="s">
        <v>19</v>
      </c>
      <c r="C3219">
        <v>700</v>
      </c>
      <c r="D3219">
        <v>0</v>
      </c>
      <c r="E3219" t="s">
        <v>24</v>
      </c>
      <c r="F3219" t="s">
        <v>24</v>
      </c>
      <c r="G3219" t="str">
        <f>"2025-07-08 11:01:37.696"</f>
        <v>2025-07-08 11:01:37.696</v>
      </c>
      <c r="H3219" t="s">
        <v>22</v>
      </c>
      <c r="I3219">
        <v>0</v>
      </c>
      <c r="J3219" t="s">
        <v>25</v>
      </c>
    </row>
    <row r="3220" spans="1:10" x14ac:dyDescent="0.25">
      <c r="A3220" s="1">
        <v>432</v>
      </c>
      <c r="B3220" t="s">
        <v>34</v>
      </c>
      <c r="C3220">
        <v>630</v>
      </c>
      <c r="D3220">
        <v>5</v>
      </c>
      <c r="E3220" t="s">
        <v>39</v>
      </c>
      <c r="F3220" t="s">
        <v>40</v>
      </c>
      <c r="G3220" t="str">
        <f>"2025-07-08 10:57:06.470"</f>
        <v>2025-07-08 10:57:06.470</v>
      </c>
      <c r="H3220" t="s">
        <v>41</v>
      </c>
      <c r="I3220">
        <v>0</v>
      </c>
      <c r="J3220" t="s">
        <v>23</v>
      </c>
    </row>
    <row r="3221" spans="1:10" x14ac:dyDescent="0.25">
      <c r="A3221" s="1">
        <v>433</v>
      </c>
      <c r="B3221" t="s">
        <v>19</v>
      </c>
      <c r="C3221">
        <v>700</v>
      </c>
      <c r="D3221">
        <v>0</v>
      </c>
      <c r="E3221" t="s">
        <v>24</v>
      </c>
      <c r="F3221" t="s">
        <v>24</v>
      </c>
      <c r="G3221" t="str">
        <f>"2025-07-08 10:52:03.701"</f>
        <v>2025-07-08 10:52:03.701</v>
      </c>
      <c r="H3221" t="s">
        <v>22</v>
      </c>
      <c r="I3221">
        <v>0</v>
      </c>
      <c r="J3221" t="s">
        <v>25</v>
      </c>
    </row>
    <row r="3222" spans="1:10" x14ac:dyDescent="0.25">
      <c r="A3222" s="1">
        <v>434</v>
      </c>
      <c r="B3222" t="s">
        <v>19</v>
      </c>
      <c r="C3222">
        <v>700</v>
      </c>
      <c r="D3222">
        <v>0</v>
      </c>
      <c r="E3222" t="s">
        <v>24</v>
      </c>
      <c r="F3222" t="s">
        <v>24</v>
      </c>
      <c r="G3222" t="str">
        <f>"2025-07-08 10:48:29.697"</f>
        <v>2025-07-08 10:48:29.697</v>
      </c>
      <c r="H3222" t="s">
        <v>22</v>
      </c>
      <c r="I3222">
        <v>0</v>
      </c>
      <c r="J3222" t="s">
        <v>25</v>
      </c>
    </row>
    <row r="3223" spans="1:10" x14ac:dyDescent="0.25">
      <c r="A3223" s="1">
        <v>435</v>
      </c>
      <c r="B3223" t="s">
        <v>19</v>
      </c>
      <c r="C3223">
        <v>700</v>
      </c>
      <c r="D3223">
        <v>0</v>
      </c>
      <c r="E3223" t="s">
        <v>24</v>
      </c>
      <c r="F3223" t="s">
        <v>24</v>
      </c>
      <c r="G3223" t="str">
        <f>"2025-07-08 10:34:54.686"</f>
        <v>2025-07-08 10:34:54.686</v>
      </c>
      <c r="H3223" t="s">
        <v>22</v>
      </c>
      <c r="I3223">
        <v>0</v>
      </c>
      <c r="J3223" t="s">
        <v>25</v>
      </c>
    </row>
    <row r="3224" spans="1:10" x14ac:dyDescent="0.25">
      <c r="A3224" s="1">
        <v>436</v>
      </c>
      <c r="B3224" t="s">
        <v>19</v>
      </c>
      <c r="C3224">
        <v>700</v>
      </c>
      <c r="D3224">
        <v>0</v>
      </c>
      <c r="E3224" t="s">
        <v>24</v>
      </c>
      <c r="F3224" t="s">
        <v>24</v>
      </c>
      <c r="G3224" t="str">
        <f>"2025-07-08 10:29:50.700"</f>
        <v>2025-07-08 10:29:50.700</v>
      </c>
      <c r="H3224" t="s">
        <v>22</v>
      </c>
      <c r="I3224">
        <v>0</v>
      </c>
      <c r="J3224" t="s">
        <v>25</v>
      </c>
    </row>
    <row r="3225" spans="1:10" x14ac:dyDescent="0.25">
      <c r="A3225" s="1">
        <v>437</v>
      </c>
      <c r="B3225" t="s">
        <v>19</v>
      </c>
      <c r="C3225">
        <v>700</v>
      </c>
      <c r="D3225">
        <v>0</v>
      </c>
      <c r="E3225" t="s">
        <v>24</v>
      </c>
      <c r="F3225" t="s">
        <v>24</v>
      </c>
      <c r="G3225" t="str">
        <f>"2025-07-08 10:23:04.706"</f>
        <v>2025-07-08 10:23:04.706</v>
      </c>
      <c r="H3225" t="s">
        <v>22</v>
      </c>
      <c r="I3225">
        <v>0</v>
      </c>
      <c r="J3225" t="s">
        <v>25</v>
      </c>
    </row>
    <row r="3226" spans="1:10" x14ac:dyDescent="0.25">
      <c r="A3226" s="1">
        <v>438</v>
      </c>
      <c r="B3226" t="s">
        <v>19</v>
      </c>
      <c r="C3226">
        <v>700</v>
      </c>
      <c r="D3226">
        <v>0</v>
      </c>
      <c r="E3226" t="s">
        <v>24</v>
      </c>
      <c r="F3226" t="s">
        <v>24</v>
      </c>
      <c r="G3226" t="str">
        <f>"2025-07-08 09:30:27.693"</f>
        <v>2025-07-08 09:30:27.693</v>
      </c>
      <c r="H3226" t="s">
        <v>22</v>
      </c>
      <c r="I3226">
        <v>0</v>
      </c>
      <c r="J3226" t="s">
        <v>25</v>
      </c>
    </row>
    <row r="3227" spans="1:10" x14ac:dyDescent="0.25">
      <c r="A3227" s="1">
        <v>439</v>
      </c>
      <c r="B3227" t="s">
        <v>19</v>
      </c>
      <c r="C3227">
        <v>700</v>
      </c>
      <c r="D3227">
        <v>0</v>
      </c>
      <c r="E3227" t="s">
        <v>24</v>
      </c>
      <c r="F3227" t="s">
        <v>24</v>
      </c>
      <c r="G3227" t="str">
        <f>"2025-07-08 09:28:44.680"</f>
        <v>2025-07-08 09:28:44.680</v>
      </c>
      <c r="H3227" t="s">
        <v>22</v>
      </c>
    </row>
    <row r="3228" spans="1:10" x14ac:dyDescent="0.25">
      <c r="A3228" s="1">
        <v>440</v>
      </c>
      <c r="B3228" t="s">
        <v>19</v>
      </c>
      <c r="C3228">
        <v>706</v>
      </c>
      <c r="D3228">
        <v>3</v>
      </c>
      <c r="E3228" t="s">
        <v>20</v>
      </c>
      <c r="F3228" t="s">
        <v>48</v>
      </c>
      <c r="G3228" t="str">
        <f>"2025-07-08 09:25:07.981"</f>
        <v>2025-07-08 09:25:07.981</v>
      </c>
      <c r="H3228" t="s">
        <v>22</v>
      </c>
      <c r="I3228">
        <v>0</v>
      </c>
      <c r="J3228" t="s">
        <v>23</v>
      </c>
    </row>
    <row r="3229" spans="1:10" x14ac:dyDescent="0.25">
      <c r="A3229" s="1">
        <v>441</v>
      </c>
      <c r="B3229" t="s">
        <v>19</v>
      </c>
      <c r="C3229">
        <v>700</v>
      </c>
      <c r="D3229">
        <v>0</v>
      </c>
      <c r="E3229" t="s">
        <v>24</v>
      </c>
      <c r="F3229" t="s">
        <v>24</v>
      </c>
      <c r="G3229" t="str">
        <f>"2025-07-08 09:22:44.691"</f>
        <v>2025-07-08 09:22:44.691</v>
      </c>
      <c r="H3229" t="s">
        <v>22</v>
      </c>
      <c r="I3229">
        <v>0</v>
      </c>
      <c r="J3229" t="s">
        <v>25</v>
      </c>
    </row>
    <row r="3230" spans="1:10" x14ac:dyDescent="0.25">
      <c r="A3230" s="1">
        <v>442</v>
      </c>
      <c r="B3230" t="s">
        <v>19</v>
      </c>
      <c r="C3230">
        <v>700</v>
      </c>
      <c r="D3230">
        <v>0</v>
      </c>
      <c r="E3230" t="s">
        <v>24</v>
      </c>
      <c r="F3230" t="s">
        <v>24</v>
      </c>
      <c r="G3230" t="str">
        <f>"2025-07-08 09:21:21.699"</f>
        <v>2025-07-08 09:21:21.699</v>
      </c>
      <c r="H3230" t="s">
        <v>22</v>
      </c>
      <c r="I3230">
        <v>0</v>
      </c>
      <c r="J3230" t="s">
        <v>25</v>
      </c>
    </row>
    <row r="3231" spans="1:10" x14ac:dyDescent="0.25">
      <c r="A3231" s="1">
        <v>443</v>
      </c>
      <c r="B3231" t="s">
        <v>19</v>
      </c>
      <c r="C3231">
        <v>700</v>
      </c>
      <c r="D3231">
        <v>0</v>
      </c>
      <c r="E3231" t="s">
        <v>24</v>
      </c>
      <c r="F3231" t="s">
        <v>24</v>
      </c>
      <c r="G3231" t="str">
        <f>"2025-07-08 09:17:33.697"</f>
        <v>2025-07-08 09:17:33.697</v>
      </c>
      <c r="H3231" t="s">
        <v>22</v>
      </c>
      <c r="I3231">
        <v>0</v>
      </c>
      <c r="J3231" t="s">
        <v>25</v>
      </c>
    </row>
    <row r="3232" spans="1:10" x14ac:dyDescent="0.25">
      <c r="A3232" s="1">
        <v>444</v>
      </c>
      <c r="B3232" t="s">
        <v>26</v>
      </c>
      <c r="C3232">
        <v>54</v>
      </c>
      <c r="D3232">
        <v>1</v>
      </c>
      <c r="E3232" t="s">
        <v>87</v>
      </c>
      <c r="F3232" t="s">
        <v>88</v>
      </c>
      <c r="G3232" t="str">
        <f>"2025-07-08 09:10:00.091"</f>
        <v>2025-07-08 09:10:00.091</v>
      </c>
      <c r="H3232" t="s">
        <v>22</v>
      </c>
    </row>
    <row r="3233" spans="1:10" x14ac:dyDescent="0.25">
      <c r="A3233" s="1">
        <v>445</v>
      </c>
      <c r="B3233" t="s">
        <v>19</v>
      </c>
      <c r="C3233">
        <v>700</v>
      </c>
      <c r="D3233">
        <v>0</v>
      </c>
      <c r="E3233" t="s">
        <v>24</v>
      </c>
      <c r="F3233" t="s">
        <v>24</v>
      </c>
      <c r="G3233" t="str">
        <f>"2025-07-08 09:09:46.711"</f>
        <v>2025-07-08 09:09:46.711</v>
      </c>
      <c r="H3233" t="s">
        <v>22</v>
      </c>
    </row>
    <row r="3234" spans="1:10" x14ac:dyDescent="0.25">
      <c r="A3234" s="1">
        <v>446</v>
      </c>
      <c r="B3234" t="s">
        <v>26</v>
      </c>
      <c r="C3234">
        <v>61</v>
      </c>
      <c r="D3234">
        <v>2</v>
      </c>
      <c r="E3234" t="s">
        <v>81</v>
      </c>
      <c r="F3234" t="s">
        <v>82</v>
      </c>
      <c r="G3234" t="str">
        <f>"2025-07-08 06:53:18.176"</f>
        <v>2025-07-08 06:53:18.176</v>
      </c>
      <c r="H3234" t="s">
        <v>22</v>
      </c>
    </row>
    <row r="3235" spans="1:10" x14ac:dyDescent="0.25">
      <c r="A3235" s="1">
        <v>447</v>
      </c>
      <c r="B3235" t="s">
        <v>34</v>
      </c>
      <c r="C3235">
        <v>61</v>
      </c>
      <c r="D3235">
        <v>2</v>
      </c>
      <c r="E3235" t="s">
        <v>81</v>
      </c>
      <c r="F3235" t="s">
        <v>82</v>
      </c>
      <c r="G3235" t="str">
        <f>"2025-07-08 06:53:11.176"</f>
        <v>2025-07-08 06:53:11.176</v>
      </c>
      <c r="H3235" t="s">
        <v>22</v>
      </c>
      <c r="I3235">
        <v>35.68</v>
      </c>
      <c r="J3235" t="s">
        <v>37</v>
      </c>
    </row>
    <row r="3236" spans="1:10" x14ac:dyDescent="0.25">
      <c r="A3236" s="1">
        <v>448</v>
      </c>
      <c r="B3236" t="s">
        <v>26</v>
      </c>
      <c r="C3236">
        <v>619</v>
      </c>
      <c r="D3236">
        <v>1</v>
      </c>
      <c r="E3236" t="s">
        <v>79</v>
      </c>
      <c r="F3236" t="s">
        <v>28</v>
      </c>
      <c r="G3236" t="str">
        <f>"2025-07-08 01:25:40.923"</f>
        <v>2025-07-08 01:25:40.923</v>
      </c>
      <c r="H3236" t="s">
        <v>80</v>
      </c>
    </row>
    <row r="3237" spans="1:10" x14ac:dyDescent="0.25">
      <c r="A3237" s="1">
        <v>449</v>
      </c>
      <c r="B3237" t="s">
        <v>29</v>
      </c>
      <c r="C3237">
        <v>619</v>
      </c>
      <c r="D3237">
        <v>1</v>
      </c>
      <c r="E3237" t="s">
        <v>79</v>
      </c>
      <c r="F3237" t="s">
        <v>28</v>
      </c>
      <c r="G3237" t="str">
        <f>"2025-07-08 01:25:25.976"</f>
        <v>2025-07-08 01:25:25.976</v>
      </c>
      <c r="H3237" t="s">
        <v>80</v>
      </c>
      <c r="I3237">
        <v>0</v>
      </c>
      <c r="J3237" t="s">
        <v>38</v>
      </c>
    </row>
    <row r="3238" spans="1:10" x14ac:dyDescent="0.25">
      <c r="A3238" s="1">
        <v>450</v>
      </c>
      <c r="B3238" t="s">
        <v>29</v>
      </c>
      <c r="C3238">
        <v>54</v>
      </c>
      <c r="D3238">
        <v>1</v>
      </c>
      <c r="E3238" t="s">
        <v>87</v>
      </c>
      <c r="F3238" t="s">
        <v>88</v>
      </c>
      <c r="G3238" t="str">
        <f>"2025-07-07 09:34:29.276"</f>
        <v>2025-07-07 09:34:29.276</v>
      </c>
      <c r="H3238" t="s">
        <v>22</v>
      </c>
      <c r="I3238">
        <v>6.32</v>
      </c>
      <c r="J3238" t="s">
        <v>30</v>
      </c>
    </row>
    <row r="3239" spans="1:10" x14ac:dyDescent="0.25">
      <c r="A3239" s="1">
        <v>451</v>
      </c>
      <c r="B3239" t="s">
        <v>19</v>
      </c>
      <c r="C3239">
        <v>700</v>
      </c>
      <c r="D3239">
        <v>0</v>
      </c>
      <c r="E3239" t="s">
        <v>24</v>
      </c>
      <c r="F3239" t="s">
        <v>24</v>
      </c>
      <c r="G3239" t="str">
        <f>"2025-07-06 23:13:19.685"</f>
        <v>2025-07-06 23:13:19.685</v>
      </c>
      <c r="H3239" t="s">
        <v>22</v>
      </c>
    </row>
    <row r="3240" spans="1:10" x14ac:dyDescent="0.25">
      <c r="A3240" s="1">
        <v>452</v>
      </c>
      <c r="B3240" t="s">
        <v>19</v>
      </c>
      <c r="C3240">
        <v>700</v>
      </c>
      <c r="D3240">
        <v>0</v>
      </c>
      <c r="E3240" t="s">
        <v>24</v>
      </c>
      <c r="F3240" t="s">
        <v>24</v>
      </c>
      <c r="G3240" t="str">
        <f>"2025-07-06 23:04:28.697"</f>
        <v>2025-07-06 23:04:28.697</v>
      </c>
      <c r="H3240" t="s">
        <v>22</v>
      </c>
      <c r="I3240">
        <v>0</v>
      </c>
      <c r="J3240" t="s">
        <v>25</v>
      </c>
    </row>
    <row r="3241" spans="1:10" x14ac:dyDescent="0.25">
      <c r="A3241" s="1">
        <v>455</v>
      </c>
      <c r="B3241" t="s">
        <v>19</v>
      </c>
      <c r="C3241">
        <v>706</v>
      </c>
      <c r="D3241">
        <v>2</v>
      </c>
      <c r="E3241" t="s">
        <v>20</v>
      </c>
      <c r="F3241" t="s">
        <v>54</v>
      </c>
      <c r="G3241" t="str">
        <f>"2025-07-06 23:01:15.391"</f>
        <v>2025-07-06 23:01:15.391</v>
      </c>
      <c r="H3241" t="s">
        <v>22</v>
      </c>
      <c r="I3241">
        <v>0</v>
      </c>
      <c r="J3241" t="s">
        <v>93</v>
      </c>
    </row>
    <row r="3242" spans="1:10" x14ac:dyDescent="0.25">
      <c r="A3242" s="1">
        <v>456</v>
      </c>
      <c r="B3242" t="s">
        <v>19</v>
      </c>
      <c r="C3242">
        <v>782</v>
      </c>
      <c r="D3242">
        <v>7</v>
      </c>
      <c r="E3242" t="s">
        <v>55</v>
      </c>
      <c r="F3242" t="s">
        <v>56</v>
      </c>
      <c r="G3242" t="str">
        <f>"2025-07-06 23:01:06.231"</f>
        <v>2025-07-06 23:01:06.231</v>
      </c>
      <c r="H3242" t="s">
        <v>22</v>
      </c>
      <c r="I3242">
        <v>0</v>
      </c>
      <c r="J3242" t="s">
        <v>93</v>
      </c>
    </row>
    <row r="3243" spans="1:10" x14ac:dyDescent="0.25">
      <c r="A3243" s="1">
        <v>459</v>
      </c>
      <c r="B3243" t="s">
        <v>26</v>
      </c>
      <c r="C3243">
        <v>128</v>
      </c>
      <c r="D3243">
        <v>5</v>
      </c>
      <c r="E3243" t="s">
        <v>89</v>
      </c>
      <c r="F3243" t="s">
        <v>129</v>
      </c>
      <c r="G3243" t="str">
        <f>"2025-07-06 23:01:06.221"</f>
        <v>2025-07-06 23:01:06.221</v>
      </c>
      <c r="H3243" t="s">
        <v>61</v>
      </c>
    </row>
    <row r="3244" spans="1:10" x14ac:dyDescent="0.25">
      <c r="A3244" s="1">
        <v>460</v>
      </c>
      <c r="B3244" t="s">
        <v>19</v>
      </c>
      <c r="C3244">
        <v>782</v>
      </c>
      <c r="D3244">
        <v>7</v>
      </c>
      <c r="E3244" t="s">
        <v>55</v>
      </c>
      <c r="F3244" t="s">
        <v>56</v>
      </c>
      <c r="G3244" t="str">
        <f>"2025-07-06 23:01:06.220"</f>
        <v>2025-07-06 23:01:06.220</v>
      </c>
      <c r="H3244" t="s">
        <v>22</v>
      </c>
      <c r="I3244">
        <v>0</v>
      </c>
      <c r="J3244" t="s">
        <v>93</v>
      </c>
    </row>
    <row r="3245" spans="1:10" x14ac:dyDescent="0.25">
      <c r="A3245" s="1">
        <v>461</v>
      </c>
      <c r="B3245" t="s">
        <v>19</v>
      </c>
      <c r="C3245">
        <v>700</v>
      </c>
      <c r="D3245">
        <v>0</v>
      </c>
      <c r="E3245" t="s">
        <v>24</v>
      </c>
      <c r="F3245" t="s">
        <v>24</v>
      </c>
      <c r="G3245" t="str">
        <f>"2025-07-06 23:00:44.711"</f>
        <v>2025-07-06 23:00:44.711</v>
      </c>
      <c r="H3245" t="s">
        <v>22</v>
      </c>
      <c r="I3245">
        <v>0</v>
      </c>
      <c r="J3245" t="s">
        <v>25</v>
      </c>
    </row>
    <row r="3246" spans="1:10" x14ac:dyDescent="0.25">
      <c r="A3246" s="1">
        <v>462</v>
      </c>
      <c r="B3246" t="s">
        <v>44</v>
      </c>
      <c r="C3246">
        <v>77</v>
      </c>
      <c r="D3246">
        <v>1</v>
      </c>
      <c r="E3246" t="s">
        <v>45</v>
      </c>
      <c r="F3246" t="s">
        <v>46</v>
      </c>
      <c r="G3246" t="str">
        <f>"2025-07-06 22:17:42.033"</f>
        <v>2025-07-06 22:17:42.033</v>
      </c>
      <c r="H3246" t="s">
        <v>47</v>
      </c>
    </row>
    <row r="3247" spans="1:10" x14ac:dyDescent="0.25">
      <c r="A3247" s="1">
        <v>463</v>
      </c>
      <c r="B3247" t="s">
        <v>29</v>
      </c>
      <c r="C3247">
        <v>128</v>
      </c>
      <c r="D3247">
        <v>5</v>
      </c>
      <c r="E3247" t="s">
        <v>89</v>
      </c>
      <c r="F3247" t="s">
        <v>129</v>
      </c>
      <c r="G3247" t="str">
        <f>"2025-07-06 22:17:37.159"</f>
        <v>2025-07-06 22:17:37.159</v>
      </c>
      <c r="H3247" t="s">
        <v>61</v>
      </c>
      <c r="I3247">
        <v>0</v>
      </c>
      <c r="J3247" t="s">
        <v>23</v>
      </c>
    </row>
    <row r="3248" spans="1:10" x14ac:dyDescent="0.25">
      <c r="A3248" s="1">
        <v>464</v>
      </c>
      <c r="B3248" t="s">
        <v>34</v>
      </c>
      <c r="C3248">
        <v>77</v>
      </c>
      <c r="D3248">
        <v>1</v>
      </c>
      <c r="E3248" t="s">
        <v>45</v>
      </c>
      <c r="F3248" t="s">
        <v>46</v>
      </c>
      <c r="G3248" t="str">
        <f>"2025-07-06 22:17:37.003"</f>
        <v>2025-07-06 22:17:37.003</v>
      </c>
      <c r="H3248" t="s">
        <v>47</v>
      </c>
      <c r="I3248">
        <v>0</v>
      </c>
      <c r="J3248" t="s">
        <v>23</v>
      </c>
    </row>
    <row r="3249" spans="1:10" x14ac:dyDescent="0.25">
      <c r="A3249" s="1">
        <v>465</v>
      </c>
      <c r="B3249" t="s">
        <v>44</v>
      </c>
      <c r="C3249">
        <v>128</v>
      </c>
      <c r="D3249">
        <v>5</v>
      </c>
      <c r="E3249" t="s">
        <v>89</v>
      </c>
      <c r="F3249" t="s">
        <v>129</v>
      </c>
      <c r="G3249" t="str">
        <f>"2025-07-06 22:17:32.633"</f>
        <v>2025-07-06 22:17:32.633</v>
      </c>
      <c r="H3249" t="s">
        <v>61</v>
      </c>
    </row>
    <row r="3250" spans="1:10" x14ac:dyDescent="0.25">
      <c r="A3250" s="1">
        <v>466</v>
      </c>
      <c r="B3250" t="s">
        <v>44</v>
      </c>
      <c r="C3250">
        <v>77</v>
      </c>
      <c r="D3250">
        <v>1</v>
      </c>
      <c r="E3250" t="s">
        <v>45</v>
      </c>
      <c r="F3250" t="s">
        <v>46</v>
      </c>
      <c r="G3250" t="str">
        <f>"2025-07-06 22:17:32.533"</f>
        <v>2025-07-06 22:17:32.533</v>
      </c>
      <c r="H3250" t="s">
        <v>47</v>
      </c>
    </row>
    <row r="3251" spans="1:10" x14ac:dyDescent="0.25">
      <c r="A3251" s="1">
        <v>467</v>
      </c>
      <c r="B3251" t="s">
        <v>44</v>
      </c>
      <c r="C3251">
        <v>229</v>
      </c>
      <c r="D3251">
        <v>6</v>
      </c>
      <c r="E3251" t="s">
        <v>130</v>
      </c>
      <c r="F3251" t="s">
        <v>120</v>
      </c>
      <c r="G3251" t="str">
        <f>"2025-07-06 22:17:31.033"</f>
        <v>2025-07-06 22:17:31.033</v>
      </c>
      <c r="H3251" t="s">
        <v>22</v>
      </c>
    </row>
    <row r="3252" spans="1:10" x14ac:dyDescent="0.25">
      <c r="A3252" s="1">
        <v>468</v>
      </c>
      <c r="B3252" t="s">
        <v>34</v>
      </c>
      <c r="C3252">
        <v>128</v>
      </c>
      <c r="D3252">
        <v>5</v>
      </c>
      <c r="E3252" t="s">
        <v>89</v>
      </c>
      <c r="F3252" t="s">
        <v>129</v>
      </c>
      <c r="G3252" t="str">
        <f>"2025-07-06 22:17:27.559"</f>
        <v>2025-07-06 22:17:27.559</v>
      </c>
      <c r="H3252" t="s">
        <v>61</v>
      </c>
      <c r="I3252">
        <v>0</v>
      </c>
      <c r="J3252" t="s">
        <v>23</v>
      </c>
    </row>
    <row r="3253" spans="1:10" x14ac:dyDescent="0.25">
      <c r="A3253" s="1">
        <v>469</v>
      </c>
      <c r="B3253" t="s">
        <v>34</v>
      </c>
      <c r="C3253">
        <v>77</v>
      </c>
      <c r="D3253">
        <v>1</v>
      </c>
      <c r="E3253" t="s">
        <v>45</v>
      </c>
      <c r="F3253" t="s">
        <v>46</v>
      </c>
      <c r="G3253" t="str">
        <f>"2025-07-06 22:17:27.483"</f>
        <v>2025-07-06 22:17:27.483</v>
      </c>
      <c r="H3253" t="s">
        <v>47</v>
      </c>
      <c r="I3253">
        <v>0</v>
      </c>
      <c r="J3253" t="s">
        <v>23</v>
      </c>
    </row>
    <row r="3254" spans="1:10" x14ac:dyDescent="0.25">
      <c r="A3254" s="1">
        <v>470</v>
      </c>
      <c r="B3254" t="s">
        <v>34</v>
      </c>
      <c r="C3254">
        <v>229</v>
      </c>
      <c r="D3254">
        <v>6</v>
      </c>
      <c r="E3254" t="s">
        <v>130</v>
      </c>
      <c r="F3254" t="s">
        <v>120</v>
      </c>
      <c r="G3254" t="str">
        <f>"2025-07-06 22:17:25.959"</f>
        <v>2025-07-06 22:17:25.959</v>
      </c>
      <c r="H3254" t="s">
        <v>22</v>
      </c>
      <c r="I3254">
        <v>0</v>
      </c>
      <c r="J3254" t="s">
        <v>23</v>
      </c>
    </row>
    <row r="3255" spans="1:10" x14ac:dyDescent="0.25">
      <c r="A3255" s="1">
        <v>471</v>
      </c>
      <c r="B3255" t="s">
        <v>44</v>
      </c>
      <c r="C3255">
        <v>128</v>
      </c>
      <c r="D3255">
        <v>5</v>
      </c>
      <c r="E3255" t="s">
        <v>89</v>
      </c>
      <c r="F3255" t="s">
        <v>129</v>
      </c>
      <c r="G3255" t="str">
        <f>"2025-07-06 22:17:23.433"</f>
        <v>2025-07-06 22:17:23.433</v>
      </c>
      <c r="H3255" t="s">
        <v>61</v>
      </c>
    </row>
    <row r="3256" spans="1:10" x14ac:dyDescent="0.25">
      <c r="A3256" s="1">
        <v>472</v>
      </c>
      <c r="B3256" t="s">
        <v>44</v>
      </c>
      <c r="C3256">
        <v>77</v>
      </c>
      <c r="D3256">
        <v>1</v>
      </c>
      <c r="E3256" t="s">
        <v>45</v>
      </c>
      <c r="F3256" t="s">
        <v>46</v>
      </c>
      <c r="G3256" t="str">
        <f>"2025-07-06 22:17:23.033"</f>
        <v>2025-07-06 22:17:23.033</v>
      </c>
      <c r="H3256" t="s">
        <v>47</v>
      </c>
    </row>
    <row r="3257" spans="1:10" x14ac:dyDescent="0.25">
      <c r="A3257" s="1">
        <v>473</v>
      </c>
      <c r="B3257" t="s">
        <v>34</v>
      </c>
      <c r="C3257">
        <v>128</v>
      </c>
      <c r="D3257">
        <v>5</v>
      </c>
      <c r="E3257" t="s">
        <v>89</v>
      </c>
      <c r="F3257" t="s">
        <v>129</v>
      </c>
      <c r="G3257" t="str">
        <f>"2025-07-06 22:17:18.419"</f>
        <v>2025-07-06 22:17:18.419</v>
      </c>
      <c r="H3257" t="s">
        <v>61</v>
      </c>
      <c r="I3257">
        <v>0</v>
      </c>
      <c r="J3257" t="s">
        <v>23</v>
      </c>
    </row>
    <row r="3258" spans="1:10" x14ac:dyDescent="0.25">
      <c r="A3258" s="1">
        <v>474</v>
      </c>
      <c r="B3258" t="s">
        <v>34</v>
      </c>
      <c r="C3258">
        <v>77</v>
      </c>
      <c r="D3258">
        <v>1</v>
      </c>
      <c r="E3258" t="s">
        <v>45</v>
      </c>
      <c r="F3258" t="s">
        <v>46</v>
      </c>
      <c r="G3258" t="str">
        <f>"2025-07-06 22:17:17.983"</f>
        <v>2025-07-06 22:17:17.983</v>
      </c>
      <c r="H3258" t="s">
        <v>47</v>
      </c>
      <c r="I3258">
        <v>0</v>
      </c>
      <c r="J3258" t="s">
        <v>23</v>
      </c>
    </row>
    <row r="3259" spans="1:10" x14ac:dyDescent="0.25">
      <c r="A3259" s="1">
        <v>475</v>
      </c>
      <c r="B3259" t="s">
        <v>44</v>
      </c>
      <c r="C3259">
        <v>128</v>
      </c>
      <c r="D3259">
        <v>5</v>
      </c>
      <c r="E3259" t="s">
        <v>89</v>
      </c>
      <c r="F3259" t="s">
        <v>129</v>
      </c>
      <c r="G3259" t="str">
        <f>"2025-07-06 22:17:13.633"</f>
        <v>2025-07-06 22:17:13.633</v>
      </c>
      <c r="H3259" t="s">
        <v>61</v>
      </c>
    </row>
    <row r="3260" spans="1:10" x14ac:dyDescent="0.25">
      <c r="A3260" s="1">
        <v>476</v>
      </c>
      <c r="B3260" t="s">
        <v>44</v>
      </c>
      <c r="C3260">
        <v>77</v>
      </c>
      <c r="D3260">
        <v>1</v>
      </c>
      <c r="E3260" t="s">
        <v>45</v>
      </c>
      <c r="F3260" t="s">
        <v>46</v>
      </c>
      <c r="G3260" t="str">
        <f>"2025-07-06 22:17:13.533"</f>
        <v>2025-07-06 22:17:13.533</v>
      </c>
      <c r="H3260" t="s">
        <v>47</v>
      </c>
    </row>
    <row r="3261" spans="1:10" x14ac:dyDescent="0.25">
      <c r="A3261" s="1">
        <v>477</v>
      </c>
      <c r="B3261" t="s">
        <v>34</v>
      </c>
      <c r="C3261">
        <v>128</v>
      </c>
      <c r="D3261">
        <v>5</v>
      </c>
      <c r="E3261" t="s">
        <v>89</v>
      </c>
      <c r="F3261" t="s">
        <v>129</v>
      </c>
      <c r="G3261" t="str">
        <f>"2025-07-06 22:17:08.519"</f>
        <v>2025-07-06 22:17:08.519</v>
      </c>
      <c r="H3261" t="s">
        <v>61</v>
      </c>
      <c r="I3261">
        <v>0</v>
      </c>
      <c r="J3261" t="s">
        <v>23</v>
      </c>
    </row>
    <row r="3262" spans="1:10" x14ac:dyDescent="0.25">
      <c r="A3262" s="1">
        <v>478</v>
      </c>
      <c r="B3262" t="s">
        <v>34</v>
      </c>
      <c r="C3262">
        <v>77</v>
      </c>
      <c r="D3262">
        <v>1</v>
      </c>
      <c r="E3262" t="s">
        <v>45</v>
      </c>
      <c r="F3262" t="s">
        <v>46</v>
      </c>
      <c r="G3262" t="str">
        <f>"2025-07-06 22:17:08.443"</f>
        <v>2025-07-06 22:17:08.443</v>
      </c>
      <c r="H3262" t="s">
        <v>47</v>
      </c>
      <c r="I3262">
        <v>0</v>
      </c>
      <c r="J3262" t="s">
        <v>23</v>
      </c>
    </row>
    <row r="3263" spans="1:10" x14ac:dyDescent="0.25">
      <c r="A3263" s="1">
        <v>481</v>
      </c>
      <c r="B3263" t="s">
        <v>19</v>
      </c>
      <c r="C3263">
        <v>782</v>
      </c>
      <c r="D3263">
        <v>7</v>
      </c>
      <c r="E3263" t="s">
        <v>55</v>
      </c>
      <c r="F3263" t="s">
        <v>56</v>
      </c>
      <c r="G3263" t="str">
        <f>"2025-07-06 22:17:02.205"</f>
        <v>2025-07-06 22:17:02.205</v>
      </c>
      <c r="H3263" t="s">
        <v>22</v>
      </c>
      <c r="I3263">
        <v>0</v>
      </c>
      <c r="J3263" t="s">
        <v>93</v>
      </c>
    </row>
    <row r="3264" spans="1:10" x14ac:dyDescent="0.25">
      <c r="A3264" s="1">
        <v>484</v>
      </c>
      <c r="B3264" t="s">
        <v>26</v>
      </c>
      <c r="C3264">
        <v>128</v>
      </c>
      <c r="D3264">
        <v>5</v>
      </c>
      <c r="E3264" t="s">
        <v>89</v>
      </c>
      <c r="F3264" t="s">
        <v>129</v>
      </c>
      <c r="G3264" t="str">
        <f>"2025-07-06 22:17:02.194"</f>
        <v>2025-07-06 22:17:02.194</v>
      </c>
      <c r="H3264" t="s">
        <v>61</v>
      </c>
    </row>
    <row r="3265" spans="1:10" x14ac:dyDescent="0.25">
      <c r="A3265" s="1">
        <v>485</v>
      </c>
      <c r="B3265" t="s">
        <v>19</v>
      </c>
      <c r="C3265">
        <v>782</v>
      </c>
      <c r="D3265">
        <v>7</v>
      </c>
      <c r="E3265" t="s">
        <v>55</v>
      </c>
      <c r="F3265" t="s">
        <v>56</v>
      </c>
      <c r="G3265" t="str">
        <f>"2025-07-06 22:17:02.193"</f>
        <v>2025-07-06 22:17:02.193</v>
      </c>
      <c r="H3265" t="s">
        <v>22</v>
      </c>
      <c r="I3265">
        <v>0</v>
      </c>
      <c r="J3265" t="s">
        <v>93</v>
      </c>
    </row>
    <row r="3266" spans="1:10" x14ac:dyDescent="0.25">
      <c r="A3266" s="1">
        <v>486</v>
      </c>
      <c r="B3266" t="s">
        <v>44</v>
      </c>
      <c r="C3266">
        <v>77</v>
      </c>
      <c r="D3266">
        <v>1</v>
      </c>
      <c r="E3266" t="s">
        <v>45</v>
      </c>
      <c r="F3266" t="s">
        <v>46</v>
      </c>
      <c r="G3266" t="str">
        <f>"2025-07-06 22:16:12.633"</f>
        <v>2025-07-06 22:16:12.633</v>
      </c>
      <c r="H3266" t="s">
        <v>47</v>
      </c>
    </row>
    <row r="3267" spans="1:10" x14ac:dyDescent="0.25">
      <c r="A3267" s="1">
        <v>487</v>
      </c>
      <c r="B3267" t="s">
        <v>29</v>
      </c>
      <c r="C3267">
        <v>128</v>
      </c>
      <c r="D3267">
        <v>5</v>
      </c>
      <c r="E3267" t="s">
        <v>89</v>
      </c>
      <c r="F3267" t="s">
        <v>129</v>
      </c>
      <c r="G3267" t="str">
        <f>"2025-07-06 22:16:07.659"</f>
        <v>2025-07-06 22:16:07.659</v>
      </c>
      <c r="H3267" t="s">
        <v>61</v>
      </c>
      <c r="I3267">
        <v>0</v>
      </c>
      <c r="J3267" t="s">
        <v>23</v>
      </c>
    </row>
    <row r="3268" spans="1:10" x14ac:dyDescent="0.25">
      <c r="A3268" s="1">
        <v>488</v>
      </c>
      <c r="B3268" t="s">
        <v>34</v>
      </c>
      <c r="C3268">
        <v>77</v>
      </c>
      <c r="D3268">
        <v>1</v>
      </c>
      <c r="E3268" t="s">
        <v>45</v>
      </c>
      <c r="F3268" t="s">
        <v>46</v>
      </c>
      <c r="G3268" t="str">
        <f>"2025-07-06 22:16:07.583"</f>
        <v>2025-07-06 22:16:07.583</v>
      </c>
      <c r="H3268" t="s">
        <v>47</v>
      </c>
      <c r="I3268">
        <v>0</v>
      </c>
      <c r="J3268" t="s">
        <v>23</v>
      </c>
    </row>
    <row r="3269" spans="1:10" x14ac:dyDescent="0.25">
      <c r="A3269" s="1">
        <v>489</v>
      </c>
      <c r="B3269" t="s">
        <v>44</v>
      </c>
      <c r="C3269">
        <v>128</v>
      </c>
      <c r="D3269">
        <v>5</v>
      </c>
      <c r="E3269" t="s">
        <v>89</v>
      </c>
      <c r="F3269" t="s">
        <v>129</v>
      </c>
      <c r="G3269" t="str">
        <f>"2025-07-06 22:16:03.233"</f>
        <v>2025-07-06 22:16:03.233</v>
      </c>
      <c r="H3269" t="s">
        <v>61</v>
      </c>
    </row>
    <row r="3270" spans="1:10" x14ac:dyDescent="0.25">
      <c r="A3270" s="1">
        <v>490</v>
      </c>
      <c r="B3270" t="s">
        <v>44</v>
      </c>
      <c r="C3270">
        <v>77</v>
      </c>
      <c r="D3270">
        <v>1</v>
      </c>
      <c r="E3270" t="s">
        <v>45</v>
      </c>
      <c r="F3270" t="s">
        <v>46</v>
      </c>
      <c r="G3270" t="str">
        <f>"2025-07-06 22:16:03.133"</f>
        <v>2025-07-06 22:16:03.133</v>
      </c>
      <c r="H3270" t="s">
        <v>47</v>
      </c>
    </row>
    <row r="3271" spans="1:10" x14ac:dyDescent="0.25">
      <c r="A3271" s="1">
        <v>491</v>
      </c>
      <c r="B3271" t="s">
        <v>34</v>
      </c>
      <c r="C3271">
        <v>128</v>
      </c>
      <c r="D3271">
        <v>5</v>
      </c>
      <c r="E3271" t="s">
        <v>89</v>
      </c>
      <c r="F3271" t="s">
        <v>129</v>
      </c>
      <c r="G3271" t="str">
        <f>"2025-07-06 22:15:58.119"</f>
        <v>2025-07-06 22:15:58.119</v>
      </c>
      <c r="H3271" t="s">
        <v>61</v>
      </c>
      <c r="I3271">
        <v>0</v>
      </c>
      <c r="J3271" t="s">
        <v>23</v>
      </c>
    </row>
    <row r="3272" spans="1:10" x14ac:dyDescent="0.25">
      <c r="A3272" s="1">
        <v>492</v>
      </c>
      <c r="B3272" t="s">
        <v>34</v>
      </c>
      <c r="C3272">
        <v>77</v>
      </c>
      <c r="D3272">
        <v>1</v>
      </c>
      <c r="E3272" t="s">
        <v>45</v>
      </c>
      <c r="F3272" t="s">
        <v>46</v>
      </c>
      <c r="G3272" t="str">
        <f>"2025-07-06 22:15:58.043"</f>
        <v>2025-07-06 22:15:58.043</v>
      </c>
      <c r="H3272" t="s">
        <v>47</v>
      </c>
      <c r="I3272">
        <v>0</v>
      </c>
      <c r="J3272" t="s">
        <v>23</v>
      </c>
    </row>
    <row r="3273" spans="1:10" x14ac:dyDescent="0.25">
      <c r="A3273" s="1">
        <v>493</v>
      </c>
      <c r="B3273" t="s">
        <v>19</v>
      </c>
      <c r="C3273">
        <v>706</v>
      </c>
      <c r="D3273">
        <v>2</v>
      </c>
      <c r="E3273" t="s">
        <v>20</v>
      </c>
      <c r="F3273" t="s">
        <v>54</v>
      </c>
      <c r="G3273" t="str">
        <f>"2025-07-06 22:15:46.955"</f>
        <v>2025-07-06 22:15:46.955</v>
      </c>
      <c r="H3273" t="s">
        <v>22</v>
      </c>
      <c r="I3273">
        <v>0</v>
      </c>
      <c r="J3273" t="s">
        <v>93</v>
      </c>
    </row>
    <row r="3274" spans="1:10" x14ac:dyDescent="0.25">
      <c r="A3274" s="1">
        <v>494</v>
      </c>
      <c r="B3274" t="s">
        <v>44</v>
      </c>
      <c r="C3274">
        <v>128</v>
      </c>
      <c r="D3274">
        <v>5</v>
      </c>
      <c r="E3274" t="s">
        <v>89</v>
      </c>
      <c r="F3274" t="s">
        <v>129</v>
      </c>
      <c r="G3274" t="str">
        <f>"2025-07-06 22:13:01.933"</f>
        <v>2025-07-06 22:13:01.933</v>
      </c>
      <c r="H3274" t="s">
        <v>61</v>
      </c>
    </row>
    <row r="3275" spans="1:10" x14ac:dyDescent="0.25">
      <c r="A3275" s="1">
        <v>495</v>
      </c>
      <c r="B3275" t="s">
        <v>44</v>
      </c>
      <c r="C3275">
        <v>77</v>
      </c>
      <c r="D3275">
        <v>1</v>
      </c>
      <c r="E3275" t="s">
        <v>45</v>
      </c>
      <c r="F3275" t="s">
        <v>46</v>
      </c>
      <c r="G3275" t="str">
        <f>"2025-07-06 22:13:01.833"</f>
        <v>2025-07-06 22:13:01.833</v>
      </c>
      <c r="H3275" t="s">
        <v>47</v>
      </c>
    </row>
    <row r="3276" spans="1:10" x14ac:dyDescent="0.25">
      <c r="A3276" s="1">
        <v>496</v>
      </c>
      <c r="B3276" t="s">
        <v>34</v>
      </c>
      <c r="C3276">
        <v>128</v>
      </c>
      <c r="D3276">
        <v>5</v>
      </c>
      <c r="E3276" t="s">
        <v>89</v>
      </c>
      <c r="F3276" t="s">
        <v>129</v>
      </c>
      <c r="G3276" t="str">
        <f>"2025-07-06 22:12:56.859"</f>
        <v>2025-07-06 22:12:56.859</v>
      </c>
      <c r="H3276" t="s">
        <v>61</v>
      </c>
      <c r="I3276">
        <v>0</v>
      </c>
      <c r="J3276" t="s">
        <v>23</v>
      </c>
    </row>
    <row r="3277" spans="1:10" x14ac:dyDescent="0.25">
      <c r="A3277" s="1">
        <v>497</v>
      </c>
      <c r="B3277" t="s">
        <v>34</v>
      </c>
      <c r="C3277">
        <v>77</v>
      </c>
      <c r="D3277">
        <v>1</v>
      </c>
      <c r="E3277" t="s">
        <v>45</v>
      </c>
      <c r="F3277" t="s">
        <v>46</v>
      </c>
      <c r="G3277" t="str">
        <f>"2025-07-06 22:12:56.783"</f>
        <v>2025-07-06 22:12:56.783</v>
      </c>
      <c r="H3277" t="s">
        <v>47</v>
      </c>
      <c r="I3277">
        <v>0</v>
      </c>
      <c r="J3277" t="s">
        <v>23</v>
      </c>
    </row>
    <row r="3278" spans="1:10" x14ac:dyDescent="0.25">
      <c r="A3278" s="1">
        <v>498</v>
      </c>
      <c r="B3278" t="s">
        <v>44</v>
      </c>
      <c r="C3278">
        <v>128</v>
      </c>
      <c r="D3278">
        <v>5</v>
      </c>
      <c r="E3278" t="s">
        <v>89</v>
      </c>
      <c r="F3278" t="s">
        <v>129</v>
      </c>
      <c r="G3278" t="str">
        <f>"2025-07-06 22:12:52.433"</f>
        <v>2025-07-06 22:12:52.433</v>
      </c>
      <c r="H3278" t="s">
        <v>61</v>
      </c>
    </row>
    <row r="3279" spans="1:10" x14ac:dyDescent="0.25">
      <c r="A3279" s="1">
        <v>499</v>
      </c>
      <c r="B3279" t="s">
        <v>44</v>
      </c>
      <c r="C3279">
        <v>77</v>
      </c>
      <c r="D3279">
        <v>1</v>
      </c>
      <c r="E3279" t="s">
        <v>45</v>
      </c>
      <c r="F3279" t="s">
        <v>46</v>
      </c>
      <c r="G3279" t="str">
        <f>"2025-07-06 22:12:52.333"</f>
        <v>2025-07-06 22:12:52.333</v>
      </c>
      <c r="H3279" t="s">
        <v>47</v>
      </c>
    </row>
    <row r="3280" spans="1:10" x14ac:dyDescent="0.25">
      <c r="A3280" s="1">
        <v>500</v>
      </c>
      <c r="B3280" t="s">
        <v>34</v>
      </c>
      <c r="C3280">
        <v>128</v>
      </c>
      <c r="D3280">
        <v>5</v>
      </c>
      <c r="E3280" t="s">
        <v>89</v>
      </c>
      <c r="F3280" t="s">
        <v>129</v>
      </c>
      <c r="G3280" t="str">
        <f>"2025-07-06 22:12:47.319"</f>
        <v>2025-07-06 22:12:47.319</v>
      </c>
      <c r="H3280" t="s">
        <v>61</v>
      </c>
      <c r="I3280">
        <v>0</v>
      </c>
      <c r="J3280" t="s">
        <v>23</v>
      </c>
    </row>
    <row r="3281" spans="1:10" x14ac:dyDescent="0.25">
      <c r="A3281" s="1">
        <v>501</v>
      </c>
      <c r="B3281" t="s">
        <v>34</v>
      </c>
      <c r="C3281">
        <v>77</v>
      </c>
      <c r="D3281">
        <v>1</v>
      </c>
      <c r="E3281" t="s">
        <v>45</v>
      </c>
      <c r="F3281" t="s">
        <v>46</v>
      </c>
      <c r="G3281" t="str">
        <f>"2025-07-06 22:12:47.243"</f>
        <v>2025-07-06 22:12:47.243</v>
      </c>
      <c r="H3281" t="s">
        <v>47</v>
      </c>
      <c r="I3281">
        <v>0</v>
      </c>
      <c r="J3281" t="s">
        <v>23</v>
      </c>
    </row>
    <row r="3282" spans="1:10" x14ac:dyDescent="0.25">
      <c r="A3282" s="1">
        <v>504</v>
      </c>
      <c r="B3282" t="s">
        <v>19</v>
      </c>
      <c r="C3282">
        <v>782</v>
      </c>
      <c r="D3282">
        <v>7</v>
      </c>
      <c r="E3282" t="s">
        <v>55</v>
      </c>
      <c r="F3282" t="s">
        <v>56</v>
      </c>
      <c r="G3282" t="str">
        <f>"2025-07-06 22:12:35.406"</f>
        <v>2025-07-06 22:12:35.406</v>
      </c>
      <c r="H3282" t="s">
        <v>22</v>
      </c>
      <c r="I3282">
        <v>0</v>
      </c>
      <c r="J3282" t="s">
        <v>38</v>
      </c>
    </row>
    <row r="3283" spans="1:10" x14ac:dyDescent="0.25">
      <c r="A3283" s="1">
        <v>507</v>
      </c>
      <c r="B3283" t="s">
        <v>26</v>
      </c>
      <c r="C3283">
        <v>128</v>
      </c>
      <c r="D3283">
        <v>5</v>
      </c>
      <c r="E3283" t="s">
        <v>89</v>
      </c>
      <c r="F3283" t="s">
        <v>129</v>
      </c>
      <c r="G3283" t="str">
        <f>"2025-07-06 22:12:35.394"</f>
        <v>2025-07-06 22:12:35.394</v>
      </c>
      <c r="H3283" t="s">
        <v>61</v>
      </c>
    </row>
    <row r="3284" spans="1:10" x14ac:dyDescent="0.25">
      <c r="A3284" s="1">
        <v>508</v>
      </c>
      <c r="B3284" t="s">
        <v>19</v>
      </c>
      <c r="C3284">
        <v>782</v>
      </c>
      <c r="D3284">
        <v>7</v>
      </c>
      <c r="E3284" t="s">
        <v>55</v>
      </c>
      <c r="F3284" t="s">
        <v>56</v>
      </c>
      <c r="G3284" t="str">
        <f>"2025-07-06 22:12:35.393"</f>
        <v>2025-07-06 22:12:35.393</v>
      </c>
      <c r="H3284" t="s">
        <v>22</v>
      </c>
      <c r="I3284">
        <v>0</v>
      </c>
      <c r="J3284" t="s">
        <v>38</v>
      </c>
    </row>
    <row r="3285" spans="1:10" x14ac:dyDescent="0.25">
      <c r="A3285" s="1">
        <v>509</v>
      </c>
      <c r="B3285" t="s">
        <v>44</v>
      </c>
      <c r="C3285">
        <v>77</v>
      </c>
      <c r="D3285">
        <v>1</v>
      </c>
      <c r="E3285" t="s">
        <v>45</v>
      </c>
      <c r="F3285" t="s">
        <v>46</v>
      </c>
      <c r="G3285" t="str">
        <f>"2025-07-06 22:11:56.333"</f>
        <v>2025-07-06 22:11:56.333</v>
      </c>
      <c r="H3285" t="s">
        <v>47</v>
      </c>
    </row>
    <row r="3286" spans="1:10" x14ac:dyDescent="0.25">
      <c r="A3286" s="1">
        <v>510</v>
      </c>
      <c r="B3286" t="s">
        <v>29</v>
      </c>
      <c r="C3286">
        <v>128</v>
      </c>
      <c r="D3286">
        <v>5</v>
      </c>
      <c r="E3286" t="s">
        <v>89</v>
      </c>
      <c r="F3286" t="s">
        <v>129</v>
      </c>
      <c r="G3286" t="str">
        <f>"2025-07-06 22:11:51.319"</f>
        <v>2025-07-06 22:11:51.319</v>
      </c>
      <c r="H3286" t="s">
        <v>61</v>
      </c>
      <c r="I3286">
        <v>0</v>
      </c>
      <c r="J3286" t="s">
        <v>23</v>
      </c>
    </row>
    <row r="3287" spans="1:10" x14ac:dyDescent="0.25">
      <c r="A3287" s="1">
        <v>511</v>
      </c>
      <c r="B3287" t="s">
        <v>34</v>
      </c>
      <c r="C3287">
        <v>77</v>
      </c>
      <c r="D3287">
        <v>1</v>
      </c>
      <c r="E3287" t="s">
        <v>45</v>
      </c>
      <c r="F3287" t="s">
        <v>46</v>
      </c>
      <c r="G3287" t="str">
        <f>"2025-07-06 22:11:51.243"</f>
        <v>2025-07-06 22:11:51.243</v>
      </c>
      <c r="H3287" t="s">
        <v>47</v>
      </c>
      <c r="I3287">
        <v>0</v>
      </c>
      <c r="J3287" t="s">
        <v>23</v>
      </c>
    </row>
    <row r="3288" spans="1:10" x14ac:dyDescent="0.25">
      <c r="A3288" s="1">
        <v>512</v>
      </c>
      <c r="B3288" t="s">
        <v>44</v>
      </c>
      <c r="C3288">
        <v>128</v>
      </c>
      <c r="D3288">
        <v>5</v>
      </c>
      <c r="E3288" t="s">
        <v>89</v>
      </c>
      <c r="F3288" t="s">
        <v>129</v>
      </c>
      <c r="G3288" t="str">
        <f>"2025-07-06 22:11:38.733"</f>
        <v>2025-07-06 22:11:38.733</v>
      </c>
      <c r="H3288" t="s">
        <v>61</v>
      </c>
    </row>
    <row r="3289" spans="1:10" x14ac:dyDescent="0.25">
      <c r="A3289" s="1">
        <v>513</v>
      </c>
      <c r="B3289" t="s">
        <v>44</v>
      </c>
      <c r="C3289">
        <v>77</v>
      </c>
      <c r="D3289">
        <v>1</v>
      </c>
      <c r="E3289" t="s">
        <v>45</v>
      </c>
      <c r="F3289" t="s">
        <v>46</v>
      </c>
      <c r="G3289" t="str">
        <f>"2025-07-06 22:11:38.333"</f>
        <v>2025-07-06 22:11:38.333</v>
      </c>
      <c r="H3289" t="s">
        <v>47</v>
      </c>
    </row>
    <row r="3290" spans="1:10" x14ac:dyDescent="0.25">
      <c r="A3290" s="1">
        <v>514</v>
      </c>
      <c r="B3290" t="s">
        <v>34</v>
      </c>
      <c r="C3290">
        <v>128</v>
      </c>
      <c r="D3290">
        <v>5</v>
      </c>
      <c r="E3290" t="s">
        <v>89</v>
      </c>
      <c r="F3290" t="s">
        <v>129</v>
      </c>
      <c r="G3290" t="str">
        <f>"2025-07-06 22:11:33.639"</f>
        <v>2025-07-06 22:11:33.639</v>
      </c>
      <c r="H3290" t="s">
        <v>61</v>
      </c>
      <c r="I3290">
        <v>0</v>
      </c>
      <c r="J3290" t="s">
        <v>23</v>
      </c>
    </row>
    <row r="3291" spans="1:10" x14ac:dyDescent="0.25">
      <c r="A3291" s="1">
        <v>515</v>
      </c>
      <c r="B3291" t="s">
        <v>34</v>
      </c>
      <c r="C3291">
        <v>77</v>
      </c>
      <c r="D3291">
        <v>1</v>
      </c>
      <c r="E3291" t="s">
        <v>45</v>
      </c>
      <c r="F3291" t="s">
        <v>46</v>
      </c>
      <c r="G3291" t="str">
        <f>"2025-07-06 22:11:33.283"</f>
        <v>2025-07-06 22:11:33.283</v>
      </c>
      <c r="H3291" t="s">
        <v>47</v>
      </c>
      <c r="I3291">
        <v>0</v>
      </c>
      <c r="J3291" t="s">
        <v>23</v>
      </c>
    </row>
    <row r="3292" spans="1:10" x14ac:dyDescent="0.25">
      <c r="A3292" s="1">
        <v>516</v>
      </c>
      <c r="B3292" t="s">
        <v>44</v>
      </c>
      <c r="C3292">
        <v>128</v>
      </c>
      <c r="D3292">
        <v>5</v>
      </c>
      <c r="E3292" t="s">
        <v>89</v>
      </c>
      <c r="F3292" t="s">
        <v>129</v>
      </c>
      <c r="G3292" t="str">
        <f>"2025-07-06 22:11:28.933"</f>
        <v>2025-07-06 22:11:28.933</v>
      </c>
      <c r="H3292" t="s">
        <v>61</v>
      </c>
    </row>
    <row r="3293" spans="1:10" x14ac:dyDescent="0.25">
      <c r="A3293" s="1">
        <v>517</v>
      </c>
      <c r="B3293" t="s">
        <v>44</v>
      </c>
      <c r="C3293">
        <v>77</v>
      </c>
      <c r="D3293">
        <v>1</v>
      </c>
      <c r="E3293" t="s">
        <v>45</v>
      </c>
      <c r="F3293" t="s">
        <v>46</v>
      </c>
      <c r="G3293" t="str">
        <f>"2025-07-06 22:11:28.833"</f>
        <v>2025-07-06 22:11:28.833</v>
      </c>
      <c r="H3293" t="s">
        <v>47</v>
      </c>
    </row>
    <row r="3294" spans="1:10" x14ac:dyDescent="0.25">
      <c r="A3294" s="1">
        <v>518</v>
      </c>
      <c r="B3294" t="s">
        <v>34</v>
      </c>
      <c r="C3294">
        <v>128</v>
      </c>
      <c r="D3294">
        <v>5</v>
      </c>
      <c r="E3294" t="s">
        <v>89</v>
      </c>
      <c r="F3294" t="s">
        <v>129</v>
      </c>
      <c r="G3294" t="str">
        <f>"2025-07-06 22:11:23.859"</f>
        <v>2025-07-06 22:11:23.859</v>
      </c>
      <c r="H3294" t="s">
        <v>61</v>
      </c>
      <c r="I3294">
        <v>0</v>
      </c>
      <c r="J3294" t="s">
        <v>23</v>
      </c>
    </row>
    <row r="3295" spans="1:10" x14ac:dyDescent="0.25">
      <c r="A3295" s="1">
        <v>519</v>
      </c>
      <c r="B3295" t="s">
        <v>34</v>
      </c>
      <c r="C3295">
        <v>77</v>
      </c>
      <c r="D3295">
        <v>1</v>
      </c>
      <c r="E3295" t="s">
        <v>45</v>
      </c>
      <c r="F3295" t="s">
        <v>46</v>
      </c>
      <c r="G3295" t="str">
        <f>"2025-07-06 22:11:23.783"</f>
        <v>2025-07-06 22:11:23.783</v>
      </c>
      <c r="H3295" t="s">
        <v>47</v>
      </c>
      <c r="I3295">
        <v>0</v>
      </c>
      <c r="J3295" t="s">
        <v>23</v>
      </c>
    </row>
    <row r="3296" spans="1:10" x14ac:dyDescent="0.25">
      <c r="A3296" s="1">
        <v>520</v>
      </c>
      <c r="B3296" t="s">
        <v>44</v>
      </c>
      <c r="C3296">
        <v>128</v>
      </c>
      <c r="D3296">
        <v>5</v>
      </c>
      <c r="E3296" t="s">
        <v>89</v>
      </c>
      <c r="F3296" t="s">
        <v>129</v>
      </c>
      <c r="G3296" t="str">
        <f>"2025-07-06 22:11:20.233"</f>
        <v>2025-07-06 22:11:20.233</v>
      </c>
      <c r="H3296" t="s">
        <v>61</v>
      </c>
    </row>
    <row r="3297" spans="1:10" x14ac:dyDescent="0.25">
      <c r="A3297" s="1">
        <v>521</v>
      </c>
      <c r="B3297" t="s">
        <v>44</v>
      </c>
      <c r="C3297">
        <v>77</v>
      </c>
      <c r="D3297">
        <v>1</v>
      </c>
      <c r="E3297" t="s">
        <v>45</v>
      </c>
      <c r="F3297" t="s">
        <v>46</v>
      </c>
      <c r="G3297" t="str">
        <f>"2025-07-06 22:11:19.333"</f>
        <v>2025-07-06 22:11:19.333</v>
      </c>
      <c r="H3297" t="s">
        <v>47</v>
      </c>
    </row>
    <row r="3298" spans="1:10" x14ac:dyDescent="0.25">
      <c r="A3298" s="1">
        <v>522</v>
      </c>
      <c r="B3298" t="s">
        <v>34</v>
      </c>
      <c r="C3298">
        <v>128</v>
      </c>
      <c r="D3298">
        <v>5</v>
      </c>
      <c r="E3298" t="s">
        <v>89</v>
      </c>
      <c r="F3298" t="s">
        <v>129</v>
      </c>
      <c r="G3298" t="str">
        <f>"2025-07-06 22:11:14.319"</f>
        <v>2025-07-06 22:11:14.319</v>
      </c>
      <c r="H3298" t="s">
        <v>61</v>
      </c>
      <c r="I3298">
        <v>0</v>
      </c>
      <c r="J3298" t="s">
        <v>23</v>
      </c>
    </row>
    <row r="3299" spans="1:10" x14ac:dyDescent="0.25">
      <c r="A3299" s="1">
        <v>523</v>
      </c>
      <c r="B3299" t="s">
        <v>34</v>
      </c>
      <c r="C3299">
        <v>77</v>
      </c>
      <c r="D3299">
        <v>1</v>
      </c>
      <c r="E3299" t="s">
        <v>45</v>
      </c>
      <c r="F3299" t="s">
        <v>46</v>
      </c>
      <c r="G3299" t="str">
        <f>"2025-07-06 22:11:14.244"</f>
        <v>2025-07-06 22:11:14.244</v>
      </c>
      <c r="H3299" t="s">
        <v>47</v>
      </c>
      <c r="I3299">
        <v>0</v>
      </c>
      <c r="J3299" t="s">
        <v>23</v>
      </c>
    </row>
    <row r="3300" spans="1:10" x14ac:dyDescent="0.25">
      <c r="A3300" s="1">
        <v>524</v>
      </c>
      <c r="B3300" t="s">
        <v>19</v>
      </c>
      <c r="C3300">
        <v>706</v>
      </c>
      <c r="D3300">
        <v>2</v>
      </c>
      <c r="E3300" t="s">
        <v>20</v>
      </c>
      <c r="F3300" t="s">
        <v>54</v>
      </c>
      <c r="G3300" t="str">
        <f>"2025-07-06 22:11:02.155"</f>
        <v>2025-07-06 22:11:02.155</v>
      </c>
      <c r="H3300" t="s">
        <v>22</v>
      </c>
      <c r="I3300">
        <v>0</v>
      </c>
      <c r="J3300" t="s">
        <v>93</v>
      </c>
    </row>
    <row r="3301" spans="1:10" x14ac:dyDescent="0.25">
      <c r="A3301" s="1">
        <v>525</v>
      </c>
      <c r="B3301" t="s">
        <v>19</v>
      </c>
      <c r="C3301">
        <v>700</v>
      </c>
      <c r="D3301">
        <v>0</v>
      </c>
      <c r="E3301" t="s">
        <v>24</v>
      </c>
      <c r="F3301" t="s">
        <v>24</v>
      </c>
      <c r="G3301" t="str">
        <f>"2025-07-06 22:10:38.685"</f>
        <v>2025-07-06 22:10:38.685</v>
      </c>
      <c r="H3301" t="s">
        <v>22</v>
      </c>
      <c r="I3301">
        <v>0</v>
      </c>
      <c r="J3301" t="s">
        <v>25</v>
      </c>
    </row>
    <row r="3302" spans="1:10" x14ac:dyDescent="0.25">
      <c r="A3302" s="1">
        <v>526</v>
      </c>
      <c r="B3302" t="s">
        <v>19</v>
      </c>
      <c r="C3302">
        <v>700</v>
      </c>
      <c r="D3302">
        <v>0</v>
      </c>
      <c r="E3302" t="s">
        <v>24</v>
      </c>
      <c r="F3302" t="s">
        <v>24</v>
      </c>
      <c r="G3302" t="str">
        <f>"2025-07-06 20:23:08.684"</f>
        <v>2025-07-06 20:23:08.684</v>
      </c>
      <c r="H3302" t="s">
        <v>22</v>
      </c>
    </row>
    <row r="3303" spans="1:10" x14ac:dyDescent="0.25">
      <c r="A3303" s="1">
        <v>527</v>
      </c>
      <c r="B3303" t="s">
        <v>34</v>
      </c>
      <c r="C3303">
        <v>630</v>
      </c>
      <c r="D3303">
        <v>5</v>
      </c>
      <c r="E3303" t="s">
        <v>39</v>
      </c>
      <c r="F3303" t="s">
        <v>40</v>
      </c>
      <c r="G3303" t="str">
        <f>"2025-07-06 20:19:58.476"</f>
        <v>2025-07-06 20:19:58.476</v>
      </c>
      <c r="H3303" t="s">
        <v>41</v>
      </c>
      <c r="I3303">
        <v>0</v>
      </c>
      <c r="J3303" t="s">
        <v>93</v>
      </c>
    </row>
    <row r="3304" spans="1:10" x14ac:dyDescent="0.25">
      <c r="A3304" s="1">
        <v>528</v>
      </c>
      <c r="B3304" t="s">
        <v>19</v>
      </c>
      <c r="C3304">
        <v>700</v>
      </c>
      <c r="D3304">
        <v>0</v>
      </c>
      <c r="E3304" t="s">
        <v>24</v>
      </c>
      <c r="F3304" t="s">
        <v>24</v>
      </c>
      <c r="G3304" t="str">
        <f>"2025-07-06 20:14:55.698"</f>
        <v>2025-07-06 20:14:55.698</v>
      </c>
      <c r="H3304" t="s">
        <v>22</v>
      </c>
      <c r="I3304">
        <v>0</v>
      </c>
      <c r="J3304" t="s">
        <v>25</v>
      </c>
    </row>
    <row r="3305" spans="1:10" x14ac:dyDescent="0.25">
      <c r="A3305" s="1">
        <v>529</v>
      </c>
      <c r="B3305" t="s">
        <v>34</v>
      </c>
      <c r="C3305">
        <v>630</v>
      </c>
      <c r="D3305">
        <v>5</v>
      </c>
      <c r="E3305" t="s">
        <v>39</v>
      </c>
      <c r="F3305" t="s">
        <v>40</v>
      </c>
      <c r="G3305" t="str">
        <f>"2025-07-06 20:12:12.506"</f>
        <v>2025-07-06 20:12:12.506</v>
      </c>
      <c r="H3305" t="s">
        <v>41</v>
      </c>
      <c r="I3305">
        <v>0</v>
      </c>
      <c r="J3305" t="s">
        <v>93</v>
      </c>
    </row>
    <row r="3306" spans="1:10" x14ac:dyDescent="0.25">
      <c r="A3306" s="1">
        <v>530</v>
      </c>
      <c r="B3306" t="s">
        <v>19</v>
      </c>
      <c r="C3306">
        <v>700</v>
      </c>
      <c r="D3306">
        <v>0</v>
      </c>
      <c r="E3306" t="s">
        <v>24</v>
      </c>
      <c r="F3306" t="s">
        <v>24</v>
      </c>
      <c r="G3306" t="str">
        <f>"2025-07-06 20:07:09.717"</f>
        <v>2025-07-06 20:07:09.717</v>
      </c>
      <c r="H3306" t="s">
        <v>22</v>
      </c>
    </row>
    <row r="3307" spans="1:10" x14ac:dyDescent="0.25">
      <c r="A3307" s="1">
        <v>531</v>
      </c>
      <c r="B3307" t="s">
        <v>19</v>
      </c>
      <c r="C3307">
        <v>700</v>
      </c>
      <c r="D3307">
        <v>0</v>
      </c>
      <c r="E3307" t="s">
        <v>24</v>
      </c>
      <c r="F3307" t="s">
        <v>24</v>
      </c>
      <c r="G3307" t="str">
        <f>"2025-07-06 19:57:15.687"</f>
        <v>2025-07-06 19:57:15.687</v>
      </c>
      <c r="H3307" t="s">
        <v>22</v>
      </c>
      <c r="I3307">
        <v>0</v>
      </c>
      <c r="J3307" t="s">
        <v>25</v>
      </c>
    </row>
    <row r="3308" spans="1:10" x14ac:dyDescent="0.25">
      <c r="A3308" s="1">
        <v>534</v>
      </c>
      <c r="B3308" t="s">
        <v>34</v>
      </c>
      <c r="C3308">
        <v>630</v>
      </c>
      <c r="D3308">
        <v>5</v>
      </c>
      <c r="E3308" t="s">
        <v>39</v>
      </c>
      <c r="F3308" t="s">
        <v>40</v>
      </c>
      <c r="G3308" t="str">
        <f>"2025-07-06 19:43:56.070"</f>
        <v>2025-07-06 19:43:56.070</v>
      </c>
      <c r="H3308" t="s">
        <v>41</v>
      </c>
      <c r="I3308">
        <v>0</v>
      </c>
      <c r="J3308" t="s">
        <v>93</v>
      </c>
    </row>
    <row r="3309" spans="1:10" x14ac:dyDescent="0.25">
      <c r="A3309" s="1">
        <v>535</v>
      </c>
      <c r="B3309" t="s">
        <v>19</v>
      </c>
      <c r="C3309">
        <v>782</v>
      </c>
      <c r="D3309">
        <v>7</v>
      </c>
      <c r="E3309" t="s">
        <v>55</v>
      </c>
      <c r="F3309" t="s">
        <v>56</v>
      </c>
      <c r="G3309" t="str">
        <f>"2025-07-06 19:43:56.045"</f>
        <v>2025-07-06 19:43:56.045</v>
      </c>
      <c r="H3309" t="s">
        <v>22</v>
      </c>
      <c r="I3309">
        <v>0</v>
      </c>
      <c r="J3309" t="s">
        <v>93</v>
      </c>
    </row>
    <row r="3310" spans="1:10" x14ac:dyDescent="0.25">
      <c r="A3310" s="1">
        <v>538</v>
      </c>
      <c r="B3310" t="s">
        <v>26</v>
      </c>
      <c r="C3310">
        <v>630</v>
      </c>
      <c r="D3310">
        <v>5</v>
      </c>
      <c r="E3310" t="s">
        <v>39</v>
      </c>
      <c r="F3310" t="s">
        <v>40</v>
      </c>
      <c r="G3310" t="str">
        <f>"2025-07-06 19:43:56.034"</f>
        <v>2025-07-06 19:43:56.034</v>
      </c>
      <c r="H3310" t="s">
        <v>41</v>
      </c>
    </row>
    <row r="3311" spans="1:10" x14ac:dyDescent="0.25">
      <c r="A3311" s="1">
        <v>539</v>
      </c>
      <c r="B3311" t="s">
        <v>26</v>
      </c>
      <c r="C3311">
        <v>250</v>
      </c>
      <c r="D3311">
        <v>7</v>
      </c>
      <c r="E3311" t="s">
        <v>99</v>
      </c>
      <c r="F3311" t="s">
        <v>100</v>
      </c>
      <c r="G3311" t="str">
        <f>"2025-07-06 19:43:56.031"</f>
        <v>2025-07-06 19:43:56.031</v>
      </c>
      <c r="H3311" t="s">
        <v>22</v>
      </c>
    </row>
    <row r="3312" spans="1:10" x14ac:dyDescent="0.25">
      <c r="A3312" s="1">
        <v>540</v>
      </c>
      <c r="B3312" t="s">
        <v>26</v>
      </c>
      <c r="C3312">
        <v>120</v>
      </c>
      <c r="D3312">
        <v>6</v>
      </c>
      <c r="E3312" t="s">
        <v>131</v>
      </c>
      <c r="F3312" t="s">
        <v>132</v>
      </c>
      <c r="G3312" t="str">
        <f>"2025-07-06 19:43:56.026"</f>
        <v>2025-07-06 19:43:56.026</v>
      </c>
      <c r="H3312" t="s">
        <v>22</v>
      </c>
    </row>
    <row r="3313" spans="1:10" x14ac:dyDescent="0.25">
      <c r="A3313" s="1">
        <v>541</v>
      </c>
      <c r="B3313" t="s">
        <v>26</v>
      </c>
      <c r="C3313">
        <v>107</v>
      </c>
      <c r="D3313">
        <v>3</v>
      </c>
      <c r="E3313" t="s">
        <v>106</v>
      </c>
      <c r="F3313" t="s">
        <v>133</v>
      </c>
      <c r="G3313" t="str">
        <f>"2025-07-06 19:43:56.023"</f>
        <v>2025-07-06 19:43:56.023</v>
      </c>
      <c r="H3313" t="s">
        <v>61</v>
      </c>
    </row>
    <row r="3314" spans="1:10" x14ac:dyDescent="0.25">
      <c r="A3314" s="1">
        <v>542</v>
      </c>
      <c r="B3314" t="s">
        <v>19</v>
      </c>
      <c r="C3314">
        <v>782</v>
      </c>
      <c r="D3314">
        <v>7</v>
      </c>
      <c r="E3314" t="s">
        <v>55</v>
      </c>
      <c r="F3314" t="s">
        <v>56</v>
      </c>
      <c r="G3314" t="str">
        <f>"2025-07-06 19:43:56.022"</f>
        <v>2025-07-06 19:43:56.022</v>
      </c>
      <c r="H3314" t="s">
        <v>22</v>
      </c>
      <c r="I3314">
        <v>0</v>
      </c>
      <c r="J3314" t="s">
        <v>93</v>
      </c>
    </row>
    <row r="3315" spans="1:10" x14ac:dyDescent="0.25">
      <c r="A3315" s="1">
        <v>543</v>
      </c>
      <c r="B3315" t="s">
        <v>34</v>
      </c>
      <c r="C3315">
        <v>630</v>
      </c>
      <c r="D3315">
        <v>5</v>
      </c>
      <c r="E3315" t="s">
        <v>39</v>
      </c>
      <c r="F3315" t="s">
        <v>40</v>
      </c>
      <c r="G3315" t="str">
        <f>"2025-07-06 19:39:31.471"</f>
        <v>2025-07-06 19:39:31.471</v>
      </c>
      <c r="H3315" t="s">
        <v>41</v>
      </c>
      <c r="I3315">
        <v>0</v>
      </c>
      <c r="J3315" t="s">
        <v>93</v>
      </c>
    </row>
    <row r="3316" spans="1:10" x14ac:dyDescent="0.25">
      <c r="A3316" s="1">
        <v>544</v>
      </c>
      <c r="B3316" t="s">
        <v>19</v>
      </c>
      <c r="C3316">
        <v>700</v>
      </c>
      <c r="D3316">
        <v>0</v>
      </c>
      <c r="E3316" t="s">
        <v>24</v>
      </c>
      <c r="F3316" t="s">
        <v>24</v>
      </c>
      <c r="G3316" t="str">
        <f>"2025-07-06 19:34:28.691"</f>
        <v>2025-07-06 19:34:28.691</v>
      </c>
      <c r="H3316" t="s">
        <v>22</v>
      </c>
      <c r="I3316">
        <v>0</v>
      </c>
      <c r="J3316" t="s">
        <v>25</v>
      </c>
    </row>
    <row r="3317" spans="1:10" x14ac:dyDescent="0.25">
      <c r="A3317" s="1">
        <v>545</v>
      </c>
      <c r="B3317" t="s">
        <v>26</v>
      </c>
      <c r="C3317">
        <v>4</v>
      </c>
      <c r="D3317">
        <v>1</v>
      </c>
      <c r="E3317" t="s">
        <v>65</v>
      </c>
      <c r="F3317" t="s">
        <v>66</v>
      </c>
      <c r="G3317" t="str">
        <f>"2025-07-06 19:33:52.083"</f>
        <v>2025-07-06 19:33:52.083</v>
      </c>
      <c r="H3317" t="s">
        <v>67</v>
      </c>
    </row>
    <row r="3318" spans="1:10" x14ac:dyDescent="0.25">
      <c r="A3318" s="1">
        <v>546</v>
      </c>
      <c r="B3318" t="s">
        <v>29</v>
      </c>
      <c r="C3318">
        <v>4</v>
      </c>
      <c r="D3318">
        <v>1</v>
      </c>
      <c r="E3318" t="s">
        <v>65</v>
      </c>
      <c r="F3318" t="s">
        <v>66</v>
      </c>
      <c r="G3318" t="str">
        <f>"2025-07-06 19:33:46.123"</f>
        <v>2025-07-06 19:33:46.123</v>
      </c>
      <c r="H3318" t="s">
        <v>67</v>
      </c>
      <c r="I3318">
        <v>0</v>
      </c>
      <c r="J3318" t="s">
        <v>93</v>
      </c>
    </row>
    <row r="3319" spans="1:10" x14ac:dyDescent="0.25">
      <c r="A3319" s="1">
        <v>547</v>
      </c>
      <c r="B3319" t="s">
        <v>19</v>
      </c>
      <c r="C3319">
        <v>706</v>
      </c>
      <c r="D3319">
        <v>4</v>
      </c>
      <c r="E3319" t="s">
        <v>20</v>
      </c>
      <c r="F3319" t="s">
        <v>21</v>
      </c>
      <c r="G3319" t="str">
        <f>"2025-07-06 19:33:38.331"</f>
        <v>2025-07-06 19:33:38.331</v>
      </c>
      <c r="H3319" t="s">
        <v>22</v>
      </c>
      <c r="I3319">
        <v>0</v>
      </c>
      <c r="J3319" t="s">
        <v>93</v>
      </c>
    </row>
    <row r="3320" spans="1:10" x14ac:dyDescent="0.25">
      <c r="A3320" s="1">
        <v>548</v>
      </c>
      <c r="B3320" t="s">
        <v>34</v>
      </c>
      <c r="C3320">
        <v>630</v>
      </c>
      <c r="D3320">
        <v>5</v>
      </c>
      <c r="E3320" t="s">
        <v>39</v>
      </c>
      <c r="F3320" t="s">
        <v>40</v>
      </c>
      <c r="G3320" t="str">
        <f>"2025-07-06 19:31:18.466"</f>
        <v>2025-07-06 19:31:18.466</v>
      </c>
      <c r="H3320" t="s">
        <v>41</v>
      </c>
      <c r="I3320">
        <v>0</v>
      </c>
      <c r="J3320" t="s">
        <v>93</v>
      </c>
    </row>
    <row r="3321" spans="1:10" x14ac:dyDescent="0.25">
      <c r="A3321" s="1">
        <v>549</v>
      </c>
      <c r="B3321" t="s">
        <v>19</v>
      </c>
      <c r="C3321">
        <v>700</v>
      </c>
      <c r="D3321">
        <v>0</v>
      </c>
      <c r="E3321" t="s">
        <v>24</v>
      </c>
      <c r="F3321" t="s">
        <v>24</v>
      </c>
      <c r="G3321" t="str">
        <f>"2025-07-06 19:26:15.691"</f>
        <v>2025-07-06 19:26:15.691</v>
      </c>
      <c r="H3321" t="s">
        <v>22</v>
      </c>
      <c r="I3321">
        <v>0</v>
      </c>
      <c r="J3321" t="s">
        <v>25</v>
      </c>
    </row>
    <row r="3322" spans="1:10" x14ac:dyDescent="0.25">
      <c r="A3322" s="1">
        <v>550</v>
      </c>
      <c r="B3322" t="s">
        <v>29</v>
      </c>
      <c r="C3322">
        <v>120</v>
      </c>
      <c r="D3322">
        <v>6</v>
      </c>
      <c r="E3322" t="s">
        <v>131</v>
      </c>
      <c r="F3322" t="s">
        <v>132</v>
      </c>
      <c r="G3322" t="str">
        <f>"2025-07-06 19:21:36.913"</f>
        <v>2025-07-06 19:21:36.913</v>
      </c>
      <c r="H3322" t="s">
        <v>22</v>
      </c>
      <c r="I3322">
        <v>0</v>
      </c>
      <c r="J3322" t="s">
        <v>93</v>
      </c>
    </row>
    <row r="3323" spans="1:10" x14ac:dyDescent="0.25">
      <c r="A3323" s="1">
        <v>551</v>
      </c>
      <c r="B3323" t="s">
        <v>44</v>
      </c>
      <c r="C3323">
        <v>120</v>
      </c>
      <c r="D3323">
        <v>6</v>
      </c>
      <c r="E3323" t="s">
        <v>131</v>
      </c>
      <c r="F3323" t="s">
        <v>132</v>
      </c>
      <c r="G3323" t="str">
        <f>"2025-07-06 19:21:36.847"</f>
        <v>2025-07-06 19:21:36.847</v>
      </c>
      <c r="H3323" t="s">
        <v>22</v>
      </c>
    </row>
    <row r="3324" spans="1:10" x14ac:dyDescent="0.25">
      <c r="A3324" s="1">
        <v>552</v>
      </c>
      <c r="B3324" t="s">
        <v>44</v>
      </c>
      <c r="C3324">
        <v>118</v>
      </c>
      <c r="D3324">
        <v>6</v>
      </c>
      <c r="E3324" t="s">
        <v>134</v>
      </c>
      <c r="F3324" t="s">
        <v>135</v>
      </c>
      <c r="G3324" t="str">
        <f>"2025-07-06 19:21:36.747"</f>
        <v>2025-07-06 19:21:36.747</v>
      </c>
      <c r="H3324" t="s">
        <v>22</v>
      </c>
    </row>
    <row r="3325" spans="1:10" x14ac:dyDescent="0.25">
      <c r="A3325" s="1">
        <v>553</v>
      </c>
      <c r="B3325" t="s">
        <v>44</v>
      </c>
      <c r="C3325">
        <v>236</v>
      </c>
      <c r="D3325">
        <v>6</v>
      </c>
      <c r="E3325" t="s">
        <v>136</v>
      </c>
      <c r="F3325" t="s">
        <v>137</v>
      </c>
      <c r="G3325" t="str">
        <f>"2025-07-06 19:21:32.847"</f>
        <v>2025-07-06 19:21:32.847</v>
      </c>
      <c r="H3325" t="s">
        <v>22</v>
      </c>
    </row>
    <row r="3326" spans="1:10" x14ac:dyDescent="0.25">
      <c r="A3326" s="1">
        <v>554</v>
      </c>
      <c r="B3326" t="s">
        <v>34</v>
      </c>
      <c r="C3326">
        <v>120</v>
      </c>
      <c r="D3326">
        <v>6</v>
      </c>
      <c r="E3326" t="s">
        <v>131</v>
      </c>
      <c r="F3326" t="s">
        <v>132</v>
      </c>
      <c r="G3326" t="str">
        <f>"2025-07-06 19:21:31.773"</f>
        <v>2025-07-06 19:21:31.773</v>
      </c>
      <c r="H3326" t="s">
        <v>22</v>
      </c>
      <c r="I3326">
        <v>0</v>
      </c>
      <c r="J3326" t="s">
        <v>93</v>
      </c>
    </row>
    <row r="3327" spans="1:10" x14ac:dyDescent="0.25">
      <c r="A3327" s="1">
        <v>555</v>
      </c>
      <c r="B3327" t="s">
        <v>34</v>
      </c>
      <c r="C3327">
        <v>118</v>
      </c>
      <c r="D3327">
        <v>6</v>
      </c>
      <c r="E3327" t="s">
        <v>134</v>
      </c>
      <c r="F3327" t="s">
        <v>135</v>
      </c>
      <c r="G3327" t="str">
        <f>"2025-07-06 19:21:31.553"</f>
        <v>2025-07-06 19:21:31.553</v>
      </c>
      <c r="H3327" t="s">
        <v>22</v>
      </c>
      <c r="I3327">
        <v>0</v>
      </c>
      <c r="J3327" t="s">
        <v>93</v>
      </c>
    </row>
    <row r="3328" spans="1:10" x14ac:dyDescent="0.25">
      <c r="A3328" s="1">
        <v>556</v>
      </c>
      <c r="B3328" t="s">
        <v>44</v>
      </c>
      <c r="C3328">
        <v>120</v>
      </c>
      <c r="D3328">
        <v>6</v>
      </c>
      <c r="E3328" t="s">
        <v>131</v>
      </c>
      <c r="F3328" t="s">
        <v>132</v>
      </c>
      <c r="G3328" t="str">
        <f>"2025-07-06 19:21:31.547"</f>
        <v>2025-07-06 19:21:31.547</v>
      </c>
      <c r="H3328" t="s">
        <v>22</v>
      </c>
    </row>
    <row r="3329" spans="1:10" x14ac:dyDescent="0.25">
      <c r="A3329" s="1">
        <v>557</v>
      </c>
      <c r="B3329" t="s">
        <v>44</v>
      </c>
      <c r="C3329">
        <v>118</v>
      </c>
      <c r="D3329">
        <v>6</v>
      </c>
      <c r="E3329" t="s">
        <v>134</v>
      </c>
      <c r="F3329" t="s">
        <v>135</v>
      </c>
      <c r="G3329" t="str">
        <f>"2025-07-06 19:21:31.247"</f>
        <v>2025-07-06 19:21:31.247</v>
      </c>
      <c r="H3329" t="s">
        <v>22</v>
      </c>
    </row>
    <row r="3330" spans="1:10" x14ac:dyDescent="0.25">
      <c r="A3330" s="1">
        <v>558</v>
      </c>
      <c r="B3330" t="s">
        <v>34</v>
      </c>
      <c r="C3330">
        <v>236</v>
      </c>
      <c r="D3330">
        <v>6</v>
      </c>
      <c r="E3330" t="s">
        <v>136</v>
      </c>
      <c r="F3330" t="s">
        <v>137</v>
      </c>
      <c r="G3330" t="str">
        <f>"2025-07-06 19:21:27.118"</f>
        <v>2025-07-06 19:21:27.118</v>
      </c>
      <c r="H3330" t="s">
        <v>22</v>
      </c>
      <c r="I3330">
        <v>0</v>
      </c>
      <c r="J3330" t="s">
        <v>93</v>
      </c>
    </row>
    <row r="3331" spans="1:10" x14ac:dyDescent="0.25">
      <c r="A3331" s="1">
        <v>559</v>
      </c>
      <c r="B3331" t="s">
        <v>29</v>
      </c>
      <c r="C3331">
        <v>250</v>
      </c>
      <c r="D3331">
        <v>7</v>
      </c>
      <c r="E3331" t="s">
        <v>99</v>
      </c>
      <c r="F3331" t="s">
        <v>100</v>
      </c>
      <c r="G3331" t="str">
        <f>"2025-07-06 19:21:27.113"</f>
        <v>2025-07-06 19:21:27.113</v>
      </c>
      <c r="H3331" t="s">
        <v>22</v>
      </c>
      <c r="I3331">
        <v>0</v>
      </c>
      <c r="J3331" t="s">
        <v>93</v>
      </c>
    </row>
    <row r="3332" spans="1:10" x14ac:dyDescent="0.25">
      <c r="A3332" s="1">
        <v>560</v>
      </c>
      <c r="B3332" t="s">
        <v>44</v>
      </c>
      <c r="C3332">
        <v>250</v>
      </c>
      <c r="D3332">
        <v>7</v>
      </c>
      <c r="E3332" t="s">
        <v>99</v>
      </c>
      <c r="F3332" t="s">
        <v>100</v>
      </c>
      <c r="G3332" t="str">
        <f>"2025-07-06 19:21:27.047"</f>
        <v>2025-07-06 19:21:27.047</v>
      </c>
      <c r="H3332" t="s">
        <v>22</v>
      </c>
    </row>
    <row r="3333" spans="1:10" x14ac:dyDescent="0.25">
      <c r="A3333" s="1">
        <v>561</v>
      </c>
      <c r="B3333" t="s">
        <v>44</v>
      </c>
      <c r="C3333">
        <v>236</v>
      </c>
      <c r="D3333">
        <v>6</v>
      </c>
      <c r="E3333" t="s">
        <v>136</v>
      </c>
      <c r="F3333" t="s">
        <v>137</v>
      </c>
      <c r="G3333" t="str">
        <f>"2025-07-06 19:21:26.947"</f>
        <v>2025-07-06 19:21:26.947</v>
      </c>
      <c r="H3333" t="s">
        <v>22</v>
      </c>
    </row>
    <row r="3334" spans="1:10" x14ac:dyDescent="0.25">
      <c r="A3334" s="1">
        <v>562</v>
      </c>
      <c r="B3334" t="s">
        <v>34</v>
      </c>
      <c r="C3334">
        <v>118</v>
      </c>
      <c r="D3334">
        <v>6</v>
      </c>
      <c r="E3334" t="s">
        <v>134</v>
      </c>
      <c r="F3334" t="s">
        <v>135</v>
      </c>
      <c r="G3334" t="str">
        <f>"2025-07-06 19:21:26.078"</f>
        <v>2025-07-06 19:21:26.078</v>
      </c>
      <c r="H3334" t="s">
        <v>22</v>
      </c>
      <c r="I3334">
        <v>0</v>
      </c>
      <c r="J3334" t="s">
        <v>93</v>
      </c>
    </row>
    <row r="3335" spans="1:10" x14ac:dyDescent="0.25">
      <c r="A3335" s="1">
        <v>563</v>
      </c>
      <c r="B3335" t="s">
        <v>34</v>
      </c>
      <c r="C3335">
        <v>120</v>
      </c>
      <c r="D3335">
        <v>6</v>
      </c>
      <c r="E3335" t="s">
        <v>131</v>
      </c>
      <c r="F3335" t="s">
        <v>132</v>
      </c>
      <c r="G3335" t="str">
        <f>"2025-07-06 19:21:26.073"</f>
        <v>2025-07-06 19:21:26.073</v>
      </c>
      <c r="H3335" t="s">
        <v>22</v>
      </c>
      <c r="I3335">
        <v>0</v>
      </c>
      <c r="J3335" t="s">
        <v>93</v>
      </c>
    </row>
    <row r="3336" spans="1:10" x14ac:dyDescent="0.25">
      <c r="A3336" s="1">
        <v>564</v>
      </c>
      <c r="B3336" t="s">
        <v>44</v>
      </c>
      <c r="C3336">
        <v>120</v>
      </c>
      <c r="D3336">
        <v>6</v>
      </c>
      <c r="E3336" t="s">
        <v>131</v>
      </c>
      <c r="F3336" t="s">
        <v>132</v>
      </c>
      <c r="G3336" t="str">
        <f>"2025-07-06 19:21:25.947"</f>
        <v>2025-07-06 19:21:25.947</v>
      </c>
      <c r="H3336" t="s">
        <v>22</v>
      </c>
    </row>
    <row r="3337" spans="1:10" x14ac:dyDescent="0.25">
      <c r="A3337" s="1">
        <v>565</v>
      </c>
      <c r="B3337" t="s">
        <v>44</v>
      </c>
      <c r="C3337">
        <v>118</v>
      </c>
      <c r="D3337">
        <v>6</v>
      </c>
      <c r="E3337" t="s">
        <v>134</v>
      </c>
      <c r="F3337" t="s">
        <v>135</v>
      </c>
      <c r="G3337" t="str">
        <f>"2025-07-06 19:21:25.847"</f>
        <v>2025-07-06 19:21:25.847</v>
      </c>
      <c r="H3337" t="s">
        <v>22</v>
      </c>
    </row>
    <row r="3338" spans="1:10" x14ac:dyDescent="0.25">
      <c r="A3338" s="1">
        <v>566</v>
      </c>
      <c r="B3338" t="s">
        <v>34</v>
      </c>
      <c r="C3338">
        <v>236</v>
      </c>
      <c r="D3338">
        <v>6</v>
      </c>
      <c r="E3338" t="s">
        <v>136</v>
      </c>
      <c r="F3338" t="s">
        <v>137</v>
      </c>
      <c r="G3338" t="str">
        <f>"2025-07-06 19:21:21.058"</f>
        <v>2025-07-06 19:21:21.058</v>
      </c>
      <c r="H3338" t="s">
        <v>22</v>
      </c>
      <c r="I3338">
        <v>0</v>
      </c>
      <c r="J3338" t="s">
        <v>93</v>
      </c>
    </row>
    <row r="3339" spans="1:10" x14ac:dyDescent="0.25">
      <c r="A3339" s="1">
        <v>567</v>
      </c>
      <c r="B3339" t="s">
        <v>34</v>
      </c>
      <c r="C3339">
        <v>250</v>
      </c>
      <c r="D3339">
        <v>7</v>
      </c>
      <c r="E3339" t="s">
        <v>99</v>
      </c>
      <c r="F3339" t="s">
        <v>100</v>
      </c>
      <c r="G3339" t="str">
        <f>"2025-07-06 19:21:21.053"</f>
        <v>2025-07-06 19:21:21.053</v>
      </c>
      <c r="H3339" t="s">
        <v>22</v>
      </c>
      <c r="I3339">
        <v>0</v>
      </c>
      <c r="J3339" t="s">
        <v>93</v>
      </c>
    </row>
    <row r="3340" spans="1:10" x14ac:dyDescent="0.25">
      <c r="A3340" s="1">
        <v>568</v>
      </c>
      <c r="B3340" t="s">
        <v>34</v>
      </c>
      <c r="C3340">
        <v>120</v>
      </c>
      <c r="D3340">
        <v>6</v>
      </c>
      <c r="E3340" t="s">
        <v>131</v>
      </c>
      <c r="F3340" t="s">
        <v>132</v>
      </c>
      <c r="G3340" t="str">
        <f>"2025-07-06 19:21:20.762"</f>
        <v>2025-07-06 19:21:20.762</v>
      </c>
      <c r="H3340" t="s">
        <v>22</v>
      </c>
      <c r="I3340">
        <v>0</v>
      </c>
      <c r="J3340" t="s">
        <v>93</v>
      </c>
    </row>
    <row r="3341" spans="1:10" x14ac:dyDescent="0.25">
      <c r="A3341" s="1">
        <v>569</v>
      </c>
      <c r="B3341" t="s">
        <v>34</v>
      </c>
      <c r="C3341">
        <v>118</v>
      </c>
      <c r="D3341">
        <v>6</v>
      </c>
      <c r="E3341" t="s">
        <v>134</v>
      </c>
      <c r="F3341" t="s">
        <v>135</v>
      </c>
      <c r="G3341" t="str">
        <f>"2025-07-06 19:21:20.758"</f>
        <v>2025-07-06 19:21:20.758</v>
      </c>
      <c r="H3341" t="s">
        <v>22</v>
      </c>
      <c r="I3341">
        <v>0</v>
      </c>
      <c r="J3341" t="s">
        <v>93</v>
      </c>
    </row>
    <row r="3342" spans="1:10" x14ac:dyDescent="0.25">
      <c r="A3342" s="1">
        <v>570</v>
      </c>
      <c r="B3342" t="s">
        <v>29</v>
      </c>
      <c r="C3342">
        <v>107</v>
      </c>
      <c r="D3342">
        <v>3</v>
      </c>
      <c r="E3342" t="s">
        <v>106</v>
      </c>
      <c r="F3342" t="s">
        <v>133</v>
      </c>
      <c r="G3342" t="str">
        <f>"2025-07-06 19:21:20.753"</f>
        <v>2025-07-06 19:21:20.753</v>
      </c>
      <c r="H3342" t="s">
        <v>61</v>
      </c>
      <c r="I3342">
        <v>0</v>
      </c>
      <c r="J3342" t="s">
        <v>93</v>
      </c>
    </row>
    <row r="3343" spans="1:10" x14ac:dyDescent="0.25">
      <c r="A3343" s="1">
        <v>573</v>
      </c>
      <c r="B3343" t="s">
        <v>19</v>
      </c>
      <c r="C3343">
        <v>782</v>
      </c>
      <c r="D3343">
        <v>7</v>
      </c>
      <c r="E3343" t="s">
        <v>55</v>
      </c>
      <c r="F3343" t="s">
        <v>56</v>
      </c>
      <c r="G3343" t="str">
        <f>"2025-07-06 19:21:20.402"</f>
        <v>2025-07-06 19:21:20.402</v>
      </c>
      <c r="H3343" t="s">
        <v>22</v>
      </c>
      <c r="I3343">
        <v>0</v>
      </c>
      <c r="J3343" t="s">
        <v>93</v>
      </c>
    </row>
    <row r="3344" spans="1:10" x14ac:dyDescent="0.25">
      <c r="A3344" s="1">
        <v>576</v>
      </c>
      <c r="B3344" t="s">
        <v>26</v>
      </c>
      <c r="C3344">
        <v>250</v>
      </c>
      <c r="D3344">
        <v>7</v>
      </c>
      <c r="E3344" t="s">
        <v>99</v>
      </c>
      <c r="F3344" t="s">
        <v>100</v>
      </c>
      <c r="G3344" t="str">
        <f>"2025-07-06 19:21:20.391"</f>
        <v>2025-07-06 19:21:20.391</v>
      </c>
      <c r="H3344" t="s">
        <v>22</v>
      </c>
    </row>
    <row r="3345" spans="1:10" x14ac:dyDescent="0.25">
      <c r="A3345" s="1">
        <v>577</v>
      </c>
      <c r="B3345" t="s">
        <v>26</v>
      </c>
      <c r="C3345">
        <v>250</v>
      </c>
      <c r="D3345">
        <v>1</v>
      </c>
      <c r="E3345" t="s">
        <v>99</v>
      </c>
      <c r="F3345" t="s">
        <v>125</v>
      </c>
      <c r="G3345" t="str">
        <f>"2025-07-06 19:21:20.388"</f>
        <v>2025-07-06 19:21:20.388</v>
      </c>
      <c r="H3345" t="s">
        <v>22</v>
      </c>
    </row>
    <row r="3346" spans="1:10" x14ac:dyDescent="0.25">
      <c r="A3346" s="1">
        <v>578</v>
      </c>
      <c r="B3346" t="s">
        <v>26</v>
      </c>
      <c r="C3346">
        <v>236</v>
      </c>
      <c r="D3346">
        <v>6</v>
      </c>
      <c r="E3346" t="s">
        <v>136</v>
      </c>
      <c r="F3346" t="s">
        <v>137</v>
      </c>
      <c r="G3346" t="str">
        <f>"2025-07-06 19:21:20.384"</f>
        <v>2025-07-06 19:21:20.384</v>
      </c>
      <c r="H3346" t="s">
        <v>22</v>
      </c>
    </row>
    <row r="3347" spans="1:10" x14ac:dyDescent="0.25">
      <c r="A3347" s="1">
        <v>579</v>
      </c>
      <c r="B3347" t="s">
        <v>26</v>
      </c>
      <c r="C3347">
        <v>120</v>
      </c>
      <c r="D3347">
        <v>6</v>
      </c>
      <c r="E3347" t="s">
        <v>131</v>
      </c>
      <c r="F3347" t="s">
        <v>132</v>
      </c>
      <c r="G3347" t="str">
        <f>"2025-07-06 19:21:20.380"</f>
        <v>2025-07-06 19:21:20.380</v>
      </c>
      <c r="H3347" t="s">
        <v>22</v>
      </c>
    </row>
    <row r="3348" spans="1:10" x14ac:dyDescent="0.25">
      <c r="A3348" s="1">
        <v>580</v>
      </c>
      <c r="B3348" t="s">
        <v>26</v>
      </c>
      <c r="C3348">
        <v>118</v>
      </c>
      <c r="D3348">
        <v>6</v>
      </c>
      <c r="E3348" t="s">
        <v>134</v>
      </c>
      <c r="F3348" t="s">
        <v>135</v>
      </c>
      <c r="G3348" t="str">
        <f>"2025-07-06 19:21:20.377"</f>
        <v>2025-07-06 19:21:20.377</v>
      </c>
      <c r="H3348" t="s">
        <v>22</v>
      </c>
    </row>
    <row r="3349" spans="1:10" x14ac:dyDescent="0.25">
      <c r="A3349" s="1">
        <v>581</v>
      </c>
      <c r="B3349" t="s">
        <v>26</v>
      </c>
      <c r="C3349">
        <v>107</v>
      </c>
      <c r="D3349">
        <v>3</v>
      </c>
      <c r="E3349" t="s">
        <v>106</v>
      </c>
      <c r="F3349" t="s">
        <v>133</v>
      </c>
      <c r="G3349" t="str">
        <f>"2025-07-06 19:21:20.371"</f>
        <v>2025-07-06 19:21:20.371</v>
      </c>
      <c r="H3349" t="s">
        <v>61</v>
      </c>
    </row>
    <row r="3350" spans="1:10" x14ac:dyDescent="0.25">
      <c r="A3350" s="1">
        <v>582</v>
      </c>
      <c r="B3350" t="s">
        <v>19</v>
      </c>
      <c r="C3350">
        <v>782</v>
      </c>
      <c r="D3350">
        <v>7</v>
      </c>
      <c r="E3350" t="s">
        <v>55</v>
      </c>
      <c r="F3350" t="s">
        <v>56</v>
      </c>
      <c r="G3350" t="str">
        <f>"2025-07-06 19:21:20.370"</f>
        <v>2025-07-06 19:21:20.370</v>
      </c>
      <c r="H3350" t="s">
        <v>22</v>
      </c>
      <c r="I3350">
        <v>0</v>
      </c>
      <c r="J3350" t="s">
        <v>93</v>
      </c>
    </row>
    <row r="3351" spans="1:10" x14ac:dyDescent="0.25">
      <c r="A3351" s="1">
        <v>583</v>
      </c>
      <c r="B3351" t="s">
        <v>29</v>
      </c>
      <c r="C3351">
        <v>236</v>
      </c>
      <c r="D3351">
        <v>6</v>
      </c>
      <c r="E3351" t="s">
        <v>136</v>
      </c>
      <c r="F3351" t="s">
        <v>137</v>
      </c>
      <c r="G3351" t="str">
        <f>"2025-07-06 19:20:29.713"</f>
        <v>2025-07-06 19:20:29.713</v>
      </c>
      <c r="H3351" t="s">
        <v>22</v>
      </c>
      <c r="I3351">
        <v>0</v>
      </c>
      <c r="J3351" t="s">
        <v>93</v>
      </c>
    </row>
    <row r="3352" spans="1:10" x14ac:dyDescent="0.25">
      <c r="A3352" s="1">
        <v>584</v>
      </c>
      <c r="B3352" t="s">
        <v>44</v>
      </c>
      <c r="C3352">
        <v>236</v>
      </c>
      <c r="D3352">
        <v>6</v>
      </c>
      <c r="E3352" t="s">
        <v>136</v>
      </c>
      <c r="F3352" t="s">
        <v>137</v>
      </c>
      <c r="G3352" t="str">
        <f>"2025-07-06 19:20:29.549"</f>
        <v>2025-07-06 19:20:29.549</v>
      </c>
      <c r="H3352" t="s">
        <v>22</v>
      </c>
    </row>
    <row r="3353" spans="1:10" x14ac:dyDescent="0.25">
      <c r="A3353" s="1">
        <v>585</v>
      </c>
      <c r="B3353" t="s">
        <v>29</v>
      </c>
      <c r="C3353">
        <v>118</v>
      </c>
      <c r="D3353">
        <v>6</v>
      </c>
      <c r="E3353" t="s">
        <v>134</v>
      </c>
      <c r="F3353" t="s">
        <v>135</v>
      </c>
      <c r="G3353" t="str">
        <f>"2025-07-06 19:20:28.598"</f>
        <v>2025-07-06 19:20:28.598</v>
      </c>
      <c r="H3353" t="s">
        <v>22</v>
      </c>
      <c r="I3353">
        <v>0</v>
      </c>
      <c r="J3353" t="s">
        <v>93</v>
      </c>
    </row>
    <row r="3354" spans="1:10" x14ac:dyDescent="0.25">
      <c r="A3354" s="1">
        <v>586</v>
      </c>
      <c r="B3354" t="s">
        <v>29</v>
      </c>
      <c r="C3354">
        <v>120</v>
      </c>
      <c r="D3354">
        <v>6</v>
      </c>
      <c r="E3354" t="s">
        <v>131</v>
      </c>
      <c r="F3354" t="s">
        <v>132</v>
      </c>
      <c r="G3354" t="str">
        <f>"2025-07-06 19:20:28.593"</f>
        <v>2025-07-06 19:20:28.593</v>
      </c>
      <c r="H3354" t="s">
        <v>22</v>
      </c>
      <c r="I3354">
        <v>0</v>
      </c>
      <c r="J3354" t="s">
        <v>93</v>
      </c>
    </row>
    <row r="3355" spans="1:10" x14ac:dyDescent="0.25">
      <c r="A3355" s="1">
        <v>587</v>
      </c>
      <c r="B3355" t="s">
        <v>44</v>
      </c>
      <c r="C3355">
        <v>120</v>
      </c>
      <c r="D3355">
        <v>6</v>
      </c>
      <c r="E3355" t="s">
        <v>131</v>
      </c>
      <c r="F3355" t="s">
        <v>132</v>
      </c>
      <c r="G3355" t="str">
        <f>"2025-07-06 19:20:27.950"</f>
        <v>2025-07-06 19:20:27.950</v>
      </c>
      <c r="H3355" t="s">
        <v>22</v>
      </c>
    </row>
    <row r="3356" spans="1:10" x14ac:dyDescent="0.25">
      <c r="A3356" s="1">
        <v>588</v>
      </c>
      <c r="B3356" t="s">
        <v>44</v>
      </c>
      <c r="C3356">
        <v>118</v>
      </c>
      <c r="D3356">
        <v>6</v>
      </c>
      <c r="E3356" t="s">
        <v>134</v>
      </c>
      <c r="F3356" t="s">
        <v>135</v>
      </c>
      <c r="G3356" t="str">
        <f>"2025-07-06 19:20:27.849"</f>
        <v>2025-07-06 19:20:27.849</v>
      </c>
      <c r="H3356" t="s">
        <v>22</v>
      </c>
    </row>
    <row r="3357" spans="1:10" x14ac:dyDescent="0.25">
      <c r="A3357" s="1">
        <v>589</v>
      </c>
      <c r="B3357" t="s">
        <v>34</v>
      </c>
      <c r="C3357">
        <v>236</v>
      </c>
      <c r="D3357">
        <v>6</v>
      </c>
      <c r="E3357" t="s">
        <v>136</v>
      </c>
      <c r="F3357" t="s">
        <v>137</v>
      </c>
      <c r="G3357" t="str">
        <f>"2025-07-06 19:20:23.633"</f>
        <v>2025-07-06 19:20:23.633</v>
      </c>
      <c r="H3357" t="s">
        <v>22</v>
      </c>
      <c r="I3357">
        <v>0</v>
      </c>
      <c r="J3357" t="s">
        <v>93</v>
      </c>
    </row>
    <row r="3358" spans="1:10" x14ac:dyDescent="0.25">
      <c r="A3358" s="1">
        <v>590</v>
      </c>
      <c r="B3358" t="s">
        <v>44</v>
      </c>
      <c r="C3358">
        <v>236</v>
      </c>
      <c r="D3358">
        <v>6</v>
      </c>
      <c r="E3358" t="s">
        <v>136</v>
      </c>
      <c r="F3358" t="s">
        <v>137</v>
      </c>
      <c r="G3358" t="str">
        <f>"2025-07-06 19:20:23.349"</f>
        <v>2025-07-06 19:20:23.349</v>
      </c>
      <c r="H3358" t="s">
        <v>22</v>
      </c>
    </row>
    <row r="3359" spans="1:10" x14ac:dyDescent="0.25">
      <c r="A3359" s="1">
        <v>591</v>
      </c>
      <c r="B3359" t="s">
        <v>34</v>
      </c>
      <c r="C3359">
        <v>118</v>
      </c>
      <c r="D3359">
        <v>6</v>
      </c>
      <c r="E3359" t="s">
        <v>134</v>
      </c>
      <c r="F3359" t="s">
        <v>135</v>
      </c>
      <c r="G3359" t="str">
        <f>"2025-07-06 19:20:22.758"</f>
        <v>2025-07-06 19:20:22.758</v>
      </c>
      <c r="H3359" t="s">
        <v>22</v>
      </c>
      <c r="I3359">
        <v>0</v>
      </c>
      <c r="J3359" t="s">
        <v>93</v>
      </c>
    </row>
    <row r="3360" spans="1:10" x14ac:dyDescent="0.25">
      <c r="A3360" s="1">
        <v>592</v>
      </c>
      <c r="B3360" t="s">
        <v>34</v>
      </c>
      <c r="C3360">
        <v>120</v>
      </c>
      <c r="D3360">
        <v>6</v>
      </c>
      <c r="E3360" t="s">
        <v>131</v>
      </c>
      <c r="F3360" t="s">
        <v>132</v>
      </c>
      <c r="G3360" t="str">
        <f>"2025-07-06 19:20:22.753"</f>
        <v>2025-07-06 19:20:22.753</v>
      </c>
      <c r="H3360" t="s">
        <v>22</v>
      </c>
      <c r="I3360">
        <v>0</v>
      </c>
      <c r="J3360" t="s">
        <v>93</v>
      </c>
    </row>
    <row r="3361" spans="1:10" x14ac:dyDescent="0.25">
      <c r="A3361" s="1">
        <v>593</v>
      </c>
      <c r="B3361" t="s">
        <v>44</v>
      </c>
      <c r="C3361">
        <v>120</v>
      </c>
      <c r="D3361">
        <v>6</v>
      </c>
      <c r="E3361" t="s">
        <v>131</v>
      </c>
      <c r="F3361" t="s">
        <v>132</v>
      </c>
      <c r="G3361" t="str">
        <f>"2025-07-06 19:20:22.552"</f>
        <v>2025-07-06 19:20:22.552</v>
      </c>
      <c r="H3361" t="s">
        <v>22</v>
      </c>
    </row>
    <row r="3362" spans="1:10" x14ac:dyDescent="0.25">
      <c r="A3362" s="1">
        <v>594</v>
      </c>
      <c r="B3362" t="s">
        <v>44</v>
      </c>
      <c r="C3362">
        <v>118</v>
      </c>
      <c r="D3362">
        <v>6</v>
      </c>
      <c r="E3362" t="s">
        <v>134</v>
      </c>
      <c r="F3362" t="s">
        <v>135</v>
      </c>
      <c r="G3362" t="str">
        <f>"2025-07-06 19:20:22.545"</f>
        <v>2025-07-06 19:20:22.545</v>
      </c>
      <c r="H3362" t="s">
        <v>22</v>
      </c>
    </row>
    <row r="3363" spans="1:10" x14ac:dyDescent="0.25">
      <c r="A3363" s="1">
        <v>595</v>
      </c>
      <c r="B3363" t="s">
        <v>34</v>
      </c>
      <c r="C3363">
        <v>236</v>
      </c>
      <c r="D3363">
        <v>6</v>
      </c>
      <c r="E3363" t="s">
        <v>136</v>
      </c>
      <c r="F3363" t="s">
        <v>137</v>
      </c>
      <c r="G3363" t="str">
        <f>"2025-07-06 19:20:18.313"</f>
        <v>2025-07-06 19:20:18.313</v>
      </c>
      <c r="H3363" t="s">
        <v>22</v>
      </c>
      <c r="I3363">
        <v>0</v>
      </c>
      <c r="J3363" t="s">
        <v>93</v>
      </c>
    </row>
    <row r="3364" spans="1:10" x14ac:dyDescent="0.25">
      <c r="A3364" s="1">
        <v>596</v>
      </c>
      <c r="B3364" t="s">
        <v>34</v>
      </c>
      <c r="C3364">
        <v>118</v>
      </c>
      <c r="D3364">
        <v>6</v>
      </c>
      <c r="E3364" t="s">
        <v>134</v>
      </c>
      <c r="F3364" t="s">
        <v>135</v>
      </c>
      <c r="G3364" t="str">
        <f>"2025-07-06 19:20:17.478"</f>
        <v>2025-07-06 19:20:17.478</v>
      </c>
      <c r="H3364" t="s">
        <v>22</v>
      </c>
      <c r="I3364">
        <v>0</v>
      </c>
      <c r="J3364" t="s">
        <v>93</v>
      </c>
    </row>
    <row r="3365" spans="1:10" x14ac:dyDescent="0.25">
      <c r="A3365" s="1">
        <v>597</v>
      </c>
      <c r="B3365" t="s">
        <v>34</v>
      </c>
      <c r="C3365">
        <v>120</v>
      </c>
      <c r="D3365">
        <v>6</v>
      </c>
      <c r="E3365" t="s">
        <v>131</v>
      </c>
      <c r="F3365" t="s">
        <v>132</v>
      </c>
      <c r="G3365" t="str">
        <f>"2025-07-06 19:20:17.473"</f>
        <v>2025-07-06 19:20:17.473</v>
      </c>
      <c r="H3365" t="s">
        <v>22</v>
      </c>
      <c r="I3365">
        <v>0</v>
      </c>
      <c r="J3365" t="s">
        <v>93</v>
      </c>
    </row>
    <row r="3366" spans="1:10" x14ac:dyDescent="0.25">
      <c r="A3366" s="1">
        <v>598</v>
      </c>
      <c r="B3366" t="s">
        <v>44</v>
      </c>
      <c r="C3366">
        <v>236</v>
      </c>
      <c r="D3366">
        <v>6</v>
      </c>
      <c r="E3366" t="s">
        <v>136</v>
      </c>
      <c r="F3366" t="s">
        <v>137</v>
      </c>
      <c r="G3366" t="str">
        <f>"2025-07-06 19:20:17.449"</f>
        <v>2025-07-06 19:20:17.449</v>
      </c>
      <c r="H3366" t="s">
        <v>22</v>
      </c>
    </row>
    <row r="3367" spans="1:10" x14ac:dyDescent="0.25">
      <c r="A3367" s="1">
        <v>599</v>
      </c>
      <c r="B3367" t="s">
        <v>44</v>
      </c>
      <c r="C3367">
        <v>120</v>
      </c>
      <c r="D3367">
        <v>6</v>
      </c>
      <c r="E3367" t="s">
        <v>131</v>
      </c>
      <c r="F3367" t="s">
        <v>132</v>
      </c>
      <c r="G3367" t="str">
        <f>"2025-07-06 19:20:17.349"</f>
        <v>2025-07-06 19:20:17.349</v>
      </c>
      <c r="H3367" t="s">
        <v>22</v>
      </c>
    </row>
    <row r="3368" spans="1:10" x14ac:dyDescent="0.25">
      <c r="A3368" s="1">
        <v>600</v>
      </c>
      <c r="B3368" t="s">
        <v>44</v>
      </c>
      <c r="C3368">
        <v>118</v>
      </c>
      <c r="D3368">
        <v>6</v>
      </c>
      <c r="E3368" t="s">
        <v>134</v>
      </c>
      <c r="F3368" t="s">
        <v>135</v>
      </c>
      <c r="G3368" t="str">
        <f>"2025-07-06 19:20:17.249"</f>
        <v>2025-07-06 19:20:17.249</v>
      </c>
      <c r="H3368" t="s">
        <v>22</v>
      </c>
    </row>
    <row r="3369" spans="1:10" x14ac:dyDescent="0.25">
      <c r="A3369" s="1">
        <v>601</v>
      </c>
      <c r="B3369" t="s">
        <v>34</v>
      </c>
      <c r="C3369">
        <v>236</v>
      </c>
      <c r="D3369">
        <v>6</v>
      </c>
      <c r="E3369" t="s">
        <v>136</v>
      </c>
      <c r="F3369" t="s">
        <v>137</v>
      </c>
      <c r="G3369" t="str">
        <f>"2025-07-06 19:20:12.293"</f>
        <v>2025-07-06 19:20:12.293</v>
      </c>
      <c r="H3369" t="s">
        <v>22</v>
      </c>
      <c r="I3369">
        <v>0</v>
      </c>
      <c r="J3369" t="s">
        <v>93</v>
      </c>
    </row>
    <row r="3370" spans="1:10" x14ac:dyDescent="0.25">
      <c r="A3370" s="1">
        <v>602</v>
      </c>
      <c r="B3370" t="s">
        <v>34</v>
      </c>
      <c r="C3370">
        <v>120</v>
      </c>
      <c r="D3370">
        <v>6</v>
      </c>
      <c r="E3370" t="s">
        <v>131</v>
      </c>
      <c r="F3370" t="s">
        <v>132</v>
      </c>
      <c r="G3370" t="str">
        <f>"2025-07-06 19:20:12.222"</f>
        <v>2025-07-06 19:20:12.222</v>
      </c>
      <c r="H3370" t="s">
        <v>22</v>
      </c>
      <c r="I3370">
        <v>0</v>
      </c>
      <c r="J3370" t="s">
        <v>93</v>
      </c>
    </row>
    <row r="3371" spans="1:10" x14ac:dyDescent="0.25">
      <c r="A3371" s="1">
        <v>603</v>
      </c>
      <c r="B3371" t="s">
        <v>34</v>
      </c>
      <c r="C3371">
        <v>118</v>
      </c>
      <c r="D3371">
        <v>6</v>
      </c>
      <c r="E3371" t="s">
        <v>134</v>
      </c>
      <c r="F3371" t="s">
        <v>135</v>
      </c>
      <c r="G3371" t="str">
        <f>"2025-07-06 19:20:12.213"</f>
        <v>2025-07-06 19:20:12.213</v>
      </c>
      <c r="H3371" t="s">
        <v>22</v>
      </c>
      <c r="I3371">
        <v>0</v>
      </c>
      <c r="J3371" t="s">
        <v>93</v>
      </c>
    </row>
    <row r="3372" spans="1:10" x14ac:dyDescent="0.25">
      <c r="A3372" s="1">
        <v>604</v>
      </c>
      <c r="B3372" t="s">
        <v>19</v>
      </c>
      <c r="C3372">
        <v>700</v>
      </c>
      <c r="D3372">
        <v>0</v>
      </c>
      <c r="E3372" t="s">
        <v>24</v>
      </c>
      <c r="F3372" t="s">
        <v>24</v>
      </c>
      <c r="G3372" t="str">
        <f>"2025-07-06 19:20:04.679"</f>
        <v>2025-07-06 19:20:04.679</v>
      </c>
      <c r="H3372" t="s">
        <v>22</v>
      </c>
      <c r="I3372">
        <v>0</v>
      </c>
      <c r="J3372" t="s">
        <v>25</v>
      </c>
    </row>
    <row r="3373" spans="1:10" x14ac:dyDescent="0.25">
      <c r="A3373" s="1">
        <v>605</v>
      </c>
      <c r="B3373" t="s">
        <v>44</v>
      </c>
      <c r="C3373">
        <v>120</v>
      </c>
      <c r="D3373">
        <v>6</v>
      </c>
      <c r="E3373" t="s">
        <v>131</v>
      </c>
      <c r="F3373" t="s">
        <v>132</v>
      </c>
      <c r="G3373" t="str">
        <f>"2025-07-06 19:17:56.516"</f>
        <v>2025-07-06 19:17:56.516</v>
      </c>
      <c r="H3373" t="s">
        <v>22</v>
      </c>
    </row>
    <row r="3374" spans="1:10" x14ac:dyDescent="0.25">
      <c r="A3374" s="1">
        <v>606</v>
      </c>
      <c r="B3374" t="s">
        <v>44</v>
      </c>
      <c r="C3374">
        <v>236</v>
      </c>
      <c r="D3374">
        <v>6</v>
      </c>
      <c r="E3374" t="s">
        <v>136</v>
      </c>
      <c r="F3374" t="s">
        <v>137</v>
      </c>
      <c r="G3374" t="str">
        <f>"2025-07-06 19:17:51.516"</f>
        <v>2025-07-06 19:17:51.516</v>
      </c>
      <c r="H3374" t="s">
        <v>22</v>
      </c>
    </row>
    <row r="3375" spans="1:10" x14ac:dyDescent="0.25">
      <c r="A3375" s="1">
        <v>607</v>
      </c>
      <c r="B3375" t="s">
        <v>34</v>
      </c>
      <c r="C3375">
        <v>120</v>
      </c>
      <c r="D3375">
        <v>6</v>
      </c>
      <c r="E3375" t="s">
        <v>131</v>
      </c>
      <c r="F3375" t="s">
        <v>132</v>
      </c>
      <c r="G3375" t="str">
        <f>"2025-07-06 19:17:51.501"</f>
        <v>2025-07-06 19:17:51.501</v>
      </c>
      <c r="H3375" t="s">
        <v>22</v>
      </c>
      <c r="I3375">
        <v>0</v>
      </c>
      <c r="J3375" t="s">
        <v>93</v>
      </c>
    </row>
    <row r="3376" spans="1:10" x14ac:dyDescent="0.25">
      <c r="A3376" s="1">
        <v>608</v>
      </c>
      <c r="B3376" t="s">
        <v>44</v>
      </c>
      <c r="C3376">
        <v>120</v>
      </c>
      <c r="D3376">
        <v>6</v>
      </c>
      <c r="E3376" t="s">
        <v>131</v>
      </c>
      <c r="F3376" t="s">
        <v>132</v>
      </c>
      <c r="G3376" t="str">
        <f>"2025-07-06 19:17:51.416"</f>
        <v>2025-07-06 19:17:51.416</v>
      </c>
      <c r="H3376" t="s">
        <v>22</v>
      </c>
    </row>
    <row r="3377" spans="1:10" x14ac:dyDescent="0.25">
      <c r="A3377" s="1">
        <v>609</v>
      </c>
      <c r="B3377" t="s">
        <v>44</v>
      </c>
      <c r="C3377">
        <v>118</v>
      </c>
      <c r="D3377">
        <v>6</v>
      </c>
      <c r="E3377" t="s">
        <v>134</v>
      </c>
      <c r="F3377" t="s">
        <v>135</v>
      </c>
      <c r="G3377" t="str">
        <f>"2025-07-06 19:17:51.317"</f>
        <v>2025-07-06 19:17:51.317</v>
      </c>
      <c r="H3377" t="s">
        <v>22</v>
      </c>
    </row>
    <row r="3378" spans="1:10" x14ac:dyDescent="0.25">
      <c r="A3378" s="1">
        <v>610</v>
      </c>
      <c r="B3378" t="s">
        <v>34</v>
      </c>
      <c r="C3378">
        <v>236</v>
      </c>
      <c r="D3378">
        <v>6</v>
      </c>
      <c r="E3378" t="s">
        <v>136</v>
      </c>
      <c r="F3378" t="s">
        <v>137</v>
      </c>
      <c r="G3378" t="str">
        <f>"2025-07-06 19:17:46.430"</f>
        <v>2025-07-06 19:17:46.430</v>
      </c>
      <c r="H3378" t="s">
        <v>22</v>
      </c>
      <c r="I3378">
        <v>0</v>
      </c>
      <c r="J3378" t="s">
        <v>93</v>
      </c>
    </row>
    <row r="3379" spans="1:10" x14ac:dyDescent="0.25">
      <c r="A3379" s="1">
        <v>611</v>
      </c>
      <c r="B3379" t="s">
        <v>29</v>
      </c>
      <c r="C3379">
        <v>250</v>
      </c>
      <c r="D3379">
        <v>1</v>
      </c>
      <c r="E3379" t="s">
        <v>99</v>
      </c>
      <c r="F3379" t="s">
        <v>125</v>
      </c>
      <c r="G3379" t="str">
        <f>"2025-07-06 19:17:46.426"</f>
        <v>2025-07-06 19:17:46.426</v>
      </c>
      <c r="H3379" t="s">
        <v>22</v>
      </c>
      <c r="I3379">
        <v>0</v>
      </c>
      <c r="J3379" t="s">
        <v>93</v>
      </c>
    </row>
    <row r="3380" spans="1:10" x14ac:dyDescent="0.25">
      <c r="A3380" s="1">
        <v>612</v>
      </c>
      <c r="B3380" t="s">
        <v>29</v>
      </c>
      <c r="C3380">
        <v>250</v>
      </c>
      <c r="D3380">
        <v>7</v>
      </c>
      <c r="E3380" t="s">
        <v>99</v>
      </c>
      <c r="F3380" t="s">
        <v>100</v>
      </c>
      <c r="G3380" t="str">
        <f>"2025-07-06 19:17:46.421"</f>
        <v>2025-07-06 19:17:46.421</v>
      </c>
      <c r="H3380" t="s">
        <v>22</v>
      </c>
      <c r="I3380">
        <v>0</v>
      </c>
      <c r="J3380" t="s">
        <v>93</v>
      </c>
    </row>
    <row r="3381" spans="1:10" x14ac:dyDescent="0.25">
      <c r="A3381" s="1">
        <v>613</v>
      </c>
      <c r="B3381" t="s">
        <v>44</v>
      </c>
      <c r="C3381">
        <v>250</v>
      </c>
      <c r="D3381">
        <v>7</v>
      </c>
      <c r="E3381" t="s">
        <v>99</v>
      </c>
      <c r="F3381" t="s">
        <v>100</v>
      </c>
      <c r="G3381" t="str">
        <f>"2025-07-06 19:17:46.317"</f>
        <v>2025-07-06 19:17:46.317</v>
      </c>
      <c r="H3381" t="s">
        <v>22</v>
      </c>
    </row>
    <row r="3382" spans="1:10" x14ac:dyDescent="0.25">
      <c r="A3382" s="1">
        <v>614</v>
      </c>
      <c r="B3382" t="s">
        <v>44</v>
      </c>
      <c r="C3382">
        <v>250</v>
      </c>
      <c r="D3382">
        <v>1</v>
      </c>
      <c r="E3382" t="s">
        <v>99</v>
      </c>
      <c r="F3382" t="s">
        <v>125</v>
      </c>
      <c r="G3382" t="str">
        <f>"2025-07-06 19:17:46.315"</f>
        <v>2025-07-06 19:17:46.315</v>
      </c>
      <c r="H3382" t="s">
        <v>22</v>
      </c>
    </row>
    <row r="3383" spans="1:10" x14ac:dyDescent="0.25">
      <c r="A3383" s="1">
        <v>615</v>
      </c>
      <c r="B3383" t="s">
        <v>34</v>
      </c>
      <c r="C3383">
        <v>118</v>
      </c>
      <c r="D3383">
        <v>6</v>
      </c>
      <c r="E3383" t="s">
        <v>134</v>
      </c>
      <c r="F3383" t="s">
        <v>135</v>
      </c>
      <c r="G3383" t="str">
        <f>"2025-07-06 19:17:46.226"</f>
        <v>2025-07-06 19:17:46.226</v>
      </c>
      <c r="H3383" t="s">
        <v>22</v>
      </c>
      <c r="I3383">
        <v>0</v>
      </c>
      <c r="J3383" t="s">
        <v>93</v>
      </c>
    </row>
    <row r="3384" spans="1:10" x14ac:dyDescent="0.25">
      <c r="A3384" s="1">
        <v>616</v>
      </c>
      <c r="B3384" t="s">
        <v>34</v>
      </c>
      <c r="C3384">
        <v>120</v>
      </c>
      <c r="D3384">
        <v>6</v>
      </c>
      <c r="E3384" t="s">
        <v>131</v>
      </c>
      <c r="F3384" t="s">
        <v>132</v>
      </c>
      <c r="G3384" t="str">
        <f>"2025-07-06 19:17:46.221"</f>
        <v>2025-07-06 19:17:46.221</v>
      </c>
      <c r="H3384" t="s">
        <v>22</v>
      </c>
      <c r="I3384">
        <v>0</v>
      </c>
      <c r="J3384" t="s">
        <v>93</v>
      </c>
    </row>
    <row r="3385" spans="1:10" x14ac:dyDescent="0.25">
      <c r="A3385" s="1">
        <v>617</v>
      </c>
      <c r="B3385" t="s">
        <v>44</v>
      </c>
      <c r="C3385">
        <v>236</v>
      </c>
      <c r="D3385">
        <v>6</v>
      </c>
      <c r="E3385" t="s">
        <v>136</v>
      </c>
      <c r="F3385" t="s">
        <v>137</v>
      </c>
      <c r="G3385" t="str">
        <f>"2025-07-06 19:17:46.215"</f>
        <v>2025-07-06 19:17:46.215</v>
      </c>
      <c r="H3385" t="s">
        <v>22</v>
      </c>
    </row>
    <row r="3386" spans="1:10" x14ac:dyDescent="0.25">
      <c r="A3386" s="1">
        <v>618</v>
      </c>
      <c r="B3386" t="s">
        <v>44</v>
      </c>
      <c r="C3386">
        <v>120</v>
      </c>
      <c r="D3386">
        <v>6</v>
      </c>
      <c r="E3386" t="s">
        <v>131</v>
      </c>
      <c r="F3386" t="s">
        <v>132</v>
      </c>
      <c r="G3386" t="str">
        <f>"2025-07-06 19:17:46.115"</f>
        <v>2025-07-06 19:17:46.115</v>
      </c>
      <c r="H3386" t="s">
        <v>22</v>
      </c>
    </row>
    <row r="3387" spans="1:10" x14ac:dyDescent="0.25">
      <c r="A3387" s="1">
        <v>619</v>
      </c>
      <c r="B3387" t="s">
        <v>44</v>
      </c>
      <c r="C3387">
        <v>118</v>
      </c>
      <c r="D3387">
        <v>6</v>
      </c>
      <c r="E3387" t="s">
        <v>134</v>
      </c>
      <c r="F3387" t="s">
        <v>135</v>
      </c>
      <c r="G3387" t="str">
        <f>"2025-07-06 19:17:46.015"</f>
        <v>2025-07-06 19:17:46.015</v>
      </c>
      <c r="H3387" t="s">
        <v>22</v>
      </c>
    </row>
    <row r="3388" spans="1:10" x14ac:dyDescent="0.25">
      <c r="A3388" s="1">
        <v>622</v>
      </c>
      <c r="B3388" t="s">
        <v>34</v>
      </c>
      <c r="C3388">
        <v>236</v>
      </c>
      <c r="D3388">
        <v>6</v>
      </c>
      <c r="E3388" t="s">
        <v>136</v>
      </c>
      <c r="F3388" t="s">
        <v>137</v>
      </c>
      <c r="G3388" t="str">
        <f>"2025-07-06 19:17:41.150"</f>
        <v>2025-07-06 19:17:41.150</v>
      </c>
      <c r="H3388" t="s">
        <v>22</v>
      </c>
      <c r="I3388">
        <v>0</v>
      </c>
      <c r="J3388" t="s">
        <v>93</v>
      </c>
    </row>
    <row r="3389" spans="1:10" x14ac:dyDescent="0.25">
      <c r="A3389" s="1">
        <v>623</v>
      </c>
      <c r="B3389" t="s">
        <v>34</v>
      </c>
      <c r="C3389">
        <v>250</v>
      </c>
      <c r="D3389">
        <v>1</v>
      </c>
      <c r="E3389" t="s">
        <v>99</v>
      </c>
      <c r="F3389" t="s">
        <v>125</v>
      </c>
      <c r="G3389" t="str">
        <f>"2025-07-06 19:17:41.146"</f>
        <v>2025-07-06 19:17:41.146</v>
      </c>
      <c r="H3389" t="s">
        <v>22</v>
      </c>
      <c r="I3389">
        <v>0</v>
      </c>
      <c r="J3389" t="s">
        <v>93</v>
      </c>
    </row>
    <row r="3390" spans="1:10" x14ac:dyDescent="0.25">
      <c r="A3390" s="1">
        <v>624</v>
      </c>
      <c r="B3390" t="s">
        <v>34</v>
      </c>
      <c r="C3390">
        <v>250</v>
      </c>
      <c r="D3390">
        <v>7</v>
      </c>
      <c r="E3390" t="s">
        <v>99</v>
      </c>
      <c r="F3390" t="s">
        <v>100</v>
      </c>
      <c r="G3390" t="str">
        <f>"2025-07-06 19:17:41.141"</f>
        <v>2025-07-06 19:17:41.141</v>
      </c>
      <c r="H3390" t="s">
        <v>22</v>
      </c>
      <c r="I3390">
        <v>0</v>
      </c>
      <c r="J3390" t="s">
        <v>93</v>
      </c>
    </row>
    <row r="3391" spans="1:10" x14ac:dyDescent="0.25">
      <c r="A3391" s="1">
        <v>625</v>
      </c>
      <c r="B3391" t="s">
        <v>29</v>
      </c>
      <c r="C3391">
        <v>107</v>
      </c>
      <c r="D3391">
        <v>3</v>
      </c>
      <c r="E3391" t="s">
        <v>106</v>
      </c>
      <c r="F3391" t="s">
        <v>133</v>
      </c>
      <c r="G3391" t="str">
        <f>"2025-07-06 19:17:40.970"</f>
        <v>2025-07-06 19:17:40.970</v>
      </c>
      <c r="H3391" t="s">
        <v>61</v>
      </c>
      <c r="I3391">
        <v>0</v>
      </c>
      <c r="J3391" t="s">
        <v>93</v>
      </c>
    </row>
    <row r="3392" spans="1:10" x14ac:dyDescent="0.25">
      <c r="A3392" s="1">
        <v>626</v>
      </c>
      <c r="B3392" t="s">
        <v>34</v>
      </c>
      <c r="C3392">
        <v>118</v>
      </c>
      <c r="D3392">
        <v>6</v>
      </c>
      <c r="E3392" t="s">
        <v>134</v>
      </c>
      <c r="F3392" t="s">
        <v>135</v>
      </c>
      <c r="G3392" t="str">
        <f>"2025-07-06 19:17:40.966"</f>
        <v>2025-07-06 19:17:40.966</v>
      </c>
      <c r="H3392" t="s">
        <v>22</v>
      </c>
      <c r="I3392">
        <v>0</v>
      </c>
      <c r="J3392" t="s">
        <v>93</v>
      </c>
    </row>
    <row r="3393" spans="1:10" x14ac:dyDescent="0.25">
      <c r="A3393" s="1">
        <v>627</v>
      </c>
      <c r="B3393" t="s">
        <v>34</v>
      </c>
      <c r="C3393">
        <v>120</v>
      </c>
      <c r="D3393">
        <v>6</v>
      </c>
      <c r="E3393" t="s">
        <v>131</v>
      </c>
      <c r="F3393" t="s">
        <v>132</v>
      </c>
      <c r="G3393" t="str">
        <f>"2025-07-06 19:17:40.961"</f>
        <v>2025-07-06 19:17:40.961</v>
      </c>
      <c r="H3393" t="s">
        <v>22</v>
      </c>
      <c r="I3393">
        <v>0</v>
      </c>
      <c r="J3393" t="s">
        <v>93</v>
      </c>
    </row>
    <row r="3394" spans="1:10" x14ac:dyDescent="0.25">
      <c r="A3394" s="1">
        <v>628</v>
      </c>
      <c r="B3394" t="s">
        <v>19</v>
      </c>
      <c r="C3394">
        <v>782</v>
      </c>
      <c r="D3394">
        <v>7</v>
      </c>
      <c r="E3394" t="s">
        <v>55</v>
      </c>
      <c r="F3394" t="s">
        <v>56</v>
      </c>
      <c r="G3394" t="str">
        <f>"2025-07-06 19:17:40.794"</f>
        <v>2025-07-06 19:17:40.794</v>
      </c>
      <c r="H3394" t="s">
        <v>22</v>
      </c>
      <c r="I3394">
        <v>0</v>
      </c>
      <c r="J3394" t="s">
        <v>93</v>
      </c>
    </row>
    <row r="3395" spans="1:10" x14ac:dyDescent="0.25">
      <c r="A3395" s="1">
        <v>631</v>
      </c>
      <c r="B3395" t="s">
        <v>26</v>
      </c>
      <c r="C3395">
        <v>250</v>
      </c>
      <c r="D3395">
        <v>7</v>
      </c>
      <c r="E3395" t="s">
        <v>99</v>
      </c>
      <c r="F3395" t="s">
        <v>100</v>
      </c>
      <c r="G3395" t="str">
        <f>"2025-07-06 19:17:40.784"</f>
        <v>2025-07-06 19:17:40.784</v>
      </c>
      <c r="H3395" t="s">
        <v>22</v>
      </c>
    </row>
    <row r="3396" spans="1:10" x14ac:dyDescent="0.25">
      <c r="A3396" s="1">
        <v>632</v>
      </c>
      <c r="B3396" t="s">
        <v>26</v>
      </c>
      <c r="C3396">
        <v>250</v>
      </c>
      <c r="D3396">
        <v>1</v>
      </c>
      <c r="E3396" t="s">
        <v>99</v>
      </c>
      <c r="F3396" t="s">
        <v>125</v>
      </c>
      <c r="G3396" t="str">
        <f>"2025-07-06 19:17:40.779"</f>
        <v>2025-07-06 19:17:40.779</v>
      </c>
      <c r="H3396" t="s">
        <v>22</v>
      </c>
    </row>
    <row r="3397" spans="1:10" x14ac:dyDescent="0.25">
      <c r="A3397" s="1">
        <v>633</v>
      </c>
      <c r="B3397" t="s">
        <v>26</v>
      </c>
      <c r="C3397">
        <v>248</v>
      </c>
      <c r="D3397">
        <v>7</v>
      </c>
      <c r="E3397" t="s">
        <v>101</v>
      </c>
      <c r="F3397" t="s">
        <v>102</v>
      </c>
      <c r="G3397" t="str">
        <f>"2025-07-06 19:17:40.776"</f>
        <v>2025-07-06 19:17:40.776</v>
      </c>
      <c r="H3397" t="s">
        <v>22</v>
      </c>
    </row>
    <row r="3398" spans="1:10" x14ac:dyDescent="0.25">
      <c r="A3398" s="1">
        <v>634</v>
      </c>
      <c r="B3398" t="s">
        <v>26</v>
      </c>
      <c r="C3398">
        <v>236</v>
      </c>
      <c r="D3398">
        <v>6</v>
      </c>
      <c r="E3398" t="s">
        <v>136</v>
      </c>
      <c r="F3398" t="s">
        <v>137</v>
      </c>
      <c r="G3398" t="str">
        <f>"2025-07-06 19:17:40.772"</f>
        <v>2025-07-06 19:17:40.772</v>
      </c>
      <c r="H3398" t="s">
        <v>22</v>
      </c>
    </row>
    <row r="3399" spans="1:10" x14ac:dyDescent="0.25">
      <c r="A3399" s="1">
        <v>635</v>
      </c>
      <c r="B3399" t="s">
        <v>26</v>
      </c>
      <c r="C3399">
        <v>235</v>
      </c>
      <c r="D3399">
        <v>2</v>
      </c>
      <c r="E3399" t="s">
        <v>138</v>
      </c>
      <c r="F3399" t="s">
        <v>139</v>
      </c>
      <c r="G3399" t="str">
        <f>"2025-07-06 19:17:40.768"</f>
        <v>2025-07-06 19:17:40.768</v>
      </c>
      <c r="H3399" t="s">
        <v>59</v>
      </c>
    </row>
    <row r="3400" spans="1:10" x14ac:dyDescent="0.25">
      <c r="A3400" s="1">
        <v>636</v>
      </c>
      <c r="B3400" t="s">
        <v>26</v>
      </c>
      <c r="C3400">
        <v>120</v>
      </c>
      <c r="D3400">
        <v>6</v>
      </c>
      <c r="E3400" t="s">
        <v>131</v>
      </c>
      <c r="F3400" t="s">
        <v>132</v>
      </c>
      <c r="G3400" t="str">
        <f>"2025-07-06 19:17:40.765"</f>
        <v>2025-07-06 19:17:40.765</v>
      </c>
      <c r="H3400" t="s">
        <v>22</v>
      </c>
    </row>
    <row r="3401" spans="1:10" x14ac:dyDescent="0.25">
      <c r="A3401" s="1">
        <v>637</v>
      </c>
      <c r="B3401" t="s">
        <v>26</v>
      </c>
      <c r="C3401">
        <v>118</v>
      </c>
      <c r="D3401">
        <v>6</v>
      </c>
      <c r="E3401" t="s">
        <v>134</v>
      </c>
      <c r="F3401" t="s">
        <v>135</v>
      </c>
      <c r="G3401" t="str">
        <f>"2025-07-06 19:17:40.759"</f>
        <v>2025-07-06 19:17:40.759</v>
      </c>
      <c r="H3401" t="s">
        <v>22</v>
      </c>
    </row>
    <row r="3402" spans="1:10" x14ac:dyDescent="0.25">
      <c r="A3402" s="1">
        <v>638</v>
      </c>
      <c r="B3402" t="s">
        <v>26</v>
      </c>
      <c r="C3402">
        <v>107</v>
      </c>
      <c r="D3402">
        <v>3</v>
      </c>
      <c r="E3402" t="s">
        <v>106</v>
      </c>
      <c r="F3402" t="s">
        <v>133</v>
      </c>
      <c r="G3402" t="str">
        <f>"2025-07-06 19:17:40.756"</f>
        <v>2025-07-06 19:17:40.756</v>
      </c>
      <c r="H3402" t="s">
        <v>61</v>
      </c>
    </row>
    <row r="3403" spans="1:10" x14ac:dyDescent="0.25">
      <c r="A3403" s="1">
        <v>639</v>
      </c>
      <c r="B3403" t="s">
        <v>19</v>
      </c>
      <c r="C3403">
        <v>782</v>
      </c>
      <c r="D3403">
        <v>7</v>
      </c>
      <c r="E3403" t="s">
        <v>55</v>
      </c>
      <c r="F3403" t="s">
        <v>56</v>
      </c>
      <c r="G3403" t="str">
        <f>"2025-07-06 19:17:40.754"</f>
        <v>2025-07-06 19:17:40.754</v>
      </c>
      <c r="H3403" t="s">
        <v>22</v>
      </c>
      <c r="I3403">
        <v>0</v>
      </c>
      <c r="J3403" t="s">
        <v>93</v>
      </c>
    </row>
    <row r="3404" spans="1:10" x14ac:dyDescent="0.25">
      <c r="A3404" s="1">
        <v>640</v>
      </c>
      <c r="B3404" t="s">
        <v>44</v>
      </c>
      <c r="C3404">
        <v>77</v>
      </c>
      <c r="D3404">
        <v>1</v>
      </c>
      <c r="E3404" t="s">
        <v>45</v>
      </c>
      <c r="F3404" t="s">
        <v>46</v>
      </c>
      <c r="G3404" t="str">
        <f>"2025-07-06 19:17:14.207"</f>
        <v>2025-07-06 19:17:14.207</v>
      </c>
      <c r="H3404" t="s">
        <v>47</v>
      </c>
    </row>
    <row r="3405" spans="1:10" x14ac:dyDescent="0.25">
      <c r="A3405" s="1">
        <v>641</v>
      </c>
      <c r="B3405" t="s">
        <v>29</v>
      </c>
      <c r="C3405">
        <v>235</v>
      </c>
      <c r="D3405">
        <v>2</v>
      </c>
      <c r="E3405" t="s">
        <v>138</v>
      </c>
      <c r="F3405" t="s">
        <v>139</v>
      </c>
      <c r="G3405" t="str">
        <f>"2025-07-06 19:17:09.421"</f>
        <v>2025-07-06 19:17:09.421</v>
      </c>
      <c r="H3405" t="s">
        <v>59</v>
      </c>
      <c r="I3405">
        <v>0</v>
      </c>
      <c r="J3405" t="s">
        <v>23</v>
      </c>
    </row>
    <row r="3406" spans="1:10" x14ac:dyDescent="0.25">
      <c r="A3406" s="1">
        <v>642</v>
      </c>
      <c r="B3406" t="s">
        <v>34</v>
      </c>
      <c r="C3406">
        <v>77</v>
      </c>
      <c r="D3406">
        <v>1</v>
      </c>
      <c r="E3406" t="s">
        <v>45</v>
      </c>
      <c r="F3406" t="s">
        <v>46</v>
      </c>
      <c r="G3406" t="str">
        <f>"2025-07-06 19:17:09.104"</f>
        <v>2025-07-06 19:17:09.104</v>
      </c>
      <c r="H3406" t="s">
        <v>47</v>
      </c>
      <c r="I3406">
        <v>0</v>
      </c>
      <c r="J3406" t="s">
        <v>23</v>
      </c>
    </row>
    <row r="3407" spans="1:10" x14ac:dyDescent="0.25">
      <c r="A3407" s="1">
        <v>643</v>
      </c>
      <c r="B3407" t="s">
        <v>44</v>
      </c>
      <c r="C3407">
        <v>235</v>
      </c>
      <c r="D3407">
        <v>2</v>
      </c>
      <c r="E3407" t="s">
        <v>138</v>
      </c>
      <c r="F3407" t="s">
        <v>139</v>
      </c>
      <c r="G3407" t="str">
        <f>"2025-07-06 19:17:05.114"</f>
        <v>2025-07-06 19:17:05.114</v>
      </c>
      <c r="H3407" t="s">
        <v>59</v>
      </c>
    </row>
    <row r="3408" spans="1:10" x14ac:dyDescent="0.25">
      <c r="A3408" s="1">
        <v>644</v>
      </c>
      <c r="B3408" t="s">
        <v>44</v>
      </c>
      <c r="C3408">
        <v>77</v>
      </c>
      <c r="D3408">
        <v>1</v>
      </c>
      <c r="E3408" t="s">
        <v>45</v>
      </c>
      <c r="F3408" t="s">
        <v>46</v>
      </c>
      <c r="G3408" t="str">
        <f>"2025-07-06 19:17:04.815"</f>
        <v>2025-07-06 19:17:04.815</v>
      </c>
      <c r="H3408" t="s">
        <v>47</v>
      </c>
    </row>
    <row r="3409" spans="1:10" x14ac:dyDescent="0.25">
      <c r="A3409" s="1">
        <v>645</v>
      </c>
      <c r="B3409" t="s">
        <v>34</v>
      </c>
      <c r="C3409">
        <v>235</v>
      </c>
      <c r="D3409">
        <v>2</v>
      </c>
      <c r="E3409" t="s">
        <v>138</v>
      </c>
      <c r="F3409" t="s">
        <v>139</v>
      </c>
      <c r="G3409" t="str">
        <f>"2025-07-06 19:17:00.101"</f>
        <v>2025-07-06 19:17:00.101</v>
      </c>
      <c r="H3409" t="s">
        <v>59</v>
      </c>
      <c r="I3409">
        <v>0</v>
      </c>
      <c r="J3409" t="s">
        <v>23</v>
      </c>
    </row>
    <row r="3410" spans="1:10" x14ac:dyDescent="0.25">
      <c r="A3410" s="1">
        <v>646</v>
      </c>
      <c r="B3410" t="s">
        <v>34</v>
      </c>
      <c r="C3410">
        <v>77</v>
      </c>
      <c r="D3410">
        <v>1</v>
      </c>
      <c r="E3410" t="s">
        <v>45</v>
      </c>
      <c r="F3410" t="s">
        <v>46</v>
      </c>
      <c r="G3410" t="str">
        <f>"2025-07-06 19:16:59.804"</f>
        <v>2025-07-06 19:16:59.804</v>
      </c>
      <c r="H3410" t="s">
        <v>47</v>
      </c>
      <c r="I3410">
        <v>0</v>
      </c>
      <c r="J3410" t="s">
        <v>23</v>
      </c>
    </row>
    <row r="3411" spans="1:10" x14ac:dyDescent="0.25">
      <c r="A3411" s="1">
        <v>647</v>
      </c>
      <c r="B3411" t="s">
        <v>29</v>
      </c>
      <c r="C3411">
        <v>236</v>
      </c>
      <c r="D3411">
        <v>6</v>
      </c>
      <c r="E3411" t="s">
        <v>136</v>
      </c>
      <c r="F3411" t="s">
        <v>137</v>
      </c>
      <c r="G3411" t="str">
        <f>"2025-07-06 19:16:57.621"</f>
        <v>2025-07-06 19:16:57.621</v>
      </c>
      <c r="H3411" t="s">
        <v>22</v>
      </c>
      <c r="I3411">
        <v>0</v>
      </c>
      <c r="J3411" t="s">
        <v>23</v>
      </c>
    </row>
    <row r="3412" spans="1:10" x14ac:dyDescent="0.25">
      <c r="A3412" s="1">
        <v>648</v>
      </c>
      <c r="B3412" t="s">
        <v>44</v>
      </c>
      <c r="C3412">
        <v>236</v>
      </c>
      <c r="D3412">
        <v>6</v>
      </c>
      <c r="E3412" t="s">
        <v>136</v>
      </c>
      <c r="F3412" t="s">
        <v>137</v>
      </c>
      <c r="G3412" t="str">
        <f>"2025-07-06 19:16:57.515"</f>
        <v>2025-07-06 19:16:57.515</v>
      </c>
      <c r="H3412" t="s">
        <v>22</v>
      </c>
    </row>
    <row r="3413" spans="1:10" x14ac:dyDescent="0.25">
      <c r="A3413" s="1">
        <v>649</v>
      </c>
      <c r="B3413" t="s">
        <v>44</v>
      </c>
      <c r="C3413">
        <v>235</v>
      </c>
      <c r="D3413">
        <v>2</v>
      </c>
      <c r="E3413" t="s">
        <v>138</v>
      </c>
      <c r="F3413" t="s">
        <v>139</v>
      </c>
      <c r="G3413" t="str">
        <f>"2025-07-06 19:16:57.415"</f>
        <v>2025-07-06 19:16:57.415</v>
      </c>
      <c r="H3413" t="s">
        <v>59</v>
      </c>
    </row>
    <row r="3414" spans="1:10" x14ac:dyDescent="0.25">
      <c r="A3414" s="1">
        <v>650</v>
      </c>
      <c r="B3414" t="s">
        <v>29</v>
      </c>
      <c r="C3414">
        <v>118</v>
      </c>
      <c r="D3414">
        <v>6</v>
      </c>
      <c r="E3414" t="s">
        <v>134</v>
      </c>
      <c r="F3414" t="s">
        <v>135</v>
      </c>
      <c r="G3414" t="str">
        <f>"2025-07-06 19:16:55.746"</f>
        <v>2025-07-06 19:16:55.746</v>
      </c>
      <c r="H3414" t="s">
        <v>22</v>
      </c>
      <c r="I3414">
        <v>0</v>
      </c>
      <c r="J3414" t="s">
        <v>23</v>
      </c>
    </row>
    <row r="3415" spans="1:10" x14ac:dyDescent="0.25">
      <c r="A3415" s="1">
        <v>651</v>
      </c>
      <c r="B3415" t="s">
        <v>29</v>
      </c>
      <c r="C3415">
        <v>120</v>
      </c>
      <c r="D3415">
        <v>6</v>
      </c>
      <c r="E3415" t="s">
        <v>131</v>
      </c>
      <c r="F3415" t="s">
        <v>132</v>
      </c>
      <c r="G3415" t="str">
        <f>"2025-07-06 19:16:55.741"</f>
        <v>2025-07-06 19:16:55.741</v>
      </c>
      <c r="H3415" t="s">
        <v>22</v>
      </c>
      <c r="I3415">
        <v>0</v>
      </c>
      <c r="J3415" t="s">
        <v>23</v>
      </c>
    </row>
    <row r="3416" spans="1:10" x14ac:dyDescent="0.25">
      <c r="A3416" s="1">
        <v>652</v>
      </c>
      <c r="B3416" t="s">
        <v>44</v>
      </c>
      <c r="C3416">
        <v>120</v>
      </c>
      <c r="D3416">
        <v>6</v>
      </c>
      <c r="E3416" t="s">
        <v>131</v>
      </c>
      <c r="F3416" t="s">
        <v>132</v>
      </c>
      <c r="G3416" t="str">
        <f>"2025-07-06 19:16:55.615"</f>
        <v>2025-07-06 19:16:55.615</v>
      </c>
      <c r="H3416" t="s">
        <v>22</v>
      </c>
    </row>
    <row r="3417" spans="1:10" x14ac:dyDescent="0.25">
      <c r="A3417" s="1">
        <v>653</v>
      </c>
      <c r="B3417" t="s">
        <v>44</v>
      </c>
      <c r="C3417">
        <v>118</v>
      </c>
      <c r="D3417">
        <v>6</v>
      </c>
      <c r="E3417" t="s">
        <v>134</v>
      </c>
      <c r="F3417" t="s">
        <v>135</v>
      </c>
      <c r="G3417" t="str">
        <f>"2025-07-06 19:16:55.518"</f>
        <v>2025-07-06 19:16:55.518</v>
      </c>
      <c r="H3417" t="s">
        <v>22</v>
      </c>
    </row>
    <row r="3418" spans="1:10" x14ac:dyDescent="0.25">
      <c r="A3418" s="1">
        <v>654</v>
      </c>
      <c r="B3418" t="s">
        <v>44</v>
      </c>
      <c r="C3418">
        <v>77</v>
      </c>
      <c r="D3418">
        <v>1</v>
      </c>
      <c r="E3418" t="s">
        <v>45</v>
      </c>
      <c r="F3418" t="s">
        <v>46</v>
      </c>
      <c r="G3418" t="str">
        <f>"2025-07-06 19:16:55.515"</f>
        <v>2025-07-06 19:16:55.515</v>
      </c>
      <c r="H3418" t="s">
        <v>47</v>
      </c>
    </row>
    <row r="3419" spans="1:10" x14ac:dyDescent="0.25">
      <c r="A3419" s="1">
        <v>655</v>
      </c>
      <c r="B3419" t="s">
        <v>29</v>
      </c>
      <c r="C3419">
        <v>248</v>
      </c>
      <c r="D3419">
        <v>7</v>
      </c>
      <c r="E3419" t="s">
        <v>101</v>
      </c>
      <c r="F3419" t="s">
        <v>102</v>
      </c>
      <c r="G3419" t="str">
        <f>"2025-07-06 19:16:53.541"</f>
        <v>2025-07-06 19:16:53.541</v>
      </c>
      <c r="H3419" t="s">
        <v>22</v>
      </c>
      <c r="I3419">
        <v>0</v>
      </c>
      <c r="J3419" t="s">
        <v>23</v>
      </c>
    </row>
    <row r="3420" spans="1:10" x14ac:dyDescent="0.25">
      <c r="A3420" s="1">
        <v>656</v>
      </c>
      <c r="B3420" t="s">
        <v>34</v>
      </c>
      <c r="C3420">
        <v>236</v>
      </c>
      <c r="D3420">
        <v>6</v>
      </c>
      <c r="E3420" t="s">
        <v>136</v>
      </c>
      <c r="F3420" t="s">
        <v>137</v>
      </c>
      <c r="G3420" t="str">
        <f>"2025-07-06 19:16:52.150"</f>
        <v>2025-07-06 19:16:52.150</v>
      </c>
      <c r="H3420" t="s">
        <v>22</v>
      </c>
      <c r="I3420">
        <v>0</v>
      </c>
      <c r="J3420" t="s">
        <v>23</v>
      </c>
    </row>
    <row r="3421" spans="1:10" x14ac:dyDescent="0.25">
      <c r="A3421" s="1">
        <v>657</v>
      </c>
      <c r="B3421" t="s">
        <v>34</v>
      </c>
      <c r="C3421">
        <v>235</v>
      </c>
      <c r="D3421">
        <v>2</v>
      </c>
      <c r="E3421" t="s">
        <v>138</v>
      </c>
      <c r="F3421" t="s">
        <v>139</v>
      </c>
      <c r="G3421" t="str">
        <f>"2025-07-06 19:16:52.146"</f>
        <v>2025-07-06 19:16:52.146</v>
      </c>
      <c r="H3421" t="s">
        <v>59</v>
      </c>
      <c r="I3421">
        <v>0</v>
      </c>
      <c r="J3421" t="s">
        <v>23</v>
      </c>
    </row>
    <row r="3422" spans="1:10" x14ac:dyDescent="0.25">
      <c r="A3422" s="1">
        <v>658</v>
      </c>
      <c r="B3422" t="s">
        <v>29</v>
      </c>
      <c r="C3422">
        <v>250</v>
      </c>
      <c r="D3422">
        <v>1</v>
      </c>
      <c r="E3422" t="s">
        <v>99</v>
      </c>
      <c r="F3422" t="s">
        <v>125</v>
      </c>
      <c r="G3422" t="str">
        <f>"2025-07-06 19:16:52.141"</f>
        <v>2025-07-06 19:16:52.141</v>
      </c>
      <c r="H3422" t="s">
        <v>22</v>
      </c>
      <c r="I3422">
        <v>0</v>
      </c>
      <c r="J3422" t="s">
        <v>23</v>
      </c>
    </row>
    <row r="3423" spans="1:10" x14ac:dyDescent="0.25">
      <c r="A3423" s="1">
        <v>659</v>
      </c>
      <c r="B3423" t="s">
        <v>34</v>
      </c>
      <c r="C3423">
        <v>77</v>
      </c>
      <c r="D3423">
        <v>1</v>
      </c>
      <c r="E3423" t="s">
        <v>45</v>
      </c>
      <c r="F3423" t="s">
        <v>46</v>
      </c>
      <c r="G3423" t="str">
        <f>"2025-07-06 19:16:50.334"</f>
        <v>2025-07-06 19:16:50.334</v>
      </c>
      <c r="H3423" t="s">
        <v>47</v>
      </c>
      <c r="I3423">
        <v>0</v>
      </c>
      <c r="J3423" t="s">
        <v>23</v>
      </c>
    </row>
    <row r="3424" spans="1:10" x14ac:dyDescent="0.25">
      <c r="A3424" s="1">
        <v>660</v>
      </c>
      <c r="B3424" t="s">
        <v>34</v>
      </c>
      <c r="C3424">
        <v>118</v>
      </c>
      <c r="D3424">
        <v>6</v>
      </c>
      <c r="E3424" t="s">
        <v>134</v>
      </c>
      <c r="F3424" t="s">
        <v>135</v>
      </c>
      <c r="G3424" t="str">
        <f>"2025-07-06 19:16:50.026"</f>
        <v>2025-07-06 19:16:50.026</v>
      </c>
      <c r="H3424" t="s">
        <v>22</v>
      </c>
      <c r="I3424">
        <v>0</v>
      </c>
      <c r="J3424" t="s">
        <v>23</v>
      </c>
    </row>
    <row r="3425" spans="1:10" x14ac:dyDescent="0.25">
      <c r="A3425" s="1">
        <v>661</v>
      </c>
      <c r="B3425" t="s">
        <v>34</v>
      </c>
      <c r="C3425">
        <v>120</v>
      </c>
      <c r="D3425">
        <v>6</v>
      </c>
      <c r="E3425" t="s">
        <v>131</v>
      </c>
      <c r="F3425" t="s">
        <v>132</v>
      </c>
      <c r="G3425" t="str">
        <f>"2025-07-06 19:16:50.021"</f>
        <v>2025-07-06 19:16:50.021</v>
      </c>
      <c r="H3425" t="s">
        <v>22</v>
      </c>
      <c r="I3425">
        <v>0</v>
      </c>
      <c r="J3425" t="s">
        <v>23</v>
      </c>
    </row>
    <row r="3426" spans="1:10" x14ac:dyDescent="0.25">
      <c r="A3426" s="1">
        <v>662</v>
      </c>
      <c r="B3426" t="s">
        <v>44</v>
      </c>
      <c r="C3426">
        <v>120</v>
      </c>
      <c r="D3426">
        <v>6</v>
      </c>
      <c r="E3426" t="s">
        <v>131</v>
      </c>
      <c r="F3426" t="s">
        <v>132</v>
      </c>
      <c r="G3426" t="str">
        <f>"2025-07-06 19:16:49.916"</f>
        <v>2025-07-06 19:16:49.916</v>
      </c>
      <c r="H3426" t="s">
        <v>22</v>
      </c>
    </row>
    <row r="3427" spans="1:10" x14ac:dyDescent="0.25">
      <c r="A3427" s="1">
        <v>663</v>
      </c>
      <c r="B3427" t="s">
        <v>44</v>
      </c>
      <c r="C3427">
        <v>236</v>
      </c>
      <c r="D3427">
        <v>6</v>
      </c>
      <c r="E3427" t="s">
        <v>136</v>
      </c>
      <c r="F3427" t="s">
        <v>137</v>
      </c>
      <c r="G3427" t="str">
        <f>"2025-07-06 19:16:49.819"</f>
        <v>2025-07-06 19:16:49.819</v>
      </c>
      <c r="H3427" t="s">
        <v>22</v>
      </c>
    </row>
    <row r="3428" spans="1:10" x14ac:dyDescent="0.25">
      <c r="A3428" s="1">
        <v>664</v>
      </c>
      <c r="B3428" t="s">
        <v>44</v>
      </c>
      <c r="C3428">
        <v>118</v>
      </c>
      <c r="D3428">
        <v>6</v>
      </c>
      <c r="E3428" t="s">
        <v>134</v>
      </c>
      <c r="F3428" t="s">
        <v>135</v>
      </c>
      <c r="G3428" t="str">
        <f>"2025-07-06 19:16:49.816"</f>
        <v>2025-07-06 19:16:49.816</v>
      </c>
      <c r="H3428" t="s">
        <v>22</v>
      </c>
    </row>
    <row r="3429" spans="1:10" x14ac:dyDescent="0.25">
      <c r="A3429" s="1">
        <v>665</v>
      </c>
      <c r="B3429" t="s">
        <v>44</v>
      </c>
      <c r="C3429">
        <v>248</v>
      </c>
      <c r="D3429">
        <v>7</v>
      </c>
      <c r="E3429" t="s">
        <v>101</v>
      </c>
      <c r="F3429" t="s">
        <v>102</v>
      </c>
      <c r="G3429" t="str">
        <f>"2025-07-06 19:16:47.916"</f>
        <v>2025-07-06 19:16:47.916</v>
      </c>
      <c r="H3429" t="s">
        <v>22</v>
      </c>
    </row>
    <row r="3430" spans="1:10" x14ac:dyDescent="0.25">
      <c r="A3430" s="1">
        <v>666</v>
      </c>
      <c r="B3430" t="s">
        <v>29</v>
      </c>
      <c r="C3430">
        <v>250</v>
      </c>
      <c r="D3430">
        <v>7</v>
      </c>
      <c r="E3430" t="s">
        <v>99</v>
      </c>
      <c r="F3430" t="s">
        <v>100</v>
      </c>
      <c r="G3430" t="str">
        <f>"2025-07-06 19:16:47.281"</f>
        <v>2025-07-06 19:16:47.281</v>
      </c>
      <c r="H3430" t="s">
        <v>22</v>
      </c>
      <c r="I3430">
        <v>0</v>
      </c>
      <c r="J3430" t="s">
        <v>23</v>
      </c>
    </row>
    <row r="3431" spans="1:10" x14ac:dyDescent="0.25">
      <c r="A3431" s="1">
        <v>667</v>
      </c>
      <c r="B3431" t="s">
        <v>44</v>
      </c>
      <c r="C3431">
        <v>235</v>
      </c>
      <c r="D3431">
        <v>2</v>
      </c>
      <c r="E3431" t="s">
        <v>138</v>
      </c>
      <c r="F3431" t="s">
        <v>139</v>
      </c>
      <c r="G3431" t="str">
        <f>"2025-07-06 19:16:46.616"</f>
        <v>2025-07-06 19:16:46.616</v>
      </c>
      <c r="H3431" t="s">
        <v>59</v>
      </c>
    </row>
    <row r="3432" spans="1:10" x14ac:dyDescent="0.25">
      <c r="A3432" s="1">
        <v>668</v>
      </c>
      <c r="B3432" t="s">
        <v>44</v>
      </c>
      <c r="C3432">
        <v>250</v>
      </c>
      <c r="D3432">
        <v>7</v>
      </c>
      <c r="E3432" t="s">
        <v>99</v>
      </c>
      <c r="F3432" t="s">
        <v>100</v>
      </c>
      <c r="G3432" t="str">
        <f>"2025-07-06 19:16:46.019"</f>
        <v>2025-07-06 19:16:46.019</v>
      </c>
      <c r="H3432" t="s">
        <v>22</v>
      </c>
    </row>
    <row r="3433" spans="1:10" x14ac:dyDescent="0.25">
      <c r="A3433" s="1">
        <v>669</v>
      </c>
      <c r="B3433" t="s">
        <v>44</v>
      </c>
      <c r="C3433">
        <v>77</v>
      </c>
      <c r="D3433">
        <v>1</v>
      </c>
      <c r="E3433" t="s">
        <v>45</v>
      </c>
      <c r="F3433" t="s">
        <v>46</v>
      </c>
      <c r="G3433" t="str">
        <f>"2025-07-06 19:16:46.016"</f>
        <v>2025-07-06 19:16:46.016</v>
      </c>
      <c r="H3433" t="s">
        <v>47</v>
      </c>
    </row>
    <row r="3434" spans="1:10" x14ac:dyDescent="0.25">
      <c r="A3434" s="1">
        <v>670</v>
      </c>
      <c r="B3434" t="s">
        <v>34</v>
      </c>
      <c r="C3434">
        <v>236</v>
      </c>
      <c r="D3434">
        <v>6</v>
      </c>
      <c r="E3434" t="s">
        <v>136</v>
      </c>
      <c r="F3434" t="s">
        <v>137</v>
      </c>
      <c r="G3434" t="str">
        <f>"2025-07-06 19:16:44.361"</f>
        <v>2025-07-06 19:16:44.361</v>
      </c>
      <c r="H3434" t="s">
        <v>22</v>
      </c>
      <c r="I3434">
        <v>0</v>
      </c>
      <c r="J3434" t="s">
        <v>23</v>
      </c>
    </row>
    <row r="3435" spans="1:10" x14ac:dyDescent="0.25">
      <c r="A3435" s="1">
        <v>671</v>
      </c>
      <c r="B3435" t="s">
        <v>34</v>
      </c>
      <c r="C3435">
        <v>118</v>
      </c>
      <c r="D3435">
        <v>6</v>
      </c>
      <c r="E3435" t="s">
        <v>134</v>
      </c>
      <c r="F3435" t="s">
        <v>135</v>
      </c>
      <c r="G3435" t="str">
        <f>"2025-07-06 19:16:44.326"</f>
        <v>2025-07-06 19:16:44.326</v>
      </c>
      <c r="H3435" t="s">
        <v>22</v>
      </c>
      <c r="I3435">
        <v>0</v>
      </c>
      <c r="J3435" t="s">
        <v>23</v>
      </c>
    </row>
    <row r="3436" spans="1:10" x14ac:dyDescent="0.25">
      <c r="A3436" s="1">
        <v>672</v>
      </c>
      <c r="B3436" t="s">
        <v>34</v>
      </c>
      <c r="C3436">
        <v>120</v>
      </c>
      <c r="D3436">
        <v>6</v>
      </c>
      <c r="E3436" t="s">
        <v>131</v>
      </c>
      <c r="F3436" t="s">
        <v>132</v>
      </c>
      <c r="G3436" t="str">
        <f>"2025-07-06 19:16:44.321"</f>
        <v>2025-07-06 19:16:44.321</v>
      </c>
      <c r="H3436" t="s">
        <v>22</v>
      </c>
      <c r="I3436">
        <v>0</v>
      </c>
      <c r="J3436" t="s">
        <v>23</v>
      </c>
    </row>
    <row r="3437" spans="1:10" x14ac:dyDescent="0.25">
      <c r="A3437" s="1">
        <v>673</v>
      </c>
      <c r="B3437" t="s">
        <v>44</v>
      </c>
      <c r="C3437">
        <v>120</v>
      </c>
      <c r="D3437">
        <v>6</v>
      </c>
      <c r="E3437" t="s">
        <v>131</v>
      </c>
      <c r="F3437" t="s">
        <v>132</v>
      </c>
      <c r="G3437" t="str">
        <f>"2025-07-06 19:16:44.216"</f>
        <v>2025-07-06 19:16:44.216</v>
      </c>
      <c r="H3437" t="s">
        <v>22</v>
      </c>
    </row>
    <row r="3438" spans="1:10" x14ac:dyDescent="0.25">
      <c r="A3438" s="1">
        <v>674</v>
      </c>
      <c r="B3438" t="s">
        <v>44</v>
      </c>
      <c r="C3438">
        <v>236</v>
      </c>
      <c r="D3438">
        <v>6</v>
      </c>
      <c r="E3438" t="s">
        <v>136</v>
      </c>
      <c r="F3438" t="s">
        <v>137</v>
      </c>
      <c r="G3438" t="str">
        <f>"2025-07-06 19:16:44.120"</f>
        <v>2025-07-06 19:16:44.120</v>
      </c>
      <c r="H3438" t="s">
        <v>22</v>
      </c>
    </row>
    <row r="3439" spans="1:10" x14ac:dyDescent="0.25">
      <c r="A3439" s="1">
        <v>675</v>
      </c>
      <c r="B3439" t="s">
        <v>44</v>
      </c>
      <c r="C3439">
        <v>118</v>
      </c>
      <c r="D3439">
        <v>6</v>
      </c>
      <c r="E3439" t="s">
        <v>134</v>
      </c>
      <c r="F3439" t="s">
        <v>135</v>
      </c>
      <c r="G3439" t="str">
        <f>"2025-07-06 19:16:44.116"</f>
        <v>2025-07-06 19:16:44.116</v>
      </c>
      <c r="H3439" t="s">
        <v>22</v>
      </c>
    </row>
    <row r="3440" spans="1:10" x14ac:dyDescent="0.25">
      <c r="A3440" s="1">
        <v>676</v>
      </c>
      <c r="B3440" t="s">
        <v>34</v>
      </c>
      <c r="C3440">
        <v>248</v>
      </c>
      <c r="D3440">
        <v>7</v>
      </c>
      <c r="E3440" t="s">
        <v>101</v>
      </c>
      <c r="F3440" t="s">
        <v>102</v>
      </c>
      <c r="G3440" t="str">
        <f>"2025-07-06 19:16:42.801"</f>
        <v>2025-07-06 19:16:42.801</v>
      </c>
      <c r="H3440" t="s">
        <v>22</v>
      </c>
      <c r="I3440">
        <v>0</v>
      </c>
      <c r="J3440" t="s">
        <v>23</v>
      </c>
    </row>
    <row r="3441" spans="1:10" x14ac:dyDescent="0.25">
      <c r="A3441" s="1">
        <v>677</v>
      </c>
      <c r="B3441" t="s">
        <v>34</v>
      </c>
      <c r="C3441">
        <v>235</v>
      </c>
      <c r="D3441">
        <v>2</v>
      </c>
      <c r="E3441" t="s">
        <v>138</v>
      </c>
      <c r="F3441" t="s">
        <v>139</v>
      </c>
      <c r="G3441" t="str">
        <f>"2025-07-06 19:16:41.541"</f>
        <v>2025-07-06 19:16:41.541</v>
      </c>
      <c r="H3441" t="s">
        <v>59</v>
      </c>
      <c r="I3441">
        <v>0</v>
      </c>
      <c r="J3441" t="s">
        <v>23</v>
      </c>
    </row>
    <row r="3442" spans="1:10" x14ac:dyDescent="0.25">
      <c r="A3442" s="1">
        <v>678</v>
      </c>
      <c r="B3442" t="s">
        <v>34</v>
      </c>
      <c r="C3442">
        <v>77</v>
      </c>
      <c r="D3442">
        <v>1</v>
      </c>
      <c r="E3442" t="s">
        <v>45</v>
      </c>
      <c r="F3442" t="s">
        <v>46</v>
      </c>
      <c r="G3442" t="str">
        <f>"2025-07-06 19:16:40.955"</f>
        <v>2025-07-06 19:16:40.955</v>
      </c>
      <c r="H3442" t="s">
        <v>47</v>
      </c>
      <c r="I3442">
        <v>0</v>
      </c>
      <c r="J3442" t="s">
        <v>23</v>
      </c>
    </row>
    <row r="3443" spans="1:10" x14ac:dyDescent="0.25">
      <c r="A3443" s="1">
        <v>679</v>
      </c>
      <c r="B3443" t="s">
        <v>34</v>
      </c>
      <c r="C3443">
        <v>250</v>
      </c>
      <c r="D3443">
        <v>7</v>
      </c>
      <c r="E3443" t="s">
        <v>99</v>
      </c>
      <c r="F3443" t="s">
        <v>100</v>
      </c>
      <c r="G3443" t="str">
        <f>"2025-07-06 19:16:40.181"</f>
        <v>2025-07-06 19:16:40.181</v>
      </c>
      <c r="H3443" t="s">
        <v>22</v>
      </c>
      <c r="I3443">
        <v>0</v>
      </c>
      <c r="J3443" t="s">
        <v>23</v>
      </c>
    </row>
    <row r="3444" spans="1:10" x14ac:dyDescent="0.25">
      <c r="A3444" s="1">
        <v>680</v>
      </c>
      <c r="B3444" t="s">
        <v>34</v>
      </c>
      <c r="C3444">
        <v>120</v>
      </c>
      <c r="D3444">
        <v>6</v>
      </c>
      <c r="E3444" t="s">
        <v>131</v>
      </c>
      <c r="F3444" t="s">
        <v>132</v>
      </c>
      <c r="G3444" t="str">
        <f>"2025-07-06 19:16:38.950"</f>
        <v>2025-07-06 19:16:38.950</v>
      </c>
      <c r="H3444" t="s">
        <v>22</v>
      </c>
      <c r="I3444">
        <v>0</v>
      </c>
      <c r="J3444" t="s">
        <v>23</v>
      </c>
    </row>
    <row r="3445" spans="1:10" x14ac:dyDescent="0.25">
      <c r="A3445" s="1">
        <v>681</v>
      </c>
      <c r="B3445" t="s">
        <v>34</v>
      </c>
      <c r="C3445">
        <v>118</v>
      </c>
      <c r="D3445">
        <v>6</v>
      </c>
      <c r="E3445" t="s">
        <v>134</v>
      </c>
      <c r="F3445" t="s">
        <v>135</v>
      </c>
      <c r="G3445" t="str">
        <f>"2025-07-06 19:16:38.946"</f>
        <v>2025-07-06 19:16:38.946</v>
      </c>
      <c r="H3445" t="s">
        <v>22</v>
      </c>
      <c r="I3445">
        <v>0</v>
      </c>
      <c r="J3445" t="s">
        <v>23</v>
      </c>
    </row>
    <row r="3446" spans="1:10" x14ac:dyDescent="0.25">
      <c r="A3446" s="1">
        <v>682</v>
      </c>
      <c r="B3446" t="s">
        <v>29</v>
      </c>
      <c r="C3446">
        <v>107</v>
      </c>
      <c r="D3446">
        <v>3</v>
      </c>
      <c r="E3446" t="s">
        <v>106</v>
      </c>
      <c r="F3446" t="s">
        <v>133</v>
      </c>
      <c r="G3446" t="str">
        <f>"2025-07-06 19:16:38.941"</f>
        <v>2025-07-06 19:16:38.941</v>
      </c>
      <c r="H3446" t="s">
        <v>61</v>
      </c>
      <c r="I3446">
        <v>0</v>
      </c>
      <c r="J3446" t="s">
        <v>23</v>
      </c>
    </row>
    <row r="3447" spans="1:10" x14ac:dyDescent="0.25">
      <c r="A3447" s="1">
        <v>683</v>
      </c>
      <c r="B3447" t="s">
        <v>34</v>
      </c>
      <c r="C3447">
        <v>236</v>
      </c>
      <c r="D3447">
        <v>6</v>
      </c>
      <c r="E3447" t="s">
        <v>136</v>
      </c>
      <c r="F3447" t="s">
        <v>137</v>
      </c>
      <c r="G3447" t="str">
        <f>"2025-07-06 19:16:38.921"</f>
        <v>2025-07-06 19:16:38.921</v>
      </c>
      <c r="H3447" t="s">
        <v>22</v>
      </c>
      <c r="I3447">
        <v>0</v>
      </c>
      <c r="J3447" t="s">
        <v>23</v>
      </c>
    </row>
    <row r="3448" spans="1:10" x14ac:dyDescent="0.25">
      <c r="A3448" s="1">
        <v>684</v>
      </c>
      <c r="B3448" t="s">
        <v>19</v>
      </c>
      <c r="C3448">
        <v>706</v>
      </c>
      <c r="D3448">
        <v>4</v>
      </c>
      <c r="E3448" t="s">
        <v>20</v>
      </c>
      <c r="F3448" t="s">
        <v>21</v>
      </c>
      <c r="G3448" t="str">
        <f>"2025-07-06 19:16:23.407"</f>
        <v>2025-07-06 19:16:23.407</v>
      </c>
      <c r="H3448" t="s">
        <v>22</v>
      </c>
      <c r="I3448">
        <v>0</v>
      </c>
      <c r="J3448" t="s">
        <v>93</v>
      </c>
    </row>
    <row r="3449" spans="1:10" x14ac:dyDescent="0.25">
      <c r="A3449" s="1">
        <v>687</v>
      </c>
      <c r="B3449" t="s">
        <v>19</v>
      </c>
      <c r="C3449">
        <v>782</v>
      </c>
      <c r="D3449">
        <v>7</v>
      </c>
      <c r="E3449" t="s">
        <v>55</v>
      </c>
      <c r="F3449" t="s">
        <v>56</v>
      </c>
      <c r="G3449" t="str">
        <f>"2025-07-06 19:12:58.974"</f>
        <v>2025-07-06 19:12:58.974</v>
      </c>
      <c r="H3449" t="s">
        <v>22</v>
      </c>
      <c r="I3449">
        <v>0</v>
      </c>
      <c r="J3449" t="s">
        <v>93</v>
      </c>
    </row>
    <row r="3450" spans="1:10" x14ac:dyDescent="0.25">
      <c r="A3450" s="1">
        <v>690</v>
      </c>
      <c r="B3450" t="s">
        <v>26</v>
      </c>
      <c r="C3450">
        <v>250</v>
      </c>
      <c r="D3450">
        <v>7</v>
      </c>
      <c r="E3450" t="s">
        <v>99</v>
      </c>
      <c r="F3450" t="s">
        <v>100</v>
      </c>
      <c r="G3450" t="str">
        <f>"2025-07-06 19:12:58.964"</f>
        <v>2025-07-06 19:12:58.964</v>
      </c>
      <c r="H3450" t="s">
        <v>22</v>
      </c>
    </row>
    <row r="3451" spans="1:10" x14ac:dyDescent="0.25">
      <c r="A3451" s="1">
        <v>691</v>
      </c>
      <c r="B3451" t="s">
        <v>26</v>
      </c>
      <c r="C3451">
        <v>250</v>
      </c>
      <c r="D3451">
        <v>1</v>
      </c>
      <c r="E3451" t="s">
        <v>99</v>
      </c>
      <c r="F3451" t="s">
        <v>125</v>
      </c>
      <c r="G3451" t="str">
        <f>"2025-07-06 19:12:58.959"</f>
        <v>2025-07-06 19:12:58.959</v>
      </c>
      <c r="H3451" t="s">
        <v>22</v>
      </c>
    </row>
    <row r="3452" spans="1:10" x14ac:dyDescent="0.25">
      <c r="A3452" s="1">
        <v>692</v>
      </c>
      <c r="B3452" t="s">
        <v>26</v>
      </c>
      <c r="C3452">
        <v>248</v>
      </c>
      <c r="D3452">
        <v>7</v>
      </c>
      <c r="E3452" t="s">
        <v>101</v>
      </c>
      <c r="F3452" t="s">
        <v>102</v>
      </c>
      <c r="G3452" t="str">
        <f>"2025-07-06 19:12:58.956"</f>
        <v>2025-07-06 19:12:58.956</v>
      </c>
      <c r="H3452" t="s">
        <v>22</v>
      </c>
    </row>
    <row r="3453" spans="1:10" x14ac:dyDescent="0.25">
      <c r="A3453" s="1">
        <v>693</v>
      </c>
      <c r="B3453" t="s">
        <v>26</v>
      </c>
      <c r="C3453">
        <v>236</v>
      </c>
      <c r="D3453">
        <v>6</v>
      </c>
      <c r="E3453" t="s">
        <v>136</v>
      </c>
      <c r="F3453" t="s">
        <v>137</v>
      </c>
      <c r="G3453" t="str">
        <f>"2025-07-06 19:12:58.952"</f>
        <v>2025-07-06 19:12:58.952</v>
      </c>
      <c r="H3453" t="s">
        <v>22</v>
      </c>
    </row>
    <row r="3454" spans="1:10" x14ac:dyDescent="0.25">
      <c r="A3454" s="1">
        <v>694</v>
      </c>
      <c r="B3454" t="s">
        <v>26</v>
      </c>
      <c r="C3454">
        <v>235</v>
      </c>
      <c r="D3454">
        <v>2</v>
      </c>
      <c r="E3454" t="s">
        <v>138</v>
      </c>
      <c r="F3454" t="s">
        <v>139</v>
      </c>
      <c r="G3454" t="str">
        <f>"2025-07-06 19:12:58.949"</f>
        <v>2025-07-06 19:12:58.949</v>
      </c>
      <c r="H3454" t="s">
        <v>59</v>
      </c>
    </row>
    <row r="3455" spans="1:10" x14ac:dyDescent="0.25">
      <c r="A3455" s="1">
        <v>695</v>
      </c>
      <c r="B3455" t="s">
        <v>26</v>
      </c>
      <c r="C3455">
        <v>120</v>
      </c>
      <c r="D3455">
        <v>6</v>
      </c>
      <c r="E3455" t="s">
        <v>131</v>
      </c>
      <c r="F3455" t="s">
        <v>132</v>
      </c>
      <c r="G3455" t="str">
        <f>"2025-07-06 19:12:58.945"</f>
        <v>2025-07-06 19:12:58.945</v>
      </c>
      <c r="H3455" t="s">
        <v>22</v>
      </c>
    </row>
    <row r="3456" spans="1:10" x14ac:dyDescent="0.25">
      <c r="A3456" s="1">
        <v>696</v>
      </c>
      <c r="B3456" t="s">
        <v>26</v>
      </c>
      <c r="C3456">
        <v>118</v>
      </c>
      <c r="D3456">
        <v>6</v>
      </c>
      <c r="E3456" t="s">
        <v>134</v>
      </c>
      <c r="F3456" t="s">
        <v>135</v>
      </c>
      <c r="G3456" t="str">
        <f>"2025-07-06 19:12:58.939"</f>
        <v>2025-07-06 19:12:58.939</v>
      </c>
      <c r="H3456" t="s">
        <v>22</v>
      </c>
    </row>
    <row r="3457" spans="1:10" x14ac:dyDescent="0.25">
      <c r="A3457" s="1">
        <v>697</v>
      </c>
      <c r="B3457" t="s">
        <v>26</v>
      </c>
      <c r="C3457">
        <v>107</v>
      </c>
      <c r="D3457">
        <v>3</v>
      </c>
      <c r="E3457" t="s">
        <v>106</v>
      </c>
      <c r="F3457" t="s">
        <v>133</v>
      </c>
      <c r="G3457" t="str">
        <f>"2025-07-06 19:12:58.936"</f>
        <v>2025-07-06 19:12:58.936</v>
      </c>
      <c r="H3457" t="s">
        <v>61</v>
      </c>
    </row>
    <row r="3458" spans="1:10" x14ac:dyDescent="0.25">
      <c r="A3458" s="1">
        <v>698</v>
      </c>
      <c r="B3458" t="s">
        <v>19</v>
      </c>
      <c r="C3458">
        <v>782</v>
      </c>
      <c r="D3458">
        <v>7</v>
      </c>
      <c r="E3458" t="s">
        <v>55</v>
      </c>
      <c r="F3458" t="s">
        <v>56</v>
      </c>
      <c r="G3458" t="str">
        <f>"2025-07-06 19:12:58.934"</f>
        <v>2025-07-06 19:12:58.934</v>
      </c>
      <c r="H3458" t="s">
        <v>22</v>
      </c>
      <c r="I3458">
        <v>0</v>
      </c>
      <c r="J3458" t="s">
        <v>93</v>
      </c>
    </row>
    <row r="3459" spans="1:10" x14ac:dyDescent="0.25">
      <c r="A3459" s="1">
        <v>699</v>
      </c>
      <c r="B3459" t="s">
        <v>19</v>
      </c>
      <c r="C3459">
        <v>700</v>
      </c>
      <c r="D3459">
        <v>0</v>
      </c>
      <c r="E3459" t="s">
        <v>24</v>
      </c>
      <c r="F3459" t="s">
        <v>24</v>
      </c>
      <c r="G3459" t="str">
        <f>"2025-07-06 19:12:45.657"</f>
        <v>2025-07-06 19:12:45.657</v>
      </c>
      <c r="H3459" t="s">
        <v>22</v>
      </c>
      <c r="I3459">
        <v>0</v>
      </c>
      <c r="J3459" t="s">
        <v>25</v>
      </c>
    </row>
    <row r="3460" spans="1:10" x14ac:dyDescent="0.25">
      <c r="A3460" s="1">
        <v>700</v>
      </c>
      <c r="B3460" t="s">
        <v>44</v>
      </c>
      <c r="C3460">
        <v>77</v>
      </c>
      <c r="D3460">
        <v>1</v>
      </c>
      <c r="E3460" t="s">
        <v>45</v>
      </c>
      <c r="F3460" t="s">
        <v>46</v>
      </c>
      <c r="G3460" t="str">
        <f>"2025-07-06 19:09:50.124"</f>
        <v>2025-07-06 19:09:50.124</v>
      </c>
      <c r="H3460" t="s">
        <v>47</v>
      </c>
    </row>
    <row r="3461" spans="1:10" x14ac:dyDescent="0.25">
      <c r="A3461" s="1">
        <v>701</v>
      </c>
      <c r="B3461" t="s">
        <v>29</v>
      </c>
      <c r="C3461">
        <v>235</v>
      </c>
      <c r="D3461">
        <v>2</v>
      </c>
      <c r="E3461" t="s">
        <v>138</v>
      </c>
      <c r="F3461" t="s">
        <v>139</v>
      </c>
      <c r="G3461" t="str">
        <f>"2025-07-06 19:09:45.328"</f>
        <v>2025-07-06 19:09:45.328</v>
      </c>
      <c r="H3461" t="s">
        <v>59</v>
      </c>
      <c r="I3461">
        <v>0</v>
      </c>
      <c r="J3461" t="s">
        <v>23</v>
      </c>
    </row>
    <row r="3462" spans="1:10" x14ac:dyDescent="0.25">
      <c r="A3462" s="1">
        <v>702</v>
      </c>
      <c r="B3462" t="s">
        <v>34</v>
      </c>
      <c r="C3462">
        <v>77</v>
      </c>
      <c r="D3462">
        <v>1</v>
      </c>
      <c r="E3462" t="s">
        <v>45</v>
      </c>
      <c r="F3462" t="s">
        <v>46</v>
      </c>
      <c r="G3462" t="str">
        <f>"2025-07-06 19:09:45.041"</f>
        <v>2025-07-06 19:09:45.041</v>
      </c>
      <c r="H3462" t="s">
        <v>47</v>
      </c>
      <c r="I3462">
        <v>0</v>
      </c>
      <c r="J3462" t="s">
        <v>23</v>
      </c>
    </row>
    <row r="3463" spans="1:10" x14ac:dyDescent="0.25">
      <c r="A3463" s="1">
        <v>703</v>
      </c>
      <c r="B3463" t="s">
        <v>44</v>
      </c>
      <c r="C3463">
        <v>235</v>
      </c>
      <c r="D3463">
        <v>2</v>
      </c>
      <c r="E3463" t="s">
        <v>138</v>
      </c>
      <c r="F3463" t="s">
        <v>139</v>
      </c>
      <c r="G3463" t="str">
        <f>"2025-07-06 19:09:42.024"</f>
        <v>2025-07-06 19:09:42.024</v>
      </c>
      <c r="H3463" t="s">
        <v>59</v>
      </c>
    </row>
    <row r="3464" spans="1:10" x14ac:dyDescent="0.25">
      <c r="A3464" s="1">
        <v>704</v>
      </c>
      <c r="B3464" t="s">
        <v>44</v>
      </c>
      <c r="C3464">
        <v>77</v>
      </c>
      <c r="D3464">
        <v>1</v>
      </c>
      <c r="E3464" t="s">
        <v>45</v>
      </c>
      <c r="F3464" t="s">
        <v>46</v>
      </c>
      <c r="G3464" t="str">
        <f>"2025-07-06 19:09:40.724"</f>
        <v>2025-07-06 19:09:40.724</v>
      </c>
      <c r="H3464" t="s">
        <v>47</v>
      </c>
    </row>
    <row r="3465" spans="1:10" x14ac:dyDescent="0.25">
      <c r="A3465" s="1">
        <v>705</v>
      </c>
      <c r="B3465" t="s">
        <v>34</v>
      </c>
      <c r="C3465">
        <v>235</v>
      </c>
      <c r="D3465">
        <v>2</v>
      </c>
      <c r="E3465" t="s">
        <v>138</v>
      </c>
      <c r="F3465" t="s">
        <v>139</v>
      </c>
      <c r="G3465" t="str">
        <f>"2025-07-06 19:09:36.028"</f>
        <v>2025-07-06 19:09:36.028</v>
      </c>
      <c r="H3465" t="s">
        <v>59</v>
      </c>
      <c r="I3465">
        <v>0</v>
      </c>
      <c r="J3465" t="s">
        <v>23</v>
      </c>
    </row>
    <row r="3466" spans="1:10" x14ac:dyDescent="0.25">
      <c r="A3466" s="1">
        <v>706</v>
      </c>
      <c r="B3466" t="s">
        <v>29</v>
      </c>
      <c r="C3466">
        <v>236</v>
      </c>
      <c r="D3466">
        <v>6</v>
      </c>
      <c r="E3466" t="s">
        <v>136</v>
      </c>
      <c r="F3466" t="s">
        <v>137</v>
      </c>
      <c r="G3466" t="str">
        <f>"2025-07-06 19:09:35.888"</f>
        <v>2025-07-06 19:09:35.888</v>
      </c>
      <c r="H3466" t="s">
        <v>22</v>
      </c>
      <c r="I3466">
        <v>0</v>
      </c>
      <c r="J3466" t="s">
        <v>23</v>
      </c>
    </row>
    <row r="3467" spans="1:10" x14ac:dyDescent="0.25">
      <c r="A3467" s="1">
        <v>707</v>
      </c>
      <c r="B3467" t="s">
        <v>34</v>
      </c>
      <c r="C3467">
        <v>77</v>
      </c>
      <c r="D3467">
        <v>1</v>
      </c>
      <c r="E3467" t="s">
        <v>45</v>
      </c>
      <c r="F3467" t="s">
        <v>46</v>
      </c>
      <c r="G3467" t="str">
        <f>"2025-07-06 19:09:35.642"</f>
        <v>2025-07-06 19:09:35.642</v>
      </c>
      <c r="H3467" t="s">
        <v>47</v>
      </c>
      <c r="I3467">
        <v>0</v>
      </c>
      <c r="J3467" t="s">
        <v>23</v>
      </c>
    </row>
    <row r="3468" spans="1:10" x14ac:dyDescent="0.25">
      <c r="A3468" s="1">
        <v>708</v>
      </c>
      <c r="B3468" t="s">
        <v>29</v>
      </c>
      <c r="C3468">
        <v>118</v>
      </c>
      <c r="D3468">
        <v>6</v>
      </c>
      <c r="E3468" t="s">
        <v>134</v>
      </c>
      <c r="F3468" t="s">
        <v>135</v>
      </c>
      <c r="G3468" t="str">
        <f>"2025-07-06 19:09:35.133"</f>
        <v>2025-07-06 19:09:35.133</v>
      </c>
      <c r="H3468" t="s">
        <v>22</v>
      </c>
      <c r="I3468">
        <v>0</v>
      </c>
      <c r="J3468" t="s">
        <v>23</v>
      </c>
    </row>
    <row r="3469" spans="1:10" x14ac:dyDescent="0.25">
      <c r="A3469" s="1">
        <v>709</v>
      </c>
      <c r="B3469" t="s">
        <v>29</v>
      </c>
      <c r="C3469">
        <v>120</v>
      </c>
      <c r="D3469">
        <v>6</v>
      </c>
      <c r="E3469" t="s">
        <v>131</v>
      </c>
      <c r="F3469" t="s">
        <v>132</v>
      </c>
      <c r="G3469" t="str">
        <f>"2025-07-06 19:09:35.128"</f>
        <v>2025-07-06 19:09:35.128</v>
      </c>
      <c r="H3469" t="s">
        <v>22</v>
      </c>
      <c r="I3469">
        <v>0</v>
      </c>
      <c r="J3469" t="s">
        <v>23</v>
      </c>
    </row>
    <row r="3470" spans="1:10" x14ac:dyDescent="0.25">
      <c r="A3470" s="1">
        <v>710</v>
      </c>
      <c r="B3470" t="s">
        <v>44</v>
      </c>
      <c r="C3470">
        <v>236</v>
      </c>
      <c r="D3470">
        <v>6</v>
      </c>
      <c r="E3470" t="s">
        <v>136</v>
      </c>
      <c r="F3470" t="s">
        <v>137</v>
      </c>
      <c r="G3470" t="str">
        <f>"2025-07-06 19:09:35.124"</f>
        <v>2025-07-06 19:09:35.124</v>
      </c>
      <c r="H3470" t="s">
        <v>22</v>
      </c>
    </row>
    <row r="3471" spans="1:10" x14ac:dyDescent="0.25">
      <c r="A3471" s="1">
        <v>711</v>
      </c>
      <c r="B3471" t="s">
        <v>44</v>
      </c>
      <c r="C3471">
        <v>120</v>
      </c>
      <c r="D3471">
        <v>6</v>
      </c>
      <c r="E3471" t="s">
        <v>131</v>
      </c>
      <c r="F3471" t="s">
        <v>132</v>
      </c>
      <c r="G3471" t="str">
        <f>"2025-07-06 19:09:35.106"</f>
        <v>2025-07-06 19:09:35.106</v>
      </c>
      <c r="H3471" t="s">
        <v>22</v>
      </c>
    </row>
    <row r="3472" spans="1:10" x14ac:dyDescent="0.25">
      <c r="A3472" s="1">
        <v>712</v>
      </c>
      <c r="B3472" t="s">
        <v>44</v>
      </c>
      <c r="C3472">
        <v>118</v>
      </c>
      <c r="D3472">
        <v>6</v>
      </c>
      <c r="E3472" t="s">
        <v>134</v>
      </c>
      <c r="F3472" t="s">
        <v>135</v>
      </c>
      <c r="G3472" t="str">
        <f>"2025-07-06 19:09:34.924"</f>
        <v>2025-07-06 19:09:34.924</v>
      </c>
      <c r="H3472" t="s">
        <v>22</v>
      </c>
    </row>
    <row r="3473" spans="1:10" x14ac:dyDescent="0.25">
      <c r="A3473" s="1">
        <v>713</v>
      </c>
      <c r="B3473" t="s">
        <v>44</v>
      </c>
      <c r="C3473">
        <v>235</v>
      </c>
      <c r="D3473">
        <v>2</v>
      </c>
      <c r="E3473" t="s">
        <v>138</v>
      </c>
      <c r="F3473" t="s">
        <v>139</v>
      </c>
      <c r="G3473" t="str">
        <f>"2025-07-06 19:09:33.024"</f>
        <v>2025-07-06 19:09:33.024</v>
      </c>
      <c r="H3473" t="s">
        <v>59</v>
      </c>
    </row>
    <row r="3474" spans="1:10" x14ac:dyDescent="0.25">
      <c r="A3474" s="1">
        <v>714</v>
      </c>
      <c r="B3474" t="s">
        <v>44</v>
      </c>
      <c r="C3474">
        <v>77</v>
      </c>
      <c r="D3474">
        <v>1</v>
      </c>
      <c r="E3474" t="s">
        <v>45</v>
      </c>
      <c r="F3474" t="s">
        <v>46</v>
      </c>
      <c r="G3474" t="str">
        <f>"2025-07-06 19:09:31.324"</f>
        <v>2025-07-06 19:09:31.324</v>
      </c>
      <c r="H3474" t="s">
        <v>47</v>
      </c>
    </row>
    <row r="3475" spans="1:10" x14ac:dyDescent="0.25">
      <c r="A3475" s="1">
        <v>715</v>
      </c>
      <c r="B3475" t="s">
        <v>34</v>
      </c>
      <c r="C3475">
        <v>236</v>
      </c>
      <c r="D3475">
        <v>6</v>
      </c>
      <c r="E3475" t="s">
        <v>136</v>
      </c>
      <c r="F3475" t="s">
        <v>137</v>
      </c>
      <c r="G3475" t="str">
        <f>"2025-07-06 19:09:29.948"</f>
        <v>2025-07-06 19:09:29.948</v>
      </c>
      <c r="H3475" t="s">
        <v>22</v>
      </c>
      <c r="I3475">
        <v>0</v>
      </c>
      <c r="J3475" t="s">
        <v>23</v>
      </c>
    </row>
    <row r="3476" spans="1:10" x14ac:dyDescent="0.25">
      <c r="A3476" s="1">
        <v>716</v>
      </c>
      <c r="B3476" t="s">
        <v>34</v>
      </c>
      <c r="C3476">
        <v>118</v>
      </c>
      <c r="D3476">
        <v>6</v>
      </c>
      <c r="E3476" t="s">
        <v>134</v>
      </c>
      <c r="F3476" t="s">
        <v>135</v>
      </c>
      <c r="G3476" t="str">
        <f>"2025-07-06 19:09:29.753"</f>
        <v>2025-07-06 19:09:29.753</v>
      </c>
      <c r="H3476" t="s">
        <v>22</v>
      </c>
      <c r="I3476">
        <v>0</v>
      </c>
      <c r="J3476" t="s">
        <v>23</v>
      </c>
    </row>
    <row r="3477" spans="1:10" x14ac:dyDescent="0.25">
      <c r="A3477" s="1">
        <v>717</v>
      </c>
      <c r="B3477" t="s">
        <v>34</v>
      </c>
      <c r="C3477">
        <v>120</v>
      </c>
      <c r="D3477">
        <v>6</v>
      </c>
      <c r="E3477" t="s">
        <v>131</v>
      </c>
      <c r="F3477" t="s">
        <v>132</v>
      </c>
      <c r="G3477" t="str">
        <f>"2025-07-06 19:09:29.748"</f>
        <v>2025-07-06 19:09:29.748</v>
      </c>
      <c r="H3477" t="s">
        <v>22</v>
      </c>
      <c r="I3477">
        <v>0</v>
      </c>
      <c r="J3477" t="s">
        <v>23</v>
      </c>
    </row>
    <row r="3478" spans="1:10" x14ac:dyDescent="0.25">
      <c r="A3478" s="1">
        <v>718</v>
      </c>
      <c r="B3478" t="s">
        <v>44</v>
      </c>
      <c r="C3478">
        <v>236</v>
      </c>
      <c r="D3478">
        <v>6</v>
      </c>
      <c r="E3478" t="s">
        <v>136</v>
      </c>
      <c r="F3478" t="s">
        <v>137</v>
      </c>
      <c r="G3478" t="str">
        <f>"2025-07-06 19:09:29.724"</f>
        <v>2025-07-06 19:09:29.724</v>
      </c>
      <c r="H3478" t="s">
        <v>22</v>
      </c>
    </row>
    <row r="3479" spans="1:10" x14ac:dyDescent="0.25">
      <c r="A3479" s="1">
        <v>719</v>
      </c>
      <c r="B3479" t="s">
        <v>44</v>
      </c>
      <c r="C3479">
        <v>120</v>
      </c>
      <c r="D3479">
        <v>6</v>
      </c>
      <c r="E3479" t="s">
        <v>131</v>
      </c>
      <c r="F3479" t="s">
        <v>132</v>
      </c>
      <c r="G3479" t="str">
        <f>"2025-07-06 19:09:29.323"</f>
        <v>2025-07-06 19:09:29.323</v>
      </c>
      <c r="H3479" t="s">
        <v>22</v>
      </c>
    </row>
    <row r="3480" spans="1:10" x14ac:dyDescent="0.25">
      <c r="A3480" s="1">
        <v>720</v>
      </c>
      <c r="B3480" t="s">
        <v>29</v>
      </c>
      <c r="C3480">
        <v>248</v>
      </c>
      <c r="D3480">
        <v>7</v>
      </c>
      <c r="E3480" t="s">
        <v>101</v>
      </c>
      <c r="F3480" t="s">
        <v>102</v>
      </c>
      <c r="G3480" t="str">
        <f>"2025-07-06 19:09:29.228"</f>
        <v>2025-07-06 19:09:29.228</v>
      </c>
      <c r="H3480" t="s">
        <v>22</v>
      </c>
      <c r="I3480">
        <v>0</v>
      </c>
      <c r="J3480" t="s">
        <v>23</v>
      </c>
    </row>
    <row r="3481" spans="1:10" x14ac:dyDescent="0.25">
      <c r="A3481" s="1">
        <v>721</v>
      </c>
      <c r="B3481" t="s">
        <v>44</v>
      </c>
      <c r="C3481">
        <v>118</v>
      </c>
      <c r="D3481">
        <v>6</v>
      </c>
      <c r="E3481" t="s">
        <v>134</v>
      </c>
      <c r="F3481" t="s">
        <v>135</v>
      </c>
      <c r="G3481" t="str">
        <f>"2025-07-06 19:09:29.224"</f>
        <v>2025-07-06 19:09:29.224</v>
      </c>
      <c r="H3481" t="s">
        <v>22</v>
      </c>
    </row>
    <row r="3482" spans="1:10" x14ac:dyDescent="0.25">
      <c r="A3482" s="1">
        <v>722</v>
      </c>
      <c r="B3482" t="s">
        <v>34</v>
      </c>
      <c r="C3482">
        <v>235</v>
      </c>
      <c r="D3482">
        <v>2</v>
      </c>
      <c r="E3482" t="s">
        <v>138</v>
      </c>
      <c r="F3482" t="s">
        <v>139</v>
      </c>
      <c r="G3482" t="str">
        <f>"2025-07-06 19:09:27.913"</f>
        <v>2025-07-06 19:09:27.913</v>
      </c>
      <c r="H3482" t="s">
        <v>59</v>
      </c>
      <c r="I3482">
        <v>0</v>
      </c>
      <c r="J3482" t="s">
        <v>23</v>
      </c>
    </row>
    <row r="3483" spans="1:10" x14ac:dyDescent="0.25">
      <c r="A3483" s="1">
        <v>723</v>
      </c>
      <c r="B3483" t="s">
        <v>29</v>
      </c>
      <c r="C3483">
        <v>250</v>
      </c>
      <c r="D3483">
        <v>1</v>
      </c>
      <c r="E3483" t="s">
        <v>99</v>
      </c>
      <c r="F3483" t="s">
        <v>125</v>
      </c>
      <c r="G3483" t="str">
        <f>"2025-07-06 19:09:27.908"</f>
        <v>2025-07-06 19:09:27.908</v>
      </c>
      <c r="H3483" t="s">
        <v>22</v>
      </c>
      <c r="I3483">
        <v>0</v>
      </c>
      <c r="J3483" t="s">
        <v>23</v>
      </c>
    </row>
    <row r="3484" spans="1:10" x14ac:dyDescent="0.25">
      <c r="A3484" s="1">
        <v>724</v>
      </c>
      <c r="B3484" t="s">
        <v>34</v>
      </c>
      <c r="C3484">
        <v>77</v>
      </c>
      <c r="D3484">
        <v>1</v>
      </c>
      <c r="E3484" t="s">
        <v>45</v>
      </c>
      <c r="F3484" t="s">
        <v>46</v>
      </c>
      <c r="G3484" t="str">
        <f>"2025-07-06 19:09:26.241"</f>
        <v>2025-07-06 19:09:26.241</v>
      </c>
      <c r="H3484" t="s">
        <v>47</v>
      </c>
      <c r="I3484">
        <v>0</v>
      </c>
      <c r="J3484" t="s">
        <v>23</v>
      </c>
    </row>
    <row r="3485" spans="1:10" x14ac:dyDescent="0.25">
      <c r="A3485" s="1">
        <v>725</v>
      </c>
      <c r="B3485" t="s">
        <v>29</v>
      </c>
      <c r="C3485">
        <v>250</v>
      </c>
      <c r="D3485">
        <v>7</v>
      </c>
      <c r="E3485" t="s">
        <v>99</v>
      </c>
      <c r="F3485" t="s">
        <v>100</v>
      </c>
      <c r="G3485" t="str">
        <f>"2025-07-06 19:09:25.348"</f>
        <v>2025-07-06 19:09:25.348</v>
      </c>
      <c r="H3485" t="s">
        <v>22</v>
      </c>
      <c r="I3485">
        <v>0</v>
      </c>
      <c r="J3485" t="s">
        <v>23</v>
      </c>
    </row>
    <row r="3486" spans="1:10" x14ac:dyDescent="0.25">
      <c r="A3486" s="1">
        <v>726</v>
      </c>
      <c r="B3486" t="s">
        <v>34</v>
      </c>
      <c r="C3486">
        <v>236</v>
      </c>
      <c r="D3486">
        <v>6</v>
      </c>
      <c r="E3486" t="s">
        <v>136</v>
      </c>
      <c r="F3486" t="s">
        <v>137</v>
      </c>
      <c r="G3486" t="str">
        <f>"2025-07-06 19:09:24.668"</f>
        <v>2025-07-06 19:09:24.668</v>
      </c>
      <c r="H3486" t="s">
        <v>22</v>
      </c>
      <c r="I3486">
        <v>0</v>
      </c>
      <c r="J3486" t="s">
        <v>23</v>
      </c>
    </row>
    <row r="3487" spans="1:10" x14ac:dyDescent="0.25">
      <c r="A3487" s="1">
        <v>727</v>
      </c>
      <c r="B3487" t="s">
        <v>34</v>
      </c>
      <c r="C3487">
        <v>118</v>
      </c>
      <c r="D3487">
        <v>6</v>
      </c>
      <c r="E3487" t="s">
        <v>134</v>
      </c>
      <c r="F3487" t="s">
        <v>135</v>
      </c>
      <c r="G3487" t="str">
        <f>"2025-07-06 19:09:23.833"</f>
        <v>2025-07-06 19:09:23.833</v>
      </c>
      <c r="H3487" t="s">
        <v>22</v>
      </c>
      <c r="I3487">
        <v>0</v>
      </c>
      <c r="J3487" t="s">
        <v>23</v>
      </c>
    </row>
    <row r="3488" spans="1:10" x14ac:dyDescent="0.25">
      <c r="A3488" s="1">
        <v>728</v>
      </c>
      <c r="B3488" t="s">
        <v>34</v>
      </c>
      <c r="C3488">
        <v>120</v>
      </c>
      <c r="D3488">
        <v>6</v>
      </c>
      <c r="E3488" t="s">
        <v>131</v>
      </c>
      <c r="F3488" t="s">
        <v>132</v>
      </c>
      <c r="G3488" t="str">
        <f>"2025-07-06 19:09:23.828"</f>
        <v>2025-07-06 19:09:23.828</v>
      </c>
      <c r="H3488" t="s">
        <v>22</v>
      </c>
      <c r="I3488">
        <v>0</v>
      </c>
      <c r="J3488" t="s">
        <v>23</v>
      </c>
    </row>
    <row r="3489" spans="1:10" x14ac:dyDescent="0.25">
      <c r="A3489" s="1">
        <v>729</v>
      </c>
      <c r="B3489" t="s">
        <v>44</v>
      </c>
      <c r="C3489">
        <v>248</v>
      </c>
      <c r="D3489">
        <v>7</v>
      </c>
      <c r="E3489" t="s">
        <v>101</v>
      </c>
      <c r="F3489" t="s">
        <v>102</v>
      </c>
      <c r="G3489" t="str">
        <f>"2025-07-06 19:09:23.824"</f>
        <v>2025-07-06 19:09:23.824</v>
      </c>
      <c r="H3489" t="s">
        <v>22</v>
      </c>
    </row>
    <row r="3490" spans="1:10" x14ac:dyDescent="0.25">
      <c r="A3490" s="1">
        <v>730</v>
      </c>
      <c r="B3490" t="s">
        <v>44</v>
      </c>
      <c r="C3490">
        <v>120</v>
      </c>
      <c r="D3490">
        <v>6</v>
      </c>
      <c r="E3490" t="s">
        <v>131</v>
      </c>
      <c r="F3490" t="s">
        <v>132</v>
      </c>
      <c r="G3490" t="str">
        <f>"2025-07-06 19:09:23.816"</f>
        <v>2025-07-06 19:09:23.816</v>
      </c>
      <c r="H3490" t="s">
        <v>22</v>
      </c>
    </row>
    <row r="3491" spans="1:10" x14ac:dyDescent="0.25">
      <c r="A3491" s="1">
        <v>731</v>
      </c>
      <c r="B3491" t="s">
        <v>44</v>
      </c>
      <c r="C3491">
        <v>250</v>
      </c>
      <c r="D3491">
        <v>7</v>
      </c>
      <c r="E3491" t="s">
        <v>99</v>
      </c>
      <c r="F3491" t="s">
        <v>100</v>
      </c>
      <c r="G3491" t="str">
        <f>"2025-07-06 19:09:23.813"</f>
        <v>2025-07-06 19:09:23.813</v>
      </c>
      <c r="H3491" t="s">
        <v>22</v>
      </c>
    </row>
    <row r="3492" spans="1:10" x14ac:dyDescent="0.25">
      <c r="A3492" s="1">
        <v>732</v>
      </c>
      <c r="B3492" t="s">
        <v>44</v>
      </c>
      <c r="C3492">
        <v>236</v>
      </c>
      <c r="D3492">
        <v>6</v>
      </c>
      <c r="E3492" t="s">
        <v>136</v>
      </c>
      <c r="F3492" t="s">
        <v>137</v>
      </c>
      <c r="G3492" t="str">
        <f>"2025-07-06 19:09:23.627"</f>
        <v>2025-07-06 19:09:23.627</v>
      </c>
      <c r="H3492" t="s">
        <v>22</v>
      </c>
    </row>
    <row r="3493" spans="1:10" x14ac:dyDescent="0.25">
      <c r="A3493" s="1">
        <v>733</v>
      </c>
      <c r="B3493" t="s">
        <v>44</v>
      </c>
      <c r="C3493">
        <v>118</v>
      </c>
      <c r="D3493">
        <v>6</v>
      </c>
      <c r="E3493" t="s">
        <v>134</v>
      </c>
      <c r="F3493" t="s">
        <v>135</v>
      </c>
      <c r="G3493" t="str">
        <f>"2025-07-06 19:09:23.623"</f>
        <v>2025-07-06 19:09:23.623</v>
      </c>
      <c r="H3493" t="s">
        <v>22</v>
      </c>
    </row>
    <row r="3494" spans="1:10" x14ac:dyDescent="0.25">
      <c r="A3494" s="1">
        <v>734</v>
      </c>
      <c r="B3494" t="s">
        <v>44</v>
      </c>
      <c r="C3494">
        <v>235</v>
      </c>
      <c r="D3494">
        <v>2</v>
      </c>
      <c r="E3494" t="s">
        <v>138</v>
      </c>
      <c r="F3494" t="s">
        <v>139</v>
      </c>
      <c r="G3494" t="str">
        <f>"2025-07-06 19:09:21.937"</f>
        <v>2025-07-06 19:09:21.937</v>
      </c>
      <c r="H3494" t="s">
        <v>59</v>
      </c>
    </row>
    <row r="3495" spans="1:10" x14ac:dyDescent="0.25">
      <c r="A3495" s="1">
        <v>735</v>
      </c>
      <c r="B3495" t="s">
        <v>44</v>
      </c>
      <c r="C3495">
        <v>119</v>
      </c>
      <c r="D3495">
        <v>2</v>
      </c>
      <c r="E3495" t="s">
        <v>140</v>
      </c>
      <c r="F3495" t="s">
        <v>141</v>
      </c>
      <c r="G3495" t="str">
        <f>"2025-07-06 19:09:21.933"</f>
        <v>2025-07-06 19:09:21.933</v>
      </c>
      <c r="H3495" t="s">
        <v>61</v>
      </c>
    </row>
    <row r="3496" spans="1:10" x14ac:dyDescent="0.25">
      <c r="A3496" s="1">
        <v>736</v>
      </c>
      <c r="B3496" t="s">
        <v>44</v>
      </c>
      <c r="C3496">
        <v>117</v>
      </c>
      <c r="D3496">
        <v>2</v>
      </c>
      <c r="E3496" t="s">
        <v>142</v>
      </c>
      <c r="F3496" t="s">
        <v>143</v>
      </c>
      <c r="G3496" t="str">
        <f>"2025-07-06 19:09:21.927"</f>
        <v>2025-07-06 19:09:21.927</v>
      </c>
      <c r="H3496" t="s">
        <v>61</v>
      </c>
    </row>
    <row r="3497" spans="1:10" x14ac:dyDescent="0.25">
      <c r="A3497" s="1">
        <v>737</v>
      </c>
      <c r="B3497" t="s">
        <v>44</v>
      </c>
      <c r="C3497">
        <v>77</v>
      </c>
      <c r="D3497">
        <v>1</v>
      </c>
      <c r="E3497" t="s">
        <v>45</v>
      </c>
      <c r="F3497" t="s">
        <v>46</v>
      </c>
      <c r="G3497" t="str">
        <f>"2025-07-06 19:09:21.924"</f>
        <v>2025-07-06 19:09:21.924</v>
      </c>
      <c r="H3497" t="s">
        <v>47</v>
      </c>
    </row>
    <row r="3498" spans="1:10" x14ac:dyDescent="0.25">
      <c r="A3498" s="1">
        <v>738</v>
      </c>
      <c r="B3498" t="s">
        <v>34</v>
      </c>
      <c r="C3498">
        <v>120</v>
      </c>
      <c r="D3498">
        <v>6</v>
      </c>
      <c r="E3498" t="s">
        <v>131</v>
      </c>
      <c r="F3498" t="s">
        <v>132</v>
      </c>
      <c r="G3498" t="str">
        <f>"2025-07-06 19:09:18.617"</f>
        <v>2025-07-06 19:09:18.617</v>
      </c>
      <c r="H3498" t="s">
        <v>22</v>
      </c>
      <c r="I3498">
        <v>0</v>
      </c>
      <c r="J3498" t="s">
        <v>23</v>
      </c>
    </row>
    <row r="3499" spans="1:10" x14ac:dyDescent="0.25">
      <c r="A3499" s="1">
        <v>739</v>
      </c>
      <c r="B3499" t="s">
        <v>34</v>
      </c>
      <c r="C3499">
        <v>118</v>
      </c>
      <c r="D3499">
        <v>6</v>
      </c>
      <c r="E3499" t="s">
        <v>134</v>
      </c>
      <c r="F3499" t="s">
        <v>135</v>
      </c>
      <c r="G3499" t="str">
        <f>"2025-07-06 19:09:18.613"</f>
        <v>2025-07-06 19:09:18.613</v>
      </c>
      <c r="H3499" t="s">
        <v>22</v>
      </c>
      <c r="I3499">
        <v>0</v>
      </c>
      <c r="J3499" t="s">
        <v>23</v>
      </c>
    </row>
    <row r="3500" spans="1:10" x14ac:dyDescent="0.25">
      <c r="A3500" s="1">
        <v>740</v>
      </c>
      <c r="B3500" t="s">
        <v>29</v>
      </c>
      <c r="C3500">
        <v>107</v>
      </c>
      <c r="D3500">
        <v>3</v>
      </c>
      <c r="E3500" t="s">
        <v>106</v>
      </c>
      <c r="F3500" t="s">
        <v>133</v>
      </c>
      <c r="G3500" t="str">
        <f>"2025-07-06 19:09:18.608"</f>
        <v>2025-07-06 19:09:18.608</v>
      </c>
      <c r="H3500" t="s">
        <v>61</v>
      </c>
      <c r="I3500">
        <v>0</v>
      </c>
      <c r="J3500" t="s">
        <v>23</v>
      </c>
    </row>
    <row r="3501" spans="1:10" x14ac:dyDescent="0.25">
      <c r="A3501" s="1">
        <v>741</v>
      </c>
      <c r="B3501" t="s">
        <v>34</v>
      </c>
      <c r="C3501">
        <v>250</v>
      </c>
      <c r="D3501">
        <v>7</v>
      </c>
      <c r="E3501" t="s">
        <v>99</v>
      </c>
      <c r="F3501" t="s">
        <v>100</v>
      </c>
      <c r="G3501" t="str">
        <f>"2025-07-06 19:09:18.597"</f>
        <v>2025-07-06 19:09:18.597</v>
      </c>
      <c r="H3501" t="s">
        <v>22</v>
      </c>
      <c r="I3501">
        <v>0</v>
      </c>
      <c r="J3501" t="s">
        <v>23</v>
      </c>
    </row>
    <row r="3502" spans="1:10" x14ac:dyDescent="0.25">
      <c r="A3502" s="1">
        <v>742</v>
      </c>
      <c r="B3502" t="s">
        <v>34</v>
      </c>
      <c r="C3502">
        <v>248</v>
      </c>
      <c r="D3502">
        <v>7</v>
      </c>
      <c r="E3502" t="s">
        <v>101</v>
      </c>
      <c r="F3502" t="s">
        <v>102</v>
      </c>
      <c r="G3502" t="str">
        <f>"2025-07-06 19:09:18.593"</f>
        <v>2025-07-06 19:09:18.593</v>
      </c>
      <c r="H3502" t="s">
        <v>22</v>
      </c>
      <c r="I3502">
        <v>0</v>
      </c>
      <c r="J3502" t="s">
        <v>23</v>
      </c>
    </row>
    <row r="3503" spans="1:10" x14ac:dyDescent="0.25">
      <c r="A3503" s="1">
        <v>743</v>
      </c>
      <c r="B3503" t="s">
        <v>34</v>
      </c>
      <c r="C3503">
        <v>236</v>
      </c>
      <c r="D3503">
        <v>6</v>
      </c>
      <c r="E3503" t="s">
        <v>136</v>
      </c>
      <c r="F3503" t="s">
        <v>137</v>
      </c>
      <c r="G3503" t="str">
        <f>"2025-07-06 19:09:18.588"</f>
        <v>2025-07-06 19:09:18.588</v>
      </c>
      <c r="H3503" t="s">
        <v>22</v>
      </c>
      <c r="I3503">
        <v>0</v>
      </c>
      <c r="J3503" t="s">
        <v>23</v>
      </c>
    </row>
    <row r="3504" spans="1:10" x14ac:dyDescent="0.25">
      <c r="A3504" s="1">
        <v>744</v>
      </c>
      <c r="B3504" t="s">
        <v>34</v>
      </c>
      <c r="C3504">
        <v>235</v>
      </c>
      <c r="D3504">
        <v>2</v>
      </c>
      <c r="E3504" t="s">
        <v>138</v>
      </c>
      <c r="F3504" t="s">
        <v>139</v>
      </c>
      <c r="G3504" t="str">
        <f>"2025-07-06 19:09:16.917"</f>
        <v>2025-07-06 19:09:16.917</v>
      </c>
      <c r="H3504" t="s">
        <v>59</v>
      </c>
      <c r="I3504">
        <v>0</v>
      </c>
      <c r="J3504" t="s">
        <v>23</v>
      </c>
    </row>
    <row r="3505" spans="1:10" x14ac:dyDescent="0.25">
      <c r="A3505" s="1">
        <v>745</v>
      </c>
      <c r="B3505" t="s">
        <v>34</v>
      </c>
      <c r="C3505">
        <v>119</v>
      </c>
      <c r="D3505">
        <v>2</v>
      </c>
      <c r="E3505" t="s">
        <v>140</v>
      </c>
      <c r="F3505" t="s">
        <v>141</v>
      </c>
      <c r="G3505" t="str">
        <f>"2025-07-06 19:09:16.913"</f>
        <v>2025-07-06 19:09:16.913</v>
      </c>
      <c r="H3505" t="s">
        <v>61</v>
      </c>
      <c r="I3505">
        <v>0</v>
      </c>
      <c r="J3505" t="s">
        <v>23</v>
      </c>
    </row>
    <row r="3506" spans="1:10" x14ac:dyDescent="0.25">
      <c r="A3506" s="1">
        <v>746</v>
      </c>
      <c r="B3506" t="s">
        <v>34</v>
      </c>
      <c r="C3506">
        <v>117</v>
      </c>
      <c r="D3506">
        <v>2</v>
      </c>
      <c r="E3506" t="s">
        <v>142</v>
      </c>
      <c r="F3506" t="s">
        <v>143</v>
      </c>
      <c r="G3506" t="str">
        <f>"2025-07-06 19:09:16.908"</f>
        <v>2025-07-06 19:09:16.908</v>
      </c>
      <c r="H3506" t="s">
        <v>61</v>
      </c>
      <c r="I3506">
        <v>0</v>
      </c>
      <c r="J3506" t="s">
        <v>23</v>
      </c>
    </row>
    <row r="3507" spans="1:10" x14ac:dyDescent="0.25">
      <c r="A3507" s="1">
        <v>747</v>
      </c>
      <c r="B3507" t="s">
        <v>34</v>
      </c>
      <c r="C3507">
        <v>77</v>
      </c>
      <c r="D3507">
        <v>1</v>
      </c>
      <c r="E3507" t="s">
        <v>45</v>
      </c>
      <c r="F3507" t="s">
        <v>46</v>
      </c>
      <c r="G3507" t="str">
        <f>"2025-07-06 19:09:16.672"</f>
        <v>2025-07-06 19:09:16.672</v>
      </c>
      <c r="H3507" t="s">
        <v>47</v>
      </c>
      <c r="I3507">
        <v>0</v>
      </c>
      <c r="J3507" t="s">
        <v>23</v>
      </c>
    </row>
    <row r="3508" spans="1:10" x14ac:dyDescent="0.25">
      <c r="A3508" s="1">
        <v>750</v>
      </c>
      <c r="B3508" t="s">
        <v>19</v>
      </c>
      <c r="C3508">
        <v>706</v>
      </c>
      <c r="D3508">
        <v>4</v>
      </c>
      <c r="E3508" t="s">
        <v>20</v>
      </c>
      <c r="F3508" t="s">
        <v>21</v>
      </c>
      <c r="G3508" t="str">
        <f>"2025-07-06 19:09:10.603"</f>
        <v>2025-07-06 19:09:10.603</v>
      </c>
      <c r="H3508" t="s">
        <v>22</v>
      </c>
      <c r="I3508">
        <v>0</v>
      </c>
      <c r="J3508" t="s">
        <v>23</v>
      </c>
    </row>
    <row r="3509" spans="1:10" x14ac:dyDescent="0.25">
      <c r="A3509" s="1">
        <v>751</v>
      </c>
      <c r="B3509" t="s">
        <v>19</v>
      </c>
      <c r="C3509">
        <v>782</v>
      </c>
      <c r="D3509">
        <v>7</v>
      </c>
      <c r="E3509" t="s">
        <v>55</v>
      </c>
      <c r="F3509" t="s">
        <v>56</v>
      </c>
      <c r="G3509" t="str">
        <f>"2025-07-06 19:08:45.781"</f>
        <v>2025-07-06 19:08:45.781</v>
      </c>
      <c r="H3509" t="s">
        <v>22</v>
      </c>
      <c r="I3509">
        <v>0</v>
      </c>
      <c r="J3509" t="s">
        <v>23</v>
      </c>
    </row>
    <row r="3510" spans="1:10" x14ac:dyDescent="0.25">
      <c r="A3510" s="1">
        <v>754</v>
      </c>
      <c r="B3510" t="s">
        <v>26</v>
      </c>
      <c r="C3510">
        <v>250</v>
      </c>
      <c r="D3510">
        <v>7</v>
      </c>
      <c r="E3510" t="s">
        <v>99</v>
      </c>
      <c r="F3510" t="s">
        <v>100</v>
      </c>
      <c r="G3510" t="str">
        <f>"2025-07-06 19:08:45.771"</f>
        <v>2025-07-06 19:08:45.771</v>
      </c>
      <c r="H3510" t="s">
        <v>22</v>
      </c>
    </row>
    <row r="3511" spans="1:10" x14ac:dyDescent="0.25">
      <c r="A3511" s="1">
        <v>755</v>
      </c>
      <c r="B3511" t="s">
        <v>26</v>
      </c>
      <c r="C3511">
        <v>250</v>
      </c>
      <c r="D3511">
        <v>1</v>
      </c>
      <c r="E3511" t="s">
        <v>99</v>
      </c>
      <c r="F3511" t="s">
        <v>125</v>
      </c>
      <c r="G3511" t="str">
        <f>"2025-07-06 19:08:45.766"</f>
        <v>2025-07-06 19:08:45.766</v>
      </c>
      <c r="H3511" t="s">
        <v>22</v>
      </c>
    </row>
    <row r="3512" spans="1:10" x14ac:dyDescent="0.25">
      <c r="A3512" s="1">
        <v>756</v>
      </c>
      <c r="B3512" t="s">
        <v>26</v>
      </c>
      <c r="C3512">
        <v>248</v>
      </c>
      <c r="D3512">
        <v>7</v>
      </c>
      <c r="E3512" t="s">
        <v>101</v>
      </c>
      <c r="F3512" t="s">
        <v>102</v>
      </c>
      <c r="G3512" t="str">
        <f>"2025-07-06 19:08:45.763"</f>
        <v>2025-07-06 19:08:45.763</v>
      </c>
      <c r="H3512" t="s">
        <v>22</v>
      </c>
    </row>
    <row r="3513" spans="1:10" x14ac:dyDescent="0.25">
      <c r="A3513" s="1">
        <v>757</v>
      </c>
      <c r="B3513" t="s">
        <v>26</v>
      </c>
      <c r="C3513">
        <v>236</v>
      </c>
      <c r="D3513">
        <v>6</v>
      </c>
      <c r="E3513" t="s">
        <v>136</v>
      </c>
      <c r="F3513" t="s">
        <v>137</v>
      </c>
      <c r="G3513" t="str">
        <f>"2025-07-06 19:08:45.759"</f>
        <v>2025-07-06 19:08:45.759</v>
      </c>
      <c r="H3513" t="s">
        <v>22</v>
      </c>
    </row>
    <row r="3514" spans="1:10" x14ac:dyDescent="0.25">
      <c r="A3514" s="1">
        <v>758</v>
      </c>
      <c r="B3514" t="s">
        <v>26</v>
      </c>
      <c r="C3514">
        <v>235</v>
      </c>
      <c r="D3514">
        <v>2</v>
      </c>
      <c r="E3514" t="s">
        <v>138</v>
      </c>
      <c r="F3514" t="s">
        <v>139</v>
      </c>
      <c r="G3514" t="str">
        <f>"2025-07-06 19:08:45.755"</f>
        <v>2025-07-06 19:08:45.755</v>
      </c>
      <c r="H3514" t="s">
        <v>59</v>
      </c>
    </row>
    <row r="3515" spans="1:10" x14ac:dyDescent="0.25">
      <c r="A3515" s="1">
        <v>759</v>
      </c>
      <c r="B3515" t="s">
        <v>26</v>
      </c>
      <c r="C3515">
        <v>120</v>
      </c>
      <c r="D3515">
        <v>6</v>
      </c>
      <c r="E3515" t="s">
        <v>131</v>
      </c>
      <c r="F3515" t="s">
        <v>132</v>
      </c>
      <c r="G3515" t="str">
        <f>"2025-07-06 19:08:45.752"</f>
        <v>2025-07-06 19:08:45.752</v>
      </c>
      <c r="H3515" t="s">
        <v>22</v>
      </c>
    </row>
    <row r="3516" spans="1:10" x14ac:dyDescent="0.25">
      <c r="A3516" s="1">
        <v>760</v>
      </c>
      <c r="B3516" t="s">
        <v>26</v>
      </c>
      <c r="C3516">
        <v>118</v>
      </c>
      <c r="D3516">
        <v>6</v>
      </c>
      <c r="E3516" t="s">
        <v>134</v>
      </c>
      <c r="F3516" t="s">
        <v>135</v>
      </c>
      <c r="G3516" t="str">
        <f>"2025-07-06 19:08:45.746"</f>
        <v>2025-07-06 19:08:45.746</v>
      </c>
      <c r="H3516" t="s">
        <v>22</v>
      </c>
    </row>
    <row r="3517" spans="1:10" x14ac:dyDescent="0.25">
      <c r="A3517" s="1">
        <v>761</v>
      </c>
      <c r="B3517" t="s">
        <v>26</v>
      </c>
      <c r="C3517">
        <v>107</v>
      </c>
      <c r="D3517">
        <v>3</v>
      </c>
      <c r="E3517" t="s">
        <v>106</v>
      </c>
      <c r="F3517" t="s">
        <v>133</v>
      </c>
      <c r="G3517" t="str">
        <f>"2025-07-06 19:08:45.743"</f>
        <v>2025-07-06 19:08:45.743</v>
      </c>
      <c r="H3517" t="s">
        <v>61</v>
      </c>
    </row>
    <row r="3518" spans="1:10" x14ac:dyDescent="0.25">
      <c r="A3518" s="1">
        <v>762</v>
      </c>
      <c r="B3518" t="s">
        <v>19</v>
      </c>
      <c r="C3518">
        <v>782</v>
      </c>
      <c r="D3518">
        <v>7</v>
      </c>
      <c r="E3518" t="s">
        <v>55</v>
      </c>
      <c r="F3518" t="s">
        <v>56</v>
      </c>
      <c r="G3518" t="str">
        <f>"2025-07-06 19:08:45.741"</f>
        <v>2025-07-06 19:08:45.741</v>
      </c>
      <c r="H3518" t="s">
        <v>22</v>
      </c>
      <c r="I3518">
        <v>0</v>
      </c>
      <c r="J3518" t="s">
        <v>23</v>
      </c>
    </row>
    <row r="3519" spans="1:10" x14ac:dyDescent="0.25">
      <c r="A3519" s="1">
        <v>763</v>
      </c>
      <c r="B3519" t="s">
        <v>19</v>
      </c>
      <c r="C3519">
        <v>700</v>
      </c>
      <c r="D3519">
        <v>0</v>
      </c>
      <c r="E3519" t="s">
        <v>24</v>
      </c>
      <c r="F3519" t="s">
        <v>24</v>
      </c>
      <c r="G3519" t="str">
        <f>"2025-07-06 19:08:13.673"</f>
        <v>2025-07-06 19:08:13.673</v>
      </c>
      <c r="H3519" t="s">
        <v>22</v>
      </c>
      <c r="I3519">
        <v>0</v>
      </c>
      <c r="J3519" t="s">
        <v>25</v>
      </c>
    </row>
    <row r="3520" spans="1:10" x14ac:dyDescent="0.25">
      <c r="A3520" s="1">
        <v>764</v>
      </c>
      <c r="B3520" t="s">
        <v>44</v>
      </c>
      <c r="C3520">
        <v>48</v>
      </c>
      <c r="D3520">
        <v>1</v>
      </c>
      <c r="E3520" t="s">
        <v>144</v>
      </c>
      <c r="F3520" t="s">
        <v>145</v>
      </c>
      <c r="G3520" t="str">
        <f>"2025-07-06 19:01:55.398"</f>
        <v>2025-07-06 19:01:55.398</v>
      </c>
      <c r="H3520" t="s">
        <v>47</v>
      </c>
    </row>
    <row r="3521" spans="1:10" x14ac:dyDescent="0.25">
      <c r="A3521" s="1">
        <v>765</v>
      </c>
      <c r="B3521" t="s">
        <v>34</v>
      </c>
      <c r="C3521">
        <v>48</v>
      </c>
      <c r="D3521">
        <v>1</v>
      </c>
      <c r="E3521" t="s">
        <v>144</v>
      </c>
      <c r="F3521" t="s">
        <v>145</v>
      </c>
      <c r="G3521" t="str">
        <f>"2025-07-06 19:01:50.357"</f>
        <v>2025-07-06 19:01:50.357</v>
      </c>
      <c r="H3521" t="s">
        <v>47</v>
      </c>
      <c r="I3521">
        <v>0</v>
      </c>
      <c r="J3521" t="s">
        <v>23</v>
      </c>
    </row>
    <row r="3522" spans="1:10" x14ac:dyDescent="0.25">
      <c r="A3522" s="1">
        <v>766</v>
      </c>
      <c r="B3522" t="s">
        <v>44</v>
      </c>
      <c r="C3522">
        <v>48</v>
      </c>
      <c r="D3522">
        <v>1</v>
      </c>
      <c r="E3522" t="s">
        <v>144</v>
      </c>
      <c r="F3522" t="s">
        <v>145</v>
      </c>
      <c r="G3522" t="str">
        <f>"2025-07-06 19:01:42.598"</f>
        <v>2025-07-06 19:01:42.598</v>
      </c>
      <c r="H3522" t="s">
        <v>47</v>
      </c>
    </row>
    <row r="3523" spans="1:10" x14ac:dyDescent="0.25">
      <c r="A3523" s="1">
        <v>767</v>
      </c>
      <c r="B3523" t="s">
        <v>34</v>
      </c>
      <c r="C3523">
        <v>48</v>
      </c>
      <c r="D3523">
        <v>1</v>
      </c>
      <c r="E3523" t="s">
        <v>144</v>
      </c>
      <c r="F3523" t="s">
        <v>145</v>
      </c>
      <c r="G3523" t="str">
        <f>"2025-07-06 19:01:37.557"</f>
        <v>2025-07-06 19:01:37.557</v>
      </c>
      <c r="H3523" t="s">
        <v>47</v>
      </c>
      <c r="I3523">
        <v>0</v>
      </c>
      <c r="J3523" t="s">
        <v>23</v>
      </c>
    </row>
    <row r="3524" spans="1:10" x14ac:dyDescent="0.25">
      <c r="A3524" s="1">
        <v>768</v>
      </c>
      <c r="B3524" t="s">
        <v>44</v>
      </c>
      <c r="C3524">
        <v>77</v>
      </c>
      <c r="D3524">
        <v>1</v>
      </c>
      <c r="E3524" t="s">
        <v>45</v>
      </c>
      <c r="F3524" t="s">
        <v>46</v>
      </c>
      <c r="G3524" t="str">
        <f>"2025-07-06 19:01:29.798"</f>
        <v>2025-07-06 19:01:29.798</v>
      </c>
      <c r="H3524" t="s">
        <v>47</v>
      </c>
    </row>
    <row r="3525" spans="1:10" x14ac:dyDescent="0.25">
      <c r="A3525" s="1">
        <v>769</v>
      </c>
      <c r="B3525" t="s">
        <v>29</v>
      </c>
      <c r="C3525">
        <v>235</v>
      </c>
      <c r="D3525">
        <v>2</v>
      </c>
      <c r="E3525" t="s">
        <v>138</v>
      </c>
      <c r="F3525" t="s">
        <v>139</v>
      </c>
      <c r="G3525" t="str">
        <f>"2025-07-06 19:01:25.002"</f>
        <v>2025-07-06 19:01:25.002</v>
      </c>
      <c r="H3525" t="s">
        <v>59</v>
      </c>
      <c r="I3525">
        <v>0</v>
      </c>
      <c r="J3525" t="s">
        <v>23</v>
      </c>
    </row>
    <row r="3526" spans="1:10" x14ac:dyDescent="0.25">
      <c r="A3526" s="1">
        <v>770</v>
      </c>
      <c r="B3526" t="s">
        <v>34</v>
      </c>
      <c r="C3526">
        <v>77</v>
      </c>
      <c r="D3526">
        <v>1</v>
      </c>
      <c r="E3526" t="s">
        <v>45</v>
      </c>
      <c r="F3526" t="s">
        <v>46</v>
      </c>
      <c r="G3526" t="str">
        <f>"2025-07-06 19:01:24.716"</f>
        <v>2025-07-06 19:01:24.716</v>
      </c>
      <c r="H3526" t="s">
        <v>47</v>
      </c>
      <c r="I3526">
        <v>0</v>
      </c>
      <c r="J3526" t="s">
        <v>23</v>
      </c>
    </row>
    <row r="3527" spans="1:10" x14ac:dyDescent="0.25">
      <c r="A3527" s="1">
        <v>771</v>
      </c>
      <c r="B3527" t="s">
        <v>44</v>
      </c>
      <c r="C3527">
        <v>235</v>
      </c>
      <c r="D3527">
        <v>2</v>
      </c>
      <c r="E3527" t="s">
        <v>138</v>
      </c>
      <c r="F3527" t="s">
        <v>139</v>
      </c>
      <c r="G3527" t="str">
        <f>"2025-07-06 19:01:21.699"</f>
        <v>2025-07-06 19:01:21.699</v>
      </c>
      <c r="H3527" t="s">
        <v>59</v>
      </c>
    </row>
    <row r="3528" spans="1:10" x14ac:dyDescent="0.25">
      <c r="A3528" s="1">
        <v>772</v>
      </c>
      <c r="B3528" t="s">
        <v>44</v>
      </c>
      <c r="C3528">
        <v>77</v>
      </c>
      <c r="D3528">
        <v>1</v>
      </c>
      <c r="E3528" t="s">
        <v>45</v>
      </c>
      <c r="F3528" t="s">
        <v>46</v>
      </c>
      <c r="G3528" t="str">
        <f>"2025-07-06 19:01:20.398"</f>
        <v>2025-07-06 19:01:20.398</v>
      </c>
      <c r="H3528" t="s">
        <v>47</v>
      </c>
    </row>
    <row r="3529" spans="1:10" x14ac:dyDescent="0.25">
      <c r="A3529" s="1">
        <v>773</v>
      </c>
      <c r="B3529" t="s">
        <v>34</v>
      </c>
      <c r="C3529">
        <v>235</v>
      </c>
      <c r="D3529">
        <v>2</v>
      </c>
      <c r="E3529" t="s">
        <v>138</v>
      </c>
      <c r="F3529" t="s">
        <v>139</v>
      </c>
      <c r="G3529" t="str">
        <f>"2025-07-06 19:01:15.742"</f>
        <v>2025-07-06 19:01:15.742</v>
      </c>
      <c r="H3529" t="s">
        <v>59</v>
      </c>
      <c r="I3529">
        <v>0</v>
      </c>
      <c r="J3529" t="s">
        <v>23</v>
      </c>
    </row>
    <row r="3530" spans="1:10" x14ac:dyDescent="0.25">
      <c r="A3530" s="1">
        <v>774</v>
      </c>
      <c r="B3530" t="s">
        <v>34</v>
      </c>
      <c r="C3530">
        <v>77</v>
      </c>
      <c r="D3530">
        <v>1</v>
      </c>
      <c r="E3530" t="s">
        <v>45</v>
      </c>
      <c r="F3530" t="s">
        <v>46</v>
      </c>
      <c r="G3530" t="str">
        <f>"2025-07-06 19:01:15.317"</f>
        <v>2025-07-06 19:01:15.317</v>
      </c>
      <c r="H3530" t="s">
        <v>47</v>
      </c>
      <c r="I3530">
        <v>0</v>
      </c>
      <c r="J3530" t="s">
        <v>23</v>
      </c>
    </row>
    <row r="3531" spans="1:10" x14ac:dyDescent="0.25">
      <c r="A3531" s="1">
        <v>775</v>
      </c>
      <c r="B3531" t="s">
        <v>29</v>
      </c>
      <c r="C3531">
        <v>120</v>
      </c>
      <c r="D3531">
        <v>6</v>
      </c>
      <c r="E3531" t="s">
        <v>131</v>
      </c>
      <c r="F3531" t="s">
        <v>132</v>
      </c>
      <c r="G3531" t="str">
        <f>"2025-07-06 19:01:14.922"</f>
        <v>2025-07-06 19:01:14.922</v>
      </c>
      <c r="H3531" t="s">
        <v>22</v>
      </c>
      <c r="I3531">
        <v>0</v>
      </c>
      <c r="J3531" t="s">
        <v>23</v>
      </c>
    </row>
    <row r="3532" spans="1:10" x14ac:dyDescent="0.25">
      <c r="A3532" s="1">
        <v>776</v>
      </c>
      <c r="B3532" t="s">
        <v>44</v>
      </c>
      <c r="C3532">
        <v>120</v>
      </c>
      <c r="D3532">
        <v>6</v>
      </c>
      <c r="E3532" t="s">
        <v>131</v>
      </c>
      <c r="F3532" t="s">
        <v>132</v>
      </c>
      <c r="G3532" t="str">
        <f>"2025-07-06 19:01:14.698"</f>
        <v>2025-07-06 19:01:14.698</v>
      </c>
      <c r="H3532" t="s">
        <v>22</v>
      </c>
    </row>
    <row r="3533" spans="1:10" x14ac:dyDescent="0.25">
      <c r="A3533" s="1">
        <v>777</v>
      </c>
      <c r="B3533" t="s">
        <v>29</v>
      </c>
      <c r="C3533">
        <v>236</v>
      </c>
      <c r="D3533">
        <v>6</v>
      </c>
      <c r="E3533" t="s">
        <v>136</v>
      </c>
      <c r="F3533" t="s">
        <v>137</v>
      </c>
      <c r="G3533" t="str">
        <f>"2025-07-06 19:01:14.627"</f>
        <v>2025-07-06 19:01:14.627</v>
      </c>
      <c r="H3533" t="s">
        <v>22</v>
      </c>
      <c r="I3533">
        <v>0</v>
      </c>
      <c r="J3533" t="s">
        <v>23</v>
      </c>
    </row>
    <row r="3534" spans="1:10" x14ac:dyDescent="0.25">
      <c r="A3534" s="1">
        <v>778</v>
      </c>
      <c r="B3534" t="s">
        <v>29</v>
      </c>
      <c r="C3534">
        <v>118</v>
      </c>
      <c r="D3534">
        <v>6</v>
      </c>
      <c r="E3534" t="s">
        <v>134</v>
      </c>
      <c r="F3534" t="s">
        <v>135</v>
      </c>
      <c r="G3534" t="str">
        <f>"2025-07-06 19:01:14.622"</f>
        <v>2025-07-06 19:01:14.622</v>
      </c>
      <c r="H3534" t="s">
        <v>22</v>
      </c>
      <c r="I3534">
        <v>0</v>
      </c>
      <c r="J3534" t="s">
        <v>23</v>
      </c>
    </row>
    <row r="3535" spans="1:10" x14ac:dyDescent="0.25">
      <c r="A3535" s="1">
        <v>779</v>
      </c>
      <c r="B3535" t="s">
        <v>44</v>
      </c>
      <c r="C3535">
        <v>236</v>
      </c>
      <c r="D3535">
        <v>6</v>
      </c>
      <c r="E3535" t="s">
        <v>136</v>
      </c>
      <c r="F3535" t="s">
        <v>137</v>
      </c>
      <c r="G3535" t="str">
        <f>"2025-07-06 19:01:14.403"</f>
        <v>2025-07-06 19:01:14.403</v>
      </c>
      <c r="H3535" t="s">
        <v>22</v>
      </c>
    </row>
    <row r="3536" spans="1:10" x14ac:dyDescent="0.25">
      <c r="A3536" s="1">
        <v>780</v>
      </c>
      <c r="B3536" t="s">
        <v>44</v>
      </c>
      <c r="C3536">
        <v>118</v>
      </c>
      <c r="D3536">
        <v>6</v>
      </c>
      <c r="E3536" t="s">
        <v>134</v>
      </c>
      <c r="F3536" t="s">
        <v>135</v>
      </c>
      <c r="G3536" t="str">
        <f>"2025-07-06 19:01:14.398"</f>
        <v>2025-07-06 19:01:14.398</v>
      </c>
      <c r="H3536" t="s">
        <v>22</v>
      </c>
    </row>
    <row r="3537" spans="1:10" x14ac:dyDescent="0.25">
      <c r="A3537" s="1">
        <v>781</v>
      </c>
      <c r="B3537" t="s">
        <v>44</v>
      </c>
      <c r="C3537">
        <v>235</v>
      </c>
      <c r="D3537">
        <v>2</v>
      </c>
      <c r="E3537" t="s">
        <v>138</v>
      </c>
      <c r="F3537" t="s">
        <v>139</v>
      </c>
      <c r="G3537" t="str">
        <f>"2025-07-06 19:01:12.298"</f>
        <v>2025-07-06 19:01:12.298</v>
      </c>
      <c r="H3537" t="s">
        <v>59</v>
      </c>
    </row>
    <row r="3538" spans="1:10" x14ac:dyDescent="0.25">
      <c r="A3538" s="1">
        <v>782</v>
      </c>
      <c r="B3538" t="s">
        <v>44</v>
      </c>
      <c r="C3538">
        <v>77</v>
      </c>
      <c r="D3538">
        <v>1</v>
      </c>
      <c r="E3538" t="s">
        <v>45</v>
      </c>
      <c r="F3538" t="s">
        <v>46</v>
      </c>
      <c r="G3538" t="str">
        <f>"2025-07-06 19:01:10.998"</f>
        <v>2025-07-06 19:01:10.998</v>
      </c>
      <c r="H3538" t="s">
        <v>47</v>
      </c>
    </row>
    <row r="3539" spans="1:10" x14ac:dyDescent="0.25">
      <c r="A3539" s="1">
        <v>783</v>
      </c>
      <c r="B3539" t="s">
        <v>34</v>
      </c>
      <c r="C3539">
        <v>236</v>
      </c>
      <c r="D3539">
        <v>6</v>
      </c>
      <c r="E3539" t="s">
        <v>136</v>
      </c>
      <c r="F3539" t="s">
        <v>137</v>
      </c>
      <c r="G3539" t="str">
        <f>"2025-07-06 19:01:09.362"</f>
        <v>2025-07-06 19:01:09.362</v>
      </c>
      <c r="H3539" t="s">
        <v>22</v>
      </c>
      <c r="I3539">
        <v>0</v>
      </c>
      <c r="J3539" t="s">
        <v>23</v>
      </c>
    </row>
    <row r="3540" spans="1:10" x14ac:dyDescent="0.25">
      <c r="A3540" s="1">
        <v>784</v>
      </c>
      <c r="B3540" t="s">
        <v>34</v>
      </c>
      <c r="C3540">
        <v>118</v>
      </c>
      <c r="D3540">
        <v>6</v>
      </c>
      <c r="E3540" t="s">
        <v>134</v>
      </c>
      <c r="F3540" t="s">
        <v>135</v>
      </c>
      <c r="G3540" t="str">
        <f>"2025-07-06 19:01:09.227"</f>
        <v>2025-07-06 19:01:09.227</v>
      </c>
      <c r="H3540" t="s">
        <v>22</v>
      </c>
      <c r="I3540">
        <v>0</v>
      </c>
      <c r="J3540" t="s">
        <v>23</v>
      </c>
    </row>
    <row r="3541" spans="1:10" x14ac:dyDescent="0.25">
      <c r="A3541" s="1">
        <v>785</v>
      </c>
      <c r="B3541" t="s">
        <v>34</v>
      </c>
      <c r="C3541">
        <v>120</v>
      </c>
      <c r="D3541">
        <v>6</v>
      </c>
      <c r="E3541" t="s">
        <v>131</v>
      </c>
      <c r="F3541" t="s">
        <v>132</v>
      </c>
      <c r="G3541" t="str">
        <f>"2025-07-06 19:01:09.222"</f>
        <v>2025-07-06 19:01:09.222</v>
      </c>
      <c r="H3541" t="s">
        <v>22</v>
      </c>
      <c r="I3541">
        <v>0</v>
      </c>
      <c r="J3541" t="s">
        <v>23</v>
      </c>
    </row>
    <row r="3542" spans="1:10" x14ac:dyDescent="0.25">
      <c r="A3542" s="1">
        <v>786</v>
      </c>
      <c r="B3542" t="s">
        <v>44</v>
      </c>
      <c r="C3542">
        <v>120</v>
      </c>
      <c r="D3542">
        <v>6</v>
      </c>
      <c r="E3542" t="s">
        <v>131</v>
      </c>
      <c r="F3542" t="s">
        <v>132</v>
      </c>
      <c r="G3542" t="str">
        <f>"2025-07-06 19:01:09.098"</f>
        <v>2025-07-06 19:01:09.098</v>
      </c>
      <c r="H3542" t="s">
        <v>22</v>
      </c>
    </row>
    <row r="3543" spans="1:10" x14ac:dyDescent="0.25">
      <c r="A3543" s="1">
        <v>787</v>
      </c>
      <c r="B3543" t="s">
        <v>44</v>
      </c>
      <c r="C3543">
        <v>236</v>
      </c>
      <c r="D3543">
        <v>6</v>
      </c>
      <c r="E3543" t="s">
        <v>136</v>
      </c>
      <c r="F3543" t="s">
        <v>137</v>
      </c>
      <c r="G3543" t="str">
        <f>"2025-07-06 19:01:09.003"</f>
        <v>2025-07-06 19:01:09.003</v>
      </c>
      <c r="H3543" t="s">
        <v>22</v>
      </c>
    </row>
    <row r="3544" spans="1:10" x14ac:dyDescent="0.25">
      <c r="A3544" s="1">
        <v>788</v>
      </c>
      <c r="B3544" t="s">
        <v>44</v>
      </c>
      <c r="C3544">
        <v>118</v>
      </c>
      <c r="D3544">
        <v>6</v>
      </c>
      <c r="E3544" t="s">
        <v>134</v>
      </c>
      <c r="F3544" t="s">
        <v>135</v>
      </c>
      <c r="G3544" t="str">
        <f>"2025-07-06 19:01:08.998"</f>
        <v>2025-07-06 19:01:08.998</v>
      </c>
      <c r="H3544" t="s">
        <v>22</v>
      </c>
    </row>
    <row r="3545" spans="1:10" x14ac:dyDescent="0.25">
      <c r="A3545" s="1">
        <v>789</v>
      </c>
      <c r="B3545" t="s">
        <v>34</v>
      </c>
      <c r="C3545">
        <v>235</v>
      </c>
      <c r="D3545">
        <v>2</v>
      </c>
      <c r="E3545" t="s">
        <v>138</v>
      </c>
      <c r="F3545" t="s">
        <v>139</v>
      </c>
      <c r="G3545" t="str">
        <f>"2025-07-06 19:01:06.527"</f>
        <v>2025-07-06 19:01:06.527</v>
      </c>
      <c r="H3545" t="s">
        <v>59</v>
      </c>
      <c r="I3545">
        <v>0</v>
      </c>
      <c r="J3545" t="s">
        <v>23</v>
      </c>
    </row>
    <row r="3546" spans="1:10" x14ac:dyDescent="0.25">
      <c r="A3546" s="1">
        <v>790</v>
      </c>
      <c r="B3546" t="s">
        <v>29</v>
      </c>
      <c r="C3546">
        <v>250</v>
      </c>
      <c r="D3546">
        <v>1</v>
      </c>
      <c r="E3546" t="s">
        <v>99</v>
      </c>
      <c r="F3546" t="s">
        <v>125</v>
      </c>
      <c r="G3546" t="str">
        <f>"2025-07-06 19:01:06.522"</f>
        <v>2025-07-06 19:01:06.522</v>
      </c>
      <c r="H3546" t="s">
        <v>22</v>
      </c>
      <c r="I3546">
        <v>0</v>
      </c>
      <c r="J3546" t="s">
        <v>23</v>
      </c>
    </row>
    <row r="3547" spans="1:10" x14ac:dyDescent="0.25">
      <c r="A3547" s="1">
        <v>791</v>
      </c>
      <c r="B3547" t="s">
        <v>34</v>
      </c>
      <c r="C3547">
        <v>77</v>
      </c>
      <c r="D3547">
        <v>1</v>
      </c>
      <c r="E3547" t="s">
        <v>45</v>
      </c>
      <c r="F3547" t="s">
        <v>46</v>
      </c>
      <c r="G3547" t="str">
        <f>"2025-07-06 19:01:05.916"</f>
        <v>2025-07-06 19:01:05.916</v>
      </c>
      <c r="H3547" t="s">
        <v>47</v>
      </c>
      <c r="I3547">
        <v>0</v>
      </c>
      <c r="J3547" t="s">
        <v>23</v>
      </c>
    </row>
    <row r="3548" spans="1:10" x14ac:dyDescent="0.25">
      <c r="A3548" s="1">
        <v>792</v>
      </c>
      <c r="B3548" t="s">
        <v>29</v>
      </c>
      <c r="C3548">
        <v>250</v>
      </c>
      <c r="D3548">
        <v>7</v>
      </c>
      <c r="E3548" t="s">
        <v>99</v>
      </c>
      <c r="F3548" t="s">
        <v>100</v>
      </c>
      <c r="G3548" t="str">
        <f>"2025-07-06 19:01:04.762"</f>
        <v>2025-07-06 19:01:04.762</v>
      </c>
      <c r="H3548" t="s">
        <v>22</v>
      </c>
      <c r="I3548">
        <v>0</v>
      </c>
      <c r="J3548" t="s">
        <v>23</v>
      </c>
    </row>
    <row r="3549" spans="1:10" x14ac:dyDescent="0.25">
      <c r="A3549" s="1">
        <v>793</v>
      </c>
      <c r="B3549" t="s">
        <v>34</v>
      </c>
      <c r="C3549">
        <v>236</v>
      </c>
      <c r="D3549">
        <v>6</v>
      </c>
      <c r="E3549" t="s">
        <v>136</v>
      </c>
      <c r="F3549" t="s">
        <v>137</v>
      </c>
      <c r="G3549" t="str">
        <f>"2025-07-06 19:01:03.887"</f>
        <v>2025-07-06 19:01:03.887</v>
      </c>
      <c r="H3549" t="s">
        <v>22</v>
      </c>
      <c r="I3549">
        <v>0</v>
      </c>
      <c r="J3549" t="s">
        <v>23</v>
      </c>
    </row>
    <row r="3550" spans="1:10" x14ac:dyDescent="0.25">
      <c r="A3550" s="1">
        <v>794</v>
      </c>
      <c r="B3550" t="s">
        <v>29</v>
      </c>
      <c r="C3550">
        <v>248</v>
      </c>
      <c r="D3550">
        <v>7</v>
      </c>
      <c r="E3550" t="s">
        <v>101</v>
      </c>
      <c r="F3550" t="s">
        <v>102</v>
      </c>
      <c r="G3550" t="str">
        <f>"2025-07-06 19:01:03.882"</f>
        <v>2025-07-06 19:01:03.882</v>
      </c>
      <c r="H3550" t="s">
        <v>22</v>
      </c>
      <c r="I3550">
        <v>0</v>
      </c>
      <c r="J3550" t="s">
        <v>23</v>
      </c>
    </row>
    <row r="3551" spans="1:10" x14ac:dyDescent="0.25">
      <c r="A3551" s="1">
        <v>795</v>
      </c>
      <c r="B3551" t="s">
        <v>34</v>
      </c>
      <c r="C3551">
        <v>118</v>
      </c>
      <c r="D3551">
        <v>6</v>
      </c>
      <c r="E3551" t="s">
        <v>134</v>
      </c>
      <c r="F3551" t="s">
        <v>135</v>
      </c>
      <c r="G3551" t="str">
        <f>"2025-07-06 19:01:03.847"</f>
        <v>2025-07-06 19:01:03.847</v>
      </c>
      <c r="H3551" t="s">
        <v>22</v>
      </c>
      <c r="I3551">
        <v>0</v>
      </c>
      <c r="J3551" t="s">
        <v>23</v>
      </c>
    </row>
    <row r="3552" spans="1:10" x14ac:dyDescent="0.25">
      <c r="A3552" s="1">
        <v>796</v>
      </c>
      <c r="B3552" t="s">
        <v>34</v>
      </c>
      <c r="C3552">
        <v>120</v>
      </c>
      <c r="D3552">
        <v>6</v>
      </c>
      <c r="E3552" t="s">
        <v>131</v>
      </c>
      <c r="F3552" t="s">
        <v>132</v>
      </c>
      <c r="G3552" t="str">
        <f>"2025-07-06 19:01:03.842"</f>
        <v>2025-07-06 19:01:03.842</v>
      </c>
      <c r="H3552" t="s">
        <v>22</v>
      </c>
      <c r="I3552">
        <v>0</v>
      </c>
      <c r="J3552" t="s">
        <v>23</v>
      </c>
    </row>
    <row r="3553" spans="1:10" x14ac:dyDescent="0.25">
      <c r="A3553" s="1">
        <v>797</v>
      </c>
      <c r="B3553" t="s">
        <v>44</v>
      </c>
      <c r="C3553">
        <v>248</v>
      </c>
      <c r="D3553">
        <v>7</v>
      </c>
      <c r="E3553" t="s">
        <v>101</v>
      </c>
      <c r="F3553" t="s">
        <v>102</v>
      </c>
      <c r="G3553" t="str">
        <f>"2025-07-06 19:01:03.698"</f>
        <v>2025-07-06 19:01:03.698</v>
      </c>
      <c r="H3553" t="s">
        <v>22</v>
      </c>
    </row>
    <row r="3554" spans="1:10" x14ac:dyDescent="0.25">
      <c r="A3554" s="1">
        <v>798</v>
      </c>
      <c r="B3554" t="s">
        <v>44</v>
      </c>
      <c r="C3554">
        <v>120</v>
      </c>
      <c r="D3554">
        <v>6</v>
      </c>
      <c r="E3554" t="s">
        <v>131</v>
      </c>
      <c r="F3554" t="s">
        <v>132</v>
      </c>
      <c r="G3554" t="str">
        <f>"2025-07-06 19:01:03.399"</f>
        <v>2025-07-06 19:01:03.399</v>
      </c>
      <c r="H3554" t="s">
        <v>22</v>
      </c>
    </row>
    <row r="3555" spans="1:10" x14ac:dyDescent="0.25">
      <c r="A3555" s="1">
        <v>799</v>
      </c>
      <c r="B3555" t="s">
        <v>44</v>
      </c>
      <c r="C3555">
        <v>250</v>
      </c>
      <c r="D3555">
        <v>7</v>
      </c>
      <c r="E3555" t="s">
        <v>99</v>
      </c>
      <c r="F3555" t="s">
        <v>100</v>
      </c>
      <c r="G3555" t="str">
        <f>"2025-07-06 19:01:03.307"</f>
        <v>2025-07-06 19:01:03.307</v>
      </c>
      <c r="H3555" t="s">
        <v>22</v>
      </c>
    </row>
    <row r="3556" spans="1:10" x14ac:dyDescent="0.25">
      <c r="A3556" s="1">
        <v>800</v>
      </c>
      <c r="B3556" t="s">
        <v>44</v>
      </c>
      <c r="C3556">
        <v>236</v>
      </c>
      <c r="D3556">
        <v>6</v>
      </c>
      <c r="E3556" t="s">
        <v>136</v>
      </c>
      <c r="F3556" t="s">
        <v>137</v>
      </c>
      <c r="G3556" t="str">
        <f>"2025-07-06 19:01:03.303"</f>
        <v>2025-07-06 19:01:03.303</v>
      </c>
      <c r="H3556" t="s">
        <v>22</v>
      </c>
    </row>
    <row r="3557" spans="1:10" x14ac:dyDescent="0.25">
      <c r="A3557" s="1">
        <v>801</v>
      </c>
      <c r="B3557" t="s">
        <v>44</v>
      </c>
      <c r="C3557">
        <v>118</v>
      </c>
      <c r="D3557">
        <v>6</v>
      </c>
      <c r="E3557" t="s">
        <v>134</v>
      </c>
      <c r="F3557" t="s">
        <v>135</v>
      </c>
      <c r="G3557" t="str">
        <f>"2025-07-06 19:01:03.298"</f>
        <v>2025-07-06 19:01:03.298</v>
      </c>
      <c r="H3557" t="s">
        <v>22</v>
      </c>
    </row>
    <row r="3558" spans="1:10" x14ac:dyDescent="0.25">
      <c r="A3558" s="1">
        <v>802</v>
      </c>
      <c r="B3558" t="s">
        <v>44</v>
      </c>
      <c r="C3558">
        <v>235</v>
      </c>
      <c r="D3558">
        <v>2</v>
      </c>
      <c r="E3558" t="s">
        <v>138</v>
      </c>
      <c r="F3558" t="s">
        <v>139</v>
      </c>
      <c r="G3558" t="str">
        <f>"2025-07-06 19:01:02.008"</f>
        <v>2025-07-06 19:01:02.008</v>
      </c>
      <c r="H3558" t="s">
        <v>59</v>
      </c>
    </row>
    <row r="3559" spans="1:10" x14ac:dyDescent="0.25">
      <c r="A3559" s="1">
        <v>803</v>
      </c>
      <c r="B3559" t="s">
        <v>44</v>
      </c>
      <c r="C3559">
        <v>119</v>
      </c>
      <c r="D3559">
        <v>2</v>
      </c>
      <c r="E3559" t="s">
        <v>140</v>
      </c>
      <c r="F3559" t="s">
        <v>141</v>
      </c>
      <c r="G3559" t="str">
        <f>"2025-07-06 19:01:02.004"</f>
        <v>2025-07-06 19:01:02.004</v>
      </c>
      <c r="H3559" t="s">
        <v>61</v>
      </c>
    </row>
    <row r="3560" spans="1:10" x14ac:dyDescent="0.25">
      <c r="A3560" s="1">
        <v>804</v>
      </c>
      <c r="B3560" t="s">
        <v>44</v>
      </c>
      <c r="C3560">
        <v>117</v>
      </c>
      <c r="D3560">
        <v>2</v>
      </c>
      <c r="E3560" t="s">
        <v>142</v>
      </c>
      <c r="F3560" t="s">
        <v>143</v>
      </c>
      <c r="G3560" t="str">
        <f>"2025-07-06 19:01:01.999"</f>
        <v>2025-07-06 19:01:01.999</v>
      </c>
      <c r="H3560" t="s">
        <v>61</v>
      </c>
    </row>
    <row r="3561" spans="1:10" x14ac:dyDescent="0.25">
      <c r="A3561" s="1">
        <v>805</v>
      </c>
      <c r="B3561" t="s">
        <v>44</v>
      </c>
      <c r="C3561">
        <v>77</v>
      </c>
      <c r="D3561">
        <v>1</v>
      </c>
      <c r="E3561" t="s">
        <v>45</v>
      </c>
      <c r="F3561" t="s">
        <v>46</v>
      </c>
      <c r="G3561" t="str">
        <f>"2025-07-06 19:01:01.598"</f>
        <v>2025-07-06 19:01:01.598</v>
      </c>
      <c r="H3561" t="s">
        <v>47</v>
      </c>
    </row>
    <row r="3562" spans="1:10" x14ac:dyDescent="0.25">
      <c r="A3562" s="1">
        <v>806</v>
      </c>
      <c r="B3562" t="s">
        <v>34</v>
      </c>
      <c r="C3562">
        <v>250</v>
      </c>
      <c r="D3562">
        <v>7</v>
      </c>
      <c r="E3562" t="s">
        <v>99</v>
      </c>
      <c r="F3562" t="s">
        <v>100</v>
      </c>
      <c r="G3562" t="str">
        <f>"2025-07-06 19:00:58.227"</f>
        <v>2025-07-06 19:00:58.227</v>
      </c>
      <c r="H3562" t="s">
        <v>22</v>
      </c>
      <c r="I3562">
        <v>0</v>
      </c>
      <c r="J3562" t="s">
        <v>23</v>
      </c>
    </row>
    <row r="3563" spans="1:10" x14ac:dyDescent="0.25">
      <c r="A3563" s="1">
        <v>807</v>
      </c>
      <c r="B3563" t="s">
        <v>34</v>
      </c>
      <c r="C3563">
        <v>248</v>
      </c>
      <c r="D3563">
        <v>7</v>
      </c>
      <c r="E3563" t="s">
        <v>101</v>
      </c>
      <c r="F3563" t="s">
        <v>102</v>
      </c>
      <c r="G3563" t="str">
        <f>"2025-07-06 19:00:58.222"</f>
        <v>2025-07-06 19:00:58.222</v>
      </c>
      <c r="H3563" t="s">
        <v>22</v>
      </c>
      <c r="I3563">
        <v>0</v>
      </c>
      <c r="J3563" t="s">
        <v>23</v>
      </c>
    </row>
    <row r="3564" spans="1:10" x14ac:dyDescent="0.25">
      <c r="A3564" s="1">
        <v>808</v>
      </c>
      <c r="B3564" t="s">
        <v>34</v>
      </c>
      <c r="C3564">
        <v>120</v>
      </c>
      <c r="D3564">
        <v>6</v>
      </c>
      <c r="E3564" t="s">
        <v>131</v>
      </c>
      <c r="F3564" t="s">
        <v>132</v>
      </c>
      <c r="G3564" t="str">
        <f>"2025-07-06 19:00:58.032"</f>
        <v>2025-07-06 19:00:58.032</v>
      </c>
      <c r="H3564" t="s">
        <v>22</v>
      </c>
      <c r="I3564">
        <v>0</v>
      </c>
      <c r="J3564" t="s">
        <v>23</v>
      </c>
    </row>
    <row r="3565" spans="1:10" x14ac:dyDescent="0.25">
      <c r="A3565" s="1">
        <v>809</v>
      </c>
      <c r="B3565" t="s">
        <v>34</v>
      </c>
      <c r="C3565">
        <v>118</v>
      </c>
      <c r="D3565">
        <v>6</v>
      </c>
      <c r="E3565" t="s">
        <v>134</v>
      </c>
      <c r="F3565" t="s">
        <v>135</v>
      </c>
      <c r="G3565" t="str">
        <f>"2025-07-06 19:00:58.027"</f>
        <v>2025-07-06 19:00:58.027</v>
      </c>
      <c r="H3565" t="s">
        <v>22</v>
      </c>
      <c r="I3565">
        <v>0</v>
      </c>
      <c r="J3565" t="s">
        <v>23</v>
      </c>
    </row>
    <row r="3566" spans="1:10" x14ac:dyDescent="0.25">
      <c r="A3566" s="1">
        <v>810</v>
      </c>
      <c r="B3566" t="s">
        <v>29</v>
      </c>
      <c r="C3566">
        <v>107</v>
      </c>
      <c r="D3566">
        <v>3</v>
      </c>
      <c r="E3566" t="s">
        <v>106</v>
      </c>
      <c r="F3566" t="s">
        <v>133</v>
      </c>
      <c r="G3566" t="str">
        <f>"2025-07-06 19:00:58.022"</f>
        <v>2025-07-06 19:00:58.022</v>
      </c>
      <c r="H3566" t="s">
        <v>61</v>
      </c>
      <c r="I3566">
        <v>0</v>
      </c>
      <c r="J3566" t="s">
        <v>23</v>
      </c>
    </row>
    <row r="3567" spans="1:10" x14ac:dyDescent="0.25">
      <c r="A3567" s="1">
        <v>811</v>
      </c>
      <c r="B3567" t="s">
        <v>34</v>
      </c>
      <c r="C3567">
        <v>236</v>
      </c>
      <c r="D3567">
        <v>6</v>
      </c>
      <c r="E3567" t="s">
        <v>136</v>
      </c>
      <c r="F3567" t="s">
        <v>137</v>
      </c>
      <c r="G3567" t="str">
        <f>"2025-07-06 19:00:57.962"</f>
        <v>2025-07-06 19:00:57.962</v>
      </c>
      <c r="H3567" t="s">
        <v>22</v>
      </c>
      <c r="I3567">
        <v>0</v>
      </c>
      <c r="J3567" t="s">
        <v>23</v>
      </c>
    </row>
    <row r="3568" spans="1:10" x14ac:dyDescent="0.25">
      <c r="A3568" s="1">
        <v>812</v>
      </c>
      <c r="B3568" t="s">
        <v>34</v>
      </c>
      <c r="C3568">
        <v>235</v>
      </c>
      <c r="D3568">
        <v>2</v>
      </c>
      <c r="E3568" t="s">
        <v>138</v>
      </c>
      <c r="F3568" t="s">
        <v>139</v>
      </c>
      <c r="G3568" t="str">
        <f>"2025-07-06 19:00:56.951"</f>
        <v>2025-07-06 19:00:56.951</v>
      </c>
      <c r="H3568" t="s">
        <v>59</v>
      </c>
      <c r="I3568">
        <v>0</v>
      </c>
      <c r="J3568" t="s">
        <v>23</v>
      </c>
    </row>
    <row r="3569" spans="1:10" x14ac:dyDescent="0.25">
      <c r="A3569" s="1">
        <v>813</v>
      </c>
      <c r="B3569" t="s">
        <v>34</v>
      </c>
      <c r="C3569">
        <v>119</v>
      </c>
      <c r="D3569">
        <v>2</v>
      </c>
      <c r="E3569" t="s">
        <v>140</v>
      </c>
      <c r="F3569" t="s">
        <v>141</v>
      </c>
      <c r="G3569" t="str">
        <f>"2025-07-06 19:00:56.947"</f>
        <v>2025-07-06 19:00:56.947</v>
      </c>
      <c r="H3569" t="s">
        <v>61</v>
      </c>
      <c r="I3569">
        <v>0</v>
      </c>
      <c r="J3569" t="s">
        <v>23</v>
      </c>
    </row>
    <row r="3570" spans="1:10" x14ac:dyDescent="0.25">
      <c r="A3570" s="1">
        <v>814</v>
      </c>
      <c r="B3570" t="s">
        <v>34</v>
      </c>
      <c r="C3570">
        <v>117</v>
      </c>
      <c r="D3570">
        <v>2</v>
      </c>
      <c r="E3570" t="s">
        <v>142</v>
      </c>
      <c r="F3570" t="s">
        <v>143</v>
      </c>
      <c r="G3570" t="str">
        <f>"2025-07-06 19:00:56.942"</f>
        <v>2025-07-06 19:00:56.942</v>
      </c>
      <c r="H3570" t="s">
        <v>61</v>
      </c>
      <c r="I3570">
        <v>0</v>
      </c>
      <c r="J3570" t="s">
        <v>23</v>
      </c>
    </row>
    <row r="3571" spans="1:10" x14ac:dyDescent="0.25">
      <c r="A3571" s="1">
        <v>815</v>
      </c>
      <c r="B3571" t="s">
        <v>34</v>
      </c>
      <c r="C3571">
        <v>77</v>
      </c>
      <c r="D3571">
        <v>1</v>
      </c>
      <c r="E3571" t="s">
        <v>45</v>
      </c>
      <c r="F3571" t="s">
        <v>46</v>
      </c>
      <c r="G3571" t="str">
        <f>"2025-07-06 19:00:56.537"</f>
        <v>2025-07-06 19:00:56.537</v>
      </c>
      <c r="H3571" t="s">
        <v>47</v>
      </c>
      <c r="I3571">
        <v>0</v>
      </c>
      <c r="J3571" t="s">
        <v>23</v>
      </c>
    </row>
    <row r="3572" spans="1:10" x14ac:dyDescent="0.25">
      <c r="A3572" s="1">
        <v>816</v>
      </c>
      <c r="B3572" t="s">
        <v>19</v>
      </c>
      <c r="C3572">
        <v>706</v>
      </c>
      <c r="D3572">
        <v>4</v>
      </c>
      <c r="E3572" t="s">
        <v>20</v>
      </c>
      <c r="F3572" t="s">
        <v>21</v>
      </c>
      <c r="G3572" t="str">
        <f>"2025-07-06 19:00:48.919"</f>
        <v>2025-07-06 19:00:48.919</v>
      </c>
      <c r="H3572" t="s">
        <v>22</v>
      </c>
      <c r="I3572">
        <v>0</v>
      </c>
      <c r="J3572" t="s">
        <v>23</v>
      </c>
    </row>
    <row r="3573" spans="1:10" x14ac:dyDescent="0.25">
      <c r="A3573" s="1">
        <v>819</v>
      </c>
      <c r="B3573" t="s">
        <v>19</v>
      </c>
      <c r="C3573">
        <v>782</v>
      </c>
      <c r="D3573">
        <v>7</v>
      </c>
      <c r="E3573" t="s">
        <v>55</v>
      </c>
      <c r="F3573" t="s">
        <v>56</v>
      </c>
      <c r="G3573" t="str">
        <f>"2025-07-06 19:00:41.209"</f>
        <v>2025-07-06 19:00:41.209</v>
      </c>
      <c r="H3573" t="s">
        <v>22</v>
      </c>
      <c r="I3573">
        <v>0</v>
      </c>
      <c r="J3573" t="s">
        <v>23</v>
      </c>
    </row>
    <row r="3574" spans="1:10" x14ac:dyDescent="0.25">
      <c r="A3574" s="1">
        <v>822</v>
      </c>
      <c r="B3574" t="s">
        <v>26</v>
      </c>
      <c r="C3574">
        <v>250</v>
      </c>
      <c r="D3574">
        <v>7</v>
      </c>
      <c r="E3574" t="s">
        <v>99</v>
      </c>
      <c r="F3574" t="s">
        <v>100</v>
      </c>
      <c r="G3574" t="str">
        <f>"2025-07-06 19:00:41.198"</f>
        <v>2025-07-06 19:00:41.198</v>
      </c>
      <c r="H3574" t="s">
        <v>22</v>
      </c>
    </row>
    <row r="3575" spans="1:10" x14ac:dyDescent="0.25">
      <c r="A3575" s="1">
        <v>823</v>
      </c>
      <c r="B3575" t="s">
        <v>26</v>
      </c>
      <c r="C3575">
        <v>250</v>
      </c>
      <c r="D3575">
        <v>1</v>
      </c>
      <c r="E3575" t="s">
        <v>99</v>
      </c>
      <c r="F3575" t="s">
        <v>125</v>
      </c>
      <c r="G3575" t="str">
        <f>"2025-07-06 19:00:41.194"</f>
        <v>2025-07-06 19:00:41.194</v>
      </c>
      <c r="H3575" t="s">
        <v>22</v>
      </c>
    </row>
    <row r="3576" spans="1:10" x14ac:dyDescent="0.25">
      <c r="A3576" s="1">
        <v>824</v>
      </c>
      <c r="B3576" t="s">
        <v>26</v>
      </c>
      <c r="C3576">
        <v>248</v>
      </c>
      <c r="D3576">
        <v>7</v>
      </c>
      <c r="E3576" t="s">
        <v>101</v>
      </c>
      <c r="F3576" t="s">
        <v>102</v>
      </c>
      <c r="G3576" t="str">
        <f>"2025-07-06 19:00:41.191"</f>
        <v>2025-07-06 19:00:41.191</v>
      </c>
      <c r="H3576" t="s">
        <v>22</v>
      </c>
    </row>
    <row r="3577" spans="1:10" x14ac:dyDescent="0.25">
      <c r="A3577" s="1">
        <v>825</v>
      </c>
      <c r="B3577" t="s">
        <v>26</v>
      </c>
      <c r="C3577">
        <v>236</v>
      </c>
      <c r="D3577">
        <v>6</v>
      </c>
      <c r="E3577" t="s">
        <v>136</v>
      </c>
      <c r="F3577" t="s">
        <v>137</v>
      </c>
      <c r="G3577" t="str">
        <f>"2025-07-06 19:00:41.188"</f>
        <v>2025-07-06 19:00:41.188</v>
      </c>
      <c r="H3577" t="s">
        <v>22</v>
      </c>
    </row>
    <row r="3578" spans="1:10" x14ac:dyDescent="0.25">
      <c r="A3578" s="1">
        <v>826</v>
      </c>
      <c r="B3578" t="s">
        <v>26</v>
      </c>
      <c r="C3578">
        <v>235</v>
      </c>
      <c r="D3578">
        <v>2</v>
      </c>
      <c r="E3578" t="s">
        <v>138</v>
      </c>
      <c r="F3578" t="s">
        <v>139</v>
      </c>
      <c r="G3578" t="str">
        <f>"2025-07-06 19:00:41.184"</f>
        <v>2025-07-06 19:00:41.184</v>
      </c>
      <c r="H3578" t="s">
        <v>59</v>
      </c>
    </row>
    <row r="3579" spans="1:10" x14ac:dyDescent="0.25">
      <c r="A3579" s="1">
        <v>827</v>
      </c>
      <c r="B3579" t="s">
        <v>26</v>
      </c>
      <c r="C3579">
        <v>120</v>
      </c>
      <c r="D3579">
        <v>6</v>
      </c>
      <c r="E3579" t="s">
        <v>131</v>
      </c>
      <c r="F3579" t="s">
        <v>132</v>
      </c>
      <c r="G3579" t="str">
        <f>"2025-07-06 19:00:41.179"</f>
        <v>2025-07-06 19:00:41.179</v>
      </c>
      <c r="H3579" t="s">
        <v>22</v>
      </c>
    </row>
    <row r="3580" spans="1:10" x14ac:dyDescent="0.25">
      <c r="A3580" s="1">
        <v>828</v>
      </c>
      <c r="B3580" t="s">
        <v>26</v>
      </c>
      <c r="C3580">
        <v>118</v>
      </c>
      <c r="D3580">
        <v>6</v>
      </c>
      <c r="E3580" t="s">
        <v>134</v>
      </c>
      <c r="F3580" t="s">
        <v>135</v>
      </c>
      <c r="G3580" t="str">
        <f>"2025-07-06 19:00:41.174"</f>
        <v>2025-07-06 19:00:41.174</v>
      </c>
      <c r="H3580" t="s">
        <v>22</v>
      </c>
    </row>
    <row r="3581" spans="1:10" x14ac:dyDescent="0.25">
      <c r="A3581" s="1">
        <v>829</v>
      </c>
      <c r="B3581" t="s">
        <v>26</v>
      </c>
      <c r="C3581">
        <v>107</v>
      </c>
      <c r="D3581">
        <v>3</v>
      </c>
      <c r="E3581" t="s">
        <v>106</v>
      </c>
      <c r="F3581" t="s">
        <v>133</v>
      </c>
      <c r="G3581" t="str">
        <f>"2025-07-06 19:00:41.171"</f>
        <v>2025-07-06 19:00:41.171</v>
      </c>
      <c r="H3581" t="s">
        <v>61</v>
      </c>
    </row>
    <row r="3582" spans="1:10" x14ac:dyDescent="0.25">
      <c r="A3582" s="1">
        <v>830</v>
      </c>
      <c r="B3582" t="s">
        <v>26</v>
      </c>
      <c r="C3582">
        <v>48</v>
      </c>
      <c r="D3582">
        <v>1</v>
      </c>
      <c r="E3582" t="s">
        <v>144</v>
      </c>
      <c r="F3582" t="s">
        <v>145</v>
      </c>
      <c r="G3582" t="str">
        <f>"2025-07-06 19:00:41.168"</f>
        <v>2025-07-06 19:00:41.168</v>
      </c>
      <c r="H3582" t="s">
        <v>47</v>
      </c>
    </row>
    <row r="3583" spans="1:10" x14ac:dyDescent="0.25">
      <c r="A3583" s="1">
        <v>831</v>
      </c>
      <c r="B3583" t="s">
        <v>19</v>
      </c>
      <c r="C3583">
        <v>782</v>
      </c>
      <c r="D3583">
        <v>7</v>
      </c>
      <c r="E3583" t="s">
        <v>55</v>
      </c>
      <c r="F3583" t="s">
        <v>56</v>
      </c>
      <c r="G3583" t="str">
        <f>"2025-07-06 19:00:41.166"</f>
        <v>2025-07-06 19:00:41.166</v>
      </c>
      <c r="H3583" t="s">
        <v>22</v>
      </c>
      <c r="I3583">
        <v>0</v>
      </c>
      <c r="J3583" t="s">
        <v>23</v>
      </c>
    </row>
    <row r="3584" spans="1:10" x14ac:dyDescent="0.25">
      <c r="A3584" s="1">
        <v>832</v>
      </c>
      <c r="B3584" t="s">
        <v>19</v>
      </c>
      <c r="C3584">
        <v>700</v>
      </c>
      <c r="D3584">
        <v>0</v>
      </c>
      <c r="E3584" t="s">
        <v>24</v>
      </c>
      <c r="F3584" t="s">
        <v>24</v>
      </c>
      <c r="G3584" t="str">
        <f>"2025-07-06 18:58:19.639"</f>
        <v>2025-07-06 18:58:19.639</v>
      </c>
      <c r="H3584" t="s">
        <v>22</v>
      </c>
      <c r="I3584">
        <v>0</v>
      </c>
      <c r="J3584" t="s">
        <v>25</v>
      </c>
    </row>
    <row r="3585" spans="1:10" x14ac:dyDescent="0.25">
      <c r="A3585" s="1">
        <v>833</v>
      </c>
      <c r="B3585" t="s">
        <v>19</v>
      </c>
      <c r="C3585">
        <v>700</v>
      </c>
      <c r="D3585">
        <v>0</v>
      </c>
      <c r="E3585" t="s">
        <v>24</v>
      </c>
      <c r="F3585" t="s">
        <v>24</v>
      </c>
      <c r="G3585" t="str">
        <f>"2025-07-06 18:56:33.657"</f>
        <v>2025-07-06 18:56:33.657</v>
      </c>
      <c r="H3585" t="s">
        <v>22</v>
      </c>
      <c r="I3585">
        <v>0</v>
      </c>
      <c r="J3585" t="s">
        <v>25</v>
      </c>
    </row>
    <row r="3586" spans="1:10" x14ac:dyDescent="0.25">
      <c r="A3586" s="1">
        <v>834</v>
      </c>
      <c r="B3586" t="s">
        <v>19</v>
      </c>
      <c r="C3586">
        <v>706</v>
      </c>
      <c r="D3586">
        <v>4</v>
      </c>
      <c r="E3586" t="s">
        <v>20</v>
      </c>
      <c r="F3586" t="s">
        <v>21</v>
      </c>
      <c r="G3586" t="str">
        <f>"2025-07-06 18:52:44.010"</f>
        <v>2025-07-06 18:52:44.010</v>
      </c>
      <c r="H3586" t="s">
        <v>22</v>
      </c>
      <c r="I3586">
        <v>0</v>
      </c>
      <c r="J3586" t="s">
        <v>23</v>
      </c>
    </row>
    <row r="3587" spans="1:10" x14ac:dyDescent="0.25">
      <c r="A3587" s="1">
        <v>835</v>
      </c>
      <c r="B3587" t="s">
        <v>19</v>
      </c>
      <c r="C3587">
        <v>700</v>
      </c>
      <c r="D3587">
        <v>0</v>
      </c>
      <c r="E3587" t="s">
        <v>24</v>
      </c>
      <c r="F3587" t="s">
        <v>24</v>
      </c>
      <c r="G3587" t="str">
        <f>"2025-07-06 18:52:22.640"</f>
        <v>2025-07-06 18:52:22.640</v>
      </c>
      <c r="H3587" t="s">
        <v>22</v>
      </c>
      <c r="I3587">
        <v>0</v>
      </c>
      <c r="J3587" t="s">
        <v>25</v>
      </c>
    </row>
    <row r="3588" spans="1:10" x14ac:dyDescent="0.25">
      <c r="A3588" s="1">
        <v>836</v>
      </c>
      <c r="B3588" t="s">
        <v>29</v>
      </c>
      <c r="C3588">
        <v>48</v>
      </c>
      <c r="D3588">
        <v>1</v>
      </c>
      <c r="E3588" t="s">
        <v>144</v>
      </c>
      <c r="F3588" t="s">
        <v>145</v>
      </c>
      <c r="G3588" t="str">
        <f>"2025-07-06 18:39:23.535"</f>
        <v>2025-07-06 18:39:23.535</v>
      </c>
      <c r="H3588" t="s">
        <v>47</v>
      </c>
      <c r="I3588">
        <v>0</v>
      </c>
      <c r="J3588" t="s">
        <v>23</v>
      </c>
    </row>
    <row r="3589" spans="1:10" x14ac:dyDescent="0.25">
      <c r="A3589" s="1">
        <v>837</v>
      </c>
      <c r="B3589" t="s">
        <v>44</v>
      </c>
      <c r="C3589">
        <v>48</v>
      </c>
      <c r="D3589">
        <v>1</v>
      </c>
      <c r="E3589" t="s">
        <v>144</v>
      </c>
      <c r="F3589" t="s">
        <v>145</v>
      </c>
      <c r="G3589" t="str">
        <f>"2025-07-06 18:39:15.784"</f>
        <v>2025-07-06 18:39:15.784</v>
      </c>
      <c r="H3589" t="s">
        <v>47</v>
      </c>
    </row>
    <row r="3590" spans="1:10" x14ac:dyDescent="0.25">
      <c r="A3590" s="1">
        <v>838</v>
      </c>
      <c r="B3590" t="s">
        <v>34</v>
      </c>
      <c r="C3590">
        <v>48</v>
      </c>
      <c r="D3590">
        <v>1</v>
      </c>
      <c r="E3590" t="s">
        <v>144</v>
      </c>
      <c r="F3590" t="s">
        <v>145</v>
      </c>
      <c r="G3590" t="str">
        <f>"2025-07-06 18:39:10.714"</f>
        <v>2025-07-06 18:39:10.714</v>
      </c>
      <c r="H3590" t="s">
        <v>47</v>
      </c>
      <c r="I3590">
        <v>0</v>
      </c>
      <c r="J3590" t="s">
        <v>23</v>
      </c>
    </row>
    <row r="3591" spans="1:10" x14ac:dyDescent="0.25">
      <c r="A3591" s="1">
        <v>839</v>
      </c>
      <c r="B3591" t="s">
        <v>44</v>
      </c>
      <c r="C3591">
        <v>48</v>
      </c>
      <c r="D3591">
        <v>1</v>
      </c>
      <c r="E3591" t="s">
        <v>144</v>
      </c>
      <c r="F3591" t="s">
        <v>145</v>
      </c>
      <c r="G3591" t="str">
        <f>"2025-07-06 18:39:02.984"</f>
        <v>2025-07-06 18:39:02.984</v>
      </c>
      <c r="H3591" t="s">
        <v>47</v>
      </c>
    </row>
    <row r="3592" spans="1:10" x14ac:dyDescent="0.25">
      <c r="A3592" s="1">
        <v>840</v>
      </c>
      <c r="B3592" t="s">
        <v>34</v>
      </c>
      <c r="C3592">
        <v>48</v>
      </c>
      <c r="D3592">
        <v>1</v>
      </c>
      <c r="E3592" t="s">
        <v>144</v>
      </c>
      <c r="F3592" t="s">
        <v>145</v>
      </c>
      <c r="G3592" t="str">
        <f>"2025-07-06 18:38:57.935"</f>
        <v>2025-07-06 18:38:57.935</v>
      </c>
      <c r="H3592" t="s">
        <v>47</v>
      </c>
      <c r="I3592">
        <v>0</v>
      </c>
      <c r="J3592" t="s">
        <v>23</v>
      </c>
    </row>
    <row r="3593" spans="1:10" x14ac:dyDescent="0.25">
      <c r="A3593" s="1">
        <v>841</v>
      </c>
      <c r="B3593" t="s">
        <v>44</v>
      </c>
      <c r="C3593">
        <v>77</v>
      </c>
      <c r="D3593">
        <v>1</v>
      </c>
      <c r="E3593" t="s">
        <v>45</v>
      </c>
      <c r="F3593" t="s">
        <v>46</v>
      </c>
      <c r="G3593" t="str">
        <f>"2025-07-06 18:38:50.171"</f>
        <v>2025-07-06 18:38:50.171</v>
      </c>
      <c r="H3593" t="s">
        <v>47</v>
      </c>
    </row>
    <row r="3594" spans="1:10" x14ac:dyDescent="0.25">
      <c r="A3594" s="1">
        <v>842</v>
      </c>
      <c r="B3594" t="s">
        <v>29</v>
      </c>
      <c r="C3594">
        <v>235</v>
      </c>
      <c r="D3594">
        <v>2</v>
      </c>
      <c r="E3594" t="s">
        <v>138</v>
      </c>
      <c r="F3594" t="s">
        <v>139</v>
      </c>
      <c r="G3594" t="str">
        <f>"2025-07-06 18:38:45.390"</f>
        <v>2025-07-06 18:38:45.390</v>
      </c>
      <c r="H3594" t="s">
        <v>59</v>
      </c>
      <c r="I3594">
        <v>0</v>
      </c>
      <c r="J3594" t="s">
        <v>23</v>
      </c>
    </row>
    <row r="3595" spans="1:10" x14ac:dyDescent="0.25">
      <c r="A3595" s="1">
        <v>843</v>
      </c>
      <c r="B3595" t="s">
        <v>34</v>
      </c>
      <c r="C3595">
        <v>77</v>
      </c>
      <c r="D3595">
        <v>1</v>
      </c>
      <c r="E3595" t="s">
        <v>45</v>
      </c>
      <c r="F3595" t="s">
        <v>46</v>
      </c>
      <c r="G3595" t="str">
        <f>"2025-07-06 18:38:45.094"</f>
        <v>2025-07-06 18:38:45.094</v>
      </c>
      <c r="H3595" t="s">
        <v>47</v>
      </c>
      <c r="I3595">
        <v>0</v>
      </c>
      <c r="J3595" t="s">
        <v>23</v>
      </c>
    </row>
    <row r="3596" spans="1:10" x14ac:dyDescent="0.25">
      <c r="A3596" s="1">
        <v>844</v>
      </c>
      <c r="B3596" t="s">
        <v>44</v>
      </c>
      <c r="C3596">
        <v>235</v>
      </c>
      <c r="D3596">
        <v>2</v>
      </c>
      <c r="E3596" t="s">
        <v>138</v>
      </c>
      <c r="F3596" t="s">
        <v>139</v>
      </c>
      <c r="G3596" t="str">
        <f>"2025-07-06 18:38:41.185"</f>
        <v>2025-07-06 18:38:41.185</v>
      </c>
      <c r="H3596" t="s">
        <v>59</v>
      </c>
    </row>
    <row r="3597" spans="1:10" x14ac:dyDescent="0.25">
      <c r="A3597" s="1">
        <v>845</v>
      </c>
      <c r="B3597" t="s">
        <v>44</v>
      </c>
      <c r="C3597">
        <v>77</v>
      </c>
      <c r="D3597">
        <v>1</v>
      </c>
      <c r="E3597" t="s">
        <v>45</v>
      </c>
      <c r="F3597" t="s">
        <v>46</v>
      </c>
      <c r="G3597" t="str">
        <f>"2025-07-06 18:38:40.784"</f>
        <v>2025-07-06 18:38:40.784</v>
      </c>
      <c r="H3597" t="s">
        <v>47</v>
      </c>
    </row>
    <row r="3598" spans="1:10" x14ac:dyDescent="0.25">
      <c r="A3598" s="1">
        <v>846</v>
      </c>
      <c r="B3598" t="s">
        <v>29</v>
      </c>
      <c r="C3598">
        <v>118</v>
      </c>
      <c r="D3598">
        <v>6</v>
      </c>
      <c r="E3598" t="s">
        <v>134</v>
      </c>
      <c r="F3598" t="s">
        <v>135</v>
      </c>
      <c r="G3598" t="str">
        <f>"2025-07-06 18:38:36.392"</f>
        <v>2025-07-06 18:38:36.392</v>
      </c>
      <c r="H3598" t="s">
        <v>22</v>
      </c>
      <c r="I3598">
        <v>0</v>
      </c>
      <c r="J3598" t="s">
        <v>23</v>
      </c>
    </row>
    <row r="3599" spans="1:10" x14ac:dyDescent="0.25">
      <c r="A3599" s="1">
        <v>847</v>
      </c>
      <c r="B3599" t="s">
        <v>29</v>
      </c>
      <c r="C3599">
        <v>120</v>
      </c>
      <c r="D3599">
        <v>6</v>
      </c>
      <c r="E3599" t="s">
        <v>131</v>
      </c>
      <c r="F3599" t="s">
        <v>132</v>
      </c>
      <c r="G3599" t="str">
        <f>"2025-07-06 18:38:36.390"</f>
        <v>2025-07-06 18:38:36.390</v>
      </c>
      <c r="H3599" t="s">
        <v>22</v>
      </c>
      <c r="I3599">
        <v>0</v>
      </c>
      <c r="J3599" t="s">
        <v>23</v>
      </c>
    </row>
    <row r="3600" spans="1:10" x14ac:dyDescent="0.25">
      <c r="A3600" s="1">
        <v>848</v>
      </c>
      <c r="B3600" t="s">
        <v>44</v>
      </c>
      <c r="C3600">
        <v>120</v>
      </c>
      <c r="D3600">
        <v>6</v>
      </c>
      <c r="E3600" t="s">
        <v>131</v>
      </c>
      <c r="F3600" t="s">
        <v>132</v>
      </c>
      <c r="G3600" t="str">
        <f>"2025-07-06 18:38:36.384"</f>
        <v>2025-07-06 18:38:36.384</v>
      </c>
      <c r="H3600" t="s">
        <v>22</v>
      </c>
    </row>
    <row r="3601" spans="1:10" x14ac:dyDescent="0.25">
      <c r="A3601" s="1">
        <v>849</v>
      </c>
      <c r="B3601" t="s">
        <v>44</v>
      </c>
      <c r="C3601">
        <v>118</v>
      </c>
      <c r="D3601">
        <v>6</v>
      </c>
      <c r="E3601" t="s">
        <v>134</v>
      </c>
      <c r="F3601" t="s">
        <v>135</v>
      </c>
      <c r="G3601" t="str">
        <f>"2025-07-06 18:38:36.184"</f>
        <v>2025-07-06 18:38:36.184</v>
      </c>
      <c r="H3601" t="s">
        <v>22</v>
      </c>
    </row>
    <row r="3602" spans="1:10" x14ac:dyDescent="0.25">
      <c r="A3602" s="1">
        <v>850</v>
      </c>
      <c r="B3602" t="s">
        <v>34</v>
      </c>
      <c r="C3602">
        <v>235</v>
      </c>
      <c r="D3602">
        <v>2</v>
      </c>
      <c r="E3602" t="s">
        <v>138</v>
      </c>
      <c r="F3602" t="s">
        <v>139</v>
      </c>
      <c r="G3602" t="str">
        <f>"2025-07-06 18:38:35.990"</f>
        <v>2025-07-06 18:38:35.990</v>
      </c>
      <c r="H3602" t="s">
        <v>59</v>
      </c>
      <c r="I3602">
        <v>0</v>
      </c>
      <c r="J3602" t="s">
        <v>23</v>
      </c>
    </row>
    <row r="3603" spans="1:10" x14ac:dyDescent="0.25">
      <c r="A3603" s="1">
        <v>851</v>
      </c>
      <c r="B3603" t="s">
        <v>34</v>
      </c>
      <c r="C3603">
        <v>77</v>
      </c>
      <c r="D3603">
        <v>1</v>
      </c>
      <c r="E3603" t="s">
        <v>45</v>
      </c>
      <c r="F3603" t="s">
        <v>46</v>
      </c>
      <c r="G3603" t="str">
        <f>"2025-07-06 18:38:35.694"</f>
        <v>2025-07-06 18:38:35.694</v>
      </c>
      <c r="H3603" t="s">
        <v>47</v>
      </c>
      <c r="I3603">
        <v>0</v>
      </c>
      <c r="J3603" t="s">
        <v>23</v>
      </c>
    </row>
    <row r="3604" spans="1:10" x14ac:dyDescent="0.25">
      <c r="A3604" s="1">
        <v>852</v>
      </c>
      <c r="B3604" t="s">
        <v>29</v>
      </c>
      <c r="C3604">
        <v>236</v>
      </c>
      <c r="D3604">
        <v>6</v>
      </c>
      <c r="E3604" t="s">
        <v>136</v>
      </c>
      <c r="F3604" t="s">
        <v>137</v>
      </c>
      <c r="G3604" t="str">
        <f>"2025-07-06 18:38:35.290"</f>
        <v>2025-07-06 18:38:35.290</v>
      </c>
      <c r="H3604" t="s">
        <v>22</v>
      </c>
      <c r="I3604">
        <v>0</v>
      </c>
      <c r="J3604" t="s">
        <v>23</v>
      </c>
    </row>
    <row r="3605" spans="1:10" x14ac:dyDescent="0.25">
      <c r="A3605" s="1">
        <v>853</v>
      </c>
      <c r="B3605" t="s">
        <v>44</v>
      </c>
      <c r="C3605">
        <v>236</v>
      </c>
      <c r="D3605">
        <v>6</v>
      </c>
      <c r="E3605" t="s">
        <v>136</v>
      </c>
      <c r="F3605" t="s">
        <v>137</v>
      </c>
      <c r="G3605" t="str">
        <f>"2025-07-06 18:38:35.085"</f>
        <v>2025-07-06 18:38:35.085</v>
      </c>
      <c r="H3605" t="s">
        <v>22</v>
      </c>
    </row>
    <row r="3606" spans="1:10" x14ac:dyDescent="0.25">
      <c r="A3606" s="1">
        <v>854</v>
      </c>
      <c r="B3606" t="s">
        <v>44</v>
      </c>
      <c r="C3606">
        <v>235</v>
      </c>
      <c r="D3606">
        <v>2</v>
      </c>
      <c r="E3606" t="s">
        <v>138</v>
      </c>
      <c r="F3606" t="s">
        <v>139</v>
      </c>
      <c r="G3606" t="str">
        <f>"2025-07-06 18:38:31.584"</f>
        <v>2025-07-06 18:38:31.584</v>
      </c>
      <c r="H3606" t="s">
        <v>59</v>
      </c>
    </row>
    <row r="3607" spans="1:10" x14ac:dyDescent="0.25">
      <c r="A3607" s="1">
        <v>855</v>
      </c>
      <c r="B3607" t="s">
        <v>44</v>
      </c>
      <c r="C3607">
        <v>77</v>
      </c>
      <c r="D3607">
        <v>1</v>
      </c>
      <c r="E3607" t="s">
        <v>45</v>
      </c>
      <c r="F3607" t="s">
        <v>46</v>
      </c>
      <c r="G3607" t="str">
        <f>"2025-07-06 18:38:31.384"</f>
        <v>2025-07-06 18:38:31.384</v>
      </c>
      <c r="H3607" t="s">
        <v>47</v>
      </c>
    </row>
    <row r="3608" spans="1:10" x14ac:dyDescent="0.25">
      <c r="A3608" s="1">
        <v>856</v>
      </c>
      <c r="B3608" t="s">
        <v>34</v>
      </c>
      <c r="C3608">
        <v>120</v>
      </c>
      <c r="D3608">
        <v>6</v>
      </c>
      <c r="E3608" t="s">
        <v>131</v>
      </c>
      <c r="F3608" t="s">
        <v>132</v>
      </c>
      <c r="G3608" t="str">
        <f>"2025-07-06 18:38:31.310"</f>
        <v>2025-07-06 18:38:31.310</v>
      </c>
      <c r="H3608" t="s">
        <v>22</v>
      </c>
      <c r="I3608">
        <v>0</v>
      </c>
      <c r="J3608" t="s">
        <v>23</v>
      </c>
    </row>
    <row r="3609" spans="1:10" x14ac:dyDescent="0.25">
      <c r="A3609" s="1">
        <v>859</v>
      </c>
      <c r="B3609" t="s">
        <v>44</v>
      </c>
      <c r="C3609">
        <v>120</v>
      </c>
      <c r="D3609">
        <v>6</v>
      </c>
      <c r="E3609" t="s">
        <v>131</v>
      </c>
      <c r="F3609" t="s">
        <v>132</v>
      </c>
      <c r="G3609" t="str">
        <f>"2025-07-06 18:38:31.084"</f>
        <v>2025-07-06 18:38:31.084</v>
      </c>
      <c r="H3609" t="s">
        <v>22</v>
      </c>
    </row>
    <row r="3610" spans="1:10" x14ac:dyDescent="0.25">
      <c r="A3610" s="1">
        <v>860</v>
      </c>
      <c r="B3610" t="s">
        <v>34</v>
      </c>
      <c r="C3610">
        <v>118</v>
      </c>
      <c r="D3610">
        <v>6</v>
      </c>
      <c r="E3610" t="s">
        <v>134</v>
      </c>
      <c r="F3610" t="s">
        <v>135</v>
      </c>
      <c r="G3610" t="str">
        <f>"2025-07-06 18:38:30.270"</f>
        <v>2025-07-06 18:38:30.270</v>
      </c>
      <c r="H3610" t="s">
        <v>22</v>
      </c>
      <c r="I3610">
        <v>0</v>
      </c>
      <c r="J3610" t="s">
        <v>23</v>
      </c>
    </row>
    <row r="3611" spans="1:10" x14ac:dyDescent="0.25">
      <c r="A3611" s="1">
        <v>861</v>
      </c>
      <c r="B3611" t="s">
        <v>44</v>
      </c>
      <c r="C3611">
        <v>118</v>
      </c>
      <c r="D3611">
        <v>6</v>
      </c>
      <c r="E3611" t="s">
        <v>134</v>
      </c>
      <c r="F3611" t="s">
        <v>135</v>
      </c>
      <c r="G3611" t="str">
        <f>"2025-07-06 18:38:30.020"</f>
        <v>2025-07-06 18:38:30.020</v>
      </c>
      <c r="H3611" t="s">
        <v>22</v>
      </c>
    </row>
    <row r="3612" spans="1:10" x14ac:dyDescent="0.25">
      <c r="A3612" s="1">
        <v>862</v>
      </c>
      <c r="B3612" t="s">
        <v>34</v>
      </c>
      <c r="C3612">
        <v>236</v>
      </c>
      <c r="D3612">
        <v>6</v>
      </c>
      <c r="E3612" t="s">
        <v>136</v>
      </c>
      <c r="F3612" t="s">
        <v>137</v>
      </c>
      <c r="G3612" t="str">
        <f>"2025-07-06 18:38:30.010"</f>
        <v>2025-07-06 18:38:30.010</v>
      </c>
      <c r="H3612" t="s">
        <v>22</v>
      </c>
      <c r="I3612">
        <v>0</v>
      </c>
      <c r="J3612" t="s">
        <v>23</v>
      </c>
    </row>
    <row r="3613" spans="1:10" x14ac:dyDescent="0.25">
      <c r="A3613" s="1">
        <v>863</v>
      </c>
      <c r="B3613" t="s">
        <v>44</v>
      </c>
      <c r="C3613">
        <v>236</v>
      </c>
      <c r="D3613">
        <v>6</v>
      </c>
      <c r="E3613" t="s">
        <v>136</v>
      </c>
      <c r="F3613" t="s">
        <v>137</v>
      </c>
      <c r="G3613" t="str">
        <f>"2025-07-06 18:38:29.784"</f>
        <v>2025-07-06 18:38:29.784</v>
      </c>
      <c r="H3613" t="s">
        <v>22</v>
      </c>
    </row>
    <row r="3614" spans="1:10" x14ac:dyDescent="0.25">
      <c r="A3614" s="1">
        <v>864</v>
      </c>
      <c r="B3614" t="s">
        <v>29</v>
      </c>
      <c r="C3614">
        <v>248</v>
      </c>
      <c r="D3614">
        <v>7</v>
      </c>
      <c r="E3614" t="s">
        <v>101</v>
      </c>
      <c r="F3614" t="s">
        <v>102</v>
      </c>
      <c r="G3614" t="str">
        <f>"2025-07-06 18:38:27.910"</f>
        <v>2025-07-06 18:38:27.910</v>
      </c>
      <c r="H3614" t="s">
        <v>22</v>
      </c>
      <c r="I3614">
        <v>0</v>
      </c>
      <c r="J3614" t="s">
        <v>23</v>
      </c>
    </row>
    <row r="3615" spans="1:10" x14ac:dyDescent="0.25">
      <c r="A3615" s="1">
        <v>865</v>
      </c>
      <c r="B3615" t="s">
        <v>34</v>
      </c>
      <c r="C3615">
        <v>235</v>
      </c>
      <c r="D3615">
        <v>2</v>
      </c>
      <c r="E3615" t="s">
        <v>138</v>
      </c>
      <c r="F3615" t="s">
        <v>139</v>
      </c>
      <c r="G3615" t="str">
        <f>"2025-07-06 18:38:26.579"</f>
        <v>2025-07-06 18:38:26.579</v>
      </c>
      <c r="H3615" t="s">
        <v>59</v>
      </c>
      <c r="I3615">
        <v>0</v>
      </c>
      <c r="J3615" t="s">
        <v>23</v>
      </c>
    </row>
    <row r="3616" spans="1:10" x14ac:dyDescent="0.25">
      <c r="A3616" s="1">
        <v>866</v>
      </c>
      <c r="B3616" t="s">
        <v>29</v>
      </c>
      <c r="C3616">
        <v>250</v>
      </c>
      <c r="D3616">
        <v>1</v>
      </c>
      <c r="E3616" t="s">
        <v>99</v>
      </c>
      <c r="F3616" t="s">
        <v>125</v>
      </c>
      <c r="G3616" t="str">
        <f>"2025-07-06 18:38:26.575"</f>
        <v>2025-07-06 18:38:26.575</v>
      </c>
      <c r="H3616" t="s">
        <v>22</v>
      </c>
      <c r="I3616">
        <v>0</v>
      </c>
      <c r="J3616" t="s">
        <v>23</v>
      </c>
    </row>
    <row r="3617" spans="1:10" x14ac:dyDescent="0.25">
      <c r="A3617" s="1">
        <v>867</v>
      </c>
      <c r="B3617" t="s">
        <v>29</v>
      </c>
      <c r="C3617">
        <v>250</v>
      </c>
      <c r="D3617">
        <v>7</v>
      </c>
      <c r="E3617" t="s">
        <v>99</v>
      </c>
      <c r="F3617" t="s">
        <v>100</v>
      </c>
      <c r="G3617" t="str">
        <f>"2025-07-06 18:38:26.570"</f>
        <v>2025-07-06 18:38:26.570</v>
      </c>
      <c r="H3617" t="s">
        <v>22</v>
      </c>
      <c r="I3617">
        <v>0</v>
      </c>
      <c r="J3617" t="s">
        <v>23</v>
      </c>
    </row>
    <row r="3618" spans="1:10" x14ac:dyDescent="0.25">
      <c r="A3618" s="1">
        <v>868</v>
      </c>
      <c r="B3618" t="s">
        <v>34</v>
      </c>
      <c r="C3618">
        <v>77</v>
      </c>
      <c r="D3618">
        <v>1</v>
      </c>
      <c r="E3618" t="s">
        <v>45</v>
      </c>
      <c r="F3618" t="s">
        <v>46</v>
      </c>
      <c r="G3618" t="str">
        <f>"2025-07-06 18:38:26.304"</f>
        <v>2025-07-06 18:38:26.304</v>
      </c>
      <c r="H3618" t="s">
        <v>47</v>
      </c>
      <c r="I3618">
        <v>0</v>
      </c>
      <c r="J3618" t="s">
        <v>23</v>
      </c>
    </row>
    <row r="3619" spans="1:10" x14ac:dyDescent="0.25">
      <c r="A3619" s="1">
        <v>869</v>
      </c>
      <c r="B3619" t="s">
        <v>44</v>
      </c>
      <c r="C3619">
        <v>250</v>
      </c>
      <c r="D3619">
        <v>7</v>
      </c>
      <c r="E3619" t="s">
        <v>99</v>
      </c>
      <c r="F3619" t="s">
        <v>100</v>
      </c>
      <c r="G3619" t="str">
        <f>"2025-07-06 18:38:26.086"</f>
        <v>2025-07-06 18:38:26.086</v>
      </c>
      <c r="H3619" t="s">
        <v>22</v>
      </c>
    </row>
    <row r="3620" spans="1:10" x14ac:dyDescent="0.25">
      <c r="A3620" s="1">
        <v>870</v>
      </c>
      <c r="B3620" t="s">
        <v>44</v>
      </c>
      <c r="C3620">
        <v>248</v>
      </c>
      <c r="D3620">
        <v>7</v>
      </c>
      <c r="E3620" t="s">
        <v>101</v>
      </c>
      <c r="F3620" t="s">
        <v>102</v>
      </c>
      <c r="G3620" t="str">
        <f>"2025-07-06 18:38:25.986"</f>
        <v>2025-07-06 18:38:25.986</v>
      </c>
      <c r="H3620" t="s">
        <v>22</v>
      </c>
    </row>
    <row r="3621" spans="1:10" x14ac:dyDescent="0.25">
      <c r="A3621" s="1">
        <v>871</v>
      </c>
      <c r="B3621" t="s">
        <v>34</v>
      </c>
      <c r="C3621">
        <v>120</v>
      </c>
      <c r="D3621">
        <v>6</v>
      </c>
      <c r="E3621" t="s">
        <v>131</v>
      </c>
      <c r="F3621" t="s">
        <v>132</v>
      </c>
      <c r="G3621" t="str">
        <f>"2025-07-06 18:38:24.995"</f>
        <v>2025-07-06 18:38:24.995</v>
      </c>
      <c r="H3621" t="s">
        <v>22</v>
      </c>
      <c r="I3621">
        <v>0</v>
      </c>
      <c r="J3621" t="s">
        <v>23</v>
      </c>
    </row>
    <row r="3622" spans="1:10" x14ac:dyDescent="0.25">
      <c r="A3622" s="1">
        <v>872</v>
      </c>
      <c r="B3622" t="s">
        <v>34</v>
      </c>
      <c r="C3622">
        <v>118</v>
      </c>
      <c r="D3622">
        <v>6</v>
      </c>
      <c r="E3622" t="s">
        <v>134</v>
      </c>
      <c r="F3622" t="s">
        <v>135</v>
      </c>
      <c r="G3622" t="str">
        <f>"2025-07-06 18:38:24.990"</f>
        <v>2025-07-06 18:38:24.990</v>
      </c>
      <c r="H3622" t="s">
        <v>22</v>
      </c>
      <c r="I3622">
        <v>0</v>
      </c>
      <c r="J3622" t="s">
        <v>23</v>
      </c>
    </row>
    <row r="3623" spans="1:10" x14ac:dyDescent="0.25">
      <c r="A3623" s="1">
        <v>873</v>
      </c>
      <c r="B3623" t="s">
        <v>34</v>
      </c>
      <c r="C3623">
        <v>236</v>
      </c>
      <c r="D3623">
        <v>6</v>
      </c>
      <c r="E3623" t="s">
        <v>136</v>
      </c>
      <c r="F3623" t="s">
        <v>137</v>
      </c>
      <c r="G3623" t="str">
        <f>"2025-07-06 18:38:24.750"</f>
        <v>2025-07-06 18:38:24.750</v>
      </c>
      <c r="H3623" t="s">
        <v>22</v>
      </c>
      <c r="I3623">
        <v>0</v>
      </c>
      <c r="J3623" t="s">
        <v>23</v>
      </c>
    </row>
    <row r="3624" spans="1:10" x14ac:dyDescent="0.25">
      <c r="A3624" s="1">
        <v>874</v>
      </c>
      <c r="B3624" t="s">
        <v>44</v>
      </c>
      <c r="C3624">
        <v>120</v>
      </c>
      <c r="D3624">
        <v>6</v>
      </c>
      <c r="E3624" t="s">
        <v>131</v>
      </c>
      <c r="F3624" t="s">
        <v>132</v>
      </c>
      <c r="G3624" t="str">
        <f>"2025-07-06 18:38:24.286"</f>
        <v>2025-07-06 18:38:24.286</v>
      </c>
      <c r="H3624" t="s">
        <v>22</v>
      </c>
    </row>
    <row r="3625" spans="1:10" x14ac:dyDescent="0.25">
      <c r="A3625" s="1">
        <v>875</v>
      </c>
      <c r="B3625" t="s">
        <v>44</v>
      </c>
      <c r="C3625">
        <v>118</v>
      </c>
      <c r="D3625">
        <v>6</v>
      </c>
      <c r="E3625" t="s">
        <v>134</v>
      </c>
      <c r="F3625" t="s">
        <v>135</v>
      </c>
      <c r="G3625" t="str">
        <f>"2025-07-06 18:38:24.189"</f>
        <v>2025-07-06 18:38:24.189</v>
      </c>
      <c r="H3625" t="s">
        <v>22</v>
      </c>
    </row>
    <row r="3626" spans="1:10" x14ac:dyDescent="0.25">
      <c r="A3626" s="1">
        <v>876</v>
      </c>
      <c r="B3626" t="s">
        <v>44</v>
      </c>
      <c r="C3626">
        <v>148</v>
      </c>
      <c r="D3626">
        <v>7</v>
      </c>
      <c r="E3626" t="s">
        <v>126</v>
      </c>
      <c r="F3626" t="s">
        <v>102</v>
      </c>
      <c r="G3626" t="str">
        <f>"2025-07-06 18:38:24.182"</f>
        <v>2025-07-06 18:38:24.182</v>
      </c>
      <c r="H3626" t="s">
        <v>22</v>
      </c>
    </row>
    <row r="3627" spans="1:10" x14ac:dyDescent="0.25">
      <c r="A3627" s="1">
        <v>877</v>
      </c>
      <c r="B3627" t="s">
        <v>44</v>
      </c>
      <c r="C3627">
        <v>119</v>
      </c>
      <c r="D3627">
        <v>2</v>
      </c>
      <c r="E3627" t="s">
        <v>140</v>
      </c>
      <c r="F3627" t="s">
        <v>141</v>
      </c>
      <c r="G3627" t="str">
        <f>"2025-07-06 18:38:24.179"</f>
        <v>2025-07-06 18:38:24.179</v>
      </c>
      <c r="H3627" t="s">
        <v>61</v>
      </c>
    </row>
    <row r="3628" spans="1:10" x14ac:dyDescent="0.25">
      <c r="A3628" s="1">
        <v>878</v>
      </c>
      <c r="B3628" t="s">
        <v>44</v>
      </c>
      <c r="C3628">
        <v>117</v>
      </c>
      <c r="D3628">
        <v>2</v>
      </c>
      <c r="E3628" t="s">
        <v>142</v>
      </c>
      <c r="F3628" t="s">
        <v>143</v>
      </c>
      <c r="G3628" t="str">
        <f>"2025-07-06 18:38:24.175"</f>
        <v>2025-07-06 18:38:24.175</v>
      </c>
      <c r="H3628" t="s">
        <v>61</v>
      </c>
    </row>
    <row r="3629" spans="1:10" x14ac:dyDescent="0.25">
      <c r="A3629" s="1">
        <v>879</v>
      </c>
      <c r="B3629" t="s">
        <v>44</v>
      </c>
      <c r="C3629">
        <v>236</v>
      </c>
      <c r="D3629">
        <v>6</v>
      </c>
      <c r="E3629" t="s">
        <v>136</v>
      </c>
      <c r="F3629" t="s">
        <v>137</v>
      </c>
      <c r="G3629" t="str">
        <f>"2025-07-06 18:38:23.986"</f>
        <v>2025-07-06 18:38:23.986</v>
      </c>
      <c r="H3629" t="s">
        <v>22</v>
      </c>
    </row>
    <row r="3630" spans="1:10" x14ac:dyDescent="0.25">
      <c r="A3630" s="1">
        <v>880</v>
      </c>
      <c r="B3630" t="s">
        <v>44</v>
      </c>
      <c r="C3630">
        <v>235</v>
      </c>
      <c r="D3630">
        <v>2</v>
      </c>
      <c r="E3630" t="s">
        <v>138</v>
      </c>
      <c r="F3630" t="s">
        <v>139</v>
      </c>
      <c r="G3630" t="str">
        <f>"2025-07-06 18:38:22.087"</f>
        <v>2025-07-06 18:38:22.087</v>
      </c>
      <c r="H3630" t="s">
        <v>59</v>
      </c>
    </row>
    <row r="3631" spans="1:10" x14ac:dyDescent="0.25">
      <c r="A3631" s="1">
        <v>881</v>
      </c>
      <c r="B3631" t="s">
        <v>44</v>
      </c>
      <c r="C3631">
        <v>77</v>
      </c>
      <c r="D3631">
        <v>1</v>
      </c>
      <c r="E3631" t="s">
        <v>45</v>
      </c>
      <c r="F3631" t="s">
        <v>46</v>
      </c>
      <c r="G3631" t="str">
        <f>"2025-07-06 18:38:21.987"</f>
        <v>2025-07-06 18:38:21.987</v>
      </c>
      <c r="H3631" t="s">
        <v>47</v>
      </c>
    </row>
    <row r="3632" spans="1:10" x14ac:dyDescent="0.25">
      <c r="A3632" s="1">
        <v>882</v>
      </c>
      <c r="B3632" t="s">
        <v>34</v>
      </c>
      <c r="C3632">
        <v>250</v>
      </c>
      <c r="D3632">
        <v>7</v>
      </c>
      <c r="E3632" t="s">
        <v>99</v>
      </c>
      <c r="F3632" t="s">
        <v>100</v>
      </c>
      <c r="G3632" t="str">
        <f>"2025-07-06 18:38:20.395"</f>
        <v>2025-07-06 18:38:20.395</v>
      </c>
      <c r="H3632" t="s">
        <v>22</v>
      </c>
      <c r="I3632">
        <v>0</v>
      </c>
      <c r="J3632" t="s">
        <v>23</v>
      </c>
    </row>
    <row r="3633" spans="1:10" x14ac:dyDescent="0.25">
      <c r="A3633" s="1">
        <v>883</v>
      </c>
      <c r="B3633" t="s">
        <v>34</v>
      </c>
      <c r="C3633">
        <v>248</v>
      </c>
      <c r="D3633">
        <v>7</v>
      </c>
      <c r="E3633" t="s">
        <v>101</v>
      </c>
      <c r="F3633" t="s">
        <v>102</v>
      </c>
      <c r="G3633" t="str">
        <f>"2025-07-06 18:38:20.390"</f>
        <v>2025-07-06 18:38:20.390</v>
      </c>
      <c r="H3633" t="s">
        <v>22</v>
      </c>
      <c r="I3633">
        <v>0</v>
      </c>
      <c r="J3633" t="s">
        <v>23</v>
      </c>
    </row>
    <row r="3634" spans="1:10" x14ac:dyDescent="0.25">
      <c r="A3634" s="1">
        <v>884</v>
      </c>
      <c r="B3634" t="s">
        <v>34</v>
      </c>
      <c r="C3634">
        <v>148</v>
      </c>
      <c r="D3634">
        <v>7</v>
      </c>
      <c r="E3634" t="s">
        <v>126</v>
      </c>
      <c r="F3634" t="s">
        <v>102</v>
      </c>
      <c r="G3634" t="str">
        <f>"2025-07-06 18:38:19.094"</f>
        <v>2025-07-06 18:38:19.094</v>
      </c>
      <c r="H3634" t="s">
        <v>22</v>
      </c>
      <c r="I3634">
        <v>0</v>
      </c>
      <c r="J3634" t="s">
        <v>23</v>
      </c>
    </row>
    <row r="3635" spans="1:10" x14ac:dyDescent="0.25">
      <c r="A3635" s="1">
        <v>885</v>
      </c>
      <c r="B3635" t="s">
        <v>34</v>
      </c>
      <c r="C3635">
        <v>120</v>
      </c>
      <c r="D3635">
        <v>6</v>
      </c>
      <c r="E3635" t="s">
        <v>131</v>
      </c>
      <c r="F3635" t="s">
        <v>132</v>
      </c>
      <c r="G3635" t="str">
        <f>"2025-07-06 18:38:19.089"</f>
        <v>2025-07-06 18:38:19.089</v>
      </c>
      <c r="H3635" t="s">
        <v>22</v>
      </c>
      <c r="I3635">
        <v>0</v>
      </c>
      <c r="J3635" t="s">
        <v>23</v>
      </c>
    </row>
    <row r="3636" spans="1:10" x14ac:dyDescent="0.25">
      <c r="A3636" s="1">
        <v>886</v>
      </c>
      <c r="B3636" t="s">
        <v>34</v>
      </c>
      <c r="C3636">
        <v>118</v>
      </c>
      <c r="D3636">
        <v>6</v>
      </c>
      <c r="E3636" t="s">
        <v>134</v>
      </c>
      <c r="F3636" t="s">
        <v>135</v>
      </c>
      <c r="G3636" t="str">
        <f>"2025-07-06 18:38:19.084"</f>
        <v>2025-07-06 18:38:19.084</v>
      </c>
      <c r="H3636" t="s">
        <v>22</v>
      </c>
      <c r="I3636">
        <v>0</v>
      </c>
      <c r="J3636" t="s">
        <v>23</v>
      </c>
    </row>
    <row r="3637" spans="1:10" x14ac:dyDescent="0.25">
      <c r="A3637" s="1">
        <v>887</v>
      </c>
      <c r="B3637" t="s">
        <v>29</v>
      </c>
      <c r="C3637">
        <v>107</v>
      </c>
      <c r="D3637">
        <v>3</v>
      </c>
      <c r="E3637" t="s">
        <v>106</v>
      </c>
      <c r="F3637" t="s">
        <v>133</v>
      </c>
      <c r="G3637" t="str">
        <f>"2025-07-06 18:38:19.079"</f>
        <v>2025-07-06 18:38:19.079</v>
      </c>
      <c r="H3637" t="s">
        <v>61</v>
      </c>
      <c r="I3637">
        <v>0</v>
      </c>
      <c r="J3637" t="s">
        <v>23</v>
      </c>
    </row>
    <row r="3638" spans="1:10" x14ac:dyDescent="0.25">
      <c r="A3638" s="1">
        <v>888</v>
      </c>
      <c r="B3638" t="s">
        <v>34</v>
      </c>
      <c r="C3638">
        <v>119</v>
      </c>
      <c r="D3638">
        <v>2</v>
      </c>
      <c r="E3638" t="s">
        <v>140</v>
      </c>
      <c r="F3638" t="s">
        <v>141</v>
      </c>
      <c r="G3638" t="str">
        <f>"2025-07-06 18:38:19.075"</f>
        <v>2025-07-06 18:38:19.075</v>
      </c>
      <c r="H3638" t="s">
        <v>61</v>
      </c>
      <c r="I3638">
        <v>0</v>
      </c>
      <c r="J3638" t="s">
        <v>23</v>
      </c>
    </row>
    <row r="3639" spans="1:10" x14ac:dyDescent="0.25">
      <c r="A3639" s="1">
        <v>889</v>
      </c>
      <c r="B3639" t="s">
        <v>34</v>
      </c>
      <c r="C3639">
        <v>117</v>
      </c>
      <c r="D3639">
        <v>2</v>
      </c>
      <c r="E3639" t="s">
        <v>142</v>
      </c>
      <c r="F3639" t="s">
        <v>143</v>
      </c>
      <c r="G3639" t="str">
        <f>"2025-07-06 18:38:19.070"</f>
        <v>2025-07-06 18:38:19.070</v>
      </c>
      <c r="H3639" t="s">
        <v>61</v>
      </c>
      <c r="I3639">
        <v>0</v>
      </c>
      <c r="J3639" t="s">
        <v>23</v>
      </c>
    </row>
    <row r="3640" spans="1:10" x14ac:dyDescent="0.25">
      <c r="A3640" s="1">
        <v>890</v>
      </c>
      <c r="B3640" t="s">
        <v>34</v>
      </c>
      <c r="C3640">
        <v>236</v>
      </c>
      <c r="D3640">
        <v>6</v>
      </c>
      <c r="E3640" t="s">
        <v>136</v>
      </c>
      <c r="F3640" t="s">
        <v>137</v>
      </c>
      <c r="G3640" t="str">
        <f>"2025-07-06 18:38:18.330"</f>
        <v>2025-07-06 18:38:18.330</v>
      </c>
      <c r="H3640" t="s">
        <v>22</v>
      </c>
      <c r="I3640">
        <v>0</v>
      </c>
      <c r="J3640" t="s">
        <v>23</v>
      </c>
    </row>
    <row r="3641" spans="1:10" x14ac:dyDescent="0.25">
      <c r="A3641" s="1">
        <v>891</v>
      </c>
      <c r="B3641" t="s">
        <v>34</v>
      </c>
      <c r="C3641">
        <v>235</v>
      </c>
      <c r="D3641">
        <v>2</v>
      </c>
      <c r="E3641" t="s">
        <v>138</v>
      </c>
      <c r="F3641" t="s">
        <v>139</v>
      </c>
      <c r="G3641" t="str">
        <f>"2025-07-06 18:38:17.070"</f>
        <v>2025-07-06 18:38:17.070</v>
      </c>
      <c r="H3641" t="s">
        <v>59</v>
      </c>
      <c r="I3641">
        <v>0</v>
      </c>
      <c r="J3641" t="s">
        <v>23</v>
      </c>
    </row>
    <row r="3642" spans="1:10" x14ac:dyDescent="0.25">
      <c r="A3642" s="1">
        <v>892</v>
      </c>
      <c r="B3642" t="s">
        <v>34</v>
      </c>
      <c r="C3642">
        <v>77</v>
      </c>
      <c r="D3642">
        <v>1</v>
      </c>
      <c r="E3642" t="s">
        <v>45</v>
      </c>
      <c r="F3642" t="s">
        <v>46</v>
      </c>
      <c r="G3642" t="str">
        <f>"2025-07-06 18:38:16.845"</f>
        <v>2025-07-06 18:38:16.845</v>
      </c>
      <c r="H3642" t="s">
        <v>47</v>
      </c>
      <c r="I3642">
        <v>0</v>
      </c>
      <c r="J3642" t="s">
        <v>23</v>
      </c>
    </row>
    <row r="3643" spans="1:10" x14ac:dyDescent="0.25">
      <c r="A3643" s="1">
        <v>893</v>
      </c>
      <c r="B3643" t="s">
        <v>19</v>
      </c>
      <c r="C3643">
        <v>706</v>
      </c>
      <c r="D3643">
        <v>2</v>
      </c>
      <c r="E3643" t="s">
        <v>20</v>
      </c>
      <c r="F3643" t="s">
        <v>54</v>
      </c>
      <c r="G3643" t="str">
        <f>"2025-07-06 18:38:09.076"</f>
        <v>2025-07-06 18:38:09.076</v>
      </c>
      <c r="H3643" t="s">
        <v>22</v>
      </c>
      <c r="I3643">
        <v>0</v>
      </c>
      <c r="J3643" t="s">
        <v>23</v>
      </c>
    </row>
    <row r="3644" spans="1:10" x14ac:dyDescent="0.25">
      <c r="A3644" s="1">
        <v>894</v>
      </c>
      <c r="B3644" t="s">
        <v>19</v>
      </c>
      <c r="C3644">
        <v>782</v>
      </c>
      <c r="D3644">
        <v>7</v>
      </c>
      <c r="E3644" t="s">
        <v>55</v>
      </c>
      <c r="F3644" t="s">
        <v>56</v>
      </c>
      <c r="G3644" t="str">
        <f>"2025-07-06 18:37:58.952"</f>
        <v>2025-07-06 18:37:58.952</v>
      </c>
      <c r="H3644" t="s">
        <v>22</v>
      </c>
      <c r="I3644">
        <v>0</v>
      </c>
      <c r="J3644" t="s">
        <v>23</v>
      </c>
    </row>
    <row r="3645" spans="1:10" x14ac:dyDescent="0.25">
      <c r="A3645" s="1">
        <v>897</v>
      </c>
      <c r="B3645" t="s">
        <v>26</v>
      </c>
      <c r="C3645">
        <v>250</v>
      </c>
      <c r="D3645">
        <v>7</v>
      </c>
      <c r="E3645" t="s">
        <v>99</v>
      </c>
      <c r="F3645" t="s">
        <v>100</v>
      </c>
      <c r="G3645" t="str">
        <f>"2025-07-06 18:37:58.940"</f>
        <v>2025-07-06 18:37:58.940</v>
      </c>
      <c r="H3645" t="s">
        <v>22</v>
      </c>
    </row>
    <row r="3646" spans="1:10" x14ac:dyDescent="0.25">
      <c r="A3646" s="1">
        <v>898</v>
      </c>
      <c r="B3646" t="s">
        <v>26</v>
      </c>
      <c r="C3646">
        <v>250</v>
      </c>
      <c r="D3646">
        <v>1</v>
      </c>
      <c r="E3646" t="s">
        <v>99</v>
      </c>
      <c r="F3646" t="s">
        <v>125</v>
      </c>
      <c r="G3646" t="str">
        <f>"2025-07-06 18:37:58.937"</f>
        <v>2025-07-06 18:37:58.937</v>
      </c>
      <c r="H3646" t="s">
        <v>22</v>
      </c>
    </row>
    <row r="3647" spans="1:10" x14ac:dyDescent="0.25">
      <c r="A3647" s="1">
        <v>899</v>
      </c>
      <c r="B3647" t="s">
        <v>26</v>
      </c>
      <c r="C3647">
        <v>248</v>
      </c>
      <c r="D3647">
        <v>7</v>
      </c>
      <c r="E3647" t="s">
        <v>101</v>
      </c>
      <c r="F3647" t="s">
        <v>102</v>
      </c>
      <c r="G3647" t="str">
        <f>"2025-07-06 18:37:58.934"</f>
        <v>2025-07-06 18:37:58.934</v>
      </c>
      <c r="H3647" t="s">
        <v>22</v>
      </c>
    </row>
    <row r="3648" spans="1:10" x14ac:dyDescent="0.25">
      <c r="A3648" s="1">
        <v>900</v>
      </c>
      <c r="B3648" t="s">
        <v>26</v>
      </c>
      <c r="C3648">
        <v>236</v>
      </c>
      <c r="D3648">
        <v>6</v>
      </c>
      <c r="E3648" t="s">
        <v>136</v>
      </c>
      <c r="F3648" t="s">
        <v>137</v>
      </c>
      <c r="G3648" t="str">
        <f>"2025-07-06 18:37:58.929"</f>
        <v>2025-07-06 18:37:58.929</v>
      </c>
      <c r="H3648" t="s">
        <v>22</v>
      </c>
    </row>
    <row r="3649" spans="1:10" x14ac:dyDescent="0.25">
      <c r="A3649" s="1">
        <v>901</v>
      </c>
      <c r="B3649" t="s">
        <v>26</v>
      </c>
      <c r="C3649">
        <v>235</v>
      </c>
      <c r="D3649">
        <v>2</v>
      </c>
      <c r="E3649" t="s">
        <v>138</v>
      </c>
      <c r="F3649" t="s">
        <v>139</v>
      </c>
      <c r="G3649" t="str">
        <f>"2025-07-06 18:37:58.925"</f>
        <v>2025-07-06 18:37:58.925</v>
      </c>
      <c r="H3649" t="s">
        <v>59</v>
      </c>
    </row>
    <row r="3650" spans="1:10" x14ac:dyDescent="0.25">
      <c r="A3650" s="1">
        <v>902</v>
      </c>
      <c r="B3650" t="s">
        <v>26</v>
      </c>
      <c r="C3650">
        <v>120</v>
      </c>
      <c r="D3650">
        <v>6</v>
      </c>
      <c r="E3650" t="s">
        <v>131</v>
      </c>
      <c r="F3650" t="s">
        <v>132</v>
      </c>
      <c r="G3650" t="str">
        <f>"2025-07-06 18:37:58.921"</f>
        <v>2025-07-06 18:37:58.921</v>
      </c>
      <c r="H3650" t="s">
        <v>22</v>
      </c>
    </row>
    <row r="3651" spans="1:10" x14ac:dyDescent="0.25">
      <c r="A3651" s="1">
        <v>903</v>
      </c>
      <c r="B3651" t="s">
        <v>26</v>
      </c>
      <c r="C3651">
        <v>118</v>
      </c>
      <c r="D3651">
        <v>6</v>
      </c>
      <c r="E3651" t="s">
        <v>134</v>
      </c>
      <c r="F3651" t="s">
        <v>135</v>
      </c>
      <c r="G3651" t="str">
        <f>"2025-07-06 18:37:58.918"</f>
        <v>2025-07-06 18:37:58.918</v>
      </c>
      <c r="H3651" t="s">
        <v>22</v>
      </c>
    </row>
    <row r="3652" spans="1:10" x14ac:dyDescent="0.25">
      <c r="A3652" s="1">
        <v>904</v>
      </c>
      <c r="B3652" t="s">
        <v>26</v>
      </c>
      <c r="C3652">
        <v>107</v>
      </c>
      <c r="D3652">
        <v>3</v>
      </c>
      <c r="E3652" t="s">
        <v>106</v>
      </c>
      <c r="F3652" t="s">
        <v>133</v>
      </c>
      <c r="G3652" t="str">
        <f>"2025-07-06 18:37:58.914"</f>
        <v>2025-07-06 18:37:58.914</v>
      </c>
      <c r="H3652" t="s">
        <v>61</v>
      </c>
    </row>
    <row r="3653" spans="1:10" x14ac:dyDescent="0.25">
      <c r="A3653" s="1">
        <v>905</v>
      </c>
      <c r="B3653" t="s">
        <v>26</v>
      </c>
      <c r="C3653">
        <v>48</v>
      </c>
      <c r="D3653">
        <v>1</v>
      </c>
      <c r="E3653" t="s">
        <v>144</v>
      </c>
      <c r="F3653" t="s">
        <v>145</v>
      </c>
      <c r="G3653" t="str">
        <f>"2025-07-06 18:37:58.909"</f>
        <v>2025-07-06 18:37:58.909</v>
      </c>
      <c r="H3653" t="s">
        <v>47</v>
      </c>
    </row>
    <row r="3654" spans="1:10" x14ac:dyDescent="0.25">
      <c r="A3654" s="1">
        <v>906</v>
      </c>
      <c r="B3654" t="s">
        <v>19</v>
      </c>
      <c r="C3654">
        <v>782</v>
      </c>
      <c r="D3654">
        <v>7</v>
      </c>
      <c r="E3654" t="s">
        <v>55</v>
      </c>
      <c r="F3654" t="s">
        <v>56</v>
      </c>
      <c r="G3654" t="str">
        <f>"2025-07-06 18:37:58.907"</f>
        <v>2025-07-06 18:37:58.907</v>
      </c>
      <c r="H3654" t="s">
        <v>22</v>
      </c>
      <c r="I3654">
        <v>0</v>
      </c>
      <c r="J3654" t="s">
        <v>23</v>
      </c>
    </row>
    <row r="3655" spans="1:10" x14ac:dyDescent="0.25">
      <c r="A3655" s="1">
        <v>907</v>
      </c>
      <c r="B3655" t="s">
        <v>19</v>
      </c>
      <c r="C3655">
        <v>700</v>
      </c>
      <c r="D3655">
        <v>0</v>
      </c>
      <c r="E3655" t="s">
        <v>24</v>
      </c>
      <c r="F3655" t="s">
        <v>24</v>
      </c>
      <c r="G3655" t="str">
        <f>"2025-07-06 18:37:32.616"</f>
        <v>2025-07-06 18:37:32.616</v>
      </c>
      <c r="H3655" t="s">
        <v>22</v>
      </c>
      <c r="I3655">
        <v>0</v>
      </c>
      <c r="J3655" t="s">
        <v>25</v>
      </c>
    </row>
    <row r="3656" spans="1:10" x14ac:dyDescent="0.25">
      <c r="A3656" s="1">
        <v>908</v>
      </c>
      <c r="B3656" t="s">
        <v>19</v>
      </c>
      <c r="C3656">
        <v>700</v>
      </c>
      <c r="D3656">
        <v>0</v>
      </c>
      <c r="E3656" t="s">
        <v>24</v>
      </c>
      <c r="F3656" t="s">
        <v>24</v>
      </c>
      <c r="G3656" t="str">
        <f>"2025-07-06 18:29:35.625"</f>
        <v>2025-07-06 18:29:35.625</v>
      </c>
      <c r="H3656" t="s">
        <v>22</v>
      </c>
      <c r="I3656">
        <v>0</v>
      </c>
      <c r="J3656" t="s">
        <v>25</v>
      </c>
    </row>
    <row r="3657" spans="1:10" x14ac:dyDescent="0.25">
      <c r="A3657" s="1">
        <v>909</v>
      </c>
      <c r="B3657" t="s">
        <v>19</v>
      </c>
      <c r="C3657">
        <v>700</v>
      </c>
      <c r="D3657">
        <v>0</v>
      </c>
      <c r="E3657" t="s">
        <v>24</v>
      </c>
      <c r="F3657" t="s">
        <v>24</v>
      </c>
      <c r="G3657" t="str">
        <f>"2025-07-06 18:14:33.639"</f>
        <v>2025-07-06 18:14:33.639</v>
      </c>
      <c r="H3657" t="s">
        <v>22</v>
      </c>
      <c r="I3657">
        <v>0</v>
      </c>
      <c r="J3657" t="s">
        <v>25</v>
      </c>
    </row>
    <row r="3658" spans="1:10" x14ac:dyDescent="0.25">
      <c r="A3658" s="1">
        <v>910</v>
      </c>
      <c r="B3658" t="s">
        <v>29</v>
      </c>
      <c r="C3658">
        <v>48</v>
      </c>
      <c r="D3658">
        <v>1</v>
      </c>
      <c r="E3658" t="s">
        <v>144</v>
      </c>
      <c r="F3658" t="s">
        <v>145</v>
      </c>
      <c r="G3658" t="str">
        <f>"2025-07-06 18:10:11.986"</f>
        <v>2025-07-06 18:10:11.986</v>
      </c>
      <c r="H3658" t="s">
        <v>47</v>
      </c>
      <c r="I3658">
        <v>0</v>
      </c>
      <c r="J3658" t="s">
        <v>23</v>
      </c>
    </row>
    <row r="3659" spans="1:10" x14ac:dyDescent="0.25">
      <c r="A3659" s="1">
        <v>911</v>
      </c>
      <c r="B3659" t="s">
        <v>44</v>
      </c>
      <c r="C3659">
        <v>48</v>
      </c>
      <c r="D3659">
        <v>1</v>
      </c>
      <c r="E3659" t="s">
        <v>144</v>
      </c>
      <c r="F3659" t="s">
        <v>145</v>
      </c>
      <c r="G3659" t="str">
        <f>"2025-07-06 18:10:04.229"</f>
        <v>2025-07-06 18:10:04.229</v>
      </c>
      <c r="H3659" t="s">
        <v>47</v>
      </c>
    </row>
    <row r="3660" spans="1:10" x14ac:dyDescent="0.25">
      <c r="A3660" s="1">
        <v>912</v>
      </c>
      <c r="B3660" t="s">
        <v>34</v>
      </c>
      <c r="C3660">
        <v>48</v>
      </c>
      <c r="D3660">
        <v>1</v>
      </c>
      <c r="E3660" t="s">
        <v>144</v>
      </c>
      <c r="F3660" t="s">
        <v>145</v>
      </c>
      <c r="G3660" t="str">
        <f>"2025-07-06 18:09:59.186"</f>
        <v>2025-07-06 18:09:59.186</v>
      </c>
      <c r="H3660" t="s">
        <v>47</v>
      </c>
      <c r="I3660">
        <v>0</v>
      </c>
      <c r="J3660" t="s">
        <v>23</v>
      </c>
    </row>
    <row r="3661" spans="1:10" x14ac:dyDescent="0.25">
      <c r="A3661" s="1">
        <v>913</v>
      </c>
      <c r="B3661" t="s">
        <v>44</v>
      </c>
      <c r="C3661">
        <v>48</v>
      </c>
      <c r="D3661">
        <v>1</v>
      </c>
      <c r="E3661" t="s">
        <v>144</v>
      </c>
      <c r="F3661" t="s">
        <v>145</v>
      </c>
      <c r="G3661" t="str">
        <f>"2025-07-06 18:09:51.429"</f>
        <v>2025-07-06 18:09:51.429</v>
      </c>
      <c r="H3661" t="s">
        <v>47</v>
      </c>
    </row>
    <row r="3662" spans="1:10" x14ac:dyDescent="0.25">
      <c r="A3662" s="1">
        <v>914</v>
      </c>
      <c r="B3662" t="s">
        <v>34</v>
      </c>
      <c r="C3662">
        <v>48</v>
      </c>
      <c r="D3662">
        <v>1</v>
      </c>
      <c r="E3662" t="s">
        <v>144</v>
      </c>
      <c r="F3662" t="s">
        <v>145</v>
      </c>
      <c r="G3662" t="str">
        <f>"2025-07-06 18:09:46.386"</f>
        <v>2025-07-06 18:09:46.386</v>
      </c>
      <c r="H3662" t="s">
        <v>47</v>
      </c>
      <c r="I3662">
        <v>0</v>
      </c>
      <c r="J3662" t="s">
        <v>23</v>
      </c>
    </row>
    <row r="3663" spans="1:10" x14ac:dyDescent="0.25">
      <c r="A3663" s="1">
        <v>915</v>
      </c>
      <c r="B3663" t="s">
        <v>44</v>
      </c>
      <c r="C3663">
        <v>77</v>
      </c>
      <c r="D3663">
        <v>1</v>
      </c>
      <c r="E3663" t="s">
        <v>45</v>
      </c>
      <c r="F3663" t="s">
        <v>46</v>
      </c>
      <c r="G3663" t="str">
        <f>"2025-07-06 18:09:38.629"</f>
        <v>2025-07-06 18:09:38.629</v>
      </c>
      <c r="H3663" t="s">
        <v>47</v>
      </c>
    </row>
    <row r="3664" spans="1:10" x14ac:dyDescent="0.25">
      <c r="A3664" s="1">
        <v>916</v>
      </c>
      <c r="B3664" t="s">
        <v>29</v>
      </c>
      <c r="C3664">
        <v>235</v>
      </c>
      <c r="D3664">
        <v>2</v>
      </c>
      <c r="E3664" t="s">
        <v>138</v>
      </c>
      <c r="F3664" t="s">
        <v>139</v>
      </c>
      <c r="G3664" t="str">
        <f>"2025-07-06 18:09:33.832"</f>
        <v>2025-07-06 18:09:33.832</v>
      </c>
      <c r="H3664" t="s">
        <v>59</v>
      </c>
      <c r="I3664">
        <v>0</v>
      </c>
      <c r="J3664" t="s">
        <v>23</v>
      </c>
    </row>
    <row r="3665" spans="1:10" x14ac:dyDescent="0.25">
      <c r="A3665" s="1">
        <v>917</v>
      </c>
      <c r="B3665" t="s">
        <v>34</v>
      </c>
      <c r="C3665">
        <v>77</v>
      </c>
      <c r="D3665">
        <v>1</v>
      </c>
      <c r="E3665" t="s">
        <v>45</v>
      </c>
      <c r="F3665" t="s">
        <v>46</v>
      </c>
      <c r="G3665" t="str">
        <f>"2025-07-06 18:09:33.545"</f>
        <v>2025-07-06 18:09:33.545</v>
      </c>
      <c r="H3665" t="s">
        <v>47</v>
      </c>
      <c r="I3665">
        <v>0</v>
      </c>
      <c r="J3665" t="s">
        <v>23</v>
      </c>
    </row>
    <row r="3666" spans="1:10" x14ac:dyDescent="0.25">
      <c r="A3666" s="1">
        <v>918</v>
      </c>
      <c r="B3666" t="s">
        <v>44</v>
      </c>
      <c r="C3666">
        <v>235</v>
      </c>
      <c r="D3666">
        <v>2</v>
      </c>
      <c r="E3666" t="s">
        <v>138</v>
      </c>
      <c r="F3666" t="s">
        <v>139</v>
      </c>
      <c r="G3666" t="str">
        <f>"2025-07-06 18:09:29.233"</f>
        <v>2025-07-06 18:09:29.233</v>
      </c>
      <c r="H3666" t="s">
        <v>59</v>
      </c>
    </row>
    <row r="3667" spans="1:10" x14ac:dyDescent="0.25">
      <c r="A3667" s="1">
        <v>919</v>
      </c>
      <c r="B3667" t="s">
        <v>44</v>
      </c>
      <c r="C3667">
        <v>77</v>
      </c>
      <c r="D3667">
        <v>1</v>
      </c>
      <c r="E3667" t="s">
        <v>45</v>
      </c>
      <c r="F3667" t="s">
        <v>46</v>
      </c>
      <c r="G3667" t="str">
        <f>"2025-07-06 18:09:29.229"</f>
        <v>2025-07-06 18:09:29.229</v>
      </c>
      <c r="H3667" t="s">
        <v>47</v>
      </c>
    </row>
    <row r="3668" spans="1:10" x14ac:dyDescent="0.25">
      <c r="A3668" s="1">
        <v>920</v>
      </c>
      <c r="B3668" t="s">
        <v>34</v>
      </c>
      <c r="C3668">
        <v>235</v>
      </c>
      <c r="D3668">
        <v>2</v>
      </c>
      <c r="E3668" t="s">
        <v>138</v>
      </c>
      <c r="F3668" t="s">
        <v>139</v>
      </c>
      <c r="G3668" t="str">
        <f>"2025-07-06 18:09:24.232"</f>
        <v>2025-07-06 18:09:24.232</v>
      </c>
      <c r="H3668" t="s">
        <v>59</v>
      </c>
      <c r="I3668">
        <v>0</v>
      </c>
      <c r="J3668" t="s">
        <v>23</v>
      </c>
    </row>
    <row r="3669" spans="1:10" x14ac:dyDescent="0.25">
      <c r="A3669" s="1">
        <v>921</v>
      </c>
      <c r="B3669" t="s">
        <v>34</v>
      </c>
      <c r="C3669">
        <v>77</v>
      </c>
      <c r="D3669">
        <v>1</v>
      </c>
      <c r="E3669" t="s">
        <v>45</v>
      </c>
      <c r="F3669" t="s">
        <v>46</v>
      </c>
      <c r="G3669" t="str">
        <f>"2025-07-06 18:09:23.945"</f>
        <v>2025-07-06 18:09:23.945</v>
      </c>
      <c r="H3669" t="s">
        <v>47</v>
      </c>
      <c r="I3669">
        <v>0</v>
      </c>
      <c r="J3669" t="s">
        <v>23</v>
      </c>
    </row>
    <row r="3670" spans="1:10" x14ac:dyDescent="0.25">
      <c r="A3670" s="1">
        <v>922</v>
      </c>
      <c r="B3670" t="s">
        <v>29</v>
      </c>
      <c r="C3670">
        <v>120</v>
      </c>
      <c r="D3670">
        <v>6</v>
      </c>
      <c r="E3670" t="s">
        <v>131</v>
      </c>
      <c r="F3670" t="s">
        <v>132</v>
      </c>
      <c r="G3670" t="str">
        <f>"2025-07-06 18:09:23.272"</f>
        <v>2025-07-06 18:09:23.272</v>
      </c>
      <c r="H3670" t="s">
        <v>22</v>
      </c>
      <c r="I3670">
        <v>0</v>
      </c>
      <c r="J3670" t="s">
        <v>23</v>
      </c>
    </row>
    <row r="3671" spans="1:10" x14ac:dyDescent="0.25">
      <c r="A3671" s="1">
        <v>923</v>
      </c>
      <c r="B3671" t="s">
        <v>29</v>
      </c>
      <c r="C3671">
        <v>236</v>
      </c>
      <c r="D3671">
        <v>6</v>
      </c>
      <c r="E3671" t="s">
        <v>136</v>
      </c>
      <c r="F3671" t="s">
        <v>137</v>
      </c>
      <c r="G3671" t="str">
        <f>"2025-07-06 18:09:23.152"</f>
        <v>2025-07-06 18:09:23.152</v>
      </c>
      <c r="H3671" t="s">
        <v>22</v>
      </c>
      <c r="I3671">
        <v>0</v>
      </c>
      <c r="J3671" t="s">
        <v>23</v>
      </c>
    </row>
    <row r="3672" spans="1:10" x14ac:dyDescent="0.25">
      <c r="A3672" s="1">
        <v>924</v>
      </c>
      <c r="B3672" t="s">
        <v>44</v>
      </c>
      <c r="C3672">
        <v>120</v>
      </c>
      <c r="D3672">
        <v>6</v>
      </c>
      <c r="E3672" t="s">
        <v>131</v>
      </c>
      <c r="F3672" t="s">
        <v>132</v>
      </c>
      <c r="G3672" t="str">
        <f>"2025-07-06 18:09:23.039"</f>
        <v>2025-07-06 18:09:23.039</v>
      </c>
      <c r="H3672" t="s">
        <v>22</v>
      </c>
    </row>
    <row r="3673" spans="1:10" x14ac:dyDescent="0.25">
      <c r="A3673" s="1">
        <v>925</v>
      </c>
      <c r="B3673" t="s">
        <v>29</v>
      </c>
      <c r="C3673">
        <v>118</v>
      </c>
      <c r="D3673">
        <v>6</v>
      </c>
      <c r="E3673" t="s">
        <v>134</v>
      </c>
      <c r="F3673" t="s">
        <v>135</v>
      </c>
      <c r="G3673" t="str">
        <f>"2025-07-06 18:09:23.032"</f>
        <v>2025-07-06 18:09:23.032</v>
      </c>
      <c r="H3673" t="s">
        <v>22</v>
      </c>
      <c r="I3673">
        <v>0</v>
      </c>
      <c r="J3673" t="s">
        <v>23</v>
      </c>
    </row>
    <row r="3674" spans="1:10" x14ac:dyDescent="0.25">
      <c r="A3674" s="1">
        <v>926</v>
      </c>
      <c r="B3674" t="s">
        <v>44</v>
      </c>
      <c r="C3674">
        <v>236</v>
      </c>
      <c r="D3674">
        <v>6</v>
      </c>
      <c r="E3674" t="s">
        <v>136</v>
      </c>
      <c r="F3674" t="s">
        <v>137</v>
      </c>
      <c r="G3674" t="str">
        <f>"2025-07-06 18:09:22.929"</f>
        <v>2025-07-06 18:09:22.929</v>
      </c>
      <c r="H3674" t="s">
        <v>22</v>
      </c>
    </row>
    <row r="3675" spans="1:10" x14ac:dyDescent="0.25">
      <c r="A3675" s="1">
        <v>927</v>
      </c>
      <c r="B3675" t="s">
        <v>44</v>
      </c>
      <c r="C3675">
        <v>118</v>
      </c>
      <c r="D3675">
        <v>6</v>
      </c>
      <c r="E3675" t="s">
        <v>134</v>
      </c>
      <c r="F3675" t="s">
        <v>135</v>
      </c>
      <c r="G3675" t="str">
        <f>"2025-07-06 18:09:22.822"</f>
        <v>2025-07-06 18:09:22.822</v>
      </c>
      <c r="H3675" t="s">
        <v>22</v>
      </c>
    </row>
    <row r="3676" spans="1:10" x14ac:dyDescent="0.25">
      <c r="A3676" s="1">
        <v>928</v>
      </c>
      <c r="B3676" t="s">
        <v>44</v>
      </c>
      <c r="C3676">
        <v>235</v>
      </c>
      <c r="D3676">
        <v>2</v>
      </c>
      <c r="E3676" t="s">
        <v>138</v>
      </c>
      <c r="F3676" t="s">
        <v>139</v>
      </c>
      <c r="G3676" t="str">
        <f>"2025-07-06 18:09:19.929"</f>
        <v>2025-07-06 18:09:19.929</v>
      </c>
      <c r="H3676" t="s">
        <v>59</v>
      </c>
    </row>
    <row r="3677" spans="1:10" x14ac:dyDescent="0.25">
      <c r="A3677" s="1">
        <v>929</v>
      </c>
      <c r="B3677" t="s">
        <v>44</v>
      </c>
      <c r="C3677">
        <v>77</v>
      </c>
      <c r="D3677">
        <v>1</v>
      </c>
      <c r="E3677" t="s">
        <v>45</v>
      </c>
      <c r="F3677" t="s">
        <v>46</v>
      </c>
      <c r="G3677" t="str">
        <f>"2025-07-06 18:09:19.629"</f>
        <v>2025-07-06 18:09:19.629</v>
      </c>
      <c r="H3677" t="s">
        <v>47</v>
      </c>
    </row>
    <row r="3678" spans="1:10" x14ac:dyDescent="0.25">
      <c r="A3678" s="1">
        <v>930</v>
      </c>
      <c r="B3678" t="s">
        <v>34</v>
      </c>
      <c r="C3678">
        <v>120</v>
      </c>
      <c r="D3678">
        <v>6</v>
      </c>
      <c r="E3678" t="s">
        <v>131</v>
      </c>
      <c r="F3678" t="s">
        <v>132</v>
      </c>
      <c r="G3678" t="str">
        <f>"2025-07-06 18:09:17.952"</f>
        <v>2025-07-06 18:09:17.952</v>
      </c>
      <c r="H3678" t="s">
        <v>22</v>
      </c>
      <c r="I3678">
        <v>0</v>
      </c>
      <c r="J3678" t="s">
        <v>23</v>
      </c>
    </row>
    <row r="3679" spans="1:10" x14ac:dyDescent="0.25">
      <c r="A3679" s="1">
        <v>931</v>
      </c>
      <c r="B3679" t="s">
        <v>34</v>
      </c>
      <c r="C3679">
        <v>236</v>
      </c>
      <c r="D3679">
        <v>6</v>
      </c>
      <c r="E3679" t="s">
        <v>136</v>
      </c>
      <c r="F3679" t="s">
        <v>137</v>
      </c>
      <c r="G3679" t="str">
        <f>"2025-07-06 18:09:17.892"</f>
        <v>2025-07-06 18:09:17.892</v>
      </c>
      <c r="H3679" t="s">
        <v>22</v>
      </c>
      <c r="I3679">
        <v>0</v>
      </c>
      <c r="J3679" t="s">
        <v>23</v>
      </c>
    </row>
    <row r="3680" spans="1:10" x14ac:dyDescent="0.25">
      <c r="A3680" s="1">
        <v>932</v>
      </c>
      <c r="B3680" t="s">
        <v>44</v>
      </c>
      <c r="C3680">
        <v>120</v>
      </c>
      <c r="D3680">
        <v>6</v>
      </c>
      <c r="E3680" t="s">
        <v>131</v>
      </c>
      <c r="F3680" t="s">
        <v>132</v>
      </c>
      <c r="G3680" t="str">
        <f>"2025-07-06 18:09:17.730"</f>
        <v>2025-07-06 18:09:17.730</v>
      </c>
      <c r="H3680" t="s">
        <v>22</v>
      </c>
    </row>
    <row r="3681" spans="1:10" x14ac:dyDescent="0.25">
      <c r="A3681" s="1">
        <v>933</v>
      </c>
      <c r="B3681" t="s">
        <v>34</v>
      </c>
      <c r="C3681">
        <v>118</v>
      </c>
      <c r="D3681">
        <v>6</v>
      </c>
      <c r="E3681" t="s">
        <v>134</v>
      </c>
      <c r="F3681" t="s">
        <v>135</v>
      </c>
      <c r="G3681" t="str">
        <f>"2025-07-06 18:09:17.652"</f>
        <v>2025-07-06 18:09:17.652</v>
      </c>
      <c r="H3681" t="s">
        <v>22</v>
      </c>
      <c r="I3681">
        <v>0</v>
      </c>
      <c r="J3681" t="s">
        <v>23</v>
      </c>
    </row>
    <row r="3682" spans="1:10" x14ac:dyDescent="0.25">
      <c r="A3682" s="1">
        <v>934</v>
      </c>
      <c r="B3682" t="s">
        <v>44</v>
      </c>
      <c r="C3682">
        <v>236</v>
      </c>
      <c r="D3682">
        <v>6</v>
      </c>
      <c r="E3682" t="s">
        <v>136</v>
      </c>
      <c r="F3682" t="s">
        <v>137</v>
      </c>
      <c r="G3682" t="str">
        <f>"2025-07-06 18:09:17.433"</f>
        <v>2025-07-06 18:09:17.433</v>
      </c>
      <c r="H3682" t="s">
        <v>22</v>
      </c>
    </row>
    <row r="3683" spans="1:10" x14ac:dyDescent="0.25">
      <c r="A3683" s="1">
        <v>935</v>
      </c>
      <c r="B3683" t="s">
        <v>44</v>
      </c>
      <c r="C3683">
        <v>118</v>
      </c>
      <c r="D3683">
        <v>6</v>
      </c>
      <c r="E3683" t="s">
        <v>134</v>
      </c>
      <c r="F3683" t="s">
        <v>135</v>
      </c>
      <c r="G3683" t="str">
        <f>"2025-07-06 18:09:17.429"</f>
        <v>2025-07-06 18:09:17.429</v>
      </c>
      <c r="H3683" t="s">
        <v>22</v>
      </c>
    </row>
    <row r="3684" spans="1:10" x14ac:dyDescent="0.25">
      <c r="A3684" s="1">
        <v>936</v>
      </c>
      <c r="B3684" t="s">
        <v>34</v>
      </c>
      <c r="C3684">
        <v>235</v>
      </c>
      <c r="D3684">
        <v>2</v>
      </c>
      <c r="E3684" t="s">
        <v>138</v>
      </c>
      <c r="F3684" t="s">
        <v>139</v>
      </c>
      <c r="G3684" t="str">
        <f>"2025-07-06 18:09:14.912"</f>
        <v>2025-07-06 18:09:14.912</v>
      </c>
      <c r="H3684" t="s">
        <v>59</v>
      </c>
      <c r="I3684">
        <v>0</v>
      </c>
      <c r="J3684" t="s">
        <v>23</v>
      </c>
    </row>
    <row r="3685" spans="1:10" x14ac:dyDescent="0.25">
      <c r="A3685" s="1">
        <v>937</v>
      </c>
      <c r="B3685" t="s">
        <v>29</v>
      </c>
      <c r="C3685">
        <v>250</v>
      </c>
      <c r="D3685">
        <v>1</v>
      </c>
      <c r="E3685" t="s">
        <v>99</v>
      </c>
      <c r="F3685" t="s">
        <v>125</v>
      </c>
      <c r="G3685" t="str">
        <f>"2025-07-06 18:09:14.792"</f>
        <v>2025-07-06 18:09:14.792</v>
      </c>
      <c r="H3685" t="s">
        <v>22</v>
      </c>
      <c r="I3685">
        <v>0</v>
      </c>
      <c r="J3685" t="s">
        <v>23</v>
      </c>
    </row>
    <row r="3686" spans="1:10" x14ac:dyDescent="0.25">
      <c r="A3686" s="1">
        <v>938</v>
      </c>
      <c r="B3686" t="s">
        <v>34</v>
      </c>
      <c r="C3686">
        <v>77</v>
      </c>
      <c r="D3686">
        <v>1</v>
      </c>
      <c r="E3686" t="s">
        <v>45</v>
      </c>
      <c r="F3686" t="s">
        <v>46</v>
      </c>
      <c r="G3686" t="str">
        <f>"2025-07-06 18:09:14.545"</f>
        <v>2025-07-06 18:09:14.545</v>
      </c>
      <c r="H3686" t="s">
        <v>47</v>
      </c>
      <c r="I3686">
        <v>0</v>
      </c>
      <c r="J3686" t="s">
        <v>23</v>
      </c>
    </row>
    <row r="3687" spans="1:10" x14ac:dyDescent="0.25">
      <c r="A3687" s="1">
        <v>939</v>
      </c>
      <c r="B3687" t="s">
        <v>29</v>
      </c>
      <c r="C3687">
        <v>250</v>
      </c>
      <c r="D3687">
        <v>7</v>
      </c>
      <c r="E3687" t="s">
        <v>99</v>
      </c>
      <c r="F3687" t="s">
        <v>100</v>
      </c>
      <c r="G3687" t="str">
        <f>"2025-07-06 18:09:13.352"</f>
        <v>2025-07-06 18:09:13.352</v>
      </c>
      <c r="H3687" t="s">
        <v>22</v>
      </c>
      <c r="I3687">
        <v>0</v>
      </c>
      <c r="J3687" t="s">
        <v>23</v>
      </c>
    </row>
    <row r="3688" spans="1:10" x14ac:dyDescent="0.25">
      <c r="A3688" s="1">
        <v>940</v>
      </c>
      <c r="B3688" t="s">
        <v>34</v>
      </c>
      <c r="C3688">
        <v>236</v>
      </c>
      <c r="D3688">
        <v>6</v>
      </c>
      <c r="E3688" t="s">
        <v>136</v>
      </c>
      <c r="F3688" t="s">
        <v>137</v>
      </c>
      <c r="G3688" t="str">
        <f>"2025-07-06 18:09:12.397"</f>
        <v>2025-07-06 18:09:12.397</v>
      </c>
      <c r="H3688" t="s">
        <v>22</v>
      </c>
      <c r="I3688">
        <v>0</v>
      </c>
      <c r="J3688" t="s">
        <v>23</v>
      </c>
    </row>
    <row r="3689" spans="1:10" x14ac:dyDescent="0.25">
      <c r="A3689" s="1">
        <v>941</v>
      </c>
      <c r="B3689" t="s">
        <v>29</v>
      </c>
      <c r="C3689">
        <v>248</v>
      </c>
      <c r="D3689">
        <v>7</v>
      </c>
      <c r="E3689" t="s">
        <v>101</v>
      </c>
      <c r="F3689" t="s">
        <v>102</v>
      </c>
      <c r="G3689" t="str">
        <f>"2025-07-06 18:09:12.392"</f>
        <v>2025-07-06 18:09:12.392</v>
      </c>
      <c r="H3689" t="s">
        <v>22</v>
      </c>
      <c r="I3689">
        <v>0</v>
      </c>
      <c r="J3689" t="s">
        <v>23</v>
      </c>
    </row>
    <row r="3690" spans="1:10" x14ac:dyDescent="0.25">
      <c r="A3690" s="1">
        <v>942</v>
      </c>
      <c r="B3690" t="s">
        <v>34</v>
      </c>
      <c r="C3690">
        <v>118</v>
      </c>
      <c r="D3690">
        <v>6</v>
      </c>
      <c r="E3690" t="s">
        <v>134</v>
      </c>
      <c r="F3690" t="s">
        <v>135</v>
      </c>
      <c r="G3690" t="str">
        <f>"2025-07-06 18:09:12.354"</f>
        <v>2025-07-06 18:09:12.354</v>
      </c>
      <c r="H3690" t="s">
        <v>22</v>
      </c>
      <c r="I3690">
        <v>0</v>
      </c>
      <c r="J3690" t="s">
        <v>23</v>
      </c>
    </row>
    <row r="3691" spans="1:10" x14ac:dyDescent="0.25">
      <c r="A3691" s="1">
        <v>943</v>
      </c>
      <c r="B3691" t="s">
        <v>34</v>
      </c>
      <c r="C3691">
        <v>120</v>
      </c>
      <c r="D3691">
        <v>6</v>
      </c>
      <c r="E3691" t="s">
        <v>131</v>
      </c>
      <c r="F3691" t="s">
        <v>132</v>
      </c>
      <c r="G3691" t="str">
        <f>"2025-07-06 18:09:12.352"</f>
        <v>2025-07-06 18:09:12.352</v>
      </c>
      <c r="H3691" t="s">
        <v>22</v>
      </c>
      <c r="I3691">
        <v>0</v>
      </c>
      <c r="J3691" t="s">
        <v>23</v>
      </c>
    </row>
    <row r="3692" spans="1:10" x14ac:dyDescent="0.25">
      <c r="A3692" s="1">
        <v>944</v>
      </c>
      <c r="B3692" t="s">
        <v>44</v>
      </c>
      <c r="C3692">
        <v>248</v>
      </c>
      <c r="D3692">
        <v>7</v>
      </c>
      <c r="E3692" t="s">
        <v>101</v>
      </c>
      <c r="F3692" t="s">
        <v>102</v>
      </c>
      <c r="G3692" t="str">
        <f>"2025-07-06 18:09:12.329"</f>
        <v>2025-07-06 18:09:12.329</v>
      </c>
      <c r="H3692" t="s">
        <v>22</v>
      </c>
    </row>
    <row r="3693" spans="1:10" x14ac:dyDescent="0.25">
      <c r="A3693" s="1">
        <v>945</v>
      </c>
      <c r="B3693" t="s">
        <v>44</v>
      </c>
      <c r="C3693">
        <v>120</v>
      </c>
      <c r="D3693">
        <v>6</v>
      </c>
      <c r="E3693" t="s">
        <v>131</v>
      </c>
      <c r="F3693" t="s">
        <v>132</v>
      </c>
      <c r="G3693" t="str">
        <f>"2025-07-06 18:09:12.229"</f>
        <v>2025-07-06 18:09:12.229</v>
      </c>
      <c r="H3693" t="s">
        <v>22</v>
      </c>
    </row>
    <row r="3694" spans="1:10" x14ac:dyDescent="0.25">
      <c r="A3694" s="1">
        <v>946</v>
      </c>
      <c r="B3694" t="s">
        <v>44</v>
      </c>
      <c r="C3694">
        <v>250</v>
      </c>
      <c r="D3694">
        <v>7</v>
      </c>
      <c r="E3694" t="s">
        <v>99</v>
      </c>
      <c r="F3694" t="s">
        <v>100</v>
      </c>
      <c r="G3694" t="str">
        <f>"2025-07-06 18:09:12.138"</f>
        <v>2025-07-06 18:09:12.138</v>
      </c>
      <c r="H3694" t="s">
        <v>22</v>
      </c>
    </row>
    <row r="3695" spans="1:10" x14ac:dyDescent="0.25">
      <c r="A3695" s="1">
        <v>947</v>
      </c>
      <c r="B3695" t="s">
        <v>44</v>
      </c>
      <c r="C3695">
        <v>236</v>
      </c>
      <c r="D3695">
        <v>6</v>
      </c>
      <c r="E3695" t="s">
        <v>136</v>
      </c>
      <c r="F3695" t="s">
        <v>137</v>
      </c>
      <c r="G3695" t="str">
        <f>"2025-07-06 18:09:12.133"</f>
        <v>2025-07-06 18:09:12.133</v>
      </c>
      <c r="H3695" t="s">
        <v>22</v>
      </c>
    </row>
    <row r="3696" spans="1:10" x14ac:dyDescent="0.25">
      <c r="A3696" s="1">
        <v>948</v>
      </c>
      <c r="B3696" t="s">
        <v>44</v>
      </c>
      <c r="C3696">
        <v>118</v>
      </c>
      <c r="D3696">
        <v>6</v>
      </c>
      <c r="E3696" t="s">
        <v>134</v>
      </c>
      <c r="F3696" t="s">
        <v>135</v>
      </c>
      <c r="G3696" t="str">
        <f>"2025-07-06 18:09:12.129"</f>
        <v>2025-07-06 18:09:12.129</v>
      </c>
      <c r="H3696" t="s">
        <v>22</v>
      </c>
    </row>
    <row r="3697" spans="1:10" x14ac:dyDescent="0.25">
      <c r="A3697" s="1">
        <v>949</v>
      </c>
      <c r="B3697" t="s">
        <v>44</v>
      </c>
      <c r="C3697">
        <v>235</v>
      </c>
      <c r="D3697">
        <v>2</v>
      </c>
      <c r="E3697" t="s">
        <v>138</v>
      </c>
      <c r="F3697" t="s">
        <v>139</v>
      </c>
      <c r="G3697" t="str">
        <f>"2025-07-06 18:09:10.540"</f>
        <v>2025-07-06 18:09:10.540</v>
      </c>
      <c r="H3697" t="s">
        <v>59</v>
      </c>
    </row>
    <row r="3698" spans="1:10" x14ac:dyDescent="0.25">
      <c r="A3698" s="1">
        <v>950</v>
      </c>
      <c r="B3698" t="s">
        <v>44</v>
      </c>
      <c r="C3698">
        <v>119</v>
      </c>
      <c r="D3698">
        <v>2</v>
      </c>
      <c r="E3698" t="s">
        <v>140</v>
      </c>
      <c r="F3698" t="s">
        <v>141</v>
      </c>
      <c r="G3698" t="str">
        <f>"2025-07-06 18:09:10.536"</f>
        <v>2025-07-06 18:09:10.536</v>
      </c>
      <c r="H3698" t="s">
        <v>61</v>
      </c>
    </row>
    <row r="3699" spans="1:10" x14ac:dyDescent="0.25">
      <c r="A3699" s="1">
        <v>951</v>
      </c>
      <c r="B3699" t="s">
        <v>44</v>
      </c>
      <c r="C3699">
        <v>117</v>
      </c>
      <c r="D3699">
        <v>2</v>
      </c>
      <c r="E3699" t="s">
        <v>142</v>
      </c>
      <c r="F3699" t="s">
        <v>143</v>
      </c>
      <c r="G3699" t="str">
        <f>"2025-07-06 18:09:10.522"</f>
        <v>2025-07-06 18:09:10.522</v>
      </c>
      <c r="H3699" t="s">
        <v>61</v>
      </c>
    </row>
    <row r="3700" spans="1:10" x14ac:dyDescent="0.25">
      <c r="A3700" s="1">
        <v>952</v>
      </c>
      <c r="B3700" t="s">
        <v>44</v>
      </c>
      <c r="C3700">
        <v>77</v>
      </c>
      <c r="D3700">
        <v>1</v>
      </c>
      <c r="E3700" t="s">
        <v>45</v>
      </c>
      <c r="F3700" t="s">
        <v>46</v>
      </c>
      <c r="G3700" t="str">
        <f>"2025-07-06 18:09:10.229"</f>
        <v>2025-07-06 18:09:10.229</v>
      </c>
      <c r="H3700" t="s">
        <v>47</v>
      </c>
    </row>
    <row r="3701" spans="1:10" x14ac:dyDescent="0.25">
      <c r="A3701" s="1">
        <v>953</v>
      </c>
      <c r="B3701" t="s">
        <v>34</v>
      </c>
      <c r="C3701">
        <v>120</v>
      </c>
      <c r="D3701">
        <v>6</v>
      </c>
      <c r="E3701" t="s">
        <v>131</v>
      </c>
      <c r="F3701" t="s">
        <v>132</v>
      </c>
      <c r="G3701" t="str">
        <f>"2025-07-06 18:09:06.921"</f>
        <v>2025-07-06 18:09:06.921</v>
      </c>
      <c r="H3701" t="s">
        <v>22</v>
      </c>
      <c r="I3701">
        <v>0</v>
      </c>
      <c r="J3701" t="s">
        <v>23</v>
      </c>
    </row>
    <row r="3702" spans="1:10" x14ac:dyDescent="0.25">
      <c r="A3702" s="1">
        <v>954</v>
      </c>
      <c r="B3702" t="s">
        <v>34</v>
      </c>
      <c r="C3702">
        <v>118</v>
      </c>
      <c r="D3702">
        <v>6</v>
      </c>
      <c r="E3702" t="s">
        <v>134</v>
      </c>
      <c r="F3702" t="s">
        <v>135</v>
      </c>
      <c r="G3702" t="str">
        <f>"2025-07-06 18:09:06.917"</f>
        <v>2025-07-06 18:09:06.917</v>
      </c>
      <c r="H3702" t="s">
        <v>22</v>
      </c>
      <c r="I3702">
        <v>0</v>
      </c>
      <c r="J3702" t="s">
        <v>23</v>
      </c>
    </row>
    <row r="3703" spans="1:10" x14ac:dyDescent="0.25">
      <c r="A3703" s="1">
        <v>955</v>
      </c>
      <c r="B3703" t="s">
        <v>29</v>
      </c>
      <c r="C3703">
        <v>107</v>
      </c>
      <c r="D3703">
        <v>3</v>
      </c>
      <c r="E3703" t="s">
        <v>106</v>
      </c>
      <c r="F3703" t="s">
        <v>133</v>
      </c>
      <c r="G3703" t="str">
        <f>"2025-07-06 18:09:06.912"</f>
        <v>2025-07-06 18:09:06.912</v>
      </c>
      <c r="H3703" t="s">
        <v>61</v>
      </c>
      <c r="I3703">
        <v>0</v>
      </c>
      <c r="J3703" t="s">
        <v>23</v>
      </c>
    </row>
    <row r="3704" spans="1:10" x14ac:dyDescent="0.25">
      <c r="A3704" s="1">
        <v>956</v>
      </c>
      <c r="B3704" t="s">
        <v>34</v>
      </c>
      <c r="C3704">
        <v>250</v>
      </c>
      <c r="D3704">
        <v>7</v>
      </c>
      <c r="E3704" t="s">
        <v>99</v>
      </c>
      <c r="F3704" t="s">
        <v>100</v>
      </c>
      <c r="G3704" t="str">
        <f>"2025-07-06 18:09:06.861"</f>
        <v>2025-07-06 18:09:06.861</v>
      </c>
      <c r="H3704" t="s">
        <v>22</v>
      </c>
      <c r="I3704">
        <v>0</v>
      </c>
      <c r="J3704" t="s">
        <v>23</v>
      </c>
    </row>
    <row r="3705" spans="1:10" x14ac:dyDescent="0.25">
      <c r="A3705" s="1">
        <v>957</v>
      </c>
      <c r="B3705" t="s">
        <v>34</v>
      </c>
      <c r="C3705">
        <v>248</v>
      </c>
      <c r="D3705">
        <v>7</v>
      </c>
      <c r="E3705" t="s">
        <v>101</v>
      </c>
      <c r="F3705" t="s">
        <v>102</v>
      </c>
      <c r="G3705" t="str">
        <f>"2025-07-06 18:09:06.857"</f>
        <v>2025-07-06 18:09:06.857</v>
      </c>
      <c r="H3705" t="s">
        <v>22</v>
      </c>
      <c r="I3705">
        <v>0</v>
      </c>
      <c r="J3705" t="s">
        <v>23</v>
      </c>
    </row>
    <row r="3706" spans="1:10" x14ac:dyDescent="0.25">
      <c r="A3706" s="1">
        <v>958</v>
      </c>
      <c r="B3706" t="s">
        <v>34</v>
      </c>
      <c r="C3706">
        <v>236</v>
      </c>
      <c r="D3706">
        <v>6</v>
      </c>
      <c r="E3706" t="s">
        <v>136</v>
      </c>
      <c r="F3706" t="s">
        <v>137</v>
      </c>
      <c r="G3706" t="str">
        <f>"2025-07-06 18:09:06.852"</f>
        <v>2025-07-06 18:09:06.852</v>
      </c>
      <c r="H3706" t="s">
        <v>22</v>
      </c>
      <c r="I3706">
        <v>0</v>
      </c>
      <c r="J3706" t="s">
        <v>23</v>
      </c>
    </row>
    <row r="3707" spans="1:10" x14ac:dyDescent="0.25">
      <c r="A3707" s="1">
        <v>959</v>
      </c>
      <c r="B3707" t="s">
        <v>34</v>
      </c>
      <c r="C3707">
        <v>235</v>
      </c>
      <c r="D3707">
        <v>2</v>
      </c>
      <c r="E3707" t="s">
        <v>138</v>
      </c>
      <c r="F3707" t="s">
        <v>139</v>
      </c>
      <c r="G3707" t="str">
        <f>"2025-07-06 18:09:05.461"</f>
        <v>2025-07-06 18:09:05.461</v>
      </c>
      <c r="H3707" t="s">
        <v>59</v>
      </c>
      <c r="I3707">
        <v>0</v>
      </c>
      <c r="J3707" t="s">
        <v>23</v>
      </c>
    </row>
    <row r="3708" spans="1:10" x14ac:dyDescent="0.25">
      <c r="A3708" s="1">
        <v>960</v>
      </c>
      <c r="B3708" t="s">
        <v>34</v>
      </c>
      <c r="C3708">
        <v>119</v>
      </c>
      <c r="D3708">
        <v>2</v>
      </c>
      <c r="E3708" t="s">
        <v>140</v>
      </c>
      <c r="F3708" t="s">
        <v>141</v>
      </c>
      <c r="G3708" t="str">
        <f>"2025-07-06 18:09:05.457"</f>
        <v>2025-07-06 18:09:05.457</v>
      </c>
      <c r="H3708" t="s">
        <v>61</v>
      </c>
      <c r="I3708">
        <v>0</v>
      </c>
      <c r="J3708" t="s">
        <v>23</v>
      </c>
    </row>
    <row r="3709" spans="1:10" x14ac:dyDescent="0.25">
      <c r="A3709" s="1">
        <v>961</v>
      </c>
      <c r="B3709" t="s">
        <v>34</v>
      </c>
      <c r="C3709">
        <v>117</v>
      </c>
      <c r="D3709">
        <v>2</v>
      </c>
      <c r="E3709" t="s">
        <v>142</v>
      </c>
      <c r="F3709" t="s">
        <v>143</v>
      </c>
      <c r="G3709" t="str">
        <f>"2025-07-06 18:09:05.452"</f>
        <v>2025-07-06 18:09:05.452</v>
      </c>
      <c r="H3709" t="s">
        <v>61</v>
      </c>
      <c r="I3709">
        <v>0</v>
      </c>
      <c r="J3709" t="s">
        <v>23</v>
      </c>
    </row>
    <row r="3710" spans="1:10" x14ac:dyDescent="0.25">
      <c r="A3710" s="1">
        <v>962</v>
      </c>
      <c r="B3710" t="s">
        <v>34</v>
      </c>
      <c r="C3710">
        <v>77</v>
      </c>
      <c r="D3710">
        <v>1</v>
      </c>
      <c r="E3710" t="s">
        <v>45</v>
      </c>
      <c r="F3710" t="s">
        <v>46</v>
      </c>
      <c r="G3710" t="str">
        <f>"2025-07-06 18:09:05.216"</f>
        <v>2025-07-06 18:09:05.216</v>
      </c>
      <c r="H3710" t="s">
        <v>47</v>
      </c>
      <c r="I3710">
        <v>0</v>
      </c>
      <c r="J3710" t="s">
        <v>23</v>
      </c>
    </row>
    <row r="3711" spans="1:10" x14ac:dyDescent="0.25">
      <c r="A3711" s="1">
        <v>963</v>
      </c>
      <c r="B3711" t="s">
        <v>19</v>
      </c>
      <c r="C3711">
        <v>706</v>
      </c>
      <c r="D3711">
        <v>4</v>
      </c>
      <c r="E3711" t="s">
        <v>20</v>
      </c>
      <c r="F3711" t="s">
        <v>21</v>
      </c>
      <c r="G3711" t="str">
        <f>"2025-07-06 18:08:57.348"</f>
        <v>2025-07-06 18:08:57.348</v>
      </c>
      <c r="H3711" t="s">
        <v>22</v>
      </c>
      <c r="I3711">
        <v>0</v>
      </c>
      <c r="J3711" t="s">
        <v>23</v>
      </c>
    </row>
    <row r="3712" spans="1:10" x14ac:dyDescent="0.25">
      <c r="A3712" s="1">
        <v>964</v>
      </c>
      <c r="B3712" t="s">
        <v>19</v>
      </c>
      <c r="C3712">
        <v>700</v>
      </c>
      <c r="D3712">
        <v>0</v>
      </c>
      <c r="E3712" t="s">
        <v>24</v>
      </c>
      <c r="F3712" t="s">
        <v>24</v>
      </c>
      <c r="G3712" t="str">
        <f>"2025-07-06 18:06:38.618"</f>
        <v>2025-07-06 18:06:38.618</v>
      </c>
      <c r="H3712" t="s">
        <v>22</v>
      </c>
    </row>
    <row r="3713" spans="1:10" x14ac:dyDescent="0.25">
      <c r="A3713" s="1">
        <v>965</v>
      </c>
      <c r="B3713" t="s">
        <v>19</v>
      </c>
      <c r="C3713">
        <v>700</v>
      </c>
      <c r="D3713">
        <v>0</v>
      </c>
      <c r="E3713" t="s">
        <v>24</v>
      </c>
      <c r="F3713" t="s">
        <v>24</v>
      </c>
      <c r="G3713" t="str">
        <f>"2025-07-06 07:42:00.777"</f>
        <v>2025-07-06 07:42:00.777</v>
      </c>
      <c r="H3713" t="s">
        <v>22</v>
      </c>
      <c r="I3713">
        <v>0</v>
      </c>
      <c r="J3713" t="s">
        <v>25</v>
      </c>
    </row>
    <row r="3714" spans="1:10" x14ac:dyDescent="0.25">
      <c r="A3714" s="1">
        <v>966</v>
      </c>
      <c r="B3714" t="s">
        <v>19</v>
      </c>
      <c r="C3714">
        <v>700</v>
      </c>
      <c r="D3714">
        <v>0</v>
      </c>
      <c r="E3714" t="s">
        <v>24</v>
      </c>
      <c r="F3714" t="s">
        <v>24</v>
      </c>
      <c r="G3714" t="str">
        <f>"2025-07-06 02:01:58.618"</f>
        <v>2025-07-06 02:01:58.618</v>
      </c>
      <c r="H3714" t="s">
        <v>22</v>
      </c>
    </row>
    <row r="3715" spans="1:10" s="3" customFormat="1" x14ac:dyDescent="0.25">
      <c r="A3715" s="2">
        <v>967</v>
      </c>
      <c r="B3715" s="3" t="s">
        <v>26</v>
      </c>
      <c r="C3715" s="3">
        <v>647</v>
      </c>
      <c r="D3715" s="3">
        <v>1</v>
      </c>
      <c r="E3715" s="3" t="s">
        <v>35</v>
      </c>
      <c r="F3715" s="3" t="s">
        <v>36</v>
      </c>
      <c r="G3715" s="3" t="str">
        <f>"2025-07-05 00:45:31.908"</f>
        <v>2025-07-05 00:45:31.908</v>
      </c>
      <c r="H3715" s="3" t="s">
        <v>22</v>
      </c>
    </row>
    <row r="3716" spans="1:10" s="3" customFormat="1" x14ac:dyDescent="0.25">
      <c r="A3716" s="2">
        <v>968</v>
      </c>
      <c r="B3716" s="3" t="s">
        <v>29</v>
      </c>
      <c r="C3716" s="3">
        <v>647</v>
      </c>
      <c r="D3716" s="3">
        <v>1</v>
      </c>
      <c r="E3716" s="3" t="s">
        <v>35</v>
      </c>
      <c r="F3716" s="3" t="s">
        <v>36</v>
      </c>
      <c r="G3716" s="3" t="str">
        <f>"2025-07-05 00:45:27.309"</f>
        <v>2025-07-05 00:45:27.309</v>
      </c>
      <c r="H3716" s="3" t="s">
        <v>22</v>
      </c>
      <c r="I3716" s="3">
        <v>9.7100000000000009</v>
      </c>
      <c r="J3716" s="3" t="s">
        <v>37</v>
      </c>
    </row>
    <row r="3717" spans="1:10" x14ac:dyDescent="0.25">
      <c r="A3717" s="1">
        <v>969</v>
      </c>
      <c r="B3717" t="s">
        <v>26</v>
      </c>
      <c r="C3717">
        <v>54</v>
      </c>
      <c r="D3717">
        <v>1</v>
      </c>
      <c r="E3717" t="s">
        <v>87</v>
      </c>
      <c r="F3717" t="s">
        <v>88</v>
      </c>
      <c r="G3717" t="str">
        <f>"2025-07-04 13:08:08.320"</f>
        <v>2025-07-04 13:08:08.320</v>
      </c>
      <c r="H3717" t="s">
        <v>22</v>
      </c>
    </row>
    <row r="3718" spans="1:10" x14ac:dyDescent="0.25">
      <c r="A3718" s="1">
        <v>970</v>
      </c>
      <c r="B3718" t="s">
        <v>19</v>
      </c>
      <c r="C3718">
        <v>700</v>
      </c>
      <c r="D3718">
        <v>0</v>
      </c>
      <c r="E3718" t="s">
        <v>24</v>
      </c>
      <c r="F3718" t="s">
        <v>24</v>
      </c>
      <c r="G3718" t="str">
        <f>"2025-07-04 13:07:55.621"</f>
        <v>2025-07-04 13:07:55.621</v>
      </c>
      <c r="H3718" t="s">
        <v>22</v>
      </c>
    </row>
    <row r="3719" spans="1:10" x14ac:dyDescent="0.25">
      <c r="A3719" s="1">
        <v>971</v>
      </c>
      <c r="B3719" t="s">
        <v>26</v>
      </c>
      <c r="C3719">
        <v>635</v>
      </c>
      <c r="D3719">
        <v>1</v>
      </c>
      <c r="E3719" t="s">
        <v>27</v>
      </c>
      <c r="F3719" t="s">
        <v>28</v>
      </c>
      <c r="G3719" t="str">
        <f>"2025-07-04 09:32:08.307"</f>
        <v>2025-07-04 09:32:08.307</v>
      </c>
      <c r="H3719" t="s">
        <v>22</v>
      </c>
    </row>
    <row r="3720" spans="1:10" x14ac:dyDescent="0.25">
      <c r="A3720" s="1">
        <v>972</v>
      </c>
      <c r="B3720" t="s">
        <v>29</v>
      </c>
      <c r="C3720">
        <v>635</v>
      </c>
      <c r="D3720">
        <v>1</v>
      </c>
      <c r="E3720" t="s">
        <v>27</v>
      </c>
      <c r="F3720" t="s">
        <v>28</v>
      </c>
      <c r="G3720" t="str">
        <f>"2025-07-04 09:29:01.807"</f>
        <v>2025-07-04 09:29:01.807</v>
      </c>
      <c r="H3720" t="s">
        <v>22</v>
      </c>
      <c r="I3720">
        <v>7.44</v>
      </c>
      <c r="J3720" t="s">
        <v>30</v>
      </c>
    </row>
    <row r="3721" spans="1:10" x14ac:dyDescent="0.25">
      <c r="A3721" s="1">
        <v>973</v>
      </c>
      <c r="B3721" t="s">
        <v>29</v>
      </c>
      <c r="C3721">
        <v>54</v>
      </c>
      <c r="D3721">
        <v>1</v>
      </c>
      <c r="E3721" t="s">
        <v>87</v>
      </c>
      <c r="F3721" t="s">
        <v>88</v>
      </c>
      <c r="G3721" t="str">
        <f>"2025-07-03 12:19:44.099"</f>
        <v>2025-07-03 12:19:44.099</v>
      </c>
      <c r="H3721" t="s">
        <v>22</v>
      </c>
      <c r="I3721">
        <v>5.32</v>
      </c>
      <c r="J3721" t="s">
        <v>30</v>
      </c>
    </row>
    <row r="3722" spans="1:10" s="3" customFormat="1" x14ac:dyDescent="0.25">
      <c r="A3722" s="2">
        <v>974</v>
      </c>
      <c r="B3722" s="3" t="s">
        <v>26</v>
      </c>
      <c r="C3722" s="3">
        <v>647</v>
      </c>
      <c r="D3722" s="3">
        <v>1</v>
      </c>
      <c r="E3722" s="3" t="s">
        <v>35</v>
      </c>
      <c r="F3722" s="3" t="s">
        <v>36</v>
      </c>
      <c r="G3722" s="3" t="str">
        <f>"2025-07-03 07:10:08.908"</f>
        <v>2025-07-03 07:10:08.908</v>
      </c>
      <c r="H3722" s="3" t="s">
        <v>22</v>
      </c>
    </row>
    <row r="3723" spans="1:10" s="3" customFormat="1" x14ac:dyDescent="0.25">
      <c r="A3723" s="2">
        <v>975</v>
      </c>
      <c r="B3723" s="3" t="s">
        <v>29</v>
      </c>
      <c r="C3723" s="3">
        <v>647</v>
      </c>
      <c r="D3723" s="3">
        <v>1</v>
      </c>
      <c r="E3723" s="3" t="s">
        <v>35</v>
      </c>
      <c r="F3723" s="3" t="s">
        <v>36</v>
      </c>
      <c r="G3723" s="3" t="str">
        <f>"2025-07-03 07:10:06.507"</f>
        <v>2025-07-03 07:10:06.507</v>
      </c>
      <c r="H3723" s="3" t="s">
        <v>22</v>
      </c>
      <c r="I3723" s="3">
        <v>9.9499999999999993</v>
      </c>
      <c r="J3723" s="3" t="s">
        <v>37</v>
      </c>
    </row>
    <row r="3724" spans="1:10" x14ac:dyDescent="0.25">
      <c r="A3724" s="1">
        <v>976</v>
      </c>
      <c r="B3724" t="s">
        <v>26</v>
      </c>
      <c r="C3724">
        <v>635</v>
      </c>
      <c r="D3724">
        <v>1</v>
      </c>
      <c r="E3724" t="s">
        <v>27</v>
      </c>
      <c r="F3724" t="s">
        <v>28</v>
      </c>
      <c r="G3724" t="str">
        <f>"2025-07-03 04:25:43.807"</f>
        <v>2025-07-03 04:25:43.807</v>
      </c>
      <c r="H3724" t="s">
        <v>22</v>
      </c>
    </row>
    <row r="3725" spans="1:10" x14ac:dyDescent="0.25">
      <c r="A3725" s="1">
        <v>977</v>
      </c>
      <c r="B3725" t="s">
        <v>29</v>
      </c>
      <c r="C3725">
        <v>635</v>
      </c>
      <c r="D3725">
        <v>1</v>
      </c>
      <c r="E3725" t="s">
        <v>27</v>
      </c>
      <c r="F3725" t="s">
        <v>28</v>
      </c>
      <c r="G3725" t="str">
        <f>"2025-07-03 04:21:00.307"</f>
        <v>2025-07-03 04:21:00.307</v>
      </c>
      <c r="H3725" t="s">
        <v>22</v>
      </c>
      <c r="I3725">
        <v>2.93</v>
      </c>
      <c r="J3725" t="s">
        <v>30</v>
      </c>
    </row>
    <row r="3726" spans="1:10" s="3" customFormat="1" x14ac:dyDescent="0.25">
      <c r="A3726" s="2">
        <v>978</v>
      </c>
      <c r="B3726" s="3" t="s">
        <v>26</v>
      </c>
      <c r="C3726" s="3">
        <v>647</v>
      </c>
      <c r="D3726" s="3">
        <v>1</v>
      </c>
      <c r="E3726" s="3" t="s">
        <v>35</v>
      </c>
      <c r="F3726" s="3" t="s">
        <v>36</v>
      </c>
      <c r="G3726" s="3" t="str">
        <f>"2025-07-02 19:23:40.408"</f>
        <v>2025-07-02 19:23:40.408</v>
      </c>
      <c r="H3726" s="3" t="s">
        <v>22</v>
      </c>
    </row>
    <row r="3727" spans="1:10" s="3" customFormat="1" x14ac:dyDescent="0.25">
      <c r="A3727" s="2">
        <v>979</v>
      </c>
      <c r="B3727" s="3" t="s">
        <v>29</v>
      </c>
      <c r="C3727" s="3">
        <v>647</v>
      </c>
      <c r="D3727" s="3">
        <v>1</v>
      </c>
      <c r="E3727" s="3" t="s">
        <v>35</v>
      </c>
      <c r="F3727" s="3" t="s">
        <v>36</v>
      </c>
      <c r="G3727" s="3" t="str">
        <f>"2025-07-02 19:23:33.708"</f>
        <v>2025-07-02 19:23:33.708</v>
      </c>
      <c r="H3727" s="3" t="s">
        <v>22</v>
      </c>
      <c r="I3727" s="3">
        <v>10.78</v>
      </c>
      <c r="J3727" s="3" t="s">
        <v>37</v>
      </c>
    </row>
    <row r="3728" spans="1:10" x14ac:dyDescent="0.25">
      <c r="A3728" s="1">
        <v>980</v>
      </c>
      <c r="B3728" t="s">
        <v>19</v>
      </c>
      <c r="C3728">
        <v>700</v>
      </c>
      <c r="D3728">
        <v>0</v>
      </c>
      <c r="E3728" t="s">
        <v>24</v>
      </c>
      <c r="F3728" t="s">
        <v>24</v>
      </c>
      <c r="G3728" t="str">
        <f>"2025-07-02 14:03:42.639"</f>
        <v>2025-07-02 14:03:42.639</v>
      </c>
      <c r="H3728" t="s">
        <v>22</v>
      </c>
      <c r="I3728">
        <v>0</v>
      </c>
      <c r="J3728" t="s">
        <v>25</v>
      </c>
    </row>
    <row r="3729" spans="1:10" x14ac:dyDescent="0.25">
      <c r="A3729" s="1">
        <v>981</v>
      </c>
      <c r="B3729" t="s">
        <v>26</v>
      </c>
      <c r="C3729">
        <v>635</v>
      </c>
      <c r="D3729">
        <v>1</v>
      </c>
      <c r="E3729" t="s">
        <v>27</v>
      </c>
      <c r="F3729" t="s">
        <v>28</v>
      </c>
      <c r="G3729" t="str">
        <f>"2025-07-02 04:03:54.143"</f>
        <v>2025-07-02 04:03:54.143</v>
      </c>
      <c r="H3729" t="s">
        <v>22</v>
      </c>
    </row>
    <row r="3730" spans="1:10" x14ac:dyDescent="0.25">
      <c r="A3730" s="1">
        <v>982</v>
      </c>
      <c r="B3730" t="s">
        <v>29</v>
      </c>
      <c r="C3730">
        <v>635</v>
      </c>
      <c r="D3730">
        <v>1</v>
      </c>
      <c r="E3730" t="s">
        <v>27</v>
      </c>
      <c r="F3730" t="s">
        <v>28</v>
      </c>
      <c r="G3730" t="str">
        <f>"2025-07-02 04:01:15.143"</f>
        <v>2025-07-02 04:01:15.143</v>
      </c>
      <c r="H3730" t="s">
        <v>22</v>
      </c>
      <c r="I3730">
        <v>0.54</v>
      </c>
      <c r="J3730" t="s">
        <v>37</v>
      </c>
    </row>
    <row r="3731" spans="1:10" x14ac:dyDescent="0.25">
      <c r="A3731" s="1">
        <v>983</v>
      </c>
      <c r="B3731" t="s">
        <v>19</v>
      </c>
      <c r="C3731">
        <v>700</v>
      </c>
      <c r="D3731">
        <v>0</v>
      </c>
      <c r="E3731" t="s">
        <v>24</v>
      </c>
      <c r="F3731" t="s">
        <v>24</v>
      </c>
      <c r="G3731" t="str">
        <f>"2025-07-02 03:03:32.625"</f>
        <v>2025-07-02 03:03:32.625</v>
      </c>
      <c r="H3731" t="s">
        <v>22</v>
      </c>
      <c r="I3731">
        <v>0</v>
      </c>
      <c r="J3731" t="s">
        <v>25</v>
      </c>
    </row>
    <row r="3732" spans="1:10" x14ac:dyDescent="0.25">
      <c r="A3732" s="1">
        <v>984</v>
      </c>
      <c r="B3732" t="s">
        <v>34</v>
      </c>
      <c r="C3732">
        <v>630</v>
      </c>
      <c r="D3732">
        <v>5</v>
      </c>
      <c r="E3732" t="s">
        <v>39</v>
      </c>
      <c r="F3732" t="s">
        <v>40</v>
      </c>
      <c r="G3732" t="str">
        <f>"2025-07-02 02:39:13.429"</f>
        <v>2025-07-02 02:39:13.429</v>
      </c>
      <c r="H3732" t="s">
        <v>41</v>
      </c>
      <c r="I3732">
        <v>0</v>
      </c>
      <c r="J3732" t="s">
        <v>23</v>
      </c>
    </row>
    <row r="3733" spans="1:10" x14ac:dyDescent="0.25">
      <c r="A3733" s="1">
        <v>985</v>
      </c>
      <c r="B3733" t="s">
        <v>19</v>
      </c>
      <c r="C3733">
        <v>700</v>
      </c>
      <c r="D3733">
        <v>0</v>
      </c>
      <c r="E3733" t="s">
        <v>24</v>
      </c>
      <c r="F3733" t="s">
        <v>24</v>
      </c>
      <c r="G3733" t="str">
        <f>"2025-07-02 02:34:10.657"</f>
        <v>2025-07-02 02:34:10.657</v>
      </c>
      <c r="H3733" t="s">
        <v>22</v>
      </c>
      <c r="I3733">
        <v>0</v>
      </c>
      <c r="J3733" t="s">
        <v>25</v>
      </c>
    </row>
    <row r="3734" spans="1:10" x14ac:dyDescent="0.25">
      <c r="A3734" s="1">
        <v>986</v>
      </c>
      <c r="B3734" t="s">
        <v>34</v>
      </c>
      <c r="C3734">
        <v>630</v>
      </c>
      <c r="D3734">
        <v>5</v>
      </c>
      <c r="E3734" t="s">
        <v>39</v>
      </c>
      <c r="F3734" t="s">
        <v>40</v>
      </c>
      <c r="G3734" t="str">
        <f>"2025-07-02 02:31:16.887"</f>
        <v>2025-07-02 02:31:16.887</v>
      </c>
      <c r="H3734" t="s">
        <v>41</v>
      </c>
      <c r="I3734">
        <v>0</v>
      </c>
      <c r="J3734" t="s">
        <v>23</v>
      </c>
    </row>
    <row r="3735" spans="1:10" x14ac:dyDescent="0.25">
      <c r="A3735" s="1">
        <v>987</v>
      </c>
      <c r="B3735" t="s">
        <v>19</v>
      </c>
      <c r="C3735">
        <v>706</v>
      </c>
      <c r="D3735">
        <v>4</v>
      </c>
      <c r="E3735" t="s">
        <v>20</v>
      </c>
      <c r="F3735" t="s">
        <v>21</v>
      </c>
      <c r="G3735" t="str">
        <f>"2025-07-01 23:41:53.998"</f>
        <v>2025-07-01 23:41:53.998</v>
      </c>
      <c r="H3735" t="s">
        <v>22</v>
      </c>
      <c r="I3735">
        <v>0</v>
      </c>
      <c r="J3735" t="s">
        <v>23</v>
      </c>
    </row>
    <row r="3736" spans="1:10" x14ac:dyDescent="0.25">
      <c r="A3736" s="1">
        <v>988</v>
      </c>
      <c r="B3736" t="s">
        <v>19</v>
      </c>
      <c r="C3736">
        <v>700</v>
      </c>
      <c r="D3736">
        <v>0</v>
      </c>
      <c r="E3736" t="s">
        <v>24</v>
      </c>
      <c r="F3736" t="s">
        <v>24</v>
      </c>
      <c r="G3736" t="str">
        <f>"2025-07-01 23:36:58.618"</f>
        <v>2025-07-01 23:36:58.618</v>
      </c>
      <c r="H3736" t="s">
        <v>22</v>
      </c>
      <c r="I3736">
        <v>0</v>
      </c>
      <c r="J3736" t="s">
        <v>25</v>
      </c>
    </row>
    <row r="3737" spans="1:10" x14ac:dyDescent="0.25">
      <c r="A3737" s="1">
        <v>989</v>
      </c>
      <c r="B3737" t="s">
        <v>19</v>
      </c>
      <c r="C3737">
        <v>700</v>
      </c>
      <c r="D3737">
        <v>0</v>
      </c>
      <c r="E3737" t="s">
        <v>24</v>
      </c>
      <c r="F3737" t="s">
        <v>24</v>
      </c>
      <c r="G3737" t="str">
        <f>"2025-07-01 23:31:14.618"</f>
        <v>2025-07-01 23:31:14.618</v>
      </c>
      <c r="H3737" t="s">
        <v>22</v>
      </c>
    </row>
    <row r="3738" spans="1:10" x14ac:dyDescent="0.25">
      <c r="A3738" s="1">
        <v>990</v>
      </c>
      <c r="B3738" t="s">
        <v>19</v>
      </c>
      <c r="C3738">
        <v>700</v>
      </c>
      <c r="D3738">
        <v>0</v>
      </c>
      <c r="E3738" t="s">
        <v>24</v>
      </c>
      <c r="F3738" t="s">
        <v>24</v>
      </c>
      <c r="G3738" t="str">
        <f>"2025-07-01 22:33:19.699"</f>
        <v>2025-07-01 22:33:19.699</v>
      </c>
      <c r="H3738" t="s">
        <v>22</v>
      </c>
    </row>
    <row r="3739" spans="1:10" x14ac:dyDescent="0.25">
      <c r="A3739" s="1">
        <v>991</v>
      </c>
      <c r="B3739" t="s">
        <v>19</v>
      </c>
      <c r="C3739">
        <v>700</v>
      </c>
      <c r="D3739">
        <v>0</v>
      </c>
      <c r="E3739" t="s">
        <v>24</v>
      </c>
      <c r="F3739" t="s">
        <v>24</v>
      </c>
      <c r="G3739" t="str">
        <f>"2025-07-01 22:30:45.642"</f>
        <v>2025-07-01 22:30:45.642</v>
      </c>
      <c r="H3739" t="s">
        <v>22</v>
      </c>
    </row>
    <row r="3740" spans="1:10" x14ac:dyDescent="0.25">
      <c r="A3740" s="1">
        <v>993</v>
      </c>
      <c r="B3740" t="s">
        <v>19</v>
      </c>
      <c r="C3740">
        <v>700</v>
      </c>
      <c r="D3740">
        <v>0</v>
      </c>
      <c r="E3740" t="s">
        <v>24</v>
      </c>
      <c r="F3740" t="s">
        <v>24</v>
      </c>
      <c r="G3740" t="str">
        <f>"2025-07-01 12:47:33.810"</f>
        <v>2025-07-01 12:47:33.810</v>
      </c>
      <c r="H3740" t="s">
        <v>22</v>
      </c>
      <c r="I3740">
        <v>0</v>
      </c>
      <c r="J3740" t="s">
        <v>25</v>
      </c>
    </row>
    <row r="3741" spans="1:10" x14ac:dyDescent="0.25">
      <c r="A3741" s="1">
        <v>994</v>
      </c>
      <c r="B3741" t="s">
        <v>19</v>
      </c>
      <c r="C3741">
        <v>700</v>
      </c>
      <c r="D3741">
        <v>0</v>
      </c>
      <c r="E3741" t="s">
        <v>24</v>
      </c>
      <c r="F3741" t="s">
        <v>24</v>
      </c>
      <c r="G3741" t="str">
        <f>"2025-06-30 15:19:28.801"</f>
        <v>2025-06-30 15:19:28.801</v>
      </c>
      <c r="H3741" t="s">
        <v>22</v>
      </c>
      <c r="I3741">
        <v>0</v>
      </c>
      <c r="J3741" t="s">
        <v>25</v>
      </c>
    </row>
    <row r="3742" spans="1:10" x14ac:dyDescent="0.25">
      <c r="A3742" s="1">
        <v>995</v>
      </c>
      <c r="B3742" t="s">
        <v>19</v>
      </c>
      <c r="C3742">
        <v>700</v>
      </c>
      <c r="D3742">
        <v>0</v>
      </c>
      <c r="E3742" t="s">
        <v>24</v>
      </c>
      <c r="F3742" t="s">
        <v>24</v>
      </c>
      <c r="G3742" t="str">
        <f>"2025-06-30 13:05:09.838"</f>
        <v>2025-06-30 13:05:09.838</v>
      </c>
      <c r="H3742" t="s">
        <v>22</v>
      </c>
    </row>
    <row r="3743" spans="1:10" x14ac:dyDescent="0.25">
      <c r="A3743" s="1">
        <v>996</v>
      </c>
      <c r="B3743" t="s">
        <v>19</v>
      </c>
      <c r="C3743">
        <v>700</v>
      </c>
      <c r="D3743">
        <v>0</v>
      </c>
      <c r="E3743" t="s">
        <v>24</v>
      </c>
      <c r="F3743" t="s">
        <v>24</v>
      </c>
      <c r="G3743" t="str">
        <f>"2025-06-30 08:24:22.639"</f>
        <v>2025-06-30 08:24:22.639</v>
      </c>
      <c r="H3743" t="s">
        <v>22</v>
      </c>
      <c r="I3743">
        <v>0</v>
      </c>
      <c r="J3743" t="s">
        <v>25</v>
      </c>
    </row>
    <row r="3744" spans="1:10" s="3" customFormat="1" x14ac:dyDescent="0.25">
      <c r="A3744" s="2">
        <v>997</v>
      </c>
      <c r="B3744" s="3" t="s">
        <v>26</v>
      </c>
      <c r="C3744" s="3">
        <v>647</v>
      </c>
      <c r="D3744" s="3">
        <v>1</v>
      </c>
      <c r="E3744" s="3" t="s">
        <v>35</v>
      </c>
      <c r="F3744" s="3" t="s">
        <v>36</v>
      </c>
      <c r="G3744" s="3" t="str">
        <f>"2025-06-28 20:29:07.810"</f>
        <v>2025-06-28 20:29:07.810</v>
      </c>
      <c r="H3744" s="3" t="s">
        <v>22</v>
      </c>
    </row>
    <row r="3745" spans="1:10" s="3" customFormat="1" x14ac:dyDescent="0.25">
      <c r="A3745" s="2">
        <v>998</v>
      </c>
      <c r="B3745" s="3" t="s">
        <v>29</v>
      </c>
      <c r="C3745" s="3">
        <v>647</v>
      </c>
      <c r="D3745" s="3">
        <v>1</v>
      </c>
      <c r="E3745" s="3" t="s">
        <v>35</v>
      </c>
      <c r="F3745" s="3" t="s">
        <v>36</v>
      </c>
      <c r="G3745" s="3" t="str">
        <f>"2025-06-28 20:29:00.610"</f>
        <v>2025-06-28 20:29:00.610</v>
      </c>
      <c r="H3745" s="3" t="s">
        <v>22</v>
      </c>
      <c r="I3745" s="3">
        <v>16.38</v>
      </c>
      <c r="J3745" s="3" t="s">
        <v>37</v>
      </c>
    </row>
    <row r="3746" spans="1:10" x14ac:dyDescent="0.25">
      <c r="A3746" s="1">
        <v>999</v>
      </c>
      <c r="B3746" t="s">
        <v>26</v>
      </c>
      <c r="C3746">
        <v>619</v>
      </c>
      <c r="D3746">
        <v>1</v>
      </c>
      <c r="E3746" t="s">
        <v>79</v>
      </c>
      <c r="F3746" t="s">
        <v>28</v>
      </c>
      <c r="G3746" t="str">
        <f>"2025-06-28 20:25:29.362"</f>
        <v>2025-06-28 20:25:29.362</v>
      </c>
      <c r="H3746" t="s">
        <v>80</v>
      </c>
    </row>
  </sheetData>
  <autoFilter ref="A9:J3746" xr:uid="{EFE91A05-8FC8-4CF1-A902-8FA662567978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9A38B6-3E89-4AD8-A015-7E2A514641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events_ru_57_20260718-155916 48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2026-07-18T06:21:05Z</dcterms:modified>
</cp:coreProperties>
</file>
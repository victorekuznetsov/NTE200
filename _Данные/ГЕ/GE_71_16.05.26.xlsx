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A1BC96B-FF5D-4A5C-82AC-28F10F05FE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1_20260516-200703 75" sheetId="2" r:id="rId1"/>
    <sheet name="Лист1" sheetId="1" r:id="rId2"/>
  </sheets>
  <definedNames>
    <definedName name="_xlnm._FilterDatabase" localSheetId="0" hidden="1">'events_ru_71_20260516-200703 75'!$A$9:$J$3087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51ED9F-637C-4FA1-82F5-993406D2ED61}" keepAlive="1" name="Запрос — events_ru_71_20260516-200703 751" description="Соединение с запросом &quot;events_ru_71_20260516-200703 751&quot; в книге." type="5" refreshedVersion="0" background="1">
    <dbPr connection="Provider=Microsoft.Mashup.OleDb.1;Data Source=$Workbook$;Location=&quot;events_ru_71_20260516-200703 751&quot;;Extended Properties=&quot;&quot;" command="SELECT * FROM [events_ru_71_20260516-200703 751]"/>
  </connection>
</connections>
</file>

<file path=xl/sharedStrings.xml><?xml version="1.0" encoding="utf-8"?>
<sst xmlns="http://schemas.openxmlformats.org/spreadsheetml/2006/main" count="14072" uniqueCount="117">
  <si>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</si>
  <si>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</si>
  <si>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</si>
  <si>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</si>
  <si>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</si>
  <si>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</si>
  <si>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</si>
  <si>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</si>
  <si>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</si>
  <si>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</si>
  <si>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</si>
  <si>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</si>
  <si>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</si>
  <si>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</si>
  <si>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</si>
  <si>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</si>
  <si>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</si>
  <si>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</si>
  <si>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</si>
  <si>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</si>
  <si>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</si>
  <si>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</si>
  <si>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Система в безопасном режиме</t>
  </si>
  <si>
    <t>Вход в безопасный режим файловой системы - Ключ или CPS</t>
  </si>
  <si>
    <t>Test</t>
  </si>
  <si>
    <t>SRst</t>
  </si>
  <si>
    <t>Получено предупреждение ДВС</t>
  </si>
  <si>
    <t>Не доступно</t>
  </si>
  <si>
    <t>Запрет тяги</t>
  </si>
  <si>
    <t>Log+</t>
  </si>
  <si>
    <t>Rest</t>
  </si>
  <si>
    <t>Введен безопасный режим файловой системы - Низкий заряд батареи</t>
  </si>
  <si>
    <t>Null</t>
  </si>
  <si>
    <t xml:space="preserve">Log 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</si>
  <si>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</si>
  <si>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</si>
  <si>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</si>
  <si>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Ready</t>
  </si>
  <si>
    <t>Отказ цепи возбуждения от АКБ</t>
  </si>
  <si>
    <t>GFR не разомкнулось</t>
  </si>
  <si>
    <t>Предел скорости</t>
  </si>
  <si>
    <t>WRst</t>
  </si>
  <si>
    <t>Propel</t>
  </si>
  <si>
    <t>Reset All Faults</t>
  </si>
  <si>
    <t>Zero</t>
  </si>
  <si>
    <t>Самосвал перегружен - NR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</si>
  <si>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</si>
  <si>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</si>
  <si>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</si>
  <si>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Самопроизвольный останов ДВС</t>
  </si>
  <si>
    <t>Unrequested Engine Speed Drop - While Stopped</t>
  </si>
  <si>
    <t>Давление охл воздуха мотор-колеса вне пределов</t>
  </si>
  <si>
    <t>Высокое показание датчика при выключенном ДВС</t>
  </si>
  <si>
    <t>Вход в безопасный режим файловой системы - Запуск двигателя</t>
  </si>
  <si>
    <t>Retard</t>
  </si>
  <si>
    <t>Рабочий тормоз на ходу</t>
  </si>
  <si>
    <t>Рабочие тормоза использованы на ходу</t>
  </si>
  <si>
    <t>Превышении скорости</t>
  </si>
  <si>
    <t>Управление скоростью - превышение</t>
  </si>
  <si>
    <t>Сравнение CMD скорости вращения ДВС</t>
  </si>
  <si>
    <t>Активна блокировка ХХ на холодном ДВС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</si>
  <si>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</si>
  <si>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</si>
  <si>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</si>
  <si>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Команда сохранения данных PTU</t>
  </si>
  <si>
    <t>Инициированное водителем сохранение данных</t>
  </si>
  <si>
    <t>Температура окружающего воздуха вне пределов</t>
  </si>
  <si>
    <t>Высокий</t>
  </si>
  <si>
    <t xml:space="preserve">TMC2 ИНВ Фаза A+/фаза A- </t>
  </si>
  <si>
    <t>Отказ, насыщение IGBT фаза A-</t>
  </si>
  <si>
    <t>Инв2 Выкл</t>
  </si>
  <si>
    <t>Контактор GF</t>
  </si>
  <si>
    <t>Команда - Несоответствие обратной связи</t>
  </si>
  <si>
    <t>Установка часов реального времени</t>
  </si>
  <si>
    <t>через WebPTU</t>
  </si>
  <si>
    <t>ARst</t>
  </si>
  <si>
    <t>TMC2 Система ИНВ</t>
  </si>
  <si>
    <t>TIC системной связи не обновляется</t>
  </si>
  <si>
    <t>TMC1 Система ИНВ</t>
  </si>
  <si>
    <t>Ошибка сети CAN (CAN1)</t>
  </si>
  <si>
    <t>Потеря связи - сеть CAN двигателя</t>
  </si>
  <si>
    <t>Нет Самонагрузки, Предел скорости (нижний)</t>
  </si>
  <si>
    <t>Ошибка ЗПТ</t>
  </si>
  <si>
    <t>КЗ ЗПТ или отказ цепи возбуждения от АКБ</t>
  </si>
  <si>
    <t>Правый передний датчик скорости</t>
  </si>
  <si>
    <t>Ноль при движении самосвала</t>
  </si>
  <si>
    <t>Множество неправильных импульсов во время движения</t>
  </si>
  <si>
    <t>Оба датичка скорости передних колёс</t>
  </si>
  <si>
    <t>Отключена пробуксовка</t>
  </si>
  <si>
    <t>Левый передний датчик скорости</t>
  </si>
  <si>
    <t>TMC1 Фаза С+ ИНВ</t>
  </si>
  <si>
    <t>Сбой источника питания IGBT фаза С+</t>
  </si>
  <si>
    <t>Инв1 Выкл</t>
  </si>
  <si>
    <t>Подъём кузова на ходу</t>
  </si>
  <si>
    <t>TMC2 Фаза А- ИНВ</t>
  </si>
  <si>
    <t>Модули фаз A+ и A- вкл.</t>
  </si>
  <si>
    <t>TMC1 Фаза В- ИНВ</t>
  </si>
  <si>
    <t>Модули фаз В+ и В- вкл.</t>
  </si>
  <si>
    <t>Сбой источника питания IGBT фаза В-</t>
  </si>
  <si>
    <t>TMC2 Фаза С- ИНВ</t>
  </si>
  <si>
    <t>Сбой источника питания IGBT фаза С-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</si>
  <si>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</si>
  <si>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</si>
  <si>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</si>
  <si>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Низкое напряжение АКБ</t>
  </si>
  <si>
    <t>Низкий заряд АКБ 24В КС - ДВС остановлен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</si>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</sst>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C415-FC17-4EBF-9785-3E3BAF1AC92F}">
  <dimension ref="A1:J3087"/>
  <sheetViews>
    <sheetView tabSelected="1" workbookViewId="0">
      <selection activeCell="E264" sqref="E264"/>
    </sheetView>
  </sheetViews>
  <sheetFormatPr defaultRowHeight="15" x14ac:dyDescent="0.25"/>
  <cols>
    <col min="1" max="1" width="16" bestFit="1" customWidth="1"/>
    <col min="5" max="5" width="38.28515625" customWidth="1"/>
    <col min="6" max="6" width="72.28515625" bestFit="1" customWidth="1"/>
    <col min="7" max="7" width="22" bestFit="1" customWidth="1"/>
    <col min="8" max="8" width="29.28515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71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"2026-05-16 20:07:03.751"</f>
        <v>2026-05-16 20:07:03.751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"2026-05-16 20:06:31.319"</f>
        <v>2026-05-16 20:06:31.319</v>
      </c>
      <c r="H10" t="s">
        <v>21</v>
      </c>
    </row>
    <row r="11" spans="1:10" x14ac:dyDescent="0.25">
      <c r="A11" s="1"/>
      <c r="B11" t="s">
        <v>19</v>
      </c>
      <c r="C11">
        <v>706</v>
      </c>
      <c r="D11">
        <v>3</v>
      </c>
      <c r="E11" t="s">
        <v>22</v>
      </c>
      <c r="F11" t="s">
        <v>23</v>
      </c>
      <c r="G11" t="str">
        <f>"2026-05-16 19:03:32.481"</f>
        <v>2026-05-16 19:03:32.481</v>
      </c>
      <c r="H11" t="s">
        <v>21</v>
      </c>
      <c r="I11">
        <v>0</v>
      </c>
      <c r="J11" t="s">
        <v>24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"2026-05-16 18:39:56.321"</f>
        <v>2026-05-16 18:39:56.321</v>
      </c>
      <c r="H12" t="s">
        <v>21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"2026-05-16 13:52:07.530"</f>
        <v>2026-05-16 13:52:07.530</v>
      </c>
      <c r="H13" t="s">
        <v>21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"2026-05-16 13:27:12.327"</f>
        <v>2026-05-16 13:27:12.327</v>
      </c>
      <c r="H14" t="s">
        <v>21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"2026-05-15 16:17:35.320"</f>
        <v>2026-05-15 16:17:35.320</v>
      </c>
      <c r="H15" t="s">
        <v>21</v>
      </c>
    </row>
    <row r="16" spans="1:10" x14ac:dyDescent="0.25">
      <c r="A16" s="1"/>
      <c r="B16" t="s">
        <v>25</v>
      </c>
      <c r="C16">
        <v>619</v>
      </c>
      <c r="D16">
        <v>1</v>
      </c>
      <c r="E16" t="s">
        <v>26</v>
      </c>
      <c r="F16" t="s">
        <v>27</v>
      </c>
      <c r="G16" t="str">
        <f>"2026-05-15 15:28:07.373"</f>
        <v>2026-05-15 15:28:07.373</v>
      </c>
      <c r="H16" t="s">
        <v>28</v>
      </c>
    </row>
    <row r="17" spans="1:10" x14ac:dyDescent="0.25">
      <c r="A17" s="1"/>
      <c r="B17" t="s">
        <v>29</v>
      </c>
      <c r="C17">
        <v>619</v>
      </c>
      <c r="D17">
        <v>1</v>
      </c>
      <c r="E17" t="s">
        <v>26</v>
      </c>
      <c r="F17" t="s">
        <v>27</v>
      </c>
      <c r="G17" t="str">
        <f>"2026-05-15 15:27:09.773"</f>
        <v>2026-05-15 15:27:09.773</v>
      </c>
      <c r="H17" t="s">
        <v>28</v>
      </c>
      <c r="I17">
        <v>0</v>
      </c>
      <c r="J17" t="s">
        <v>30</v>
      </c>
    </row>
    <row r="18" spans="1:10" x14ac:dyDescent="0.25">
      <c r="A18" s="1"/>
      <c r="B18" t="s">
        <v>19</v>
      </c>
      <c r="C18">
        <v>706</v>
      </c>
      <c r="D18">
        <v>4</v>
      </c>
      <c r="E18" t="s">
        <v>22</v>
      </c>
      <c r="F18" t="s">
        <v>31</v>
      </c>
      <c r="G18" t="str">
        <f>"2026-05-15 15:27:04.077"</f>
        <v>2026-05-15 15:27:04.077</v>
      </c>
      <c r="H18" t="s">
        <v>21</v>
      </c>
      <c r="I18">
        <v>0</v>
      </c>
      <c r="J18" t="s">
        <v>30</v>
      </c>
    </row>
    <row r="19" spans="1:10" x14ac:dyDescent="0.25">
      <c r="A19" s="1">
        <v>0</v>
      </c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"2026-05-15 15:26:41.317"</f>
        <v>2026-05-15 15:26:41.317</v>
      </c>
      <c r="H19" t="s">
        <v>21</v>
      </c>
    </row>
    <row r="20" spans="1:10" x14ac:dyDescent="0.25">
      <c r="A20" s="1">
        <v>1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"2026-05-15 12:40:45.526"</f>
        <v>2026-05-15 12:40:45.526</v>
      </c>
      <c r="H20" t="s">
        <v>21</v>
      </c>
    </row>
    <row r="21" spans="1:10" x14ac:dyDescent="0.25">
      <c r="A21" s="1">
        <v>3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"2026-05-15 09:01:35.401"</f>
        <v>2026-05-15 09:01:35.401</v>
      </c>
      <c r="H21" t="s">
        <v>21</v>
      </c>
      <c r="I21">
        <v>0</v>
      </c>
      <c r="J21" t="s">
        <v>32</v>
      </c>
    </row>
    <row r="22" spans="1:10" x14ac:dyDescent="0.25">
      <c r="A22" s="1">
        <v>4</v>
      </c>
      <c r="B22" t="s">
        <v>33</v>
      </c>
      <c r="C22">
        <v>23</v>
      </c>
      <c r="D22">
        <v>1</v>
      </c>
      <c r="E22" t="s">
        <v>34</v>
      </c>
      <c r="F22" t="s">
        <v>35</v>
      </c>
      <c r="G22" t="str">
        <f>"2026-05-14 19:26:34.885"</f>
        <v>2026-05-14 19:26:34.885</v>
      </c>
      <c r="H22" t="s">
        <v>36</v>
      </c>
      <c r="I22">
        <v>0</v>
      </c>
      <c r="J22" t="s">
        <v>37</v>
      </c>
    </row>
    <row r="23" spans="1:10" x14ac:dyDescent="0.25">
      <c r="A23" s="1">
        <v>5</v>
      </c>
      <c r="B23" t="s">
        <v>33</v>
      </c>
      <c r="C23">
        <v>31</v>
      </c>
      <c r="D23">
        <v>1</v>
      </c>
      <c r="E23" t="s">
        <v>38</v>
      </c>
      <c r="F23" t="s">
        <v>39</v>
      </c>
      <c r="G23" t="str">
        <f>"2026-05-14 19:26:33.856"</f>
        <v>2026-05-14 19:26:33.856</v>
      </c>
      <c r="H23" t="s">
        <v>40</v>
      </c>
      <c r="I23">
        <v>0.08</v>
      </c>
      <c r="J23" t="s">
        <v>37</v>
      </c>
    </row>
    <row r="24" spans="1:10" x14ac:dyDescent="0.25">
      <c r="A24" s="1">
        <v>6</v>
      </c>
      <c r="B24" t="s">
        <v>41</v>
      </c>
      <c r="C24">
        <v>23</v>
      </c>
      <c r="D24">
        <v>1</v>
      </c>
      <c r="E24" t="s">
        <v>34</v>
      </c>
      <c r="F24" t="s">
        <v>35</v>
      </c>
      <c r="G24" t="str">
        <f>"2026-05-14 19:26:32.438"</f>
        <v>2026-05-14 19:26:32.438</v>
      </c>
      <c r="H24" t="s">
        <v>36</v>
      </c>
    </row>
    <row r="25" spans="1:10" x14ac:dyDescent="0.25">
      <c r="A25" s="1">
        <v>7</v>
      </c>
      <c r="B25" t="s">
        <v>33</v>
      </c>
      <c r="C25">
        <v>23</v>
      </c>
      <c r="D25">
        <v>1</v>
      </c>
      <c r="E25" t="s">
        <v>34</v>
      </c>
      <c r="F25" t="s">
        <v>35</v>
      </c>
      <c r="G25" t="str">
        <f>"2026-05-14 19:26:31.985"</f>
        <v>2026-05-14 19:26:31.985</v>
      </c>
      <c r="H25" t="s">
        <v>36</v>
      </c>
      <c r="I25">
        <v>1.98</v>
      </c>
      <c r="J25" t="s">
        <v>42</v>
      </c>
    </row>
    <row r="26" spans="1:10" x14ac:dyDescent="0.25">
      <c r="A26" s="1">
        <v>8</v>
      </c>
      <c r="B26" t="s">
        <v>25</v>
      </c>
      <c r="C26">
        <v>619</v>
      </c>
      <c r="D26">
        <v>1</v>
      </c>
      <c r="E26" t="s">
        <v>26</v>
      </c>
      <c r="F26" t="s">
        <v>27</v>
      </c>
      <c r="G26" t="str">
        <f>"2026-05-14 19:23:02.385"</f>
        <v>2026-05-14 19:23:02.385</v>
      </c>
      <c r="H26" t="s">
        <v>28</v>
      </c>
    </row>
    <row r="27" spans="1:10" x14ac:dyDescent="0.25">
      <c r="A27" s="1">
        <v>1</v>
      </c>
      <c r="B27" t="s">
        <v>29</v>
      </c>
      <c r="C27">
        <v>619</v>
      </c>
      <c r="D27">
        <v>1</v>
      </c>
      <c r="E27" t="s">
        <v>26</v>
      </c>
      <c r="F27" t="s">
        <v>27</v>
      </c>
      <c r="G27" t="str">
        <f>"2026-05-14 19:22:50.857"</f>
        <v>2026-05-14 19:22:50.857</v>
      </c>
      <c r="H27" t="s">
        <v>28</v>
      </c>
      <c r="I27">
        <v>0</v>
      </c>
      <c r="J27" t="s">
        <v>37</v>
      </c>
    </row>
    <row r="28" spans="1:10" x14ac:dyDescent="0.25">
      <c r="A28" s="1">
        <v>2</v>
      </c>
      <c r="B28" t="s">
        <v>19</v>
      </c>
      <c r="C28">
        <v>782</v>
      </c>
      <c r="D28">
        <v>7</v>
      </c>
      <c r="E28" t="s">
        <v>43</v>
      </c>
      <c r="F28" t="s">
        <v>44</v>
      </c>
      <c r="G28" t="str">
        <f>"2026-05-14 19:22:50.856"</f>
        <v>2026-05-14 19:22:50.856</v>
      </c>
      <c r="H28" t="s">
        <v>21</v>
      </c>
      <c r="I28">
        <v>0</v>
      </c>
      <c r="J28" t="s">
        <v>37</v>
      </c>
    </row>
    <row r="29" spans="1:10" x14ac:dyDescent="0.25">
      <c r="A29" s="1">
        <v>5</v>
      </c>
      <c r="B29" t="s">
        <v>25</v>
      </c>
      <c r="C29">
        <v>619</v>
      </c>
      <c r="D29">
        <v>1</v>
      </c>
      <c r="E29" t="s">
        <v>26</v>
      </c>
      <c r="F29" t="s">
        <v>27</v>
      </c>
      <c r="G29" t="str">
        <f>"2026-05-14 19:22:50.845"</f>
        <v>2026-05-14 19:22:50.845</v>
      </c>
      <c r="H29" t="s">
        <v>28</v>
      </c>
    </row>
    <row r="30" spans="1:10" x14ac:dyDescent="0.25">
      <c r="A30" s="1">
        <v>6</v>
      </c>
      <c r="B30" t="s">
        <v>19</v>
      </c>
      <c r="C30">
        <v>782</v>
      </c>
      <c r="D30">
        <v>7</v>
      </c>
      <c r="E30" t="s">
        <v>43</v>
      </c>
      <c r="F30" t="s">
        <v>44</v>
      </c>
      <c r="G30" t="str">
        <f>"2026-05-14 19:22:50.838"</f>
        <v>2026-05-14 19:22:50.838</v>
      </c>
      <c r="H30" t="s">
        <v>21</v>
      </c>
      <c r="I30">
        <v>0</v>
      </c>
      <c r="J30" t="s">
        <v>37</v>
      </c>
    </row>
    <row r="31" spans="1:10" x14ac:dyDescent="0.25">
      <c r="A31" s="1">
        <v>7</v>
      </c>
      <c r="B31" t="s">
        <v>29</v>
      </c>
      <c r="C31">
        <v>619</v>
      </c>
      <c r="D31">
        <v>1</v>
      </c>
      <c r="E31" t="s">
        <v>26</v>
      </c>
      <c r="F31" t="s">
        <v>27</v>
      </c>
      <c r="G31" t="str">
        <f>"2026-05-14 19:22:29.739"</f>
        <v>2026-05-14 19:22:29.739</v>
      </c>
      <c r="H31" t="s">
        <v>28</v>
      </c>
      <c r="I31">
        <v>0</v>
      </c>
      <c r="J31" t="s">
        <v>37</v>
      </c>
    </row>
    <row r="32" spans="1:10" x14ac:dyDescent="0.25">
      <c r="A32" s="1">
        <v>8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"2026-05-14 19:22:01.324"</f>
        <v>2026-05-14 19:22:01.324</v>
      </c>
      <c r="H32" t="s">
        <v>21</v>
      </c>
      <c r="I32">
        <v>0</v>
      </c>
      <c r="J32" t="s">
        <v>32</v>
      </c>
    </row>
    <row r="33" spans="1:10" x14ac:dyDescent="0.25">
      <c r="A33" s="1">
        <v>9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"2026-05-14 16:32:37.317"</f>
        <v>2026-05-14 16:32:37.317</v>
      </c>
      <c r="H33" t="s">
        <v>21</v>
      </c>
      <c r="I33">
        <v>0</v>
      </c>
      <c r="J33" t="s">
        <v>32</v>
      </c>
    </row>
    <row r="34" spans="1:10" x14ac:dyDescent="0.25">
      <c r="A34" s="1">
        <v>0</v>
      </c>
      <c r="B34" t="s">
        <v>33</v>
      </c>
      <c r="C34">
        <v>23</v>
      </c>
      <c r="D34">
        <v>1</v>
      </c>
      <c r="E34" t="s">
        <v>34</v>
      </c>
      <c r="F34" t="s">
        <v>35</v>
      </c>
      <c r="G34" t="str">
        <f>"2026-05-14 15:28:32.621"</f>
        <v>2026-05-14 15:28:32.621</v>
      </c>
      <c r="H34" t="s">
        <v>36</v>
      </c>
      <c r="I34">
        <v>0</v>
      </c>
      <c r="J34" t="s">
        <v>37</v>
      </c>
    </row>
    <row r="35" spans="1:10" x14ac:dyDescent="0.25">
      <c r="A35" s="1">
        <v>1</v>
      </c>
      <c r="B35" t="s">
        <v>33</v>
      </c>
      <c r="C35">
        <v>31</v>
      </c>
      <c r="D35">
        <v>1</v>
      </c>
      <c r="E35" t="s">
        <v>38</v>
      </c>
      <c r="F35" t="s">
        <v>39</v>
      </c>
      <c r="G35" t="str">
        <f>"2026-05-14 15:28:30.072"</f>
        <v>2026-05-14 15:28:30.072</v>
      </c>
      <c r="H35" t="s">
        <v>40</v>
      </c>
      <c r="I35">
        <v>0.11</v>
      </c>
      <c r="J35" t="s">
        <v>37</v>
      </c>
    </row>
    <row r="36" spans="1:10" x14ac:dyDescent="0.25">
      <c r="A36" s="1">
        <v>2</v>
      </c>
      <c r="B36" t="s">
        <v>41</v>
      </c>
      <c r="C36">
        <v>23</v>
      </c>
      <c r="D36">
        <v>1</v>
      </c>
      <c r="E36" t="s">
        <v>34</v>
      </c>
      <c r="F36" t="s">
        <v>35</v>
      </c>
      <c r="G36" t="str">
        <f>"2026-05-14 15:28:28.874"</f>
        <v>2026-05-14 15:28:28.874</v>
      </c>
      <c r="H36" t="s">
        <v>36</v>
      </c>
    </row>
    <row r="37" spans="1:10" x14ac:dyDescent="0.25">
      <c r="A37" s="1">
        <v>3</v>
      </c>
      <c r="B37" t="s">
        <v>33</v>
      </c>
      <c r="C37">
        <v>23</v>
      </c>
      <c r="D37">
        <v>1</v>
      </c>
      <c r="E37" t="s">
        <v>34</v>
      </c>
      <c r="F37" t="s">
        <v>35</v>
      </c>
      <c r="G37" t="str">
        <f>"2026-05-14 15:28:26.921"</f>
        <v>2026-05-14 15:28:26.921</v>
      </c>
      <c r="H37" t="s">
        <v>36</v>
      </c>
      <c r="I37">
        <v>5.38</v>
      </c>
      <c r="J37" t="s">
        <v>42</v>
      </c>
    </row>
    <row r="38" spans="1:10" x14ac:dyDescent="0.25">
      <c r="A38" s="1">
        <v>4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"2026-05-14 14:06:44.348"</f>
        <v>2026-05-14 14:06:44.348</v>
      </c>
      <c r="H38" t="s">
        <v>21</v>
      </c>
    </row>
    <row r="39" spans="1:10" x14ac:dyDescent="0.25">
      <c r="A39" s="1">
        <v>5</v>
      </c>
      <c r="B39" t="s">
        <v>25</v>
      </c>
      <c r="C39">
        <v>635</v>
      </c>
      <c r="D39">
        <v>1</v>
      </c>
      <c r="E39" t="s">
        <v>45</v>
      </c>
      <c r="F39" t="s">
        <v>27</v>
      </c>
      <c r="G39" t="str">
        <f>"2026-05-14 07:30:44.991"</f>
        <v>2026-05-14 07:30:44.991</v>
      </c>
      <c r="H39" t="s">
        <v>21</v>
      </c>
    </row>
    <row r="40" spans="1:10" x14ac:dyDescent="0.25">
      <c r="A40" s="1">
        <v>6</v>
      </c>
      <c r="B40" t="s">
        <v>29</v>
      </c>
      <c r="C40">
        <v>635</v>
      </c>
      <c r="D40">
        <v>1</v>
      </c>
      <c r="E40" t="s">
        <v>45</v>
      </c>
      <c r="F40" t="s">
        <v>27</v>
      </c>
      <c r="G40" t="str">
        <f>"2026-05-14 07:04:45.491"</f>
        <v>2026-05-14 07:04:45.491</v>
      </c>
      <c r="H40" t="s">
        <v>21</v>
      </c>
      <c r="I40">
        <v>7.97</v>
      </c>
      <c r="J40" t="s">
        <v>42</v>
      </c>
    </row>
    <row r="41" spans="1:10" x14ac:dyDescent="0.25">
      <c r="A41" s="1">
        <v>7</v>
      </c>
      <c r="B41" t="s">
        <v>25</v>
      </c>
      <c r="C41">
        <v>635</v>
      </c>
      <c r="D41">
        <v>1</v>
      </c>
      <c r="E41" t="s">
        <v>45</v>
      </c>
      <c r="F41" t="s">
        <v>27</v>
      </c>
      <c r="G41" t="str">
        <f>"2026-05-14 04:49:20.191"</f>
        <v>2026-05-14 04:49:20.191</v>
      </c>
      <c r="H41" t="s">
        <v>21</v>
      </c>
    </row>
    <row r="42" spans="1:10" x14ac:dyDescent="0.25">
      <c r="A42" s="1">
        <v>8</v>
      </c>
      <c r="B42" t="s">
        <v>29</v>
      </c>
      <c r="C42">
        <v>635</v>
      </c>
      <c r="D42">
        <v>1</v>
      </c>
      <c r="E42" t="s">
        <v>45</v>
      </c>
      <c r="F42" t="s">
        <v>27</v>
      </c>
      <c r="G42" t="str">
        <f>"2026-05-14 04:46:19.191"</f>
        <v>2026-05-14 04:46:19.191</v>
      </c>
      <c r="H42" t="s">
        <v>21</v>
      </c>
      <c r="I42">
        <v>2.34</v>
      </c>
      <c r="J42" t="s">
        <v>42</v>
      </c>
    </row>
    <row r="43" spans="1:10" x14ac:dyDescent="0.25">
      <c r="A43" s="1">
        <v>9</v>
      </c>
      <c r="B43" t="s">
        <v>19</v>
      </c>
      <c r="C43">
        <v>706</v>
      </c>
      <c r="D43">
        <v>4</v>
      </c>
      <c r="E43" t="s">
        <v>22</v>
      </c>
      <c r="F43" t="s">
        <v>31</v>
      </c>
      <c r="G43" t="str">
        <f>"2026-05-14 03:16:24.778"</f>
        <v>2026-05-14 03:16:24.778</v>
      </c>
      <c r="H43" t="s">
        <v>21</v>
      </c>
      <c r="I43">
        <v>0</v>
      </c>
      <c r="J43" t="s">
        <v>24</v>
      </c>
    </row>
    <row r="44" spans="1:10" x14ac:dyDescent="0.25">
      <c r="A44" s="1">
        <v>0</v>
      </c>
      <c r="B44" t="s">
        <v>25</v>
      </c>
      <c r="C44">
        <v>4</v>
      </c>
      <c r="D44">
        <v>1</v>
      </c>
      <c r="E44" t="s">
        <v>46</v>
      </c>
      <c r="F44" t="s">
        <v>47</v>
      </c>
      <c r="G44" t="str">
        <f>"2026-05-14 02:35:28.722"</f>
        <v>2026-05-14 02:35:28.722</v>
      </c>
      <c r="H44" t="s">
        <v>48</v>
      </c>
    </row>
    <row r="45" spans="1:10" x14ac:dyDescent="0.25">
      <c r="A45" s="1">
        <v>1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"2026-05-14 02:24:08.318"</f>
        <v>2026-05-14 02:24:08.318</v>
      </c>
      <c r="H45" t="s">
        <v>21</v>
      </c>
      <c r="I45">
        <v>0</v>
      </c>
      <c r="J45" t="s">
        <v>32</v>
      </c>
    </row>
    <row r="46" spans="1:10" x14ac:dyDescent="0.25">
      <c r="A46" s="1">
        <v>2</v>
      </c>
      <c r="B46" t="s">
        <v>29</v>
      </c>
      <c r="C46">
        <v>4</v>
      </c>
      <c r="D46">
        <v>1</v>
      </c>
      <c r="E46" t="s">
        <v>46</v>
      </c>
      <c r="F46" t="s">
        <v>47</v>
      </c>
      <c r="G46" t="str">
        <f>"2026-05-13 23:09:34.337"</f>
        <v>2026-05-13 23:09:34.337</v>
      </c>
      <c r="H46" t="s">
        <v>48</v>
      </c>
      <c r="I46">
        <v>0</v>
      </c>
      <c r="J46" t="s">
        <v>24</v>
      </c>
    </row>
    <row r="47" spans="1:10" x14ac:dyDescent="0.25">
      <c r="A47" s="1">
        <v>3</v>
      </c>
      <c r="B47" t="s">
        <v>33</v>
      </c>
      <c r="C47">
        <v>31</v>
      </c>
      <c r="D47">
        <v>1</v>
      </c>
      <c r="E47" t="s">
        <v>38</v>
      </c>
      <c r="F47" t="s">
        <v>39</v>
      </c>
      <c r="G47" t="str">
        <f>"2026-05-13 23:09:31.017"</f>
        <v>2026-05-13 23:09:31.017</v>
      </c>
      <c r="H47" t="s">
        <v>40</v>
      </c>
      <c r="I47">
        <v>0</v>
      </c>
      <c r="J47" t="s">
        <v>24</v>
      </c>
    </row>
    <row r="48" spans="1:10" x14ac:dyDescent="0.25">
      <c r="A48" s="1">
        <v>6</v>
      </c>
      <c r="B48" t="s">
        <v>19</v>
      </c>
      <c r="C48">
        <v>782</v>
      </c>
      <c r="D48">
        <v>7</v>
      </c>
      <c r="E48" t="s">
        <v>43</v>
      </c>
      <c r="F48" t="s">
        <v>44</v>
      </c>
      <c r="G48" t="str">
        <f>"2026-05-13 23:09:27.850"</f>
        <v>2026-05-13 23:09:27.850</v>
      </c>
      <c r="H48" t="s">
        <v>21</v>
      </c>
      <c r="I48">
        <v>0</v>
      </c>
      <c r="J48" t="s">
        <v>24</v>
      </c>
    </row>
    <row r="49" spans="1:10" x14ac:dyDescent="0.25">
      <c r="A49" s="1">
        <v>9</v>
      </c>
      <c r="B49" t="s">
        <v>25</v>
      </c>
      <c r="C49">
        <v>23</v>
      </c>
      <c r="D49">
        <v>1</v>
      </c>
      <c r="E49" t="s">
        <v>34</v>
      </c>
      <c r="F49" t="s">
        <v>35</v>
      </c>
      <c r="G49" t="str">
        <f>"2026-05-13 23:09:27.840"</f>
        <v>2026-05-13 23:09:27.840</v>
      </c>
      <c r="H49" t="s">
        <v>36</v>
      </c>
    </row>
    <row r="50" spans="1:10" x14ac:dyDescent="0.25">
      <c r="A50" s="1">
        <v>0</v>
      </c>
      <c r="B50" t="s">
        <v>19</v>
      </c>
      <c r="C50">
        <v>782</v>
      </c>
      <c r="D50">
        <v>7</v>
      </c>
      <c r="E50" t="s">
        <v>43</v>
      </c>
      <c r="F50" t="s">
        <v>44</v>
      </c>
      <c r="G50" t="str">
        <f>"2026-05-13 23:09:27.839"</f>
        <v>2026-05-13 23:09:27.839</v>
      </c>
      <c r="H50" t="s">
        <v>21</v>
      </c>
      <c r="I50">
        <v>0</v>
      </c>
      <c r="J50" t="s">
        <v>24</v>
      </c>
    </row>
    <row r="51" spans="1:10" x14ac:dyDescent="0.25">
      <c r="A51" s="1">
        <v>1</v>
      </c>
      <c r="B51" t="s">
        <v>25</v>
      </c>
      <c r="C51">
        <v>4</v>
      </c>
      <c r="D51">
        <v>1</v>
      </c>
      <c r="E51" t="s">
        <v>46</v>
      </c>
      <c r="F51" t="s">
        <v>47</v>
      </c>
      <c r="G51" t="str">
        <f>"2026-05-13 23:08:51.897"</f>
        <v>2026-05-13 23:08:51.897</v>
      </c>
      <c r="H51" t="s">
        <v>48</v>
      </c>
    </row>
    <row r="52" spans="1:10" x14ac:dyDescent="0.25">
      <c r="A52" s="1">
        <v>2</v>
      </c>
      <c r="B52" t="s">
        <v>29</v>
      </c>
      <c r="C52">
        <v>4</v>
      </c>
      <c r="D52">
        <v>1</v>
      </c>
      <c r="E52" t="s">
        <v>46</v>
      </c>
      <c r="F52" t="s">
        <v>47</v>
      </c>
      <c r="G52" t="str">
        <f>"2026-05-13 23:08:35.337"</f>
        <v>2026-05-13 23:08:35.337</v>
      </c>
      <c r="H52" t="s">
        <v>48</v>
      </c>
      <c r="I52">
        <v>0</v>
      </c>
      <c r="J52" t="s">
        <v>24</v>
      </c>
    </row>
    <row r="53" spans="1:10" x14ac:dyDescent="0.25">
      <c r="A53" s="1">
        <v>3</v>
      </c>
      <c r="B53" t="s">
        <v>33</v>
      </c>
      <c r="C53">
        <v>23</v>
      </c>
      <c r="D53">
        <v>1</v>
      </c>
      <c r="E53" t="s">
        <v>34</v>
      </c>
      <c r="F53" t="s">
        <v>35</v>
      </c>
      <c r="G53" t="str">
        <f>"2026-05-13 22:57:20.886"</f>
        <v>2026-05-13 22:57:20.886</v>
      </c>
      <c r="H53" t="s">
        <v>36</v>
      </c>
      <c r="I53">
        <v>0</v>
      </c>
      <c r="J53" t="s">
        <v>42</v>
      </c>
    </row>
    <row r="54" spans="1:10" x14ac:dyDescent="0.25">
      <c r="A54" s="1">
        <v>6</v>
      </c>
      <c r="B54" t="s">
        <v>19</v>
      </c>
      <c r="C54">
        <v>782</v>
      </c>
      <c r="D54">
        <v>7</v>
      </c>
      <c r="E54" t="s">
        <v>43</v>
      </c>
      <c r="F54" t="s">
        <v>44</v>
      </c>
      <c r="G54" t="str">
        <f>"2026-05-13 22:50:17.850"</f>
        <v>2026-05-13 22:50:17.850</v>
      </c>
      <c r="H54" t="s">
        <v>21</v>
      </c>
      <c r="I54">
        <v>0</v>
      </c>
      <c r="J54" t="s">
        <v>24</v>
      </c>
    </row>
    <row r="55" spans="1:10" x14ac:dyDescent="0.25">
      <c r="A55" s="1">
        <v>9</v>
      </c>
      <c r="B55" t="s">
        <v>25</v>
      </c>
      <c r="C55">
        <v>47</v>
      </c>
      <c r="D55">
        <v>2</v>
      </c>
      <c r="E55" t="s">
        <v>49</v>
      </c>
      <c r="F55" t="s">
        <v>50</v>
      </c>
      <c r="G55" t="str">
        <f>"2026-05-13 22:50:17.840"</f>
        <v>2026-05-13 22:50:17.840</v>
      </c>
      <c r="H55" t="s">
        <v>36</v>
      </c>
    </row>
    <row r="56" spans="1:10" x14ac:dyDescent="0.25">
      <c r="A56" s="1">
        <v>0</v>
      </c>
      <c r="B56" t="s">
        <v>19</v>
      </c>
      <c r="C56">
        <v>782</v>
      </c>
      <c r="D56">
        <v>7</v>
      </c>
      <c r="E56" t="s">
        <v>43</v>
      </c>
      <c r="F56" t="s">
        <v>44</v>
      </c>
      <c r="G56" t="str">
        <f>"2026-05-13 22:50:17.839"</f>
        <v>2026-05-13 22:50:17.839</v>
      </c>
      <c r="H56" t="s">
        <v>21</v>
      </c>
      <c r="I56">
        <v>0</v>
      </c>
      <c r="J56" t="s">
        <v>24</v>
      </c>
    </row>
    <row r="57" spans="1:10" x14ac:dyDescent="0.25">
      <c r="A57" s="1">
        <v>1</v>
      </c>
      <c r="B57" t="s">
        <v>25</v>
      </c>
      <c r="C57">
        <v>4</v>
      </c>
      <c r="D57">
        <v>1</v>
      </c>
      <c r="E57" t="s">
        <v>46</v>
      </c>
      <c r="F57" t="s">
        <v>47</v>
      </c>
      <c r="G57" t="str">
        <f>"2026-05-13 22:50:08.097"</f>
        <v>2026-05-13 22:50:08.097</v>
      </c>
      <c r="H57" t="s">
        <v>48</v>
      </c>
    </row>
    <row r="58" spans="1:10" x14ac:dyDescent="0.25">
      <c r="A58" s="1">
        <v>2</v>
      </c>
      <c r="B58" t="s">
        <v>29</v>
      </c>
      <c r="C58">
        <v>4</v>
      </c>
      <c r="D58">
        <v>1</v>
      </c>
      <c r="E58" t="s">
        <v>46</v>
      </c>
      <c r="F58" t="s">
        <v>47</v>
      </c>
      <c r="G58" t="str">
        <f>"2026-05-13 22:49:48.198"</f>
        <v>2026-05-13 22:49:48.198</v>
      </c>
      <c r="H58" t="s">
        <v>48</v>
      </c>
      <c r="I58">
        <v>0</v>
      </c>
      <c r="J58" t="s">
        <v>24</v>
      </c>
    </row>
    <row r="59" spans="1:10" x14ac:dyDescent="0.25">
      <c r="A59" s="1">
        <v>3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"2026-05-13 22:49:43.307"</f>
        <v>2026-05-13 22:49:43.307</v>
      </c>
      <c r="H59" t="s">
        <v>21</v>
      </c>
      <c r="I59">
        <v>0</v>
      </c>
      <c r="J59" t="s">
        <v>32</v>
      </c>
    </row>
    <row r="60" spans="1:10" x14ac:dyDescent="0.25">
      <c r="A60" s="1">
        <v>4</v>
      </c>
      <c r="B60" t="s">
        <v>33</v>
      </c>
      <c r="C60">
        <v>630</v>
      </c>
      <c r="D60">
        <v>5</v>
      </c>
      <c r="E60" t="s">
        <v>51</v>
      </c>
      <c r="F60" t="s">
        <v>52</v>
      </c>
      <c r="G60" t="str">
        <f>"2026-05-13 18:08:27.129"</f>
        <v>2026-05-13 18:08:27.129</v>
      </c>
      <c r="H60" t="s">
        <v>40</v>
      </c>
      <c r="I60">
        <v>0</v>
      </c>
      <c r="J60" t="s">
        <v>24</v>
      </c>
    </row>
    <row r="61" spans="1:10" x14ac:dyDescent="0.25">
      <c r="A61" s="1">
        <v>5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"2026-05-13 18:03:24.297"</f>
        <v>2026-05-13 18:03:24.297</v>
      </c>
      <c r="H61" t="s">
        <v>21</v>
      </c>
      <c r="I61">
        <v>0</v>
      </c>
      <c r="J61" t="s">
        <v>32</v>
      </c>
    </row>
    <row r="62" spans="1:10" x14ac:dyDescent="0.25">
      <c r="A62" s="1">
        <v>6</v>
      </c>
      <c r="B62" t="s">
        <v>29</v>
      </c>
      <c r="C62">
        <v>47</v>
      </c>
      <c r="D62">
        <v>2</v>
      </c>
      <c r="E62" t="s">
        <v>49</v>
      </c>
      <c r="F62" t="s">
        <v>50</v>
      </c>
      <c r="G62" t="str">
        <f>"2026-05-13 17:57:37.639"</f>
        <v>2026-05-13 17:57:37.639</v>
      </c>
      <c r="H62" t="s">
        <v>36</v>
      </c>
      <c r="I62">
        <v>0</v>
      </c>
      <c r="J62" t="s">
        <v>24</v>
      </c>
    </row>
    <row r="63" spans="1:10" x14ac:dyDescent="0.25">
      <c r="A63" s="1">
        <v>7</v>
      </c>
      <c r="B63" t="s">
        <v>41</v>
      </c>
      <c r="C63">
        <v>47</v>
      </c>
      <c r="D63">
        <v>2</v>
      </c>
      <c r="E63" t="s">
        <v>49</v>
      </c>
      <c r="F63" t="s">
        <v>50</v>
      </c>
      <c r="G63" t="str">
        <f>"2026-05-13 17:57:27.339"</f>
        <v>2026-05-13 17:57:27.339</v>
      </c>
      <c r="H63" t="s">
        <v>36</v>
      </c>
    </row>
    <row r="64" spans="1:10" x14ac:dyDescent="0.25">
      <c r="A64" s="1">
        <v>8</v>
      </c>
      <c r="B64" t="s">
        <v>33</v>
      </c>
      <c r="C64">
        <v>47</v>
      </c>
      <c r="D64">
        <v>2</v>
      </c>
      <c r="E64" t="s">
        <v>49</v>
      </c>
      <c r="F64" t="s">
        <v>50</v>
      </c>
      <c r="G64" t="str">
        <f>"2026-05-13 17:57:26.239"</f>
        <v>2026-05-13 17:57:26.239</v>
      </c>
      <c r="H64" t="s">
        <v>36</v>
      </c>
      <c r="I64">
        <v>0</v>
      </c>
      <c r="J64" t="s">
        <v>24</v>
      </c>
    </row>
    <row r="65" spans="1:10" x14ac:dyDescent="0.25">
      <c r="A65" s="1">
        <v>9</v>
      </c>
      <c r="B65" t="s">
        <v>41</v>
      </c>
      <c r="C65">
        <v>47</v>
      </c>
      <c r="D65">
        <v>2</v>
      </c>
      <c r="E65" t="s">
        <v>49</v>
      </c>
      <c r="F65" t="s">
        <v>50</v>
      </c>
      <c r="G65" t="str">
        <f>"2026-05-13 17:57:15.839"</f>
        <v>2026-05-13 17:57:15.839</v>
      </c>
      <c r="H65" t="s">
        <v>36</v>
      </c>
    </row>
    <row r="66" spans="1:10" x14ac:dyDescent="0.25">
      <c r="A66" s="1">
        <v>0</v>
      </c>
      <c r="B66" t="s">
        <v>33</v>
      </c>
      <c r="C66">
        <v>47</v>
      </c>
      <c r="D66">
        <v>2</v>
      </c>
      <c r="E66" t="s">
        <v>49</v>
      </c>
      <c r="F66" t="s">
        <v>50</v>
      </c>
      <c r="G66" t="str">
        <f>"2026-05-13 17:57:14.839"</f>
        <v>2026-05-13 17:57:14.839</v>
      </c>
      <c r="H66" t="s">
        <v>36</v>
      </c>
      <c r="I66">
        <v>0</v>
      </c>
      <c r="J66" t="s">
        <v>24</v>
      </c>
    </row>
    <row r="67" spans="1:10" x14ac:dyDescent="0.25">
      <c r="A67" s="1">
        <v>1</v>
      </c>
      <c r="B67" t="s">
        <v>19</v>
      </c>
      <c r="C67">
        <v>706</v>
      </c>
      <c r="D67">
        <v>2</v>
      </c>
      <c r="E67" t="s">
        <v>22</v>
      </c>
      <c r="F67" t="s">
        <v>53</v>
      </c>
      <c r="G67" t="str">
        <f>"2026-05-13 17:57:00.746"</f>
        <v>2026-05-13 17:57:00.746</v>
      </c>
      <c r="H67" t="s">
        <v>21</v>
      </c>
      <c r="I67">
        <v>0</v>
      </c>
      <c r="J67" t="s">
        <v>24</v>
      </c>
    </row>
    <row r="68" spans="1:10" x14ac:dyDescent="0.25">
      <c r="A68" s="1">
        <v>2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"2026-05-13 17:55:54.386"</f>
        <v>2026-05-13 17:55:54.386</v>
      </c>
      <c r="H68" t="s">
        <v>21</v>
      </c>
    </row>
    <row r="69" spans="1:10" x14ac:dyDescent="0.25">
      <c r="A69" s="1">
        <v>3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"2026-05-13 16:42:47.538"</f>
        <v>2026-05-13 16:42:47.538</v>
      </c>
      <c r="H69" t="s">
        <v>21</v>
      </c>
    </row>
    <row r="70" spans="1:10" x14ac:dyDescent="0.25">
      <c r="A70" s="1">
        <v>4</v>
      </c>
      <c r="B70" t="s">
        <v>33</v>
      </c>
      <c r="C70">
        <v>47</v>
      </c>
      <c r="D70">
        <v>2</v>
      </c>
      <c r="E70" t="s">
        <v>49</v>
      </c>
      <c r="F70" t="s">
        <v>50</v>
      </c>
      <c r="G70" t="str">
        <f>"2026-05-13 16:41:02.846"</f>
        <v>2026-05-13 16:41:02.846</v>
      </c>
      <c r="H70" t="s">
        <v>36</v>
      </c>
      <c r="I70">
        <v>0</v>
      </c>
      <c r="J70" t="s">
        <v>24</v>
      </c>
    </row>
    <row r="71" spans="1:10" x14ac:dyDescent="0.25">
      <c r="A71" s="1">
        <v>5</v>
      </c>
      <c r="B71" t="s">
        <v>19</v>
      </c>
      <c r="C71">
        <v>706</v>
      </c>
      <c r="D71">
        <v>2</v>
      </c>
      <c r="E71" t="s">
        <v>22</v>
      </c>
      <c r="F71" t="s">
        <v>53</v>
      </c>
      <c r="G71" t="str">
        <f>"2026-05-13 16:40:51.164"</f>
        <v>2026-05-13 16:40:51.164</v>
      </c>
      <c r="H71" t="s">
        <v>21</v>
      </c>
      <c r="I71">
        <v>0</v>
      </c>
      <c r="J71" t="s">
        <v>24</v>
      </c>
    </row>
    <row r="72" spans="1:10" x14ac:dyDescent="0.25">
      <c r="A72" s="1">
        <v>6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"2026-05-13 16:40:20.464"</f>
        <v>2026-05-13 16:40:20.464</v>
      </c>
      <c r="H72" t="s">
        <v>21</v>
      </c>
    </row>
    <row r="73" spans="1:10" x14ac:dyDescent="0.25">
      <c r="A73" s="1">
        <v>7</v>
      </c>
      <c r="B73" t="s">
        <v>33</v>
      </c>
      <c r="C73">
        <v>630</v>
      </c>
      <c r="D73">
        <v>5</v>
      </c>
      <c r="E73" t="s">
        <v>51</v>
      </c>
      <c r="F73" t="s">
        <v>52</v>
      </c>
      <c r="G73" t="str">
        <f>"2026-05-13 15:39:27.242"</f>
        <v>2026-05-13 15:39:27.242</v>
      </c>
      <c r="H73" t="s">
        <v>40</v>
      </c>
      <c r="I73">
        <v>0</v>
      </c>
      <c r="J73" t="s">
        <v>24</v>
      </c>
    </row>
    <row r="74" spans="1:10" x14ac:dyDescent="0.25">
      <c r="A74" s="1">
        <v>8</v>
      </c>
      <c r="B74" t="s">
        <v>19</v>
      </c>
      <c r="C74">
        <v>706</v>
      </c>
      <c r="D74">
        <v>4</v>
      </c>
      <c r="E74" t="s">
        <v>22</v>
      </c>
      <c r="F74" t="s">
        <v>31</v>
      </c>
      <c r="G74" t="str">
        <f>"2026-05-13 15:34:15.163"</f>
        <v>2026-05-13 15:34:15.163</v>
      </c>
      <c r="H74" t="s">
        <v>21</v>
      </c>
      <c r="I74">
        <v>0</v>
      </c>
      <c r="J74" t="s">
        <v>24</v>
      </c>
    </row>
    <row r="75" spans="1:10" x14ac:dyDescent="0.25">
      <c r="A75" s="1">
        <v>9</v>
      </c>
      <c r="B75" t="s">
        <v>41</v>
      </c>
      <c r="C75">
        <v>47</v>
      </c>
      <c r="D75">
        <v>2</v>
      </c>
      <c r="E75" t="s">
        <v>49</v>
      </c>
      <c r="F75" t="s">
        <v>50</v>
      </c>
      <c r="G75" t="str">
        <f>"2026-05-13 15:33:40.453"</f>
        <v>2026-05-13 15:33:40.453</v>
      </c>
      <c r="H75" t="s">
        <v>36</v>
      </c>
    </row>
    <row r="76" spans="1:10" x14ac:dyDescent="0.25">
      <c r="A76" s="1">
        <v>0</v>
      </c>
      <c r="B76" t="s">
        <v>33</v>
      </c>
      <c r="C76">
        <v>47</v>
      </c>
      <c r="D76">
        <v>2</v>
      </c>
      <c r="E76" t="s">
        <v>49</v>
      </c>
      <c r="F76" t="s">
        <v>50</v>
      </c>
      <c r="G76" t="str">
        <f>"2026-05-13 15:33:39.154"</f>
        <v>2026-05-13 15:33:39.154</v>
      </c>
      <c r="H76" t="s">
        <v>36</v>
      </c>
      <c r="I76">
        <v>0</v>
      </c>
      <c r="J76" t="s">
        <v>24</v>
      </c>
    </row>
    <row r="77" spans="1:10" x14ac:dyDescent="0.25">
      <c r="A77" s="1">
        <v>1</v>
      </c>
      <c r="B77" t="s">
        <v>33</v>
      </c>
      <c r="C77">
        <v>31</v>
      </c>
      <c r="D77">
        <v>1</v>
      </c>
      <c r="E77" t="s">
        <v>38</v>
      </c>
      <c r="F77" t="s">
        <v>39</v>
      </c>
      <c r="G77" t="str">
        <f>"2026-05-13 15:33:38.332"</f>
        <v>2026-05-13 15:33:38.332</v>
      </c>
      <c r="H77" t="s">
        <v>40</v>
      </c>
      <c r="I77">
        <v>0</v>
      </c>
      <c r="J77" t="s">
        <v>24</v>
      </c>
    </row>
    <row r="78" spans="1:10" x14ac:dyDescent="0.25">
      <c r="A78" s="1">
        <v>2</v>
      </c>
      <c r="B78" t="s">
        <v>19</v>
      </c>
      <c r="C78">
        <v>706</v>
      </c>
      <c r="D78">
        <v>4</v>
      </c>
      <c r="E78" t="s">
        <v>22</v>
      </c>
      <c r="F78" t="s">
        <v>31</v>
      </c>
      <c r="G78" t="str">
        <f>"2026-05-13 15:33:30.363"</f>
        <v>2026-05-13 15:33:30.363</v>
      </c>
      <c r="H78" t="s">
        <v>21</v>
      </c>
      <c r="I78">
        <v>0</v>
      </c>
      <c r="J78" t="s">
        <v>24</v>
      </c>
    </row>
    <row r="79" spans="1:10" x14ac:dyDescent="0.25">
      <c r="A79" s="1">
        <v>3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"2026-05-13 15:30:40.303"</f>
        <v>2026-05-13 15:30:40.303</v>
      </c>
      <c r="H79" t="s">
        <v>21</v>
      </c>
      <c r="I79">
        <v>0</v>
      </c>
      <c r="J79" t="s">
        <v>32</v>
      </c>
    </row>
    <row r="80" spans="1:10" x14ac:dyDescent="0.25">
      <c r="A80" s="1">
        <v>4</v>
      </c>
      <c r="B80" t="s">
        <v>33</v>
      </c>
      <c r="C80">
        <v>23</v>
      </c>
      <c r="D80">
        <v>1</v>
      </c>
      <c r="E80" t="s">
        <v>34</v>
      </c>
      <c r="F80" t="s">
        <v>35</v>
      </c>
      <c r="G80" t="str">
        <f>"2026-05-13 15:28:38.164"</f>
        <v>2026-05-13 15:28:38.164</v>
      </c>
      <c r="H80" t="s">
        <v>36</v>
      </c>
      <c r="I80">
        <v>0</v>
      </c>
      <c r="J80" t="s">
        <v>37</v>
      </c>
    </row>
    <row r="81" spans="1:10" x14ac:dyDescent="0.25">
      <c r="A81" s="1">
        <v>5</v>
      </c>
      <c r="B81" t="s">
        <v>33</v>
      </c>
      <c r="C81">
        <v>31</v>
      </c>
      <c r="D81">
        <v>1</v>
      </c>
      <c r="E81" t="s">
        <v>38</v>
      </c>
      <c r="F81" t="s">
        <v>39</v>
      </c>
      <c r="G81" t="str">
        <f>"2026-05-13 15:28:36.542"</f>
        <v>2026-05-13 15:28:36.542</v>
      </c>
      <c r="H81" t="s">
        <v>40</v>
      </c>
      <c r="I81">
        <v>0.11</v>
      </c>
      <c r="J81" t="s">
        <v>37</v>
      </c>
    </row>
    <row r="82" spans="1:10" x14ac:dyDescent="0.25">
      <c r="A82" s="1">
        <v>6</v>
      </c>
      <c r="B82" t="s">
        <v>41</v>
      </c>
      <c r="C82">
        <v>23</v>
      </c>
      <c r="D82">
        <v>1</v>
      </c>
      <c r="E82" t="s">
        <v>34</v>
      </c>
      <c r="F82" t="s">
        <v>35</v>
      </c>
      <c r="G82" t="str">
        <f>"2026-05-13 15:28:35.353"</f>
        <v>2026-05-13 15:28:35.353</v>
      </c>
      <c r="H82" t="s">
        <v>36</v>
      </c>
    </row>
    <row r="83" spans="1:10" x14ac:dyDescent="0.25">
      <c r="A83" s="1">
        <v>7</v>
      </c>
      <c r="B83" t="s">
        <v>33</v>
      </c>
      <c r="C83">
        <v>23</v>
      </c>
      <c r="D83">
        <v>1</v>
      </c>
      <c r="E83" t="s">
        <v>34</v>
      </c>
      <c r="F83" t="s">
        <v>35</v>
      </c>
      <c r="G83" t="str">
        <f>"2026-05-13 15:28:33.212"</f>
        <v>2026-05-13 15:28:33.212</v>
      </c>
      <c r="H83" t="s">
        <v>36</v>
      </c>
      <c r="I83">
        <v>5.42</v>
      </c>
      <c r="J83" t="s">
        <v>42</v>
      </c>
    </row>
    <row r="84" spans="1:10" x14ac:dyDescent="0.25">
      <c r="A84" s="1">
        <v>8</v>
      </c>
      <c r="B84" t="s">
        <v>19</v>
      </c>
      <c r="C84">
        <v>706</v>
      </c>
      <c r="D84">
        <v>4</v>
      </c>
      <c r="E84" t="s">
        <v>22</v>
      </c>
      <c r="F84" t="s">
        <v>31</v>
      </c>
      <c r="G84" t="str">
        <f>"2026-05-13 13:46:53.663"</f>
        <v>2026-05-13 13:46:53.663</v>
      </c>
      <c r="H84" t="s">
        <v>21</v>
      </c>
      <c r="I84">
        <v>0</v>
      </c>
      <c r="J84" t="s">
        <v>24</v>
      </c>
    </row>
    <row r="85" spans="1:10" x14ac:dyDescent="0.25">
      <c r="A85" s="1">
        <v>9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"2026-05-13 13:46:26.323"</f>
        <v>2026-05-13 13:46:26.323</v>
      </c>
      <c r="H85" t="s">
        <v>21</v>
      </c>
      <c r="I85">
        <v>0</v>
      </c>
      <c r="J85" t="s">
        <v>32</v>
      </c>
    </row>
    <row r="86" spans="1:10" x14ac:dyDescent="0.25">
      <c r="A86" s="1">
        <v>0</v>
      </c>
      <c r="B86" t="s">
        <v>19</v>
      </c>
      <c r="C86">
        <v>706</v>
      </c>
      <c r="D86">
        <v>2</v>
      </c>
      <c r="E86" t="s">
        <v>22</v>
      </c>
      <c r="F86" t="s">
        <v>53</v>
      </c>
      <c r="G86" t="str">
        <f>"2026-05-12 16:30:49.283"</f>
        <v>2026-05-12 16:30:49.283</v>
      </c>
      <c r="H86" t="s">
        <v>21</v>
      </c>
      <c r="I86">
        <v>0</v>
      </c>
      <c r="J86" t="s">
        <v>24</v>
      </c>
    </row>
    <row r="87" spans="1:10" x14ac:dyDescent="0.25">
      <c r="A87" s="1">
        <v>1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"2026-05-12 16:16:10.293"</f>
        <v>2026-05-12 16:16:10.293</v>
      </c>
      <c r="H87" t="s">
        <v>21</v>
      </c>
      <c r="I87">
        <v>0</v>
      </c>
      <c r="J87" t="s">
        <v>32</v>
      </c>
    </row>
    <row r="88" spans="1:10" x14ac:dyDescent="0.25">
      <c r="A88" s="1">
        <v>2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"2026-05-12 14:49:33.303"</f>
        <v>2026-05-12 14:49:33.303</v>
      </c>
      <c r="H88" t="s">
        <v>21</v>
      </c>
      <c r="I88">
        <v>0</v>
      </c>
      <c r="J88" t="s">
        <v>32</v>
      </c>
    </row>
    <row r="89" spans="1:10" x14ac:dyDescent="0.25">
      <c r="A89" s="1">
        <v>3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"2026-05-12 12:42:54.518"</f>
        <v>2026-05-12 12:42:54.518</v>
      </c>
      <c r="H89" t="s">
        <v>21</v>
      </c>
      <c r="I89">
        <v>0</v>
      </c>
      <c r="J89" t="s">
        <v>32</v>
      </c>
    </row>
    <row r="90" spans="1:10" x14ac:dyDescent="0.25">
      <c r="A90" s="1">
        <v>4</v>
      </c>
      <c r="B90" t="s">
        <v>25</v>
      </c>
      <c r="C90">
        <v>635</v>
      </c>
      <c r="D90">
        <v>1</v>
      </c>
      <c r="E90" t="s">
        <v>45</v>
      </c>
      <c r="F90" t="s">
        <v>27</v>
      </c>
      <c r="G90" t="str">
        <f>"2026-05-12 10:03:54.672"</f>
        <v>2026-05-12 10:03:54.672</v>
      </c>
      <c r="H90" t="s">
        <v>21</v>
      </c>
    </row>
    <row r="91" spans="1:10" x14ac:dyDescent="0.25">
      <c r="A91" s="1">
        <v>5</v>
      </c>
      <c r="B91" t="s">
        <v>29</v>
      </c>
      <c r="C91">
        <v>635</v>
      </c>
      <c r="D91">
        <v>1</v>
      </c>
      <c r="E91" t="s">
        <v>45</v>
      </c>
      <c r="F91" t="s">
        <v>27</v>
      </c>
      <c r="G91" t="str">
        <f>"2026-05-12 10:01:19.672"</f>
        <v>2026-05-12 10:01:19.672</v>
      </c>
      <c r="H91" t="s">
        <v>21</v>
      </c>
      <c r="I91">
        <v>3.18</v>
      </c>
      <c r="J91" t="s">
        <v>37</v>
      </c>
    </row>
    <row r="92" spans="1:10" x14ac:dyDescent="0.25">
      <c r="A92" s="1">
        <v>6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"2026-05-11 14:50:55.292"</f>
        <v>2026-05-11 14:50:55.292</v>
      </c>
      <c r="H92" t="s">
        <v>21</v>
      </c>
      <c r="I92">
        <v>0</v>
      </c>
      <c r="J92" t="s">
        <v>32</v>
      </c>
    </row>
    <row r="93" spans="1:10" x14ac:dyDescent="0.25">
      <c r="A93" s="1">
        <v>7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"2026-05-11 13:59:06.320"</f>
        <v>2026-05-11 13:59:06.320</v>
      </c>
      <c r="H93" t="s">
        <v>21</v>
      </c>
      <c r="I93">
        <v>0</v>
      </c>
      <c r="J93" t="s">
        <v>32</v>
      </c>
    </row>
    <row r="94" spans="1:10" x14ac:dyDescent="0.25">
      <c r="A94" s="1">
        <v>8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"2026-05-11 08:07:41.487"</f>
        <v>2026-05-11 08:07:41.487</v>
      </c>
      <c r="H94" t="s">
        <v>21</v>
      </c>
      <c r="I94">
        <v>0</v>
      </c>
      <c r="J94" t="s">
        <v>32</v>
      </c>
    </row>
    <row r="95" spans="1:10" x14ac:dyDescent="0.25">
      <c r="A95" s="1">
        <v>9</v>
      </c>
      <c r="B95" t="s">
        <v>25</v>
      </c>
      <c r="C95">
        <v>635</v>
      </c>
      <c r="D95">
        <v>1</v>
      </c>
      <c r="E95" t="s">
        <v>45</v>
      </c>
      <c r="F95" t="s">
        <v>27</v>
      </c>
      <c r="G95" t="str">
        <f>"2026-05-10 22:17:07.870"</f>
        <v>2026-05-10 22:17:07.870</v>
      </c>
      <c r="H95" t="s">
        <v>21</v>
      </c>
    </row>
    <row r="96" spans="1:10" x14ac:dyDescent="0.25">
      <c r="A96" s="1">
        <v>0</v>
      </c>
      <c r="B96" t="s">
        <v>29</v>
      </c>
      <c r="C96">
        <v>635</v>
      </c>
      <c r="D96">
        <v>1</v>
      </c>
      <c r="E96" t="s">
        <v>45</v>
      </c>
      <c r="F96" t="s">
        <v>27</v>
      </c>
      <c r="G96" t="str">
        <f>"2026-05-10 21:47:15.470"</f>
        <v>2026-05-10 21:47:15.470</v>
      </c>
      <c r="H96" t="s">
        <v>21</v>
      </c>
      <c r="I96">
        <v>8.17</v>
      </c>
      <c r="J96" t="s">
        <v>42</v>
      </c>
    </row>
    <row r="97" spans="1:10" x14ac:dyDescent="0.25">
      <c r="A97" s="1">
        <v>1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"2026-05-10 16:23:06.282"</f>
        <v>2026-05-10 16:23:06.282</v>
      </c>
      <c r="H97" t="s">
        <v>21</v>
      </c>
    </row>
    <row r="98" spans="1:10" x14ac:dyDescent="0.25">
      <c r="A98" s="1">
        <v>2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"2026-05-10 14:04:43.544"</f>
        <v>2026-05-10 14:04:43.544</v>
      </c>
      <c r="H98" t="s">
        <v>21</v>
      </c>
      <c r="I98">
        <v>0</v>
      </c>
      <c r="J98" t="s">
        <v>32</v>
      </c>
    </row>
    <row r="99" spans="1:10" x14ac:dyDescent="0.25">
      <c r="A99" s="1">
        <v>3</v>
      </c>
      <c r="B99" t="s">
        <v>19</v>
      </c>
      <c r="C99">
        <v>706</v>
      </c>
      <c r="D99">
        <v>4</v>
      </c>
      <c r="E99" t="s">
        <v>22</v>
      </c>
      <c r="F99" t="s">
        <v>31</v>
      </c>
      <c r="G99" t="str">
        <f>"2026-05-09 13:50:34.245"</f>
        <v>2026-05-09 13:50:34.245</v>
      </c>
      <c r="H99" t="s">
        <v>21</v>
      </c>
      <c r="I99">
        <v>0</v>
      </c>
      <c r="J99" t="s">
        <v>24</v>
      </c>
    </row>
    <row r="100" spans="1:10" x14ac:dyDescent="0.25">
      <c r="A100" s="1">
        <v>4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"2026-05-09 13:45:51.375"</f>
        <v>2026-05-09 13:45:51.375</v>
      </c>
      <c r="H100" t="s">
        <v>21</v>
      </c>
    </row>
    <row r="101" spans="1:10" x14ac:dyDescent="0.25">
      <c r="A101" s="1">
        <v>5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"2026-05-09 13:13:33.385"</f>
        <v>2026-05-09 13:13:33.385</v>
      </c>
      <c r="H101" t="s">
        <v>21</v>
      </c>
    </row>
    <row r="102" spans="1:10" x14ac:dyDescent="0.25">
      <c r="A102" s="1">
        <v>6</v>
      </c>
      <c r="B102" t="s">
        <v>25</v>
      </c>
      <c r="C102">
        <v>635</v>
      </c>
      <c r="D102">
        <v>1</v>
      </c>
      <c r="E102" t="s">
        <v>45</v>
      </c>
      <c r="F102" t="s">
        <v>27</v>
      </c>
      <c r="G102" t="str">
        <f>"2026-05-09 10:13:18.876"</f>
        <v>2026-05-09 10:13:18.876</v>
      </c>
      <c r="H102" t="s">
        <v>21</v>
      </c>
    </row>
    <row r="103" spans="1:10" x14ac:dyDescent="0.25">
      <c r="A103" s="1">
        <v>7</v>
      </c>
      <c r="B103" t="s">
        <v>29</v>
      </c>
      <c r="C103">
        <v>635</v>
      </c>
      <c r="D103">
        <v>1</v>
      </c>
      <c r="E103" t="s">
        <v>45</v>
      </c>
      <c r="F103" t="s">
        <v>27</v>
      </c>
      <c r="G103" t="str">
        <f>"2026-05-09 10:06:05.376"</f>
        <v>2026-05-09 10:06:05.376</v>
      </c>
      <c r="H103" t="s">
        <v>21</v>
      </c>
      <c r="I103">
        <v>2.58</v>
      </c>
      <c r="J103" t="s">
        <v>54</v>
      </c>
    </row>
    <row r="104" spans="1:10" x14ac:dyDescent="0.25">
      <c r="A104" s="1">
        <v>8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"2026-05-08 22:55:31.298"</f>
        <v>2026-05-08 22:55:31.298</v>
      </c>
      <c r="H104" t="s">
        <v>21</v>
      </c>
      <c r="I104">
        <v>0</v>
      </c>
      <c r="J104" t="s">
        <v>32</v>
      </c>
    </row>
    <row r="105" spans="1:10" x14ac:dyDescent="0.25">
      <c r="A105" s="1">
        <v>9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"2026-05-08 18:22:21.315"</f>
        <v>2026-05-08 18:22:21.315</v>
      </c>
      <c r="H105" t="s">
        <v>21</v>
      </c>
    </row>
    <row r="106" spans="1:10" x14ac:dyDescent="0.25">
      <c r="A106" s="1">
        <v>10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"2026-05-08 13:53:59.308"</f>
        <v>2026-05-08 13:53:59.308</v>
      </c>
      <c r="H106" t="s">
        <v>21</v>
      </c>
      <c r="I106">
        <v>0</v>
      </c>
      <c r="J106" t="s">
        <v>32</v>
      </c>
    </row>
    <row r="107" spans="1:10" x14ac:dyDescent="0.25">
      <c r="A107" s="1">
        <v>11</v>
      </c>
      <c r="B107" t="s">
        <v>25</v>
      </c>
      <c r="C107">
        <v>635</v>
      </c>
      <c r="D107">
        <v>1</v>
      </c>
      <c r="E107" t="s">
        <v>45</v>
      </c>
      <c r="F107" t="s">
        <v>27</v>
      </c>
      <c r="G107" t="str">
        <f>"2026-05-08 06:35:12.968"</f>
        <v>2026-05-08 06:35:12.968</v>
      </c>
      <c r="H107" t="s">
        <v>21</v>
      </c>
    </row>
    <row r="108" spans="1:10" x14ac:dyDescent="0.25">
      <c r="A108" s="1">
        <v>12</v>
      </c>
      <c r="B108" t="s">
        <v>29</v>
      </c>
      <c r="C108">
        <v>635</v>
      </c>
      <c r="D108">
        <v>1</v>
      </c>
      <c r="E108" t="s">
        <v>45</v>
      </c>
      <c r="F108" t="s">
        <v>27</v>
      </c>
      <c r="G108" t="str">
        <f>"2026-05-08 06:08:05.468"</f>
        <v>2026-05-08 06:08:05.468</v>
      </c>
      <c r="H108" t="s">
        <v>21</v>
      </c>
      <c r="I108">
        <v>8.39</v>
      </c>
      <c r="J108" t="s">
        <v>42</v>
      </c>
    </row>
    <row r="109" spans="1:10" x14ac:dyDescent="0.25">
      <c r="A109" s="1">
        <v>13</v>
      </c>
      <c r="B109" t="s">
        <v>25</v>
      </c>
      <c r="C109">
        <v>635</v>
      </c>
      <c r="D109">
        <v>1</v>
      </c>
      <c r="E109" t="s">
        <v>45</v>
      </c>
      <c r="F109" t="s">
        <v>27</v>
      </c>
      <c r="G109" t="str">
        <f>"2026-05-07 15:46:16.868"</f>
        <v>2026-05-07 15:46:16.868</v>
      </c>
      <c r="H109" t="s">
        <v>21</v>
      </c>
    </row>
    <row r="110" spans="1:10" x14ac:dyDescent="0.25">
      <c r="A110" s="1">
        <v>14</v>
      </c>
      <c r="B110" t="s">
        <v>29</v>
      </c>
      <c r="C110">
        <v>635</v>
      </c>
      <c r="D110">
        <v>1</v>
      </c>
      <c r="E110" t="s">
        <v>45</v>
      </c>
      <c r="F110" t="s">
        <v>27</v>
      </c>
      <c r="G110" t="str">
        <f>"2026-05-07 15:43:22.368"</f>
        <v>2026-05-07 15:43:22.368</v>
      </c>
      <c r="H110" t="s">
        <v>21</v>
      </c>
      <c r="I110">
        <v>4.95</v>
      </c>
      <c r="J110" t="s">
        <v>54</v>
      </c>
    </row>
    <row r="111" spans="1:10" x14ac:dyDescent="0.25">
      <c r="A111" s="1">
        <v>15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"2026-05-07 14:35:11.279"</f>
        <v>2026-05-07 14:35:11.279</v>
      </c>
      <c r="H111" t="s">
        <v>21</v>
      </c>
      <c r="I111">
        <v>0</v>
      </c>
      <c r="J111" t="s">
        <v>32</v>
      </c>
    </row>
    <row r="112" spans="1:10" x14ac:dyDescent="0.25">
      <c r="A112" s="1">
        <v>16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"2026-05-07 14:12:28.287"</f>
        <v>2026-05-07 14:12:28.287</v>
      </c>
      <c r="H112" t="s">
        <v>21</v>
      </c>
      <c r="I112">
        <v>0</v>
      </c>
      <c r="J112" t="s">
        <v>32</v>
      </c>
    </row>
    <row r="113" spans="1:10" x14ac:dyDescent="0.25">
      <c r="A113" s="1">
        <v>17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"2026-05-07 10:51:44.321"</f>
        <v>2026-05-07 10:51:44.321</v>
      </c>
      <c r="H113" t="s">
        <v>21</v>
      </c>
      <c r="I113">
        <v>0</v>
      </c>
      <c r="J113" t="s">
        <v>32</v>
      </c>
    </row>
    <row r="114" spans="1:10" x14ac:dyDescent="0.25">
      <c r="A114" s="1">
        <v>18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"2026-05-06 15:54:22.274"</f>
        <v>2026-05-06 15:54:22.274</v>
      </c>
      <c r="H114" t="s">
        <v>21</v>
      </c>
    </row>
    <row r="115" spans="1:10" x14ac:dyDescent="0.25">
      <c r="A115" s="1">
        <v>19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"2026-05-06 15:00:59.281"</f>
        <v>2026-05-06 15:00:59.281</v>
      </c>
      <c r="H115" t="s">
        <v>21</v>
      </c>
    </row>
    <row r="116" spans="1:10" x14ac:dyDescent="0.25">
      <c r="A116" s="1">
        <v>20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"2026-05-06 14:49:14.277"</f>
        <v>2026-05-06 14:49:14.277</v>
      </c>
      <c r="H116" t="s">
        <v>21</v>
      </c>
      <c r="I116">
        <v>0</v>
      </c>
      <c r="J116" t="s">
        <v>32</v>
      </c>
    </row>
    <row r="117" spans="1:10" x14ac:dyDescent="0.25">
      <c r="A117" s="1">
        <v>21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"2026-05-06 14:26:53.436"</f>
        <v>2026-05-06 14:26:53.436</v>
      </c>
      <c r="H117" t="s">
        <v>21</v>
      </c>
    </row>
    <row r="118" spans="1:10" x14ac:dyDescent="0.25">
      <c r="A118" s="1">
        <v>22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"2026-05-06 13:05:33.288"</f>
        <v>2026-05-06 13:05:33.288</v>
      </c>
      <c r="H118" t="s">
        <v>21</v>
      </c>
      <c r="I118">
        <v>0</v>
      </c>
      <c r="J118" t="s">
        <v>32</v>
      </c>
    </row>
    <row r="119" spans="1:10" x14ac:dyDescent="0.25">
      <c r="A119" s="1">
        <v>23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"2026-05-06 12:23:55.290"</f>
        <v>2026-05-06 12:23:55.290</v>
      </c>
      <c r="H119" t="s">
        <v>21</v>
      </c>
      <c r="I119">
        <v>0</v>
      </c>
      <c r="J119" t="s">
        <v>32</v>
      </c>
    </row>
    <row r="120" spans="1:10" x14ac:dyDescent="0.25">
      <c r="A120" s="1">
        <v>24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"2026-05-06 12:16:41.295"</f>
        <v>2026-05-06 12:16:41.295</v>
      </c>
      <c r="H120" t="s">
        <v>21</v>
      </c>
      <c r="I120">
        <v>0</v>
      </c>
      <c r="J120" t="s">
        <v>32</v>
      </c>
    </row>
    <row r="121" spans="1:10" x14ac:dyDescent="0.25">
      <c r="A121" s="1">
        <v>25</v>
      </c>
      <c r="B121" t="s">
        <v>25</v>
      </c>
      <c r="C121">
        <v>635</v>
      </c>
      <c r="D121">
        <v>1</v>
      </c>
      <c r="E121" t="s">
        <v>45</v>
      </c>
      <c r="F121" t="s">
        <v>27</v>
      </c>
      <c r="G121" t="str">
        <f>"2026-05-06 09:40:01.079"</f>
        <v>2026-05-06 09:40:01.079</v>
      </c>
      <c r="H121" t="s">
        <v>21</v>
      </c>
    </row>
    <row r="122" spans="1:10" x14ac:dyDescent="0.25">
      <c r="A122" s="1">
        <v>26</v>
      </c>
      <c r="B122" t="s">
        <v>29</v>
      </c>
      <c r="C122">
        <v>635</v>
      </c>
      <c r="D122">
        <v>1</v>
      </c>
      <c r="E122" t="s">
        <v>45</v>
      </c>
      <c r="F122" t="s">
        <v>27</v>
      </c>
      <c r="G122" t="str">
        <f>"2026-05-06 09:36:20.579"</f>
        <v>2026-05-06 09:36:20.579</v>
      </c>
      <c r="H122" t="s">
        <v>21</v>
      </c>
      <c r="I122">
        <v>3.71</v>
      </c>
      <c r="J122" t="s">
        <v>42</v>
      </c>
    </row>
    <row r="123" spans="1:10" x14ac:dyDescent="0.25">
      <c r="A123" s="1">
        <v>27</v>
      </c>
      <c r="B123" t="s">
        <v>25</v>
      </c>
      <c r="C123">
        <v>635</v>
      </c>
      <c r="D123">
        <v>1</v>
      </c>
      <c r="E123" t="s">
        <v>45</v>
      </c>
      <c r="F123" t="s">
        <v>27</v>
      </c>
      <c r="G123" t="str">
        <f>"2026-05-06 08:56:23.679"</f>
        <v>2026-05-06 08:56:23.679</v>
      </c>
      <c r="H123" t="s">
        <v>21</v>
      </c>
    </row>
    <row r="124" spans="1:10" x14ac:dyDescent="0.25">
      <c r="A124" s="1">
        <v>28</v>
      </c>
      <c r="B124" t="s">
        <v>29</v>
      </c>
      <c r="C124">
        <v>635</v>
      </c>
      <c r="D124">
        <v>1</v>
      </c>
      <c r="E124" t="s">
        <v>45</v>
      </c>
      <c r="F124" t="s">
        <v>27</v>
      </c>
      <c r="G124" t="str">
        <f>"2026-05-06 08:40:29.179"</f>
        <v>2026-05-06 08:40:29.179</v>
      </c>
      <c r="H124" t="s">
        <v>21</v>
      </c>
      <c r="I124">
        <v>0.81</v>
      </c>
      <c r="J124" t="s">
        <v>42</v>
      </c>
    </row>
    <row r="125" spans="1:10" x14ac:dyDescent="0.25">
      <c r="A125" s="1">
        <v>29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"2026-05-05 13:39:42.282"</f>
        <v>2026-05-05 13:39:42.282</v>
      </c>
      <c r="H125" t="s">
        <v>21</v>
      </c>
    </row>
    <row r="126" spans="1:10" x14ac:dyDescent="0.25">
      <c r="A126" s="1">
        <v>30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"2026-05-05 12:02:41.271"</f>
        <v>2026-05-05 12:02:41.271</v>
      </c>
      <c r="H126" t="s">
        <v>21</v>
      </c>
    </row>
    <row r="127" spans="1:10" x14ac:dyDescent="0.25">
      <c r="A127" s="1">
        <v>31</v>
      </c>
      <c r="B127" t="s">
        <v>19</v>
      </c>
      <c r="C127">
        <v>706</v>
      </c>
      <c r="D127">
        <v>2</v>
      </c>
      <c r="E127" t="s">
        <v>22</v>
      </c>
      <c r="F127" t="s">
        <v>53</v>
      </c>
      <c r="G127" t="str">
        <f>"2026-05-05 11:58:24.087"</f>
        <v>2026-05-05 11:58:24.087</v>
      </c>
      <c r="H127" t="s">
        <v>21</v>
      </c>
      <c r="I127">
        <v>0</v>
      </c>
      <c r="J127" t="s">
        <v>24</v>
      </c>
    </row>
    <row r="128" spans="1:10" x14ac:dyDescent="0.25">
      <c r="A128" s="1">
        <v>32</v>
      </c>
      <c r="B128" t="s">
        <v>19</v>
      </c>
      <c r="C128">
        <v>706</v>
      </c>
      <c r="D128">
        <v>4</v>
      </c>
      <c r="E128" t="s">
        <v>22</v>
      </c>
      <c r="F128" t="s">
        <v>31</v>
      </c>
      <c r="G128" t="str">
        <f>"2026-05-05 11:58:11.277"</f>
        <v>2026-05-05 11:58:11.277</v>
      </c>
      <c r="H128" t="s">
        <v>21</v>
      </c>
      <c r="I128">
        <v>0</v>
      </c>
      <c r="J128" t="s">
        <v>24</v>
      </c>
    </row>
    <row r="129" spans="1:10" x14ac:dyDescent="0.25">
      <c r="A129" s="1">
        <v>33</v>
      </c>
      <c r="B129" t="s">
        <v>19</v>
      </c>
      <c r="C129">
        <v>706</v>
      </c>
      <c r="D129">
        <v>4</v>
      </c>
      <c r="E129" t="s">
        <v>22</v>
      </c>
      <c r="F129" t="s">
        <v>31</v>
      </c>
      <c r="G129" t="str">
        <f>"2026-05-05 11:57:54.267"</f>
        <v>2026-05-05 11:57:54.267</v>
      </c>
      <c r="H129" t="s">
        <v>21</v>
      </c>
      <c r="I129">
        <v>0</v>
      </c>
      <c r="J129" t="s">
        <v>24</v>
      </c>
    </row>
    <row r="130" spans="1:10" x14ac:dyDescent="0.25">
      <c r="A130" s="1">
        <v>34</v>
      </c>
      <c r="B130" t="s">
        <v>19</v>
      </c>
      <c r="C130">
        <v>706</v>
      </c>
      <c r="D130">
        <v>4</v>
      </c>
      <c r="E130" t="s">
        <v>22</v>
      </c>
      <c r="F130" t="s">
        <v>31</v>
      </c>
      <c r="G130" t="str">
        <f>"2026-05-05 11:57:42.477"</f>
        <v>2026-05-05 11:57:42.477</v>
      </c>
      <c r="H130" t="s">
        <v>21</v>
      </c>
      <c r="I130">
        <v>0</v>
      </c>
      <c r="J130" t="s">
        <v>24</v>
      </c>
    </row>
    <row r="131" spans="1:10" x14ac:dyDescent="0.25">
      <c r="A131" s="1">
        <v>35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"2026-05-05 11:56:54.267"</f>
        <v>2026-05-05 11:56:54.267</v>
      </c>
      <c r="H131" t="s">
        <v>21</v>
      </c>
      <c r="I131">
        <v>0</v>
      </c>
      <c r="J131" t="s">
        <v>32</v>
      </c>
    </row>
    <row r="132" spans="1:10" x14ac:dyDescent="0.25">
      <c r="A132" s="1">
        <v>36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"2026-05-05 11:46:19.431"</f>
        <v>2026-05-05 11:46:19.431</v>
      </c>
      <c r="H132" t="s">
        <v>21</v>
      </c>
      <c r="I132">
        <v>0</v>
      </c>
      <c r="J132" t="s">
        <v>32</v>
      </c>
    </row>
    <row r="133" spans="1:10" x14ac:dyDescent="0.25">
      <c r="A133" s="1">
        <v>38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"2026-05-04 18:07:49.289"</f>
        <v>2026-05-04 18:07:49.289</v>
      </c>
      <c r="H133" t="s">
        <v>21</v>
      </c>
    </row>
    <row r="134" spans="1:10" x14ac:dyDescent="0.25">
      <c r="A134" s="1">
        <v>39</v>
      </c>
      <c r="B134" t="s">
        <v>19</v>
      </c>
      <c r="C134">
        <v>706</v>
      </c>
      <c r="D134">
        <v>4</v>
      </c>
      <c r="E134" t="s">
        <v>22</v>
      </c>
      <c r="F134" t="s">
        <v>31</v>
      </c>
      <c r="G134" t="str">
        <f>"2026-05-04 12:41:03.959"</f>
        <v>2026-05-04 12:41:03.959</v>
      </c>
      <c r="H134" t="s">
        <v>21</v>
      </c>
      <c r="I134">
        <v>0</v>
      </c>
      <c r="J134" t="s">
        <v>24</v>
      </c>
    </row>
    <row r="135" spans="1:10" x14ac:dyDescent="0.25">
      <c r="A135" s="1">
        <v>40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"2026-05-04 12:40:24.279"</f>
        <v>2026-05-04 12:40:24.279</v>
      </c>
      <c r="H135" t="s">
        <v>21</v>
      </c>
    </row>
    <row r="136" spans="1:10" s="3" customFormat="1" x14ac:dyDescent="0.25">
      <c r="A136" s="2">
        <v>41</v>
      </c>
      <c r="B136" s="3" t="s">
        <v>25</v>
      </c>
      <c r="C136" s="3">
        <v>647</v>
      </c>
      <c r="D136" s="3">
        <v>1</v>
      </c>
      <c r="E136" s="3" t="s">
        <v>55</v>
      </c>
      <c r="F136" s="3" t="s">
        <v>56</v>
      </c>
      <c r="G136" s="3" t="str">
        <f>"2026-05-04 11:31:38.635"</f>
        <v>2026-05-04 11:31:38.635</v>
      </c>
      <c r="H136" s="3" t="s">
        <v>21</v>
      </c>
    </row>
    <row r="137" spans="1:10" s="3" customFormat="1" x14ac:dyDescent="0.25">
      <c r="A137" s="2">
        <v>42</v>
      </c>
      <c r="B137" s="3" t="s">
        <v>29</v>
      </c>
      <c r="C137" s="3">
        <v>647</v>
      </c>
      <c r="D137" s="3">
        <v>1</v>
      </c>
      <c r="E137" s="3" t="s">
        <v>55</v>
      </c>
      <c r="F137" s="3" t="s">
        <v>56</v>
      </c>
      <c r="G137" s="3" t="str">
        <f>"2026-05-04 11:31:29.135"</f>
        <v>2026-05-04 11:31:29.135</v>
      </c>
      <c r="H137" s="3" t="s">
        <v>21</v>
      </c>
      <c r="I137" s="3">
        <v>14.75</v>
      </c>
      <c r="J137" s="3" t="s">
        <v>54</v>
      </c>
    </row>
    <row r="138" spans="1:10" s="3" customFormat="1" x14ac:dyDescent="0.25">
      <c r="A138" s="2">
        <v>43</v>
      </c>
      <c r="B138" s="3" t="s">
        <v>25</v>
      </c>
      <c r="C138" s="3">
        <v>647</v>
      </c>
      <c r="D138" s="3">
        <v>1</v>
      </c>
      <c r="E138" s="3" t="s">
        <v>55</v>
      </c>
      <c r="F138" s="3" t="s">
        <v>56</v>
      </c>
      <c r="G138" s="3" t="str">
        <f>"2026-05-04 11:31:26.835"</f>
        <v>2026-05-04 11:31:26.835</v>
      </c>
      <c r="H138" s="3" t="s">
        <v>21</v>
      </c>
    </row>
    <row r="139" spans="1:10" s="3" customFormat="1" x14ac:dyDescent="0.25">
      <c r="A139" s="2">
        <v>44</v>
      </c>
      <c r="B139" s="3" t="s">
        <v>29</v>
      </c>
      <c r="C139" s="3">
        <v>647</v>
      </c>
      <c r="D139" s="3">
        <v>1</v>
      </c>
      <c r="E139" s="3" t="s">
        <v>55</v>
      </c>
      <c r="F139" s="3" t="s">
        <v>56</v>
      </c>
      <c r="G139" s="3" t="str">
        <f>"2026-05-04 11:31:25.535"</f>
        <v>2026-05-04 11:31:25.535</v>
      </c>
      <c r="H139" s="3" t="s">
        <v>21</v>
      </c>
      <c r="I139" s="3">
        <v>13.97</v>
      </c>
      <c r="J139" s="3" t="s">
        <v>54</v>
      </c>
    </row>
    <row r="140" spans="1:10" x14ac:dyDescent="0.25">
      <c r="A140" s="1">
        <v>45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"2026-05-04 10:39:55.290"</f>
        <v>2026-05-04 10:39:55.290</v>
      </c>
      <c r="H140" t="s">
        <v>21</v>
      </c>
      <c r="I140">
        <v>0</v>
      </c>
      <c r="J140" t="s">
        <v>32</v>
      </c>
    </row>
    <row r="141" spans="1:10" x14ac:dyDescent="0.25">
      <c r="A141" s="1">
        <v>46</v>
      </c>
      <c r="B141" t="s">
        <v>25</v>
      </c>
      <c r="C141">
        <v>635</v>
      </c>
      <c r="D141">
        <v>1</v>
      </c>
      <c r="E141" t="s">
        <v>45</v>
      </c>
      <c r="F141" t="s">
        <v>27</v>
      </c>
      <c r="G141" t="str">
        <f>"2026-05-04 03:41:56.274"</f>
        <v>2026-05-04 03:41:56.274</v>
      </c>
      <c r="H141" t="s">
        <v>21</v>
      </c>
    </row>
    <row r="142" spans="1:10" x14ac:dyDescent="0.25">
      <c r="A142" s="1">
        <v>47</v>
      </c>
      <c r="B142" t="s">
        <v>29</v>
      </c>
      <c r="C142">
        <v>635</v>
      </c>
      <c r="D142">
        <v>1</v>
      </c>
      <c r="E142" t="s">
        <v>45</v>
      </c>
      <c r="F142" t="s">
        <v>27</v>
      </c>
      <c r="G142" t="str">
        <f>"2026-05-04 03:16:11.374"</f>
        <v>2026-05-04 03:16:11.374</v>
      </c>
      <c r="H142" t="s">
        <v>21</v>
      </c>
      <c r="I142">
        <v>6.1</v>
      </c>
      <c r="J142" t="s">
        <v>42</v>
      </c>
    </row>
    <row r="143" spans="1:10" x14ac:dyDescent="0.25">
      <c r="A143" s="1">
        <v>48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"2026-05-04 02:21:16.274"</f>
        <v>2026-05-04 02:21:16.274</v>
      </c>
      <c r="H143" t="s">
        <v>21</v>
      </c>
      <c r="I143">
        <v>0</v>
      </c>
      <c r="J143" t="s">
        <v>32</v>
      </c>
    </row>
    <row r="144" spans="1:10" x14ac:dyDescent="0.25">
      <c r="A144" s="1">
        <v>49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"2026-05-04 02:12:01.435"</f>
        <v>2026-05-04 02:12:01.435</v>
      </c>
      <c r="H144" t="s">
        <v>21</v>
      </c>
      <c r="I144">
        <v>0</v>
      </c>
      <c r="J144" t="s">
        <v>32</v>
      </c>
    </row>
    <row r="145" spans="1:10" x14ac:dyDescent="0.25">
      <c r="A145" s="1">
        <v>50</v>
      </c>
      <c r="B145" t="s">
        <v>19</v>
      </c>
      <c r="C145">
        <v>706</v>
      </c>
      <c r="D145">
        <v>4</v>
      </c>
      <c r="E145" t="s">
        <v>22</v>
      </c>
      <c r="F145" t="s">
        <v>31</v>
      </c>
      <c r="G145" t="str">
        <f>"2026-05-04 02:00:31.860"</f>
        <v>2026-05-04 02:00:31.860</v>
      </c>
      <c r="H145" t="s">
        <v>21</v>
      </c>
      <c r="I145">
        <v>0</v>
      </c>
      <c r="J145" t="s">
        <v>24</v>
      </c>
    </row>
    <row r="146" spans="1:10" x14ac:dyDescent="0.25">
      <c r="A146" s="1">
        <v>51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"2026-05-04 01:53:00.430"</f>
        <v>2026-05-04 01:53:00.430</v>
      </c>
      <c r="H146" t="s">
        <v>21</v>
      </c>
      <c r="I146">
        <v>0</v>
      </c>
      <c r="J146" t="s">
        <v>32</v>
      </c>
    </row>
    <row r="147" spans="1:10" x14ac:dyDescent="0.25">
      <c r="A147" s="1">
        <v>52</v>
      </c>
      <c r="B147" t="s">
        <v>25</v>
      </c>
      <c r="C147">
        <v>630</v>
      </c>
      <c r="D147">
        <v>5</v>
      </c>
      <c r="E147" t="s">
        <v>51</v>
      </c>
      <c r="F147" t="s">
        <v>52</v>
      </c>
      <c r="G147" t="str">
        <f>"2026-05-03 23:52:22.819"</f>
        <v>2026-05-03 23:52:22.819</v>
      </c>
      <c r="H147" t="s">
        <v>40</v>
      </c>
    </row>
    <row r="148" spans="1:10" x14ac:dyDescent="0.25">
      <c r="A148" s="1">
        <v>53</v>
      </c>
      <c r="B148" t="s">
        <v>19</v>
      </c>
      <c r="C148">
        <v>706</v>
      </c>
      <c r="D148">
        <v>4</v>
      </c>
      <c r="E148" t="s">
        <v>22</v>
      </c>
      <c r="F148" t="s">
        <v>31</v>
      </c>
      <c r="G148" t="str">
        <f>"2026-05-03 23:51:52.720"</f>
        <v>2026-05-03 23:51:52.720</v>
      </c>
      <c r="H148" t="s">
        <v>21</v>
      </c>
      <c r="I148">
        <v>0</v>
      </c>
      <c r="J148" t="s">
        <v>24</v>
      </c>
    </row>
    <row r="149" spans="1:10" x14ac:dyDescent="0.25">
      <c r="A149" s="1">
        <v>54</v>
      </c>
      <c r="B149" t="s">
        <v>33</v>
      </c>
      <c r="C149">
        <v>630</v>
      </c>
      <c r="D149">
        <v>5</v>
      </c>
      <c r="E149" t="s">
        <v>51</v>
      </c>
      <c r="F149" t="s">
        <v>52</v>
      </c>
      <c r="G149" t="str">
        <f>"2026-05-03 23:51:15.620"</f>
        <v>2026-05-03 23:51:15.620</v>
      </c>
      <c r="H149" t="s">
        <v>40</v>
      </c>
      <c r="I149">
        <v>0</v>
      </c>
      <c r="J149" t="s">
        <v>24</v>
      </c>
    </row>
    <row r="150" spans="1:10" x14ac:dyDescent="0.25">
      <c r="A150" s="1">
        <v>55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"2026-05-03 13:48:56.270"</f>
        <v>2026-05-03 13:48:56.270</v>
      </c>
      <c r="H150" t="s">
        <v>21</v>
      </c>
      <c r="I150">
        <v>0</v>
      </c>
      <c r="J150" t="s">
        <v>32</v>
      </c>
    </row>
    <row r="151" spans="1:10" x14ac:dyDescent="0.25">
      <c r="A151" s="1">
        <v>56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"2026-05-03 13:20:26.265"</f>
        <v>2026-05-03 13:20:26.265</v>
      </c>
      <c r="H151" t="s">
        <v>21</v>
      </c>
    </row>
    <row r="152" spans="1:10" x14ac:dyDescent="0.25">
      <c r="A152" s="1">
        <v>57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"2026-05-03 13:16:06.292"</f>
        <v>2026-05-03 13:16:06.292</v>
      </c>
      <c r="H152" t="s">
        <v>21</v>
      </c>
    </row>
    <row r="153" spans="1:10" x14ac:dyDescent="0.25">
      <c r="A153" s="1">
        <v>58</v>
      </c>
      <c r="B153" t="s">
        <v>19</v>
      </c>
      <c r="C153">
        <v>706</v>
      </c>
      <c r="D153">
        <v>4</v>
      </c>
      <c r="E153" t="s">
        <v>22</v>
      </c>
      <c r="F153" t="s">
        <v>31</v>
      </c>
      <c r="G153" t="str">
        <f>"2026-05-03 09:08:58.670"</f>
        <v>2026-05-03 09:08:58.670</v>
      </c>
      <c r="H153" t="s">
        <v>21</v>
      </c>
      <c r="I153">
        <v>0</v>
      </c>
      <c r="J153" t="s">
        <v>24</v>
      </c>
    </row>
    <row r="154" spans="1:10" x14ac:dyDescent="0.25">
      <c r="A154" s="1">
        <v>59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"2026-05-03 09:07:02.270"</f>
        <v>2026-05-03 09:07:02.270</v>
      </c>
      <c r="H154" t="s">
        <v>21</v>
      </c>
    </row>
    <row r="155" spans="1:10" x14ac:dyDescent="0.25">
      <c r="A155" s="1">
        <v>60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"2026-05-03 01:26:42.281"</f>
        <v>2026-05-03 01:26:42.281</v>
      </c>
      <c r="H155" t="s">
        <v>21</v>
      </c>
      <c r="I155">
        <v>0</v>
      </c>
      <c r="J155" t="s">
        <v>32</v>
      </c>
    </row>
    <row r="156" spans="1:10" x14ac:dyDescent="0.25">
      <c r="A156" s="1">
        <v>61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"2026-05-02 17:05:17.449"</f>
        <v>2026-05-02 17:05:17.449</v>
      </c>
      <c r="H156" t="s">
        <v>21</v>
      </c>
      <c r="I156">
        <v>0</v>
      </c>
      <c r="J156" t="s">
        <v>32</v>
      </c>
    </row>
    <row r="157" spans="1:10" x14ac:dyDescent="0.25">
      <c r="A157" s="1">
        <v>62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"2026-05-02 15:32:35.385"</f>
        <v>2026-05-02 15:32:35.385</v>
      </c>
      <c r="H157" t="s">
        <v>21</v>
      </c>
    </row>
    <row r="158" spans="1:10" x14ac:dyDescent="0.25">
      <c r="A158" s="1">
        <v>63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"2026-05-02 14:16:29.298"</f>
        <v>2026-05-02 14:16:29.298</v>
      </c>
      <c r="H158" t="s">
        <v>21</v>
      </c>
      <c r="I158">
        <v>0</v>
      </c>
      <c r="J158" t="s">
        <v>32</v>
      </c>
    </row>
    <row r="159" spans="1:10" x14ac:dyDescent="0.25">
      <c r="A159" s="1">
        <v>64</v>
      </c>
      <c r="B159" t="s">
        <v>25</v>
      </c>
      <c r="C159">
        <v>635</v>
      </c>
      <c r="D159">
        <v>1</v>
      </c>
      <c r="E159" t="s">
        <v>45</v>
      </c>
      <c r="F159" t="s">
        <v>27</v>
      </c>
      <c r="G159" t="str">
        <f>"2026-05-02 04:02:18.145"</f>
        <v>2026-05-02 04:02:18.145</v>
      </c>
      <c r="H159" t="s">
        <v>21</v>
      </c>
    </row>
    <row r="160" spans="1:10" x14ac:dyDescent="0.25">
      <c r="A160" s="1">
        <v>65</v>
      </c>
      <c r="B160" t="s">
        <v>29</v>
      </c>
      <c r="C160">
        <v>635</v>
      </c>
      <c r="D160">
        <v>1</v>
      </c>
      <c r="E160" t="s">
        <v>45</v>
      </c>
      <c r="F160" t="s">
        <v>27</v>
      </c>
      <c r="G160" t="str">
        <f>"2026-05-02 03:56:59.145"</f>
        <v>2026-05-02 03:56:59.145</v>
      </c>
      <c r="H160" t="s">
        <v>21</v>
      </c>
      <c r="I160">
        <v>1.8</v>
      </c>
      <c r="J160" t="s">
        <v>42</v>
      </c>
    </row>
    <row r="161" spans="1:10" x14ac:dyDescent="0.25">
      <c r="A161" s="1">
        <v>66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"2026-05-02 00:39:03.287"</f>
        <v>2026-05-02 00:39:03.287</v>
      </c>
      <c r="H161" t="s">
        <v>21</v>
      </c>
    </row>
    <row r="162" spans="1:10" x14ac:dyDescent="0.25">
      <c r="A162" s="1">
        <v>67</v>
      </c>
      <c r="B162" t="s">
        <v>25</v>
      </c>
      <c r="C162">
        <v>635</v>
      </c>
      <c r="D162">
        <v>1</v>
      </c>
      <c r="E162" t="s">
        <v>45</v>
      </c>
      <c r="F162" t="s">
        <v>27</v>
      </c>
      <c r="G162" t="str">
        <f>"2026-05-01 22:49:20.619"</f>
        <v>2026-05-01 22:49:20.619</v>
      </c>
      <c r="H162" t="s">
        <v>21</v>
      </c>
    </row>
    <row r="163" spans="1:10" x14ac:dyDescent="0.25">
      <c r="A163" s="1">
        <v>68</v>
      </c>
      <c r="B163" t="s">
        <v>29</v>
      </c>
      <c r="C163">
        <v>635</v>
      </c>
      <c r="D163">
        <v>1</v>
      </c>
      <c r="E163" t="s">
        <v>45</v>
      </c>
      <c r="F163" t="s">
        <v>27</v>
      </c>
      <c r="G163" t="str">
        <f>"2026-05-01 22:12:15.719"</f>
        <v>2026-05-01 22:12:15.719</v>
      </c>
      <c r="H163" t="s">
        <v>21</v>
      </c>
      <c r="I163">
        <v>1.33</v>
      </c>
      <c r="J163" t="s">
        <v>42</v>
      </c>
    </row>
    <row r="164" spans="1:10" x14ac:dyDescent="0.25">
      <c r="A164" s="1">
        <v>69</v>
      </c>
      <c r="B164" t="s">
        <v>25</v>
      </c>
      <c r="C164">
        <v>635</v>
      </c>
      <c r="D164">
        <v>1</v>
      </c>
      <c r="E164" t="s">
        <v>45</v>
      </c>
      <c r="F164" t="s">
        <v>27</v>
      </c>
      <c r="G164" t="str">
        <f>"2026-05-01 18:43:48.519"</f>
        <v>2026-05-01 18:43:48.519</v>
      </c>
      <c r="H164" t="s">
        <v>21</v>
      </c>
    </row>
    <row r="165" spans="1:10" x14ac:dyDescent="0.25">
      <c r="A165" s="1">
        <v>70</v>
      </c>
      <c r="B165" t="s">
        <v>29</v>
      </c>
      <c r="C165">
        <v>635</v>
      </c>
      <c r="D165">
        <v>1</v>
      </c>
      <c r="E165" t="s">
        <v>45</v>
      </c>
      <c r="F165" t="s">
        <v>27</v>
      </c>
      <c r="G165" t="str">
        <f>"2026-05-01 18:36:39.519"</f>
        <v>2026-05-01 18:36:39.519</v>
      </c>
      <c r="H165" t="s">
        <v>21</v>
      </c>
      <c r="I165">
        <v>7.79</v>
      </c>
      <c r="J165" t="s">
        <v>42</v>
      </c>
    </row>
    <row r="166" spans="1:10" x14ac:dyDescent="0.25">
      <c r="A166" s="1">
        <v>71</v>
      </c>
      <c r="B166" t="s">
        <v>25</v>
      </c>
      <c r="C166">
        <v>635</v>
      </c>
      <c r="D166">
        <v>1</v>
      </c>
      <c r="E166" t="s">
        <v>45</v>
      </c>
      <c r="F166" t="s">
        <v>27</v>
      </c>
      <c r="G166" t="str">
        <f>"2026-05-01 17:08:00.719"</f>
        <v>2026-05-01 17:08:00.719</v>
      </c>
      <c r="H166" t="s">
        <v>21</v>
      </c>
    </row>
    <row r="167" spans="1:10" x14ac:dyDescent="0.25">
      <c r="A167" s="1">
        <v>72</v>
      </c>
      <c r="B167" t="s">
        <v>29</v>
      </c>
      <c r="C167">
        <v>635</v>
      </c>
      <c r="D167">
        <v>1</v>
      </c>
      <c r="E167" t="s">
        <v>45</v>
      </c>
      <c r="F167" t="s">
        <v>27</v>
      </c>
      <c r="G167" t="str">
        <f>"2026-05-01 17:05:03.219"</f>
        <v>2026-05-01 17:05:03.219</v>
      </c>
      <c r="H167" t="s">
        <v>21</v>
      </c>
      <c r="I167">
        <v>2.79</v>
      </c>
      <c r="J167" t="s">
        <v>37</v>
      </c>
    </row>
    <row r="168" spans="1:10" x14ac:dyDescent="0.25">
      <c r="A168" s="1">
        <v>73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"2026-05-01 14:02:36.258"</f>
        <v>2026-05-01 14:02:36.258</v>
      </c>
      <c r="H168" t="s">
        <v>21</v>
      </c>
    </row>
    <row r="169" spans="1:10" x14ac:dyDescent="0.25">
      <c r="A169" s="1">
        <v>74</v>
      </c>
      <c r="B169" t="s">
        <v>25</v>
      </c>
      <c r="C169">
        <v>635</v>
      </c>
      <c r="D169">
        <v>1</v>
      </c>
      <c r="E169" t="s">
        <v>45</v>
      </c>
      <c r="F169" t="s">
        <v>27</v>
      </c>
      <c r="G169" t="str">
        <f>"2026-05-01 12:18:40.336"</f>
        <v>2026-05-01 12:18:40.336</v>
      </c>
      <c r="H169" t="s">
        <v>21</v>
      </c>
    </row>
    <row r="170" spans="1:10" x14ac:dyDescent="0.25">
      <c r="A170" s="1">
        <v>75</v>
      </c>
      <c r="B170" t="s">
        <v>29</v>
      </c>
      <c r="C170">
        <v>635</v>
      </c>
      <c r="D170">
        <v>1</v>
      </c>
      <c r="E170" t="s">
        <v>45</v>
      </c>
      <c r="F170" t="s">
        <v>27</v>
      </c>
      <c r="G170" t="str">
        <f>"2026-05-01 12:15:52.336"</f>
        <v>2026-05-01 12:15:52.336</v>
      </c>
      <c r="H170" t="s">
        <v>21</v>
      </c>
      <c r="I170">
        <v>1.96</v>
      </c>
      <c r="J170" t="s">
        <v>37</v>
      </c>
    </row>
    <row r="171" spans="1:10" x14ac:dyDescent="0.25">
      <c r="A171" s="1">
        <v>76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"2026-05-01 05:47:15.474"</f>
        <v>2026-05-01 05:47:15.474</v>
      </c>
      <c r="H171" t="s">
        <v>21</v>
      </c>
    </row>
    <row r="172" spans="1:10" x14ac:dyDescent="0.25">
      <c r="A172" s="1">
        <v>77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"2026-05-01 02:09:49.280"</f>
        <v>2026-05-01 02:09:49.280</v>
      </c>
      <c r="H172" t="s">
        <v>21</v>
      </c>
      <c r="I172">
        <v>0</v>
      </c>
      <c r="J172" t="s">
        <v>32</v>
      </c>
    </row>
    <row r="173" spans="1:10" x14ac:dyDescent="0.25">
      <c r="A173" s="1">
        <v>78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"2026-04-30 22:54:07.276"</f>
        <v>2026-04-30 22:54:07.276</v>
      </c>
      <c r="H173" t="s">
        <v>21</v>
      </c>
    </row>
    <row r="174" spans="1:10" x14ac:dyDescent="0.25">
      <c r="A174" s="1">
        <v>79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"2026-04-30 13:48:08.391"</f>
        <v>2026-04-30 13:48:08.391</v>
      </c>
      <c r="H174" t="s">
        <v>21</v>
      </c>
      <c r="I174">
        <v>0</v>
      </c>
      <c r="J174" t="s">
        <v>32</v>
      </c>
    </row>
    <row r="175" spans="1:10" x14ac:dyDescent="0.25">
      <c r="A175" s="1">
        <v>80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"2026-04-30 13:28:16.291"</f>
        <v>2026-04-30 13:28:16.291</v>
      </c>
      <c r="H175" t="s">
        <v>21</v>
      </c>
      <c r="I175">
        <v>0</v>
      </c>
      <c r="J175" t="s">
        <v>32</v>
      </c>
    </row>
    <row r="176" spans="1:10" x14ac:dyDescent="0.25">
      <c r="A176" s="1">
        <v>81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"2026-04-30 08:00:18.476"</f>
        <v>2026-04-30 08:00:18.476</v>
      </c>
      <c r="H176" t="s">
        <v>21</v>
      </c>
      <c r="I176">
        <v>0</v>
      </c>
      <c r="J176" t="s">
        <v>32</v>
      </c>
    </row>
    <row r="177" spans="1:10" x14ac:dyDescent="0.25">
      <c r="A177" s="1">
        <v>82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"2026-04-30 00:23:17.289"</f>
        <v>2026-04-30 00:23:17.289</v>
      </c>
      <c r="H177" t="s">
        <v>21</v>
      </c>
    </row>
    <row r="178" spans="1:10" x14ac:dyDescent="0.25">
      <c r="A178" s="1">
        <v>83</v>
      </c>
      <c r="B178" t="s">
        <v>25</v>
      </c>
      <c r="C178">
        <v>619</v>
      </c>
      <c r="D178">
        <v>1</v>
      </c>
      <c r="E178" t="s">
        <v>26</v>
      </c>
      <c r="F178" t="s">
        <v>27</v>
      </c>
      <c r="G178" t="str">
        <f>"2026-04-29 15:07:58.401"</f>
        <v>2026-04-29 15:07:58.401</v>
      </c>
      <c r="H178" t="s">
        <v>28</v>
      </c>
    </row>
    <row r="179" spans="1:10" x14ac:dyDescent="0.25">
      <c r="A179" s="1">
        <v>84</v>
      </c>
      <c r="B179" t="s">
        <v>29</v>
      </c>
      <c r="C179">
        <v>619</v>
      </c>
      <c r="D179">
        <v>1</v>
      </c>
      <c r="E179" t="s">
        <v>26</v>
      </c>
      <c r="F179" t="s">
        <v>27</v>
      </c>
      <c r="G179" t="str">
        <f>"2026-04-29 15:06:58.749"</f>
        <v>2026-04-29 15:06:58.749</v>
      </c>
      <c r="H179" t="s">
        <v>28</v>
      </c>
      <c r="I179">
        <v>0</v>
      </c>
      <c r="J179" t="s">
        <v>37</v>
      </c>
    </row>
    <row r="180" spans="1:10" x14ac:dyDescent="0.25">
      <c r="A180" s="1">
        <v>85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"2026-04-29 15:06:30.340"</f>
        <v>2026-04-29 15:06:30.340</v>
      </c>
      <c r="H180" t="s">
        <v>21</v>
      </c>
      <c r="I180">
        <v>0</v>
      </c>
      <c r="J180" t="s">
        <v>32</v>
      </c>
    </row>
    <row r="181" spans="1:10" x14ac:dyDescent="0.25">
      <c r="A181" s="1">
        <v>86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"2026-04-29 14:45:27.300"</f>
        <v>2026-04-29 14:45:27.300</v>
      </c>
      <c r="H181" t="s">
        <v>21</v>
      </c>
      <c r="I181">
        <v>0</v>
      </c>
      <c r="J181" t="s">
        <v>32</v>
      </c>
    </row>
    <row r="182" spans="1:10" x14ac:dyDescent="0.25">
      <c r="A182" s="1">
        <v>87</v>
      </c>
      <c r="B182" t="s">
        <v>25</v>
      </c>
      <c r="C182">
        <v>635</v>
      </c>
      <c r="D182">
        <v>1</v>
      </c>
      <c r="E182" t="s">
        <v>45</v>
      </c>
      <c r="F182" t="s">
        <v>27</v>
      </c>
      <c r="G182" t="str">
        <f>"2026-04-29 04:29:00.154"</f>
        <v>2026-04-29 04:29:00.154</v>
      </c>
      <c r="H182" t="s">
        <v>21</v>
      </c>
    </row>
    <row r="183" spans="1:10" x14ac:dyDescent="0.25">
      <c r="A183" s="1">
        <v>88</v>
      </c>
      <c r="B183" t="s">
        <v>29</v>
      </c>
      <c r="C183">
        <v>635</v>
      </c>
      <c r="D183">
        <v>1</v>
      </c>
      <c r="E183" t="s">
        <v>45</v>
      </c>
      <c r="F183" t="s">
        <v>27</v>
      </c>
      <c r="G183" t="str">
        <f>"2026-04-29 04:01:33.754"</f>
        <v>2026-04-29 04:01:33.754</v>
      </c>
      <c r="H183" t="s">
        <v>21</v>
      </c>
      <c r="I183">
        <v>6.87</v>
      </c>
      <c r="J183" t="s">
        <v>42</v>
      </c>
    </row>
    <row r="184" spans="1:10" x14ac:dyDescent="0.25">
      <c r="A184" s="1">
        <v>89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"2026-04-29 01:19:19.287"</f>
        <v>2026-04-29 01:19:19.287</v>
      </c>
      <c r="H184" t="s">
        <v>21</v>
      </c>
    </row>
    <row r="185" spans="1:10" x14ac:dyDescent="0.25">
      <c r="A185" s="1">
        <v>90</v>
      </c>
      <c r="B185" t="s">
        <v>19</v>
      </c>
      <c r="C185">
        <v>706</v>
      </c>
      <c r="D185">
        <v>2</v>
      </c>
      <c r="E185" t="s">
        <v>22</v>
      </c>
      <c r="F185" t="s">
        <v>53</v>
      </c>
      <c r="G185" t="str">
        <f>"2026-04-28 15:09:08.290"</f>
        <v>2026-04-28 15:09:08.290</v>
      </c>
      <c r="H185" t="s">
        <v>21</v>
      </c>
      <c r="I185">
        <v>0</v>
      </c>
      <c r="J185" t="s">
        <v>24</v>
      </c>
    </row>
    <row r="186" spans="1:10" x14ac:dyDescent="0.25">
      <c r="A186" s="1">
        <v>91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"2026-04-28 14:58:55.370"</f>
        <v>2026-04-28 14:58:55.370</v>
      </c>
      <c r="H186" t="s">
        <v>21</v>
      </c>
    </row>
    <row r="187" spans="1:10" x14ac:dyDescent="0.25">
      <c r="A187" s="1">
        <v>92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"2026-04-28 14:00:26.462"</f>
        <v>2026-04-28 14:00:26.462</v>
      </c>
      <c r="H187" t="s">
        <v>21</v>
      </c>
      <c r="I187">
        <v>0</v>
      </c>
      <c r="J187" t="s">
        <v>32</v>
      </c>
    </row>
    <row r="188" spans="1:10" x14ac:dyDescent="0.25">
      <c r="A188" s="1">
        <v>93</v>
      </c>
      <c r="B188" t="s">
        <v>25</v>
      </c>
      <c r="C188">
        <v>635</v>
      </c>
      <c r="D188">
        <v>1</v>
      </c>
      <c r="E188" t="s">
        <v>45</v>
      </c>
      <c r="F188" t="s">
        <v>27</v>
      </c>
      <c r="G188" t="str">
        <f>"2026-04-28 07:21:46.352"</f>
        <v>2026-04-28 07:21:46.352</v>
      </c>
      <c r="H188" t="s">
        <v>21</v>
      </c>
    </row>
    <row r="189" spans="1:10" x14ac:dyDescent="0.25">
      <c r="A189" s="1">
        <v>94</v>
      </c>
      <c r="B189" t="s">
        <v>29</v>
      </c>
      <c r="C189">
        <v>635</v>
      </c>
      <c r="D189">
        <v>1</v>
      </c>
      <c r="E189" t="s">
        <v>45</v>
      </c>
      <c r="F189" t="s">
        <v>27</v>
      </c>
      <c r="G189" t="str">
        <f>"2026-04-28 06:56:53.452"</f>
        <v>2026-04-28 06:56:53.452</v>
      </c>
      <c r="H189" t="s">
        <v>21</v>
      </c>
      <c r="I189">
        <v>8.23</v>
      </c>
      <c r="J189" t="s">
        <v>42</v>
      </c>
    </row>
    <row r="190" spans="1:10" x14ac:dyDescent="0.25">
      <c r="A190" s="1">
        <v>95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"2026-04-28 00:47:17.294"</f>
        <v>2026-04-28 00:47:17.294</v>
      </c>
      <c r="H190" t="s">
        <v>21</v>
      </c>
      <c r="I190">
        <v>0</v>
      </c>
      <c r="J190" t="s">
        <v>32</v>
      </c>
    </row>
    <row r="191" spans="1:10" x14ac:dyDescent="0.25">
      <c r="A191" s="1">
        <v>96</v>
      </c>
      <c r="B191" t="s">
        <v>25</v>
      </c>
      <c r="C191">
        <v>61</v>
      </c>
      <c r="D191">
        <v>2</v>
      </c>
      <c r="E191" t="s">
        <v>57</v>
      </c>
      <c r="F191" t="s">
        <v>58</v>
      </c>
      <c r="G191" t="str">
        <f>"2026-04-27 20:27:54.860"</f>
        <v>2026-04-27 20:27:54.860</v>
      </c>
      <c r="H191" t="s">
        <v>21</v>
      </c>
    </row>
    <row r="192" spans="1:10" x14ac:dyDescent="0.25">
      <c r="A192" s="1">
        <v>97</v>
      </c>
      <c r="B192" t="s">
        <v>33</v>
      </c>
      <c r="C192">
        <v>61</v>
      </c>
      <c r="D192">
        <v>2</v>
      </c>
      <c r="E192" t="s">
        <v>57</v>
      </c>
      <c r="F192" t="s">
        <v>58</v>
      </c>
      <c r="G192" t="str">
        <f>"2026-04-27 20:27:44.460"</f>
        <v>2026-04-27 20:27:44.460</v>
      </c>
      <c r="H192" t="s">
        <v>21</v>
      </c>
      <c r="I192">
        <v>37.26</v>
      </c>
      <c r="J192" t="s">
        <v>54</v>
      </c>
    </row>
    <row r="193" spans="1:10" x14ac:dyDescent="0.25">
      <c r="A193" s="1">
        <v>98</v>
      </c>
      <c r="B193" t="s">
        <v>25</v>
      </c>
      <c r="C193">
        <v>635</v>
      </c>
      <c r="D193">
        <v>1</v>
      </c>
      <c r="E193" t="s">
        <v>45</v>
      </c>
      <c r="F193" t="s">
        <v>27</v>
      </c>
      <c r="G193" t="str">
        <f>"2026-04-27 16:16:06.247"</f>
        <v>2026-04-27 16:16:06.247</v>
      </c>
      <c r="H193" t="s">
        <v>21</v>
      </c>
    </row>
    <row r="194" spans="1:10" x14ac:dyDescent="0.25">
      <c r="A194" s="1">
        <v>99</v>
      </c>
      <c r="B194" t="s">
        <v>29</v>
      </c>
      <c r="C194">
        <v>635</v>
      </c>
      <c r="D194">
        <v>1</v>
      </c>
      <c r="E194" t="s">
        <v>45</v>
      </c>
      <c r="F194" t="s">
        <v>27</v>
      </c>
      <c r="G194" t="str">
        <f>"2026-04-27 16:12:21.247"</f>
        <v>2026-04-27 16:12:21.247</v>
      </c>
      <c r="H194" t="s">
        <v>21</v>
      </c>
      <c r="I194">
        <v>0.63</v>
      </c>
      <c r="J194" t="s">
        <v>42</v>
      </c>
    </row>
    <row r="195" spans="1:10" x14ac:dyDescent="0.25">
      <c r="A195" s="1">
        <v>0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"2026-04-27 14:39:36.379"</f>
        <v>2026-04-27 14:39:36.379</v>
      </c>
      <c r="H195" t="s">
        <v>21</v>
      </c>
    </row>
    <row r="196" spans="1:10" x14ac:dyDescent="0.25">
      <c r="A196" s="1">
        <v>1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"2026-04-27 13:42:28.288"</f>
        <v>2026-04-27 13:42:28.288</v>
      </c>
      <c r="H196" t="s">
        <v>21</v>
      </c>
      <c r="I196">
        <v>0</v>
      </c>
      <c r="J196" t="s">
        <v>32</v>
      </c>
    </row>
    <row r="197" spans="1:10" x14ac:dyDescent="0.25">
      <c r="A197" s="1">
        <v>2</v>
      </c>
      <c r="B197" t="s">
        <v>19</v>
      </c>
      <c r="C197">
        <v>706</v>
      </c>
      <c r="D197">
        <v>4</v>
      </c>
      <c r="E197" t="s">
        <v>22</v>
      </c>
      <c r="F197" t="s">
        <v>31</v>
      </c>
      <c r="G197" t="str">
        <f>"2026-04-27 10:14:41.266"</f>
        <v>2026-04-27 10:14:41.266</v>
      </c>
      <c r="H197" t="s">
        <v>21</v>
      </c>
      <c r="I197">
        <v>0</v>
      </c>
      <c r="J197" t="s">
        <v>24</v>
      </c>
    </row>
    <row r="198" spans="1:10" x14ac:dyDescent="0.25">
      <c r="A198" s="1">
        <v>3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"2026-04-27 10:14:21.276"</f>
        <v>2026-04-27 10:14:21.276</v>
      </c>
      <c r="H198" t="s">
        <v>21</v>
      </c>
    </row>
    <row r="199" spans="1:10" x14ac:dyDescent="0.25">
      <c r="A199" s="1">
        <v>4</v>
      </c>
      <c r="B199" t="s">
        <v>25</v>
      </c>
      <c r="C199">
        <v>635</v>
      </c>
      <c r="D199">
        <v>1</v>
      </c>
      <c r="E199" t="s">
        <v>45</v>
      </c>
      <c r="F199" t="s">
        <v>27</v>
      </c>
      <c r="G199" t="str">
        <f>"2026-04-27 07:16:12.450"</f>
        <v>2026-04-27 07:16:12.450</v>
      </c>
      <c r="H199" t="s">
        <v>21</v>
      </c>
    </row>
    <row r="200" spans="1:10" x14ac:dyDescent="0.25">
      <c r="A200" s="1">
        <v>5</v>
      </c>
      <c r="B200" t="s">
        <v>29</v>
      </c>
      <c r="C200">
        <v>635</v>
      </c>
      <c r="D200">
        <v>1</v>
      </c>
      <c r="E200" t="s">
        <v>45</v>
      </c>
      <c r="F200" t="s">
        <v>27</v>
      </c>
      <c r="G200" t="str">
        <f>"2026-04-27 07:12:55.950"</f>
        <v>2026-04-27 07:12:55.950</v>
      </c>
      <c r="H200" t="s">
        <v>21</v>
      </c>
      <c r="I200">
        <v>2.6</v>
      </c>
      <c r="J200" t="s">
        <v>54</v>
      </c>
    </row>
    <row r="201" spans="1:10" x14ac:dyDescent="0.25">
      <c r="A201" s="1">
        <v>6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"2026-04-27 01:45:59.293"</f>
        <v>2026-04-27 01:45:59.293</v>
      </c>
      <c r="H201" t="s">
        <v>21</v>
      </c>
      <c r="I201">
        <v>0</v>
      </c>
      <c r="J201" t="s">
        <v>32</v>
      </c>
    </row>
    <row r="202" spans="1:10" x14ac:dyDescent="0.25">
      <c r="A202" s="1">
        <v>7</v>
      </c>
      <c r="B202" t="s">
        <v>25</v>
      </c>
      <c r="C202">
        <v>635</v>
      </c>
      <c r="D202">
        <v>1</v>
      </c>
      <c r="E202" t="s">
        <v>45</v>
      </c>
      <c r="F202" t="s">
        <v>27</v>
      </c>
      <c r="G202" t="str">
        <f>"2026-04-26 17:49:21.155"</f>
        <v>2026-04-26 17:49:21.155</v>
      </c>
      <c r="H202" t="s">
        <v>21</v>
      </c>
    </row>
    <row r="203" spans="1:10" x14ac:dyDescent="0.25">
      <c r="A203" s="1">
        <v>8</v>
      </c>
      <c r="B203" t="s">
        <v>29</v>
      </c>
      <c r="C203">
        <v>635</v>
      </c>
      <c r="D203">
        <v>1</v>
      </c>
      <c r="E203" t="s">
        <v>45</v>
      </c>
      <c r="F203" t="s">
        <v>27</v>
      </c>
      <c r="G203" t="str">
        <f>"2026-04-26 17:44:30.656"</f>
        <v>2026-04-26 17:44:30.656</v>
      </c>
      <c r="H203" t="s">
        <v>21</v>
      </c>
      <c r="I203">
        <v>4.1900000000000004</v>
      </c>
      <c r="J203" t="s">
        <v>37</v>
      </c>
    </row>
    <row r="204" spans="1:10" x14ac:dyDescent="0.25">
      <c r="A204" s="1">
        <v>9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"2026-04-26 14:05:37.286"</f>
        <v>2026-04-26 14:05:37.286</v>
      </c>
      <c r="H204" t="s">
        <v>21</v>
      </c>
    </row>
    <row r="205" spans="1:10" x14ac:dyDescent="0.25">
      <c r="A205" s="1">
        <v>10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"2026-04-26 09:45:24.266"</f>
        <v>2026-04-26 09:45:24.266</v>
      </c>
      <c r="H205" t="s">
        <v>21</v>
      </c>
    </row>
    <row r="206" spans="1:10" x14ac:dyDescent="0.25">
      <c r="A206" s="1">
        <v>11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"2026-04-26 00:52:08.286"</f>
        <v>2026-04-26 00:52:08.286</v>
      </c>
      <c r="H206" t="s">
        <v>21</v>
      </c>
    </row>
    <row r="207" spans="1:10" x14ac:dyDescent="0.25">
      <c r="A207" s="1">
        <v>12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"2026-04-25 14:35:18.468"</f>
        <v>2026-04-25 14:35:18.468</v>
      </c>
      <c r="H207" t="s">
        <v>21</v>
      </c>
    </row>
    <row r="208" spans="1:10" x14ac:dyDescent="0.25">
      <c r="A208" s="1">
        <v>13</v>
      </c>
      <c r="B208" t="s">
        <v>19</v>
      </c>
      <c r="C208">
        <v>706</v>
      </c>
      <c r="D208">
        <v>4</v>
      </c>
      <c r="E208" t="s">
        <v>22</v>
      </c>
      <c r="F208" t="s">
        <v>31</v>
      </c>
      <c r="G208" t="str">
        <f>"2026-04-25 08:21:33.870"</f>
        <v>2026-04-25 08:21:33.870</v>
      </c>
      <c r="H208" t="s">
        <v>21</v>
      </c>
      <c r="I208">
        <v>0</v>
      </c>
      <c r="J208" t="s">
        <v>24</v>
      </c>
    </row>
    <row r="209" spans="1:10" x14ac:dyDescent="0.25">
      <c r="A209" s="1">
        <v>14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"2026-04-25 08:20:13.280"</f>
        <v>2026-04-25 08:20:13.280</v>
      </c>
      <c r="H209" t="s">
        <v>21</v>
      </c>
    </row>
    <row r="210" spans="1:10" x14ac:dyDescent="0.25">
      <c r="A210" s="1">
        <v>15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"2026-04-25 01:09:01.280"</f>
        <v>2026-04-25 01:09:01.280</v>
      </c>
      <c r="H210" t="s">
        <v>21</v>
      </c>
    </row>
    <row r="211" spans="1:10" x14ac:dyDescent="0.25">
      <c r="A211" s="1">
        <v>16</v>
      </c>
      <c r="B211" t="s">
        <v>25</v>
      </c>
      <c r="C211">
        <v>635</v>
      </c>
      <c r="D211">
        <v>1</v>
      </c>
      <c r="E211" t="s">
        <v>45</v>
      </c>
      <c r="F211" t="s">
        <v>27</v>
      </c>
      <c r="G211" t="str">
        <f>"2026-04-24 17:00:28.728"</f>
        <v>2026-04-24 17:00:28.728</v>
      </c>
      <c r="H211" t="s">
        <v>21</v>
      </c>
    </row>
    <row r="212" spans="1:10" x14ac:dyDescent="0.25">
      <c r="A212" s="1">
        <v>17</v>
      </c>
      <c r="B212" t="s">
        <v>29</v>
      </c>
      <c r="C212">
        <v>635</v>
      </c>
      <c r="D212">
        <v>1</v>
      </c>
      <c r="E212" t="s">
        <v>45</v>
      </c>
      <c r="F212" t="s">
        <v>27</v>
      </c>
      <c r="G212" t="str">
        <f>"2026-04-24 16:54:29.728"</f>
        <v>2026-04-24 16:54:29.728</v>
      </c>
      <c r="H212" t="s">
        <v>21</v>
      </c>
      <c r="I212">
        <v>6.42</v>
      </c>
      <c r="J212" t="s">
        <v>37</v>
      </c>
    </row>
    <row r="213" spans="1:10" x14ac:dyDescent="0.25">
      <c r="A213" s="1">
        <v>18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"2026-04-24 14:06:47.361"</f>
        <v>2026-04-24 14:06:47.361</v>
      </c>
      <c r="H213" t="s">
        <v>21</v>
      </c>
    </row>
    <row r="214" spans="1:10" x14ac:dyDescent="0.25">
      <c r="A214" s="1">
        <v>19</v>
      </c>
      <c r="B214" t="s">
        <v>25</v>
      </c>
      <c r="C214">
        <v>635</v>
      </c>
      <c r="D214">
        <v>1</v>
      </c>
      <c r="E214" t="s">
        <v>45</v>
      </c>
      <c r="F214" t="s">
        <v>27</v>
      </c>
      <c r="G214" t="str">
        <f>"2026-04-24 12:29:45.279"</f>
        <v>2026-04-24 12:29:45.279</v>
      </c>
      <c r="H214" t="s">
        <v>21</v>
      </c>
    </row>
    <row r="215" spans="1:10" x14ac:dyDescent="0.25">
      <c r="A215" s="1">
        <v>20</v>
      </c>
      <c r="B215" t="s">
        <v>29</v>
      </c>
      <c r="C215">
        <v>635</v>
      </c>
      <c r="D215">
        <v>1</v>
      </c>
      <c r="E215" t="s">
        <v>45</v>
      </c>
      <c r="F215" t="s">
        <v>27</v>
      </c>
      <c r="G215" t="str">
        <f>"2026-04-24 12:27:11.279"</f>
        <v>2026-04-24 12:27:11.279</v>
      </c>
      <c r="H215" t="s">
        <v>21</v>
      </c>
      <c r="I215">
        <v>3.19</v>
      </c>
      <c r="J215" t="s">
        <v>42</v>
      </c>
    </row>
    <row r="216" spans="1:10" x14ac:dyDescent="0.25">
      <c r="A216" s="1">
        <v>21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"2026-04-23 18:54:52.260"</f>
        <v>2026-04-23 18:54:52.260</v>
      </c>
      <c r="H216" t="s">
        <v>21</v>
      </c>
      <c r="I216">
        <v>0</v>
      </c>
      <c r="J216" t="s">
        <v>32</v>
      </c>
    </row>
    <row r="217" spans="1:10" x14ac:dyDescent="0.25">
      <c r="A217" s="1">
        <v>22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"2026-04-23 18:27:22.242"</f>
        <v>2026-04-23 18:27:22.242</v>
      </c>
      <c r="H217" t="s">
        <v>21</v>
      </c>
    </row>
    <row r="218" spans="1:10" x14ac:dyDescent="0.25">
      <c r="A218" s="1">
        <v>23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"2026-04-23 13:38:16.439"</f>
        <v>2026-04-23 13:38:16.439</v>
      </c>
      <c r="H218" t="s">
        <v>21</v>
      </c>
    </row>
    <row r="219" spans="1:10" x14ac:dyDescent="0.25">
      <c r="A219" s="1">
        <v>24</v>
      </c>
      <c r="B219" t="s">
        <v>25</v>
      </c>
      <c r="C219">
        <v>635</v>
      </c>
      <c r="D219">
        <v>1</v>
      </c>
      <c r="E219" t="s">
        <v>45</v>
      </c>
      <c r="F219" t="s">
        <v>27</v>
      </c>
      <c r="G219" t="str">
        <f>"2026-04-23 08:45:14.696"</f>
        <v>2026-04-23 08:45:14.696</v>
      </c>
      <c r="H219" t="s">
        <v>21</v>
      </c>
    </row>
    <row r="220" spans="1:10" x14ac:dyDescent="0.25">
      <c r="A220" s="1">
        <v>25</v>
      </c>
      <c r="B220" t="s">
        <v>29</v>
      </c>
      <c r="C220">
        <v>635</v>
      </c>
      <c r="D220">
        <v>1</v>
      </c>
      <c r="E220" t="s">
        <v>45</v>
      </c>
      <c r="F220" t="s">
        <v>27</v>
      </c>
      <c r="G220" t="str">
        <f>"2026-04-23 08:40:21.696"</f>
        <v>2026-04-23 08:40:21.696</v>
      </c>
      <c r="H220" t="s">
        <v>21</v>
      </c>
      <c r="I220">
        <v>2.71</v>
      </c>
      <c r="J220" t="s">
        <v>37</v>
      </c>
    </row>
    <row r="221" spans="1:10" x14ac:dyDescent="0.25">
      <c r="A221" s="1">
        <v>26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"2026-04-23 00:42:56.268"</f>
        <v>2026-04-23 00:42:56.268</v>
      </c>
      <c r="H221" t="s">
        <v>21</v>
      </c>
      <c r="I221">
        <v>0</v>
      </c>
      <c r="J221" t="s">
        <v>32</v>
      </c>
    </row>
    <row r="222" spans="1:10" x14ac:dyDescent="0.25">
      <c r="A222" s="1">
        <v>27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"2026-04-22 17:19:14.340"</f>
        <v>2026-04-22 17:19:14.340</v>
      </c>
      <c r="H222" t="s">
        <v>21</v>
      </c>
      <c r="I222">
        <v>0</v>
      </c>
      <c r="J222" t="s">
        <v>32</v>
      </c>
    </row>
    <row r="223" spans="1:10" x14ac:dyDescent="0.25">
      <c r="A223" s="1">
        <v>28</v>
      </c>
      <c r="B223" t="s">
        <v>19</v>
      </c>
      <c r="C223">
        <v>706</v>
      </c>
      <c r="D223">
        <v>2</v>
      </c>
      <c r="E223" t="s">
        <v>22</v>
      </c>
      <c r="F223" t="s">
        <v>53</v>
      </c>
      <c r="G223" t="str">
        <f>"2026-04-22 16:18:03.349"</f>
        <v>2026-04-22 16:18:03.349</v>
      </c>
      <c r="H223" t="s">
        <v>21</v>
      </c>
      <c r="I223">
        <v>0</v>
      </c>
      <c r="J223" t="s">
        <v>30</v>
      </c>
    </row>
    <row r="224" spans="1:10" x14ac:dyDescent="0.25">
      <c r="A224" s="1">
        <v>29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"2026-04-22 16:15:38.249"</f>
        <v>2026-04-22 16:15:38.249</v>
      </c>
      <c r="H224" t="s">
        <v>21</v>
      </c>
      <c r="I224">
        <v>0</v>
      </c>
      <c r="J224" t="s">
        <v>32</v>
      </c>
    </row>
    <row r="225" spans="1:10" x14ac:dyDescent="0.25">
      <c r="A225" s="1">
        <v>30</v>
      </c>
      <c r="B225" t="s">
        <v>19</v>
      </c>
      <c r="C225">
        <v>706</v>
      </c>
      <c r="D225">
        <v>4</v>
      </c>
      <c r="E225" t="s">
        <v>22</v>
      </c>
      <c r="F225" t="s">
        <v>31</v>
      </c>
      <c r="G225" t="str">
        <f>"2026-04-22 15:32:53.449"</f>
        <v>2026-04-22 15:32:53.449</v>
      </c>
      <c r="H225" t="s">
        <v>21</v>
      </c>
      <c r="I225">
        <v>0</v>
      </c>
      <c r="J225" t="s">
        <v>24</v>
      </c>
    </row>
    <row r="226" spans="1:10" x14ac:dyDescent="0.25">
      <c r="A226" s="1">
        <v>31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"2026-04-22 15:27:35.259"</f>
        <v>2026-04-22 15:27:35.259</v>
      </c>
      <c r="H226" t="s">
        <v>21</v>
      </c>
      <c r="I226">
        <v>0</v>
      </c>
      <c r="J226" t="s">
        <v>32</v>
      </c>
    </row>
    <row r="227" spans="1:10" x14ac:dyDescent="0.25">
      <c r="A227" s="1">
        <v>32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"2026-04-22 14:53:43.251"</f>
        <v>2026-04-22 14:53:43.251</v>
      </c>
      <c r="H227" t="s">
        <v>21</v>
      </c>
      <c r="I227">
        <v>0</v>
      </c>
      <c r="J227" t="s">
        <v>32</v>
      </c>
    </row>
    <row r="228" spans="1:10" x14ac:dyDescent="0.25">
      <c r="A228" s="1">
        <v>33</v>
      </c>
      <c r="B228" t="s">
        <v>33</v>
      </c>
      <c r="C228">
        <v>630</v>
      </c>
      <c r="D228">
        <v>5</v>
      </c>
      <c r="E228" t="s">
        <v>51</v>
      </c>
      <c r="F228" t="s">
        <v>52</v>
      </c>
      <c r="G228" t="str">
        <f>"2026-04-22 11:31:47.280"</f>
        <v>2026-04-22 11:31:47.280</v>
      </c>
      <c r="H228" t="s">
        <v>40</v>
      </c>
      <c r="I228">
        <v>0</v>
      </c>
      <c r="J228" t="s">
        <v>24</v>
      </c>
    </row>
    <row r="229" spans="1:10" x14ac:dyDescent="0.25">
      <c r="A229" s="1">
        <v>34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"2026-04-22 11:26:44.506"</f>
        <v>2026-04-22 11:26:44.506</v>
      </c>
      <c r="H229" t="s">
        <v>21</v>
      </c>
      <c r="I229">
        <v>0</v>
      </c>
      <c r="J229" t="s">
        <v>32</v>
      </c>
    </row>
    <row r="230" spans="1:10" x14ac:dyDescent="0.25">
      <c r="A230" s="1">
        <v>35</v>
      </c>
      <c r="B230" t="s">
        <v>25</v>
      </c>
      <c r="C230">
        <v>635</v>
      </c>
      <c r="D230">
        <v>1</v>
      </c>
      <c r="E230" t="s">
        <v>45</v>
      </c>
      <c r="F230" t="s">
        <v>27</v>
      </c>
      <c r="G230" t="str">
        <f>"2026-04-22 10:07:23.865"</f>
        <v>2026-04-22 10:07:23.865</v>
      </c>
      <c r="H230" t="s">
        <v>21</v>
      </c>
    </row>
    <row r="231" spans="1:10" x14ac:dyDescent="0.25">
      <c r="A231" s="1">
        <v>36</v>
      </c>
      <c r="B231" t="s">
        <v>29</v>
      </c>
      <c r="C231">
        <v>635</v>
      </c>
      <c r="D231">
        <v>1</v>
      </c>
      <c r="E231" t="s">
        <v>45</v>
      </c>
      <c r="F231" t="s">
        <v>27</v>
      </c>
      <c r="G231" t="str">
        <f>"2026-04-22 10:01:34.365"</f>
        <v>2026-04-22 10:01:34.365</v>
      </c>
      <c r="H231" t="s">
        <v>21</v>
      </c>
      <c r="I231">
        <v>2.57</v>
      </c>
      <c r="J231" t="s">
        <v>37</v>
      </c>
    </row>
    <row r="232" spans="1:10" x14ac:dyDescent="0.25">
      <c r="A232" s="1">
        <v>37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"2026-04-22 09:10:58.294"</f>
        <v>2026-04-22 09:10:58.294</v>
      </c>
      <c r="H232" t="s">
        <v>21</v>
      </c>
      <c r="I232">
        <v>0</v>
      </c>
      <c r="J232" t="s">
        <v>32</v>
      </c>
    </row>
    <row r="233" spans="1:10" x14ac:dyDescent="0.25">
      <c r="A233" s="1">
        <v>38</v>
      </c>
      <c r="B233" t="s">
        <v>25</v>
      </c>
      <c r="C233">
        <v>635</v>
      </c>
      <c r="D233">
        <v>1</v>
      </c>
      <c r="E233" t="s">
        <v>45</v>
      </c>
      <c r="F233" t="s">
        <v>27</v>
      </c>
      <c r="G233" t="str">
        <f>"2026-04-21 22:55:58.606"</f>
        <v>2026-04-21 22:55:58.606</v>
      </c>
      <c r="H233" t="s">
        <v>21</v>
      </c>
    </row>
    <row r="234" spans="1:10" x14ac:dyDescent="0.25">
      <c r="A234" s="1">
        <v>39</v>
      </c>
      <c r="B234" t="s">
        <v>29</v>
      </c>
      <c r="C234">
        <v>635</v>
      </c>
      <c r="D234">
        <v>1</v>
      </c>
      <c r="E234" t="s">
        <v>45</v>
      </c>
      <c r="F234" t="s">
        <v>27</v>
      </c>
      <c r="G234" t="str">
        <f>"2026-04-21 22:52:03.106"</f>
        <v>2026-04-21 22:52:03.106</v>
      </c>
      <c r="H234" t="s">
        <v>21</v>
      </c>
      <c r="I234">
        <v>1.97</v>
      </c>
      <c r="J234" t="s">
        <v>54</v>
      </c>
    </row>
    <row r="235" spans="1:10" x14ac:dyDescent="0.25">
      <c r="A235" s="1">
        <v>40</v>
      </c>
      <c r="B235" t="s">
        <v>19</v>
      </c>
      <c r="C235">
        <v>706</v>
      </c>
      <c r="D235">
        <v>4</v>
      </c>
      <c r="E235" t="s">
        <v>22</v>
      </c>
      <c r="F235" t="s">
        <v>31</v>
      </c>
      <c r="G235" t="str">
        <f>"2026-04-21 13:55:37.177"</f>
        <v>2026-04-21 13:55:37.177</v>
      </c>
      <c r="H235" t="s">
        <v>21</v>
      </c>
      <c r="I235">
        <v>0</v>
      </c>
      <c r="J235" t="s">
        <v>24</v>
      </c>
    </row>
    <row r="236" spans="1:10" x14ac:dyDescent="0.25">
      <c r="A236" s="1">
        <v>41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"2026-04-21 13:55:15.437"</f>
        <v>2026-04-21 13:55:15.437</v>
      </c>
      <c r="H236" t="s">
        <v>21</v>
      </c>
    </row>
    <row r="237" spans="1:10" x14ac:dyDescent="0.25">
      <c r="A237" s="1">
        <v>42</v>
      </c>
      <c r="B237" t="s">
        <v>25</v>
      </c>
      <c r="C237">
        <v>635</v>
      </c>
      <c r="D237">
        <v>1</v>
      </c>
      <c r="E237" t="s">
        <v>45</v>
      </c>
      <c r="F237" t="s">
        <v>27</v>
      </c>
      <c r="G237" t="str">
        <f>"2026-04-21 04:25:11.654"</f>
        <v>2026-04-21 04:25:11.654</v>
      </c>
      <c r="H237" t="s">
        <v>21</v>
      </c>
    </row>
    <row r="238" spans="1:10" x14ac:dyDescent="0.25">
      <c r="A238" s="1">
        <v>43</v>
      </c>
      <c r="B238" t="s">
        <v>29</v>
      </c>
      <c r="C238">
        <v>635</v>
      </c>
      <c r="D238">
        <v>1</v>
      </c>
      <c r="E238" t="s">
        <v>45</v>
      </c>
      <c r="F238" t="s">
        <v>27</v>
      </c>
      <c r="G238" t="str">
        <f>"2026-04-21 04:22:21.654"</f>
        <v>2026-04-21 04:22:21.654</v>
      </c>
      <c r="H238" t="s">
        <v>21</v>
      </c>
      <c r="I238">
        <v>6.32</v>
      </c>
      <c r="J238" t="s">
        <v>42</v>
      </c>
    </row>
    <row r="239" spans="1:10" x14ac:dyDescent="0.25">
      <c r="A239" s="1">
        <v>44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"2026-04-21 00:57:02.277"</f>
        <v>2026-04-21 00:57:02.277</v>
      </c>
      <c r="H239" t="s">
        <v>21</v>
      </c>
      <c r="I239">
        <v>0</v>
      </c>
      <c r="J239" t="s">
        <v>32</v>
      </c>
    </row>
    <row r="240" spans="1:10" x14ac:dyDescent="0.25">
      <c r="A240" s="1">
        <v>45</v>
      </c>
      <c r="B240" t="s">
        <v>19</v>
      </c>
      <c r="C240">
        <v>706</v>
      </c>
      <c r="D240">
        <v>2</v>
      </c>
      <c r="E240" t="s">
        <v>22</v>
      </c>
      <c r="F240" t="s">
        <v>53</v>
      </c>
      <c r="G240" t="str">
        <f>"2026-04-20 15:57:25.923"</f>
        <v>2026-04-20 15:57:25.923</v>
      </c>
      <c r="H240" t="s">
        <v>21</v>
      </c>
      <c r="I240">
        <v>0</v>
      </c>
      <c r="J240" t="s">
        <v>24</v>
      </c>
    </row>
    <row r="241" spans="1:10" x14ac:dyDescent="0.25">
      <c r="A241" s="1">
        <v>46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"2026-04-20 15:57:03.473"</f>
        <v>2026-04-20 15:57:03.473</v>
      </c>
      <c r="H241" t="s">
        <v>21</v>
      </c>
      <c r="I241">
        <v>0</v>
      </c>
      <c r="J241" t="s">
        <v>32</v>
      </c>
    </row>
    <row r="242" spans="1:10" x14ac:dyDescent="0.25">
      <c r="A242" s="1">
        <v>47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"2026-04-20 12:58:57.481"</f>
        <v>2026-04-20 12:58:57.481</v>
      </c>
      <c r="H242" t="s">
        <v>21</v>
      </c>
    </row>
    <row r="243" spans="1:10" x14ac:dyDescent="0.25">
      <c r="A243" s="1">
        <v>48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"2026-04-20 09:54:05.387"</f>
        <v>2026-04-20 09:54:05.387</v>
      </c>
      <c r="H243" t="s">
        <v>21</v>
      </c>
      <c r="I243">
        <v>0</v>
      </c>
      <c r="J243" t="s">
        <v>32</v>
      </c>
    </row>
    <row r="244" spans="1:10" x14ac:dyDescent="0.25">
      <c r="A244" s="1">
        <v>49</v>
      </c>
      <c r="B244" t="s">
        <v>19</v>
      </c>
      <c r="C244">
        <v>706</v>
      </c>
      <c r="D244">
        <v>2</v>
      </c>
      <c r="E244" t="s">
        <v>22</v>
      </c>
      <c r="F244" t="s">
        <v>53</v>
      </c>
      <c r="G244" t="str">
        <f>"2026-04-19 15:59:19.106"</f>
        <v>2026-04-19 15:59:19.106</v>
      </c>
      <c r="H244" t="s">
        <v>21</v>
      </c>
      <c r="I244">
        <v>0</v>
      </c>
      <c r="J244" t="s">
        <v>24</v>
      </c>
    </row>
    <row r="245" spans="1:10" x14ac:dyDescent="0.25">
      <c r="A245" s="1">
        <v>50</v>
      </c>
      <c r="B245" t="s">
        <v>19</v>
      </c>
      <c r="C245">
        <v>706</v>
      </c>
      <c r="D245">
        <v>3</v>
      </c>
      <c r="E245" t="s">
        <v>22</v>
      </c>
      <c r="F245" t="s">
        <v>23</v>
      </c>
      <c r="G245" t="str">
        <f>"2026-04-19 15:58:56.176"</f>
        <v>2026-04-19 15:58:56.176</v>
      </c>
      <c r="H245" t="s">
        <v>21</v>
      </c>
      <c r="I245">
        <v>0</v>
      </c>
      <c r="J245" t="s">
        <v>24</v>
      </c>
    </row>
    <row r="246" spans="1:10" x14ac:dyDescent="0.25">
      <c r="A246" s="1">
        <v>51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"2026-04-19 15:57:25.236"</f>
        <v>2026-04-19 15:57:25.236</v>
      </c>
      <c r="H246" t="s">
        <v>21</v>
      </c>
      <c r="I246">
        <v>0</v>
      </c>
      <c r="J246" t="s">
        <v>32</v>
      </c>
    </row>
    <row r="247" spans="1:10" x14ac:dyDescent="0.25">
      <c r="A247" s="1">
        <v>52</v>
      </c>
      <c r="B247" t="s">
        <v>25</v>
      </c>
      <c r="C247">
        <v>619</v>
      </c>
      <c r="D247">
        <v>1</v>
      </c>
      <c r="E247" t="s">
        <v>26</v>
      </c>
      <c r="F247" t="s">
        <v>27</v>
      </c>
      <c r="G247" t="str">
        <f>"2026-04-19 13:36:14.379"</f>
        <v>2026-04-19 13:36:14.379</v>
      </c>
      <c r="H247" t="s">
        <v>28</v>
      </c>
    </row>
    <row r="248" spans="1:10" x14ac:dyDescent="0.25">
      <c r="A248" s="1">
        <v>53</v>
      </c>
      <c r="B248" t="s">
        <v>29</v>
      </c>
      <c r="C248">
        <v>619</v>
      </c>
      <c r="D248">
        <v>1</v>
      </c>
      <c r="E248" t="s">
        <v>26</v>
      </c>
      <c r="F248" t="s">
        <v>27</v>
      </c>
      <c r="G248" t="str">
        <f>"2026-04-19 13:35:40.680"</f>
        <v>2026-04-19 13:35:40.680</v>
      </c>
      <c r="H248" t="s">
        <v>28</v>
      </c>
      <c r="I248">
        <v>0</v>
      </c>
      <c r="J248" t="s">
        <v>24</v>
      </c>
    </row>
    <row r="249" spans="1:10" x14ac:dyDescent="0.25">
      <c r="A249" s="1">
        <v>54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"2026-04-19 13:35:12.252"</f>
        <v>2026-04-19 13:35:12.252</v>
      </c>
      <c r="H249" t="s">
        <v>21</v>
      </c>
      <c r="I249">
        <v>0</v>
      </c>
      <c r="J249" t="s">
        <v>32</v>
      </c>
    </row>
    <row r="250" spans="1:10" x14ac:dyDescent="0.25">
      <c r="A250" s="1">
        <v>55</v>
      </c>
      <c r="B250" t="s">
        <v>25</v>
      </c>
      <c r="C250">
        <v>635</v>
      </c>
      <c r="D250">
        <v>1</v>
      </c>
      <c r="E250" t="s">
        <v>45</v>
      </c>
      <c r="F250" t="s">
        <v>27</v>
      </c>
      <c r="G250" t="str">
        <f>"2026-04-19 12:29:46.637"</f>
        <v>2026-04-19 12:29:46.637</v>
      </c>
      <c r="H250" t="s">
        <v>21</v>
      </c>
    </row>
    <row r="251" spans="1:10" x14ac:dyDescent="0.25">
      <c r="A251" s="1">
        <v>56</v>
      </c>
      <c r="B251" t="s">
        <v>29</v>
      </c>
      <c r="C251">
        <v>635</v>
      </c>
      <c r="D251">
        <v>1</v>
      </c>
      <c r="E251" t="s">
        <v>45</v>
      </c>
      <c r="F251" t="s">
        <v>27</v>
      </c>
      <c r="G251" t="str">
        <f>"2026-04-19 12:23:06.637"</f>
        <v>2026-04-19 12:23:06.637</v>
      </c>
      <c r="H251" t="s">
        <v>21</v>
      </c>
      <c r="I251">
        <v>4.43</v>
      </c>
      <c r="J251" t="s">
        <v>42</v>
      </c>
    </row>
    <row r="252" spans="1:10" x14ac:dyDescent="0.25">
      <c r="A252" s="1">
        <v>57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"2026-04-18 15:12:31.254"</f>
        <v>2026-04-18 15:12:31.254</v>
      </c>
      <c r="H252" t="s">
        <v>21</v>
      </c>
      <c r="I252">
        <v>0</v>
      </c>
      <c r="J252" t="s">
        <v>32</v>
      </c>
    </row>
    <row r="253" spans="1:10" x14ac:dyDescent="0.25">
      <c r="A253" s="1">
        <v>58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"2026-04-18 14:49:31.412"</f>
        <v>2026-04-18 14:49:31.412</v>
      </c>
      <c r="H253" t="s">
        <v>21</v>
      </c>
    </row>
    <row r="254" spans="1:10" x14ac:dyDescent="0.25">
      <c r="A254" s="1">
        <v>59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"2026-04-18 12:17:39.252"</f>
        <v>2026-04-18 12:17:39.252</v>
      </c>
      <c r="H254" t="s">
        <v>21</v>
      </c>
      <c r="I254">
        <v>0</v>
      </c>
      <c r="J254" t="s">
        <v>32</v>
      </c>
    </row>
    <row r="255" spans="1:10" x14ac:dyDescent="0.25">
      <c r="A255" s="1">
        <v>60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"2026-04-17 22:45:00.287"</f>
        <v>2026-04-17 22:45:00.287</v>
      </c>
      <c r="H255" t="s">
        <v>21</v>
      </c>
      <c r="I255">
        <v>0</v>
      </c>
      <c r="J255" t="s">
        <v>32</v>
      </c>
    </row>
    <row r="256" spans="1:10" x14ac:dyDescent="0.25">
      <c r="A256" s="1">
        <v>61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"2026-04-17 16:24:24.269"</f>
        <v>2026-04-17 16:24:24.269</v>
      </c>
      <c r="H256" t="s">
        <v>21</v>
      </c>
      <c r="I256">
        <v>0</v>
      </c>
      <c r="J256" t="s">
        <v>32</v>
      </c>
    </row>
    <row r="257" spans="1:10" x14ac:dyDescent="0.25">
      <c r="A257" s="1">
        <v>62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"2026-04-16 23:22:05.278"</f>
        <v>2026-04-16 23:22:05.278</v>
      </c>
      <c r="H257" t="s">
        <v>21</v>
      </c>
    </row>
    <row r="258" spans="1:10" x14ac:dyDescent="0.25">
      <c r="A258" s="1">
        <v>63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"2026-04-16 13:13:10.278"</f>
        <v>2026-04-16 13:13:10.278</v>
      </c>
      <c r="H258" t="s">
        <v>21</v>
      </c>
    </row>
    <row r="259" spans="1:10" x14ac:dyDescent="0.25">
      <c r="A259" s="1">
        <v>64</v>
      </c>
      <c r="B259" t="s">
        <v>19</v>
      </c>
      <c r="C259">
        <v>706</v>
      </c>
      <c r="D259">
        <v>4</v>
      </c>
      <c r="E259" t="s">
        <v>22</v>
      </c>
      <c r="F259" t="s">
        <v>31</v>
      </c>
      <c r="G259" t="str">
        <f>"2026-04-16 09:46:49.074"</f>
        <v>2026-04-16 09:46:49.074</v>
      </c>
      <c r="H259" t="s">
        <v>21</v>
      </c>
      <c r="I259">
        <v>0</v>
      </c>
      <c r="J259" t="s">
        <v>24</v>
      </c>
    </row>
    <row r="260" spans="1:10" x14ac:dyDescent="0.25">
      <c r="A260" s="1">
        <v>65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"2026-04-16 09:46:09.464"</f>
        <v>2026-04-16 09:46:09.464</v>
      </c>
      <c r="H260" t="s">
        <v>21</v>
      </c>
      <c r="I260">
        <v>0</v>
      </c>
      <c r="J260" t="s">
        <v>32</v>
      </c>
    </row>
    <row r="261" spans="1:10" x14ac:dyDescent="0.25">
      <c r="A261" s="1">
        <v>66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"2026-04-15 10:52:05.421"</f>
        <v>2026-04-15 10:52:05.421</v>
      </c>
      <c r="H261" t="s">
        <v>21</v>
      </c>
      <c r="I261">
        <v>0</v>
      </c>
      <c r="J261" t="s">
        <v>32</v>
      </c>
    </row>
    <row r="262" spans="1:10" x14ac:dyDescent="0.25">
      <c r="A262" s="1">
        <v>67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"2026-04-14 21:59:54.275"</f>
        <v>2026-04-14 21:59:54.275</v>
      </c>
      <c r="H262" t="s">
        <v>21</v>
      </c>
      <c r="I262">
        <v>0</v>
      </c>
      <c r="J262" t="s">
        <v>32</v>
      </c>
    </row>
    <row r="263" spans="1:10" s="3" customFormat="1" x14ac:dyDescent="0.25">
      <c r="A263" s="2">
        <v>68</v>
      </c>
      <c r="B263" s="3" t="s">
        <v>25</v>
      </c>
      <c r="C263" s="3">
        <v>647</v>
      </c>
      <c r="D263" s="3">
        <v>1</v>
      </c>
      <c r="E263" s="3" t="s">
        <v>55</v>
      </c>
      <c r="F263" s="3" t="s">
        <v>56</v>
      </c>
      <c r="G263" s="3" t="str">
        <f>"2026-04-14 15:36:36.775"</f>
        <v>2026-04-14 15:36:36.775</v>
      </c>
      <c r="H263" s="3" t="s">
        <v>21</v>
      </c>
    </row>
    <row r="264" spans="1:10" s="3" customFormat="1" x14ac:dyDescent="0.25">
      <c r="A264" s="2">
        <v>69</v>
      </c>
      <c r="B264" s="3" t="s">
        <v>29</v>
      </c>
      <c r="C264" s="3">
        <v>647</v>
      </c>
      <c r="D264" s="3">
        <v>1</v>
      </c>
      <c r="E264" s="3" t="s">
        <v>55</v>
      </c>
      <c r="F264" s="3" t="s">
        <v>56</v>
      </c>
      <c r="G264" s="3" t="str">
        <f>"2026-04-14 15:36:34.875"</f>
        <v>2026-04-14 15:36:34.875</v>
      </c>
      <c r="H264" s="3" t="s">
        <v>21</v>
      </c>
      <c r="I264" s="3">
        <v>8.91</v>
      </c>
      <c r="J264" s="3" t="s">
        <v>37</v>
      </c>
    </row>
    <row r="265" spans="1:10" x14ac:dyDescent="0.25">
      <c r="A265" s="1">
        <v>70</v>
      </c>
      <c r="B265" t="s">
        <v>25</v>
      </c>
      <c r="C265">
        <v>635</v>
      </c>
      <c r="D265">
        <v>1</v>
      </c>
      <c r="E265" t="s">
        <v>45</v>
      </c>
      <c r="F265" t="s">
        <v>27</v>
      </c>
      <c r="G265" t="str">
        <f>"2026-04-14 03:30:34.020"</f>
        <v>2026-04-14 03:30:34.020</v>
      </c>
      <c r="H265" t="s">
        <v>21</v>
      </c>
    </row>
    <row r="266" spans="1:10" x14ac:dyDescent="0.25">
      <c r="A266" s="1">
        <v>71</v>
      </c>
      <c r="B266" t="s">
        <v>29</v>
      </c>
      <c r="C266">
        <v>635</v>
      </c>
      <c r="D266">
        <v>1</v>
      </c>
      <c r="E266" t="s">
        <v>45</v>
      </c>
      <c r="F266" t="s">
        <v>27</v>
      </c>
      <c r="G266" t="str">
        <f>"2026-04-14 03:28:31.021"</f>
        <v>2026-04-14 03:28:31.021</v>
      </c>
      <c r="H266" t="s">
        <v>21</v>
      </c>
      <c r="I266">
        <v>3.06</v>
      </c>
      <c r="J266" t="s">
        <v>42</v>
      </c>
    </row>
    <row r="267" spans="1:10" x14ac:dyDescent="0.25">
      <c r="A267" s="1">
        <v>72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"2026-04-13 21:57:22.294"</f>
        <v>2026-04-13 21:57:22.294</v>
      </c>
      <c r="H267" t="s">
        <v>21</v>
      </c>
      <c r="I267">
        <v>0</v>
      </c>
      <c r="J267" t="s">
        <v>32</v>
      </c>
    </row>
    <row r="268" spans="1:10" x14ac:dyDescent="0.25">
      <c r="A268" s="1">
        <v>73</v>
      </c>
      <c r="B268" t="s">
        <v>25</v>
      </c>
      <c r="C268">
        <v>635</v>
      </c>
      <c r="D268">
        <v>1</v>
      </c>
      <c r="E268" t="s">
        <v>45</v>
      </c>
      <c r="F268" t="s">
        <v>27</v>
      </c>
      <c r="G268" t="str">
        <f>"2026-04-13 13:02:55.788"</f>
        <v>2026-04-13 13:02:55.788</v>
      </c>
      <c r="H268" t="s">
        <v>21</v>
      </c>
    </row>
    <row r="269" spans="1:10" x14ac:dyDescent="0.25">
      <c r="A269" s="1">
        <v>74</v>
      </c>
      <c r="B269" t="s">
        <v>29</v>
      </c>
      <c r="C269">
        <v>635</v>
      </c>
      <c r="D269">
        <v>1</v>
      </c>
      <c r="E269" t="s">
        <v>45</v>
      </c>
      <c r="F269" t="s">
        <v>27</v>
      </c>
      <c r="G269" t="str">
        <f>"2026-04-13 12:57:03.788"</f>
        <v>2026-04-13 12:57:03.788</v>
      </c>
      <c r="H269" t="s">
        <v>21</v>
      </c>
      <c r="I269">
        <v>8.25</v>
      </c>
      <c r="J269" t="s">
        <v>42</v>
      </c>
    </row>
    <row r="270" spans="1:10" x14ac:dyDescent="0.25">
      <c r="A270" s="1">
        <v>75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"2026-04-13 10:48:36.249"</f>
        <v>2026-04-13 10:48:36.249</v>
      </c>
      <c r="H270" t="s">
        <v>21</v>
      </c>
    </row>
    <row r="271" spans="1:10" x14ac:dyDescent="0.25">
      <c r="A271" s="1">
        <v>76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"2026-04-12 21:32:33.396"</f>
        <v>2026-04-12 21:32:33.396</v>
      </c>
      <c r="H271" t="s">
        <v>21</v>
      </c>
    </row>
    <row r="272" spans="1:10" x14ac:dyDescent="0.25">
      <c r="A272" s="1">
        <v>77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"2026-04-12 15:56:40.252"</f>
        <v>2026-04-12 15:56:40.252</v>
      </c>
      <c r="H272" t="s">
        <v>21</v>
      </c>
    </row>
    <row r="273" spans="1:10" x14ac:dyDescent="0.25">
      <c r="A273" s="1">
        <v>78</v>
      </c>
      <c r="B273" t="s">
        <v>25</v>
      </c>
      <c r="C273">
        <v>635</v>
      </c>
      <c r="D273">
        <v>1</v>
      </c>
      <c r="E273" t="s">
        <v>45</v>
      </c>
      <c r="F273" t="s">
        <v>27</v>
      </c>
      <c r="G273" t="str">
        <f>"2026-04-12 01:17:13.043"</f>
        <v>2026-04-12 01:17:13.043</v>
      </c>
      <c r="H273" t="s">
        <v>21</v>
      </c>
    </row>
    <row r="274" spans="1:10" x14ac:dyDescent="0.25">
      <c r="A274" s="1">
        <v>79</v>
      </c>
      <c r="B274" t="s">
        <v>29</v>
      </c>
      <c r="C274">
        <v>635</v>
      </c>
      <c r="D274">
        <v>1</v>
      </c>
      <c r="E274" t="s">
        <v>45</v>
      </c>
      <c r="F274" t="s">
        <v>27</v>
      </c>
      <c r="G274" t="str">
        <f>"2026-04-12 01:13:41.644"</f>
        <v>2026-04-12 01:13:41.644</v>
      </c>
      <c r="H274" t="s">
        <v>21</v>
      </c>
      <c r="I274">
        <v>3.36</v>
      </c>
      <c r="J274" t="s">
        <v>37</v>
      </c>
    </row>
    <row r="275" spans="1:10" x14ac:dyDescent="0.25">
      <c r="A275" s="1">
        <v>80</v>
      </c>
      <c r="B275" t="s">
        <v>25</v>
      </c>
      <c r="C275">
        <v>619</v>
      </c>
      <c r="D275">
        <v>1</v>
      </c>
      <c r="E275" t="s">
        <v>26</v>
      </c>
      <c r="F275" t="s">
        <v>27</v>
      </c>
      <c r="G275" t="str">
        <f>"2026-04-11 21:25:56.591"</f>
        <v>2026-04-11 21:25:56.591</v>
      </c>
      <c r="H275" t="s">
        <v>28</v>
      </c>
    </row>
    <row r="276" spans="1:10" x14ac:dyDescent="0.25">
      <c r="A276" s="1">
        <v>81</v>
      </c>
      <c r="B276" t="s">
        <v>29</v>
      </c>
      <c r="C276">
        <v>619</v>
      </c>
      <c r="D276">
        <v>1</v>
      </c>
      <c r="E276" t="s">
        <v>26</v>
      </c>
      <c r="F276" t="s">
        <v>27</v>
      </c>
      <c r="G276" t="str">
        <f>"2026-04-11 21:24:50.344"</f>
        <v>2026-04-11 21:24:50.344</v>
      </c>
      <c r="H276" t="s">
        <v>28</v>
      </c>
      <c r="I276">
        <v>0</v>
      </c>
      <c r="J276" t="s">
        <v>24</v>
      </c>
    </row>
    <row r="277" spans="1:10" x14ac:dyDescent="0.25">
      <c r="A277" s="1">
        <v>82</v>
      </c>
      <c r="B277" t="s">
        <v>19</v>
      </c>
      <c r="C277">
        <v>706</v>
      </c>
      <c r="D277">
        <v>2</v>
      </c>
      <c r="E277" t="s">
        <v>22</v>
      </c>
      <c r="F277" t="s">
        <v>53</v>
      </c>
      <c r="G277" t="str">
        <f>"2026-04-11 21:24:44.344"</f>
        <v>2026-04-11 21:24:44.344</v>
      </c>
      <c r="H277" t="s">
        <v>21</v>
      </c>
      <c r="I277">
        <v>0</v>
      </c>
      <c r="J277" t="s">
        <v>24</v>
      </c>
    </row>
    <row r="278" spans="1:10" x14ac:dyDescent="0.25">
      <c r="A278" s="1">
        <v>83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"2026-04-11 21:23:56.254"</f>
        <v>2026-04-11 21:23:56.254</v>
      </c>
      <c r="H278" t="s">
        <v>21</v>
      </c>
    </row>
    <row r="279" spans="1:10" x14ac:dyDescent="0.25">
      <c r="A279" s="1">
        <v>84</v>
      </c>
      <c r="B279" t="s">
        <v>19</v>
      </c>
      <c r="C279">
        <v>706</v>
      </c>
      <c r="D279">
        <v>4</v>
      </c>
      <c r="E279" t="s">
        <v>22</v>
      </c>
      <c r="F279" t="s">
        <v>31</v>
      </c>
      <c r="G279" t="str">
        <f>"2026-04-11 18:41:42.251"</f>
        <v>2026-04-11 18:41:42.251</v>
      </c>
      <c r="H279" t="s">
        <v>21</v>
      </c>
      <c r="I279">
        <v>0</v>
      </c>
      <c r="J279" t="s">
        <v>24</v>
      </c>
    </row>
    <row r="280" spans="1:10" x14ac:dyDescent="0.25">
      <c r="A280" s="1">
        <v>85</v>
      </c>
      <c r="B280" t="s">
        <v>25</v>
      </c>
      <c r="C280">
        <v>619</v>
      </c>
      <c r="D280">
        <v>1</v>
      </c>
      <c r="E280" t="s">
        <v>26</v>
      </c>
      <c r="F280" t="s">
        <v>27</v>
      </c>
      <c r="G280" t="str">
        <f>"2026-04-11 18:41:23.642"</f>
        <v>2026-04-11 18:41:23.642</v>
      </c>
      <c r="H280" t="s">
        <v>28</v>
      </c>
    </row>
    <row r="281" spans="1:10" x14ac:dyDescent="0.25">
      <c r="A281" s="1">
        <v>86</v>
      </c>
      <c r="B281" t="s">
        <v>29</v>
      </c>
      <c r="C281">
        <v>619</v>
      </c>
      <c r="D281">
        <v>1</v>
      </c>
      <c r="E281" t="s">
        <v>26</v>
      </c>
      <c r="F281" t="s">
        <v>27</v>
      </c>
      <c r="G281" t="str">
        <f>"2026-04-11 18:40:04.542"</f>
        <v>2026-04-11 18:40:04.542</v>
      </c>
      <c r="H281" t="s">
        <v>28</v>
      </c>
      <c r="I281">
        <v>0</v>
      </c>
      <c r="J281" t="s">
        <v>24</v>
      </c>
    </row>
    <row r="282" spans="1:10" x14ac:dyDescent="0.25">
      <c r="A282" s="1">
        <v>87</v>
      </c>
      <c r="B282" t="s">
        <v>19</v>
      </c>
      <c r="C282">
        <v>706</v>
      </c>
      <c r="D282">
        <v>2</v>
      </c>
      <c r="E282" t="s">
        <v>22</v>
      </c>
      <c r="F282" t="s">
        <v>53</v>
      </c>
      <c r="G282" t="str">
        <f>"2026-04-11 18:39:55.311"</f>
        <v>2026-04-11 18:39:55.311</v>
      </c>
      <c r="H282" t="s">
        <v>21</v>
      </c>
      <c r="I282">
        <v>0</v>
      </c>
      <c r="J282" t="s">
        <v>24</v>
      </c>
    </row>
    <row r="283" spans="1:10" x14ac:dyDescent="0.25">
      <c r="A283" s="1">
        <v>88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"2026-04-11 18:39:22.251"</f>
        <v>2026-04-11 18:39:22.251</v>
      </c>
      <c r="H283" t="s">
        <v>21</v>
      </c>
    </row>
    <row r="284" spans="1:10" x14ac:dyDescent="0.25">
      <c r="A284" s="1">
        <v>89</v>
      </c>
      <c r="B284" t="s">
        <v>19</v>
      </c>
      <c r="C284">
        <v>706</v>
      </c>
      <c r="D284">
        <v>2</v>
      </c>
      <c r="E284" t="s">
        <v>22</v>
      </c>
      <c r="F284" t="s">
        <v>53</v>
      </c>
      <c r="G284" t="str">
        <f>"2026-04-11 18:37:37.337"</f>
        <v>2026-04-11 18:37:37.337</v>
      </c>
      <c r="H284" t="s">
        <v>21</v>
      </c>
      <c r="I284">
        <v>0</v>
      </c>
      <c r="J284" t="s">
        <v>24</v>
      </c>
    </row>
    <row r="285" spans="1:10" x14ac:dyDescent="0.25">
      <c r="A285" s="1">
        <v>90</v>
      </c>
      <c r="B285" t="s">
        <v>19</v>
      </c>
      <c r="C285">
        <v>706</v>
      </c>
      <c r="D285">
        <v>2</v>
      </c>
      <c r="E285" t="s">
        <v>22</v>
      </c>
      <c r="F285" t="s">
        <v>53</v>
      </c>
      <c r="G285" t="str">
        <f>"2026-04-11 18:37:00.937"</f>
        <v>2026-04-11 18:37:00.937</v>
      </c>
      <c r="H285" t="s">
        <v>21</v>
      </c>
      <c r="I285">
        <v>0</v>
      </c>
      <c r="J285" t="s">
        <v>24</v>
      </c>
    </row>
    <row r="286" spans="1:10" x14ac:dyDescent="0.25">
      <c r="A286" s="1">
        <v>91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"2026-04-11 18:36:20.247"</f>
        <v>2026-04-11 18:36:20.247</v>
      </c>
      <c r="H286" t="s">
        <v>21</v>
      </c>
    </row>
    <row r="287" spans="1:10" x14ac:dyDescent="0.25">
      <c r="A287" s="1">
        <v>92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"2026-04-11 11:04:08.245"</f>
        <v>2026-04-11 11:04:08.245</v>
      </c>
      <c r="H287" t="s">
        <v>21</v>
      </c>
      <c r="I287">
        <v>0</v>
      </c>
      <c r="J287" t="s">
        <v>32</v>
      </c>
    </row>
    <row r="288" spans="1:10" x14ac:dyDescent="0.25">
      <c r="A288" s="1">
        <v>93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"2026-04-11 10:55:21.273"</f>
        <v>2026-04-11 10:55:21.273</v>
      </c>
      <c r="H288" t="s">
        <v>21</v>
      </c>
      <c r="I288">
        <v>0</v>
      </c>
      <c r="J288" t="s">
        <v>32</v>
      </c>
    </row>
    <row r="289" spans="1:10" x14ac:dyDescent="0.25">
      <c r="A289" s="1">
        <v>94</v>
      </c>
      <c r="B289" t="s">
        <v>25</v>
      </c>
      <c r="C289">
        <v>635</v>
      </c>
      <c r="D289">
        <v>1</v>
      </c>
      <c r="E289" t="s">
        <v>45</v>
      </c>
      <c r="F289" t="s">
        <v>27</v>
      </c>
      <c r="G289" t="str">
        <f>"2026-04-11 04:11:24.838"</f>
        <v>2026-04-11 04:11:24.838</v>
      </c>
      <c r="H289" t="s">
        <v>21</v>
      </c>
    </row>
    <row r="290" spans="1:10" x14ac:dyDescent="0.25">
      <c r="A290" s="1">
        <v>95</v>
      </c>
      <c r="B290" t="s">
        <v>29</v>
      </c>
      <c r="C290">
        <v>635</v>
      </c>
      <c r="D290">
        <v>1</v>
      </c>
      <c r="E290" t="s">
        <v>45</v>
      </c>
      <c r="F290" t="s">
        <v>27</v>
      </c>
      <c r="G290" t="str">
        <f>"2026-04-11 04:07:31.838"</f>
        <v>2026-04-11 04:07:31.838</v>
      </c>
      <c r="H290" t="s">
        <v>21</v>
      </c>
      <c r="I290">
        <v>0.17</v>
      </c>
      <c r="J290" t="s">
        <v>42</v>
      </c>
    </row>
    <row r="291" spans="1:10" x14ac:dyDescent="0.25">
      <c r="A291" s="1">
        <v>96</v>
      </c>
      <c r="B291" t="s">
        <v>25</v>
      </c>
      <c r="C291">
        <v>635</v>
      </c>
      <c r="D291">
        <v>1</v>
      </c>
      <c r="E291" t="s">
        <v>45</v>
      </c>
      <c r="F291" t="s">
        <v>27</v>
      </c>
      <c r="G291" t="str">
        <f>"2026-04-10 22:10:54.338"</f>
        <v>2026-04-10 22:10:54.338</v>
      </c>
      <c r="H291" t="s">
        <v>21</v>
      </c>
    </row>
    <row r="292" spans="1:10" x14ac:dyDescent="0.25">
      <c r="A292" s="1">
        <v>97</v>
      </c>
      <c r="B292" t="s">
        <v>29</v>
      </c>
      <c r="C292">
        <v>635</v>
      </c>
      <c r="D292">
        <v>1</v>
      </c>
      <c r="E292" t="s">
        <v>45</v>
      </c>
      <c r="F292" t="s">
        <v>27</v>
      </c>
      <c r="G292" t="str">
        <f>"2026-04-10 21:59:20.338"</f>
        <v>2026-04-10 21:59:20.338</v>
      </c>
      <c r="H292" t="s">
        <v>21</v>
      </c>
      <c r="I292">
        <v>5.37</v>
      </c>
      <c r="J292" t="s">
        <v>42</v>
      </c>
    </row>
    <row r="293" spans="1:10" x14ac:dyDescent="0.25">
      <c r="A293" s="1">
        <v>98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"2026-04-10 21:04:55.241"</f>
        <v>2026-04-10 21:04:55.241</v>
      </c>
      <c r="H293" t="s">
        <v>21</v>
      </c>
      <c r="I293">
        <v>0</v>
      </c>
      <c r="J293" t="s">
        <v>32</v>
      </c>
    </row>
    <row r="294" spans="1:10" x14ac:dyDescent="0.25">
      <c r="A294" s="1">
        <v>99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"2026-04-10 14:17:32.242"</f>
        <v>2026-04-10 14:17:32.242</v>
      </c>
      <c r="H294" t="s">
        <v>21</v>
      </c>
      <c r="I294">
        <v>0</v>
      </c>
      <c r="J294" t="s">
        <v>32</v>
      </c>
    </row>
    <row r="295" spans="1:10" x14ac:dyDescent="0.25">
      <c r="A295" s="1">
        <v>0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"2026-04-10 14:01:29.244"</f>
        <v>2026-04-10 14:01:29.244</v>
      </c>
      <c r="H295" t="s">
        <v>21</v>
      </c>
      <c r="I295">
        <v>0</v>
      </c>
      <c r="J295" t="s">
        <v>32</v>
      </c>
    </row>
    <row r="296" spans="1:10" x14ac:dyDescent="0.25">
      <c r="A296" s="1">
        <v>1</v>
      </c>
      <c r="B296" t="s">
        <v>19</v>
      </c>
      <c r="C296">
        <v>706</v>
      </c>
      <c r="D296">
        <v>4</v>
      </c>
      <c r="E296" t="s">
        <v>22</v>
      </c>
      <c r="F296" t="s">
        <v>31</v>
      </c>
      <c r="G296" t="str">
        <f>"2026-04-10 13:05:51.933"</f>
        <v>2026-04-10 13:05:51.933</v>
      </c>
      <c r="H296" t="s">
        <v>21</v>
      </c>
      <c r="I296">
        <v>0</v>
      </c>
      <c r="J296" t="s">
        <v>24</v>
      </c>
    </row>
    <row r="297" spans="1:10" x14ac:dyDescent="0.25">
      <c r="A297" s="1">
        <v>2</v>
      </c>
      <c r="B297" t="s">
        <v>25</v>
      </c>
      <c r="C297">
        <v>635</v>
      </c>
      <c r="D297">
        <v>1</v>
      </c>
      <c r="E297" t="s">
        <v>45</v>
      </c>
      <c r="F297" t="s">
        <v>27</v>
      </c>
      <c r="G297" t="str">
        <f>"2026-04-09 20:58:09.060"</f>
        <v>2026-04-09 20:58:09.060</v>
      </c>
      <c r="H297" t="s">
        <v>21</v>
      </c>
    </row>
    <row r="298" spans="1:10" x14ac:dyDescent="0.25">
      <c r="A298" s="1">
        <v>3</v>
      </c>
      <c r="B298" t="s">
        <v>29</v>
      </c>
      <c r="C298">
        <v>635</v>
      </c>
      <c r="D298">
        <v>1</v>
      </c>
      <c r="E298" t="s">
        <v>45</v>
      </c>
      <c r="F298" t="s">
        <v>27</v>
      </c>
      <c r="G298" t="str">
        <f>"2026-04-09 20:52:16.561"</f>
        <v>2026-04-09 20:52:16.561</v>
      </c>
      <c r="H298" t="s">
        <v>21</v>
      </c>
      <c r="I298">
        <v>1.02</v>
      </c>
      <c r="J298" t="s">
        <v>42</v>
      </c>
    </row>
    <row r="299" spans="1:10" x14ac:dyDescent="0.25">
      <c r="A299" s="1">
        <v>4</v>
      </c>
      <c r="B299" t="s">
        <v>19</v>
      </c>
      <c r="C299">
        <v>706</v>
      </c>
      <c r="D299">
        <v>4</v>
      </c>
      <c r="E299" t="s">
        <v>22</v>
      </c>
      <c r="F299" t="s">
        <v>31</v>
      </c>
      <c r="G299" t="str">
        <f>"2026-04-09 16:19:20.853"</f>
        <v>2026-04-09 16:19:20.853</v>
      </c>
      <c r="H299" t="s">
        <v>21</v>
      </c>
      <c r="I299">
        <v>0</v>
      </c>
      <c r="J299" t="s">
        <v>24</v>
      </c>
    </row>
    <row r="300" spans="1:10" x14ac:dyDescent="0.25">
      <c r="A300" s="1">
        <v>5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"2026-04-09 16:19:00.473"</f>
        <v>2026-04-09 16:19:00.473</v>
      </c>
      <c r="H300" t="s">
        <v>21</v>
      </c>
      <c r="I300">
        <v>0</v>
      </c>
      <c r="J300" t="s">
        <v>32</v>
      </c>
    </row>
    <row r="301" spans="1:10" x14ac:dyDescent="0.25">
      <c r="A301" s="1">
        <v>6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"2026-04-08 13:28:02.475"</f>
        <v>2026-04-08 13:28:02.475</v>
      </c>
      <c r="H301" t="s">
        <v>21</v>
      </c>
    </row>
    <row r="302" spans="1:10" x14ac:dyDescent="0.25">
      <c r="A302" s="1">
        <v>7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"2026-04-07 20:13:33.265"</f>
        <v>2026-04-07 20:13:33.265</v>
      </c>
      <c r="H302" t="s">
        <v>21</v>
      </c>
      <c r="I302">
        <v>0</v>
      </c>
      <c r="J302" t="s">
        <v>32</v>
      </c>
    </row>
    <row r="303" spans="1:10" x14ac:dyDescent="0.25">
      <c r="A303" s="1">
        <v>8</v>
      </c>
      <c r="B303" t="s">
        <v>25</v>
      </c>
      <c r="C303">
        <v>619</v>
      </c>
      <c r="D303">
        <v>1</v>
      </c>
      <c r="E303" t="s">
        <v>26</v>
      </c>
      <c r="F303" t="s">
        <v>27</v>
      </c>
      <c r="G303" t="str">
        <f>"2026-04-07 17:13:47.287"</f>
        <v>2026-04-07 17:13:47.287</v>
      </c>
      <c r="H303" t="s">
        <v>28</v>
      </c>
    </row>
    <row r="304" spans="1:10" x14ac:dyDescent="0.25">
      <c r="A304" s="1">
        <v>9</v>
      </c>
      <c r="B304" t="s">
        <v>29</v>
      </c>
      <c r="C304">
        <v>619</v>
      </c>
      <c r="D304">
        <v>1</v>
      </c>
      <c r="E304" t="s">
        <v>26</v>
      </c>
      <c r="F304" t="s">
        <v>27</v>
      </c>
      <c r="G304" t="str">
        <f>"2026-04-07 17:12:49.687"</f>
        <v>2026-04-07 17:12:49.687</v>
      </c>
      <c r="H304" t="s">
        <v>28</v>
      </c>
      <c r="I304">
        <v>0</v>
      </c>
      <c r="J304" t="s">
        <v>37</v>
      </c>
    </row>
    <row r="305" spans="1:10" x14ac:dyDescent="0.25">
      <c r="A305" s="1">
        <v>10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"2026-04-07 17:12:20.238"</f>
        <v>2026-04-07 17:12:20.238</v>
      </c>
      <c r="H305" t="s">
        <v>21</v>
      </c>
    </row>
    <row r="306" spans="1:10" x14ac:dyDescent="0.25">
      <c r="A306" s="1">
        <v>11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"2026-04-07 09:55:59.251"</f>
        <v>2026-04-07 09:55:59.251</v>
      </c>
      <c r="H306" t="s">
        <v>21</v>
      </c>
      <c r="I306">
        <v>0</v>
      </c>
      <c r="J306" t="s">
        <v>32</v>
      </c>
    </row>
    <row r="307" spans="1:10" x14ac:dyDescent="0.25">
      <c r="A307" s="1">
        <v>13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"2026-04-06 22:17:03.309"</f>
        <v>2026-04-06 22:17:03.309</v>
      </c>
      <c r="H307" t="s">
        <v>21</v>
      </c>
      <c r="I307">
        <v>0</v>
      </c>
      <c r="J307" t="s">
        <v>32</v>
      </c>
    </row>
    <row r="308" spans="1:10" s="3" customFormat="1" x14ac:dyDescent="0.25">
      <c r="A308" s="2">
        <v>14</v>
      </c>
      <c r="B308" s="3" t="s">
        <v>25</v>
      </c>
      <c r="C308" s="3">
        <v>647</v>
      </c>
      <c r="D308" s="3">
        <v>1</v>
      </c>
      <c r="E308" s="3" t="s">
        <v>55</v>
      </c>
      <c r="F308" s="3" t="s">
        <v>56</v>
      </c>
      <c r="G308" s="3" t="str">
        <f>"2026-04-06 16:40:02.657"</f>
        <v>2026-04-06 16:40:02.657</v>
      </c>
      <c r="H308" s="3" t="s">
        <v>21</v>
      </c>
    </row>
    <row r="309" spans="1:10" s="3" customFormat="1" x14ac:dyDescent="0.25">
      <c r="A309" s="2">
        <v>15</v>
      </c>
      <c r="B309" s="3" t="s">
        <v>29</v>
      </c>
      <c r="C309" s="3">
        <v>647</v>
      </c>
      <c r="D309" s="3">
        <v>1</v>
      </c>
      <c r="E309" s="3" t="s">
        <v>55</v>
      </c>
      <c r="F309" s="3" t="s">
        <v>56</v>
      </c>
      <c r="G309" s="3" t="str">
        <f>"2026-04-06 16:40:00.357"</f>
        <v>2026-04-06 16:40:00.357</v>
      </c>
      <c r="H309" s="3" t="s">
        <v>21</v>
      </c>
      <c r="I309" s="3">
        <v>8.7100000000000009</v>
      </c>
      <c r="J309" s="3" t="s">
        <v>54</v>
      </c>
    </row>
    <row r="310" spans="1:10" x14ac:dyDescent="0.25">
      <c r="A310" s="1">
        <v>16</v>
      </c>
      <c r="B310" t="s">
        <v>25</v>
      </c>
      <c r="C310">
        <v>635</v>
      </c>
      <c r="D310">
        <v>1</v>
      </c>
      <c r="E310" t="s">
        <v>45</v>
      </c>
      <c r="F310" t="s">
        <v>27</v>
      </c>
      <c r="G310" t="str">
        <f>"2026-04-06 16:01:32.856"</f>
        <v>2026-04-06 16:01:32.856</v>
      </c>
      <c r="H310" t="s">
        <v>21</v>
      </c>
    </row>
    <row r="311" spans="1:10" x14ac:dyDescent="0.25">
      <c r="A311" s="1">
        <v>17</v>
      </c>
      <c r="B311" t="s">
        <v>29</v>
      </c>
      <c r="C311">
        <v>635</v>
      </c>
      <c r="D311">
        <v>1</v>
      </c>
      <c r="E311" t="s">
        <v>45</v>
      </c>
      <c r="F311" t="s">
        <v>27</v>
      </c>
      <c r="G311" t="str">
        <f>"2026-04-06 15:56:46.356"</f>
        <v>2026-04-06 15:56:46.356</v>
      </c>
      <c r="H311" t="s">
        <v>21</v>
      </c>
      <c r="I311">
        <v>2.31</v>
      </c>
      <c r="J311" t="s">
        <v>42</v>
      </c>
    </row>
    <row r="312" spans="1:10" x14ac:dyDescent="0.25">
      <c r="A312" s="1">
        <v>18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"2026-04-05 21:35:51.255"</f>
        <v>2026-04-05 21:35:51.255</v>
      </c>
      <c r="H312" t="s">
        <v>21</v>
      </c>
    </row>
    <row r="313" spans="1:10" x14ac:dyDescent="0.25">
      <c r="A313" s="1">
        <v>19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"2026-04-04 23:22:45.248"</f>
        <v>2026-04-04 23:22:45.248</v>
      </c>
      <c r="H313" t="s">
        <v>21</v>
      </c>
    </row>
    <row r="314" spans="1:10" x14ac:dyDescent="0.25">
      <c r="A314" s="1">
        <v>20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"2026-04-04 10:33:09.250"</f>
        <v>2026-04-04 10:33:09.250</v>
      </c>
      <c r="H314" t="s">
        <v>21</v>
      </c>
    </row>
    <row r="315" spans="1:10" x14ac:dyDescent="0.25">
      <c r="A315" s="1">
        <v>21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"2026-04-03 22:15:57.267"</f>
        <v>2026-04-03 22:15:57.267</v>
      </c>
      <c r="H315" t="s">
        <v>21</v>
      </c>
    </row>
    <row r="316" spans="1:10" x14ac:dyDescent="0.25">
      <c r="A316" s="1">
        <v>22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"2026-04-03 13:50:41.243"</f>
        <v>2026-04-03 13:50:41.243</v>
      </c>
      <c r="H316" t="s">
        <v>21</v>
      </c>
      <c r="I316">
        <v>0</v>
      </c>
      <c r="J316" t="s">
        <v>32</v>
      </c>
    </row>
    <row r="317" spans="1:10" x14ac:dyDescent="0.25">
      <c r="A317" s="1">
        <v>23</v>
      </c>
      <c r="B317" t="s">
        <v>25</v>
      </c>
      <c r="C317">
        <v>635</v>
      </c>
      <c r="D317">
        <v>1</v>
      </c>
      <c r="E317" t="s">
        <v>45</v>
      </c>
      <c r="F317" t="s">
        <v>27</v>
      </c>
      <c r="G317" t="str">
        <f>"2026-04-02 16:41:01.628"</f>
        <v>2026-04-02 16:41:01.628</v>
      </c>
      <c r="H317" t="s">
        <v>21</v>
      </c>
    </row>
    <row r="318" spans="1:10" x14ac:dyDescent="0.25">
      <c r="A318" s="1">
        <v>24</v>
      </c>
      <c r="B318" t="s">
        <v>29</v>
      </c>
      <c r="C318">
        <v>635</v>
      </c>
      <c r="D318">
        <v>1</v>
      </c>
      <c r="E318" t="s">
        <v>45</v>
      </c>
      <c r="F318" t="s">
        <v>27</v>
      </c>
      <c r="G318" t="str">
        <f>"2026-04-02 16:35:28.128"</f>
        <v>2026-04-02 16:35:28.128</v>
      </c>
      <c r="H318" t="s">
        <v>21</v>
      </c>
      <c r="I318">
        <v>1.67</v>
      </c>
      <c r="J318" t="s">
        <v>42</v>
      </c>
    </row>
    <row r="319" spans="1:10" x14ac:dyDescent="0.25">
      <c r="A319" s="1">
        <v>25</v>
      </c>
      <c r="B319" t="s">
        <v>25</v>
      </c>
      <c r="C319">
        <v>619</v>
      </c>
      <c r="D319">
        <v>1</v>
      </c>
      <c r="E319" t="s">
        <v>26</v>
      </c>
      <c r="F319" t="s">
        <v>27</v>
      </c>
      <c r="G319" t="str">
        <f>"2026-04-02 12:53:24.880"</f>
        <v>2026-04-02 12:53:24.880</v>
      </c>
      <c r="H319" t="s">
        <v>28</v>
      </c>
    </row>
    <row r="320" spans="1:10" x14ac:dyDescent="0.25">
      <c r="A320" s="1">
        <v>26</v>
      </c>
      <c r="B320" t="s">
        <v>29</v>
      </c>
      <c r="C320">
        <v>619</v>
      </c>
      <c r="D320">
        <v>1</v>
      </c>
      <c r="E320" t="s">
        <v>26</v>
      </c>
      <c r="F320" t="s">
        <v>27</v>
      </c>
      <c r="G320" t="str">
        <f>"2026-04-02 12:52:37.629"</f>
        <v>2026-04-02 12:52:37.629</v>
      </c>
      <c r="H320" t="s">
        <v>28</v>
      </c>
      <c r="I320">
        <v>0</v>
      </c>
      <c r="J320" t="s">
        <v>37</v>
      </c>
    </row>
    <row r="321" spans="1:10" x14ac:dyDescent="0.25">
      <c r="A321" s="1">
        <v>27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"2026-04-02 12:52:09.228"</f>
        <v>2026-04-02 12:52:09.228</v>
      </c>
      <c r="H321" t="s">
        <v>21</v>
      </c>
      <c r="I321">
        <v>0</v>
      </c>
      <c r="J321" t="s">
        <v>32</v>
      </c>
    </row>
    <row r="322" spans="1:10" x14ac:dyDescent="0.25">
      <c r="A322" s="1">
        <v>28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"2026-04-01 12:35:42.222"</f>
        <v>2026-04-01 12:35:42.222</v>
      </c>
      <c r="H322" t="s">
        <v>21</v>
      </c>
    </row>
    <row r="323" spans="1:10" x14ac:dyDescent="0.25">
      <c r="A323" s="1">
        <v>30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"2026-03-31 22:36:13.222"</f>
        <v>2026-03-31 22:36:13.222</v>
      </c>
      <c r="H323" t="s">
        <v>21</v>
      </c>
    </row>
    <row r="324" spans="1:10" x14ac:dyDescent="0.25">
      <c r="A324" s="1">
        <v>31</v>
      </c>
      <c r="B324" t="s">
        <v>25</v>
      </c>
      <c r="C324">
        <v>635</v>
      </c>
      <c r="D324">
        <v>1</v>
      </c>
      <c r="E324" t="s">
        <v>45</v>
      </c>
      <c r="F324" t="s">
        <v>27</v>
      </c>
      <c r="G324" t="str">
        <f>"2026-03-31 21:57:19.934"</f>
        <v>2026-03-31 21:57:19.934</v>
      </c>
      <c r="H324" t="s">
        <v>21</v>
      </c>
    </row>
    <row r="325" spans="1:10" x14ac:dyDescent="0.25">
      <c r="A325" s="1">
        <v>32</v>
      </c>
      <c r="B325" t="s">
        <v>29</v>
      </c>
      <c r="C325">
        <v>635</v>
      </c>
      <c r="D325">
        <v>1</v>
      </c>
      <c r="E325" t="s">
        <v>45</v>
      </c>
      <c r="F325" t="s">
        <v>27</v>
      </c>
      <c r="G325" t="str">
        <f>"2026-03-31 21:53:39.434"</f>
        <v>2026-03-31 21:53:39.434</v>
      </c>
      <c r="H325" t="s">
        <v>21</v>
      </c>
      <c r="I325">
        <v>0</v>
      </c>
      <c r="J325" t="s">
        <v>37</v>
      </c>
    </row>
    <row r="326" spans="1:10" x14ac:dyDescent="0.25">
      <c r="A326" s="1">
        <v>33</v>
      </c>
      <c r="B326" t="s">
        <v>25</v>
      </c>
      <c r="C326">
        <v>619</v>
      </c>
      <c r="D326">
        <v>1</v>
      </c>
      <c r="E326" t="s">
        <v>26</v>
      </c>
      <c r="F326" t="s">
        <v>27</v>
      </c>
      <c r="G326" t="str">
        <f>"2026-03-31 16:21:20.634"</f>
        <v>2026-03-31 16:21:20.634</v>
      </c>
      <c r="H326" t="s">
        <v>28</v>
      </c>
    </row>
    <row r="327" spans="1:10" x14ac:dyDescent="0.25">
      <c r="A327" s="1">
        <v>34</v>
      </c>
      <c r="B327" t="s">
        <v>29</v>
      </c>
      <c r="C327">
        <v>619</v>
      </c>
      <c r="D327">
        <v>1</v>
      </c>
      <c r="E327" t="s">
        <v>26</v>
      </c>
      <c r="F327" t="s">
        <v>27</v>
      </c>
      <c r="G327" t="str">
        <f>"2026-03-31 16:20:39.686"</f>
        <v>2026-03-31 16:20:39.686</v>
      </c>
      <c r="H327" t="s">
        <v>28</v>
      </c>
      <c r="I327">
        <v>0</v>
      </c>
      <c r="J327" t="s">
        <v>37</v>
      </c>
    </row>
    <row r="328" spans="1:10" x14ac:dyDescent="0.25">
      <c r="A328" s="1">
        <v>35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"2026-03-31 16:20:10.235"</f>
        <v>2026-03-31 16:20:10.235</v>
      </c>
      <c r="H328" t="s">
        <v>21</v>
      </c>
      <c r="I328">
        <v>0</v>
      </c>
      <c r="J328" t="s">
        <v>32</v>
      </c>
    </row>
    <row r="329" spans="1:10" x14ac:dyDescent="0.25">
      <c r="A329" s="1">
        <v>36</v>
      </c>
      <c r="B329" t="s">
        <v>19</v>
      </c>
      <c r="C329">
        <v>706</v>
      </c>
      <c r="D329">
        <v>4</v>
      </c>
      <c r="E329" t="s">
        <v>22</v>
      </c>
      <c r="F329" t="s">
        <v>31</v>
      </c>
      <c r="G329" t="str">
        <f>"2026-03-31 14:30:07.264"</f>
        <v>2026-03-31 14:30:07.264</v>
      </c>
      <c r="H329" t="s">
        <v>21</v>
      </c>
      <c r="I329">
        <v>0</v>
      </c>
      <c r="J329" t="s">
        <v>24</v>
      </c>
    </row>
    <row r="330" spans="1:10" x14ac:dyDescent="0.25">
      <c r="A330" s="1">
        <v>37</v>
      </c>
      <c r="B330" t="s">
        <v>25</v>
      </c>
      <c r="C330">
        <v>619</v>
      </c>
      <c r="D330">
        <v>1</v>
      </c>
      <c r="E330" t="s">
        <v>26</v>
      </c>
      <c r="F330" t="s">
        <v>27</v>
      </c>
      <c r="G330" t="str">
        <f>"2026-03-31 14:30:01.273"</f>
        <v>2026-03-31 14:30:01.273</v>
      </c>
      <c r="H330" t="s">
        <v>28</v>
      </c>
    </row>
    <row r="331" spans="1:10" x14ac:dyDescent="0.25">
      <c r="A331" s="1">
        <v>40</v>
      </c>
      <c r="B331" t="s">
        <v>29</v>
      </c>
      <c r="C331">
        <v>619</v>
      </c>
      <c r="D331">
        <v>1</v>
      </c>
      <c r="E331" t="s">
        <v>26</v>
      </c>
      <c r="F331" t="s">
        <v>27</v>
      </c>
      <c r="G331" t="str">
        <f>"2026-03-31 14:29:47.592"</f>
        <v>2026-03-31 14:29:47.592</v>
      </c>
      <c r="H331" t="s">
        <v>28</v>
      </c>
      <c r="I331">
        <v>0</v>
      </c>
      <c r="J331" t="s">
        <v>37</v>
      </c>
    </row>
    <row r="332" spans="1:10" x14ac:dyDescent="0.25">
      <c r="A332" s="1">
        <v>41</v>
      </c>
      <c r="B332" t="s">
        <v>19</v>
      </c>
      <c r="C332">
        <v>782</v>
      </c>
      <c r="D332">
        <v>7</v>
      </c>
      <c r="E332" t="s">
        <v>43</v>
      </c>
      <c r="F332" t="s">
        <v>44</v>
      </c>
      <c r="G332" t="str">
        <f>"2026-03-31 14:29:47.591"</f>
        <v>2026-03-31 14:29:47.591</v>
      </c>
      <c r="H332" t="s">
        <v>21</v>
      </c>
      <c r="I332">
        <v>0</v>
      </c>
      <c r="J332" t="s">
        <v>37</v>
      </c>
    </row>
    <row r="333" spans="1:10" x14ac:dyDescent="0.25">
      <c r="A333" s="1">
        <v>44</v>
      </c>
      <c r="B333" t="s">
        <v>25</v>
      </c>
      <c r="C333">
        <v>619</v>
      </c>
      <c r="D333">
        <v>1</v>
      </c>
      <c r="E333" t="s">
        <v>26</v>
      </c>
      <c r="F333" t="s">
        <v>27</v>
      </c>
      <c r="G333" t="str">
        <f>"2026-03-31 14:29:47.578"</f>
        <v>2026-03-31 14:29:47.578</v>
      </c>
      <c r="H333" t="s">
        <v>28</v>
      </c>
    </row>
    <row r="334" spans="1:10" x14ac:dyDescent="0.25">
      <c r="A334" s="1">
        <v>45</v>
      </c>
      <c r="B334" t="s">
        <v>19</v>
      </c>
      <c r="C334">
        <v>782</v>
      </c>
      <c r="D334">
        <v>7</v>
      </c>
      <c r="E334" t="s">
        <v>43</v>
      </c>
      <c r="F334" t="s">
        <v>44</v>
      </c>
      <c r="G334" t="str">
        <f>"2026-03-31 14:29:47.573"</f>
        <v>2026-03-31 14:29:47.573</v>
      </c>
      <c r="H334" t="s">
        <v>21</v>
      </c>
      <c r="I334">
        <v>0</v>
      </c>
      <c r="J334" t="s">
        <v>37</v>
      </c>
    </row>
    <row r="335" spans="1:10" x14ac:dyDescent="0.25">
      <c r="A335" s="1">
        <v>46</v>
      </c>
      <c r="B335" t="s">
        <v>29</v>
      </c>
      <c r="C335">
        <v>619</v>
      </c>
      <c r="D335">
        <v>1</v>
      </c>
      <c r="E335" t="s">
        <v>26</v>
      </c>
      <c r="F335" t="s">
        <v>27</v>
      </c>
      <c r="G335" t="str">
        <f>"2026-03-31 14:29:38.778"</f>
        <v>2026-03-31 14:29:38.778</v>
      </c>
      <c r="H335" t="s">
        <v>28</v>
      </c>
      <c r="I335">
        <v>0</v>
      </c>
      <c r="J335" t="s">
        <v>37</v>
      </c>
    </row>
    <row r="336" spans="1:10" x14ac:dyDescent="0.25">
      <c r="A336" s="1">
        <v>47</v>
      </c>
      <c r="B336" t="s">
        <v>25</v>
      </c>
      <c r="C336">
        <v>619</v>
      </c>
      <c r="D336">
        <v>1</v>
      </c>
      <c r="E336" t="s">
        <v>26</v>
      </c>
      <c r="F336" t="s">
        <v>27</v>
      </c>
      <c r="G336" t="str">
        <f>"2026-03-31 14:29:38.773"</f>
        <v>2026-03-31 14:29:38.773</v>
      </c>
      <c r="H336" t="s">
        <v>28</v>
      </c>
    </row>
    <row r="337" spans="1:10" x14ac:dyDescent="0.25">
      <c r="A337" s="1">
        <v>48</v>
      </c>
      <c r="B337" t="s">
        <v>29</v>
      </c>
      <c r="C337">
        <v>619</v>
      </c>
      <c r="D337">
        <v>1</v>
      </c>
      <c r="E337" t="s">
        <v>26</v>
      </c>
      <c r="F337" t="s">
        <v>27</v>
      </c>
      <c r="G337" t="str">
        <f>"2026-03-31 14:29:13.622"</f>
        <v>2026-03-31 14:29:13.622</v>
      </c>
      <c r="H337" t="s">
        <v>28</v>
      </c>
      <c r="I337">
        <v>0</v>
      </c>
      <c r="J337" t="s">
        <v>37</v>
      </c>
    </row>
    <row r="338" spans="1:10" x14ac:dyDescent="0.25">
      <c r="A338" s="1">
        <v>49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"2026-03-31 14:28:45.234"</f>
        <v>2026-03-31 14:28:45.234</v>
      </c>
      <c r="H338" t="s">
        <v>21</v>
      </c>
      <c r="I338">
        <v>0</v>
      </c>
      <c r="J338" t="s">
        <v>32</v>
      </c>
    </row>
    <row r="339" spans="1:10" x14ac:dyDescent="0.25">
      <c r="A339" s="1">
        <v>50</v>
      </c>
      <c r="B339" t="s">
        <v>19</v>
      </c>
      <c r="C339">
        <v>706</v>
      </c>
      <c r="D339">
        <v>4</v>
      </c>
      <c r="E339" t="s">
        <v>22</v>
      </c>
      <c r="F339" t="s">
        <v>31</v>
      </c>
      <c r="G339" t="str">
        <f>"2026-03-31 09:58:15.733"</f>
        <v>2026-03-31 09:58:15.733</v>
      </c>
      <c r="H339" t="s">
        <v>21</v>
      </c>
      <c r="I339">
        <v>0</v>
      </c>
      <c r="J339" t="s">
        <v>24</v>
      </c>
    </row>
    <row r="340" spans="1:10" x14ac:dyDescent="0.25">
      <c r="A340" s="1">
        <v>51</v>
      </c>
      <c r="B340" t="s">
        <v>19</v>
      </c>
      <c r="C340">
        <v>706</v>
      </c>
      <c r="D340">
        <v>4</v>
      </c>
      <c r="E340" t="s">
        <v>22</v>
      </c>
      <c r="F340" t="s">
        <v>31</v>
      </c>
      <c r="G340" t="str">
        <f>"2026-03-31 09:53:13.943"</f>
        <v>2026-03-31 09:53:13.943</v>
      </c>
      <c r="H340" t="s">
        <v>21</v>
      </c>
      <c r="I340">
        <v>0</v>
      </c>
      <c r="J340" t="s">
        <v>24</v>
      </c>
    </row>
    <row r="341" spans="1:10" x14ac:dyDescent="0.25">
      <c r="A341" s="1">
        <v>52</v>
      </c>
      <c r="B341" t="s">
        <v>25</v>
      </c>
      <c r="C341">
        <v>619</v>
      </c>
      <c r="D341">
        <v>1</v>
      </c>
      <c r="E341" t="s">
        <v>26</v>
      </c>
      <c r="F341" t="s">
        <v>27</v>
      </c>
      <c r="G341" t="str">
        <f>"2026-03-31 09:52:51.472"</f>
        <v>2026-03-31 09:52:51.472</v>
      </c>
      <c r="H341" t="s">
        <v>28</v>
      </c>
    </row>
    <row r="342" spans="1:10" x14ac:dyDescent="0.25">
      <c r="A342" s="1">
        <v>53</v>
      </c>
      <c r="B342" t="s">
        <v>29</v>
      </c>
      <c r="C342">
        <v>619</v>
      </c>
      <c r="D342">
        <v>1</v>
      </c>
      <c r="E342" t="s">
        <v>26</v>
      </c>
      <c r="F342" t="s">
        <v>27</v>
      </c>
      <c r="G342" t="str">
        <f>"2026-03-31 09:52:00.320"</f>
        <v>2026-03-31 09:52:00.320</v>
      </c>
      <c r="H342" t="s">
        <v>28</v>
      </c>
      <c r="I342">
        <v>0</v>
      </c>
      <c r="J342" t="s">
        <v>24</v>
      </c>
    </row>
    <row r="343" spans="1:10" x14ac:dyDescent="0.25">
      <c r="A343" s="1">
        <v>54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"2026-03-31 09:51:46.233"</f>
        <v>2026-03-31 09:51:46.233</v>
      </c>
      <c r="H343" t="s">
        <v>21</v>
      </c>
      <c r="I343">
        <v>0</v>
      </c>
      <c r="J343" t="s">
        <v>32</v>
      </c>
    </row>
    <row r="344" spans="1:10" x14ac:dyDescent="0.25">
      <c r="A344" s="1">
        <v>55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"2026-03-31 09:39:43.218"</f>
        <v>2026-03-31 09:39:43.218</v>
      </c>
      <c r="H344" t="s">
        <v>21</v>
      </c>
    </row>
    <row r="345" spans="1:10" x14ac:dyDescent="0.25">
      <c r="A345" s="1">
        <v>56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"2026-03-31 09:03:06.226"</f>
        <v>2026-03-31 09:03:06.226</v>
      </c>
      <c r="H345" t="s">
        <v>21</v>
      </c>
      <c r="I345">
        <v>0</v>
      </c>
      <c r="J345" t="s">
        <v>32</v>
      </c>
    </row>
    <row r="346" spans="1:10" x14ac:dyDescent="0.25">
      <c r="A346" s="1">
        <v>57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"2026-03-30 20:44:07.222"</f>
        <v>2026-03-30 20:44:07.222</v>
      </c>
      <c r="H346" t="s">
        <v>21</v>
      </c>
    </row>
    <row r="347" spans="1:10" x14ac:dyDescent="0.25">
      <c r="A347" s="1">
        <v>58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"2026-03-30 08:44:37.252"</f>
        <v>2026-03-30 08:44:37.252</v>
      </c>
      <c r="H347" t="s">
        <v>21</v>
      </c>
    </row>
    <row r="348" spans="1:10" x14ac:dyDescent="0.25">
      <c r="A348" s="1">
        <v>59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"2026-03-29 23:51:31.220"</f>
        <v>2026-03-29 23:51:31.220</v>
      </c>
      <c r="H348" t="s">
        <v>21</v>
      </c>
    </row>
    <row r="349" spans="1:10" x14ac:dyDescent="0.25">
      <c r="A349" s="1">
        <v>61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"2026-03-29 12:38:10.265"</f>
        <v>2026-03-29 12:38:10.265</v>
      </c>
      <c r="H349" t="s">
        <v>21</v>
      </c>
      <c r="I349">
        <v>0</v>
      </c>
      <c r="J349" t="s">
        <v>32</v>
      </c>
    </row>
    <row r="350" spans="1:10" x14ac:dyDescent="0.25">
      <c r="A350" s="1">
        <v>62</v>
      </c>
      <c r="B350" t="s">
        <v>19</v>
      </c>
      <c r="C350">
        <v>706</v>
      </c>
      <c r="D350">
        <v>4</v>
      </c>
      <c r="E350" t="s">
        <v>22</v>
      </c>
      <c r="F350" t="s">
        <v>31</v>
      </c>
      <c r="G350" t="str">
        <f>"2026-03-28 20:55:05.865"</f>
        <v>2026-03-28 20:55:05.865</v>
      </c>
      <c r="H350" t="s">
        <v>21</v>
      </c>
      <c r="I350">
        <v>0</v>
      </c>
      <c r="J350" t="s">
        <v>24</v>
      </c>
    </row>
    <row r="351" spans="1:10" x14ac:dyDescent="0.25">
      <c r="A351" s="1">
        <v>63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"2026-03-28 20:54:49.225"</f>
        <v>2026-03-28 20:54:49.225</v>
      </c>
      <c r="H351" t="s">
        <v>21</v>
      </c>
    </row>
    <row r="352" spans="1:10" x14ac:dyDescent="0.25">
      <c r="A352" s="1">
        <v>64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"2026-03-28 09:56:59.225"</f>
        <v>2026-03-28 09:56:59.225</v>
      </c>
      <c r="H352" t="s">
        <v>21</v>
      </c>
    </row>
    <row r="353" spans="1:10" x14ac:dyDescent="0.25">
      <c r="A353" s="1">
        <v>65</v>
      </c>
      <c r="B353" t="s">
        <v>25</v>
      </c>
      <c r="C353">
        <v>635</v>
      </c>
      <c r="D353">
        <v>1</v>
      </c>
      <c r="E353" t="s">
        <v>45</v>
      </c>
      <c r="F353" t="s">
        <v>27</v>
      </c>
      <c r="G353" t="str">
        <f>"2026-03-28 05:40:20.330"</f>
        <v>2026-03-28 05:40:20.330</v>
      </c>
      <c r="H353" t="s">
        <v>21</v>
      </c>
    </row>
    <row r="354" spans="1:10" x14ac:dyDescent="0.25">
      <c r="A354" s="1">
        <v>66</v>
      </c>
      <c r="B354" t="s">
        <v>29</v>
      </c>
      <c r="C354">
        <v>635</v>
      </c>
      <c r="D354">
        <v>1</v>
      </c>
      <c r="E354" t="s">
        <v>45</v>
      </c>
      <c r="F354" t="s">
        <v>27</v>
      </c>
      <c r="G354" t="str">
        <f>"2026-03-28 05:37:42.830"</f>
        <v>2026-03-28 05:37:42.830</v>
      </c>
      <c r="H354" t="s">
        <v>21</v>
      </c>
      <c r="I354">
        <v>5.8</v>
      </c>
      <c r="J354" t="s">
        <v>42</v>
      </c>
    </row>
    <row r="355" spans="1:10" x14ac:dyDescent="0.25">
      <c r="A355" s="1">
        <v>67</v>
      </c>
      <c r="B355" t="s">
        <v>25</v>
      </c>
      <c r="C355">
        <v>635</v>
      </c>
      <c r="D355">
        <v>1</v>
      </c>
      <c r="E355" t="s">
        <v>45</v>
      </c>
      <c r="F355" t="s">
        <v>27</v>
      </c>
      <c r="G355" t="str">
        <f>"2026-03-27 15:28:57.030"</f>
        <v>2026-03-27 15:28:57.030</v>
      </c>
      <c r="H355" t="s">
        <v>21</v>
      </c>
    </row>
    <row r="356" spans="1:10" x14ac:dyDescent="0.25">
      <c r="A356" s="1">
        <v>68</v>
      </c>
      <c r="B356" t="s">
        <v>29</v>
      </c>
      <c r="C356">
        <v>635</v>
      </c>
      <c r="D356">
        <v>1</v>
      </c>
      <c r="E356" t="s">
        <v>45</v>
      </c>
      <c r="F356" t="s">
        <v>27</v>
      </c>
      <c r="G356" t="str">
        <f>"2026-03-27 15:25:18.530"</f>
        <v>2026-03-27 15:25:18.530</v>
      </c>
      <c r="H356" t="s">
        <v>21</v>
      </c>
      <c r="I356">
        <v>0</v>
      </c>
      <c r="J356" t="s">
        <v>37</v>
      </c>
    </row>
    <row r="357" spans="1:10" x14ac:dyDescent="0.25">
      <c r="A357" s="1">
        <v>69</v>
      </c>
      <c r="B357" t="s">
        <v>25</v>
      </c>
      <c r="C357">
        <v>635</v>
      </c>
      <c r="D357">
        <v>1</v>
      </c>
      <c r="E357" t="s">
        <v>45</v>
      </c>
      <c r="F357" t="s">
        <v>27</v>
      </c>
      <c r="G357" t="str">
        <f>"2026-03-27 08:30:08.130"</f>
        <v>2026-03-27 08:30:08.130</v>
      </c>
      <c r="H357" t="s">
        <v>21</v>
      </c>
    </row>
    <row r="358" spans="1:10" x14ac:dyDescent="0.25">
      <c r="A358" s="1">
        <v>70</v>
      </c>
      <c r="B358" t="s">
        <v>29</v>
      </c>
      <c r="C358">
        <v>635</v>
      </c>
      <c r="D358">
        <v>1</v>
      </c>
      <c r="E358" t="s">
        <v>45</v>
      </c>
      <c r="F358" t="s">
        <v>27</v>
      </c>
      <c r="G358" t="str">
        <f>"2026-03-27 08:26:45.630"</f>
        <v>2026-03-27 08:26:45.630</v>
      </c>
      <c r="H358" t="s">
        <v>21</v>
      </c>
      <c r="I358">
        <v>4.99</v>
      </c>
      <c r="J358" t="s">
        <v>42</v>
      </c>
    </row>
    <row r="359" spans="1:10" x14ac:dyDescent="0.25">
      <c r="A359" s="1">
        <v>71</v>
      </c>
      <c r="B359" t="s">
        <v>19</v>
      </c>
      <c r="C359">
        <v>706</v>
      </c>
      <c r="D359">
        <v>2</v>
      </c>
      <c r="E359" t="s">
        <v>22</v>
      </c>
      <c r="F359" t="s">
        <v>53</v>
      </c>
      <c r="G359" t="str">
        <f>"2026-03-27 04:44:21.298"</f>
        <v>2026-03-27 04:44:21.298</v>
      </c>
      <c r="H359" t="s">
        <v>21</v>
      </c>
      <c r="I359">
        <v>0</v>
      </c>
      <c r="J359" t="s">
        <v>24</v>
      </c>
    </row>
    <row r="360" spans="1:10" x14ac:dyDescent="0.25">
      <c r="A360" s="1">
        <v>72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"2026-03-27 04:43:39.218"</f>
        <v>2026-03-27 04:43:39.218</v>
      </c>
      <c r="H360" t="s">
        <v>21</v>
      </c>
    </row>
    <row r="361" spans="1:10" x14ac:dyDescent="0.25">
      <c r="A361" s="1">
        <v>73</v>
      </c>
      <c r="B361" t="s">
        <v>25</v>
      </c>
      <c r="C361">
        <v>619</v>
      </c>
      <c r="D361">
        <v>1</v>
      </c>
      <c r="E361" t="s">
        <v>26</v>
      </c>
      <c r="F361" t="s">
        <v>27</v>
      </c>
      <c r="G361" t="str">
        <f>"2026-03-26 22:39:30.771"</f>
        <v>2026-03-26 22:39:30.771</v>
      </c>
      <c r="H361" t="s">
        <v>28</v>
      </c>
    </row>
    <row r="362" spans="1:10" x14ac:dyDescent="0.25">
      <c r="A362" s="1">
        <v>74</v>
      </c>
      <c r="B362" t="s">
        <v>29</v>
      </c>
      <c r="C362">
        <v>619</v>
      </c>
      <c r="D362">
        <v>1</v>
      </c>
      <c r="E362" t="s">
        <v>26</v>
      </c>
      <c r="F362" t="s">
        <v>27</v>
      </c>
      <c r="G362" t="str">
        <f>"2026-03-26 22:38:44.171"</f>
        <v>2026-03-26 22:38:44.171</v>
      </c>
      <c r="H362" t="s">
        <v>28</v>
      </c>
      <c r="I362">
        <v>0</v>
      </c>
      <c r="J362" t="s">
        <v>24</v>
      </c>
    </row>
    <row r="363" spans="1:10" x14ac:dyDescent="0.25">
      <c r="A363" s="1">
        <v>75</v>
      </c>
      <c r="B363" t="s">
        <v>19</v>
      </c>
      <c r="C363">
        <v>706</v>
      </c>
      <c r="D363">
        <v>4</v>
      </c>
      <c r="E363" t="s">
        <v>22</v>
      </c>
      <c r="F363" t="s">
        <v>31</v>
      </c>
      <c r="G363" t="str">
        <f>"2026-03-26 22:38:37.194"</f>
        <v>2026-03-26 22:38:37.194</v>
      </c>
      <c r="H363" t="s">
        <v>21</v>
      </c>
      <c r="I363">
        <v>0</v>
      </c>
      <c r="J363" t="s">
        <v>24</v>
      </c>
    </row>
    <row r="364" spans="1:10" x14ac:dyDescent="0.25">
      <c r="A364" s="1">
        <v>76</v>
      </c>
      <c r="B364" t="s">
        <v>25</v>
      </c>
      <c r="C364">
        <v>619</v>
      </c>
      <c r="D364">
        <v>1</v>
      </c>
      <c r="E364" t="s">
        <v>26</v>
      </c>
      <c r="F364" t="s">
        <v>27</v>
      </c>
      <c r="G364" t="str">
        <f>"2026-03-26 19:58:26.071"</f>
        <v>2026-03-26 19:58:26.071</v>
      </c>
      <c r="H364" t="s">
        <v>28</v>
      </c>
    </row>
    <row r="365" spans="1:10" x14ac:dyDescent="0.25">
      <c r="A365" s="1">
        <v>77</v>
      </c>
      <c r="B365" t="s">
        <v>29</v>
      </c>
      <c r="C365">
        <v>619</v>
      </c>
      <c r="D365">
        <v>1</v>
      </c>
      <c r="E365" t="s">
        <v>26</v>
      </c>
      <c r="F365" t="s">
        <v>27</v>
      </c>
      <c r="G365" t="str">
        <f>"2026-03-26 19:55:08.071"</f>
        <v>2026-03-26 19:55:08.071</v>
      </c>
      <c r="H365" t="s">
        <v>28</v>
      </c>
      <c r="I365">
        <v>4.59</v>
      </c>
      <c r="J365" t="s">
        <v>42</v>
      </c>
    </row>
    <row r="366" spans="1:10" x14ac:dyDescent="0.25">
      <c r="A366" s="1">
        <v>78</v>
      </c>
      <c r="B366" t="s">
        <v>25</v>
      </c>
      <c r="C366">
        <v>619</v>
      </c>
      <c r="D366">
        <v>1</v>
      </c>
      <c r="E366" t="s">
        <v>26</v>
      </c>
      <c r="F366" t="s">
        <v>27</v>
      </c>
      <c r="G366" t="str">
        <f>"2026-03-26 19:12:35.271"</f>
        <v>2026-03-26 19:12:35.271</v>
      </c>
      <c r="H366" t="s">
        <v>28</v>
      </c>
    </row>
    <row r="367" spans="1:10" x14ac:dyDescent="0.25">
      <c r="A367" s="1">
        <v>79</v>
      </c>
      <c r="B367" t="s">
        <v>29</v>
      </c>
      <c r="C367">
        <v>619</v>
      </c>
      <c r="D367">
        <v>1</v>
      </c>
      <c r="E367" t="s">
        <v>26</v>
      </c>
      <c r="F367" t="s">
        <v>27</v>
      </c>
      <c r="G367" t="str">
        <f>"2026-03-26 19:08:58.523"</f>
        <v>2026-03-26 19:08:58.523</v>
      </c>
      <c r="H367" t="s">
        <v>28</v>
      </c>
      <c r="I367">
        <v>5.25</v>
      </c>
      <c r="J367" t="s">
        <v>42</v>
      </c>
    </row>
    <row r="368" spans="1:10" x14ac:dyDescent="0.25">
      <c r="A368" s="1">
        <v>80</v>
      </c>
      <c r="B368" t="s">
        <v>19</v>
      </c>
      <c r="C368">
        <v>706</v>
      </c>
      <c r="D368">
        <v>4</v>
      </c>
      <c r="E368" t="s">
        <v>22</v>
      </c>
      <c r="F368" t="s">
        <v>31</v>
      </c>
      <c r="G368" t="str">
        <f>"2026-03-26 18:45:58.784"</f>
        <v>2026-03-26 18:45:58.784</v>
      </c>
      <c r="H368" t="s">
        <v>21</v>
      </c>
      <c r="I368">
        <v>0</v>
      </c>
      <c r="J368" t="s">
        <v>24</v>
      </c>
    </row>
    <row r="369" spans="1:10" x14ac:dyDescent="0.25">
      <c r="A369" s="1">
        <v>81</v>
      </c>
      <c r="B369" t="s">
        <v>19</v>
      </c>
      <c r="C369">
        <v>706</v>
      </c>
      <c r="D369">
        <v>4</v>
      </c>
      <c r="E369" t="s">
        <v>22</v>
      </c>
      <c r="F369" t="s">
        <v>31</v>
      </c>
      <c r="G369" t="str">
        <f>"2026-03-26 18:31:59.714"</f>
        <v>2026-03-26 18:31:59.714</v>
      </c>
      <c r="H369" t="s">
        <v>21</v>
      </c>
      <c r="I369">
        <v>0</v>
      </c>
      <c r="J369" t="s">
        <v>24</v>
      </c>
    </row>
    <row r="370" spans="1:10" x14ac:dyDescent="0.25">
      <c r="A370" s="1">
        <v>82</v>
      </c>
      <c r="B370" t="s">
        <v>25</v>
      </c>
      <c r="C370">
        <v>89</v>
      </c>
      <c r="D370">
        <v>3</v>
      </c>
      <c r="E370" t="s">
        <v>59</v>
      </c>
      <c r="F370" t="s">
        <v>60</v>
      </c>
      <c r="G370" t="str">
        <f>"2026-03-26 18:03:12.483"</f>
        <v>2026-03-26 18:03:12.483</v>
      </c>
      <c r="H370" t="s">
        <v>21</v>
      </c>
    </row>
    <row r="371" spans="1:10" x14ac:dyDescent="0.25">
      <c r="A371" s="1">
        <v>83</v>
      </c>
      <c r="B371" t="s">
        <v>33</v>
      </c>
      <c r="C371">
        <v>89</v>
      </c>
      <c r="D371">
        <v>3</v>
      </c>
      <c r="E371" t="s">
        <v>59</v>
      </c>
      <c r="F371" t="s">
        <v>60</v>
      </c>
      <c r="G371" t="str">
        <f>"2026-03-26 17:55:27.184"</f>
        <v>2026-03-26 17:55:27.184</v>
      </c>
      <c r="H371" t="s">
        <v>21</v>
      </c>
      <c r="I371">
        <v>0</v>
      </c>
      <c r="J371" t="s">
        <v>37</v>
      </c>
    </row>
    <row r="372" spans="1:10" x14ac:dyDescent="0.25">
      <c r="A372" s="1">
        <v>84</v>
      </c>
      <c r="B372" t="s">
        <v>25</v>
      </c>
      <c r="C372">
        <v>619</v>
      </c>
      <c r="D372">
        <v>1</v>
      </c>
      <c r="E372" t="s">
        <v>26</v>
      </c>
      <c r="F372" t="s">
        <v>27</v>
      </c>
      <c r="G372" t="str">
        <f>"2026-03-26 17:52:32.571"</f>
        <v>2026-03-26 17:52:32.571</v>
      </c>
      <c r="H372" t="s">
        <v>28</v>
      </c>
    </row>
    <row r="373" spans="1:10" x14ac:dyDescent="0.25">
      <c r="A373" s="1">
        <v>85</v>
      </c>
      <c r="B373" t="s">
        <v>29</v>
      </c>
      <c r="C373">
        <v>619</v>
      </c>
      <c r="D373">
        <v>1</v>
      </c>
      <c r="E373" t="s">
        <v>26</v>
      </c>
      <c r="F373" t="s">
        <v>27</v>
      </c>
      <c r="G373" t="str">
        <f>"2026-03-26 17:52:24.871"</f>
        <v>2026-03-26 17:52:24.871</v>
      </c>
      <c r="H373" t="s">
        <v>28</v>
      </c>
      <c r="I373">
        <v>0</v>
      </c>
      <c r="J373" t="s">
        <v>30</v>
      </c>
    </row>
    <row r="374" spans="1:10" x14ac:dyDescent="0.25">
      <c r="A374" s="1">
        <v>86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"2026-03-26 17:52:18.264"</f>
        <v>2026-03-26 17:52:18.264</v>
      </c>
      <c r="H374" t="s">
        <v>21</v>
      </c>
      <c r="I374">
        <v>0</v>
      </c>
      <c r="J374" t="s">
        <v>32</v>
      </c>
    </row>
    <row r="375" spans="1:10" x14ac:dyDescent="0.25">
      <c r="A375" s="1">
        <v>87</v>
      </c>
      <c r="B375" t="s">
        <v>25</v>
      </c>
      <c r="C375">
        <v>619</v>
      </c>
      <c r="D375">
        <v>1</v>
      </c>
      <c r="E375" t="s">
        <v>26</v>
      </c>
      <c r="F375" t="s">
        <v>27</v>
      </c>
      <c r="G375" t="str">
        <f>"2026-03-26 17:49:40.474"</f>
        <v>2026-03-26 17:49:40.474</v>
      </c>
      <c r="H375" t="s">
        <v>28</v>
      </c>
    </row>
    <row r="376" spans="1:10" x14ac:dyDescent="0.25">
      <c r="A376" s="1">
        <v>90</v>
      </c>
      <c r="B376" t="s">
        <v>29</v>
      </c>
      <c r="C376">
        <v>619</v>
      </c>
      <c r="D376">
        <v>1</v>
      </c>
      <c r="E376" t="s">
        <v>26</v>
      </c>
      <c r="F376" t="s">
        <v>27</v>
      </c>
      <c r="G376" t="str">
        <f>"2026-03-26 17:49:29.540"</f>
        <v>2026-03-26 17:49:29.540</v>
      </c>
      <c r="H376" t="s">
        <v>28</v>
      </c>
      <c r="I376">
        <v>0</v>
      </c>
      <c r="J376" t="s">
        <v>37</v>
      </c>
    </row>
    <row r="377" spans="1:10" x14ac:dyDescent="0.25">
      <c r="A377" s="1">
        <v>91</v>
      </c>
      <c r="B377" t="s">
        <v>19</v>
      </c>
      <c r="C377">
        <v>782</v>
      </c>
      <c r="D377">
        <v>7</v>
      </c>
      <c r="E377" t="s">
        <v>43</v>
      </c>
      <c r="F377" t="s">
        <v>44</v>
      </c>
      <c r="G377" t="str">
        <f>"2026-03-26 17:49:29.539"</f>
        <v>2026-03-26 17:49:29.539</v>
      </c>
      <c r="H377" t="s">
        <v>21</v>
      </c>
      <c r="I377">
        <v>0</v>
      </c>
      <c r="J377" t="s">
        <v>37</v>
      </c>
    </row>
    <row r="378" spans="1:10" x14ac:dyDescent="0.25">
      <c r="A378" s="1">
        <v>94</v>
      </c>
      <c r="B378" t="s">
        <v>25</v>
      </c>
      <c r="C378">
        <v>619</v>
      </c>
      <c r="D378">
        <v>1</v>
      </c>
      <c r="E378" t="s">
        <v>26</v>
      </c>
      <c r="F378" t="s">
        <v>27</v>
      </c>
      <c r="G378" t="str">
        <f>"2026-03-26 17:49:29.527"</f>
        <v>2026-03-26 17:49:29.527</v>
      </c>
      <c r="H378" t="s">
        <v>28</v>
      </c>
    </row>
    <row r="379" spans="1:10" x14ac:dyDescent="0.25">
      <c r="A379" s="1">
        <v>95</v>
      </c>
      <c r="B379" t="s">
        <v>19</v>
      </c>
      <c r="C379">
        <v>782</v>
      </c>
      <c r="D379">
        <v>7</v>
      </c>
      <c r="E379" t="s">
        <v>43</v>
      </c>
      <c r="F379" t="s">
        <v>44</v>
      </c>
      <c r="G379" t="str">
        <f>"2026-03-26 17:49:29.522"</f>
        <v>2026-03-26 17:49:29.522</v>
      </c>
      <c r="H379" t="s">
        <v>21</v>
      </c>
      <c r="I379">
        <v>0</v>
      </c>
      <c r="J379" t="s">
        <v>37</v>
      </c>
    </row>
    <row r="380" spans="1:10" x14ac:dyDescent="0.25">
      <c r="A380" s="1">
        <v>98</v>
      </c>
      <c r="B380" t="s">
        <v>29</v>
      </c>
      <c r="C380">
        <v>619</v>
      </c>
      <c r="D380">
        <v>1</v>
      </c>
      <c r="E380" t="s">
        <v>26</v>
      </c>
      <c r="F380" t="s">
        <v>27</v>
      </c>
      <c r="G380" t="str">
        <f>"2026-03-26 17:49:20.940"</f>
        <v>2026-03-26 17:49:20.940</v>
      </c>
      <c r="H380" t="s">
        <v>28</v>
      </c>
      <c r="I380">
        <v>0</v>
      </c>
      <c r="J380" t="s">
        <v>37</v>
      </c>
    </row>
    <row r="381" spans="1:10" x14ac:dyDescent="0.25">
      <c r="A381" s="1">
        <v>99</v>
      </c>
      <c r="B381" t="s">
        <v>19</v>
      </c>
      <c r="C381">
        <v>782</v>
      </c>
      <c r="D381">
        <v>7</v>
      </c>
      <c r="E381" t="s">
        <v>43</v>
      </c>
      <c r="F381" t="s">
        <v>44</v>
      </c>
      <c r="G381" t="str">
        <f>"2026-03-26 17:49:20.939"</f>
        <v>2026-03-26 17:49:20.939</v>
      </c>
      <c r="H381" t="s">
        <v>21</v>
      </c>
      <c r="I381">
        <v>0</v>
      </c>
      <c r="J381" t="s">
        <v>37</v>
      </c>
    </row>
    <row r="382" spans="1:10" x14ac:dyDescent="0.25">
      <c r="A382" s="1">
        <v>2</v>
      </c>
      <c r="B382" t="s">
        <v>25</v>
      </c>
      <c r="C382">
        <v>619</v>
      </c>
      <c r="D382">
        <v>1</v>
      </c>
      <c r="E382" t="s">
        <v>26</v>
      </c>
      <c r="F382" t="s">
        <v>27</v>
      </c>
      <c r="G382" t="str">
        <f>"2026-03-26 17:49:20.927"</f>
        <v>2026-03-26 17:49:20.927</v>
      </c>
      <c r="H382" t="s">
        <v>28</v>
      </c>
    </row>
    <row r="383" spans="1:10" x14ac:dyDescent="0.25">
      <c r="A383" s="1">
        <v>3</v>
      </c>
      <c r="B383" t="s">
        <v>19</v>
      </c>
      <c r="C383">
        <v>782</v>
      </c>
      <c r="D383">
        <v>7</v>
      </c>
      <c r="E383" t="s">
        <v>43</v>
      </c>
      <c r="F383" t="s">
        <v>44</v>
      </c>
      <c r="G383" t="str">
        <f>"2026-03-26 17:49:20.922"</f>
        <v>2026-03-26 17:49:20.922</v>
      </c>
      <c r="H383" t="s">
        <v>21</v>
      </c>
      <c r="I383">
        <v>0</v>
      </c>
      <c r="J383" t="s">
        <v>37</v>
      </c>
    </row>
    <row r="384" spans="1:10" x14ac:dyDescent="0.25">
      <c r="A384" s="1">
        <v>6</v>
      </c>
      <c r="B384" t="s">
        <v>29</v>
      </c>
      <c r="C384">
        <v>619</v>
      </c>
      <c r="D384">
        <v>1</v>
      </c>
      <c r="E384" t="s">
        <v>26</v>
      </c>
      <c r="F384" t="s">
        <v>27</v>
      </c>
      <c r="G384" t="str">
        <f>"2026-03-26 17:48:40.340"</f>
        <v>2026-03-26 17:48:40.340</v>
      </c>
      <c r="H384" t="s">
        <v>28</v>
      </c>
      <c r="I384">
        <v>0</v>
      </c>
      <c r="J384" t="s">
        <v>37</v>
      </c>
    </row>
    <row r="385" spans="1:10" x14ac:dyDescent="0.25">
      <c r="A385" s="1">
        <v>7</v>
      </c>
      <c r="B385" t="s">
        <v>19</v>
      </c>
      <c r="C385">
        <v>782</v>
      </c>
      <c r="D385">
        <v>7</v>
      </c>
      <c r="E385" t="s">
        <v>43</v>
      </c>
      <c r="F385" t="s">
        <v>44</v>
      </c>
      <c r="G385" t="str">
        <f>"2026-03-26 17:48:40.339"</f>
        <v>2026-03-26 17:48:40.339</v>
      </c>
      <c r="H385" t="s">
        <v>21</v>
      </c>
      <c r="I385">
        <v>0</v>
      </c>
      <c r="J385" t="s">
        <v>37</v>
      </c>
    </row>
    <row r="386" spans="1:10" x14ac:dyDescent="0.25">
      <c r="A386" s="1">
        <v>10</v>
      </c>
      <c r="B386" t="s">
        <v>25</v>
      </c>
      <c r="C386">
        <v>619</v>
      </c>
      <c r="D386">
        <v>1</v>
      </c>
      <c r="E386" t="s">
        <v>26</v>
      </c>
      <c r="F386" t="s">
        <v>27</v>
      </c>
      <c r="G386" t="str">
        <f>"2026-03-26 17:48:40.327"</f>
        <v>2026-03-26 17:48:40.327</v>
      </c>
      <c r="H386" t="s">
        <v>28</v>
      </c>
    </row>
    <row r="387" spans="1:10" x14ac:dyDescent="0.25">
      <c r="A387" s="1">
        <v>11</v>
      </c>
      <c r="B387" t="s">
        <v>19</v>
      </c>
      <c r="C387">
        <v>782</v>
      </c>
      <c r="D387">
        <v>7</v>
      </c>
      <c r="E387" t="s">
        <v>43</v>
      </c>
      <c r="F387" t="s">
        <v>44</v>
      </c>
      <c r="G387" t="str">
        <f>"2026-03-26 17:48:40.322"</f>
        <v>2026-03-26 17:48:40.322</v>
      </c>
      <c r="H387" t="s">
        <v>21</v>
      </c>
      <c r="I387">
        <v>0</v>
      </c>
      <c r="J387" t="s">
        <v>37</v>
      </c>
    </row>
    <row r="388" spans="1:10" x14ac:dyDescent="0.25">
      <c r="A388" s="1">
        <v>12</v>
      </c>
      <c r="B388" t="s">
        <v>29</v>
      </c>
      <c r="C388">
        <v>619</v>
      </c>
      <c r="D388">
        <v>1</v>
      </c>
      <c r="E388" t="s">
        <v>26</v>
      </c>
      <c r="F388" t="s">
        <v>27</v>
      </c>
      <c r="G388" t="str">
        <f>"2026-03-26 17:48:27.527"</f>
        <v>2026-03-26 17:48:27.527</v>
      </c>
      <c r="H388" t="s">
        <v>28</v>
      </c>
      <c r="I388">
        <v>0</v>
      </c>
      <c r="J388" t="s">
        <v>37</v>
      </c>
    </row>
    <row r="389" spans="1:10" x14ac:dyDescent="0.25">
      <c r="A389" s="1">
        <v>13</v>
      </c>
      <c r="B389" t="s">
        <v>25</v>
      </c>
      <c r="C389">
        <v>619</v>
      </c>
      <c r="D389">
        <v>1</v>
      </c>
      <c r="E389" t="s">
        <v>26</v>
      </c>
      <c r="F389" t="s">
        <v>27</v>
      </c>
      <c r="G389" t="str">
        <f>"2026-03-26 17:48:27.522"</f>
        <v>2026-03-26 17:48:27.522</v>
      </c>
      <c r="H389" t="s">
        <v>28</v>
      </c>
    </row>
    <row r="390" spans="1:10" x14ac:dyDescent="0.25">
      <c r="A390" s="1">
        <v>16</v>
      </c>
      <c r="B390" t="s">
        <v>29</v>
      </c>
      <c r="C390">
        <v>619</v>
      </c>
      <c r="D390">
        <v>1</v>
      </c>
      <c r="E390" t="s">
        <v>26</v>
      </c>
      <c r="F390" t="s">
        <v>27</v>
      </c>
      <c r="G390" t="str">
        <f>"2026-03-26 17:47:44.340"</f>
        <v>2026-03-26 17:47:44.340</v>
      </c>
      <c r="H390" t="s">
        <v>28</v>
      </c>
      <c r="I390">
        <v>0</v>
      </c>
      <c r="J390" t="s">
        <v>37</v>
      </c>
    </row>
    <row r="391" spans="1:10" x14ac:dyDescent="0.25">
      <c r="A391" s="1">
        <v>17</v>
      </c>
      <c r="B391" t="s">
        <v>19</v>
      </c>
      <c r="C391">
        <v>782</v>
      </c>
      <c r="D391">
        <v>7</v>
      </c>
      <c r="E391" t="s">
        <v>43</v>
      </c>
      <c r="F391" t="s">
        <v>44</v>
      </c>
      <c r="G391" t="str">
        <f>"2026-03-26 17:47:44.339"</f>
        <v>2026-03-26 17:47:44.339</v>
      </c>
      <c r="H391" t="s">
        <v>21</v>
      </c>
      <c r="I391">
        <v>0</v>
      </c>
      <c r="J391" t="s">
        <v>37</v>
      </c>
    </row>
    <row r="392" spans="1:10" x14ac:dyDescent="0.25">
      <c r="A392" s="1">
        <v>20</v>
      </c>
      <c r="B392" t="s">
        <v>25</v>
      </c>
      <c r="C392">
        <v>619</v>
      </c>
      <c r="D392">
        <v>1</v>
      </c>
      <c r="E392" t="s">
        <v>26</v>
      </c>
      <c r="F392" t="s">
        <v>27</v>
      </c>
      <c r="G392" t="str">
        <f>"2026-03-26 17:47:44.327"</f>
        <v>2026-03-26 17:47:44.327</v>
      </c>
      <c r="H392" t="s">
        <v>28</v>
      </c>
    </row>
    <row r="393" spans="1:10" x14ac:dyDescent="0.25">
      <c r="A393" s="1">
        <v>21</v>
      </c>
      <c r="B393" t="s">
        <v>19</v>
      </c>
      <c r="C393">
        <v>782</v>
      </c>
      <c r="D393">
        <v>7</v>
      </c>
      <c r="E393" t="s">
        <v>43</v>
      </c>
      <c r="F393" t="s">
        <v>44</v>
      </c>
      <c r="G393" t="str">
        <f>"2026-03-26 17:47:44.322"</f>
        <v>2026-03-26 17:47:44.322</v>
      </c>
      <c r="H393" t="s">
        <v>21</v>
      </c>
      <c r="I393">
        <v>0</v>
      </c>
      <c r="J393" t="s">
        <v>37</v>
      </c>
    </row>
    <row r="394" spans="1:10" x14ac:dyDescent="0.25">
      <c r="A394" s="1">
        <v>24</v>
      </c>
      <c r="B394" t="s">
        <v>29</v>
      </c>
      <c r="C394">
        <v>619</v>
      </c>
      <c r="D394">
        <v>1</v>
      </c>
      <c r="E394" t="s">
        <v>26</v>
      </c>
      <c r="F394" t="s">
        <v>27</v>
      </c>
      <c r="G394" t="str">
        <f>"2026-03-26 17:47:24.542"</f>
        <v>2026-03-26 17:47:24.542</v>
      </c>
      <c r="H394" t="s">
        <v>28</v>
      </c>
      <c r="I394">
        <v>0</v>
      </c>
      <c r="J394" t="s">
        <v>37</v>
      </c>
    </row>
    <row r="395" spans="1:10" x14ac:dyDescent="0.25">
      <c r="A395" s="1">
        <v>25</v>
      </c>
      <c r="B395" t="s">
        <v>19</v>
      </c>
      <c r="C395">
        <v>782</v>
      </c>
      <c r="D395">
        <v>7</v>
      </c>
      <c r="E395" t="s">
        <v>43</v>
      </c>
      <c r="F395" t="s">
        <v>44</v>
      </c>
      <c r="G395" t="str">
        <f>"2026-03-26 17:47:24.539"</f>
        <v>2026-03-26 17:47:24.539</v>
      </c>
      <c r="H395" t="s">
        <v>21</v>
      </c>
      <c r="I395">
        <v>0</v>
      </c>
      <c r="J395" t="s">
        <v>37</v>
      </c>
    </row>
    <row r="396" spans="1:10" x14ac:dyDescent="0.25">
      <c r="A396" s="1">
        <v>28</v>
      </c>
      <c r="B396" t="s">
        <v>25</v>
      </c>
      <c r="C396">
        <v>619</v>
      </c>
      <c r="D396">
        <v>1</v>
      </c>
      <c r="E396" t="s">
        <v>26</v>
      </c>
      <c r="F396" t="s">
        <v>27</v>
      </c>
      <c r="G396" t="str">
        <f>"2026-03-26 17:47:24.527"</f>
        <v>2026-03-26 17:47:24.527</v>
      </c>
      <c r="H396" t="s">
        <v>28</v>
      </c>
    </row>
    <row r="397" spans="1:10" x14ac:dyDescent="0.25">
      <c r="A397" s="1">
        <v>29</v>
      </c>
      <c r="B397" t="s">
        <v>19</v>
      </c>
      <c r="C397">
        <v>782</v>
      </c>
      <c r="D397">
        <v>7</v>
      </c>
      <c r="E397" t="s">
        <v>43</v>
      </c>
      <c r="F397" t="s">
        <v>44</v>
      </c>
      <c r="G397" t="str">
        <f>"2026-03-26 17:47:24.522"</f>
        <v>2026-03-26 17:47:24.522</v>
      </c>
      <c r="H397" t="s">
        <v>21</v>
      </c>
      <c r="I397">
        <v>0</v>
      </c>
      <c r="J397" t="s">
        <v>37</v>
      </c>
    </row>
    <row r="398" spans="1:10" x14ac:dyDescent="0.25">
      <c r="A398" s="1">
        <v>30</v>
      </c>
      <c r="B398" t="s">
        <v>29</v>
      </c>
      <c r="C398">
        <v>619</v>
      </c>
      <c r="D398">
        <v>1</v>
      </c>
      <c r="E398" t="s">
        <v>26</v>
      </c>
      <c r="F398" t="s">
        <v>27</v>
      </c>
      <c r="G398" t="str">
        <f>"2026-03-26 17:45:42.222"</f>
        <v>2026-03-26 17:45:42.222</v>
      </c>
      <c r="H398" t="s">
        <v>28</v>
      </c>
      <c r="I398">
        <v>5.78</v>
      </c>
      <c r="J398" t="s">
        <v>42</v>
      </c>
    </row>
    <row r="399" spans="1:10" x14ac:dyDescent="0.25">
      <c r="A399" s="1">
        <v>31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"2026-03-26 14:29:59.194"</f>
        <v>2026-03-26 14:29:59.194</v>
      </c>
      <c r="H399" t="s">
        <v>21</v>
      </c>
    </row>
    <row r="400" spans="1:10" x14ac:dyDescent="0.25">
      <c r="A400" s="1">
        <v>32</v>
      </c>
      <c r="B400" t="s">
        <v>25</v>
      </c>
      <c r="C400">
        <v>635</v>
      </c>
      <c r="D400">
        <v>1</v>
      </c>
      <c r="E400" t="s">
        <v>45</v>
      </c>
      <c r="F400" t="s">
        <v>27</v>
      </c>
      <c r="G400" t="str">
        <f>"2026-03-26 09:22:55.688"</f>
        <v>2026-03-26 09:22:55.688</v>
      </c>
      <c r="H400" t="s">
        <v>21</v>
      </c>
    </row>
    <row r="401" spans="1:10" x14ac:dyDescent="0.25">
      <c r="A401" s="1">
        <v>33</v>
      </c>
      <c r="B401" t="s">
        <v>29</v>
      </c>
      <c r="C401">
        <v>635</v>
      </c>
      <c r="D401">
        <v>1</v>
      </c>
      <c r="E401" t="s">
        <v>45</v>
      </c>
      <c r="F401" t="s">
        <v>27</v>
      </c>
      <c r="G401" t="str">
        <f>"2026-03-26 09:17:43.188"</f>
        <v>2026-03-26 09:17:43.188</v>
      </c>
      <c r="H401" t="s">
        <v>21</v>
      </c>
      <c r="I401">
        <v>5.9</v>
      </c>
      <c r="J401" t="s">
        <v>42</v>
      </c>
    </row>
    <row r="402" spans="1:10" x14ac:dyDescent="0.25">
      <c r="A402" s="1">
        <v>35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"2026-03-24 02:55:49.408"</f>
        <v>2026-03-24 02:55:49.408</v>
      </c>
      <c r="H402" t="s">
        <v>21</v>
      </c>
      <c r="I402">
        <v>0</v>
      </c>
      <c r="J402" t="s">
        <v>32</v>
      </c>
    </row>
    <row r="403" spans="1:10" x14ac:dyDescent="0.25">
      <c r="A403" s="1">
        <v>36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"2026-03-23 10:49:44.391"</f>
        <v>2026-03-23 10:49:44.391</v>
      </c>
      <c r="H403" t="s">
        <v>21</v>
      </c>
      <c r="I403">
        <v>0</v>
      </c>
      <c r="J403" t="s">
        <v>32</v>
      </c>
    </row>
    <row r="404" spans="1:10" x14ac:dyDescent="0.25">
      <c r="A404" s="1">
        <v>37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"2026-03-23 10:43:17.438"</f>
        <v>2026-03-23 10:43:17.438</v>
      </c>
      <c r="H404" t="s">
        <v>21</v>
      </c>
      <c r="I404">
        <v>0</v>
      </c>
      <c r="J404" t="s">
        <v>32</v>
      </c>
    </row>
    <row r="405" spans="1:10" x14ac:dyDescent="0.25">
      <c r="A405" s="1">
        <v>38</v>
      </c>
      <c r="B405" t="s">
        <v>25</v>
      </c>
      <c r="C405">
        <v>635</v>
      </c>
      <c r="D405">
        <v>1</v>
      </c>
      <c r="E405" t="s">
        <v>45</v>
      </c>
      <c r="F405" t="s">
        <v>27</v>
      </c>
      <c r="G405" t="str">
        <f>"2026-03-22 19:30:04.010"</f>
        <v>2026-03-22 19:30:04.010</v>
      </c>
      <c r="H405" t="s">
        <v>21</v>
      </c>
    </row>
    <row r="406" spans="1:10" x14ac:dyDescent="0.25">
      <c r="A406" s="1">
        <v>39</v>
      </c>
      <c r="B406" t="s">
        <v>29</v>
      </c>
      <c r="C406">
        <v>635</v>
      </c>
      <c r="D406">
        <v>1</v>
      </c>
      <c r="E406" t="s">
        <v>45</v>
      </c>
      <c r="F406" t="s">
        <v>27</v>
      </c>
      <c r="G406" t="str">
        <f>"2026-03-22 19:25:39.510"</f>
        <v>2026-03-22 19:25:39.510</v>
      </c>
      <c r="H406" t="s">
        <v>21</v>
      </c>
      <c r="I406">
        <v>-0.28000000000000003</v>
      </c>
      <c r="J406" t="s">
        <v>37</v>
      </c>
    </row>
    <row r="407" spans="1:10" x14ac:dyDescent="0.25">
      <c r="A407" s="1">
        <v>40</v>
      </c>
      <c r="B407" t="s">
        <v>25</v>
      </c>
      <c r="C407">
        <v>635</v>
      </c>
      <c r="D407">
        <v>1</v>
      </c>
      <c r="E407" t="s">
        <v>45</v>
      </c>
      <c r="F407" t="s">
        <v>27</v>
      </c>
      <c r="G407" t="str">
        <f>"2026-03-22 15:38:55.310"</f>
        <v>2026-03-22 15:38:55.310</v>
      </c>
      <c r="H407" t="s">
        <v>21</v>
      </c>
    </row>
    <row r="408" spans="1:10" x14ac:dyDescent="0.25">
      <c r="A408" s="1">
        <v>41</v>
      </c>
      <c r="B408" t="s">
        <v>29</v>
      </c>
      <c r="C408">
        <v>635</v>
      </c>
      <c r="D408">
        <v>1</v>
      </c>
      <c r="E408" t="s">
        <v>45</v>
      </c>
      <c r="F408" t="s">
        <v>27</v>
      </c>
      <c r="G408" t="str">
        <f>"2026-03-22 15:36:53.310"</f>
        <v>2026-03-22 15:36:53.310</v>
      </c>
      <c r="H408" t="s">
        <v>21</v>
      </c>
      <c r="I408">
        <v>5.39</v>
      </c>
      <c r="J408" t="s">
        <v>42</v>
      </c>
    </row>
    <row r="409" spans="1:10" x14ac:dyDescent="0.25">
      <c r="A409" s="1">
        <v>42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"2026-03-21 20:56:12.219"</f>
        <v>2026-03-21 20:56:12.219</v>
      </c>
      <c r="H409" t="s">
        <v>21</v>
      </c>
    </row>
    <row r="410" spans="1:10" x14ac:dyDescent="0.25">
      <c r="A410" s="1">
        <v>43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"2026-03-21 10:26:52.426"</f>
        <v>2026-03-21 10:26:52.426</v>
      </c>
      <c r="H410" t="s">
        <v>21</v>
      </c>
      <c r="I410">
        <v>0</v>
      </c>
      <c r="J410" t="s">
        <v>32</v>
      </c>
    </row>
    <row r="411" spans="1:10" x14ac:dyDescent="0.25">
      <c r="A411" s="1">
        <v>44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"2026-03-21 03:56:40.200"</f>
        <v>2026-03-21 03:56:40.200</v>
      </c>
      <c r="H411" t="s">
        <v>21</v>
      </c>
    </row>
    <row r="412" spans="1:10" x14ac:dyDescent="0.25">
      <c r="A412" s="1">
        <v>45</v>
      </c>
      <c r="B412" t="s">
        <v>19</v>
      </c>
      <c r="C412">
        <v>706</v>
      </c>
      <c r="D412">
        <v>4</v>
      </c>
      <c r="E412" t="s">
        <v>22</v>
      </c>
      <c r="F412" t="s">
        <v>31</v>
      </c>
      <c r="G412" t="str">
        <f>"2026-03-21 02:58:20.348"</f>
        <v>2026-03-21 02:58:20.348</v>
      </c>
      <c r="H412" t="s">
        <v>21</v>
      </c>
      <c r="I412">
        <v>0</v>
      </c>
      <c r="J412" t="s">
        <v>24</v>
      </c>
    </row>
    <row r="413" spans="1:10" x14ac:dyDescent="0.25">
      <c r="A413" s="1">
        <v>46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"2026-03-21 02:37:31.198"</f>
        <v>2026-03-21 02:37:31.198</v>
      </c>
      <c r="H413" t="s">
        <v>21</v>
      </c>
      <c r="I413">
        <v>0</v>
      </c>
      <c r="J413" t="s">
        <v>32</v>
      </c>
    </row>
    <row r="414" spans="1:10" x14ac:dyDescent="0.25">
      <c r="A414" s="1">
        <v>47</v>
      </c>
      <c r="B414" t="s">
        <v>25</v>
      </c>
      <c r="C414">
        <v>635</v>
      </c>
      <c r="D414">
        <v>1</v>
      </c>
      <c r="E414" t="s">
        <v>45</v>
      </c>
      <c r="F414" t="s">
        <v>27</v>
      </c>
      <c r="G414" t="str">
        <f>"2026-03-20 09:36:19.911"</f>
        <v>2026-03-20 09:36:19.911</v>
      </c>
      <c r="H414" t="s">
        <v>21</v>
      </c>
    </row>
    <row r="415" spans="1:10" x14ac:dyDescent="0.25">
      <c r="A415" s="1">
        <v>48</v>
      </c>
      <c r="B415" t="s">
        <v>29</v>
      </c>
      <c r="C415">
        <v>635</v>
      </c>
      <c r="D415">
        <v>1</v>
      </c>
      <c r="E415" t="s">
        <v>45</v>
      </c>
      <c r="F415" t="s">
        <v>27</v>
      </c>
      <c r="G415" t="str">
        <f>"2026-03-20 09:33:10.911"</f>
        <v>2026-03-20 09:33:10.911</v>
      </c>
      <c r="H415" t="s">
        <v>21</v>
      </c>
      <c r="I415">
        <v>5.43</v>
      </c>
      <c r="J415" t="s">
        <v>42</v>
      </c>
    </row>
    <row r="416" spans="1:10" x14ac:dyDescent="0.25">
      <c r="A416" s="1">
        <v>49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"2026-03-19 22:06:36.223"</f>
        <v>2026-03-19 22:06:36.223</v>
      </c>
      <c r="H416" t="s">
        <v>21</v>
      </c>
    </row>
    <row r="417" spans="1:10" x14ac:dyDescent="0.25">
      <c r="A417" s="1">
        <v>50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"2026-03-19 12:59:41.425"</f>
        <v>2026-03-19 12:59:41.425</v>
      </c>
      <c r="H417" t="s">
        <v>21</v>
      </c>
      <c r="I417">
        <v>0</v>
      </c>
      <c r="J417" t="s">
        <v>32</v>
      </c>
    </row>
    <row r="418" spans="1:10" x14ac:dyDescent="0.25">
      <c r="A418" s="1">
        <v>51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"2026-03-18 23:22:17.207"</f>
        <v>2026-03-18 23:22:17.207</v>
      </c>
      <c r="H418" t="s">
        <v>21</v>
      </c>
      <c r="I418">
        <v>0</v>
      </c>
      <c r="J418" t="s">
        <v>32</v>
      </c>
    </row>
    <row r="419" spans="1:10" x14ac:dyDescent="0.25">
      <c r="A419" s="1">
        <v>52</v>
      </c>
      <c r="B419" t="s">
        <v>25</v>
      </c>
      <c r="C419">
        <v>635</v>
      </c>
      <c r="D419">
        <v>1</v>
      </c>
      <c r="E419" t="s">
        <v>45</v>
      </c>
      <c r="F419" t="s">
        <v>27</v>
      </c>
      <c r="G419" t="str">
        <f>"2026-03-17 20:59:29.451"</f>
        <v>2026-03-17 20:59:29.451</v>
      </c>
      <c r="H419" t="s">
        <v>21</v>
      </c>
    </row>
    <row r="420" spans="1:10" x14ac:dyDescent="0.25">
      <c r="A420" s="1">
        <v>53</v>
      </c>
      <c r="B420" t="s">
        <v>29</v>
      </c>
      <c r="C420">
        <v>635</v>
      </c>
      <c r="D420">
        <v>1</v>
      </c>
      <c r="E420" t="s">
        <v>45</v>
      </c>
      <c r="F420" t="s">
        <v>27</v>
      </c>
      <c r="G420" t="str">
        <f>"2026-03-17 20:43:44.951"</f>
        <v>2026-03-17 20:43:44.951</v>
      </c>
      <c r="H420" t="s">
        <v>21</v>
      </c>
      <c r="I420">
        <v>3.27</v>
      </c>
      <c r="J420" t="s">
        <v>42</v>
      </c>
    </row>
    <row r="421" spans="1:10" s="3" customFormat="1" x14ac:dyDescent="0.25">
      <c r="A421" s="2">
        <v>54</v>
      </c>
      <c r="B421" s="3" t="s">
        <v>25</v>
      </c>
      <c r="C421" s="3">
        <v>647</v>
      </c>
      <c r="D421" s="3">
        <v>1</v>
      </c>
      <c r="E421" s="3" t="s">
        <v>55</v>
      </c>
      <c r="F421" s="3" t="s">
        <v>56</v>
      </c>
      <c r="G421" s="3" t="str">
        <f>"2026-03-17 17:21:25.352"</f>
        <v>2026-03-17 17:21:25.352</v>
      </c>
      <c r="H421" s="3" t="s">
        <v>21</v>
      </c>
    </row>
    <row r="422" spans="1:10" s="3" customFormat="1" x14ac:dyDescent="0.25">
      <c r="A422" s="2">
        <v>55</v>
      </c>
      <c r="B422" s="3" t="s">
        <v>29</v>
      </c>
      <c r="C422" s="3">
        <v>647</v>
      </c>
      <c r="D422" s="3">
        <v>1</v>
      </c>
      <c r="E422" s="3" t="s">
        <v>55</v>
      </c>
      <c r="F422" s="3" t="s">
        <v>56</v>
      </c>
      <c r="G422" s="3" t="str">
        <f>"2026-03-17 17:21:18.552"</f>
        <v>2026-03-17 17:21:18.552</v>
      </c>
      <c r="H422" s="3" t="s">
        <v>21</v>
      </c>
      <c r="I422" s="3">
        <v>8.58</v>
      </c>
      <c r="J422" s="3" t="s">
        <v>54</v>
      </c>
    </row>
    <row r="423" spans="1:10" x14ac:dyDescent="0.25">
      <c r="A423" s="1">
        <v>56</v>
      </c>
      <c r="B423" t="s">
        <v>19</v>
      </c>
      <c r="C423">
        <v>706</v>
      </c>
      <c r="D423">
        <v>4</v>
      </c>
      <c r="E423" t="s">
        <v>22</v>
      </c>
      <c r="F423" t="s">
        <v>31</v>
      </c>
      <c r="G423" t="str">
        <f>"2026-03-17 16:41:34.891"</f>
        <v>2026-03-17 16:41:34.891</v>
      </c>
      <c r="H423" t="s">
        <v>21</v>
      </c>
      <c r="I423">
        <v>0</v>
      </c>
      <c r="J423" t="s">
        <v>24</v>
      </c>
    </row>
    <row r="424" spans="1:10" x14ac:dyDescent="0.25">
      <c r="A424" s="1">
        <v>57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"2026-03-17 03:27:51.231"</f>
        <v>2026-03-17 03:27:51.231</v>
      </c>
      <c r="H424" t="s">
        <v>21</v>
      </c>
      <c r="I424">
        <v>0</v>
      </c>
      <c r="J424" t="s">
        <v>32</v>
      </c>
    </row>
    <row r="425" spans="1:10" s="3" customFormat="1" x14ac:dyDescent="0.25">
      <c r="A425" s="2">
        <v>58</v>
      </c>
      <c r="B425" s="3" t="s">
        <v>25</v>
      </c>
      <c r="C425" s="3">
        <v>647</v>
      </c>
      <c r="D425" s="3">
        <v>1</v>
      </c>
      <c r="E425" s="3" t="s">
        <v>55</v>
      </c>
      <c r="F425" s="3" t="s">
        <v>56</v>
      </c>
      <c r="G425" s="3" t="str">
        <f>"2026-03-17 00:22:00.212"</f>
        <v>2026-03-17 00:22:00.212</v>
      </c>
      <c r="H425" s="3" t="s">
        <v>21</v>
      </c>
    </row>
    <row r="426" spans="1:10" s="3" customFormat="1" x14ac:dyDescent="0.25">
      <c r="A426" s="2">
        <v>59</v>
      </c>
      <c r="B426" s="3" t="s">
        <v>29</v>
      </c>
      <c r="C426" s="3">
        <v>647</v>
      </c>
      <c r="D426" s="3">
        <v>1</v>
      </c>
      <c r="E426" s="3" t="s">
        <v>55</v>
      </c>
      <c r="F426" s="3" t="s">
        <v>56</v>
      </c>
      <c r="G426" s="3" t="str">
        <f>"2026-03-17 00:21:57.912"</f>
        <v>2026-03-17 00:21:57.912</v>
      </c>
      <c r="H426" s="3" t="s">
        <v>21</v>
      </c>
      <c r="I426" s="3">
        <v>10.9</v>
      </c>
      <c r="J426" s="3" t="s">
        <v>54</v>
      </c>
    </row>
    <row r="427" spans="1:10" s="3" customFormat="1" x14ac:dyDescent="0.25">
      <c r="A427" s="2">
        <v>60</v>
      </c>
      <c r="B427" s="3" t="s">
        <v>25</v>
      </c>
      <c r="C427" s="3">
        <v>647</v>
      </c>
      <c r="D427" s="3">
        <v>1</v>
      </c>
      <c r="E427" s="3" t="s">
        <v>55</v>
      </c>
      <c r="F427" s="3" t="s">
        <v>56</v>
      </c>
      <c r="G427" s="3" t="str">
        <f>"2026-03-16 18:29:03.112"</f>
        <v>2026-03-16 18:29:03.112</v>
      </c>
      <c r="H427" s="3" t="s">
        <v>21</v>
      </c>
    </row>
    <row r="428" spans="1:10" s="3" customFormat="1" x14ac:dyDescent="0.25">
      <c r="A428" s="2">
        <v>61</v>
      </c>
      <c r="B428" s="3" t="s">
        <v>29</v>
      </c>
      <c r="C428" s="3">
        <v>647</v>
      </c>
      <c r="D428" s="3">
        <v>1</v>
      </c>
      <c r="E428" s="3" t="s">
        <v>55</v>
      </c>
      <c r="F428" s="3" t="s">
        <v>56</v>
      </c>
      <c r="G428" s="3" t="str">
        <f>"2026-03-16 18:28:57.812"</f>
        <v>2026-03-16 18:28:57.812</v>
      </c>
      <c r="H428" s="3" t="s">
        <v>21</v>
      </c>
      <c r="I428" s="3">
        <v>25.07</v>
      </c>
      <c r="J428" s="3" t="s">
        <v>54</v>
      </c>
    </row>
    <row r="429" spans="1:10" x14ac:dyDescent="0.25">
      <c r="A429" s="1">
        <v>62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"2026-03-16 09:04:42.371"</f>
        <v>2026-03-16 09:04:42.371</v>
      </c>
      <c r="H429" t="s">
        <v>21</v>
      </c>
      <c r="I429">
        <v>0</v>
      </c>
      <c r="J429" t="s">
        <v>32</v>
      </c>
    </row>
    <row r="430" spans="1:10" x14ac:dyDescent="0.25">
      <c r="A430" s="1">
        <v>63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"2026-03-15 13:36:59.198"</f>
        <v>2026-03-15 13:36:59.198</v>
      </c>
      <c r="H430" t="s">
        <v>21</v>
      </c>
      <c r="I430">
        <v>0</v>
      </c>
      <c r="J430" t="s">
        <v>32</v>
      </c>
    </row>
    <row r="431" spans="1:10" x14ac:dyDescent="0.25">
      <c r="A431" s="1">
        <v>64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"2026-03-14 09:58:15.196"</f>
        <v>2026-03-14 09:58:15.196</v>
      </c>
      <c r="H431" t="s">
        <v>21</v>
      </c>
      <c r="I431">
        <v>0</v>
      </c>
      <c r="J431" t="s">
        <v>32</v>
      </c>
    </row>
    <row r="432" spans="1:10" x14ac:dyDescent="0.25">
      <c r="A432" s="1">
        <v>65</v>
      </c>
      <c r="B432" t="s">
        <v>25</v>
      </c>
      <c r="C432">
        <v>635</v>
      </c>
      <c r="D432">
        <v>1</v>
      </c>
      <c r="E432" t="s">
        <v>45</v>
      </c>
      <c r="F432" t="s">
        <v>27</v>
      </c>
      <c r="G432" t="str">
        <f>"2026-03-12 20:20:10.928"</f>
        <v>2026-03-12 20:20:10.928</v>
      </c>
      <c r="H432" t="s">
        <v>21</v>
      </c>
    </row>
    <row r="433" spans="1:10" x14ac:dyDescent="0.25">
      <c r="A433" s="1">
        <v>66</v>
      </c>
      <c r="B433" t="s">
        <v>29</v>
      </c>
      <c r="C433">
        <v>635</v>
      </c>
      <c r="D433">
        <v>1</v>
      </c>
      <c r="E433" t="s">
        <v>45</v>
      </c>
      <c r="F433" t="s">
        <v>27</v>
      </c>
      <c r="G433" t="str">
        <f>"2026-03-12 20:16:32.428"</f>
        <v>2026-03-12 20:16:32.428</v>
      </c>
      <c r="H433" t="s">
        <v>21</v>
      </c>
      <c r="I433">
        <v>5.21</v>
      </c>
      <c r="J433" t="s">
        <v>42</v>
      </c>
    </row>
    <row r="434" spans="1:10" s="3" customFormat="1" x14ac:dyDescent="0.25">
      <c r="A434" s="2">
        <v>67</v>
      </c>
      <c r="B434" s="3" t="s">
        <v>25</v>
      </c>
      <c r="C434" s="3">
        <v>647</v>
      </c>
      <c r="D434" s="3">
        <v>1</v>
      </c>
      <c r="E434" s="3" t="s">
        <v>55</v>
      </c>
      <c r="F434" s="3" t="s">
        <v>56</v>
      </c>
      <c r="G434" s="3" t="str">
        <f>"2026-03-12 05:04:25.629"</f>
        <v>2026-03-12 05:04:25.629</v>
      </c>
      <c r="H434" s="3" t="s">
        <v>21</v>
      </c>
    </row>
    <row r="435" spans="1:10" s="3" customFormat="1" x14ac:dyDescent="0.25">
      <c r="A435" s="2">
        <v>68</v>
      </c>
      <c r="B435" s="3" t="s">
        <v>29</v>
      </c>
      <c r="C435" s="3">
        <v>647</v>
      </c>
      <c r="D435" s="3">
        <v>1</v>
      </c>
      <c r="E435" s="3" t="s">
        <v>55</v>
      </c>
      <c r="F435" s="3" t="s">
        <v>56</v>
      </c>
      <c r="G435" s="3" t="str">
        <f>"2026-03-12 05:04:24.329"</f>
        <v>2026-03-12 05:04:24.329</v>
      </c>
      <c r="H435" s="3" t="s">
        <v>21</v>
      </c>
      <c r="I435" s="3">
        <v>25.68</v>
      </c>
      <c r="J435" s="3" t="s">
        <v>54</v>
      </c>
    </row>
    <row r="436" spans="1:10" x14ac:dyDescent="0.25">
      <c r="A436" s="1">
        <v>69</v>
      </c>
      <c r="B436" t="s">
        <v>25</v>
      </c>
      <c r="C436">
        <v>635</v>
      </c>
      <c r="D436">
        <v>1</v>
      </c>
      <c r="E436" t="s">
        <v>45</v>
      </c>
      <c r="F436" t="s">
        <v>27</v>
      </c>
      <c r="G436" t="str">
        <f>"2026-03-11 20:48:49.828"</f>
        <v>2026-03-11 20:48:49.828</v>
      </c>
      <c r="H436" t="s">
        <v>21</v>
      </c>
    </row>
    <row r="437" spans="1:10" x14ac:dyDescent="0.25">
      <c r="A437" s="1">
        <v>70</v>
      </c>
      <c r="B437" t="s">
        <v>29</v>
      </c>
      <c r="C437">
        <v>635</v>
      </c>
      <c r="D437">
        <v>1</v>
      </c>
      <c r="E437" t="s">
        <v>45</v>
      </c>
      <c r="F437" t="s">
        <v>27</v>
      </c>
      <c r="G437" t="str">
        <f>"2026-03-11 20:46:23.328"</f>
        <v>2026-03-11 20:46:23.328</v>
      </c>
      <c r="H437" t="s">
        <v>21</v>
      </c>
      <c r="I437">
        <v>4.6900000000000004</v>
      </c>
      <c r="J437" t="s">
        <v>37</v>
      </c>
    </row>
    <row r="438" spans="1:10" x14ac:dyDescent="0.25">
      <c r="A438" s="1">
        <v>71</v>
      </c>
      <c r="B438" t="s">
        <v>25</v>
      </c>
      <c r="C438">
        <v>635</v>
      </c>
      <c r="D438">
        <v>1</v>
      </c>
      <c r="E438" t="s">
        <v>45</v>
      </c>
      <c r="F438" t="s">
        <v>27</v>
      </c>
      <c r="G438" t="str">
        <f>"2026-03-10 18:55:58.528"</f>
        <v>2026-03-10 18:55:58.528</v>
      </c>
      <c r="H438" t="s">
        <v>21</v>
      </c>
    </row>
    <row r="439" spans="1:10" x14ac:dyDescent="0.25">
      <c r="A439" s="1">
        <v>72</v>
      </c>
      <c r="B439" t="s">
        <v>29</v>
      </c>
      <c r="C439">
        <v>635</v>
      </c>
      <c r="D439">
        <v>1</v>
      </c>
      <c r="E439" t="s">
        <v>45</v>
      </c>
      <c r="F439" t="s">
        <v>27</v>
      </c>
      <c r="G439" t="str">
        <f>"2026-03-10 18:52:40.028"</f>
        <v>2026-03-10 18:52:40.028</v>
      </c>
      <c r="H439" t="s">
        <v>21</v>
      </c>
      <c r="I439">
        <v>2.93</v>
      </c>
      <c r="J439" t="s">
        <v>37</v>
      </c>
    </row>
    <row r="440" spans="1:10" s="3" customFormat="1" x14ac:dyDescent="0.25">
      <c r="A440" s="2">
        <v>74</v>
      </c>
      <c r="B440" s="3" t="s">
        <v>25</v>
      </c>
      <c r="C440" s="3">
        <v>647</v>
      </c>
      <c r="D440" s="3">
        <v>1</v>
      </c>
      <c r="E440" s="3" t="s">
        <v>55</v>
      </c>
      <c r="F440" s="3" t="s">
        <v>56</v>
      </c>
      <c r="G440" s="3" t="str">
        <f>"2026-03-10 16:29:54.829"</f>
        <v>2026-03-10 16:29:54.829</v>
      </c>
      <c r="H440" s="3" t="s">
        <v>21</v>
      </c>
    </row>
    <row r="441" spans="1:10" s="3" customFormat="1" x14ac:dyDescent="0.25">
      <c r="A441" s="2">
        <v>75</v>
      </c>
      <c r="B441" s="3" t="s">
        <v>29</v>
      </c>
      <c r="C441" s="3">
        <v>647</v>
      </c>
      <c r="D441" s="3">
        <v>1</v>
      </c>
      <c r="E441" s="3" t="s">
        <v>55</v>
      </c>
      <c r="F441" s="3" t="s">
        <v>56</v>
      </c>
      <c r="G441" s="3" t="str">
        <f>"2026-03-10 16:29:53.729"</f>
        <v>2026-03-10 16:29:53.729</v>
      </c>
      <c r="H441" s="3" t="s">
        <v>21</v>
      </c>
      <c r="I441" s="3">
        <v>8.0299999999999994</v>
      </c>
      <c r="J441" s="3" t="s">
        <v>54</v>
      </c>
    </row>
    <row r="442" spans="1:10" x14ac:dyDescent="0.25">
      <c r="A442" s="1">
        <v>76</v>
      </c>
      <c r="B442" t="s">
        <v>19</v>
      </c>
      <c r="C442">
        <v>706</v>
      </c>
      <c r="D442">
        <v>2</v>
      </c>
      <c r="E442" t="s">
        <v>22</v>
      </c>
      <c r="F442" t="s">
        <v>53</v>
      </c>
      <c r="G442" t="str">
        <f>"2026-03-10 14:15:21.117"</f>
        <v>2026-03-10 14:15:21.117</v>
      </c>
      <c r="H442" t="s">
        <v>21</v>
      </c>
      <c r="I442">
        <v>0</v>
      </c>
      <c r="J442" t="s">
        <v>24</v>
      </c>
    </row>
    <row r="443" spans="1:10" x14ac:dyDescent="0.25">
      <c r="A443" s="1">
        <v>77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"2026-03-10 14:15:06.217"</f>
        <v>2026-03-10 14:15:06.217</v>
      </c>
      <c r="H443" t="s">
        <v>21</v>
      </c>
      <c r="I443">
        <v>0</v>
      </c>
      <c r="J443" t="s">
        <v>32</v>
      </c>
    </row>
    <row r="444" spans="1:10" x14ac:dyDescent="0.25">
      <c r="A444" s="1">
        <v>78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"2026-03-10 02:30:30.190"</f>
        <v>2026-03-10 02:30:30.190</v>
      </c>
      <c r="H444" t="s">
        <v>21</v>
      </c>
    </row>
    <row r="445" spans="1:10" x14ac:dyDescent="0.25">
      <c r="A445" s="1">
        <v>79</v>
      </c>
      <c r="B445" t="s">
        <v>19</v>
      </c>
      <c r="C445">
        <v>706</v>
      </c>
      <c r="D445">
        <v>2</v>
      </c>
      <c r="E445" t="s">
        <v>22</v>
      </c>
      <c r="F445" t="s">
        <v>53</v>
      </c>
      <c r="G445" t="str">
        <f>"2026-03-10 02:22:51.513"</f>
        <v>2026-03-10 02:22:51.513</v>
      </c>
      <c r="H445" t="s">
        <v>21</v>
      </c>
      <c r="I445">
        <v>0</v>
      </c>
      <c r="J445" t="s">
        <v>24</v>
      </c>
    </row>
    <row r="446" spans="1:10" x14ac:dyDescent="0.25">
      <c r="A446" s="1">
        <v>80</v>
      </c>
      <c r="B446" t="s">
        <v>19</v>
      </c>
      <c r="C446">
        <v>706</v>
      </c>
      <c r="D446">
        <v>4</v>
      </c>
      <c r="E446" t="s">
        <v>22</v>
      </c>
      <c r="F446" t="s">
        <v>31</v>
      </c>
      <c r="G446" t="str">
        <f>"2026-03-10 02:22:29.633"</f>
        <v>2026-03-10 02:22:29.633</v>
      </c>
      <c r="H446" t="s">
        <v>21</v>
      </c>
      <c r="I446">
        <v>0</v>
      </c>
      <c r="J446" t="s">
        <v>24</v>
      </c>
    </row>
    <row r="447" spans="1:10" x14ac:dyDescent="0.25">
      <c r="A447" s="1">
        <v>81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"2026-03-10 02:04:56.233"</f>
        <v>2026-03-10 02:04:56.233</v>
      </c>
      <c r="H447" t="s">
        <v>21</v>
      </c>
      <c r="I447">
        <v>0</v>
      </c>
      <c r="J447" t="s">
        <v>32</v>
      </c>
    </row>
    <row r="448" spans="1:10" x14ac:dyDescent="0.25">
      <c r="A448" s="1">
        <v>82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"2026-03-09 23:32:52.230"</f>
        <v>2026-03-09 23:32:52.230</v>
      </c>
      <c r="H448" t="s">
        <v>21</v>
      </c>
      <c r="I448">
        <v>0</v>
      </c>
      <c r="J448" t="s">
        <v>32</v>
      </c>
    </row>
    <row r="449" spans="1:10" x14ac:dyDescent="0.25">
      <c r="A449" s="1">
        <v>83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"2026-03-08 23:44:57.371"</f>
        <v>2026-03-08 23:44:57.371</v>
      </c>
      <c r="H449" t="s">
        <v>21</v>
      </c>
    </row>
    <row r="450" spans="1:10" x14ac:dyDescent="0.25">
      <c r="A450" s="1">
        <v>84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"2026-03-08 23:37:15.196"</f>
        <v>2026-03-08 23:37:15.196</v>
      </c>
      <c r="H450" t="s">
        <v>21</v>
      </c>
      <c r="I450">
        <v>0</v>
      </c>
      <c r="J450" t="s">
        <v>32</v>
      </c>
    </row>
    <row r="451" spans="1:10" x14ac:dyDescent="0.25">
      <c r="A451" s="1">
        <v>85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"2026-03-08 21:54:38.225"</f>
        <v>2026-03-08 21:54:38.225</v>
      </c>
      <c r="H451" t="s">
        <v>21</v>
      </c>
      <c r="I451">
        <v>0</v>
      </c>
      <c r="J451" t="s">
        <v>32</v>
      </c>
    </row>
    <row r="452" spans="1:10" x14ac:dyDescent="0.25">
      <c r="A452" s="1">
        <v>86</v>
      </c>
      <c r="B452" t="s">
        <v>25</v>
      </c>
      <c r="C452">
        <v>635</v>
      </c>
      <c r="D452">
        <v>1</v>
      </c>
      <c r="E452" t="s">
        <v>45</v>
      </c>
      <c r="F452" t="s">
        <v>27</v>
      </c>
      <c r="G452" t="str">
        <f>"2026-03-08 14:38:51.846"</f>
        <v>2026-03-08 14:38:51.846</v>
      </c>
      <c r="H452" t="s">
        <v>21</v>
      </c>
    </row>
    <row r="453" spans="1:10" x14ac:dyDescent="0.25">
      <c r="A453" s="1">
        <v>87</v>
      </c>
      <c r="B453" t="s">
        <v>29</v>
      </c>
      <c r="C453">
        <v>635</v>
      </c>
      <c r="D453">
        <v>1</v>
      </c>
      <c r="E453" t="s">
        <v>45</v>
      </c>
      <c r="F453" t="s">
        <v>27</v>
      </c>
      <c r="G453" t="str">
        <f>"2026-03-08 14:36:02.346"</f>
        <v>2026-03-08 14:36:02.346</v>
      </c>
      <c r="H453" t="s">
        <v>21</v>
      </c>
      <c r="I453">
        <v>4.3600000000000003</v>
      </c>
      <c r="J453" t="s">
        <v>42</v>
      </c>
    </row>
    <row r="454" spans="1:10" x14ac:dyDescent="0.25">
      <c r="A454" s="1">
        <v>88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"2026-03-08 13:49:34.194"</f>
        <v>2026-03-08 13:49:34.194</v>
      </c>
      <c r="H454" t="s">
        <v>21</v>
      </c>
    </row>
    <row r="455" spans="1:10" x14ac:dyDescent="0.25">
      <c r="A455" s="1">
        <v>89</v>
      </c>
      <c r="B455" t="s">
        <v>25</v>
      </c>
      <c r="C455">
        <v>635</v>
      </c>
      <c r="D455">
        <v>1</v>
      </c>
      <c r="E455" t="s">
        <v>45</v>
      </c>
      <c r="F455" t="s">
        <v>27</v>
      </c>
      <c r="G455" t="str">
        <f>"2026-03-07 23:12:35.047"</f>
        <v>2026-03-07 23:12:35.047</v>
      </c>
      <c r="H455" t="s">
        <v>21</v>
      </c>
    </row>
    <row r="456" spans="1:10" x14ac:dyDescent="0.25">
      <c r="A456" s="1">
        <v>90</v>
      </c>
      <c r="B456" t="s">
        <v>29</v>
      </c>
      <c r="C456">
        <v>635</v>
      </c>
      <c r="D456">
        <v>1</v>
      </c>
      <c r="E456" t="s">
        <v>45</v>
      </c>
      <c r="F456" t="s">
        <v>27</v>
      </c>
      <c r="G456" t="str">
        <f>"2026-03-07 23:09:48.547"</f>
        <v>2026-03-07 23:09:48.547</v>
      </c>
      <c r="H456" t="s">
        <v>21</v>
      </c>
      <c r="I456">
        <v>4.32</v>
      </c>
      <c r="J456" t="s">
        <v>42</v>
      </c>
    </row>
    <row r="457" spans="1:10" x14ac:dyDescent="0.25">
      <c r="A457" s="1">
        <v>91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"2026-03-07 18:42:45.398"</f>
        <v>2026-03-07 18:42:45.398</v>
      </c>
      <c r="H457" t="s">
        <v>21</v>
      </c>
    </row>
    <row r="458" spans="1:10" x14ac:dyDescent="0.25">
      <c r="A458" s="1">
        <v>92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"2026-03-06 23:29:08.200"</f>
        <v>2026-03-06 23:29:08.200</v>
      </c>
      <c r="H458" t="s">
        <v>21</v>
      </c>
      <c r="I458">
        <v>0</v>
      </c>
      <c r="J458" t="s">
        <v>32</v>
      </c>
    </row>
    <row r="459" spans="1:10" x14ac:dyDescent="0.25">
      <c r="A459" s="1">
        <v>93</v>
      </c>
      <c r="B459" t="s">
        <v>25</v>
      </c>
      <c r="C459">
        <v>635</v>
      </c>
      <c r="D459">
        <v>1</v>
      </c>
      <c r="E459" t="s">
        <v>45</v>
      </c>
      <c r="F459" t="s">
        <v>27</v>
      </c>
      <c r="G459" t="str">
        <f>"2026-03-06 20:41:15.442"</f>
        <v>2026-03-06 20:41:15.442</v>
      </c>
      <c r="H459" t="s">
        <v>21</v>
      </c>
    </row>
    <row r="460" spans="1:10" x14ac:dyDescent="0.25">
      <c r="A460" s="1">
        <v>94</v>
      </c>
      <c r="B460" t="s">
        <v>29</v>
      </c>
      <c r="C460">
        <v>635</v>
      </c>
      <c r="D460">
        <v>1</v>
      </c>
      <c r="E460" t="s">
        <v>45</v>
      </c>
      <c r="F460" t="s">
        <v>27</v>
      </c>
      <c r="G460" t="str">
        <f>"2026-03-06 19:59:00.542"</f>
        <v>2026-03-06 19:59:00.542</v>
      </c>
      <c r="H460" t="s">
        <v>21</v>
      </c>
      <c r="I460">
        <v>0</v>
      </c>
      <c r="J460" t="s">
        <v>37</v>
      </c>
    </row>
    <row r="461" spans="1:10" x14ac:dyDescent="0.25">
      <c r="A461" s="1">
        <v>95</v>
      </c>
      <c r="B461" t="s">
        <v>25</v>
      </c>
      <c r="C461">
        <v>635</v>
      </c>
      <c r="D461">
        <v>1</v>
      </c>
      <c r="E461" t="s">
        <v>45</v>
      </c>
      <c r="F461" t="s">
        <v>27</v>
      </c>
      <c r="G461" t="str">
        <f>"2026-03-06 17:54:09.142"</f>
        <v>2026-03-06 17:54:09.142</v>
      </c>
      <c r="H461" t="s">
        <v>21</v>
      </c>
    </row>
    <row r="462" spans="1:10" x14ac:dyDescent="0.25">
      <c r="A462" s="1">
        <v>96</v>
      </c>
      <c r="B462" t="s">
        <v>29</v>
      </c>
      <c r="C462">
        <v>635</v>
      </c>
      <c r="D462">
        <v>1</v>
      </c>
      <c r="E462" t="s">
        <v>45</v>
      </c>
      <c r="F462" t="s">
        <v>27</v>
      </c>
      <c r="G462" t="str">
        <f>"2026-03-06 17:49:36.743"</f>
        <v>2026-03-06 17:49:36.743</v>
      </c>
      <c r="H462" t="s">
        <v>21</v>
      </c>
      <c r="I462">
        <v>6.26</v>
      </c>
      <c r="J462" t="s">
        <v>42</v>
      </c>
    </row>
    <row r="463" spans="1:10" x14ac:dyDescent="0.25">
      <c r="A463" s="1">
        <v>97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"2026-03-06 15:01:27.393"</f>
        <v>2026-03-06 15:01:27.393</v>
      </c>
      <c r="H463" t="s">
        <v>21</v>
      </c>
      <c r="I463">
        <v>0</v>
      </c>
      <c r="J463" t="s">
        <v>32</v>
      </c>
    </row>
    <row r="464" spans="1:10" x14ac:dyDescent="0.25">
      <c r="A464" s="1">
        <v>99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"2026-03-05 21:38:59.216"</f>
        <v>2026-03-05 21:38:59.216</v>
      </c>
      <c r="H464" t="s">
        <v>21</v>
      </c>
      <c r="I464">
        <v>0</v>
      </c>
      <c r="J464" t="s">
        <v>32</v>
      </c>
    </row>
    <row r="465" spans="1:10" x14ac:dyDescent="0.25">
      <c r="A465" s="1">
        <v>0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"2026-03-05 10:11:33.195"</f>
        <v>2026-03-05 10:11:33.195</v>
      </c>
      <c r="H465" t="s">
        <v>21</v>
      </c>
      <c r="I465">
        <v>0</v>
      </c>
      <c r="J465" t="s">
        <v>32</v>
      </c>
    </row>
    <row r="466" spans="1:10" x14ac:dyDescent="0.25">
      <c r="A466" s="1">
        <v>1</v>
      </c>
      <c r="B466" t="s">
        <v>25</v>
      </c>
      <c r="C466">
        <v>635</v>
      </c>
      <c r="D466">
        <v>1</v>
      </c>
      <c r="E466" t="s">
        <v>45</v>
      </c>
      <c r="F466" t="s">
        <v>27</v>
      </c>
      <c r="G466" t="str">
        <f>"2026-03-03 22:54:33.559"</f>
        <v>2026-03-03 22:54:33.559</v>
      </c>
      <c r="H466" t="s">
        <v>21</v>
      </c>
    </row>
    <row r="467" spans="1:10" x14ac:dyDescent="0.25">
      <c r="A467" s="1">
        <v>2</v>
      </c>
      <c r="B467" t="s">
        <v>29</v>
      </c>
      <c r="C467">
        <v>635</v>
      </c>
      <c r="D467">
        <v>1</v>
      </c>
      <c r="E467" t="s">
        <v>45</v>
      </c>
      <c r="F467" t="s">
        <v>27</v>
      </c>
      <c r="G467" t="str">
        <f>"2026-03-03 22:50:12.560"</f>
        <v>2026-03-03 22:50:12.560</v>
      </c>
      <c r="H467" t="s">
        <v>21</v>
      </c>
      <c r="I467">
        <v>7.36</v>
      </c>
      <c r="J467" t="s">
        <v>42</v>
      </c>
    </row>
    <row r="468" spans="1:10" x14ac:dyDescent="0.25">
      <c r="A468" s="1">
        <v>3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"2026-03-03 18:39:15.356"</f>
        <v>2026-03-03 18:39:15.356</v>
      </c>
      <c r="H468" t="s">
        <v>21</v>
      </c>
      <c r="I468">
        <v>0</v>
      </c>
      <c r="J468" t="s">
        <v>32</v>
      </c>
    </row>
    <row r="469" spans="1:10" x14ac:dyDescent="0.25">
      <c r="A469" s="1">
        <v>4</v>
      </c>
      <c r="B469" t="s">
        <v>19</v>
      </c>
      <c r="C469">
        <v>706</v>
      </c>
      <c r="D469">
        <v>2</v>
      </c>
      <c r="E469" t="s">
        <v>22</v>
      </c>
      <c r="F469" t="s">
        <v>53</v>
      </c>
      <c r="G469" t="str">
        <f>"2026-03-03 05:33:19.744"</f>
        <v>2026-03-03 05:33:19.744</v>
      </c>
      <c r="H469" t="s">
        <v>21</v>
      </c>
      <c r="I469">
        <v>0</v>
      </c>
      <c r="J469" t="s">
        <v>24</v>
      </c>
    </row>
    <row r="470" spans="1:10" x14ac:dyDescent="0.25">
      <c r="A470" s="1">
        <v>5</v>
      </c>
      <c r="B470" t="s">
        <v>19</v>
      </c>
      <c r="C470">
        <v>706</v>
      </c>
      <c r="D470">
        <v>3</v>
      </c>
      <c r="E470" t="s">
        <v>22</v>
      </c>
      <c r="F470" t="s">
        <v>23</v>
      </c>
      <c r="G470" t="str">
        <f>"2026-03-03 05:33:05.264"</f>
        <v>2026-03-03 05:33:05.264</v>
      </c>
      <c r="H470" t="s">
        <v>21</v>
      </c>
      <c r="I470">
        <v>0</v>
      </c>
      <c r="J470" t="s">
        <v>24</v>
      </c>
    </row>
    <row r="471" spans="1:10" x14ac:dyDescent="0.25">
      <c r="A471" s="1">
        <v>6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"2026-03-03 05:31:58.204"</f>
        <v>2026-03-03 05:31:58.204</v>
      </c>
      <c r="H471" t="s">
        <v>21</v>
      </c>
      <c r="I471">
        <v>0</v>
      </c>
      <c r="J471" t="s">
        <v>32</v>
      </c>
    </row>
    <row r="472" spans="1:10" s="3" customFormat="1" x14ac:dyDescent="0.25">
      <c r="A472" s="2">
        <v>7</v>
      </c>
      <c r="B472" s="3" t="s">
        <v>25</v>
      </c>
      <c r="C472" s="3">
        <v>647</v>
      </c>
      <c r="D472" s="3">
        <v>1</v>
      </c>
      <c r="E472" s="3" t="s">
        <v>55</v>
      </c>
      <c r="F472" s="3" t="s">
        <v>56</v>
      </c>
      <c r="G472" s="3" t="str">
        <f>"2026-03-03 03:03:59.429"</f>
        <v>2026-03-03 03:03:59.429</v>
      </c>
      <c r="H472" s="3" t="s">
        <v>21</v>
      </c>
    </row>
    <row r="473" spans="1:10" s="3" customFormat="1" x14ac:dyDescent="0.25">
      <c r="A473" s="2">
        <v>8</v>
      </c>
      <c r="B473" s="3" t="s">
        <v>29</v>
      </c>
      <c r="C473" s="3">
        <v>647</v>
      </c>
      <c r="D473" s="3">
        <v>1</v>
      </c>
      <c r="E473" s="3" t="s">
        <v>55</v>
      </c>
      <c r="F473" s="3" t="s">
        <v>56</v>
      </c>
      <c r="G473" s="3" t="str">
        <f>"2026-03-03 03:03:53.729"</f>
        <v>2026-03-03 03:03:53.729</v>
      </c>
      <c r="H473" s="3" t="s">
        <v>21</v>
      </c>
      <c r="I473" s="3">
        <v>11.44</v>
      </c>
      <c r="J473" s="3" t="s">
        <v>54</v>
      </c>
    </row>
    <row r="474" spans="1:10" x14ac:dyDescent="0.25">
      <c r="A474" s="1">
        <v>9</v>
      </c>
      <c r="B474" t="s">
        <v>25</v>
      </c>
      <c r="C474">
        <v>635</v>
      </c>
      <c r="D474">
        <v>1</v>
      </c>
      <c r="E474" t="s">
        <v>45</v>
      </c>
      <c r="F474" t="s">
        <v>27</v>
      </c>
      <c r="G474" t="str">
        <f>"2026-03-02 21:10:23.329"</f>
        <v>2026-03-02 21:10:23.329</v>
      </c>
      <c r="H474" t="s">
        <v>21</v>
      </c>
    </row>
    <row r="475" spans="1:10" x14ac:dyDescent="0.25">
      <c r="A475" s="1">
        <v>10</v>
      </c>
      <c r="B475" t="s">
        <v>29</v>
      </c>
      <c r="C475">
        <v>635</v>
      </c>
      <c r="D475">
        <v>1</v>
      </c>
      <c r="E475" t="s">
        <v>45</v>
      </c>
      <c r="F475" t="s">
        <v>27</v>
      </c>
      <c r="G475" t="str">
        <f>"2026-03-02 21:06:07.329"</f>
        <v>2026-03-02 21:06:07.329</v>
      </c>
      <c r="H475" t="s">
        <v>21</v>
      </c>
      <c r="I475">
        <v>6.07</v>
      </c>
      <c r="J475" t="s">
        <v>54</v>
      </c>
    </row>
    <row r="476" spans="1:10" x14ac:dyDescent="0.25">
      <c r="A476" s="1">
        <v>11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"2026-03-02 14:13:59.380"</f>
        <v>2026-03-02 14:13:59.380</v>
      </c>
      <c r="H476" t="s">
        <v>21</v>
      </c>
      <c r="I476">
        <v>0</v>
      </c>
      <c r="J476" t="s">
        <v>32</v>
      </c>
    </row>
    <row r="477" spans="1:10" x14ac:dyDescent="0.25">
      <c r="A477" s="1">
        <v>12</v>
      </c>
      <c r="B477" t="s">
        <v>41</v>
      </c>
      <c r="C477">
        <v>33</v>
      </c>
      <c r="D477">
        <v>1</v>
      </c>
      <c r="E477" t="s">
        <v>61</v>
      </c>
      <c r="F477" t="s">
        <v>62</v>
      </c>
      <c r="G477" t="str">
        <f>"2026-03-02 08:00:21.379"</f>
        <v>2026-03-02 08:00:21.379</v>
      </c>
      <c r="H477" t="s">
        <v>63</v>
      </c>
    </row>
    <row r="478" spans="1:10" x14ac:dyDescent="0.25">
      <c r="A478" s="1">
        <v>13</v>
      </c>
      <c r="B478" t="s">
        <v>33</v>
      </c>
      <c r="C478">
        <v>33</v>
      </c>
      <c r="D478">
        <v>1</v>
      </c>
      <c r="E478" t="s">
        <v>61</v>
      </c>
      <c r="F478" t="s">
        <v>62</v>
      </c>
      <c r="G478" t="str">
        <f>"2026-03-02 08:00:00.371"</f>
        <v>2026-03-02 08:00:00.371</v>
      </c>
      <c r="H478" t="s">
        <v>63</v>
      </c>
      <c r="I478">
        <v>7</v>
      </c>
      <c r="J478" t="s">
        <v>42</v>
      </c>
    </row>
    <row r="479" spans="1:10" x14ac:dyDescent="0.25">
      <c r="A479" s="1">
        <v>15</v>
      </c>
      <c r="B479" t="s">
        <v>25</v>
      </c>
      <c r="C479">
        <v>635</v>
      </c>
      <c r="D479">
        <v>1</v>
      </c>
      <c r="E479" t="s">
        <v>45</v>
      </c>
      <c r="F479" t="s">
        <v>27</v>
      </c>
      <c r="G479" t="str">
        <f>"2026-03-01 06:19:28.332"</f>
        <v>2026-03-01 06:19:28.332</v>
      </c>
      <c r="H479" t="s">
        <v>21</v>
      </c>
    </row>
    <row r="480" spans="1:10" x14ac:dyDescent="0.25">
      <c r="A480" s="1">
        <v>16</v>
      </c>
      <c r="B480" t="s">
        <v>29</v>
      </c>
      <c r="C480">
        <v>635</v>
      </c>
      <c r="D480">
        <v>1</v>
      </c>
      <c r="E480" t="s">
        <v>45</v>
      </c>
      <c r="F480" t="s">
        <v>27</v>
      </c>
      <c r="G480" t="str">
        <f>"2026-03-01 06:16:10.832"</f>
        <v>2026-03-01 06:16:10.832</v>
      </c>
      <c r="H480" t="s">
        <v>21</v>
      </c>
      <c r="I480">
        <v>2.76</v>
      </c>
      <c r="J480" t="s">
        <v>42</v>
      </c>
    </row>
    <row r="481" spans="1:10" x14ac:dyDescent="0.25">
      <c r="A481" s="1">
        <v>17</v>
      </c>
      <c r="B481" t="s">
        <v>25</v>
      </c>
      <c r="C481">
        <v>635</v>
      </c>
      <c r="D481">
        <v>1</v>
      </c>
      <c r="E481" t="s">
        <v>45</v>
      </c>
      <c r="F481" t="s">
        <v>27</v>
      </c>
      <c r="G481" t="str">
        <f>"2026-02-28 10:16:39.932"</f>
        <v>2026-02-28 10:16:39.932</v>
      </c>
      <c r="H481" t="s">
        <v>21</v>
      </c>
    </row>
    <row r="482" spans="1:10" x14ac:dyDescent="0.25">
      <c r="A482" s="1">
        <v>18</v>
      </c>
      <c r="B482" t="s">
        <v>29</v>
      </c>
      <c r="C482">
        <v>635</v>
      </c>
      <c r="D482">
        <v>1</v>
      </c>
      <c r="E482" t="s">
        <v>45</v>
      </c>
      <c r="F482" t="s">
        <v>27</v>
      </c>
      <c r="G482" t="str">
        <f>"2026-02-28 10:10:48.932"</f>
        <v>2026-02-28 10:10:48.932</v>
      </c>
      <c r="H482" t="s">
        <v>21</v>
      </c>
      <c r="I482">
        <v>4.9000000000000004</v>
      </c>
      <c r="J482" t="s">
        <v>42</v>
      </c>
    </row>
    <row r="483" spans="1:10" x14ac:dyDescent="0.25">
      <c r="A483" s="1">
        <v>19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"2026-02-28 09:56:09.472"</f>
        <v>2026-02-28 09:56:09.472</v>
      </c>
      <c r="H483" t="s">
        <v>21</v>
      </c>
    </row>
    <row r="484" spans="1:10" s="3" customFormat="1" x14ac:dyDescent="0.25">
      <c r="A484" s="2">
        <v>20</v>
      </c>
      <c r="B484" s="3" t="s">
        <v>25</v>
      </c>
      <c r="C484" s="3">
        <v>647</v>
      </c>
      <c r="D484" s="3">
        <v>1</v>
      </c>
      <c r="E484" s="3" t="s">
        <v>55</v>
      </c>
      <c r="F484" s="3" t="s">
        <v>56</v>
      </c>
      <c r="G484" s="3" t="str">
        <f>"2026-02-28 01:17:14.768"</f>
        <v>2026-02-28 01:17:14.768</v>
      </c>
      <c r="H484" s="3" t="s">
        <v>21</v>
      </c>
    </row>
    <row r="485" spans="1:10" s="3" customFormat="1" x14ac:dyDescent="0.25">
      <c r="A485" s="2">
        <v>21</v>
      </c>
      <c r="B485" s="3" t="s">
        <v>29</v>
      </c>
      <c r="C485" s="3">
        <v>647</v>
      </c>
      <c r="D485" s="3">
        <v>1</v>
      </c>
      <c r="E485" s="3" t="s">
        <v>55</v>
      </c>
      <c r="F485" s="3" t="s">
        <v>56</v>
      </c>
      <c r="G485" s="3" t="str">
        <f>"2026-02-28 01:17:12.568"</f>
        <v>2026-02-28 01:17:12.568</v>
      </c>
      <c r="H485" s="3" t="s">
        <v>21</v>
      </c>
      <c r="I485" s="3">
        <v>19.47</v>
      </c>
      <c r="J485" s="3" t="s">
        <v>54</v>
      </c>
    </row>
    <row r="486" spans="1:10" x14ac:dyDescent="0.25">
      <c r="A486" s="1">
        <v>22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"2026-02-27 15:20:16.316"</f>
        <v>2026-02-27 15:20:16.316</v>
      </c>
      <c r="H486" t="s">
        <v>21</v>
      </c>
      <c r="I486">
        <v>0</v>
      </c>
      <c r="J486" t="s">
        <v>32</v>
      </c>
    </row>
    <row r="487" spans="1:10" x14ac:dyDescent="0.25">
      <c r="A487" s="1">
        <v>23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"2026-02-27 14:55:57.184"</f>
        <v>2026-02-27 14:55:57.184</v>
      </c>
      <c r="H487" t="s">
        <v>21</v>
      </c>
      <c r="I487">
        <v>0</v>
      </c>
      <c r="J487" t="s">
        <v>32</v>
      </c>
    </row>
    <row r="488" spans="1:10" x14ac:dyDescent="0.25">
      <c r="A488" s="1">
        <v>24</v>
      </c>
      <c r="B488" t="s">
        <v>19</v>
      </c>
      <c r="C488">
        <v>706</v>
      </c>
      <c r="D488">
        <v>2</v>
      </c>
      <c r="E488" t="s">
        <v>22</v>
      </c>
      <c r="F488" t="s">
        <v>53</v>
      </c>
      <c r="G488" t="str">
        <f>"2026-02-27 14:50:19.359"</f>
        <v>2026-02-27 14:50:19.359</v>
      </c>
      <c r="H488" t="s">
        <v>21</v>
      </c>
      <c r="I488">
        <v>0</v>
      </c>
      <c r="J488" t="s">
        <v>24</v>
      </c>
    </row>
    <row r="489" spans="1:10" x14ac:dyDescent="0.25">
      <c r="A489" s="1">
        <v>25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"2026-02-27 13:25:48.299"</f>
        <v>2026-02-27 13:25:48.299</v>
      </c>
      <c r="H489" t="s">
        <v>21</v>
      </c>
    </row>
    <row r="490" spans="1:10" x14ac:dyDescent="0.25">
      <c r="A490" s="1">
        <v>26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"2026-02-27 11:26:59.438"</f>
        <v>2026-02-27 11:26:59.438</v>
      </c>
      <c r="H490" t="s">
        <v>21</v>
      </c>
      <c r="I490">
        <v>0</v>
      </c>
      <c r="J490" t="s">
        <v>32</v>
      </c>
    </row>
    <row r="491" spans="1:10" x14ac:dyDescent="0.25">
      <c r="A491" s="1">
        <v>27</v>
      </c>
      <c r="B491" t="s">
        <v>25</v>
      </c>
      <c r="C491">
        <v>630</v>
      </c>
      <c r="D491">
        <v>5</v>
      </c>
      <c r="E491" t="s">
        <v>51</v>
      </c>
      <c r="F491" t="s">
        <v>52</v>
      </c>
      <c r="G491" t="str">
        <f>"2026-02-27 11:21:11.454"</f>
        <v>2026-02-27 11:21:11.454</v>
      </c>
      <c r="H491" t="s">
        <v>40</v>
      </c>
    </row>
    <row r="492" spans="1:10" x14ac:dyDescent="0.25">
      <c r="A492" s="1">
        <v>28</v>
      </c>
      <c r="B492" t="s">
        <v>33</v>
      </c>
      <c r="C492">
        <v>630</v>
      </c>
      <c r="D492">
        <v>5</v>
      </c>
      <c r="E492" t="s">
        <v>51</v>
      </c>
      <c r="F492" t="s">
        <v>52</v>
      </c>
      <c r="G492" t="str">
        <f>"2026-02-27 11:19:23.255"</f>
        <v>2026-02-27 11:19:23.255</v>
      </c>
      <c r="H492" t="s">
        <v>40</v>
      </c>
      <c r="I492">
        <v>0</v>
      </c>
      <c r="J492" t="s">
        <v>24</v>
      </c>
    </row>
    <row r="493" spans="1:10" x14ac:dyDescent="0.25">
      <c r="A493" s="1">
        <v>29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"2026-02-27 11:14:20.469"</f>
        <v>2026-02-27 11:14:20.469</v>
      </c>
      <c r="H493" t="s">
        <v>21</v>
      </c>
      <c r="I493">
        <v>0</v>
      </c>
      <c r="J493" t="s">
        <v>32</v>
      </c>
    </row>
    <row r="494" spans="1:10" x14ac:dyDescent="0.25">
      <c r="A494" s="1">
        <v>30</v>
      </c>
      <c r="B494" t="s">
        <v>25</v>
      </c>
      <c r="C494">
        <v>635</v>
      </c>
      <c r="D494">
        <v>1</v>
      </c>
      <c r="E494" t="s">
        <v>45</v>
      </c>
      <c r="F494" t="s">
        <v>27</v>
      </c>
      <c r="G494" t="str">
        <f>"2026-02-27 02:30:55.686"</f>
        <v>2026-02-27 02:30:55.686</v>
      </c>
      <c r="H494" t="s">
        <v>21</v>
      </c>
    </row>
    <row r="495" spans="1:10" x14ac:dyDescent="0.25">
      <c r="A495" s="1">
        <v>31</v>
      </c>
      <c r="B495" t="s">
        <v>29</v>
      </c>
      <c r="C495">
        <v>635</v>
      </c>
      <c r="D495">
        <v>1</v>
      </c>
      <c r="E495" t="s">
        <v>45</v>
      </c>
      <c r="F495" t="s">
        <v>27</v>
      </c>
      <c r="G495" t="str">
        <f>"2026-02-27 02:23:56.687"</f>
        <v>2026-02-27 02:23:56.687</v>
      </c>
      <c r="H495" t="s">
        <v>21</v>
      </c>
      <c r="I495">
        <v>-1.23</v>
      </c>
      <c r="J495" t="s">
        <v>54</v>
      </c>
    </row>
    <row r="496" spans="1:10" x14ac:dyDescent="0.25">
      <c r="A496" s="1">
        <v>32</v>
      </c>
      <c r="B496" t="s">
        <v>25</v>
      </c>
      <c r="C496">
        <v>61</v>
      </c>
      <c r="D496">
        <v>2</v>
      </c>
      <c r="E496" t="s">
        <v>57</v>
      </c>
      <c r="F496" t="s">
        <v>58</v>
      </c>
      <c r="G496" t="str">
        <f>"2026-02-26 22:44:10.327"</f>
        <v>2026-02-26 22:44:10.327</v>
      </c>
      <c r="H496" t="s">
        <v>21</v>
      </c>
    </row>
    <row r="497" spans="1:10" x14ac:dyDescent="0.25">
      <c r="A497" s="1">
        <v>33</v>
      </c>
      <c r="B497" t="s">
        <v>33</v>
      </c>
      <c r="C497">
        <v>61</v>
      </c>
      <c r="D497">
        <v>2</v>
      </c>
      <c r="E497" t="s">
        <v>57</v>
      </c>
      <c r="F497" t="s">
        <v>58</v>
      </c>
      <c r="G497" t="str">
        <f>"2026-02-26 22:43:37.427"</f>
        <v>2026-02-26 22:43:37.427</v>
      </c>
      <c r="H497" t="s">
        <v>21</v>
      </c>
      <c r="I497">
        <v>35.67</v>
      </c>
      <c r="J497" t="s">
        <v>54</v>
      </c>
    </row>
    <row r="498" spans="1:10" x14ac:dyDescent="0.25">
      <c r="A498" s="1">
        <v>34</v>
      </c>
      <c r="B498" t="s">
        <v>25</v>
      </c>
      <c r="C498">
        <v>635</v>
      </c>
      <c r="D498">
        <v>1</v>
      </c>
      <c r="E498" t="s">
        <v>45</v>
      </c>
      <c r="F498" t="s">
        <v>27</v>
      </c>
      <c r="G498" t="str">
        <f>"2026-02-26 22:36:54.487"</f>
        <v>2026-02-26 22:36:54.487</v>
      </c>
      <c r="H498" t="s">
        <v>21</v>
      </c>
    </row>
    <row r="499" spans="1:10" x14ac:dyDescent="0.25">
      <c r="A499" s="1">
        <v>35</v>
      </c>
      <c r="B499" t="s">
        <v>29</v>
      </c>
      <c r="C499">
        <v>635</v>
      </c>
      <c r="D499">
        <v>1</v>
      </c>
      <c r="E499" t="s">
        <v>45</v>
      </c>
      <c r="F499" t="s">
        <v>27</v>
      </c>
      <c r="G499" t="str">
        <f>"2026-02-26 22:30:04.487"</f>
        <v>2026-02-26 22:30:04.487</v>
      </c>
      <c r="H499" t="s">
        <v>21</v>
      </c>
      <c r="I499">
        <v>4.34</v>
      </c>
      <c r="J499" t="s">
        <v>42</v>
      </c>
    </row>
    <row r="500" spans="1:10" x14ac:dyDescent="0.25">
      <c r="A500" s="1">
        <v>36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"2026-02-26 10:56:20.185"</f>
        <v>2026-02-26 10:56:20.185</v>
      </c>
      <c r="H500" t="s">
        <v>21</v>
      </c>
      <c r="I500">
        <v>0</v>
      </c>
      <c r="J500" t="s">
        <v>32</v>
      </c>
    </row>
    <row r="501" spans="1:10" x14ac:dyDescent="0.25">
      <c r="A501" s="1">
        <v>37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"2026-02-26 10:49:18.360"</f>
        <v>2026-02-26 10:49:18.360</v>
      </c>
      <c r="H501" t="s">
        <v>21</v>
      </c>
    </row>
    <row r="502" spans="1:10" x14ac:dyDescent="0.25">
      <c r="A502" s="1">
        <v>38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"2026-02-26 08:01:30.225"</f>
        <v>2026-02-26 08:01:30.225</v>
      </c>
      <c r="H502" t="s">
        <v>21</v>
      </c>
      <c r="I502">
        <v>0</v>
      </c>
      <c r="J502" t="s">
        <v>32</v>
      </c>
    </row>
    <row r="503" spans="1:10" x14ac:dyDescent="0.25">
      <c r="A503" s="1">
        <v>39</v>
      </c>
      <c r="B503" t="s">
        <v>25</v>
      </c>
      <c r="C503">
        <v>635</v>
      </c>
      <c r="D503">
        <v>1</v>
      </c>
      <c r="E503" t="s">
        <v>45</v>
      </c>
      <c r="F503" t="s">
        <v>27</v>
      </c>
      <c r="G503" t="str">
        <f>"2026-02-25 16:37:24.638"</f>
        <v>2026-02-25 16:37:24.638</v>
      </c>
      <c r="H503" t="s">
        <v>21</v>
      </c>
    </row>
    <row r="504" spans="1:10" x14ac:dyDescent="0.25">
      <c r="A504" s="1">
        <v>40</v>
      </c>
      <c r="B504" t="s">
        <v>29</v>
      </c>
      <c r="C504">
        <v>635</v>
      </c>
      <c r="D504">
        <v>1</v>
      </c>
      <c r="E504" t="s">
        <v>45</v>
      </c>
      <c r="F504" t="s">
        <v>27</v>
      </c>
      <c r="G504" t="str">
        <f>"2026-02-25 16:32:52.138"</f>
        <v>2026-02-25 16:32:52.138</v>
      </c>
      <c r="H504" t="s">
        <v>21</v>
      </c>
      <c r="I504">
        <v>1.52</v>
      </c>
      <c r="J504" t="s">
        <v>54</v>
      </c>
    </row>
    <row r="505" spans="1:10" x14ac:dyDescent="0.25">
      <c r="A505" s="1">
        <v>41</v>
      </c>
      <c r="B505" t="s">
        <v>25</v>
      </c>
      <c r="C505">
        <v>619</v>
      </c>
      <c r="D505">
        <v>1</v>
      </c>
      <c r="E505" t="s">
        <v>26</v>
      </c>
      <c r="F505" t="s">
        <v>27</v>
      </c>
      <c r="G505" t="str">
        <f>"2026-02-25 13:08:17.538"</f>
        <v>2026-02-25 13:08:17.538</v>
      </c>
      <c r="H505" t="s">
        <v>28</v>
      </c>
    </row>
    <row r="506" spans="1:10" x14ac:dyDescent="0.25">
      <c r="A506" s="1">
        <v>42</v>
      </c>
      <c r="B506" t="s">
        <v>29</v>
      </c>
      <c r="C506">
        <v>619</v>
      </c>
      <c r="D506">
        <v>1</v>
      </c>
      <c r="E506" t="s">
        <v>26</v>
      </c>
      <c r="F506" t="s">
        <v>27</v>
      </c>
      <c r="G506" t="str">
        <f>"2026-02-25 13:07:36.538"</f>
        <v>2026-02-25 13:07:36.538</v>
      </c>
      <c r="H506" t="s">
        <v>28</v>
      </c>
      <c r="I506">
        <v>0</v>
      </c>
      <c r="J506" t="s">
        <v>24</v>
      </c>
    </row>
    <row r="507" spans="1:10" x14ac:dyDescent="0.25">
      <c r="A507" s="1">
        <v>43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"2026-02-25 13:07:07.170"</f>
        <v>2026-02-25 13:07:07.170</v>
      </c>
      <c r="H507" t="s">
        <v>21</v>
      </c>
    </row>
    <row r="508" spans="1:10" x14ac:dyDescent="0.25">
      <c r="A508" s="1">
        <v>44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"2026-02-25 12:59:10.179"</f>
        <v>2026-02-25 12:59:10.179</v>
      </c>
      <c r="H508" t="s">
        <v>21</v>
      </c>
      <c r="I508">
        <v>0</v>
      </c>
      <c r="J508" t="s">
        <v>32</v>
      </c>
    </row>
    <row r="509" spans="1:10" x14ac:dyDescent="0.25">
      <c r="A509" s="1">
        <v>45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"2026-02-25 12:50:35.343"</f>
        <v>2026-02-25 12:50:35.343</v>
      </c>
      <c r="H509" t="s">
        <v>21</v>
      </c>
      <c r="I509">
        <v>0</v>
      </c>
      <c r="J509" t="s">
        <v>32</v>
      </c>
    </row>
    <row r="510" spans="1:10" s="3" customFormat="1" x14ac:dyDescent="0.25">
      <c r="A510" s="2">
        <v>46</v>
      </c>
      <c r="B510" s="3" t="s">
        <v>25</v>
      </c>
      <c r="C510" s="3">
        <v>647</v>
      </c>
      <c r="D510" s="3">
        <v>1</v>
      </c>
      <c r="E510" s="3" t="s">
        <v>55</v>
      </c>
      <c r="F510" s="3" t="s">
        <v>56</v>
      </c>
      <c r="G510" s="3" t="str">
        <f>"2026-02-25 07:17:10.165"</f>
        <v>2026-02-25 07:17:10.165</v>
      </c>
      <c r="H510" s="3" t="s">
        <v>21</v>
      </c>
    </row>
    <row r="511" spans="1:10" s="3" customFormat="1" x14ac:dyDescent="0.25">
      <c r="A511" s="2">
        <v>47</v>
      </c>
      <c r="B511" s="3" t="s">
        <v>29</v>
      </c>
      <c r="C511" s="3">
        <v>647</v>
      </c>
      <c r="D511" s="3">
        <v>1</v>
      </c>
      <c r="E511" s="3" t="s">
        <v>55</v>
      </c>
      <c r="F511" s="3" t="s">
        <v>56</v>
      </c>
      <c r="G511" s="3" t="str">
        <f>"2026-02-25 07:17:08.066"</f>
        <v>2026-02-25 07:17:08.066</v>
      </c>
      <c r="H511" s="3" t="s">
        <v>21</v>
      </c>
      <c r="I511" s="3">
        <v>11.82</v>
      </c>
      <c r="J511" s="3" t="s">
        <v>54</v>
      </c>
    </row>
    <row r="512" spans="1:10" x14ac:dyDescent="0.25">
      <c r="A512" s="1">
        <v>48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"2026-02-24 17:35:31.197"</f>
        <v>2026-02-24 17:35:31.197</v>
      </c>
      <c r="H512" t="s">
        <v>21</v>
      </c>
    </row>
    <row r="513" spans="1:10" s="3" customFormat="1" x14ac:dyDescent="0.25">
      <c r="A513" s="2">
        <v>49</v>
      </c>
      <c r="B513" s="3" t="s">
        <v>25</v>
      </c>
      <c r="C513" s="3">
        <v>647</v>
      </c>
      <c r="D513" s="3">
        <v>1</v>
      </c>
      <c r="E513" s="3" t="s">
        <v>55</v>
      </c>
      <c r="F513" s="3" t="s">
        <v>56</v>
      </c>
      <c r="G513" s="3" t="str">
        <f>"2026-02-24 10:43:45.696"</f>
        <v>2026-02-24 10:43:45.696</v>
      </c>
      <c r="H513" s="3" t="s">
        <v>21</v>
      </c>
    </row>
    <row r="514" spans="1:10" s="3" customFormat="1" x14ac:dyDescent="0.25">
      <c r="A514" s="2">
        <v>50</v>
      </c>
      <c r="B514" s="3" t="s">
        <v>29</v>
      </c>
      <c r="C514" s="3">
        <v>647</v>
      </c>
      <c r="D514" s="3">
        <v>1</v>
      </c>
      <c r="E514" s="3" t="s">
        <v>55</v>
      </c>
      <c r="F514" s="3" t="s">
        <v>56</v>
      </c>
      <c r="G514" s="3" t="str">
        <f>"2026-02-24 10:43:43.396"</f>
        <v>2026-02-24 10:43:43.396</v>
      </c>
      <c r="H514" s="3" t="s">
        <v>21</v>
      </c>
      <c r="I514" s="3">
        <v>12.03</v>
      </c>
      <c r="J514" s="3" t="s">
        <v>54</v>
      </c>
    </row>
    <row r="515" spans="1:10" x14ac:dyDescent="0.25">
      <c r="A515" s="1">
        <v>51</v>
      </c>
      <c r="B515" t="s">
        <v>25</v>
      </c>
      <c r="C515">
        <v>635</v>
      </c>
      <c r="D515">
        <v>1</v>
      </c>
      <c r="E515" t="s">
        <v>45</v>
      </c>
      <c r="F515" t="s">
        <v>27</v>
      </c>
      <c r="G515" t="str">
        <f>"2026-02-24 09:06:42.896"</f>
        <v>2026-02-24 09:06:42.896</v>
      </c>
      <c r="H515" t="s">
        <v>21</v>
      </c>
    </row>
    <row r="516" spans="1:10" x14ac:dyDescent="0.25">
      <c r="A516" s="1">
        <v>52</v>
      </c>
      <c r="B516" t="s">
        <v>29</v>
      </c>
      <c r="C516">
        <v>635</v>
      </c>
      <c r="D516">
        <v>1</v>
      </c>
      <c r="E516" t="s">
        <v>45</v>
      </c>
      <c r="F516" t="s">
        <v>27</v>
      </c>
      <c r="G516" t="str">
        <f>"2026-02-24 08:59:54.396"</f>
        <v>2026-02-24 08:59:54.396</v>
      </c>
      <c r="H516" t="s">
        <v>21</v>
      </c>
      <c r="I516">
        <v>0.72</v>
      </c>
      <c r="J516" t="s">
        <v>54</v>
      </c>
    </row>
    <row r="517" spans="1:10" s="3" customFormat="1" x14ac:dyDescent="0.25">
      <c r="A517" s="2">
        <v>53</v>
      </c>
      <c r="B517" s="3" t="s">
        <v>25</v>
      </c>
      <c r="C517" s="3">
        <v>647</v>
      </c>
      <c r="D517" s="3">
        <v>1</v>
      </c>
      <c r="E517" s="3" t="s">
        <v>55</v>
      </c>
      <c r="F517" s="3" t="s">
        <v>56</v>
      </c>
      <c r="G517" s="3" t="str">
        <f>"2026-02-23 11:56:56.496"</f>
        <v>2026-02-23 11:56:56.496</v>
      </c>
      <c r="H517" s="3" t="s">
        <v>21</v>
      </c>
    </row>
    <row r="518" spans="1:10" s="3" customFormat="1" x14ac:dyDescent="0.25">
      <c r="A518" s="2">
        <v>54</v>
      </c>
      <c r="B518" s="3" t="s">
        <v>29</v>
      </c>
      <c r="C518" s="3">
        <v>647</v>
      </c>
      <c r="D518" s="3">
        <v>1</v>
      </c>
      <c r="E518" s="3" t="s">
        <v>55</v>
      </c>
      <c r="F518" s="3" t="s">
        <v>56</v>
      </c>
      <c r="G518" s="3" t="str">
        <f>"2026-02-23 11:56:53.396"</f>
        <v>2026-02-23 11:56:53.396</v>
      </c>
      <c r="H518" s="3" t="s">
        <v>21</v>
      </c>
      <c r="I518" s="3">
        <v>12.48</v>
      </c>
      <c r="J518" s="3" t="s">
        <v>54</v>
      </c>
    </row>
    <row r="519" spans="1:10" x14ac:dyDescent="0.25">
      <c r="A519" s="1">
        <v>55</v>
      </c>
      <c r="B519" t="s">
        <v>25</v>
      </c>
      <c r="C519">
        <v>635</v>
      </c>
      <c r="D519">
        <v>1</v>
      </c>
      <c r="E519" t="s">
        <v>45</v>
      </c>
      <c r="F519" t="s">
        <v>27</v>
      </c>
      <c r="G519" t="str">
        <f>"2026-02-23 03:56:59.296"</f>
        <v>2026-02-23 03:56:59.296</v>
      </c>
      <c r="H519" t="s">
        <v>21</v>
      </c>
    </row>
    <row r="520" spans="1:10" x14ac:dyDescent="0.25">
      <c r="A520" s="1">
        <v>56</v>
      </c>
      <c r="B520" t="s">
        <v>29</v>
      </c>
      <c r="C520">
        <v>635</v>
      </c>
      <c r="D520">
        <v>1</v>
      </c>
      <c r="E520" t="s">
        <v>45</v>
      </c>
      <c r="F520" t="s">
        <v>27</v>
      </c>
      <c r="G520" t="str">
        <f>"2026-02-23 03:48:52.296"</f>
        <v>2026-02-23 03:48:52.296</v>
      </c>
      <c r="H520" t="s">
        <v>21</v>
      </c>
      <c r="I520">
        <v>0.69</v>
      </c>
      <c r="J520" t="s">
        <v>54</v>
      </c>
    </row>
    <row r="521" spans="1:10" x14ac:dyDescent="0.25">
      <c r="A521" s="1">
        <v>57</v>
      </c>
      <c r="B521" t="s">
        <v>25</v>
      </c>
      <c r="C521">
        <v>619</v>
      </c>
      <c r="D521">
        <v>1</v>
      </c>
      <c r="E521" t="s">
        <v>26</v>
      </c>
      <c r="F521" t="s">
        <v>27</v>
      </c>
      <c r="G521" t="str">
        <f>"2026-02-22 14:00:45.348"</f>
        <v>2026-02-22 14:00:45.348</v>
      </c>
      <c r="H521" t="s">
        <v>28</v>
      </c>
    </row>
    <row r="522" spans="1:10" x14ac:dyDescent="0.25">
      <c r="A522" s="1">
        <v>58</v>
      </c>
      <c r="B522" t="s">
        <v>29</v>
      </c>
      <c r="C522">
        <v>619</v>
      </c>
      <c r="D522">
        <v>1</v>
      </c>
      <c r="E522" t="s">
        <v>26</v>
      </c>
      <c r="F522" t="s">
        <v>27</v>
      </c>
      <c r="G522" t="str">
        <f>"2026-02-22 14:00:00.296"</f>
        <v>2026-02-22 14:00:00.296</v>
      </c>
      <c r="H522" t="s">
        <v>28</v>
      </c>
      <c r="I522">
        <v>0</v>
      </c>
      <c r="J522" t="s">
        <v>24</v>
      </c>
    </row>
    <row r="523" spans="1:10" x14ac:dyDescent="0.25">
      <c r="A523" s="1">
        <v>59</v>
      </c>
      <c r="B523" t="s">
        <v>19</v>
      </c>
      <c r="C523">
        <v>706</v>
      </c>
      <c r="D523">
        <v>4</v>
      </c>
      <c r="E523" t="s">
        <v>22</v>
      </c>
      <c r="F523" t="s">
        <v>31</v>
      </c>
      <c r="G523" t="str">
        <f>"2026-02-22 13:59:54.465"</f>
        <v>2026-02-22 13:59:54.465</v>
      </c>
      <c r="H523" t="s">
        <v>21</v>
      </c>
      <c r="I523">
        <v>0</v>
      </c>
      <c r="J523" t="s">
        <v>24</v>
      </c>
    </row>
    <row r="524" spans="1:10" x14ac:dyDescent="0.25">
      <c r="A524" s="1">
        <v>60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"2026-02-22 13:52:18.185"</f>
        <v>2026-02-22 13:52:18.185</v>
      </c>
      <c r="H524" t="s">
        <v>21</v>
      </c>
      <c r="I524">
        <v>0</v>
      </c>
      <c r="J524" t="s">
        <v>32</v>
      </c>
    </row>
    <row r="525" spans="1:10" x14ac:dyDescent="0.25">
      <c r="A525" s="1">
        <v>61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"2026-02-22 13:21:00.168"</f>
        <v>2026-02-22 13:21:00.168</v>
      </c>
      <c r="H525" t="s">
        <v>21</v>
      </c>
      <c r="I525">
        <v>0</v>
      </c>
      <c r="J525" t="s">
        <v>32</v>
      </c>
    </row>
    <row r="526" spans="1:10" s="3" customFormat="1" x14ac:dyDescent="0.25">
      <c r="A526" s="2">
        <v>62</v>
      </c>
      <c r="B526" s="3" t="s">
        <v>25</v>
      </c>
      <c r="C526" s="3">
        <v>647</v>
      </c>
      <c r="D526" s="3">
        <v>1</v>
      </c>
      <c r="E526" s="3" t="s">
        <v>55</v>
      </c>
      <c r="F526" s="3" t="s">
        <v>56</v>
      </c>
      <c r="G526" s="3" t="str">
        <f>"2026-02-22 01:21:04.049"</f>
        <v>2026-02-22 01:21:04.049</v>
      </c>
      <c r="H526" s="3" t="s">
        <v>21</v>
      </c>
    </row>
    <row r="527" spans="1:10" s="3" customFormat="1" x14ac:dyDescent="0.25">
      <c r="A527" s="2">
        <v>63</v>
      </c>
      <c r="B527" s="3" t="s">
        <v>29</v>
      </c>
      <c r="C527" s="3">
        <v>647</v>
      </c>
      <c r="D527" s="3">
        <v>1</v>
      </c>
      <c r="E527" s="3" t="s">
        <v>55</v>
      </c>
      <c r="F527" s="3" t="s">
        <v>56</v>
      </c>
      <c r="G527" s="3" t="str">
        <f>"2026-02-22 01:21:02.749"</f>
        <v>2026-02-22 01:21:02.749</v>
      </c>
      <c r="H527" s="3" t="s">
        <v>21</v>
      </c>
      <c r="I527" s="3">
        <v>9.64</v>
      </c>
      <c r="J527" s="3" t="s">
        <v>54</v>
      </c>
    </row>
    <row r="528" spans="1:10" x14ac:dyDescent="0.25">
      <c r="A528" s="1">
        <v>64</v>
      </c>
      <c r="B528" t="s">
        <v>25</v>
      </c>
      <c r="C528">
        <v>635</v>
      </c>
      <c r="D528">
        <v>1</v>
      </c>
      <c r="E528" t="s">
        <v>45</v>
      </c>
      <c r="F528" t="s">
        <v>27</v>
      </c>
      <c r="G528" t="str">
        <f>"2026-02-21 23:01:43.749"</f>
        <v>2026-02-21 23:01:43.749</v>
      </c>
      <c r="H528" t="s">
        <v>21</v>
      </c>
    </row>
    <row r="529" spans="1:10" x14ac:dyDescent="0.25">
      <c r="A529" s="1">
        <v>65</v>
      </c>
      <c r="B529" t="s">
        <v>29</v>
      </c>
      <c r="C529">
        <v>635</v>
      </c>
      <c r="D529">
        <v>1</v>
      </c>
      <c r="E529" t="s">
        <v>45</v>
      </c>
      <c r="F529" t="s">
        <v>27</v>
      </c>
      <c r="G529" t="str">
        <f>"2026-02-21 22:56:25.249"</f>
        <v>2026-02-21 22:56:25.249</v>
      </c>
      <c r="H529" t="s">
        <v>21</v>
      </c>
      <c r="I529">
        <v>8.17</v>
      </c>
      <c r="J529" t="s">
        <v>54</v>
      </c>
    </row>
    <row r="530" spans="1:10" x14ac:dyDescent="0.25">
      <c r="A530" s="1">
        <v>66</v>
      </c>
      <c r="B530" t="s">
        <v>25</v>
      </c>
      <c r="C530">
        <v>635</v>
      </c>
      <c r="D530">
        <v>1</v>
      </c>
      <c r="E530" t="s">
        <v>45</v>
      </c>
      <c r="F530" t="s">
        <v>27</v>
      </c>
      <c r="G530" t="str">
        <f>"2026-02-21 22:33:15.249"</f>
        <v>2026-02-21 22:33:15.249</v>
      </c>
      <c r="H530" t="s">
        <v>21</v>
      </c>
    </row>
    <row r="531" spans="1:10" x14ac:dyDescent="0.25">
      <c r="A531" s="1">
        <v>67</v>
      </c>
      <c r="B531" t="s">
        <v>29</v>
      </c>
      <c r="C531">
        <v>635</v>
      </c>
      <c r="D531">
        <v>1</v>
      </c>
      <c r="E531" t="s">
        <v>45</v>
      </c>
      <c r="F531" t="s">
        <v>27</v>
      </c>
      <c r="G531" t="str">
        <f>"2026-02-21 22:27:21.749"</f>
        <v>2026-02-21 22:27:21.749</v>
      </c>
      <c r="H531" t="s">
        <v>21</v>
      </c>
      <c r="I531">
        <v>3.7</v>
      </c>
      <c r="J531" t="s">
        <v>54</v>
      </c>
    </row>
    <row r="532" spans="1:10" x14ac:dyDescent="0.25">
      <c r="A532" s="1">
        <v>68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"2026-02-21 20:29:27.172"</f>
        <v>2026-02-21 20:29:27.172</v>
      </c>
      <c r="H532" t="s">
        <v>21</v>
      </c>
      <c r="I532">
        <v>0</v>
      </c>
      <c r="J532" t="s">
        <v>32</v>
      </c>
    </row>
    <row r="533" spans="1:10" x14ac:dyDescent="0.25">
      <c r="A533" s="1">
        <v>69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"2026-02-21 14:13:28.318"</f>
        <v>2026-02-21 14:13:28.318</v>
      </c>
      <c r="H533" t="s">
        <v>21</v>
      </c>
      <c r="I533">
        <v>0</v>
      </c>
      <c r="J533" t="s">
        <v>32</v>
      </c>
    </row>
    <row r="534" spans="1:10" x14ac:dyDescent="0.25">
      <c r="A534" s="1">
        <v>70</v>
      </c>
      <c r="B534" t="s">
        <v>25</v>
      </c>
      <c r="C534">
        <v>635</v>
      </c>
      <c r="D534">
        <v>1</v>
      </c>
      <c r="E534" t="s">
        <v>45</v>
      </c>
      <c r="F534" t="s">
        <v>27</v>
      </c>
      <c r="G534" t="str">
        <f>"2026-02-20 22:47:45.254"</f>
        <v>2026-02-20 22:47:45.254</v>
      </c>
      <c r="H534" t="s">
        <v>21</v>
      </c>
    </row>
    <row r="535" spans="1:10" x14ac:dyDescent="0.25">
      <c r="A535" s="1">
        <v>71</v>
      </c>
      <c r="B535" t="s">
        <v>29</v>
      </c>
      <c r="C535">
        <v>635</v>
      </c>
      <c r="D535">
        <v>1</v>
      </c>
      <c r="E535" t="s">
        <v>45</v>
      </c>
      <c r="F535" t="s">
        <v>27</v>
      </c>
      <c r="G535" t="str">
        <f>"2026-02-20 22:39:39.754"</f>
        <v>2026-02-20 22:39:39.754</v>
      </c>
      <c r="H535" t="s">
        <v>21</v>
      </c>
      <c r="I535">
        <v>5.12</v>
      </c>
      <c r="J535" t="s">
        <v>54</v>
      </c>
    </row>
    <row r="536" spans="1:10" x14ac:dyDescent="0.25">
      <c r="A536" s="1">
        <v>72</v>
      </c>
      <c r="B536" t="s">
        <v>25</v>
      </c>
      <c r="C536">
        <v>635</v>
      </c>
      <c r="D536">
        <v>1</v>
      </c>
      <c r="E536" t="s">
        <v>45</v>
      </c>
      <c r="F536" t="s">
        <v>27</v>
      </c>
      <c r="G536" t="str">
        <f>"2026-02-20 03:37:33.854"</f>
        <v>2026-02-20 03:37:33.854</v>
      </c>
      <c r="H536" t="s">
        <v>21</v>
      </c>
    </row>
    <row r="537" spans="1:10" x14ac:dyDescent="0.25">
      <c r="A537" s="1">
        <v>73</v>
      </c>
      <c r="B537" t="s">
        <v>29</v>
      </c>
      <c r="C537">
        <v>635</v>
      </c>
      <c r="D537">
        <v>1</v>
      </c>
      <c r="E537" t="s">
        <v>45</v>
      </c>
      <c r="F537" t="s">
        <v>27</v>
      </c>
      <c r="G537" t="str">
        <f>"2026-02-20 03:35:14.354"</f>
        <v>2026-02-20 03:35:14.354</v>
      </c>
      <c r="H537" t="s">
        <v>21</v>
      </c>
      <c r="I537">
        <v>0</v>
      </c>
      <c r="J537" t="s">
        <v>37</v>
      </c>
    </row>
    <row r="538" spans="1:10" x14ac:dyDescent="0.25">
      <c r="A538" s="1">
        <v>74</v>
      </c>
      <c r="B538" t="s">
        <v>25</v>
      </c>
      <c r="C538">
        <v>635</v>
      </c>
      <c r="D538">
        <v>1</v>
      </c>
      <c r="E538" t="s">
        <v>45</v>
      </c>
      <c r="F538" t="s">
        <v>27</v>
      </c>
      <c r="G538" t="str">
        <f>"2026-02-19 22:57:46.654"</f>
        <v>2026-02-19 22:57:46.654</v>
      </c>
      <c r="H538" t="s">
        <v>21</v>
      </c>
    </row>
    <row r="539" spans="1:10" x14ac:dyDescent="0.25">
      <c r="A539" s="1">
        <v>75</v>
      </c>
      <c r="B539" t="s">
        <v>29</v>
      </c>
      <c r="C539">
        <v>635</v>
      </c>
      <c r="D539">
        <v>1</v>
      </c>
      <c r="E539" t="s">
        <v>45</v>
      </c>
      <c r="F539" t="s">
        <v>27</v>
      </c>
      <c r="G539" t="str">
        <f>"2026-02-19 22:44:44.754"</f>
        <v>2026-02-19 22:44:44.754</v>
      </c>
      <c r="H539" t="s">
        <v>21</v>
      </c>
      <c r="I539">
        <v>0.01</v>
      </c>
      <c r="J539" t="s">
        <v>37</v>
      </c>
    </row>
    <row r="540" spans="1:10" x14ac:dyDescent="0.25">
      <c r="A540" s="1">
        <v>76</v>
      </c>
      <c r="B540" t="s">
        <v>25</v>
      </c>
      <c r="C540">
        <v>635</v>
      </c>
      <c r="D540">
        <v>1</v>
      </c>
      <c r="E540" t="s">
        <v>45</v>
      </c>
      <c r="F540" t="s">
        <v>27</v>
      </c>
      <c r="G540" t="str">
        <f>"2026-02-19 20:13:22.454"</f>
        <v>2026-02-19 20:13:22.454</v>
      </c>
      <c r="H540" t="s">
        <v>21</v>
      </c>
    </row>
    <row r="541" spans="1:10" x14ac:dyDescent="0.25">
      <c r="A541" s="1">
        <v>77</v>
      </c>
      <c r="B541" t="s">
        <v>29</v>
      </c>
      <c r="C541">
        <v>635</v>
      </c>
      <c r="D541">
        <v>1</v>
      </c>
      <c r="E541" t="s">
        <v>45</v>
      </c>
      <c r="F541" t="s">
        <v>27</v>
      </c>
      <c r="G541" t="str">
        <f>"2026-02-19 20:07:38.454"</f>
        <v>2026-02-19 20:07:38.454</v>
      </c>
      <c r="H541" t="s">
        <v>21</v>
      </c>
      <c r="I541">
        <v>3.2</v>
      </c>
      <c r="J541" t="s">
        <v>42</v>
      </c>
    </row>
    <row r="542" spans="1:10" x14ac:dyDescent="0.25">
      <c r="A542" s="1">
        <v>78</v>
      </c>
      <c r="B542" t="s">
        <v>25</v>
      </c>
      <c r="C542">
        <v>635</v>
      </c>
      <c r="D542">
        <v>1</v>
      </c>
      <c r="E542" t="s">
        <v>45</v>
      </c>
      <c r="F542" t="s">
        <v>27</v>
      </c>
      <c r="G542" t="str">
        <f>"2026-02-19 11:14:01.154"</f>
        <v>2026-02-19 11:14:01.154</v>
      </c>
      <c r="H542" t="s">
        <v>21</v>
      </c>
    </row>
    <row r="543" spans="1:10" x14ac:dyDescent="0.25">
      <c r="A543" s="1">
        <v>79</v>
      </c>
      <c r="B543" t="s">
        <v>29</v>
      </c>
      <c r="C543">
        <v>635</v>
      </c>
      <c r="D543">
        <v>1</v>
      </c>
      <c r="E543" t="s">
        <v>45</v>
      </c>
      <c r="F543" t="s">
        <v>27</v>
      </c>
      <c r="G543" t="str">
        <f>"2026-02-19 11:10:09.154"</f>
        <v>2026-02-19 11:10:09.154</v>
      </c>
      <c r="H543" t="s">
        <v>21</v>
      </c>
      <c r="I543">
        <v>5.22</v>
      </c>
      <c r="J543" t="s">
        <v>42</v>
      </c>
    </row>
    <row r="544" spans="1:10" x14ac:dyDescent="0.25">
      <c r="A544" s="1">
        <v>80</v>
      </c>
      <c r="B544" t="s">
        <v>25</v>
      </c>
      <c r="C544">
        <v>630</v>
      </c>
      <c r="D544">
        <v>5</v>
      </c>
      <c r="E544" t="s">
        <v>51</v>
      </c>
      <c r="F544" t="s">
        <v>52</v>
      </c>
      <c r="G544" t="str">
        <f>"2026-02-19 07:55:12.755"</f>
        <v>2026-02-19 07:55:12.755</v>
      </c>
      <c r="H544" t="s">
        <v>40</v>
      </c>
    </row>
    <row r="545" spans="1:10" x14ac:dyDescent="0.25">
      <c r="A545" s="1">
        <v>81</v>
      </c>
      <c r="B545" t="s">
        <v>19</v>
      </c>
      <c r="C545">
        <v>706</v>
      </c>
      <c r="D545">
        <v>2</v>
      </c>
      <c r="E545" t="s">
        <v>22</v>
      </c>
      <c r="F545" t="s">
        <v>53</v>
      </c>
      <c r="G545" t="str">
        <f>"2026-02-19 07:54:42.634"</f>
        <v>2026-02-19 07:54:42.634</v>
      </c>
      <c r="H545" t="s">
        <v>21</v>
      </c>
      <c r="I545">
        <v>0</v>
      </c>
      <c r="J545" t="s">
        <v>24</v>
      </c>
    </row>
    <row r="546" spans="1:10" x14ac:dyDescent="0.25">
      <c r="A546" s="1">
        <v>82</v>
      </c>
      <c r="B546" t="s">
        <v>33</v>
      </c>
      <c r="C546">
        <v>630</v>
      </c>
      <c r="D546">
        <v>5</v>
      </c>
      <c r="E546" t="s">
        <v>51</v>
      </c>
      <c r="F546" t="s">
        <v>52</v>
      </c>
      <c r="G546" t="str">
        <f>"2026-02-19 07:52:01.055"</f>
        <v>2026-02-19 07:52:01.055</v>
      </c>
      <c r="H546" t="s">
        <v>40</v>
      </c>
      <c r="I546">
        <v>0</v>
      </c>
      <c r="J546" t="s">
        <v>24</v>
      </c>
    </row>
    <row r="547" spans="1:10" x14ac:dyDescent="0.25">
      <c r="A547" s="1">
        <v>83</v>
      </c>
      <c r="B547" t="s">
        <v>25</v>
      </c>
      <c r="C547">
        <v>635</v>
      </c>
      <c r="D547">
        <v>1</v>
      </c>
      <c r="E547" t="s">
        <v>45</v>
      </c>
      <c r="F547" t="s">
        <v>27</v>
      </c>
      <c r="G547" t="str">
        <f>"2026-02-19 04:54:06.654"</f>
        <v>2026-02-19 04:54:06.654</v>
      </c>
      <c r="H547" t="s">
        <v>21</v>
      </c>
    </row>
    <row r="548" spans="1:10" x14ac:dyDescent="0.25">
      <c r="A548" s="1">
        <v>84</v>
      </c>
      <c r="B548" t="s">
        <v>29</v>
      </c>
      <c r="C548">
        <v>635</v>
      </c>
      <c r="D548">
        <v>1</v>
      </c>
      <c r="E548" t="s">
        <v>45</v>
      </c>
      <c r="F548" t="s">
        <v>27</v>
      </c>
      <c r="G548" t="str">
        <f>"2026-02-19 04:49:20.654"</f>
        <v>2026-02-19 04:49:20.654</v>
      </c>
      <c r="H548" t="s">
        <v>21</v>
      </c>
      <c r="I548">
        <v>4.53</v>
      </c>
      <c r="J548" t="s">
        <v>54</v>
      </c>
    </row>
    <row r="549" spans="1:10" x14ac:dyDescent="0.25">
      <c r="A549" s="1">
        <v>85</v>
      </c>
      <c r="B549" t="s">
        <v>25</v>
      </c>
      <c r="C549">
        <v>635</v>
      </c>
      <c r="D549">
        <v>1</v>
      </c>
      <c r="E549" t="s">
        <v>45</v>
      </c>
      <c r="F549" t="s">
        <v>27</v>
      </c>
      <c r="G549" t="str">
        <f>"2026-02-19 03:14:49.254"</f>
        <v>2026-02-19 03:14:49.254</v>
      </c>
      <c r="H549" t="s">
        <v>21</v>
      </c>
    </row>
    <row r="550" spans="1:10" x14ac:dyDescent="0.25">
      <c r="A550" s="1">
        <v>86</v>
      </c>
      <c r="B550" t="s">
        <v>29</v>
      </c>
      <c r="C550">
        <v>635</v>
      </c>
      <c r="D550">
        <v>1</v>
      </c>
      <c r="E550" t="s">
        <v>45</v>
      </c>
      <c r="F550" t="s">
        <v>27</v>
      </c>
      <c r="G550" t="str">
        <f>"2026-02-19 03:06:18.354"</f>
        <v>2026-02-19 03:06:18.354</v>
      </c>
      <c r="H550" t="s">
        <v>21</v>
      </c>
      <c r="I550">
        <v>0</v>
      </c>
      <c r="J550" t="s">
        <v>37</v>
      </c>
    </row>
    <row r="551" spans="1:10" x14ac:dyDescent="0.25">
      <c r="A551" s="1">
        <v>87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"2026-02-19 01:26:12.184"</f>
        <v>2026-02-19 01:26:12.184</v>
      </c>
      <c r="H551" t="s">
        <v>21</v>
      </c>
      <c r="I551">
        <v>0</v>
      </c>
      <c r="J551" t="s">
        <v>32</v>
      </c>
    </row>
    <row r="552" spans="1:10" x14ac:dyDescent="0.25">
      <c r="A552" s="1">
        <v>88</v>
      </c>
      <c r="B552" t="s">
        <v>25</v>
      </c>
      <c r="C552">
        <v>635</v>
      </c>
      <c r="D552">
        <v>1</v>
      </c>
      <c r="E552" t="s">
        <v>45</v>
      </c>
      <c r="F552" t="s">
        <v>27</v>
      </c>
      <c r="G552" t="str">
        <f>"2026-02-18 15:58:10.270"</f>
        <v>2026-02-18 15:58:10.270</v>
      </c>
      <c r="H552" t="s">
        <v>21</v>
      </c>
    </row>
    <row r="553" spans="1:10" x14ac:dyDescent="0.25">
      <c r="A553" s="1">
        <v>89</v>
      </c>
      <c r="B553" t="s">
        <v>29</v>
      </c>
      <c r="C553">
        <v>635</v>
      </c>
      <c r="D553">
        <v>1</v>
      </c>
      <c r="E553" t="s">
        <v>45</v>
      </c>
      <c r="F553" t="s">
        <v>27</v>
      </c>
      <c r="G553" t="str">
        <f>"2026-02-18 15:55:00.270"</f>
        <v>2026-02-18 15:55:00.270</v>
      </c>
      <c r="H553" t="s">
        <v>21</v>
      </c>
      <c r="I553">
        <v>3.1</v>
      </c>
      <c r="J553" t="s">
        <v>42</v>
      </c>
    </row>
    <row r="554" spans="1:10" s="3" customFormat="1" x14ac:dyDescent="0.25">
      <c r="A554" s="2">
        <v>90</v>
      </c>
      <c r="B554" s="3" t="s">
        <v>25</v>
      </c>
      <c r="C554" s="3">
        <v>647</v>
      </c>
      <c r="D554" s="3">
        <v>1</v>
      </c>
      <c r="E554" s="3" t="s">
        <v>55</v>
      </c>
      <c r="F554" s="3" t="s">
        <v>56</v>
      </c>
      <c r="G554" s="3" t="str">
        <f>"2026-02-18 11:28:11.971"</f>
        <v>2026-02-18 11:28:11.971</v>
      </c>
      <c r="H554" s="3" t="s">
        <v>21</v>
      </c>
    </row>
    <row r="555" spans="1:10" s="3" customFormat="1" x14ac:dyDescent="0.25">
      <c r="A555" s="2">
        <v>91</v>
      </c>
      <c r="B555" s="3" t="s">
        <v>29</v>
      </c>
      <c r="C555" s="3">
        <v>647</v>
      </c>
      <c r="D555" s="3">
        <v>1</v>
      </c>
      <c r="E555" s="3" t="s">
        <v>55</v>
      </c>
      <c r="F555" s="3" t="s">
        <v>56</v>
      </c>
      <c r="G555" s="3" t="str">
        <f>"2026-02-18 11:27:59.971"</f>
        <v>2026-02-18 11:27:59.971</v>
      </c>
      <c r="H555" s="3" t="s">
        <v>21</v>
      </c>
      <c r="I555" s="3">
        <v>8.27</v>
      </c>
      <c r="J555" s="3" t="s">
        <v>54</v>
      </c>
    </row>
    <row r="556" spans="1:10" x14ac:dyDescent="0.25">
      <c r="A556" s="1">
        <v>92</v>
      </c>
      <c r="B556" t="s">
        <v>25</v>
      </c>
      <c r="C556">
        <v>635</v>
      </c>
      <c r="D556">
        <v>1</v>
      </c>
      <c r="E556" t="s">
        <v>45</v>
      </c>
      <c r="F556" t="s">
        <v>27</v>
      </c>
      <c r="G556" t="str">
        <f>"2026-02-18 09:10:54.870"</f>
        <v>2026-02-18 09:10:54.870</v>
      </c>
      <c r="H556" t="s">
        <v>21</v>
      </c>
    </row>
    <row r="557" spans="1:10" x14ac:dyDescent="0.25">
      <c r="A557" s="1">
        <v>93</v>
      </c>
      <c r="B557" t="s">
        <v>29</v>
      </c>
      <c r="C557">
        <v>635</v>
      </c>
      <c r="D557">
        <v>1</v>
      </c>
      <c r="E557" t="s">
        <v>45</v>
      </c>
      <c r="F557" t="s">
        <v>27</v>
      </c>
      <c r="G557" t="str">
        <f>"2026-02-18 09:06:24.370"</f>
        <v>2026-02-18 09:06:24.370</v>
      </c>
      <c r="H557" t="s">
        <v>21</v>
      </c>
      <c r="I557">
        <v>4.38</v>
      </c>
      <c r="J557" t="s">
        <v>42</v>
      </c>
    </row>
    <row r="558" spans="1:10" x14ac:dyDescent="0.25">
      <c r="A558" s="1">
        <v>94</v>
      </c>
      <c r="B558" t="s">
        <v>25</v>
      </c>
      <c r="C558">
        <v>635</v>
      </c>
      <c r="D558">
        <v>1</v>
      </c>
      <c r="E558" t="s">
        <v>45</v>
      </c>
      <c r="F558" t="s">
        <v>27</v>
      </c>
      <c r="G558" t="str">
        <f>"2026-02-18 07:08:32.070"</f>
        <v>2026-02-18 07:08:32.070</v>
      </c>
      <c r="H558" t="s">
        <v>21</v>
      </c>
    </row>
    <row r="559" spans="1:10" x14ac:dyDescent="0.25">
      <c r="A559" s="1">
        <v>95</v>
      </c>
      <c r="B559" t="s">
        <v>29</v>
      </c>
      <c r="C559">
        <v>635</v>
      </c>
      <c r="D559">
        <v>1</v>
      </c>
      <c r="E559" t="s">
        <v>45</v>
      </c>
      <c r="F559" t="s">
        <v>27</v>
      </c>
      <c r="G559" t="str">
        <f>"2026-02-18 07:05:20.570"</f>
        <v>2026-02-18 07:05:20.570</v>
      </c>
      <c r="H559" t="s">
        <v>21</v>
      </c>
      <c r="I559">
        <v>5.45</v>
      </c>
      <c r="J559" t="s">
        <v>42</v>
      </c>
    </row>
    <row r="560" spans="1:10" x14ac:dyDescent="0.25">
      <c r="A560" s="1">
        <v>96</v>
      </c>
      <c r="B560" t="s">
        <v>25</v>
      </c>
      <c r="C560">
        <v>635</v>
      </c>
      <c r="D560">
        <v>1</v>
      </c>
      <c r="E560" t="s">
        <v>45</v>
      </c>
      <c r="F560" t="s">
        <v>27</v>
      </c>
      <c r="G560" t="str">
        <f>"2026-02-17 21:41:18.370"</f>
        <v>2026-02-17 21:41:18.370</v>
      </c>
      <c r="H560" t="s">
        <v>21</v>
      </c>
    </row>
    <row r="561" spans="1:10" x14ac:dyDescent="0.25">
      <c r="A561" s="1">
        <v>97</v>
      </c>
      <c r="B561" t="s">
        <v>29</v>
      </c>
      <c r="C561">
        <v>635</v>
      </c>
      <c r="D561">
        <v>1</v>
      </c>
      <c r="E561" t="s">
        <v>45</v>
      </c>
      <c r="F561" t="s">
        <v>27</v>
      </c>
      <c r="G561" t="str">
        <f>"2026-02-17 21:31:35.870"</f>
        <v>2026-02-17 21:31:35.870</v>
      </c>
      <c r="H561" t="s">
        <v>21</v>
      </c>
      <c r="I561">
        <v>6.25</v>
      </c>
      <c r="J561" t="s">
        <v>42</v>
      </c>
    </row>
    <row r="562" spans="1:10" x14ac:dyDescent="0.25">
      <c r="A562" s="1">
        <v>98</v>
      </c>
      <c r="B562" t="s">
        <v>25</v>
      </c>
      <c r="C562">
        <v>61</v>
      </c>
      <c r="D562">
        <v>2</v>
      </c>
      <c r="E562" t="s">
        <v>57</v>
      </c>
      <c r="F562" t="s">
        <v>58</v>
      </c>
      <c r="G562" t="str">
        <f>"2026-02-17 17:51:20.871"</f>
        <v>2026-02-17 17:51:20.871</v>
      </c>
      <c r="H562" t="s">
        <v>21</v>
      </c>
    </row>
    <row r="563" spans="1:10" x14ac:dyDescent="0.25">
      <c r="A563" s="1">
        <v>99</v>
      </c>
      <c r="B563" t="s">
        <v>33</v>
      </c>
      <c r="C563">
        <v>61</v>
      </c>
      <c r="D563">
        <v>2</v>
      </c>
      <c r="E563" t="s">
        <v>57</v>
      </c>
      <c r="F563" t="s">
        <v>58</v>
      </c>
      <c r="G563" t="str">
        <f>"2026-02-17 17:51:08.271"</f>
        <v>2026-02-17 17:51:08.271</v>
      </c>
      <c r="H563" t="s">
        <v>21</v>
      </c>
      <c r="I563">
        <v>36.65</v>
      </c>
      <c r="J563" t="s">
        <v>54</v>
      </c>
    </row>
    <row r="564" spans="1:10" x14ac:dyDescent="0.25">
      <c r="A564" s="1">
        <v>0</v>
      </c>
      <c r="B564" t="s">
        <v>25</v>
      </c>
      <c r="C564">
        <v>635</v>
      </c>
      <c r="D564">
        <v>1</v>
      </c>
      <c r="E564" t="s">
        <v>45</v>
      </c>
      <c r="F564" t="s">
        <v>27</v>
      </c>
      <c r="G564" t="str">
        <f>"2026-02-17 12:25:36.070"</f>
        <v>2026-02-17 12:25:36.070</v>
      </c>
      <c r="H564" t="s">
        <v>21</v>
      </c>
    </row>
    <row r="565" spans="1:10" x14ac:dyDescent="0.25">
      <c r="A565" s="1">
        <v>1</v>
      </c>
      <c r="B565" t="s">
        <v>29</v>
      </c>
      <c r="C565">
        <v>635</v>
      </c>
      <c r="D565">
        <v>1</v>
      </c>
      <c r="E565" t="s">
        <v>45</v>
      </c>
      <c r="F565" t="s">
        <v>27</v>
      </c>
      <c r="G565" t="str">
        <f>"2026-02-17 11:54:32.170"</f>
        <v>2026-02-17 11:54:32.170</v>
      </c>
      <c r="H565" t="s">
        <v>21</v>
      </c>
      <c r="I565">
        <v>4.92</v>
      </c>
      <c r="J565" t="s">
        <v>42</v>
      </c>
    </row>
    <row r="566" spans="1:10" x14ac:dyDescent="0.25">
      <c r="A566" s="1">
        <v>2</v>
      </c>
      <c r="B566" t="s">
        <v>25</v>
      </c>
      <c r="C566">
        <v>619</v>
      </c>
      <c r="D566">
        <v>1</v>
      </c>
      <c r="E566" t="s">
        <v>26</v>
      </c>
      <c r="F566" t="s">
        <v>27</v>
      </c>
      <c r="G566" t="str">
        <f>"2026-02-17 02:37:50.770"</f>
        <v>2026-02-17 02:37:50.770</v>
      </c>
      <c r="H566" t="s">
        <v>28</v>
      </c>
    </row>
    <row r="567" spans="1:10" x14ac:dyDescent="0.25">
      <c r="A567" s="1">
        <v>3</v>
      </c>
      <c r="B567" t="s">
        <v>29</v>
      </c>
      <c r="C567">
        <v>619</v>
      </c>
      <c r="D567">
        <v>1</v>
      </c>
      <c r="E567" t="s">
        <v>26</v>
      </c>
      <c r="F567" t="s">
        <v>27</v>
      </c>
      <c r="G567" t="str">
        <f>"2026-02-17 02:36:39.717"</f>
        <v>2026-02-17 02:36:39.717</v>
      </c>
      <c r="H567" t="s">
        <v>28</v>
      </c>
      <c r="I567">
        <v>0</v>
      </c>
      <c r="J567" t="s">
        <v>24</v>
      </c>
    </row>
    <row r="568" spans="1:10" x14ac:dyDescent="0.25">
      <c r="A568" s="1">
        <v>4</v>
      </c>
      <c r="B568" t="s">
        <v>19</v>
      </c>
      <c r="C568">
        <v>706</v>
      </c>
      <c r="D568">
        <v>4</v>
      </c>
      <c r="E568" t="s">
        <v>22</v>
      </c>
      <c r="F568" t="s">
        <v>31</v>
      </c>
      <c r="G568" t="str">
        <f>"2026-02-17 02:36:33.039"</f>
        <v>2026-02-17 02:36:33.039</v>
      </c>
      <c r="H568" t="s">
        <v>21</v>
      </c>
      <c r="I568">
        <v>0</v>
      </c>
      <c r="J568" t="s">
        <v>24</v>
      </c>
    </row>
    <row r="569" spans="1:10" x14ac:dyDescent="0.25">
      <c r="A569" s="1">
        <v>5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"2026-02-17 02:11:53.139"</f>
        <v>2026-02-17 02:11:53.139</v>
      </c>
      <c r="H569" t="s">
        <v>21</v>
      </c>
    </row>
    <row r="570" spans="1:10" x14ac:dyDescent="0.25">
      <c r="A570" s="1">
        <v>6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"2026-02-17 01:42:13.168"</f>
        <v>2026-02-17 01:42:13.168</v>
      </c>
      <c r="H570" t="s">
        <v>21</v>
      </c>
      <c r="I570">
        <v>0</v>
      </c>
      <c r="J570" t="s">
        <v>32</v>
      </c>
    </row>
    <row r="571" spans="1:10" s="3" customFormat="1" x14ac:dyDescent="0.25">
      <c r="A571" s="2">
        <v>7</v>
      </c>
      <c r="B571" s="3" t="s">
        <v>25</v>
      </c>
      <c r="C571" s="3">
        <v>647</v>
      </c>
      <c r="D571" s="3">
        <v>1</v>
      </c>
      <c r="E571" s="3" t="s">
        <v>55</v>
      </c>
      <c r="F571" s="3" t="s">
        <v>56</v>
      </c>
      <c r="G571" s="3" t="str">
        <f>"2026-02-16 14:20:07.413"</f>
        <v>2026-02-16 14:20:07.413</v>
      </c>
      <c r="H571" s="3" t="s">
        <v>21</v>
      </c>
    </row>
    <row r="572" spans="1:10" s="3" customFormat="1" x14ac:dyDescent="0.25">
      <c r="A572" s="2">
        <v>8</v>
      </c>
      <c r="B572" s="3" t="s">
        <v>29</v>
      </c>
      <c r="C572" s="3">
        <v>647</v>
      </c>
      <c r="D572" s="3">
        <v>1</v>
      </c>
      <c r="E572" s="3" t="s">
        <v>55</v>
      </c>
      <c r="F572" s="3" t="s">
        <v>56</v>
      </c>
      <c r="G572" s="3" t="str">
        <f>"2026-02-16 14:20:03.514"</f>
        <v>2026-02-16 14:20:03.514</v>
      </c>
      <c r="H572" s="3" t="s">
        <v>21</v>
      </c>
      <c r="I572" s="3">
        <v>9.44</v>
      </c>
      <c r="J572" s="3" t="s">
        <v>54</v>
      </c>
    </row>
    <row r="573" spans="1:10" x14ac:dyDescent="0.25">
      <c r="A573" s="1">
        <v>9</v>
      </c>
      <c r="B573" t="s">
        <v>25</v>
      </c>
      <c r="C573">
        <v>61</v>
      </c>
      <c r="D573">
        <v>2</v>
      </c>
      <c r="E573" t="s">
        <v>57</v>
      </c>
      <c r="F573" t="s">
        <v>58</v>
      </c>
      <c r="G573" t="str">
        <f>"2026-02-16 12:35:20.506"</f>
        <v>2026-02-16 12:35:20.506</v>
      </c>
      <c r="H573" t="s">
        <v>21</v>
      </c>
    </row>
    <row r="574" spans="1:10" x14ac:dyDescent="0.25">
      <c r="A574" s="1">
        <v>10</v>
      </c>
      <c r="B574" t="s">
        <v>33</v>
      </c>
      <c r="C574">
        <v>61</v>
      </c>
      <c r="D574">
        <v>2</v>
      </c>
      <c r="E574" t="s">
        <v>57</v>
      </c>
      <c r="F574" t="s">
        <v>58</v>
      </c>
      <c r="G574" t="str">
        <f>"2026-02-16 12:35:11.506"</f>
        <v>2026-02-16 12:35:11.506</v>
      </c>
      <c r="H574" t="s">
        <v>21</v>
      </c>
      <c r="I574">
        <v>35.770000000000003</v>
      </c>
      <c r="J574" t="s">
        <v>54</v>
      </c>
    </row>
    <row r="575" spans="1:10" x14ac:dyDescent="0.25">
      <c r="A575" s="1">
        <v>11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"2026-02-16 08:40:34.335"</f>
        <v>2026-02-16 08:40:34.335</v>
      </c>
      <c r="H575" t="s">
        <v>21</v>
      </c>
      <c r="I575">
        <v>0</v>
      </c>
      <c r="J575" t="s">
        <v>32</v>
      </c>
    </row>
    <row r="576" spans="1:10" x14ac:dyDescent="0.25">
      <c r="A576" s="1">
        <v>12</v>
      </c>
      <c r="B576" t="s">
        <v>25</v>
      </c>
      <c r="C576">
        <v>635</v>
      </c>
      <c r="D576">
        <v>1</v>
      </c>
      <c r="E576" t="s">
        <v>45</v>
      </c>
      <c r="F576" t="s">
        <v>27</v>
      </c>
      <c r="G576" t="str">
        <f>"2026-02-15 11:36:38.838"</f>
        <v>2026-02-15 11:36:38.838</v>
      </c>
      <c r="H576" t="s">
        <v>21</v>
      </c>
    </row>
    <row r="577" spans="1:10" x14ac:dyDescent="0.25">
      <c r="A577" s="1">
        <v>13</v>
      </c>
      <c r="B577" t="s">
        <v>29</v>
      </c>
      <c r="C577">
        <v>635</v>
      </c>
      <c r="D577">
        <v>1</v>
      </c>
      <c r="E577" t="s">
        <v>45</v>
      </c>
      <c r="F577" t="s">
        <v>27</v>
      </c>
      <c r="G577" t="str">
        <f>"2026-02-15 11:32:50.838"</f>
        <v>2026-02-15 11:32:50.838</v>
      </c>
      <c r="H577" t="s">
        <v>21</v>
      </c>
      <c r="I577">
        <v>7.51</v>
      </c>
      <c r="J577" t="s">
        <v>42</v>
      </c>
    </row>
    <row r="578" spans="1:10" x14ac:dyDescent="0.25">
      <c r="A578" s="1">
        <v>14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"2026-02-14 22:45:09.157"</f>
        <v>2026-02-14 22:45:09.157</v>
      </c>
      <c r="H578" t="s">
        <v>21</v>
      </c>
      <c r="I578">
        <v>0</v>
      </c>
      <c r="J578" t="s">
        <v>32</v>
      </c>
    </row>
    <row r="579" spans="1:10" x14ac:dyDescent="0.25">
      <c r="A579" s="1">
        <v>15</v>
      </c>
      <c r="B579" t="s">
        <v>25</v>
      </c>
      <c r="C579">
        <v>619</v>
      </c>
      <c r="D579">
        <v>1</v>
      </c>
      <c r="E579" t="s">
        <v>26</v>
      </c>
      <c r="F579" t="s">
        <v>27</v>
      </c>
      <c r="G579" t="str">
        <f>"2026-02-14 22:38:20.788"</f>
        <v>2026-02-14 22:38:20.788</v>
      </c>
      <c r="H579" t="s">
        <v>28</v>
      </c>
    </row>
    <row r="580" spans="1:10" x14ac:dyDescent="0.25">
      <c r="A580" s="1">
        <v>16</v>
      </c>
      <c r="B580" t="s">
        <v>29</v>
      </c>
      <c r="C580">
        <v>619</v>
      </c>
      <c r="D580">
        <v>1</v>
      </c>
      <c r="E580" t="s">
        <v>26</v>
      </c>
      <c r="F580" t="s">
        <v>27</v>
      </c>
      <c r="G580" t="str">
        <f>"2026-02-14 22:35:52.741"</f>
        <v>2026-02-14 22:35:52.741</v>
      </c>
      <c r="H580" t="s">
        <v>28</v>
      </c>
      <c r="I580">
        <v>0</v>
      </c>
      <c r="J580" t="s">
        <v>30</v>
      </c>
    </row>
    <row r="581" spans="1:10" x14ac:dyDescent="0.25">
      <c r="A581" s="1">
        <v>17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"2026-02-14 22:35:46.161"</f>
        <v>2026-02-14 22:35:46.161</v>
      </c>
      <c r="H581" t="s">
        <v>21</v>
      </c>
      <c r="I581">
        <v>0</v>
      </c>
      <c r="J581" t="s">
        <v>32</v>
      </c>
    </row>
    <row r="582" spans="1:10" x14ac:dyDescent="0.25">
      <c r="A582" s="1">
        <v>18</v>
      </c>
      <c r="B582" t="s">
        <v>25</v>
      </c>
      <c r="C582">
        <v>630</v>
      </c>
      <c r="D582">
        <v>5</v>
      </c>
      <c r="E582" t="s">
        <v>51</v>
      </c>
      <c r="F582" t="s">
        <v>52</v>
      </c>
      <c r="G582" t="str">
        <f>"2026-02-14 21:14:32.470"</f>
        <v>2026-02-14 21:14:32.470</v>
      </c>
      <c r="H582" t="s">
        <v>40</v>
      </c>
    </row>
    <row r="583" spans="1:10" x14ac:dyDescent="0.25">
      <c r="A583" s="1">
        <v>19</v>
      </c>
      <c r="B583" t="s">
        <v>19</v>
      </c>
      <c r="C583">
        <v>706</v>
      </c>
      <c r="D583">
        <v>3</v>
      </c>
      <c r="E583" t="s">
        <v>22</v>
      </c>
      <c r="F583" t="s">
        <v>23</v>
      </c>
      <c r="G583" t="str">
        <f>"2026-02-14 21:04:43.148"</f>
        <v>2026-02-14 21:04:43.148</v>
      </c>
      <c r="H583" t="s">
        <v>21</v>
      </c>
      <c r="I583">
        <v>0</v>
      </c>
      <c r="J583" t="s">
        <v>24</v>
      </c>
    </row>
    <row r="584" spans="1:10" x14ac:dyDescent="0.25">
      <c r="A584" s="1">
        <v>20</v>
      </c>
      <c r="B584" t="s">
        <v>33</v>
      </c>
      <c r="C584">
        <v>630</v>
      </c>
      <c r="D584">
        <v>5</v>
      </c>
      <c r="E584" t="s">
        <v>51</v>
      </c>
      <c r="F584" t="s">
        <v>52</v>
      </c>
      <c r="G584" t="str">
        <f>"2026-02-14 20:55:16.270"</f>
        <v>2026-02-14 20:55:16.270</v>
      </c>
      <c r="H584" t="s">
        <v>40</v>
      </c>
      <c r="I584">
        <v>0</v>
      </c>
      <c r="J584" t="s">
        <v>24</v>
      </c>
    </row>
    <row r="585" spans="1:10" x14ac:dyDescent="0.25">
      <c r="A585" s="1">
        <v>21</v>
      </c>
      <c r="B585" t="s">
        <v>25</v>
      </c>
      <c r="C585">
        <v>630</v>
      </c>
      <c r="D585">
        <v>5</v>
      </c>
      <c r="E585" t="s">
        <v>51</v>
      </c>
      <c r="F585" t="s">
        <v>52</v>
      </c>
      <c r="G585" t="str">
        <f>"2026-02-14 20:40:38.770"</f>
        <v>2026-02-14 20:40:38.770</v>
      </c>
      <c r="H585" t="s">
        <v>40</v>
      </c>
    </row>
    <row r="586" spans="1:10" x14ac:dyDescent="0.25">
      <c r="A586" s="1">
        <v>22</v>
      </c>
      <c r="B586" t="s">
        <v>19</v>
      </c>
      <c r="C586">
        <v>706</v>
      </c>
      <c r="D586">
        <v>2</v>
      </c>
      <c r="E586" t="s">
        <v>22</v>
      </c>
      <c r="F586" t="s">
        <v>53</v>
      </c>
      <c r="G586" t="str">
        <f>"2026-02-14 20:40:08.648"</f>
        <v>2026-02-14 20:40:08.648</v>
      </c>
      <c r="H586" t="s">
        <v>21</v>
      </c>
      <c r="I586">
        <v>0</v>
      </c>
      <c r="J586" t="s">
        <v>24</v>
      </c>
    </row>
    <row r="587" spans="1:10" x14ac:dyDescent="0.25">
      <c r="A587" s="1">
        <v>23</v>
      </c>
      <c r="B587" t="s">
        <v>33</v>
      </c>
      <c r="C587">
        <v>630</v>
      </c>
      <c r="D587">
        <v>5</v>
      </c>
      <c r="E587" t="s">
        <v>51</v>
      </c>
      <c r="F587" t="s">
        <v>52</v>
      </c>
      <c r="G587" t="str">
        <f>"2026-02-14 20:33:22.370"</f>
        <v>2026-02-14 20:33:22.370</v>
      </c>
      <c r="H587" t="s">
        <v>40</v>
      </c>
      <c r="I587">
        <v>0</v>
      </c>
      <c r="J587" t="s">
        <v>24</v>
      </c>
    </row>
    <row r="588" spans="1:10" x14ac:dyDescent="0.25">
      <c r="A588" s="1">
        <v>24</v>
      </c>
      <c r="B588" t="s">
        <v>19</v>
      </c>
      <c r="C588">
        <v>706</v>
      </c>
      <c r="D588">
        <v>4</v>
      </c>
      <c r="E588" t="s">
        <v>22</v>
      </c>
      <c r="F588" t="s">
        <v>31</v>
      </c>
      <c r="G588" t="str">
        <f>"2026-02-14 20:17:59.638"</f>
        <v>2026-02-14 20:17:59.638</v>
      </c>
      <c r="H588" t="s">
        <v>21</v>
      </c>
      <c r="I588">
        <v>0</v>
      </c>
      <c r="J588" t="s">
        <v>24</v>
      </c>
    </row>
    <row r="589" spans="1:10" x14ac:dyDescent="0.25">
      <c r="A589" s="1">
        <v>25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"2026-02-14 20:17:34.178"</f>
        <v>2026-02-14 20:17:34.178</v>
      </c>
      <c r="H589" t="s">
        <v>21</v>
      </c>
    </row>
    <row r="590" spans="1:10" x14ac:dyDescent="0.25">
      <c r="A590" s="1">
        <v>26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"2026-02-14 07:53:13.168"</f>
        <v>2026-02-14 07:53:13.168</v>
      </c>
      <c r="H590" t="s">
        <v>21</v>
      </c>
    </row>
    <row r="591" spans="1:10" x14ac:dyDescent="0.25">
      <c r="A591" s="1">
        <v>27</v>
      </c>
      <c r="B591" t="s">
        <v>25</v>
      </c>
      <c r="C591">
        <v>635</v>
      </c>
      <c r="D591">
        <v>1</v>
      </c>
      <c r="E591" t="s">
        <v>45</v>
      </c>
      <c r="F591" t="s">
        <v>27</v>
      </c>
      <c r="G591" t="str">
        <f>"2026-02-13 17:27:39.617"</f>
        <v>2026-02-13 17:27:39.617</v>
      </c>
      <c r="H591" t="s">
        <v>21</v>
      </c>
    </row>
    <row r="592" spans="1:10" x14ac:dyDescent="0.25">
      <c r="A592" s="1">
        <v>28</v>
      </c>
      <c r="B592" t="s">
        <v>29</v>
      </c>
      <c r="C592">
        <v>635</v>
      </c>
      <c r="D592">
        <v>1</v>
      </c>
      <c r="E592" t="s">
        <v>45</v>
      </c>
      <c r="F592" t="s">
        <v>27</v>
      </c>
      <c r="G592" t="str">
        <f>"2026-02-13 17:02:02.217"</f>
        <v>2026-02-13 17:02:02.217</v>
      </c>
      <c r="H592" t="s">
        <v>21</v>
      </c>
      <c r="I592">
        <v>4.8899999999999997</v>
      </c>
      <c r="J592" t="s">
        <v>42</v>
      </c>
    </row>
    <row r="593" spans="1:10" x14ac:dyDescent="0.25">
      <c r="A593" s="1">
        <v>29</v>
      </c>
      <c r="B593" t="s">
        <v>25</v>
      </c>
      <c r="C593">
        <v>635</v>
      </c>
      <c r="D593">
        <v>1</v>
      </c>
      <c r="E593" t="s">
        <v>45</v>
      </c>
      <c r="F593" t="s">
        <v>27</v>
      </c>
      <c r="G593" t="str">
        <f>"2026-02-13 16:52:13.217"</f>
        <v>2026-02-13 16:52:13.217</v>
      </c>
      <c r="H593" t="s">
        <v>21</v>
      </c>
    </row>
    <row r="594" spans="1:10" x14ac:dyDescent="0.25">
      <c r="A594" s="1">
        <v>30</v>
      </c>
      <c r="B594" t="s">
        <v>29</v>
      </c>
      <c r="C594">
        <v>635</v>
      </c>
      <c r="D594">
        <v>1</v>
      </c>
      <c r="E594" t="s">
        <v>45</v>
      </c>
      <c r="F594" t="s">
        <v>27</v>
      </c>
      <c r="G594" t="str">
        <f>"2026-02-13 16:48:33.217"</f>
        <v>2026-02-13 16:48:33.217</v>
      </c>
      <c r="H594" t="s">
        <v>21</v>
      </c>
      <c r="I594">
        <v>9.35</v>
      </c>
      <c r="J594" t="s">
        <v>42</v>
      </c>
    </row>
    <row r="595" spans="1:10" x14ac:dyDescent="0.25">
      <c r="A595" s="1">
        <v>31</v>
      </c>
      <c r="B595" t="s">
        <v>25</v>
      </c>
      <c r="C595">
        <v>635</v>
      </c>
      <c r="D595">
        <v>1</v>
      </c>
      <c r="E595" t="s">
        <v>45</v>
      </c>
      <c r="F595" t="s">
        <v>27</v>
      </c>
      <c r="G595" t="str">
        <f>"2026-02-13 15:27:53.317"</f>
        <v>2026-02-13 15:27:53.317</v>
      </c>
      <c r="H595" t="s">
        <v>21</v>
      </c>
    </row>
    <row r="596" spans="1:10" x14ac:dyDescent="0.25">
      <c r="A596" s="1">
        <v>32</v>
      </c>
      <c r="B596" t="s">
        <v>29</v>
      </c>
      <c r="C596">
        <v>635</v>
      </c>
      <c r="D596">
        <v>1</v>
      </c>
      <c r="E596" t="s">
        <v>45</v>
      </c>
      <c r="F596" t="s">
        <v>27</v>
      </c>
      <c r="G596" t="str">
        <f>"2026-02-13 15:23:50.817"</f>
        <v>2026-02-13 15:23:50.817</v>
      </c>
      <c r="H596" t="s">
        <v>21</v>
      </c>
      <c r="I596">
        <v>5.54</v>
      </c>
      <c r="J596" t="s">
        <v>42</v>
      </c>
    </row>
    <row r="597" spans="1:10" s="3" customFormat="1" x14ac:dyDescent="0.25">
      <c r="A597" s="2">
        <v>33</v>
      </c>
      <c r="B597" s="3" t="s">
        <v>25</v>
      </c>
      <c r="C597" s="3">
        <v>647</v>
      </c>
      <c r="D597" s="3">
        <v>1</v>
      </c>
      <c r="E597" s="3" t="s">
        <v>55</v>
      </c>
      <c r="F597" s="3" t="s">
        <v>56</v>
      </c>
      <c r="G597" s="3" t="str">
        <f>"2026-02-13 15:04:24.471"</f>
        <v>2026-02-13 15:04:24.471</v>
      </c>
      <c r="H597" s="3" t="s">
        <v>21</v>
      </c>
    </row>
    <row r="598" spans="1:10" s="3" customFormat="1" x14ac:dyDescent="0.25">
      <c r="A598" s="2">
        <v>34</v>
      </c>
      <c r="B598" s="3" t="s">
        <v>29</v>
      </c>
      <c r="C598" s="3">
        <v>647</v>
      </c>
      <c r="D598" s="3">
        <v>1</v>
      </c>
      <c r="E598" s="3" t="s">
        <v>55</v>
      </c>
      <c r="F598" s="3" t="s">
        <v>56</v>
      </c>
      <c r="G598" s="3" t="str">
        <f>"2026-02-13 15:04:22.771"</f>
        <v>2026-02-13 15:04:22.771</v>
      </c>
      <c r="H598" s="3" t="s">
        <v>21</v>
      </c>
      <c r="I598" s="3">
        <v>10.07</v>
      </c>
      <c r="J598" s="3" t="s">
        <v>54</v>
      </c>
    </row>
    <row r="599" spans="1:10" x14ac:dyDescent="0.25">
      <c r="A599" s="1">
        <v>35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"2026-02-13 08:17:27.179"</f>
        <v>2026-02-13 08:17:27.179</v>
      </c>
      <c r="H599" t="s">
        <v>21</v>
      </c>
      <c r="I599">
        <v>0</v>
      </c>
      <c r="J599" t="s">
        <v>32</v>
      </c>
    </row>
    <row r="600" spans="1:10" s="3" customFormat="1" x14ac:dyDescent="0.25">
      <c r="A600" s="2">
        <v>36</v>
      </c>
      <c r="B600" s="3" t="s">
        <v>25</v>
      </c>
      <c r="C600" s="3">
        <v>647</v>
      </c>
      <c r="D600" s="3">
        <v>1</v>
      </c>
      <c r="E600" s="3" t="s">
        <v>55</v>
      </c>
      <c r="F600" s="3" t="s">
        <v>56</v>
      </c>
      <c r="G600" s="3" t="str">
        <f>"2026-02-13 03:32:07.068"</f>
        <v>2026-02-13 03:32:07.068</v>
      </c>
      <c r="H600" s="3" t="s">
        <v>21</v>
      </c>
    </row>
    <row r="601" spans="1:10" s="3" customFormat="1" x14ac:dyDescent="0.25">
      <c r="A601" s="2">
        <v>37</v>
      </c>
      <c r="B601" s="3" t="s">
        <v>29</v>
      </c>
      <c r="C601" s="3">
        <v>647</v>
      </c>
      <c r="D601" s="3">
        <v>1</v>
      </c>
      <c r="E601" s="3" t="s">
        <v>55</v>
      </c>
      <c r="F601" s="3" t="s">
        <v>56</v>
      </c>
      <c r="G601" s="3" t="str">
        <f>"2026-02-13 03:32:03.568"</f>
        <v>2026-02-13 03:32:03.568</v>
      </c>
      <c r="H601" s="3" t="s">
        <v>21</v>
      </c>
      <c r="I601" s="3">
        <v>15.91</v>
      </c>
      <c r="J601" s="3" t="s">
        <v>54</v>
      </c>
    </row>
    <row r="602" spans="1:10" x14ac:dyDescent="0.25">
      <c r="A602" s="1">
        <v>38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"2026-02-12 13:14:06.276"</f>
        <v>2026-02-12 13:14:06.276</v>
      </c>
      <c r="H602" t="s">
        <v>21</v>
      </c>
    </row>
    <row r="603" spans="1:10" x14ac:dyDescent="0.25">
      <c r="A603" s="1">
        <v>39</v>
      </c>
      <c r="B603" t="s">
        <v>25</v>
      </c>
      <c r="C603">
        <v>635</v>
      </c>
      <c r="D603">
        <v>1</v>
      </c>
      <c r="E603" t="s">
        <v>45</v>
      </c>
      <c r="F603" t="s">
        <v>27</v>
      </c>
      <c r="G603" t="str">
        <f>"2026-02-12 06:04:31.068"</f>
        <v>2026-02-12 06:04:31.068</v>
      </c>
      <c r="H603" t="s">
        <v>21</v>
      </c>
    </row>
    <row r="604" spans="1:10" x14ac:dyDescent="0.25">
      <c r="A604" s="1">
        <v>40</v>
      </c>
      <c r="B604" t="s">
        <v>29</v>
      </c>
      <c r="C604">
        <v>635</v>
      </c>
      <c r="D604">
        <v>1</v>
      </c>
      <c r="E604" t="s">
        <v>45</v>
      </c>
      <c r="F604" t="s">
        <v>27</v>
      </c>
      <c r="G604" t="str">
        <f>"2026-02-12 05:54:52.668"</f>
        <v>2026-02-12 05:54:52.668</v>
      </c>
      <c r="H604" t="s">
        <v>21</v>
      </c>
      <c r="I604">
        <v>0.94</v>
      </c>
      <c r="J604" t="s">
        <v>42</v>
      </c>
    </row>
    <row r="605" spans="1:10" s="3" customFormat="1" x14ac:dyDescent="0.25">
      <c r="A605" s="2">
        <v>41</v>
      </c>
      <c r="B605" s="3" t="s">
        <v>25</v>
      </c>
      <c r="C605" s="3">
        <v>647</v>
      </c>
      <c r="D605" s="3">
        <v>1</v>
      </c>
      <c r="E605" s="3" t="s">
        <v>55</v>
      </c>
      <c r="F605" s="3" t="s">
        <v>56</v>
      </c>
      <c r="G605" s="3" t="str">
        <f>"2026-02-12 05:10:17.222"</f>
        <v>2026-02-12 05:10:17.222</v>
      </c>
      <c r="H605" s="3" t="s">
        <v>21</v>
      </c>
    </row>
    <row r="606" spans="1:10" s="3" customFormat="1" x14ac:dyDescent="0.25">
      <c r="A606" s="2">
        <v>42</v>
      </c>
      <c r="B606" s="3" t="s">
        <v>29</v>
      </c>
      <c r="C606" s="3">
        <v>647</v>
      </c>
      <c r="D606" s="3">
        <v>1</v>
      </c>
      <c r="E606" s="3" t="s">
        <v>55</v>
      </c>
      <c r="F606" s="3" t="s">
        <v>56</v>
      </c>
      <c r="G606" s="3" t="str">
        <f>"2026-02-12 05:10:14.522"</f>
        <v>2026-02-12 05:10:14.522</v>
      </c>
      <c r="H606" s="3" t="s">
        <v>21</v>
      </c>
      <c r="I606" s="3">
        <v>14.19</v>
      </c>
      <c r="J606" s="3" t="s">
        <v>54</v>
      </c>
    </row>
    <row r="607" spans="1:10" x14ac:dyDescent="0.25">
      <c r="A607" s="1">
        <v>43</v>
      </c>
      <c r="B607" t="s">
        <v>25</v>
      </c>
      <c r="C607">
        <v>61</v>
      </c>
      <c r="D607">
        <v>2</v>
      </c>
      <c r="E607" t="s">
        <v>57</v>
      </c>
      <c r="F607" t="s">
        <v>58</v>
      </c>
      <c r="G607" t="str">
        <f>"2026-02-11 10:08:00.322"</f>
        <v>2026-02-11 10:08:00.322</v>
      </c>
      <c r="H607" t="s">
        <v>21</v>
      </c>
    </row>
    <row r="608" spans="1:10" x14ac:dyDescent="0.25">
      <c r="A608" s="1">
        <v>44</v>
      </c>
      <c r="B608" t="s">
        <v>33</v>
      </c>
      <c r="C608">
        <v>61</v>
      </c>
      <c r="D608">
        <v>2</v>
      </c>
      <c r="E608" t="s">
        <v>57</v>
      </c>
      <c r="F608" t="s">
        <v>58</v>
      </c>
      <c r="G608" t="str">
        <f>"2026-02-11 10:07:40.822"</f>
        <v>2026-02-11 10:07:40.822</v>
      </c>
      <c r="H608" t="s">
        <v>21</v>
      </c>
      <c r="I608">
        <v>36.94</v>
      </c>
      <c r="J608" t="s">
        <v>54</v>
      </c>
    </row>
    <row r="609" spans="1:10" x14ac:dyDescent="0.25">
      <c r="A609" s="1">
        <v>45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"2026-02-10 10:04:35.230"</f>
        <v>2026-02-10 10:04:35.230</v>
      </c>
      <c r="H609" t="s">
        <v>21</v>
      </c>
      <c r="I609">
        <v>0</v>
      </c>
      <c r="J609" t="s">
        <v>32</v>
      </c>
    </row>
    <row r="610" spans="1:10" x14ac:dyDescent="0.25">
      <c r="A610" s="1">
        <v>47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"2026-02-08 12:50:27.153"</f>
        <v>2026-02-08 12:50:27.153</v>
      </c>
      <c r="H610" t="s">
        <v>21</v>
      </c>
      <c r="I610">
        <v>0</v>
      </c>
      <c r="J610" t="s">
        <v>32</v>
      </c>
    </row>
    <row r="611" spans="1:10" x14ac:dyDescent="0.25">
      <c r="A611" s="1">
        <v>48</v>
      </c>
      <c r="B611" t="s">
        <v>25</v>
      </c>
      <c r="C611">
        <v>98</v>
      </c>
      <c r="D611">
        <v>1</v>
      </c>
      <c r="E611" t="s">
        <v>64</v>
      </c>
      <c r="F611" t="s">
        <v>65</v>
      </c>
      <c r="G611" t="str">
        <f>"2026-02-08 01:51:02.232"</f>
        <v>2026-02-08 01:51:02.232</v>
      </c>
      <c r="H611" t="s">
        <v>21</v>
      </c>
    </row>
    <row r="612" spans="1:10" x14ac:dyDescent="0.25">
      <c r="A612" s="1">
        <v>49</v>
      </c>
      <c r="B612" t="s">
        <v>29</v>
      </c>
      <c r="C612">
        <v>98</v>
      </c>
      <c r="D612">
        <v>1</v>
      </c>
      <c r="E612" t="s">
        <v>64</v>
      </c>
      <c r="F612" t="s">
        <v>65</v>
      </c>
      <c r="G612" t="str">
        <f>"2026-02-08 01:51:01.233"</f>
        <v>2026-02-08 01:51:01.233</v>
      </c>
      <c r="H612" t="s">
        <v>21</v>
      </c>
      <c r="I612">
        <v>0</v>
      </c>
      <c r="J612" t="s">
        <v>37</v>
      </c>
    </row>
    <row r="613" spans="1:10" x14ac:dyDescent="0.25">
      <c r="A613" s="1">
        <v>50</v>
      </c>
      <c r="B613" t="s">
        <v>25</v>
      </c>
      <c r="C613">
        <v>635</v>
      </c>
      <c r="D613">
        <v>1</v>
      </c>
      <c r="E613" t="s">
        <v>45</v>
      </c>
      <c r="F613" t="s">
        <v>27</v>
      </c>
      <c r="G613" t="str">
        <f>"2026-02-07 17:16:07.992"</f>
        <v>2026-02-07 17:16:07.992</v>
      </c>
      <c r="H613" t="s">
        <v>21</v>
      </c>
    </row>
    <row r="614" spans="1:10" x14ac:dyDescent="0.25">
      <c r="A614" s="1">
        <v>51</v>
      </c>
      <c r="B614" t="s">
        <v>29</v>
      </c>
      <c r="C614">
        <v>635</v>
      </c>
      <c r="D614">
        <v>1</v>
      </c>
      <c r="E614" t="s">
        <v>45</v>
      </c>
      <c r="F614" t="s">
        <v>27</v>
      </c>
      <c r="G614" t="str">
        <f>"2026-02-07 16:48:09.592"</f>
        <v>2026-02-07 16:48:09.592</v>
      </c>
      <c r="H614" t="s">
        <v>21</v>
      </c>
      <c r="I614">
        <v>4.66</v>
      </c>
      <c r="J614" t="s">
        <v>42</v>
      </c>
    </row>
    <row r="615" spans="1:10" s="3" customFormat="1" x14ac:dyDescent="0.25">
      <c r="A615" s="2">
        <v>52</v>
      </c>
      <c r="B615" s="3" t="s">
        <v>25</v>
      </c>
      <c r="C615" s="3">
        <v>647</v>
      </c>
      <c r="D615" s="3">
        <v>1</v>
      </c>
      <c r="E615" s="3" t="s">
        <v>55</v>
      </c>
      <c r="F615" s="3" t="s">
        <v>56</v>
      </c>
      <c r="G615" s="3" t="str">
        <f>"2026-02-07 12:14:30.040"</f>
        <v>2026-02-07 12:14:30.040</v>
      </c>
      <c r="H615" s="3" t="s">
        <v>21</v>
      </c>
    </row>
    <row r="616" spans="1:10" s="3" customFormat="1" x14ac:dyDescent="0.25">
      <c r="A616" s="2">
        <v>53</v>
      </c>
      <c r="B616" s="3" t="s">
        <v>29</v>
      </c>
      <c r="C616" s="3">
        <v>647</v>
      </c>
      <c r="D616" s="3">
        <v>1</v>
      </c>
      <c r="E616" s="3" t="s">
        <v>55</v>
      </c>
      <c r="F616" s="3" t="s">
        <v>56</v>
      </c>
      <c r="G616" s="3" t="str">
        <f>"2026-02-07 12:14:27.140"</f>
        <v>2026-02-07 12:14:27.140</v>
      </c>
      <c r="H616" s="3" t="s">
        <v>21</v>
      </c>
      <c r="I616" s="3">
        <v>13.65</v>
      </c>
      <c r="J616" s="3" t="s">
        <v>54</v>
      </c>
    </row>
    <row r="617" spans="1:10" x14ac:dyDescent="0.25">
      <c r="A617" s="1">
        <v>54</v>
      </c>
      <c r="B617" t="s">
        <v>25</v>
      </c>
      <c r="C617">
        <v>635</v>
      </c>
      <c r="D617">
        <v>1</v>
      </c>
      <c r="E617" t="s">
        <v>45</v>
      </c>
      <c r="F617" t="s">
        <v>27</v>
      </c>
      <c r="G617" t="str">
        <f>"2026-02-07 12:04:09.392"</f>
        <v>2026-02-07 12:04:09.392</v>
      </c>
      <c r="H617" t="s">
        <v>21</v>
      </c>
    </row>
    <row r="618" spans="1:10" x14ac:dyDescent="0.25">
      <c r="A618" s="1">
        <v>55</v>
      </c>
      <c r="B618" t="s">
        <v>29</v>
      </c>
      <c r="C618">
        <v>635</v>
      </c>
      <c r="D618">
        <v>1</v>
      </c>
      <c r="E618" t="s">
        <v>45</v>
      </c>
      <c r="F618" t="s">
        <v>27</v>
      </c>
      <c r="G618" t="str">
        <f>"2026-02-07 11:23:21.492"</f>
        <v>2026-02-07 11:23:21.492</v>
      </c>
      <c r="H618" t="s">
        <v>21</v>
      </c>
      <c r="I618">
        <v>7.99</v>
      </c>
      <c r="J618" t="s">
        <v>42</v>
      </c>
    </row>
    <row r="619" spans="1:10" x14ac:dyDescent="0.25">
      <c r="A619" s="1">
        <v>56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"2026-02-06 23:19:30.152"</f>
        <v>2026-02-06 23:19:30.152</v>
      </c>
      <c r="H619" t="s">
        <v>21</v>
      </c>
      <c r="I619">
        <v>0</v>
      </c>
      <c r="J619" t="s">
        <v>32</v>
      </c>
    </row>
    <row r="620" spans="1:10" s="3" customFormat="1" x14ac:dyDescent="0.25">
      <c r="A620" s="2">
        <v>57</v>
      </c>
      <c r="B620" s="3" t="s">
        <v>25</v>
      </c>
      <c r="C620" s="3">
        <v>647</v>
      </c>
      <c r="D620" s="3">
        <v>1</v>
      </c>
      <c r="E620" s="3" t="s">
        <v>55</v>
      </c>
      <c r="F620" s="3" t="s">
        <v>56</v>
      </c>
      <c r="G620" s="3" t="str">
        <f>"2026-02-06 06:09:10.743"</f>
        <v>2026-02-06 06:09:10.743</v>
      </c>
      <c r="H620" s="3" t="s">
        <v>21</v>
      </c>
    </row>
    <row r="621" spans="1:10" s="3" customFormat="1" x14ac:dyDescent="0.25">
      <c r="A621" s="2">
        <v>58</v>
      </c>
      <c r="B621" s="3" t="s">
        <v>29</v>
      </c>
      <c r="C621" s="3">
        <v>647</v>
      </c>
      <c r="D621" s="3">
        <v>1</v>
      </c>
      <c r="E621" s="3" t="s">
        <v>55</v>
      </c>
      <c r="F621" s="3" t="s">
        <v>56</v>
      </c>
      <c r="G621" s="3" t="str">
        <f>"2026-02-06 06:09:08.943"</f>
        <v>2026-02-06 06:09:08.943</v>
      </c>
      <c r="H621" s="3" t="s">
        <v>21</v>
      </c>
      <c r="I621" s="3">
        <v>9.25</v>
      </c>
      <c r="J621" s="3" t="s">
        <v>54</v>
      </c>
    </row>
    <row r="622" spans="1:10" x14ac:dyDescent="0.25">
      <c r="A622" s="1">
        <v>59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"2026-02-06 05:18:24.127"</f>
        <v>2026-02-06 05:18:24.127</v>
      </c>
      <c r="H622" t="s">
        <v>21</v>
      </c>
    </row>
    <row r="623" spans="1:10" x14ac:dyDescent="0.25">
      <c r="A623" s="1">
        <v>60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"2026-02-06 05:12:04.132"</f>
        <v>2026-02-06 05:12:04.132</v>
      </c>
      <c r="H623" t="s">
        <v>21</v>
      </c>
    </row>
    <row r="624" spans="1:10" x14ac:dyDescent="0.25">
      <c r="A624" s="1">
        <v>61</v>
      </c>
      <c r="B624" t="s">
        <v>19</v>
      </c>
      <c r="C624">
        <v>706</v>
      </c>
      <c r="D624">
        <v>2</v>
      </c>
      <c r="E624" t="s">
        <v>22</v>
      </c>
      <c r="F624" t="s">
        <v>53</v>
      </c>
      <c r="G624" t="str">
        <f>"2026-02-06 04:46:45.705"</f>
        <v>2026-02-06 04:46:45.705</v>
      </c>
      <c r="H624" t="s">
        <v>21</v>
      </c>
      <c r="I624">
        <v>0</v>
      </c>
      <c r="J624" t="s">
        <v>24</v>
      </c>
    </row>
    <row r="625" spans="1:10" x14ac:dyDescent="0.25">
      <c r="A625" s="1">
        <v>62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"2026-02-06 04:30:14.156"</f>
        <v>2026-02-06 04:30:14.156</v>
      </c>
      <c r="H625" t="s">
        <v>21</v>
      </c>
      <c r="I625">
        <v>0</v>
      </c>
      <c r="J625" t="s">
        <v>32</v>
      </c>
    </row>
    <row r="626" spans="1:10" x14ac:dyDescent="0.25">
      <c r="A626" s="1">
        <v>63</v>
      </c>
      <c r="B626" t="s">
        <v>25</v>
      </c>
      <c r="C626">
        <v>635</v>
      </c>
      <c r="D626">
        <v>1</v>
      </c>
      <c r="E626" t="s">
        <v>45</v>
      </c>
      <c r="F626" t="s">
        <v>27</v>
      </c>
      <c r="G626" t="str">
        <f>"2026-02-05 20:16:46.297"</f>
        <v>2026-02-05 20:16:46.297</v>
      </c>
      <c r="H626" t="s">
        <v>21</v>
      </c>
    </row>
    <row r="627" spans="1:10" x14ac:dyDescent="0.25">
      <c r="A627" s="1">
        <v>64</v>
      </c>
      <c r="B627" t="s">
        <v>29</v>
      </c>
      <c r="C627">
        <v>635</v>
      </c>
      <c r="D627">
        <v>1</v>
      </c>
      <c r="E627" t="s">
        <v>45</v>
      </c>
      <c r="F627" t="s">
        <v>27</v>
      </c>
      <c r="G627" t="str">
        <f>"2026-02-05 20:11:10.297"</f>
        <v>2026-02-05 20:11:10.297</v>
      </c>
      <c r="H627" t="s">
        <v>21</v>
      </c>
      <c r="I627">
        <v>2.68</v>
      </c>
      <c r="J627" t="s">
        <v>42</v>
      </c>
    </row>
    <row r="628" spans="1:10" x14ac:dyDescent="0.25">
      <c r="A628" s="1">
        <v>65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"2026-02-05 11:24:06.131"</f>
        <v>2026-02-05 11:24:06.131</v>
      </c>
      <c r="H628" t="s">
        <v>21</v>
      </c>
      <c r="I628">
        <v>0</v>
      </c>
      <c r="J628" t="s">
        <v>32</v>
      </c>
    </row>
    <row r="629" spans="1:10" x14ac:dyDescent="0.25">
      <c r="A629" s="1">
        <v>66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"2026-02-05 10:35:35.143"</f>
        <v>2026-02-05 10:35:35.143</v>
      </c>
      <c r="H629" t="s">
        <v>21</v>
      </c>
    </row>
    <row r="630" spans="1:10" x14ac:dyDescent="0.25">
      <c r="A630" s="1">
        <v>67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"2026-02-04 13:11:56.175"</f>
        <v>2026-02-04 13:11:56.175</v>
      </c>
      <c r="H630" t="s">
        <v>21</v>
      </c>
      <c r="I630">
        <v>0</v>
      </c>
      <c r="J630" t="s">
        <v>32</v>
      </c>
    </row>
    <row r="631" spans="1:10" x14ac:dyDescent="0.25">
      <c r="A631" s="1">
        <v>68</v>
      </c>
      <c r="B631" t="s">
        <v>25</v>
      </c>
      <c r="C631">
        <v>635</v>
      </c>
      <c r="D631">
        <v>1</v>
      </c>
      <c r="E631" t="s">
        <v>45</v>
      </c>
      <c r="F631" t="s">
        <v>27</v>
      </c>
      <c r="G631" t="str">
        <f>"2026-02-04 10:21:23.497"</f>
        <v>2026-02-04 10:21:23.497</v>
      </c>
      <c r="H631" t="s">
        <v>21</v>
      </c>
    </row>
    <row r="632" spans="1:10" x14ac:dyDescent="0.25">
      <c r="A632" s="1">
        <v>69</v>
      </c>
      <c r="B632" t="s">
        <v>29</v>
      </c>
      <c r="C632">
        <v>635</v>
      </c>
      <c r="D632">
        <v>1</v>
      </c>
      <c r="E632" t="s">
        <v>45</v>
      </c>
      <c r="F632" t="s">
        <v>27</v>
      </c>
      <c r="G632" t="str">
        <f>"2026-02-04 09:44:03.597"</f>
        <v>2026-02-04 09:44:03.597</v>
      </c>
      <c r="H632" t="s">
        <v>21</v>
      </c>
      <c r="I632">
        <v>8.68</v>
      </c>
      <c r="J632" t="s">
        <v>42</v>
      </c>
    </row>
    <row r="633" spans="1:10" x14ac:dyDescent="0.25">
      <c r="A633" s="1">
        <v>70</v>
      </c>
      <c r="B633" t="s">
        <v>25</v>
      </c>
      <c r="C633">
        <v>630</v>
      </c>
      <c r="D633">
        <v>5</v>
      </c>
      <c r="E633" t="s">
        <v>51</v>
      </c>
      <c r="F633" t="s">
        <v>52</v>
      </c>
      <c r="G633" t="str">
        <f>"2026-02-03 23:58:14.251"</f>
        <v>2026-02-03 23:58:14.251</v>
      </c>
      <c r="H633" t="s">
        <v>40</v>
      </c>
    </row>
    <row r="634" spans="1:10" x14ac:dyDescent="0.25">
      <c r="A634" s="1">
        <v>71</v>
      </c>
      <c r="B634" t="s">
        <v>19</v>
      </c>
      <c r="C634">
        <v>706</v>
      </c>
      <c r="D634">
        <v>4</v>
      </c>
      <c r="E634" t="s">
        <v>22</v>
      </c>
      <c r="F634" t="s">
        <v>31</v>
      </c>
      <c r="G634" t="str">
        <f>"2026-02-03 23:57:44.169"</f>
        <v>2026-02-03 23:57:44.169</v>
      </c>
      <c r="H634" t="s">
        <v>21</v>
      </c>
      <c r="I634">
        <v>0</v>
      </c>
      <c r="J634" t="s">
        <v>24</v>
      </c>
    </row>
    <row r="635" spans="1:10" x14ac:dyDescent="0.25">
      <c r="A635" s="1">
        <v>72</v>
      </c>
      <c r="B635" t="s">
        <v>33</v>
      </c>
      <c r="C635">
        <v>630</v>
      </c>
      <c r="D635">
        <v>5</v>
      </c>
      <c r="E635" t="s">
        <v>51</v>
      </c>
      <c r="F635" t="s">
        <v>52</v>
      </c>
      <c r="G635" t="str">
        <f>"2026-02-03 23:51:38.251"</f>
        <v>2026-02-03 23:51:38.251</v>
      </c>
      <c r="H635" t="s">
        <v>40</v>
      </c>
      <c r="I635">
        <v>0</v>
      </c>
      <c r="J635" t="s">
        <v>24</v>
      </c>
    </row>
    <row r="636" spans="1:10" x14ac:dyDescent="0.25">
      <c r="A636" s="1">
        <v>73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"2026-02-03 10:08:51.149"</f>
        <v>2026-02-03 10:08:51.149</v>
      </c>
      <c r="H636" t="s">
        <v>21</v>
      </c>
      <c r="I636">
        <v>0</v>
      </c>
      <c r="J636" t="s">
        <v>32</v>
      </c>
    </row>
    <row r="637" spans="1:10" x14ac:dyDescent="0.25">
      <c r="A637" s="1">
        <v>74</v>
      </c>
      <c r="B637" t="s">
        <v>25</v>
      </c>
      <c r="C637">
        <v>630</v>
      </c>
      <c r="D637">
        <v>5</v>
      </c>
      <c r="E637" t="s">
        <v>51</v>
      </c>
      <c r="F637" t="s">
        <v>52</v>
      </c>
      <c r="G637" t="str">
        <f>"2026-02-03 05:59:26.487"</f>
        <v>2026-02-03 05:59:26.487</v>
      </c>
      <c r="H637" t="s">
        <v>40</v>
      </c>
    </row>
    <row r="638" spans="1:10" x14ac:dyDescent="0.25">
      <c r="A638" s="1">
        <v>75</v>
      </c>
      <c r="B638" t="s">
        <v>19</v>
      </c>
      <c r="C638">
        <v>706</v>
      </c>
      <c r="D638">
        <v>2</v>
      </c>
      <c r="E638" t="s">
        <v>22</v>
      </c>
      <c r="F638" t="s">
        <v>53</v>
      </c>
      <c r="G638" t="str">
        <f>"2026-02-03 05:58:56.512"</f>
        <v>2026-02-03 05:58:56.512</v>
      </c>
      <c r="H638" t="s">
        <v>21</v>
      </c>
      <c r="I638">
        <v>0</v>
      </c>
      <c r="J638" t="s">
        <v>24</v>
      </c>
    </row>
    <row r="639" spans="1:10" x14ac:dyDescent="0.25">
      <c r="A639" s="1">
        <v>76</v>
      </c>
      <c r="B639" t="s">
        <v>33</v>
      </c>
      <c r="C639">
        <v>630</v>
      </c>
      <c r="D639">
        <v>5</v>
      </c>
      <c r="E639" t="s">
        <v>51</v>
      </c>
      <c r="F639" t="s">
        <v>52</v>
      </c>
      <c r="G639" t="str">
        <f>"2026-02-03 05:52:10.787"</f>
        <v>2026-02-03 05:52:10.787</v>
      </c>
      <c r="H639" t="s">
        <v>40</v>
      </c>
      <c r="I639">
        <v>0</v>
      </c>
      <c r="J639" t="s">
        <v>24</v>
      </c>
    </row>
    <row r="640" spans="1:10" x14ac:dyDescent="0.25">
      <c r="A640" s="1">
        <v>77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"2026-02-03 03:01:28.182"</f>
        <v>2026-02-03 03:01:28.182</v>
      </c>
      <c r="H640" t="s">
        <v>21</v>
      </c>
      <c r="I640">
        <v>0</v>
      </c>
      <c r="J640" t="s">
        <v>32</v>
      </c>
    </row>
    <row r="641" spans="1:10" x14ac:dyDescent="0.25">
      <c r="A641" s="1">
        <v>78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"2026-02-02 14:18:03.391"</f>
        <v>2026-02-02 14:18:03.391</v>
      </c>
      <c r="H641" t="s">
        <v>21</v>
      </c>
    </row>
    <row r="642" spans="1:10" x14ac:dyDescent="0.25">
      <c r="A642" s="1">
        <v>79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"2026-02-02 01:50:02.162"</f>
        <v>2026-02-02 01:50:02.162</v>
      </c>
      <c r="H642" t="s">
        <v>21</v>
      </c>
    </row>
    <row r="643" spans="1:10" x14ac:dyDescent="0.25">
      <c r="A643" s="1">
        <v>80</v>
      </c>
      <c r="B643" t="s">
        <v>25</v>
      </c>
      <c r="C643">
        <v>98</v>
      </c>
      <c r="D643">
        <v>1</v>
      </c>
      <c r="E643" t="s">
        <v>64</v>
      </c>
      <c r="F643" t="s">
        <v>65</v>
      </c>
      <c r="G643" t="str">
        <f>"2026-01-31 05:03:48.254"</f>
        <v>2026-01-31 05:03:48.254</v>
      </c>
      <c r="H643" t="s">
        <v>21</v>
      </c>
    </row>
    <row r="644" spans="1:10" x14ac:dyDescent="0.25">
      <c r="A644" s="1">
        <v>81</v>
      </c>
      <c r="B644" t="s">
        <v>29</v>
      </c>
      <c r="C644">
        <v>98</v>
      </c>
      <c r="D644">
        <v>1</v>
      </c>
      <c r="E644" t="s">
        <v>64</v>
      </c>
      <c r="F644" t="s">
        <v>65</v>
      </c>
      <c r="G644" t="str">
        <f>"2026-01-31 05:03:47.055"</f>
        <v>2026-01-31 05:03:47.055</v>
      </c>
      <c r="H644" t="s">
        <v>21</v>
      </c>
      <c r="I644">
        <v>0</v>
      </c>
      <c r="J644" t="s">
        <v>37</v>
      </c>
    </row>
    <row r="645" spans="1:10" x14ac:dyDescent="0.25">
      <c r="A645" s="1">
        <v>82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"2026-01-31 03:41:07.153"</f>
        <v>2026-01-31 03:41:07.153</v>
      </c>
      <c r="H645" t="s">
        <v>21</v>
      </c>
      <c r="I645">
        <v>0</v>
      </c>
      <c r="J645" t="s">
        <v>32</v>
      </c>
    </row>
    <row r="646" spans="1:10" x14ac:dyDescent="0.25">
      <c r="A646" s="1">
        <v>84</v>
      </c>
      <c r="B646" t="s">
        <v>25</v>
      </c>
      <c r="C646">
        <v>635</v>
      </c>
      <c r="D646">
        <v>1</v>
      </c>
      <c r="E646" t="s">
        <v>45</v>
      </c>
      <c r="F646" t="s">
        <v>27</v>
      </c>
      <c r="G646" t="str">
        <f>"2026-01-29 15:12:07.984"</f>
        <v>2026-01-29 15:12:07.984</v>
      </c>
      <c r="H646" t="s">
        <v>21</v>
      </c>
    </row>
    <row r="647" spans="1:10" x14ac:dyDescent="0.25">
      <c r="A647" s="1">
        <v>85</v>
      </c>
      <c r="B647" t="s">
        <v>29</v>
      </c>
      <c r="C647">
        <v>635</v>
      </c>
      <c r="D647">
        <v>1</v>
      </c>
      <c r="E647" t="s">
        <v>45</v>
      </c>
      <c r="F647" t="s">
        <v>27</v>
      </c>
      <c r="G647" t="str">
        <f>"2026-01-29 15:06:02.984"</f>
        <v>2026-01-29 15:06:02.984</v>
      </c>
      <c r="H647" t="s">
        <v>21</v>
      </c>
      <c r="I647">
        <v>3.63</v>
      </c>
      <c r="J647" t="s">
        <v>54</v>
      </c>
    </row>
    <row r="648" spans="1:10" s="3" customFormat="1" x14ac:dyDescent="0.25">
      <c r="A648" s="2">
        <v>86</v>
      </c>
      <c r="B648" s="3" t="s">
        <v>25</v>
      </c>
      <c r="C648" s="3">
        <v>647</v>
      </c>
      <c r="D648" s="3">
        <v>1</v>
      </c>
      <c r="E648" s="3" t="s">
        <v>55</v>
      </c>
      <c r="F648" s="3" t="s">
        <v>56</v>
      </c>
      <c r="G648" s="3" t="str">
        <f>"2026-01-29 08:56:25.284"</f>
        <v>2026-01-29 08:56:25.284</v>
      </c>
      <c r="H648" s="3" t="s">
        <v>21</v>
      </c>
    </row>
    <row r="649" spans="1:10" s="3" customFormat="1" x14ac:dyDescent="0.25">
      <c r="A649" s="2">
        <v>87</v>
      </c>
      <c r="B649" s="3" t="s">
        <v>29</v>
      </c>
      <c r="C649" s="3">
        <v>647</v>
      </c>
      <c r="D649" s="3">
        <v>1</v>
      </c>
      <c r="E649" s="3" t="s">
        <v>55</v>
      </c>
      <c r="F649" s="3" t="s">
        <v>56</v>
      </c>
      <c r="G649" s="3" t="str">
        <f>"2026-01-29 08:56:23.684"</f>
        <v>2026-01-29 08:56:23.684</v>
      </c>
      <c r="H649" s="3" t="s">
        <v>21</v>
      </c>
      <c r="I649" s="3">
        <v>14.77</v>
      </c>
      <c r="J649" s="3" t="s">
        <v>54</v>
      </c>
    </row>
    <row r="650" spans="1:10" x14ac:dyDescent="0.25">
      <c r="A650" s="1">
        <v>88</v>
      </c>
      <c r="B650" t="s">
        <v>25</v>
      </c>
      <c r="C650">
        <v>635</v>
      </c>
      <c r="D650">
        <v>1</v>
      </c>
      <c r="E650" t="s">
        <v>45</v>
      </c>
      <c r="F650" t="s">
        <v>27</v>
      </c>
      <c r="G650" t="str">
        <f>"2026-01-29 03:37:29.884"</f>
        <v>2026-01-29 03:37:29.884</v>
      </c>
      <c r="H650" t="s">
        <v>21</v>
      </c>
    </row>
    <row r="651" spans="1:10" x14ac:dyDescent="0.25">
      <c r="A651" s="1">
        <v>89</v>
      </c>
      <c r="B651" t="s">
        <v>29</v>
      </c>
      <c r="C651">
        <v>635</v>
      </c>
      <c r="D651">
        <v>1</v>
      </c>
      <c r="E651" t="s">
        <v>45</v>
      </c>
      <c r="F651" t="s">
        <v>27</v>
      </c>
      <c r="G651" t="str">
        <f>"2026-01-29 03:28:02.884"</f>
        <v>2026-01-29 03:28:02.884</v>
      </c>
      <c r="H651" t="s">
        <v>21</v>
      </c>
      <c r="I651">
        <v>4.0199999999999996</v>
      </c>
      <c r="J651" t="s">
        <v>54</v>
      </c>
    </row>
    <row r="652" spans="1:10" x14ac:dyDescent="0.25">
      <c r="A652" s="1">
        <v>90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"2026-01-29 03:08:25.176"</f>
        <v>2026-01-29 03:08:25.176</v>
      </c>
      <c r="H652" t="s">
        <v>21</v>
      </c>
    </row>
    <row r="653" spans="1:10" x14ac:dyDescent="0.25">
      <c r="A653" s="1">
        <v>91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"2026-01-28 23:03:19.149"</f>
        <v>2026-01-28 23:03:19.149</v>
      </c>
      <c r="H653" t="s">
        <v>21</v>
      </c>
      <c r="I653">
        <v>0</v>
      </c>
      <c r="J653" t="s">
        <v>32</v>
      </c>
    </row>
    <row r="654" spans="1:10" x14ac:dyDescent="0.25">
      <c r="A654" s="1">
        <v>92</v>
      </c>
      <c r="B654" t="s">
        <v>25</v>
      </c>
      <c r="C654">
        <v>635</v>
      </c>
      <c r="D654">
        <v>1</v>
      </c>
      <c r="E654" t="s">
        <v>45</v>
      </c>
      <c r="F654" t="s">
        <v>27</v>
      </c>
      <c r="G654" t="str">
        <f>"2026-01-28 17:21:59.231"</f>
        <v>2026-01-28 17:21:59.231</v>
      </c>
      <c r="H654" t="s">
        <v>21</v>
      </c>
    </row>
    <row r="655" spans="1:10" x14ac:dyDescent="0.25">
      <c r="A655" s="1">
        <v>93</v>
      </c>
      <c r="B655" t="s">
        <v>29</v>
      </c>
      <c r="C655">
        <v>635</v>
      </c>
      <c r="D655">
        <v>1</v>
      </c>
      <c r="E655" t="s">
        <v>45</v>
      </c>
      <c r="F655" t="s">
        <v>27</v>
      </c>
      <c r="G655" t="str">
        <f>"2026-01-28 17:14:47.731"</f>
        <v>2026-01-28 17:14:47.731</v>
      </c>
      <c r="H655" t="s">
        <v>21</v>
      </c>
      <c r="I655">
        <v>7.88</v>
      </c>
      <c r="J655" t="s">
        <v>42</v>
      </c>
    </row>
    <row r="656" spans="1:10" x14ac:dyDescent="0.25">
      <c r="A656" s="1">
        <v>94</v>
      </c>
      <c r="B656" t="s">
        <v>25</v>
      </c>
      <c r="C656">
        <v>635</v>
      </c>
      <c r="D656">
        <v>1</v>
      </c>
      <c r="E656" t="s">
        <v>45</v>
      </c>
      <c r="F656" t="s">
        <v>27</v>
      </c>
      <c r="G656" t="str">
        <f>"2026-01-28 15:43:45.931"</f>
        <v>2026-01-28 15:43:45.931</v>
      </c>
      <c r="H656" t="s">
        <v>21</v>
      </c>
    </row>
    <row r="657" spans="1:10" x14ac:dyDescent="0.25">
      <c r="A657" s="1">
        <v>95</v>
      </c>
      <c r="B657" t="s">
        <v>29</v>
      </c>
      <c r="C657">
        <v>635</v>
      </c>
      <c r="D657">
        <v>1</v>
      </c>
      <c r="E657" t="s">
        <v>45</v>
      </c>
      <c r="F657" t="s">
        <v>27</v>
      </c>
      <c r="G657" t="str">
        <f>"2026-01-28 15:40:00.431"</f>
        <v>2026-01-28 15:40:00.431</v>
      </c>
      <c r="H657" t="s">
        <v>21</v>
      </c>
      <c r="I657">
        <v>6.29</v>
      </c>
      <c r="J657" t="s">
        <v>42</v>
      </c>
    </row>
    <row r="658" spans="1:10" x14ac:dyDescent="0.25">
      <c r="A658" s="1">
        <v>96</v>
      </c>
      <c r="B658" t="s">
        <v>25</v>
      </c>
      <c r="C658">
        <v>635</v>
      </c>
      <c r="D658">
        <v>1</v>
      </c>
      <c r="E658" t="s">
        <v>45</v>
      </c>
      <c r="F658" t="s">
        <v>27</v>
      </c>
      <c r="G658" t="str">
        <f>"2026-01-28 14:28:39.531"</f>
        <v>2026-01-28 14:28:39.531</v>
      </c>
      <c r="H658" t="s">
        <v>21</v>
      </c>
    </row>
    <row r="659" spans="1:10" x14ac:dyDescent="0.25">
      <c r="A659" s="1">
        <v>97</v>
      </c>
      <c r="B659" t="s">
        <v>29</v>
      </c>
      <c r="C659">
        <v>635</v>
      </c>
      <c r="D659">
        <v>1</v>
      </c>
      <c r="E659" t="s">
        <v>45</v>
      </c>
      <c r="F659" t="s">
        <v>27</v>
      </c>
      <c r="G659" t="str">
        <f>"2026-01-28 14:24:35.031"</f>
        <v>2026-01-28 14:24:35.031</v>
      </c>
      <c r="H659" t="s">
        <v>21</v>
      </c>
      <c r="I659">
        <v>6.64</v>
      </c>
      <c r="J659" t="s">
        <v>42</v>
      </c>
    </row>
    <row r="660" spans="1:10" x14ac:dyDescent="0.25">
      <c r="A660" s="1">
        <v>98</v>
      </c>
      <c r="B660" t="s">
        <v>25</v>
      </c>
      <c r="C660">
        <v>635</v>
      </c>
      <c r="D660">
        <v>1</v>
      </c>
      <c r="E660" t="s">
        <v>45</v>
      </c>
      <c r="F660" t="s">
        <v>27</v>
      </c>
      <c r="G660" t="str">
        <f>"2026-01-27 23:35:54.831"</f>
        <v>2026-01-27 23:35:54.831</v>
      </c>
      <c r="H660" t="s">
        <v>21</v>
      </c>
    </row>
    <row r="661" spans="1:10" x14ac:dyDescent="0.25">
      <c r="A661" s="1">
        <v>99</v>
      </c>
      <c r="B661" t="s">
        <v>29</v>
      </c>
      <c r="C661">
        <v>635</v>
      </c>
      <c r="D661">
        <v>1</v>
      </c>
      <c r="E661" t="s">
        <v>45</v>
      </c>
      <c r="F661" t="s">
        <v>27</v>
      </c>
      <c r="G661" t="str">
        <f>"2026-01-27 23:31:33.831"</f>
        <v>2026-01-27 23:31:33.831</v>
      </c>
      <c r="H661" t="s">
        <v>21</v>
      </c>
      <c r="I661">
        <v>4.21</v>
      </c>
      <c r="J661" t="s">
        <v>42</v>
      </c>
    </row>
    <row r="662" spans="1:10" x14ac:dyDescent="0.25">
      <c r="A662" s="1">
        <v>0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"2026-01-27 21:37:16.172"</f>
        <v>2026-01-27 21:37:16.172</v>
      </c>
      <c r="H662" t="s">
        <v>21</v>
      </c>
      <c r="I662">
        <v>0</v>
      </c>
      <c r="J662" t="s">
        <v>32</v>
      </c>
    </row>
    <row r="663" spans="1:10" x14ac:dyDescent="0.25">
      <c r="A663" s="1">
        <v>1</v>
      </c>
      <c r="B663" t="s">
        <v>25</v>
      </c>
      <c r="C663">
        <v>635</v>
      </c>
      <c r="D663">
        <v>1</v>
      </c>
      <c r="E663" t="s">
        <v>45</v>
      </c>
      <c r="F663" t="s">
        <v>27</v>
      </c>
      <c r="G663" t="str">
        <f>"2026-01-26 23:33:45.290"</f>
        <v>2026-01-26 23:33:45.290</v>
      </c>
      <c r="H663" t="s">
        <v>21</v>
      </c>
    </row>
    <row r="664" spans="1:10" x14ac:dyDescent="0.25">
      <c r="A664" s="1">
        <v>2</v>
      </c>
      <c r="B664" t="s">
        <v>29</v>
      </c>
      <c r="C664">
        <v>635</v>
      </c>
      <c r="D664">
        <v>1</v>
      </c>
      <c r="E664" t="s">
        <v>45</v>
      </c>
      <c r="F664" t="s">
        <v>27</v>
      </c>
      <c r="G664" t="str">
        <f>"2026-01-26 23:29:56.290"</f>
        <v>2026-01-26 23:29:56.290</v>
      </c>
      <c r="H664" t="s">
        <v>21</v>
      </c>
      <c r="I664">
        <v>4.9400000000000004</v>
      </c>
      <c r="J664" t="s">
        <v>54</v>
      </c>
    </row>
    <row r="665" spans="1:10" x14ac:dyDescent="0.25">
      <c r="A665" s="1">
        <v>3</v>
      </c>
      <c r="B665" t="s">
        <v>19</v>
      </c>
      <c r="C665">
        <v>706</v>
      </c>
      <c r="D665">
        <v>2</v>
      </c>
      <c r="E665" t="s">
        <v>22</v>
      </c>
      <c r="F665" t="s">
        <v>53</v>
      </c>
      <c r="G665" t="str">
        <f>"2026-01-26 21:50:44.640"</f>
        <v>2026-01-26 21:50:44.640</v>
      </c>
      <c r="H665" t="s">
        <v>21</v>
      </c>
      <c r="I665">
        <v>0</v>
      </c>
      <c r="J665" t="s">
        <v>24</v>
      </c>
    </row>
    <row r="666" spans="1:10" x14ac:dyDescent="0.25">
      <c r="A666" s="1">
        <v>4</v>
      </c>
      <c r="B666" t="s">
        <v>25</v>
      </c>
      <c r="C666">
        <v>630</v>
      </c>
      <c r="D666">
        <v>5</v>
      </c>
      <c r="E666" t="s">
        <v>51</v>
      </c>
      <c r="F666" t="s">
        <v>52</v>
      </c>
      <c r="G666" t="str">
        <f>"2026-01-26 21:47:50.191"</f>
        <v>2026-01-26 21:47:50.191</v>
      </c>
      <c r="H666" t="s">
        <v>40</v>
      </c>
    </row>
    <row r="667" spans="1:10" x14ac:dyDescent="0.25">
      <c r="A667" s="1">
        <v>5</v>
      </c>
      <c r="B667" t="s">
        <v>33</v>
      </c>
      <c r="C667">
        <v>630</v>
      </c>
      <c r="D667">
        <v>5</v>
      </c>
      <c r="E667" t="s">
        <v>51</v>
      </c>
      <c r="F667" t="s">
        <v>52</v>
      </c>
      <c r="G667" t="str">
        <f>"2026-01-26 21:42:37.391"</f>
        <v>2026-01-26 21:42:37.391</v>
      </c>
      <c r="H667" t="s">
        <v>40</v>
      </c>
      <c r="I667">
        <v>0</v>
      </c>
      <c r="J667" t="s">
        <v>24</v>
      </c>
    </row>
    <row r="668" spans="1:10" x14ac:dyDescent="0.25">
      <c r="A668" s="1">
        <v>6</v>
      </c>
      <c r="B668" t="s">
        <v>19</v>
      </c>
      <c r="C668">
        <v>706</v>
      </c>
      <c r="D668">
        <v>2</v>
      </c>
      <c r="E668" t="s">
        <v>22</v>
      </c>
      <c r="F668" t="s">
        <v>53</v>
      </c>
      <c r="G668" t="str">
        <f>"2026-01-26 15:49:22.540"</f>
        <v>2026-01-26 15:49:22.540</v>
      </c>
      <c r="H668" t="s">
        <v>21</v>
      </c>
      <c r="I668">
        <v>0</v>
      </c>
      <c r="J668" t="s">
        <v>24</v>
      </c>
    </row>
    <row r="669" spans="1:10" x14ac:dyDescent="0.25">
      <c r="A669" s="1">
        <v>7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"2026-01-26 15:47:04.150"</f>
        <v>2026-01-26 15:47:04.150</v>
      </c>
      <c r="H669" t="s">
        <v>21</v>
      </c>
      <c r="I669">
        <v>0</v>
      </c>
      <c r="J669" t="s">
        <v>32</v>
      </c>
    </row>
    <row r="670" spans="1:10" x14ac:dyDescent="0.25">
      <c r="A670" s="1">
        <v>8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"2026-01-26 14:55:20.201"</f>
        <v>2026-01-26 14:55:20.201</v>
      </c>
      <c r="H670" t="s">
        <v>21</v>
      </c>
    </row>
    <row r="671" spans="1:10" x14ac:dyDescent="0.25">
      <c r="A671" s="1">
        <v>9</v>
      </c>
      <c r="B671" t="s">
        <v>33</v>
      </c>
      <c r="C671">
        <v>630</v>
      </c>
      <c r="D671">
        <v>5</v>
      </c>
      <c r="E671" t="s">
        <v>51</v>
      </c>
      <c r="F671" t="s">
        <v>52</v>
      </c>
      <c r="G671" t="str">
        <f>"2026-01-26 14:24:36.176"</f>
        <v>2026-01-26 14:24:36.176</v>
      </c>
      <c r="H671" t="s">
        <v>40</v>
      </c>
      <c r="I671">
        <v>0</v>
      </c>
      <c r="J671" t="s">
        <v>24</v>
      </c>
    </row>
    <row r="672" spans="1:10" x14ac:dyDescent="0.25">
      <c r="A672" s="1">
        <v>10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"2026-01-26 14:19:33.368"</f>
        <v>2026-01-26 14:19:33.368</v>
      </c>
      <c r="H672" t="s">
        <v>21</v>
      </c>
    </row>
    <row r="673" spans="1:10" x14ac:dyDescent="0.25">
      <c r="A673" s="1">
        <v>11</v>
      </c>
      <c r="B673" t="s">
        <v>25</v>
      </c>
      <c r="C673">
        <v>635</v>
      </c>
      <c r="D673">
        <v>1</v>
      </c>
      <c r="E673" t="s">
        <v>45</v>
      </c>
      <c r="F673" t="s">
        <v>27</v>
      </c>
      <c r="G673" t="str">
        <f>"2026-01-25 09:36:02.188"</f>
        <v>2026-01-25 09:36:02.188</v>
      </c>
      <c r="H673" t="s">
        <v>21</v>
      </c>
    </row>
    <row r="674" spans="1:10" x14ac:dyDescent="0.25">
      <c r="A674" s="1">
        <v>12</v>
      </c>
      <c r="B674" t="s">
        <v>29</v>
      </c>
      <c r="C674">
        <v>635</v>
      </c>
      <c r="D674">
        <v>1</v>
      </c>
      <c r="E674" t="s">
        <v>45</v>
      </c>
      <c r="F674" t="s">
        <v>27</v>
      </c>
      <c r="G674" t="str">
        <f>"2026-01-25 09:32:52.688"</f>
        <v>2026-01-25 09:32:52.688</v>
      </c>
      <c r="H674" t="s">
        <v>21</v>
      </c>
      <c r="I674">
        <v>2.5499999999999998</v>
      </c>
      <c r="J674" t="s">
        <v>54</v>
      </c>
    </row>
    <row r="675" spans="1:10" x14ac:dyDescent="0.25">
      <c r="A675" s="1">
        <v>13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"2026-01-24 17:33:03.374"</f>
        <v>2026-01-24 17:33:03.374</v>
      </c>
      <c r="H675" t="s">
        <v>21</v>
      </c>
    </row>
    <row r="676" spans="1:10" x14ac:dyDescent="0.25">
      <c r="A676" s="1">
        <v>14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"2026-01-24 13:13:39.340"</f>
        <v>2026-01-24 13:13:39.340</v>
      </c>
      <c r="H676" t="s">
        <v>21</v>
      </c>
      <c r="I676">
        <v>0</v>
      </c>
      <c r="J676" t="s">
        <v>32</v>
      </c>
    </row>
    <row r="677" spans="1:10" x14ac:dyDescent="0.25">
      <c r="A677" s="1">
        <v>15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"2026-01-24 01:17:11.356"</f>
        <v>2026-01-24 01:17:11.356</v>
      </c>
      <c r="H677" t="s">
        <v>21</v>
      </c>
    </row>
    <row r="678" spans="1:10" x14ac:dyDescent="0.25">
      <c r="A678" s="1">
        <v>16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"2026-01-23 08:15:53.179"</f>
        <v>2026-01-23 08:15:53.179</v>
      </c>
      <c r="H678" t="s">
        <v>21</v>
      </c>
      <c r="I678">
        <v>0</v>
      </c>
      <c r="J678" t="s">
        <v>32</v>
      </c>
    </row>
    <row r="679" spans="1:10" x14ac:dyDescent="0.25">
      <c r="A679" s="1">
        <v>18</v>
      </c>
      <c r="B679" t="s">
        <v>25</v>
      </c>
      <c r="C679">
        <v>635</v>
      </c>
      <c r="D679">
        <v>1</v>
      </c>
      <c r="E679" t="s">
        <v>45</v>
      </c>
      <c r="F679" t="s">
        <v>27</v>
      </c>
      <c r="G679" t="str">
        <f>"2026-01-22 19:27:41.461"</f>
        <v>2026-01-22 19:27:41.461</v>
      </c>
      <c r="H679" t="s">
        <v>21</v>
      </c>
    </row>
    <row r="680" spans="1:10" x14ac:dyDescent="0.25">
      <c r="A680" s="1">
        <v>19</v>
      </c>
      <c r="B680" t="s">
        <v>29</v>
      </c>
      <c r="C680">
        <v>635</v>
      </c>
      <c r="D680">
        <v>1</v>
      </c>
      <c r="E680" t="s">
        <v>45</v>
      </c>
      <c r="F680" t="s">
        <v>27</v>
      </c>
      <c r="G680" t="str">
        <f>"2026-01-22 19:02:28.961"</f>
        <v>2026-01-22 19:02:28.961</v>
      </c>
      <c r="H680" t="s">
        <v>21</v>
      </c>
      <c r="I680">
        <v>8.58</v>
      </c>
      <c r="J680" t="s">
        <v>42</v>
      </c>
    </row>
    <row r="681" spans="1:10" x14ac:dyDescent="0.25">
      <c r="A681" s="1">
        <v>20</v>
      </c>
      <c r="B681" t="s">
        <v>25</v>
      </c>
      <c r="C681">
        <v>635</v>
      </c>
      <c r="D681">
        <v>1</v>
      </c>
      <c r="E681" t="s">
        <v>45</v>
      </c>
      <c r="F681" t="s">
        <v>27</v>
      </c>
      <c r="G681" t="str">
        <f>"2026-01-22 16:55:12.661"</f>
        <v>2026-01-22 16:55:12.661</v>
      </c>
      <c r="H681" t="s">
        <v>21</v>
      </c>
    </row>
    <row r="682" spans="1:10" x14ac:dyDescent="0.25">
      <c r="A682" s="1">
        <v>21</v>
      </c>
      <c r="B682" t="s">
        <v>29</v>
      </c>
      <c r="C682">
        <v>635</v>
      </c>
      <c r="D682">
        <v>1</v>
      </c>
      <c r="E682" t="s">
        <v>45</v>
      </c>
      <c r="F682" t="s">
        <v>27</v>
      </c>
      <c r="G682" t="str">
        <f>"2026-01-22 16:50:01.661"</f>
        <v>2026-01-22 16:50:01.661</v>
      </c>
      <c r="H682" t="s">
        <v>21</v>
      </c>
      <c r="I682">
        <v>2.86</v>
      </c>
      <c r="J682" t="s">
        <v>42</v>
      </c>
    </row>
    <row r="683" spans="1:10" x14ac:dyDescent="0.25">
      <c r="A683" s="1">
        <v>22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"2026-01-22 13:05:27.351"</f>
        <v>2026-01-22 13:05:27.351</v>
      </c>
      <c r="H683" t="s">
        <v>21</v>
      </c>
      <c r="I683">
        <v>0</v>
      </c>
      <c r="J683" t="s">
        <v>32</v>
      </c>
    </row>
    <row r="684" spans="1:10" s="3" customFormat="1" x14ac:dyDescent="0.25">
      <c r="A684" s="2">
        <v>23</v>
      </c>
      <c r="B684" s="3" t="s">
        <v>25</v>
      </c>
      <c r="C684" s="3">
        <v>647</v>
      </c>
      <c r="D684" s="3">
        <v>1</v>
      </c>
      <c r="E684" s="3" t="s">
        <v>55</v>
      </c>
      <c r="F684" s="3" t="s">
        <v>56</v>
      </c>
      <c r="G684" s="3" t="str">
        <f>"2026-01-21 07:41:49.873"</f>
        <v>2026-01-21 07:41:49.873</v>
      </c>
      <c r="H684" s="3" t="s">
        <v>21</v>
      </c>
    </row>
    <row r="685" spans="1:10" s="3" customFormat="1" x14ac:dyDescent="0.25">
      <c r="A685" s="2">
        <v>24</v>
      </c>
      <c r="B685" s="3" t="s">
        <v>29</v>
      </c>
      <c r="C685" s="3">
        <v>647</v>
      </c>
      <c r="D685" s="3">
        <v>1</v>
      </c>
      <c r="E685" s="3" t="s">
        <v>55</v>
      </c>
      <c r="F685" s="3" t="s">
        <v>56</v>
      </c>
      <c r="G685" s="3" t="str">
        <f>"2026-01-21 07:41:46.773"</f>
        <v>2026-01-21 07:41:46.773</v>
      </c>
      <c r="H685" s="3" t="s">
        <v>21</v>
      </c>
      <c r="I685" s="3">
        <v>10.93</v>
      </c>
      <c r="J685" s="3" t="s">
        <v>37</v>
      </c>
    </row>
    <row r="686" spans="1:10" s="3" customFormat="1" x14ac:dyDescent="0.25">
      <c r="A686" s="2">
        <v>25</v>
      </c>
      <c r="B686" s="3" t="s">
        <v>25</v>
      </c>
      <c r="C686" s="3">
        <v>647</v>
      </c>
      <c r="D686" s="3">
        <v>1</v>
      </c>
      <c r="E686" s="3" t="s">
        <v>55</v>
      </c>
      <c r="F686" s="3" t="s">
        <v>56</v>
      </c>
      <c r="G686" s="3" t="str">
        <f>"2026-01-21 07:41:45.273"</f>
        <v>2026-01-21 07:41:45.273</v>
      </c>
      <c r="H686" s="3" t="s">
        <v>21</v>
      </c>
    </row>
    <row r="687" spans="1:10" s="3" customFormat="1" x14ac:dyDescent="0.25">
      <c r="A687" s="2">
        <v>26</v>
      </c>
      <c r="B687" s="3" t="s">
        <v>29</v>
      </c>
      <c r="C687" s="3">
        <v>647</v>
      </c>
      <c r="D687" s="3">
        <v>1</v>
      </c>
      <c r="E687" s="3" t="s">
        <v>55</v>
      </c>
      <c r="F687" s="3" t="s">
        <v>56</v>
      </c>
      <c r="G687" s="3" t="str">
        <f>"2026-01-21 07:41:39.773"</f>
        <v>2026-01-21 07:41:39.773</v>
      </c>
      <c r="H687" s="3" t="s">
        <v>21</v>
      </c>
      <c r="I687" s="3">
        <v>9.01</v>
      </c>
      <c r="J687" s="3" t="s">
        <v>37</v>
      </c>
    </row>
    <row r="688" spans="1:10" x14ac:dyDescent="0.25">
      <c r="A688" s="1">
        <v>27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"2026-01-20 08:55:25.146"</f>
        <v>2026-01-20 08:55:25.146</v>
      </c>
      <c r="H688" t="s">
        <v>21</v>
      </c>
    </row>
    <row r="689" spans="1:10" x14ac:dyDescent="0.25">
      <c r="A689" s="1">
        <v>28</v>
      </c>
      <c r="B689" t="s">
        <v>25</v>
      </c>
      <c r="C689">
        <v>635</v>
      </c>
      <c r="D689">
        <v>1</v>
      </c>
      <c r="E689" t="s">
        <v>45</v>
      </c>
      <c r="F689" t="s">
        <v>27</v>
      </c>
      <c r="G689" t="str">
        <f>"2026-01-19 07:55:47.619"</f>
        <v>2026-01-19 07:55:47.619</v>
      </c>
      <c r="H689" t="s">
        <v>21</v>
      </c>
    </row>
    <row r="690" spans="1:10" x14ac:dyDescent="0.25">
      <c r="A690" s="1">
        <v>29</v>
      </c>
      <c r="B690" t="s">
        <v>29</v>
      </c>
      <c r="C690">
        <v>635</v>
      </c>
      <c r="D690">
        <v>1</v>
      </c>
      <c r="E690" t="s">
        <v>45</v>
      </c>
      <c r="F690" t="s">
        <v>27</v>
      </c>
      <c r="G690" t="str">
        <f>"2026-01-19 07:51:07.619"</f>
        <v>2026-01-19 07:51:07.619</v>
      </c>
      <c r="H690" t="s">
        <v>21</v>
      </c>
      <c r="I690">
        <v>5.37</v>
      </c>
      <c r="J690" t="s">
        <v>37</v>
      </c>
    </row>
    <row r="691" spans="1:10" x14ac:dyDescent="0.25">
      <c r="A691" s="1">
        <v>30</v>
      </c>
      <c r="B691" t="s">
        <v>25</v>
      </c>
      <c r="C691">
        <v>635</v>
      </c>
      <c r="D691">
        <v>1</v>
      </c>
      <c r="E691" t="s">
        <v>45</v>
      </c>
      <c r="F691" t="s">
        <v>27</v>
      </c>
      <c r="G691" t="str">
        <f>"2026-01-18 15:55:48.819"</f>
        <v>2026-01-18 15:55:48.819</v>
      </c>
      <c r="H691" t="s">
        <v>21</v>
      </c>
    </row>
    <row r="692" spans="1:10" x14ac:dyDescent="0.25">
      <c r="A692" s="1">
        <v>31</v>
      </c>
      <c r="B692" t="s">
        <v>29</v>
      </c>
      <c r="C692">
        <v>635</v>
      </c>
      <c r="D692">
        <v>1</v>
      </c>
      <c r="E692" t="s">
        <v>45</v>
      </c>
      <c r="F692" t="s">
        <v>27</v>
      </c>
      <c r="G692" t="str">
        <f>"2026-01-18 15:51:21.319"</f>
        <v>2026-01-18 15:51:21.319</v>
      </c>
      <c r="H692" t="s">
        <v>21</v>
      </c>
      <c r="I692">
        <v>1.05</v>
      </c>
      <c r="J692" t="s">
        <v>42</v>
      </c>
    </row>
    <row r="693" spans="1:10" s="3" customFormat="1" x14ac:dyDescent="0.25">
      <c r="A693" s="2">
        <v>32</v>
      </c>
      <c r="B693" s="3" t="s">
        <v>25</v>
      </c>
      <c r="C693" s="3">
        <v>647</v>
      </c>
      <c r="D693" s="3">
        <v>1</v>
      </c>
      <c r="E693" s="3" t="s">
        <v>55</v>
      </c>
      <c r="F693" s="3" t="s">
        <v>56</v>
      </c>
      <c r="G693" s="3" t="str">
        <f>"2026-01-18 12:30:17.873"</f>
        <v>2026-01-18 12:30:17.873</v>
      </c>
      <c r="H693" s="3" t="s">
        <v>21</v>
      </c>
    </row>
    <row r="694" spans="1:10" s="3" customFormat="1" x14ac:dyDescent="0.25">
      <c r="A694" s="2">
        <v>33</v>
      </c>
      <c r="B694" s="3" t="s">
        <v>29</v>
      </c>
      <c r="C694" s="3">
        <v>647</v>
      </c>
      <c r="D694" s="3">
        <v>1</v>
      </c>
      <c r="E694" s="3" t="s">
        <v>55</v>
      </c>
      <c r="F694" s="3" t="s">
        <v>56</v>
      </c>
      <c r="G694" s="3" t="str">
        <f>"2026-01-18 12:30:13.773"</f>
        <v>2026-01-18 12:30:13.773</v>
      </c>
      <c r="H694" s="3" t="s">
        <v>21</v>
      </c>
      <c r="I694" s="3">
        <v>9.48</v>
      </c>
      <c r="J694" s="3" t="s">
        <v>54</v>
      </c>
    </row>
    <row r="695" spans="1:10" x14ac:dyDescent="0.25">
      <c r="A695" s="1">
        <v>34</v>
      </c>
      <c r="B695" t="s">
        <v>25</v>
      </c>
      <c r="C695">
        <v>635</v>
      </c>
      <c r="D695">
        <v>1</v>
      </c>
      <c r="E695" t="s">
        <v>45</v>
      </c>
      <c r="F695" t="s">
        <v>27</v>
      </c>
      <c r="G695" t="str">
        <f>"2026-01-18 04:04:06.319"</f>
        <v>2026-01-18 04:04:06.319</v>
      </c>
      <c r="H695" t="s">
        <v>21</v>
      </c>
    </row>
    <row r="696" spans="1:10" x14ac:dyDescent="0.25">
      <c r="A696" s="1">
        <v>35</v>
      </c>
      <c r="B696" t="s">
        <v>29</v>
      </c>
      <c r="C696">
        <v>635</v>
      </c>
      <c r="D696">
        <v>1</v>
      </c>
      <c r="E696" t="s">
        <v>45</v>
      </c>
      <c r="F696" t="s">
        <v>27</v>
      </c>
      <c r="G696" t="str">
        <f>"2026-01-18 04:01:31.319"</f>
        <v>2026-01-18 04:01:31.319</v>
      </c>
      <c r="H696" t="s">
        <v>21</v>
      </c>
      <c r="I696">
        <v>7.04</v>
      </c>
      <c r="J696" t="s">
        <v>42</v>
      </c>
    </row>
    <row r="697" spans="1:10" x14ac:dyDescent="0.25">
      <c r="A697" s="1">
        <v>36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"2026-01-17 13:10:10.147"</f>
        <v>2026-01-17 13:10:10.147</v>
      </c>
      <c r="H697" t="s">
        <v>21</v>
      </c>
    </row>
    <row r="698" spans="1:10" x14ac:dyDescent="0.25">
      <c r="A698" s="1">
        <v>37</v>
      </c>
      <c r="B698" t="s">
        <v>25</v>
      </c>
      <c r="C698">
        <v>635</v>
      </c>
      <c r="D698">
        <v>1</v>
      </c>
      <c r="E698" t="s">
        <v>45</v>
      </c>
      <c r="F698" t="s">
        <v>27</v>
      </c>
      <c r="G698" t="str">
        <f>"2026-01-17 09:52:10.001"</f>
        <v>2026-01-17 09:52:10.001</v>
      </c>
      <c r="H698" t="s">
        <v>21</v>
      </c>
    </row>
    <row r="699" spans="1:10" x14ac:dyDescent="0.25">
      <c r="A699" s="1">
        <v>38</v>
      </c>
      <c r="B699" t="s">
        <v>29</v>
      </c>
      <c r="C699">
        <v>635</v>
      </c>
      <c r="D699">
        <v>1</v>
      </c>
      <c r="E699" t="s">
        <v>45</v>
      </c>
      <c r="F699" t="s">
        <v>27</v>
      </c>
      <c r="G699" t="str">
        <f>"2026-01-17 09:50:15.501"</f>
        <v>2026-01-17 09:50:15.501</v>
      </c>
      <c r="H699" t="s">
        <v>21</v>
      </c>
      <c r="I699">
        <v>5.81</v>
      </c>
      <c r="J699" t="s">
        <v>42</v>
      </c>
    </row>
    <row r="700" spans="1:10" s="3" customFormat="1" x14ac:dyDescent="0.25">
      <c r="A700" s="2">
        <v>39</v>
      </c>
      <c r="B700" s="3" t="s">
        <v>25</v>
      </c>
      <c r="C700" s="3">
        <v>647</v>
      </c>
      <c r="D700" s="3">
        <v>1</v>
      </c>
      <c r="E700" s="3" t="s">
        <v>55</v>
      </c>
      <c r="F700" s="3" t="s">
        <v>56</v>
      </c>
      <c r="G700" s="3" t="str">
        <f>"2026-01-17 06:57:52.802"</f>
        <v>2026-01-17 06:57:52.802</v>
      </c>
      <c r="H700" s="3" t="s">
        <v>21</v>
      </c>
    </row>
    <row r="701" spans="1:10" s="3" customFormat="1" x14ac:dyDescent="0.25">
      <c r="A701" s="2">
        <v>40</v>
      </c>
      <c r="B701" s="3" t="s">
        <v>29</v>
      </c>
      <c r="C701" s="3">
        <v>647</v>
      </c>
      <c r="D701" s="3">
        <v>1</v>
      </c>
      <c r="E701" s="3" t="s">
        <v>55</v>
      </c>
      <c r="F701" s="3" t="s">
        <v>56</v>
      </c>
      <c r="G701" s="3" t="str">
        <f>"2026-01-17 06:57:39.902"</f>
        <v>2026-01-17 06:57:39.902</v>
      </c>
      <c r="H701" s="3" t="s">
        <v>21</v>
      </c>
      <c r="I701" s="3">
        <v>12.49</v>
      </c>
      <c r="J701" s="3" t="s">
        <v>54</v>
      </c>
    </row>
    <row r="702" spans="1:10" s="3" customFormat="1" x14ac:dyDescent="0.25">
      <c r="A702" s="2">
        <v>41</v>
      </c>
      <c r="B702" s="3" t="s">
        <v>25</v>
      </c>
      <c r="C702" s="3">
        <v>647</v>
      </c>
      <c r="D702" s="3">
        <v>1</v>
      </c>
      <c r="E702" s="3" t="s">
        <v>55</v>
      </c>
      <c r="F702" s="3" t="s">
        <v>56</v>
      </c>
      <c r="G702" s="3" t="str">
        <f>"2026-01-17 02:39:27.302"</f>
        <v>2026-01-17 02:39:27.302</v>
      </c>
      <c r="H702" s="3" t="s">
        <v>21</v>
      </c>
    </row>
    <row r="703" spans="1:10" s="3" customFormat="1" x14ac:dyDescent="0.25">
      <c r="A703" s="2">
        <v>42</v>
      </c>
      <c r="B703" s="3" t="s">
        <v>29</v>
      </c>
      <c r="C703" s="3">
        <v>647</v>
      </c>
      <c r="D703" s="3">
        <v>1</v>
      </c>
      <c r="E703" s="3" t="s">
        <v>55</v>
      </c>
      <c r="F703" s="3" t="s">
        <v>56</v>
      </c>
      <c r="G703" s="3" t="str">
        <f>"2026-01-17 02:39:22.402"</f>
        <v>2026-01-17 02:39:22.402</v>
      </c>
      <c r="H703" s="3" t="s">
        <v>21</v>
      </c>
      <c r="I703" s="3">
        <v>8.3800000000000008</v>
      </c>
      <c r="J703" s="3" t="s">
        <v>37</v>
      </c>
    </row>
    <row r="704" spans="1:10" x14ac:dyDescent="0.25">
      <c r="A704" s="1">
        <v>43</v>
      </c>
      <c r="B704" t="s">
        <v>25</v>
      </c>
      <c r="C704">
        <v>635</v>
      </c>
      <c r="D704">
        <v>1</v>
      </c>
      <c r="E704" t="s">
        <v>45</v>
      </c>
      <c r="F704" t="s">
        <v>27</v>
      </c>
      <c r="G704" t="str">
        <f>"2026-01-16 22:13:39.901"</f>
        <v>2026-01-16 22:13:39.901</v>
      </c>
      <c r="H704" t="s">
        <v>21</v>
      </c>
    </row>
    <row r="705" spans="1:10" x14ac:dyDescent="0.25">
      <c r="A705" s="1">
        <v>44</v>
      </c>
      <c r="B705" t="s">
        <v>29</v>
      </c>
      <c r="C705">
        <v>635</v>
      </c>
      <c r="D705">
        <v>1</v>
      </c>
      <c r="E705" t="s">
        <v>45</v>
      </c>
      <c r="F705" t="s">
        <v>27</v>
      </c>
      <c r="G705" t="str">
        <f>"2026-01-16 22:11:05.901"</f>
        <v>2026-01-16 22:11:05.901</v>
      </c>
      <c r="H705" t="s">
        <v>21</v>
      </c>
      <c r="I705">
        <v>4.17</v>
      </c>
      <c r="J705" t="s">
        <v>42</v>
      </c>
    </row>
    <row r="706" spans="1:10" x14ac:dyDescent="0.25">
      <c r="A706" s="1">
        <v>45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"2026-01-16 02:29:43.166"</f>
        <v>2026-01-16 02:29:43.166</v>
      </c>
      <c r="H706" t="s">
        <v>21</v>
      </c>
    </row>
    <row r="707" spans="1:10" x14ac:dyDescent="0.25">
      <c r="A707" s="1">
        <v>46</v>
      </c>
      <c r="B707" t="s">
        <v>19</v>
      </c>
      <c r="C707">
        <v>706</v>
      </c>
      <c r="D707">
        <v>4</v>
      </c>
      <c r="E707" t="s">
        <v>22</v>
      </c>
      <c r="F707" t="s">
        <v>31</v>
      </c>
      <c r="G707" t="str">
        <f>"2026-01-16 02:25:39.378"</f>
        <v>2026-01-16 02:25:39.378</v>
      </c>
      <c r="H707" t="s">
        <v>21</v>
      </c>
      <c r="I707">
        <v>0</v>
      </c>
      <c r="J707" t="s">
        <v>24</v>
      </c>
    </row>
    <row r="708" spans="1:10" x14ac:dyDescent="0.25">
      <c r="A708" s="1">
        <v>47</v>
      </c>
      <c r="B708" t="s">
        <v>19</v>
      </c>
      <c r="C708">
        <v>706</v>
      </c>
      <c r="D708">
        <v>2</v>
      </c>
      <c r="E708" t="s">
        <v>22</v>
      </c>
      <c r="F708" t="s">
        <v>53</v>
      </c>
      <c r="G708" t="str">
        <f>"2026-01-16 02:16:32.828"</f>
        <v>2026-01-16 02:16:32.828</v>
      </c>
      <c r="H708" t="s">
        <v>21</v>
      </c>
      <c r="I708">
        <v>0</v>
      </c>
      <c r="J708" t="s">
        <v>24</v>
      </c>
    </row>
    <row r="709" spans="1:10" x14ac:dyDescent="0.25">
      <c r="A709" s="1">
        <v>48</v>
      </c>
      <c r="B709" t="s">
        <v>19</v>
      </c>
      <c r="C709">
        <v>706</v>
      </c>
      <c r="D709">
        <v>4</v>
      </c>
      <c r="E709" t="s">
        <v>22</v>
      </c>
      <c r="F709" t="s">
        <v>31</v>
      </c>
      <c r="G709" t="str">
        <f>"2026-01-16 02:03:52.818"</f>
        <v>2026-01-16 02:03:52.818</v>
      </c>
      <c r="H709" t="s">
        <v>21</v>
      </c>
      <c r="I709">
        <v>0</v>
      </c>
      <c r="J709" t="s">
        <v>24</v>
      </c>
    </row>
    <row r="710" spans="1:10" x14ac:dyDescent="0.25">
      <c r="A710" s="1">
        <v>49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"2026-01-15 21:57:04.138"</f>
        <v>2026-01-15 21:57:04.138</v>
      </c>
      <c r="H710" t="s">
        <v>21</v>
      </c>
    </row>
    <row r="711" spans="1:10" x14ac:dyDescent="0.25">
      <c r="A711" s="1">
        <v>50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"2026-01-15 21:01:00.404"</f>
        <v>2026-01-15 21:01:00.404</v>
      </c>
      <c r="H711" t="s">
        <v>21</v>
      </c>
      <c r="I711">
        <v>0</v>
      </c>
      <c r="J711" t="s">
        <v>32</v>
      </c>
    </row>
    <row r="712" spans="1:10" x14ac:dyDescent="0.25">
      <c r="A712" s="1">
        <v>51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"2026-01-15 13:15:25.167"</f>
        <v>2026-01-15 13:15:25.167</v>
      </c>
      <c r="H712" t="s">
        <v>21</v>
      </c>
    </row>
    <row r="713" spans="1:10" s="3" customFormat="1" x14ac:dyDescent="0.25">
      <c r="A713" s="2">
        <v>52</v>
      </c>
      <c r="B713" s="3" t="s">
        <v>25</v>
      </c>
      <c r="C713" s="3">
        <v>647</v>
      </c>
      <c r="D713" s="3">
        <v>1</v>
      </c>
      <c r="E713" s="3" t="s">
        <v>55</v>
      </c>
      <c r="F713" s="3" t="s">
        <v>56</v>
      </c>
      <c r="G713" s="3" t="str">
        <f>"2026-01-15 10:24:59.181"</f>
        <v>2026-01-15 10:24:59.181</v>
      </c>
      <c r="H713" s="3" t="s">
        <v>21</v>
      </c>
    </row>
    <row r="714" spans="1:10" s="3" customFormat="1" x14ac:dyDescent="0.25">
      <c r="A714" s="2">
        <v>53</v>
      </c>
      <c r="B714" s="3" t="s">
        <v>29</v>
      </c>
      <c r="C714" s="3">
        <v>647</v>
      </c>
      <c r="D714" s="3">
        <v>1</v>
      </c>
      <c r="E714" s="3" t="s">
        <v>55</v>
      </c>
      <c r="F714" s="3" t="s">
        <v>56</v>
      </c>
      <c r="G714" s="3" t="str">
        <f>"2026-01-15 10:24:57.082"</f>
        <v>2026-01-15 10:24:57.082</v>
      </c>
      <c r="H714" s="3" t="s">
        <v>21</v>
      </c>
      <c r="I714" s="3">
        <v>12.01</v>
      </c>
      <c r="J714" s="3" t="s">
        <v>54</v>
      </c>
    </row>
    <row r="715" spans="1:10" x14ac:dyDescent="0.25">
      <c r="A715" s="1">
        <v>54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"2026-01-15 01:27:24.152"</f>
        <v>2026-01-15 01:27:24.152</v>
      </c>
      <c r="H715" t="s">
        <v>21</v>
      </c>
      <c r="I715">
        <v>0</v>
      </c>
      <c r="J715" t="s">
        <v>32</v>
      </c>
    </row>
    <row r="716" spans="1:10" x14ac:dyDescent="0.25">
      <c r="A716" s="1">
        <v>55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"2026-01-13 15:53:22.320"</f>
        <v>2026-01-13 15:53:22.320</v>
      </c>
      <c r="H716" t="s">
        <v>21</v>
      </c>
    </row>
    <row r="717" spans="1:10" s="3" customFormat="1" x14ac:dyDescent="0.25">
      <c r="A717" s="2">
        <v>56</v>
      </c>
      <c r="B717" s="3" t="s">
        <v>25</v>
      </c>
      <c r="C717" s="3">
        <v>647</v>
      </c>
      <c r="D717" s="3">
        <v>1</v>
      </c>
      <c r="E717" s="3" t="s">
        <v>55</v>
      </c>
      <c r="F717" s="3" t="s">
        <v>56</v>
      </c>
      <c r="G717" s="3" t="str">
        <f>"2026-01-13 11:32:05.697"</f>
        <v>2026-01-13 11:32:05.697</v>
      </c>
      <c r="H717" s="3" t="s">
        <v>21</v>
      </c>
    </row>
    <row r="718" spans="1:10" s="3" customFormat="1" x14ac:dyDescent="0.25">
      <c r="A718" s="2">
        <v>57</v>
      </c>
      <c r="B718" s="3" t="s">
        <v>29</v>
      </c>
      <c r="C718" s="3">
        <v>647</v>
      </c>
      <c r="D718" s="3">
        <v>1</v>
      </c>
      <c r="E718" s="3" t="s">
        <v>55</v>
      </c>
      <c r="F718" s="3" t="s">
        <v>56</v>
      </c>
      <c r="G718" s="3" t="str">
        <f>"2026-01-13 11:32:01.797"</f>
        <v>2026-01-13 11:32:01.797</v>
      </c>
      <c r="H718" s="3" t="s">
        <v>21</v>
      </c>
      <c r="I718" s="3">
        <v>9.5500000000000007</v>
      </c>
      <c r="J718" s="3" t="s">
        <v>54</v>
      </c>
    </row>
    <row r="719" spans="1:10" x14ac:dyDescent="0.25">
      <c r="A719" s="1">
        <v>58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"2026-01-12 13:43:07.165"</f>
        <v>2026-01-12 13:43:07.165</v>
      </c>
      <c r="H719" t="s">
        <v>21</v>
      </c>
      <c r="I719">
        <v>0</v>
      </c>
      <c r="J719" t="s">
        <v>32</v>
      </c>
    </row>
    <row r="720" spans="1:10" x14ac:dyDescent="0.25">
      <c r="A720" s="1">
        <v>59</v>
      </c>
      <c r="B720" t="s">
        <v>25</v>
      </c>
      <c r="C720">
        <v>635</v>
      </c>
      <c r="D720">
        <v>1</v>
      </c>
      <c r="E720" t="s">
        <v>45</v>
      </c>
      <c r="F720" t="s">
        <v>27</v>
      </c>
      <c r="G720" t="str">
        <f>"2026-01-11 23:36:41.972"</f>
        <v>2026-01-11 23:36:41.972</v>
      </c>
      <c r="H720" t="s">
        <v>21</v>
      </c>
    </row>
    <row r="721" spans="1:10" x14ac:dyDescent="0.25">
      <c r="A721" s="1">
        <v>60</v>
      </c>
      <c r="B721" t="s">
        <v>29</v>
      </c>
      <c r="C721">
        <v>635</v>
      </c>
      <c r="D721">
        <v>1</v>
      </c>
      <c r="E721" t="s">
        <v>45</v>
      </c>
      <c r="F721" t="s">
        <v>27</v>
      </c>
      <c r="G721" t="str">
        <f>"2026-01-11 23:32:51.972"</f>
        <v>2026-01-11 23:32:51.972</v>
      </c>
      <c r="H721" t="s">
        <v>21</v>
      </c>
      <c r="I721">
        <v>6.39</v>
      </c>
      <c r="J721" t="s">
        <v>42</v>
      </c>
    </row>
    <row r="722" spans="1:10" x14ac:dyDescent="0.25">
      <c r="A722" s="1">
        <v>61</v>
      </c>
      <c r="B722" t="s">
        <v>41</v>
      </c>
      <c r="C722">
        <v>33</v>
      </c>
      <c r="D722">
        <v>1</v>
      </c>
      <c r="E722" t="s">
        <v>61</v>
      </c>
      <c r="F722" t="s">
        <v>62</v>
      </c>
      <c r="G722" t="str">
        <f>"2026-01-11 16:25:46.772"</f>
        <v>2026-01-11 16:25:46.772</v>
      </c>
      <c r="H722" t="s">
        <v>63</v>
      </c>
    </row>
    <row r="723" spans="1:10" x14ac:dyDescent="0.25">
      <c r="A723" s="1">
        <v>62</v>
      </c>
      <c r="B723" t="s">
        <v>33</v>
      </c>
      <c r="C723">
        <v>33</v>
      </c>
      <c r="D723">
        <v>1</v>
      </c>
      <c r="E723" t="s">
        <v>61</v>
      </c>
      <c r="F723" t="s">
        <v>62</v>
      </c>
      <c r="G723" t="str">
        <f>"2026-01-11 16:25:32.431"</f>
        <v>2026-01-11 16:25:32.431</v>
      </c>
      <c r="H723" t="s">
        <v>63</v>
      </c>
      <c r="I723">
        <v>9.44</v>
      </c>
      <c r="J723" t="s">
        <v>42</v>
      </c>
    </row>
    <row r="724" spans="1:10" x14ac:dyDescent="0.25">
      <c r="A724" s="1">
        <v>63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"2026-01-11 12:29:54.138"</f>
        <v>2026-01-11 12:29:54.138</v>
      </c>
      <c r="H724" t="s">
        <v>21</v>
      </c>
    </row>
    <row r="725" spans="1:10" x14ac:dyDescent="0.25">
      <c r="A725" s="1">
        <v>64</v>
      </c>
      <c r="B725" t="s">
        <v>25</v>
      </c>
      <c r="C725">
        <v>635</v>
      </c>
      <c r="D725">
        <v>1</v>
      </c>
      <c r="E725" t="s">
        <v>45</v>
      </c>
      <c r="F725" t="s">
        <v>27</v>
      </c>
      <c r="G725" t="str">
        <f>"2026-01-11 11:22:35.474"</f>
        <v>2026-01-11 11:22:35.474</v>
      </c>
      <c r="H725" t="s">
        <v>21</v>
      </c>
    </row>
    <row r="726" spans="1:10" x14ac:dyDescent="0.25">
      <c r="A726" s="1">
        <v>65</v>
      </c>
      <c r="B726" t="s">
        <v>29</v>
      </c>
      <c r="C726">
        <v>635</v>
      </c>
      <c r="D726">
        <v>1</v>
      </c>
      <c r="E726" t="s">
        <v>45</v>
      </c>
      <c r="F726" t="s">
        <v>27</v>
      </c>
      <c r="G726" t="str">
        <f>"2026-01-11 11:19:20.074"</f>
        <v>2026-01-11 11:19:20.074</v>
      </c>
      <c r="H726" t="s">
        <v>21</v>
      </c>
      <c r="I726">
        <v>6.09</v>
      </c>
      <c r="J726" t="s">
        <v>42</v>
      </c>
    </row>
    <row r="727" spans="1:10" x14ac:dyDescent="0.25">
      <c r="A727" s="1">
        <v>66</v>
      </c>
      <c r="B727" t="s">
        <v>25</v>
      </c>
      <c r="C727">
        <v>635</v>
      </c>
      <c r="D727">
        <v>1</v>
      </c>
      <c r="E727" t="s">
        <v>45</v>
      </c>
      <c r="F727" t="s">
        <v>27</v>
      </c>
      <c r="G727" t="str">
        <f>"2026-01-11 02:11:41.274"</f>
        <v>2026-01-11 02:11:41.274</v>
      </c>
      <c r="H727" t="s">
        <v>21</v>
      </c>
    </row>
    <row r="728" spans="1:10" x14ac:dyDescent="0.25">
      <c r="A728" s="1">
        <v>67</v>
      </c>
      <c r="B728" t="s">
        <v>29</v>
      </c>
      <c r="C728">
        <v>635</v>
      </c>
      <c r="D728">
        <v>1</v>
      </c>
      <c r="E728" t="s">
        <v>45</v>
      </c>
      <c r="F728" t="s">
        <v>27</v>
      </c>
      <c r="G728" t="str">
        <f>"2026-01-11 02:08:15.774"</f>
        <v>2026-01-11 02:08:15.774</v>
      </c>
      <c r="H728" t="s">
        <v>21</v>
      </c>
      <c r="I728">
        <v>7.8</v>
      </c>
      <c r="J728" t="s">
        <v>42</v>
      </c>
    </row>
    <row r="729" spans="1:10" x14ac:dyDescent="0.25">
      <c r="A729" s="1">
        <v>68</v>
      </c>
      <c r="B729" t="s">
        <v>25</v>
      </c>
      <c r="C729">
        <v>635</v>
      </c>
      <c r="D729">
        <v>1</v>
      </c>
      <c r="E729" t="s">
        <v>45</v>
      </c>
      <c r="F729" t="s">
        <v>27</v>
      </c>
      <c r="G729" t="str">
        <f>"2026-01-10 20:38:49.274"</f>
        <v>2026-01-10 20:38:49.274</v>
      </c>
      <c r="H729" t="s">
        <v>21</v>
      </c>
    </row>
    <row r="730" spans="1:10" x14ac:dyDescent="0.25">
      <c r="A730" s="1">
        <v>69</v>
      </c>
      <c r="B730" t="s">
        <v>29</v>
      </c>
      <c r="C730">
        <v>635</v>
      </c>
      <c r="D730">
        <v>1</v>
      </c>
      <c r="E730" t="s">
        <v>45</v>
      </c>
      <c r="F730" t="s">
        <v>27</v>
      </c>
      <c r="G730" t="str">
        <f>"2026-01-10 20:34:12.774"</f>
        <v>2026-01-10 20:34:12.774</v>
      </c>
      <c r="H730" t="s">
        <v>21</v>
      </c>
      <c r="I730">
        <v>5.45</v>
      </c>
      <c r="J730" t="s">
        <v>42</v>
      </c>
    </row>
    <row r="731" spans="1:10" x14ac:dyDescent="0.25">
      <c r="A731" s="1">
        <v>70</v>
      </c>
      <c r="B731" t="s">
        <v>25</v>
      </c>
      <c r="C731">
        <v>635</v>
      </c>
      <c r="D731">
        <v>1</v>
      </c>
      <c r="E731" t="s">
        <v>45</v>
      </c>
      <c r="F731" t="s">
        <v>27</v>
      </c>
      <c r="G731" t="str">
        <f>"2026-01-10 14:58:26.674"</f>
        <v>2026-01-10 14:58:26.674</v>
      </c>
      <c r="H731" t="s">
        <v>21</v>
      </c>
    </row>
    <row r="732" spans="1:10" x14ac:dyDescent="0.25">
      <c r="A732" s="1">
        <v>71</v>
      </c>
      <c r="B732" t="s">
        <v>29</v>
      </c>
      <c r="C732">
        <v>635</v>
      </c>
      <c r="D732">
        <v>1</v>
      </c>
      <c r="E732" t="s">
        <v>45</v>
      </c>
      <c r="F732" t="s">
        <v>27</v>
      </c>
      <c r="G732" t="str">
        <f>"2026-01-10 14:42:12.274"</f>
        <v>2026-01-10 14:42:12.274</v>
      </c>
      <c r="H732" t="s">
        <v>21</v>
      </c>
      <c r="I732">
        <v>9.39</v>
      </c>
      <c r="J732" t="s">
        <v>54</v>
      </c>
    </row>
    <row r="733" spans="1:10" s="3" customFormat="1" x14ac:dyDescent="0.25">
      <c r="A733" s="2">
        <v>72</v>
      </c>
      <c r="B733" s="3" t="s">
        <v>25</v>
      </c>
      <c r="C733" s="3">
        <v>647</v>
      </c>
      <c r="D733" s="3">
        <v>1</v>
      </c>
      <c r="E733" s="3" t="s">
        <v>55</v>
      </c>
      <c r="F733" s="3" t="s">
        <v>56</v>
      </c>
      <c r="G733" s="3" t="str">
        <f>"2026-01-09 10:42:48.374"</f>
        <v>2026-01-09 10:42:48.374</v>
      </c>
      <c r="H733" s="3" t="s">
        <v>21</v>
      </c>
    </row>
    <row r="734" spans="1:10" s="3" customFormat="1" x14ac:dyDescent="0.25">
      <c r="A734" s="2">
        <v>73</v>
      </c>
      <c r="B734" s="3" t="s">
        <v>29</v>
      </c>
      <c r="C734" s="3">
        <v>647</v>
      </c>
      <c r="D734" s="3">
        <v>1</v>
      </c>
      <c r="E734" s="3" t="s">
        <v>55</v>
      </c>
      <c r="F734" s="3" t="s">
        <v>56</v>
      </c>
      <c r="G734" s="3" t="str">
        <f>"2026-01-09 10:42:46.874"</f>
        <v>2026-01-09 10:42:46.874</v>
      </c>
      <c r="H734" s="3" t="s">
        <v>21</v>
      </c>
      <c r="I734" s="3">
        <v>15.77</v>
      </c>
      <c r="J734" s="3" t="s">
        <v>54</v>
      </c>
    </row>
    <row r="735" spans="1:10" x14ac:dyDescent="0.25">
      <c r="A735" s="1">
        <v>74</v>
      </c>
      <c r="B735" t="s">
        <v>25</v>
      </c>
      <c r="C735">
        <v>635</v>
      </c>
      <c r="D735">
        <v>1</v>
      </c>
      <c r="E735" t="s">
        <v>45</v>
      </c>
      <c r="F735" t="s">
        <v>27</v>
      </c>
      <c r="G735" t="str">
        <f>"2026-01-09 08:38:55.074"</f>
        <v>2026-01-09 08:38:55.074</v>
      </c>
      <c r="H735" t="s">
        <v>21</v>
      </c>
    </row>
    <row r="736" spans="1:10" x14ac:dyDescent="0.25">
      <c r="A736" s="1">
        <v>75</v>
      </c>
      <c r="B736" t="s">
        <v>29</v>
      </c>
      <c r="C736">
        <v>635</v>
      </c>
      <c r="D736">
        <v>1</v>
      </c>
      <c r="E736" t="s">
        <v>45</v>
      </c>
      <c r="F736" t="s">
        <v>27</v>
      </c>
      <c r="G736" t="str">
        <f>"2026-01-09 08:33:10.074"</f>
        <v>2026-01-09 08:33:10.074</v>
      </c>
      <c r="H736" t="s">
        <v>21</v>
      </c>
      <c r="I736">
        <v>0.13</v>
      </c>
      <c r="J736" t="s">
        <v>37</v>
      </c>
    </row>
    <row r="737" spans="1:10" x14ac:dyDescent="0.25">
      <c r="A737" s="1">
        <v>76</v>
      </c>
      <c r="B737" t="s">
        <v>25</v>
      </c>
      <c r="C737">
        <v>635</v>
      </c>
      <c r="D737">
        <v>1</v>
      </c>
      <c r="E737" t="s">
        <v>45</v>
      </c>
      <c r="F737" t="s">
        <v>27</v>
      </c>
      <c r="G737" t="str">
        <f>"2026-01-09 03:48:45.474"</f>
        <v>2026-01-09 03:48:45.474</v>
      </c>
      <c r="H737" t="s">
        <v>21</v>
      </c>
    </row>
    <row r="738" spans="1:10" x14ac:dyDescent="0.25">
      <c r="A738" s="1">
        <v>77</v>
      </c>
      <c r="B738" t="s">
        <v>29</v>
      </c>
      <c r="C738">
        <v>635</v>
      </c>
      <c r="D738">
        <v>1</v>
      </c>
      <c r="E738" t="s">
        <v>45</v>
      </c>
      <c r="F738" t="s">
        <v>27</v>
      </c>
      <c r="G738" t="str">
        <f>"2026-01-09 03:31:52.474"</f>
        <v>2026-01-09 03:31:52.474</v>
      </c>
      <c r="H738" t="s">
        <v>21</v>
      </c>
      <c r="I738">
        <v>6.16</v>
      </c>
      <c r="J738" t="s">
        <v>42</v>
      </c>
    </row>
    <row r="739" spans="1:10" x14ac:dyDescent="0.25">
      <c r="A739" s="1">
        <v>78</v>
      </c>
      <c r="B739" t="s">
        <v>25</v>
      </c>
      <c r="C739">
        <v>98</v>
      </c>
      <c r="D739">
        <v>1</v>
      </c>
      <c r="E739" t="s">
        <v>64</v>
      </c>
      <c r="F739" t="s">
        <v>65</v>
      </c>
      <c r="G739" t="str">
        <f>"2026-01-08 07:53:41.386"</f>
        <v>2026-01-08 07:53:41.386</v>
      </c>
      <c r="H739" t="s">
        <v>21</v>
      </c>
    </row>
    <row r="740" spans="1:10" x14ac:dyDescent="0.25">
      <c r="A740" s="1">
        <v>79</v>
      </c>
      <c r="B740" t="s">
        <v>29</v>
      </c>
      <c r="C740">
        <v>98</v>
      </c>
      <c r="D740">
        <v>1</v>
      </c>
      <c r="E740" t="s">
        <v>64</v>
      </c>
      <c r="F740" t="s">
        <v>65</v>
      </c>
      <c r="G740" t="str">
        <f>"2026-01-08 07:53:40.386"</f>
        <v>2026-01-08 07:53:40.386</v>
      </c>
      <c r="H740" t="s">
        <v>21</v>
      </c>
      <c r="I740">
        <v>0</v>
      </c>
      <c r="J740" t="s">
        <v>37</v>
      </c>
    </row>
    <row r="741" spans="1:10" x14ac:dyDescent="0.25">
      <c r="A741" s="1">
        <v>80</v>
      </c>
      <c r="B741" t="s">
        <v>25</v>
      </c>
      <c r="C741">
        <v>98</v>
      </c>
      <c r="D741">
        <v>1</v>
      </c>
      <c r="E741" t="s">
        <v>64</v>
      </c>
      <c r="F741" t="s">
        <v>65</v>
      </c>
      <c r="G741" t="str">
        <f>"2026-01-08 07:53:39.286"</f>
        <v>2026-01-08 07:53:39.286</v>
      </c>
      <c r="H741" t="s">
        <v>21</v>
      </c>
    </row>
    <row r="742" spans="1:10" x14ac:dyDescent="0.25">
      <c r="A742" s="1">
        <v>81</v>
      </c>
      <c r="B742" t="s">
        <v>29</v>
      </c>
      <c r="C742">
        <v>98</v>
      </c>
      <c r="D742">
        <v>1</v>
      </c>
      <c r="E742" t="s">
        <v>64</v>
      </c>
      <c r="F742" t="s">
        <v>65</v>
      </c>
      <c r="G742" t="str">
        <f>"2026-01-08 07:53:38.187"</f>
        <v>2026-01-08 07:53:38.187</v>
      </c>
      <c r="H742" t="s">
        <v>21</v>
      </c>
      <c r="I742">
        <v>0</v>
      </c>
      <c r="J742" t="s">
        <v>37</v>
      </c>
    </row>
    <row r="743" spans="1:10" x14ac:dyDescent="0.25">
      <c r="A743" s="1">
        <v>82</v>
      </c>
      <c r="B743" t="s">
        <v>25</v>
      </c>
      <c r="C743">
        <v>635</v>
      </c>
      <c r="D743">
        <v>1</v>
      </c>
      <c r="E743" t="s">
        <v>45</v>
      </c>
      <c r="F743" t="s">
        <v>27</v>
      </c>
      <c r="G743" t="str">
        <f>"2026-01-08 02:30:44.974"</f>
        <v>2026-01-08 02:30:44.974</v>
      </c>
      <c r="H743" t="s">
        <v>21</v>
      </c>
    </row>
    <row r="744" spans="1:10" x14ac:dyDescent="0.25">
      <c r="A744" s="1">
        <v>83</v>
      </c>
      <c r="B744" t="s">
        <v>29</v>
      </c>
      <c r="C744">
        <v>635</v>
      </c>
      <c r="D744">
        <v>1</v>
      </c>
      <c r="E744" t="s">
        <v>45</v>
      </c>
      <c r="F744" t="s">
        <v>27</v>
      </c>
      <c r="G744" t="str">
        <f>"2026-01-08 02:27:14.974"</f>
        <v>2026-01-08 02:27:14.974</v>
      </c>
      <c r="H744" t="s">
        <v>21</v>
      </c>
      <c r="I744">
        <v>7.87</v>
      </c>
      <c r="J744" t="s">
        <v>42</v>
      </c>
    </row>
    <row r="745" spans="1:10" x14ac:dyDescent="0.25">
      <c r="A745" s="1">
        <v>84</v>
      </c>
      <c r="B745" t="s">
        <v>25</v>
      </c>
      <c r="C745">
        <v>635</v>
      </c>
      <c r="D745">
        <v>1</v>
      </c>
      <c r="E745" t="s">
        <v>45</v>
      </c>
      <c r="F745" t="s">
        <v>27</v>
      </c>
      <c r="G745" t="str">
        <f>"2026-01-08 02:05:31.574"</f>
        <v>2026-01-08 02:05:31.574</v>
      </c>
      <c r="H745" t="s">
        <v>21</v>
      </c>
    </row>
    <row r="746" spans="1:10" x14ac:dyDescent="0.25">
      <c r="A746" s="1">
        <v>85</v>
      </c>
      <c r="B746" t="s">
        <v>29</v>
      </c>
      <c r="C746">
        <v>635</v>
      </c>
      <c r="D746">
        <v>1</v>
      </c>
      <c r="E746" t="s">
        <v>45</v>
      </c>
      <c r="F746" t="s">
        <v>27</v>
      </c>
      <c r="G746" t="str">
        <f>"2026-01-08 02:01:59.574"</f>
        <v>2026-01-08 02:01:59.574</v>
      </c>
      <c r="H746" t="s">
        <v>21</v>
      </c>
      <c r="I746">
        <v>7.52</v>
      </c>
      <c r="J746" t="s">
        <v>42</v>
      </c>
    </row>
    <row r="747" spans="1:10" s="3" customFormat="1" x14ac:dyDescent="0.25">
      <c r="A747" s="2">
        <v>86</v>
      </c>
      <c r="B747" s="3" t="s">
        <v>25</v>
      </c>
      <c r="C747" s="3">
        <v>647</v>
      </c>
      <c r="D747" s="3">
        <v>1</v>
      </c>
      <c r="E747" s="3" t="s">
        <v>55</v>
      </c>
      <c r="F747" s="3" t="s">
        <v>56</v>
      </c>
      <c r="G747" s="3" t="str">
        <f>"2026-01-06 21:13:39.474"</f>
        <v>2026-01-06 21:13:39.474</v>
      </c>
      <c r="H747" s="3" t="s">
        <v>21</v>
      </c>
    </row>
    <row r="748" spans="1:10" s="3" customFormat="1" x14ac:dyDescent="0.25">
      <c r="A748" s="2">
        <v>87</v>
      </c>
      <c r="B748" s="3" t="s">
        <v>29</v>
      </c>
      <c r="C748" s="3">
        <v>647</v>
      </c>
      <c r="D748" s="3">
        <v>1</v>
      </c>
      <c r="E748" s="3" t="s">
        <v>55</v>
      </c>
      <c r="F748" s="3" t="s">
        <v>56</v>
      </c>
      <c r="G748" s="3" t="str">
        <f>"2026-01-06 21:13:30.175"</f>
        <v>2026-01-06 21:13:30.175</v>
      </c>
      <c r="H748" s="3" t="s">
        <v>21</v>
      </c>
      <c r="I748" s="3">
        <v>11.86</v>
      </c>
      <c r="J748" s="3" t="s">
        <v>54</v>
      </c>
    </row>
    <row r="749" spans="1:10" x14ac:dyDescent="0.25">
      <c r="A749" s="1">
        <v>88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"2026-01-06 13:22:29.145"</f>
        <v>2026-01-06 13:22:29.145</v>
      </c>
      <c r="H749" t="s">
        <v>21</v>
      </c>
      <c r="I749">
        <v>0</v>
      </c>
      <c r="J749" t="s">
        <v>32</v>
      </c>
    </row>
    <row r="750" spans="1:10" x14ac:dyDescent="0.25">
      <c r="A750" s="1">
        <v>89</v>
      </c>
      <c r="B750" t="s">
        <v>25</v>
      </c>
      <c r="C750">
        <v>635</v>
      </c>
      <c r="D750">
        <v>1</v>
      </c>
      <c r="E750" t="s">
        <v>45</v>
      </c>
      <c r="F750" t="s">
        <v>27</v>
      </c>
      <c r="G750" t="str">
        <f>"2026-01-05 20:25:04.676"</f>
        <v>2026-01-05 20:25:04.676</v>
      </c>
      <c r="H750" t="s">
        <v>21</v>
      </c>
    </row>
    <row r="751" spans="1:10" x14ac:dyDescent="0.25">
      <c r="A751" s="1">
        <v>90</v>
      </c>
      <c r="B751" t="s">
        <v>29</v>
      </c>
      <c r="C751">
        <v>635</v>
      </c>
      <c r="D751">
        <v>1</v>
      </c>
      <c r="E751" t="s">
        <v>45</v>
      </c>
      <c r="F751" t="s">
        <v>27</v>
      </c>
      <c r="G751" t="str">
        <f>"2026-01-05 20:21:04.676"</f>
        <v>2026-01-05 20:21:04.676</v>
      </c>
      <c r="H751" t="s">
        <v>21</v>
      </c>
      <c r="I751">
        <v>0.93</v>
      </c>
      <c r="J751" t="s">
        <v>54</v>
      </c>
    </row>
    <row r="752" spans="1:10" x14ac:dyDescent="0.25">
      <c r="A752" s="1">
        <v>91</v>
      </c>
      <c r="B752" t="s">
        <v>25</v>
      </c>
      <c r="C752">
        <v>635</v>
      </c>
      <c r="D752">
        <v>1</v>
      </c>
      <c r="E752" t="s">
        <v>45</v>
      </c>
      <c r="F752" t="s">
        <v>27</v>
      </c>
      <c r="G752" t="str">
        <f>"2026-01-05 18:07:33.876"</f>
        <v>2026-01-05 18:07:33.876</v>
      </c>
      <c r="H752" t="s">
        <v>21</v>
      </c>
    </row>
    <row r="753" spans="1:10" x14ac:dyDescent="0.25">
      <c r="A753" s="1">
        <v>92</v>
      </c>
      <c r="B753" t="s">
        <v>29</v>
      </c>
      <c r="C753">
        <v>635</v>
      </c>
      <c r="D753">
        <v>1</v>
      </c>
      <c r="E753" t="s">
        <v>45</v>
      </c>
      <c r="F753" t="s">
        <v>27</v>
      </c>
      <c r="G753" t="str">
        <f>"2026-01-05 18:02:04.376"</f>
        <v>2026-01-05 18:02:04.376</v>
      </c>
      <c r="H753" t="s">
        <v>21</v>
      </c>
      <c r="I753">
        <v>-0.01</v>
      </c>
      <c r="J753" t="s">
        <v>37</v>
      </c>
    </row>
    <row r="754" spans="1:10" x14ac:dyDescent="0.25">
      <c r="A754" s="1">
        <v>93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"2026-01-05 11:14:36.133"</f>
        <v>2026-01-05 11:14:36.133</v>
      </c>
      <c r="H754" t="s">
        <v>21</v>
      </c>
      <c r="I754">
        <v>0</v>
      </c>
      <c r="J754" t="s">
        <v>32</v>
      </c>
    </row>
    <row r="755" spans="1:10" x14ac:dyDescent="0.25">
      <c r="A755" s="1">
        <v>94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"2026-01-05 10:43:10.242"</f>
        <v>2026-01-05 10:43:10.242</v>
      </c>
      <c r="H755" t="s">
        <v>21</v>
      </c>
      <c r="I755">
        <v>0</v>
      </c>
      <c r="J755" t="s">
        <v>32</v>
      </c>
    </row>
    <row r="756" spans="1:10" x14ac:dyDescent="0.25">
      <c r="A756" s="1">
        <v>95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"2026-01-05 10:28:49.117"</f>
        <v>2026-01-05 10:28:49.117</v>
      </c>
      <c r="H756" t="s">
        <v>21</v>
      </c>
    </row>
    <row r="757" spans="1:10" x14ac:dyDescent="0.25">
      <c r="A757" s="1">
        <v>96</v>
      </c>
      <c r="B757" t="s">
        <v>19</v>
      </c>
      <c r="C757">
        <v>706</v>
      </c>
      <c r="D757">
        <v>4</v>
      </c>
      <c r="E757" t="s">
        <v>22</v>
      </c>
      <c r="F757" t="s">
        <v>31</v>
      </c>
      <c r="G757" t="str">
        <f>"2026-01-05 10:09:04.659"</f>
        <v>2026-01-05 10:09:04.659</v>
      </c>
      <c r="H757" t="s">
        <v>21</v>
      </c>
      <c r="I757">
        <v>0</v>
      </c>
      <c r="J757" t="s">
        <v>24</v>
      </c>
    </row>
    <row r="758" spans="1:10" x14ac:dyDescent="0.25">
      <c r="A758" s="1">
        <v>97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"2026-01-05 10:01:31.129"</f>
        <v>2026-01-05 10:01:31.129</v>
      </c>
      <c r="H758" t="s">
        <v>21</v>
      </c>
      <c r="I758">
        <v>0</v>
      </c>
      <c r="J758" t="s">
        <v>32</v>
      </c>
    </row>
    <row r="759" spans="1:10" x14ac:dyDescent="0.25">
      <c r="A759" s="1">
        <v>98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"2026-01-05 09:21:11.146"</f>
        <v>2026-01-05 09:21:11.146</v>
      </c>
      <c r="H759" t="s">
        <v>21</v>
      </c>
      <c r="I759">
        <v>0</v>
      </c>
      <c r="J759" t="s">
        <v>32</v>
      </c>
    </row>
    <row r="760" spans="1:10" x14ac:dyDescent="0.25">
      <c r="A760" s="1">
        <v>99</v>
      </c>
      <c r="B760" t="s">
        <v>25</v>
      </c>
      <c r="C760">
        <v>631</v>
      </c>
      <c r="D760">
        <v>2</v>
      </c>
      <c r="E760" t="s">
        <v>66</v>
      </c>
      <c r="F760" t="s">
        <v>67</v>
      </c>
      <c r="G760" t="str">
        <f>"2026-01-04 23:37:00.772"</f>
        <v>2026-01-04 23:37:00.772</v>
      </c>
      <c r="H760" t="s">
        <v>21</v>
      </c>
    </row>
    <row r="761" spans="1:10" x14ac:dyDescent="0.25">
      <c r="A761" s="1">
        <v>0</v>
      </c>
      <c r="B761" t="s">
        <v>29</v>
      </c>
      <c r="C761">
        <v>631</v>
      </c>
      <c r="D761">
        <v>2</v>
      </c>
      <c r="E761" t="s">
        <v>66</v>
      </c>
      <c r="F761" t="s">
        <v>67</v>
      </c>
      <c r="G761" t="str">
        <f>"2026-01-04 23:27:08.773"</f>
        <v>2026-01-04 23:27:08.773</v>
      </c>
      <c r="H761" t="s">
        <v>21</v>
      </c>
      <c r="I761">
        <v>0</v>
      </c>
      <c r="J761" t="s">
        <v>24</v>
      </c>
    </row>
    <row r="762" spans="1:10" x14ac:dyDescent="0.25">
      <c r="A762" s="1">
        <v>1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"2026-01-04 23:26:55.181"</f>
        <v>2026-01-04 23:26:55.181</v>
      </c>
      <c r="H762" t="s">
        <v>21</v>
      </c>
      <c r="I762">
        <v>0</v>
      </c>
      <c r="J762" t="s">
        <v>32</v>
      </c>
    </row>
    <row r="763" spans="1:10" x14ac:dyDescent="0.25">
      <c r="A763" s="1">
        <v>2</v>
      </c>
      <c r="B763" t="s">
        <v>19</v>
      </c>
      <c r="C763">
        <v>706</v>
      </c>
      <c r="D763">
        <v>2</v>
      </c>
      <c r="E763" t="s">
        <v>22</v>
      </c>
      <c r="F763" t="s">
        <v>53</v>
      </c>
      <c r="G763" t="str">
        <f>"2026-01-04 09:57:07.550"</f>
        <v>2026-01-04 09:57:07.550</v>
      </c>
      <c r="H763" t="s">
        <v>21</v>
      </c>
      <c r="I763">
        <v>0</v>
      </c>
      <c r="J763" t="s">
        <v>24</v>
      </c>
    </row>
    <row r="764" spans="1:10" x14ac:dyDescent="0.25">
      <c r="A764" s="1">
        <v>3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"2026-01-04 09:56:53.130"</f>
        <v>2026-01-04 09:56:53.130</v>
      </c>
      <c r="H764" t="s">
        <v>21</v>
      </c>
      <c r="I764">
        <v>0</v>
      </c>
      <c r="J764" t="s">
        <v>32</v>
      </c>
    </row>
    <row r="765" spans="1:10" x14ac:dyDescent="0.25">
      <c r="A765" s="1">
        <v>4</v>
      </c>
      <c r="B765" t="s">
        <v>25</v>
      </c>
      <c r="C765">
        <v>635</v>
      </c>
      <c r="D765">
        <v>1</v>
      </c>
      <c r="E765" t="s">
        <v>45</v>
      </c>
      <c r="F765" t="s">
        <v>27</v>
      </c>
      <c r="G765" t="str">
        <f>"2026-01-03 04:46:48.803"</f>
        <v>2026-01-03 04:46:48.803</v>
      </c>
      <c r="H765" t="s">
        <v>21</v>
      </c>
    </row>
    <row r="766" spans="1:10" x14ac:dyDescent="0.25">
      <c r="A766" s="1">
        <v>5</v>
      </c>
      <c r="B766" t="s">
        <v>29</v>
      </c>
      <c r="C766">
        <v>635</v>
      </c>
      <c r="D766">
        <v>1</v>
      </c>
      <c r="E766" t="s">
        <v>45</v>
      </c>
      <c r="F766" t="s">
        <v>27</v>
      </c>
      <c r="G766" t="str">
        <f>"2026-01-03 04:14:47.903"</f>
        <v>2026-01-03 04:14:47.903</v>
      </c>
      <c r="H766" t="s">
        <v>21</v>
      </c>
      <c r="I766">
        <v>7.65</v>
      </c>
      <c r="J766" t="s">
        <v>42</v>
      </c>
    </row>
    <row r="767" spans="1:10" s="3" customFormat="1" x14ac:dyDescent="0.25">
      <c r="A767" s="2">
        <v>6</v>
      </c>
      <c r="B767" s="3" t="s">
        <v>25</v>
      </c>
      <c r="C767" s="3">
        <v>647</v>
      </c>
      <c r="D767" s="3">
        <v>1</v>
      </c>
      <c r="E767" s="3" t="s">
        <v>55</v>
      </c>
      <c r="F767" s="3" t="s">
        <v>56</v>
      </c>
      <c r="G767" s="3" t="str">
        <f>"2026-01-03 03:18:05.203"</f>
        <v>2026-01-03 03:18:05.203</v>
      </c>
      <c r="H767" s="3" t="s">
        <v>21</v>
      </c>
    </row>
    <row r="768" spans="1:10" s="3" customFormat="1" x14ac:dyDescent="0.25">
      <c r="A768" s="2">
        <v>7</v>
      </c>
      <c r="B768" s="3" t="s">
        <v>29</v>
      </c>
      <c r="C768" s="3">
        <v>647</v>
      </c>
      <c r="D768" s="3">
        <v>1</v>
      </c>
      <c r="E768" s="3" t="s">
        <v>55</v>
      </c>
      <c r="F768" s="3" t="s">
        <v>56</v>
      </c>
      <c r="G768" s="3" t="str">
        <f>"2026-01-03 03:18:00.103"</f>
        <v>2026-01-03 03:18:00.103</v>
      </c>
      <c r="H768" s="3" t="s">
        <v>21</v>
      </c>
      <c r="I768" s="3">
        <v>8.15</v>
      </c>
      <c r="J768" s="3" t="s">
        <v>54</v>
      </c>
    </row>
    <row r="769" spans="1:10" x14ac:dyDescent="0.25">
      <c r="A769" s="1">
        <v>8</v>
      </c>
      <c r="B769" t="s">
        <v>25</v>
      </c>
      <c r="C769">
        <v>635</v>
      </c>
      <c r="D769">
        <v>1</v>
      </c>
      <c r="E769" t="s">
        <v>45</v>
      </c>
      <c r="F769" t="s">
        <v>27</v>
      </c>
      <c r="G769" t="str">
        <f>"2026-01-02 15:39:39.803"</f>
        <v>2026-01-02 15:39:39.803</v>
      </c>
      <c r="H769" t="s">
        <v>21</v>
      </c>
    </row>
    <row r="770" spans="1:10" x14ac:dyDescent="0.25">
      <c r="A770" s="1">
        <v>9</v>
      </c>
      <c r="B770" t="s">
        <v>29</v>
      </c>
      <c r="C770">
        <v>635</v>
      </c>
      <c r="D770">
        <v>1</v>
      </c>
      <c r="E770" t="s">
        <v>45</v>
      </c>
      <c r="F770" t="s">
        <v>27</v>
      </c>
      <c r="G770" t="str">
        <f>"2026-01-02 15:37:17.403"</f>
        <v>2026-01-02 15:37:17.403</v>
      </c>
      <c r="H770" t="s">
        <v>21</v>
      </c>
      <c r="I770">
        <v>0.01</v>
      </c>
      <c r="J770" t="s">
        <v>37</v>
      </c>
    </row>
    <row r="771" spans="1:10" s="3" customFormat="1" x14ac:dyDescent="0.25">
      <c r="A771" s="2">
        <v>10</v>
      </c>
      <c r="B771" s="3" t="s">
        <v>25</v>
      </c>
      <c r="C771" s="3">
        <v>647</v>
      </c>
      <c r="D771" s="3">
        <v>1</v>
      </c>
      <c r="E771" s="3" t="s">
        <v>55</v>
      </c>
      <c r="F771" s="3" t="s">
        <v>56</v>
      </c>
      <c r="G771" s="3" t="str">
        <f>"2026-01-02 11:51:47.203"</f>
        <v>2026-01-02 11:51:47.203</v>
      </c>
      <c r="H771" s="3" t="s">
        <v>21</v>
      </c>
    </row>
    <row r="772" spans="1:10" s="3" customFormat="1" x14ac:dyDescent="0.25">
      <c r="A772" s="2">
        <v>11</v>
      </c>
      <c r="B772" s="3" t="s">
        <v>29</v>
      </c>
      <c r="C772" s="3">
        <v>647</v>
      </c>
      <c r="D772" s="3">
        <v>1</v>
      </c>
      <c r="E772" s="3" t="s">
        <v>55</v>
      </c>
      <c r="F772" s="3" t="s">
        <v>56</v>
      </c>
      <c r="G772" s="3" t="str">
        <f>"2026-01-02 11:51:23.503"</f>
        <v>2026-01-02 11:51:23.503</v>
      </c>
      <c r="H772" s="3" t="s">
        <v>21</v>
      </c>
      <c r="I772" s="3">
        <v>15.67</v>
      </c>
      <c r="J772" s="3" t="s">
        <v>54</v>
      </c>
    </row>
    <row r="773" spans="1:10" x14ac:dyDescent="0.25">
      <c r="A773" s="1">
        <v>12</v>
      </c>
      <c r="B773" t="s">
        <v>25</v>
      </c>
      <c r="C773">
        <v>635</v>
      </c>
      <c r="D773">
        <v>1</v>
      </c>
      <c r="E773" t="s">
        <v>45</v>
      </c>
      <c r="F773" t="s">
        <v>27</v>
      </c>
      <c r="G773" t="str">
        <f>"2026-01-02 08:16:07.903"</f>
        <v>2026-01-02 08:16:07.903</v>
      </c>
      <c r="H773" t="s">
        <v>21</v>
      </c>
    </row>
    <row r="774" spans="1:10" x14ac:dyDescent="0.25">
      <c r="A774" s="1">
        <v>13</v>
      </c>
      <c r="B774" t="s">
        <v>29</v>
      </c>
      <c r="C774">
        <v>635</v>
      </c>
      <c r="D774">
        <v>1</v>
      </c>
      <c r="E774" t="s">
        <v>45</v>
      </c>
      <c r="F774" t="s">
        <v>27</v>
      </c>
      <c r="G774" t="str">
        <f>"2026-01-02 07:13:29.003"</f>
        <v>2026-01-02 07:13:29.003</v>
      </c>
      <c r="H774" t="s">
        <v>21</v>
      </c>
      <c r="I774">
        <v>8.68</v>
      </c>
      <c r="J774" t="s">
        <v>42</v>
      </c>
    </row>
    <row r="775" spans="1:10" x14ac:dyDescent="0.25">
      <c r="A775" s="1">
        <v>14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"2026-01-01 13:03:13.155"</f>
        <v>2026-01-01 13:03:13.155</v>
      </c>
      <c r="H775" t="s">
        <v>21</v>
      </c>
    </row>
    <row r="776" spans="1:10" x14ac:dyDescent="0.25">
      <c r="A776" s="1">
        <v>15</v>
      </c>
      <c r="B776" t="s">
        <v>25</v>
      </c>
      <c r="C776">
        <v>635</v>
      </c>
      <c r="D776">
        <v>1</v>
      </c>
      <c r="E776" t="s">
        <v>45</v>
      </c>
      <c r="F776" t="s">
        <v>27</v>
      </c>
      <c r="G776" t="str">
        <f>"2026-01-01 03:14:22.194"</f>
        <v>2026-01-01 03:14:22.194</v>
      </c>
      <c r="H776" t="s">
        <v>21</v>
      </c>
    </row>
    <row r="777" spans="1:10" x14ac:dyDescent="0.25">
      <c r="A777" s="1">
        <v>16</v>
      </c>
      <c r="B777" t="s">
        <v>29</v>
      </c>
      <c r="C777">
        <v>635</v>
      </c>
      <c r="D777">
        <v>1</v>
      </c>
      <c r="E777" t="s">
        <v>45</v>
      </c>
      <c r="F777" t="s">
        <v>27</v>
      </c>
      <c r="G777" t="str">
        <f>"2026-01-01 03:09:55.194"</f>
        <v>2026-01-01 03:09:55.194</v>
      </c>
      <c r="H777" t="s">
        <v>21</v>
      </c>
      <c r="I777">
        <v>3.48</v>
      </c>
      <c r="J777" t="s">
        <v>42</v>
      </c>
    </row>
    <row r="778" spans="1:10" x14ac:dyDescent="0.25">
      <c r="A778" s="1">
        <v>17</v>
      </c>
      <c r="B778" t="s">
        <v>25</v>
      </c>
      <c r="C778">
        <v>635</v>
      </c>
      <c r="D778">
        <v>1</v>
      </c>
      <c r="E778" t="s">
        <v>45</v>
      </c>
      <c r="F778" t="s">
        <v>27</v>
      </c>
      <c r="G778" t="str">
        <f>"2025-12-31 16:19:38.494"</f>
        <v>2025-12-31 16:19:38.494</v>
      </c>
      <c r="H778" t="s">
        <v>21</v>
      </c>
    </row>
    <row r="779" spans="1:10" x14ac:dyDescent="0.25">
      <c r="A779" s="1">
        <v>18</v>
      </c>
      <c r="B779" t="s">
        <v>29</v>
      </c>
      <c r="C779">
        <v>635</v>
      </c>
      <c r="D779">
        <v>1</v>
      </c>
      <c r="E779" t="s">
        <v>45</v>
      </c>
      <c r="F779" t="s">
        <v>27</v>
      </c>
      <c r="G779" t="str">
        <f>"2025-12-31 16:15:11.994"</f>
        <v>2025-12-31 16:15:11.994</v>
      </c>
      <c r="H779" t="s">
        <v>21</v>
      </c>
      <c r="I779">
        <v>4.4000000000000004</v>
      </c>
      <c r="J779" t="s">
        <v>42</v>
      </c>
    </row>
    <row r="780" spans="1:10" x14ac:dyDescent="0.25">
      <c r="A780" s="1">
        <v>19</v>
      </c>
      <c r="B780" t="s">
        <v>25</v>
      </c>
      <c r="C780">
        <v>635</v>
      </c>
      <c r="D780">
        <v>1</v>
      </c>
      <c r="E780" t="s">
        <v>45</v>
      </c>
      <c r="F780" t="s">
        <v>27</v>
      </c>
      <c r="G780" t="str">
        <f>"2025-12-31 04:27:15.494"</f>
        <v>2025-12-31 04:27:15.494</v>
      </c>
      <c r="H780" t="s">
        <v>21</v>
      </c>
    </row>
    <row r="781" spans="1:10" x14ac:dyDescent="0.25">
      <c r="A781" s="1">
        <v>20</v>
      </c>
      <c r="B781" t="s">
        <v>29</v>
      </c>
      <c r="C781">
        <v>635</v>
      </c>
      <c r="D781">
        <v>1</v>
      </c>
      <c r="E781" t="s">
        <v>45</v>
      </c>
      <c r="F781" t="s">
        <v>27</v>
      </c>
      <c r="G781" t="str">
        <f>"2025-12-31 04:11:13.994"</f>
        <v>2025-12-31 04:11:13.994</v>
      </c>
      <c r="H781" t="s">
        <v>21</v>
      </c>
      <c r="I781">
        <v>7.64</v>
      </c>
      <c r="J781" t="s">
        <v>42</v>
      </c>
    </row>
    <row r="782" spans="1:10" s="3" customFormat="1" x14ac:dyDescent="0.25">
      <c r="A782" s="2">
        <v>21</v>
      </c>
      <c r="B782" s="3" t="s">
        <v>25</v>
      </c>
      <c r="C782" s="3">
        <v>647</v>
      </c>
      <c r="D782" s="3">
        <v>1</v>
      </c>
      <c r="E782" s="3" t="s">
        <v>55</v>
      </c>
      <c r="F782" s="3" t="s">
        <v>56</v>
      </c>
      <c r="G782" s="3" t="str">
        <f>"2025-12-31 03:42:22.494"</f>
        <v>2025-12-31 03:42:22.494</v>
      </c>
      <c r="H782" s="3" t="s">
        <v>21</v>
      </c>
    </row>
    <row r="783" spans="1:10" s="3" customFormat="1" x14ac:dyDescent="0.25">
      <c r="A783" s="2">
        <v>22</v>
      </c>
      <c r="B783" s="3" t="s">
        <v>29</v>
      </c>
      <c r="C783" s="3">
        <v>647</v>
      </c>
      <c r="D783" s="3">
        <v>1</v>
      </c>
      <c r="E783" s="3" t="s">
        <v>55</v>
      </c>
      <c r="F783" s="3" t="s">
        <v>56</v>
      </c>
      <c r="G783" s="3" t="str">
        <f>"2025-12-31 03:42:17.694"</f>
        <v>2025-12-31 03:42:17.694</v>
      </c>
      <c r="H783" s="3" t="s">
        <v>21</v>
      </c>
      <c r="I783" s="3">
        <v>8.23</v>
      </c>
      <c r="J783" s="3" t="s">
        <v>37</v>
      </c>
    </row>
    <row r="784" spans="1:10" x14ac:dyDescent="0.25">
      <c r="A784" s="1">
        <v>23</v>
      </c>
      <c r="B784" t="s">
        <v>25</v>
      </c>
      <c r="C784">
        <v>635</v>
      </c>
      <c r="D784">
        <v>1</v>
      </c>
      <c r="E784" t="s">
        <v>45</v>
      </c>
      <c r="F784" t="s">
        <v>27</v>
      </c>
      <c r="G784" t="str">
        <f>"2025-12-30 05:29:29.794"</f>
        <v>2025-12-30 05:29:29.794</v>
      </c>
      <c r="H784" t="s">
        <v>21</v>
      </c>
    </row>
    <row r="785" spans="1:10" x14ac:dyDescent="0.25">
      <c r="A785" s="1">
        <v>24</v>
      </c>
      <c r="B785" t="s">
        <v>29</v>
      </c>
      <c r="C785">
        <v>635</v>
      </c>
      <c r="D785">
        <v>1</v>
      </c>
      <c r="E785" t="s">
        <v>45</v>
      </c>
      <c r="F785" t="s">
        <v>27</v>
      </c>
      <c r="G785" t="str">
        <f>"2025-12-30 05:19:33.294"</f>
        <v>2025-12-30 05:19:33.294</v>
      </c>
      <c r="H785" t="s">
        <v>21</v>
      </c>
      <c r="I785">
        <v>7.25</v>
      </c>
      <c r="J785" t="s">
        <v>42</v>
      </c>
    </row>
    <row r="786" spans="1:10" x14ac:dyDescent="0.25">
      <c r="A786" s="1">
        <v>25</v>
      </c>
      <c r="B786" t="s">
        <v>25</v>
      </c>
      <c r="C786">
        <v>635</v>
      </c>
      <c r="D786">
        <v>1</v>
      </c>
      <c r="E786" t="s">
        <v>45</v>
      </c>
      <c r="F786" t="s">
        <v>27</v>
      </c>
      <c r="G786" t="str">
        <f>"2025-12-29 18:29:50.194"</f>
        <v>2025-12-29 18:29:50.194</v>
      </c>
      <c r="H786" t="s">
        <v>21</v>
      </c>
    </row>
    <row r="787" spans="1:10" x14ac:dyDescent="0.25">
      <c r="A787" s="1">
        <v>26</v>
      </c>
      <c r="B787" t="s">
        <v>29</v>
      </c>
      <c r="C787">
        <v>635</v>
      </c>
      <c r="D787">
        <v>1</v>
      </c>
      <c r="E787" t="s">
        <v>45</v>
      </c>
      <c r="F787" t="s">
        <v>27</v>
      </c>
      <c r="G787" t="str">
        <f>"2025-12-29 18:25:07.694"</f>
        <v>2025-12-29 18:25:07.694</v>
      </c>
      <c r="H787" t="s">
        <v>21</v>
      </c>
      <c r="I787">
        <v>0.59</v>
      </c>
      <c r="J787" t="s">
        <v>37</v>
      </c>
    </row>
    <row r="788" spans="1:10" x14ac:dyDescent="0.25">
      <c r="A788" s="1">
        <v>27</v>
      </c>
      <c r="B788" t="s">
        <v>25</v>
      </c>
      <c r="C788">
        <v>635</v>
      </c>
      <c r="D788">
        <v>1</v>
      </c>
      <c r="E788" t="s">
        <v>45</v>
      </c>
      <c r="F788" t="s">
        <v>27</v>
      </c>
      <c r="G788" t="str">
        <f>"2025-12-27 17:47:54.494"</f>
        <v>2025-12-27 17:47:54.494</v>
      </c>
      <c r="H788" t="s">
        <v>21</v>
      </c>
    </row>
    <row r="789" spans="1:10" x14ac:dyDescent="0.25">
      <c r="A789" s="1">
        <v>28</v>
      </c>
      <c r="B789" t="s">
        <v>29</v>
      </c>
      <c r="C789">
        <v>635</v>
      </c>
      <c r="D789">
        <v>1</v>
      </c>
      <c r="E789" t="s">
        <v>45</v>
      </c>
      <c r="F789" t="s">
        <v>27</v>
      </c>
      <c r="G789" t="str">
        <f>"2025-12-27 17:42:17.994"</f>
        <v>2025-12-27 17:42:17.994</v>
      </c>
      <c r="H789" t="s">
        <v>21</v>
      </c>
      <c r="I789">
        <v>7.42</v>
      </c>
      <c r="J789" t="s">
        <v>42</v>
      </c>
    </row>
    <row r="790" spans="1:10" x14ac:dyDescent="0.25">
      <c r="A790" s="1">
        <v>29</v>
      </c>
      <c r="B790" t="s">
        <v>25</v>
      </c>
      <c r="C790">
        <v>61</v>
      </c>
      <c r="D790">
        <v>2</v>
      </c>
      <c r="E790" t="s">
        <v>57</v>
      </c>
      <c r="F790" t="s">
        <v>58</v>
      </c>
      <c r="G790" t="str">
        <f>"2025-12-27 13:19:40.307"</f>
        <v>2025-12-27 13:19:40.307</v>
      </c>
      <c r="H790" t="s">
        <v>21</v>
      </c>
    </row>
    <row r="791" spans="1:10" x14ac:dyDescent="0.25">
      <c r="A791" s="1">
        <v>30</v>
      </c>
      <c r="B791" t="s">
        <v>33</v>
      </c>
      <c r="C791">
        <v>61</v>
      </c>
      <c r="D791">
        <v>2</v>
      </c>
      <c r="E791" t="s">
        <v>57</v>
      </c>
      <c r="F791" t="s">
        <v>58</v>
      </c>
      <c r="G791" t="str">
        <f>"2025-12-27 13:19:31.007"</f>
        <v>2025-12-27 13:19:31.007</v>
      </c>
      <c r="H791" t="s">
        <v>21</v>
      </c>
      <c r="I791">
        <v>35.65</v>
      </c>
      <c r="J791" t="s">
        <v>54</v>
      </c>
    </row>
    <row r="792" spans="1:10" x14ac:dyDescent="0.25">
      <c r="A792" s="1">
        <v>31</v>
      </c>
      <c r="B792" t="s">
        <v>25</v>
      </c>
      <c r="C792">
        <v>635</v>
      </c>
      <c r="D792">
        <v>1</v>
      </c>
      <c r="E792" t="s">
        <v>45</v>
      </c>
      <c r="F792" t="s">
        <v>27</v>
      </c>
      <c r="G792" t="str">
        <f>"2025-12-27 08:01:24.794"</f>
        <v>2025-12-27 08:01:24.794</v>
      </c>
      <c r="H792" t="s">
        <v>21</v>
      </c>
    </row>
    <row r="793" spans="1:10" x14ac:dyDescent="0.25">
      <c r="A793" s="1">
        <v>32</v>
      </c>
      <c r="B793" t="s">
        <v>29</v>
      </c>
      <c r="C793">
        <v>635</v>
      </c>
      <c r="D793">
        <v>1</v>
      </c>
      <c r="E793" t="s">
        <v>45</v>
      </c>
      <c r="F793" t="s">
        <v>27</v>
      </c>
      <c r="G793" t="str">
        <f>"2025-12-27 07:56:42.294"</f>
        <v>2025-12-27 07:56:42.294</v>
      </c>
      <c r="H793" t="s">
        <v>21</v>
      </c>
      <c r="I793">
        <v>3.89</v>
      </c>
      <c r="J793" t="s">
        <v>54</v>
      </c>
    </row>
    <row r="794" spans="1:10" x14ac:dyDescent="0.25">
      <c r="A794" s="1">
        <v>33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"2025-12-27 00:02:16.232"</f>
        <v>2025-12-27 00:02:16.232</v>
      </c>
      <c r="H794" t="s">
        <v>21</v>
      </c>
      <c r="I794">
        <v>0</v>
      </c>
      <c r="J794" t="s">
        <v>32</v>
      </c>
    </row>
    <row r="795" spans="1:10" x14ac:dyDescent="0.25">
      <c r="A795" s="1">
        <v>34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"2025-12-26 22:33:20.111"</f>
        <v>2025-12-26 22:33:20.111</v>
      </c>
      <c r="H795" t="s">
        <v>21</v>
      </c>
    </row>
    <row r="796" spans="1:10" x14ac:dyDescent="0.25">
      <c r="A796" s="1">
        <v>35</v>
      </c>
      <c r="B796" t="s">
        <v>25</v>
      </c>
      <c r="C796">
        <v>635</v>
      </c>
      <c r="D796">
        <v>1</v>
      </c>
      <c r="E796" t="s">
        <v>45</v>
      </c>
      <c r="F796" t="s">
        <v>27</v>
      </c>
      <c r="G796" t="str">
        <f>"2025-12-26 05:10:29.064"</f>
        <v>2025-12-26 05:10:29.064</v>
      </c>
      <c r="H796" t="s">
        <v>21</v>
      </c>
    </row>
    <row r="797" spans="1:10" x14ac:dyDescent="0.25">
      <c r="A797" s="1">
        <v>36</v>
      </c>
      <c r="B797" t="s">
        <v>29</v>
      </c>
      <c r="C797">
        <v>635</v>
      </c>
      <c r="D797">
        <v>1</v>
      </c>
      <c r="E797" t="s">
        <v>45</v>
      </c>
      <c r="F797" t="s">
        <v>27</v>
      </c>
      <c r="G797" t="str">
        <f>"2025-12-26 05:08:09.064"</f>
        <v>2025-12-26 05:08:09.064</v>
      </c>
      <c r="H797" t="s">
        <v>21</v>
      </c>
      <c r="I797">
        <v>5.69</v>
      </c>
      <c r="J797" t="s">
        <v>42</v>
      </c>
    </row>
    <row r="798" spans="1:10" s="3" customFormat="1" x14ac:dyDescent="0.25">
      <c r="A798" s="2">
        <v>37</v>
      </c>
      <c r="B798" s="3" t="s">
        <v>25</v>
      </c>
      <c r="C798" s="3">
        <v>647</v>
      </c>
      <c r="D798" s="3">
        <v>1</v>
      </c>
      <c r="E798" s="3" t="s">
        <v>55</v>
      </c>
      <c r="F798" s="3" t="s">
        <v>56</v>
      </c>
      <c r="G798" s="3" t="str">
        <f>"2025-12-26 04:25:47.465"</f>
        <v>2025-12-26 04:25:47.465</v>
      </c>
      <c r="H798" s="3" t="s">
        <v>21</v>
      </c>
    </row>
    <row r="799" spans="1:10" s="3" customFormat="1" x14ac:dyDescent="0.25">
      <c r="A799" s="2">
        <v>38</v>
      </c>
      <c r="B799" s="3" t="s">
        <v>29</v>
      </c>
      <c r="C799" s="3">
        <v>647</v>
      </c>
      <c r="D799" s="3">
        <v>1</v>
      </c>
      <c r="E799" s="3" t="s">
        <v>55</v>
      </c>
      <c r="F799" s="3" t="s">
        <v>56</v>
      </c>
      <c r="G799" s="3" t="str">
        <f>"2025-12-26 04:25:44.265"</f>
        <v>2025-12-26 04:25:44.265</v>
      </c>
      <c r="H799" s="3" t="s">
        <v>21</v>
      </c>
      <c r="I799" s="3">
        <v>9.08</v>
      </c>
      <c r="J799" s="3" t="s">
        <v>37</v>
      </c>
    </row>
    <row r="800" spans="1:10" x14ac:dyDescent="0.25">
      <c r="A800" s="1">
        <v>39</v>
      </c>
      <c r="B800" t="s">
        <v>25</v>
      </c>
      <c r="C800">
        <v>635</v>
      </c>
      <c r="D800">
        <v>1</v>
      </c>
      <c r="E800" t="s">
        <v>45</v>
      </c>
      <c r="F800" t="s">
        <v>27</v>
      </c>
      <c r="G800" t="str">
        <f>"2025-12-26 02:14:31.264"</f>
        <v>2025-12-26 02:14:31.264</v>
      </c>
      <c r="H800" t="s">
        <v>21</v>
      </c>
    </row>
    <row r="801" spans="1:10" x14ac:dyDescent="0.25">
      <c r="A801" s="1">
        <v>40</v>
      </c>
      <c r="B801" t="s">
        <v>29</v>
      </c>
      <c r="C801">
        <v>635</v>
      </c>
      <c r="D801">
        <v>1</v>
      </c>
      <c r="E801" t="s">
        <v>45</v>
      </c>
      <c r="F801" t="s">
        <v>27</v>
      </c>
      <c r="G801" t="str">
        <f>"2025-12-26 02:10:10.265"</f>
        <v>2025-12-26 02:10:10.265</v>
      </c>
      <c r="H801" t="s">
        <v>21</v>
      </c>
      <c r="I801">
        <v>1.1200000000000001</v>
      </c>
      <c r="J801" t="s">
        <v>42</v>
      </c>
    </row>
    <row r="802" spans="1:10" x14ac:dyDescent="0.25">
      <c r="A802" s="1">
        <v>41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"2025-12-26 00:21:23.123"</f>
        <v>2025-12-26 00:21:23.123</v>
      </c>
      <c r="H802" t="s">
        <v>21</v>
      </c>
      <c r="I802">
        <v>0</v>
      </c>
      <c r="J802" t="s">
        <v>32</v>
      </c>
    </row>
    <row r="803" spans="1:10" x14ac:dyDescent="0.25">
      <c r="A803" s="1">
        <v>42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"2025-12-25 23:53:52.115"</f>
        <v>2025-12-25 23:53:52.115</v>
      </c>
      <c r="H803" t="s">
        <v>21</v>
      </c>
      <c r="I803">
        <v>0</v>
      </c>
      <c r="J803" t="s">
        <v>32</v>
      </c>
    </row>
    <row r="804" spans="1:10" x14ac:dyDescent="0.25">
      <c r="A804" s="1">
        <v>43</v>
      </c>
      <c r="B804" t="s">
        <v>19</v>
      </c>
      <c r="C804">
        <v>706</v>
      </c>
      <c r="D804">
        <v>4</v>
      </c>
      <c r="E804" t="s">
        <v>22</v>
      </c>
      <c r="F804" t="s">
        <v>31</v>
      </c>
      <c r="G804" t="str">
        <f>"2025-12-25 23:32:28.247"</f>
        <v>2025-12-25 23:32:28.247</v>
      </c>
      <c r="H804" t="s">
        <v>21</v>
      </c>
      <c r="I804">
        <v>0</v>
      </c>
      <c r="J804" t="s">
        <v>24</v>
      </c>
    </row>
    <row r="805" spans="1:10" x14ac:dyDescent="0.25">
      <c r="A805" s="1">
        <v>44</v>
      </c>
      <c r="B805" t="s">
        <v>19</v>
      </c>
      <c r="C805">
        <v>706</v>
      </c>
      <c r="D805">
        <v>4</v>
      </c>
      <c r="E805" t="s">
        <v>22</v>
      </c>
      <c r="F805" t="s">
        <v>31</v>
      </c>
      <c r="G805" t="str">
        <f>"2025-12-25 23:28:57.257"</f>
        <v>2025-12-25 23:28:57.257</v>
      </c>
      <c r="H805" t="s">
        <v>21</v>
      </c>
      <c r="I805">
        <v>0</v>
      </c>
      <c r="J805" t="s">
        <v>24</v>
      </c>
    </row>
    <row r="806" spans="1:10" x14ac:dyDescent="0.25">
      <c r="A806" s="1">
        <v>45</v>
      </c>
      <c r="B806" t="s">
        <v>19</v>
      </c>
      <c r="C806">
        <v>706</v>
      </c>
      <c r="D806">
        <v>4</v>
      </c>
      <c r="E806" t="s">
        <v>22</v>
      </c>
      <c r="F806" t="s">
        <v>31</v>
      </c>
      <c r="G806" t="str">
        <f>"2025-12-25 23:27:55.257"</f>
        <v>2025-12-25 23:27:55.257</v>
      </c>
      <c r="H806" t="s">
        <v>21</v>
      </c>
      <c r="I806">
        <v>0</v>
      </c>
      <c r="J806" t="s">
        <v>24</v>
      </c>
    </row>
    <row r="807" spans="1:10" x14ac:dyDescent="0.25">
      <c r="A807" s="1">
        <v>46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"2025-12-25 23:26:41.267"</f>
        <v>2025-12-25 23:26:41.267</v>
      </c>
      <c r="H807" t="s">
        <v>21</v>
      </c>
      <c r="I807">
        <v>0</v>
      </c>
      <c r="J807" t="s">
        <v>32</v>
      </c>
    </row>
    <row r="808" spans="1:10" x14ac:dyDescent="0.25">
      <c r="A808" s="1">
        <v>47</v>
      </c>
      <c r="B808" t="s">
        <v>19</v>
      </c>
      <c r="C808">
        <v>700</v>
      </c>
      <c r="D808">
        <v>0</v>
      </c>
      <c r="E808" t="s">
        <v>20</v>
      </c>
      <c r="F808" t="s">
        <v>20</v>
      </c>
      <c r="G808" t="str">
        <f>"2025-12-25 21:55:42.124"</f>
        <v>2025-12-25 21:55:42.124</v>
      </c>
      <c r="H808" t="s">
        <v>21</v>
      </c>
    </row>
    <row r="809" spans="1:10" s="3" customFormat="1" x14ac:dyDescent="0.25">
      <c r="A809" s="2">
        <v>48</v>
      </c>
      <c r="B809" s="3" t="s">
        <v>25</v>
      </c>
      <c r="C809" s="3">
        <v>647</v>
      </c>
      <c r="D809" s="3">
        <v>1</v>
      </c>
      <c r="E809" s="3" t="s">
        <v>55</v>
      </c>
      <c r="F809" s="3" t="s">
        <v>56</v>
      </c>
      <c r="G809" s="3" t="str">
        <f>"2025-12-25 12:47:21.810"</f>
        <v>2025-12-25 12:47:21.810</v>
      </c>
      <c r="H809" s="3" t="s">
        <v>21</v>
      </c>
    </row>
    <row r="810" spans="1:10" s="3" customFormat="1" x14ac:dyDescent="0.25">
      <c r="A810" s="2">
        <v>49</v>
      </c>
      <c r="B810" s="3" t="s">
        <v>29</v>
      </c>
      <c r="C810" s="3">
        <v>647</v>
      </c>
      <c r="D810" s="3">
        <v>1</v>
      </c>
      <c r="E810" s="3" t="s">
        <v>55</v>
      </c>
      <c r="F810" s="3" t="s">
        <v>56</v>
      </c>
      <c r="G810" s="3" t="str">
        <f>"2025-12-25 12:47:18.510"</f>
        <v>2025-12-25 12:47:18.510</v>
      </c>
      <c r="H810" s="3" t="s">
        <v>21</v>
      </c>
      <c r="I810" s="3">
        <v>10.91</v>
      </c>
      <c r="J810" s="3" t="s">
        <v>54</v>
      </c>
    </row>
    <row r="811" spans="1:10" x14ac:dyDescent="0.25">
      <c r="A811" s="1">
        <v>50</v>
      </c>
      <c r="B811" t="s">
        <v>25</v>
      </c>
      <c r="C811">
        <v>635</v>
      </c>
      <c r="D811">
        <v>1</v>
      </c>
      <c r="E811" t="s">
        <v>45</v>
      </c>
      <c r="F811" t="s">
        <v>27</v>
      </c>
      <c r="G811" t="str">
        <f>"2025-12-25 12:45:21.262"</f>
        <v>2025-12-25 12:45:21.262</v>
      </c>
      <c r="H811" t="s">
        <v>21</v>
      </c>
    </row>
    <row r="812" spans="1:10" x14ac:dyDescent="0.25">
      <c r="A812" s="1">
        <v>51</v>
      </c>
      <c r="B812" t="s">
        <v>29</v>
      </c>
      <c r="C812">
        <v>635</v>
      </c>
      <c r="D812">
        <v>1</v>
      </c>
      <c r="E812" t="s">
        <v>45</v>
      </c>
      <c r="F812" t="s">
        <v>27</v>
      </c>
      <c r="G812" t="str">
        <f>"2025-12-25 12:41:18.262"</f>
        <v>2025-12-25 12:41:18.262</v>
      </c>
      <c r="H812" t="s">
        <v>21</v>
      </c>
      <c r="I812">
        <v>0.19</v>
      </c>
      <c r="J812" t="s">
        <v>42</v>
      </c>
    </row>
    <row r="813" spans="1:10" s="3" customFormat="1" x14ac:dyDescent="0.25">
      <c r="A813" s="2">
        <v>52</v>
      </c>
      <c r="B813" s="3" t="s">
        <v>25</v>
      </c>
      <c r="C813" s="3">
        <v>647</v>
      </c>
      <c r="D813" s="3">
        <v>1</v>
      </c>
      <c r="E813" s="3" t="s">
        <v>55</v>
      </c>
      <c r="F813" s="3" t="s">
        <v>56</v>
      </c>
      <c r="G813" s="3" t="str">
        <f>"2025-12-25 03:56:01.310"</f>
        <v>2025-12-25 03:56:01.310</v>
      </c>
      <c r="H813" s="3" t="s">
        <v>21</v>
      </c>
    </row>
    <row r="814" spans="1:10" s="3" customFormat="1" x14ac:dyDescent="0.25">
      <c r="A814" s="2">
        <v>53</v>
      </c>
      <c r="B814" s="3" t="s">
        <v>29</v>
      </c>
      <c r="C814" s="3">
        <v>647</v>
      </c>
      <c r="D814" s="3">
        <v>1</v>
      </c>
      <c r="E814" s="3" t="s">
        <v>55</v>
      </c>
      <c r="F814" s="3" t="s">
        <v>56</v>
      </c>
      <c r="G814" s="3" t="str">
        <f>"2025-12-25 03:55:55.410"</f>
        <v>2025-12-25 03:55:55.410</v>
      </c>
      <c r="H814" s="3" t="s">
        <v>21</v>
      </c>
      <c r="I814" s="3">
        <v>9.24</v>
      </c>
      <c r="J814" s="3" t="s">
        <v>54</v>
      </c>
    </row>
    <row r="815" spans="1:10" s="3" customFormat="1" x14ac:dyDescent="0.25">
      <c r="A815" s="2">
        <v>54</v>
      </c>
      <c r="B815" s="3" t="s">
        <v>25</v>
      </c>
      <c r="C815" s="3">
        <v>647</v>
      </c>
      <c r="D815" s="3">
        <v>1</v>
      </c>
      <c r="E815" s="3" t="s">
        <v>55</v>
      </c>
      <c r="F815" s="3" t="s">
        <v>56</v>
      </c>
      <c r="G815" s="3" t="str">
        <f>"2025-12-25 03:55:34.910"</f>
        <v>2025-12-25 03:55:34.910</v>
      </c>
      <c r="H815" s="3" t="s">
        <v>21</v>
      </c>
    </row>
    <row r="816" spans="1:10" s="3" customFormat="1" x14ac:dyDescent="0.25">
      <c r="A816" s="2">
        <v>55</v>
      </c>
      <c r="B816" s="3" t="s">
        <v>29</v>
      </c>
      <c r="C816" s="3">
        <v>647</v>
      </c>
      <c r="D816" s="3">
        <v>1</v>
      </c>
      <c r="E816" s="3" t="s">
        <v>55</v>
      </c>
      <c r="F816" s="3" t="s">
        <v>56</v>
      </c>
      <c r="G816" s="3" t="str">
        <f>"2025-12-25 03:55:29.010"</f>
        <v>2025-12-25 03:55:29.010</v>
      </c>
      <c r="H816" s="3" t="s">
        <v>21</v>
      </c>
      <c r="I816" s="3">
        <v>8.3699999999999992</v>
      </c>
      <c r="J816" s="3" t="s">
        <v>54</v>
      </c>
    </row>
    <row r="817" spans="1:10" x14ac:dyDescent="0.25">
      <c r="A817" s="1">
        <v>56</v>
      </c>
      <c r="B817" t="s">
        <v>25</v>
      </c>
      <c r="C817">
        <v>635</v>
      </c>
      <c r="D817">
        <v>1</v>
      </c>
      <c r="E817" t="s">
        <v>45</v>
      </c>
      <c r="F817" t="s">
        <v>27</v>
      </c>
      <c r="G817" t="str">
        <f>"2025-12-24 21:37:43.462"</f>
        <v>2025-12-24 21:37:43.462</v>
      </c>
      <c r="H817" t="s">
        <v>21</v>
      </c>
    </row>
    <row r="818" spans="1:10" x14ac:dyDescent="0.25">
      <c r="A818" s="1">
        <v>57</v>
      </c>
      <c r="B818" t="s">
        <v>29</v>
      </c>
      <c r="C818">
        <v>635</v>
      </c>
      <c r="D818">
        <v>1</v>
      </c>
      <c r="E818" t="s">
        <v>45</v>
      </c>
      <c r="F818" t="s">
        <v>27</v>
      </c>
      <c r="G818" t="str">
        <f>"2025-12-24 21:34:46.962"</f>
        <v>2025-12-24 21:34:46.962</v>
      </c>
      <c r="H818" t="s">
        <v>21</v>
      </c>
      <c r="I818">
        <v>4.72</v>
      </c>
      <c r="J818" t="s">
        <v>54</v>
      </c>
    </row>
    <row r="819" spans="1:10" x14ac:dyDescent="0.25">
      <c r="A819" s="1">
        <v>58</v>
      </c>
      <c r="B819" t="s">
        <v>41</v>
      </c>
      <c r="C819">
        <v>216</v>
      </c>
      <c r="D819">
        <v>5</v>
      </c>
      <c r="E819" t="s">
        <v>68</v>
      </c>
      <c r="F819" t="s">
        <v>69</v>
      </c>
      <c r="G819" t="str">
        <f>"2025-12-24 06:34:19.494"</f>
        <v>2025-12-24 06:34:19.494</v>
      </c>
      <c r="H819" t="s">
        <v>70</v>
      </c>
    </row>
    <row r="820" spans="1:10" x14ac:dyDescent="0.25">
      <c r="A820" s="1">
        <v>59</v>
      </c>
      <c r="B820" t="s">
        <v>33</v>
      </c>
      <c r="C820">
        <v>216</v>
      </c>
      <c r="D820">
        <v>5</v>
      </c>
      <c r="E820" t="s">
        <v>68</v>
      </c>
      <c r="F820" t="s">
        <v>69</v>
      </c>
      <c r="G820" t="str">
        <f>"2025-12-24 06:34:16.196"</f>
        <v>2025-12-24 06:34:16.196</v>
      </c>
      <c r="H820" t="s">
        <v>70</v>
      </c>
      <c r="I820">
        <v>6.67</v>
      </c>
      <c r="J820" t="s">
        <v>42</v>
      </c>
    </row>
    <row r="821" spans="1:10" s="3" customFormat="1" x14ac:dyDescent="0.25">
      <c r="A821" s="2">
        <v>60</v>
      </c>
      <c r="B821" s="3" t="s">
        <v>25</v>
      </c>
      <c r="C821" s="3">
        <v>647</v>
      </c>
      <c r="D821" s="3">
        <v>1</v>
      </c>
      <c r="E821" s="3" t="s">
        <v>55</v>
      </c>
      <c r="F821" s="3" t="s">
        <v>56</v>
      </c>
      <c r="G821" s="3" t="str">
        <f>"2025-12-24 00:33:50.510"</f>
        <v>2025-12-24 00:33:50.510</v>
      </c>
      <c r="H821" s="3" t="s">
        <v>21</v>
      </c>
    </row>
    <row r="822" spans="1:10" s="3" customFormat="1" x14ac:dyDescent="0.25">
      <c r="A822" s="2">
        <v>61</v>
      </c>
      <c r="B822" s="3" t="s">
        <v>29</v>
      </c>
      <c r="C822" s="3">
        <v>647</v>
      </c>
      <c r="D822" s="3">
        <v>1</v>
      </c>
      <c r="E822" s="3" t="s">
        <v>55</v>
      </c>
      <c r="F822" s="3" t="s">
        <v>56</v>
      </c>
      <c r="G822" s="3" t="str">
        <f>"2025-12-24 00:33:43.411"</f>
        <v>2025-12-24 00:33:43.411</v>
      </c>
      <c r="H822" s="3" t="s">
        <v>21</v>
      </c>
      <c r="I822" s="3">
        <v>8.18</v>
      </c>
      <c r="J822" s="3" t="s">
        <v>54</v>
      </c>
    </row>
    <row r="823" spans="1:10" x14ac:dyDescent="0.25">
      <c r="A823" s="1">
        <v>63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"2025-12-22 13:18:59.153"</f>
        <v>2025-12-22 13:18:59.153</v>
      </c>
      <c r="H823" t="s">
        <v>21</v>
      </c>
    </row>
    <row r="824" spans="1:10" x14ac:dyDescent="0.25">
      <c r="A824" s="1">
        <v>64</v>
      </c>
      <c r="B824" t="s">
        <v>25</v>
      </c>
      <c r="C824">
        <v>635</v>
      </c>
      <c r="D824">
        <v>1</v>
      </c>
      <c r="E824" t="s">
        <v>45</v>
      </c>
      <c r="F824" t="s">
        <v>27</v>
      </c>
      <c r="G824" t="str">
        <f>"2025-12-22 05:57:44.022"</f>
        <v>2025-12-22 05:57:44.022</v>
      </c>
      <c r="H824" t="s">
        <v>21</v>
      </c>
    </row>
    <row r="825" spans="1:10" x14ac:dyDescent="0.25">
      <c r="A825" s="1">
        <v>65</v>
      </c>
      <c r="B825" t="s">
        <v>29</v>
      </c>
      <c r="C825">
        <v>635</v>
      </c>
      <c r="D825">
        <v>1</v>
      </c>
      <c r="E825" t="s">
        <v>45</v>
      </c>
      <c r="F825" t="s">
        <v>27</v>
      </c>
      <c r="G825" t="str">
        <f>"2025-12-22 05:51:30.522"</f>
        <v>2025-12-22 05:51:30.522</v>
      </c>
      <c r="H825" t="s">
        <v>21</v>
      </c>
      <c r="I825">
        <v>5.31</v>
      </c>
      <c r="J825" t="s">
        <v>42</v>
      </c>
    </row>
    <row r="826" spans="1:10" s="3" customFormat="1" x14ac:dyDescent="0.25">
      <c r="A826" s="2">
        <v>66</v>
      </c>
      <c r="B826" s="3" t="s">
        <v>25</v>
      </c>
      <c r="C826" s="3">
        <v>647</v>
      </c>
      <c r="D826" s="3">
        <v>1</v>
      </c>
      <c r="E826" s="3" t="s">
        <v>55</v>
      </c>
      <c r="F826" s="3" t="s">
        <v>56</v>
      </c>
      <c r="G826" s="3" t="str">
        <f>"2025-12-22 00:06:27.423"</f>
        <v>2025-12-22 00:06:27.423</v>
      </c>
      <c r="H826" s="3" t="s">
        <v>21</v>
      </c>
    </row>
    <row r="827" spans="1:10" s="3" customFormat="1" x14ac:dyDescent="0.25">
      <c r="A827" s="2">
        <v>67</v>
      </c>
      <c r="B827" s="3" t="s">
        <v>29</v>
      </c>
      <c r="C827" s="3">
        <v>647</v>
      </c>
      <c r="D827" s="3">
        <v>1</v>
      </c>
      <c r="E827" s="3" t="s">
        <v>55</v>
      </c>
      <c r="F827" s="3" t="s">
        <v>56</v>
      </c>
      <c r="G827" s="3" t="str">
        <f>"2025-12-22 00:06:19.523"</f>
        <v>2025-12-22 00:06:19.523</v>
      </c>
      <c r="H827" s="3" t="s">
        <v>21</v>
      </c>
      <c r="I827" s="3">
        <v>8.48</v>
      </c>
      <c r="J827" s="3" t="s">
        <v>54</v>
      </c>
    </row>
    <row r="828" spans="1:10" x14ac:dyDescent="0.25">
      <c r="A828" s="1">
        <v>68</v>
      </c>
      <c r="B828" t="s">
        <v>25</v>
      </c>
      <c r="C828">
        <v>635</v>
      </c>
      <c r="D828">
        <v>1</v>
      </c>
      <c r="E828" t="s">
        <v>45</v>
      </c>
      <c r="F828" t="s">
        <v>27</v>
      </c>
      <c r="G828" t="str">
        <f>"2025-12-20 23:05:31.022"</f>
        <v>2025-12-20 23:05:31.022</v>
      </c>
      <c r="H828" t="s">
        <v>21</v>
      </c>
    </row>
    <row r="829" spans="1:10" x14ac:dyDescent="0.25">
      <c r="A829" s="1">
        <v>69</v>
      </c>
      <c r="B829" t="s">
        <v>29</v>
      </c>
      <c r="C829">
        <v>635</v>
      </c>
      <c r="D829">
        <v>1</v>
      </c>
      <c r="E829" t="s">
        <v>45</v>
      </c>
      <c r="F829" t="s">
        <v>27</v>
      </c>
      <c r="G829" t="str">
        <f>"2025-12-20 23:00:14.022"</f>
        <v>2025-12-20 23:00:14.022</v>
      </c>
      <c r="H829" t="s">
        <v>21</v>
      </c>
      <c r="I829">
        <v>-0.35</v>
      </c>
      <c r="J829" t="s">
        <v>37</v>
      </c>
    </row>
    <row r="830" spans="1:10" x14ac:dyDescent="0.25">
      <c r="A830" s="1">
        <v>70</v>
      </c>
      <c r="B830" t="s">
        <v>25</v>
      </c>
      <c r="C830">
        <v>635</v>
      </c>
      <c r="D830">
        <v>1</v>
      </c>
      <c r="E830" t="s">
        <v>45</v>
      </c>
      <c r="F830" t="s">
        <v>27</v>
      </c>
      <c r="G830" t="str">
        <f>"2025-12-20 15:54:02.522"</f>
        <v>2025-12-20 15:54:02.522</v>
      </c>
      <c r="H830" t="s">
        <v>21</v>
      </c>
    </row>
    <row r="831" spans="1:10" x14ac:dyDescent="0.25">
      <c r="A831" s="1">
        <v>71</v>
      </c>
      <c r="B831" t="s">
        <v>29</v>
      </c>
      <c r="C831">
        <v>635</v>
      </c>
      <c r="D831">
        <v>1</v>
      </c>
      <c r="E831" t="s">
        <v>45</v>
      </c>
      <c r="F831" t="s">
        <v>27</v>
      </c>
      <c r="G831" t="str">
        <f>"2025-12-20 15:50:46.522"</f>
        <v>2025-12-20 15:50:46.522</v>
      </c>
      <c r="H831" t="s">
        <v>21</v>
      </c>
      <c r="I831">
        <v>5.87</v>
      </c>
      <c r="J831" t="s">
        <v>42</v>
      </c>
    </row>
    <row r="832" spans="1:10" x14ac:dyDescent="0.25">
      <c r="A832" s="1">
        <v>72</v>
      </c>
      <c r="B832" t="s">
        <v>25</v>
      </c>
      <c r="C832">
        <v>635</v>
      </c>
      <c r="D832">
        <v>1</v>
      </c>
      <c r="E832" t="s">
        <v>45</v>
      </c>
      <c r="F832" t="s">
        <v>27</v>
      </c>
      <c r="G832" t="str">
        <f>"2025-12-20 08:23:24.122"</f>
        <v>2025-12-20 08:23:24.122</v>
      </c>
      <c r="H832" t="s">
        <v>21</v>
      </c>
    </row>
    <row r="833" spans="1:10" x14ac:dyDescent="0.25">
      <c r="A833" s="1">
        <v>73</v>
      </c>
      <c r="B833" t="s">
        <v>29</v>
      </c>
      <c r="C833">
        <v>635</v>
      </c>
      <c r="D833">
        <v>1</v>
      </c>
      <c r="E833" t="s">
        <v>45</v>
      </c>
      <c r="F833" t="s">
        <v>27</v>
      </c>
      <c r="G833" t="str">
        <f>"2025-12-20 08:20:17.622"</f>
        <v>2025-12-20 08:20:17.622</v>
      </c>
      <c r="H833" t="s">
        <v>21</v>
      </c>
      <c r="I833">
        <v>1.57</v>
      </c>
      <c r="J833" t="s">
        <v>54</v>
      </c>
    </row>
    <row r="834" spans="1:10" x14ac:dyDescent="0.25">
      <c r="A834" s="1">
        <v>74</v>
      </c>
      <c r="B834" t="s">
        <v>25</v>
      </c>
      <c r="C834">
        <v>635</v>
      </c>
      <c r="D834">
        <v>1</v>
      </c>
      <c r="E834" t="s">
        <v>45</v>
      </c>
      <c r="F834" t="s">
        <v>27</v>
      </c>
      <c r="G834" t="str">
        <f>"2025-12-20 06:44:41.222"</f>
        <v>2025-12-20 06:44:41.222</v>
      </c>
      <c r="H834" t="s">
        <v>21</v>
      </c>
    </row>
    <row r="835" spans="1:10" x14ac:dyDescent="0.25">
      <c r="A835" s="1">
        <v>75</v>
      </c>
      <c r="B835" t="s">
        <v>29</v>
      </c>
      <c r="C835">
        <v>635</v>
      </c>
      <c r="D835">
        <v>1</v>
      </c>
      <c r="E835" t="s">
        <v>45</v>
      </c>
      <c r="F835" t="s">
        <v>27</v>
      </c>
      <c r="G835" t="str">
        <f>"2025-12-20 06:40:32.722"</f>
        <v>2025-12-20 06:40:32.722</v>
      </c>
      <c r="H835" t="s">
        <v>21</v>
      </c>
      <c r="I835">
        <v>9.0299999999999994</v>
      </c>
      <c r="J835" t="s">
        <v>42</v>
      </c>
    </row>
    <row r="836" spans="1:10" x14ac:dyDescent="0.25">
      <c r="A836" s="1">
        <v>76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"2025-12-19 21:42:05.161"</f>
        <v>2025-12-19 21:42:05.161</v>
      </c>
      <c r="H836" t="s">
        <v>21</v>
      </c>
      <c r="I836">
        <v>0</v>
      </c>
      <c r="J836" t="s">
        <v>32</v>
      </c>
    </row>
    <row r="837" spans="1:10" x14ac:dyDescent="0.25">
      <c r="A837" s="1">
        <v>77</v>
      </c>
      <c r="B837" t="s">
        <v>25</v>
      </c>
      <c r="C837">
        <v>635</v>
      </c>
      <c r="D837">
        <v>1</v>
      </c>
      <c r="E837" t="s">
        <v>45</v>
      </c>
      <c r="F837" t="s">
        <v>27</v>
      </c>
      <c r="G837" t="str">
        <f>"2025-12-18 17:00:58.957"</f>
        <v>2025-12-18 17:00:58.957</v>
      </c>
      <c r="H837" t="s">
        <v>21</v>
      </c>
    </row>
    <row r="838" spans="1:10" x14ac:dyDescent="0.25">
      <c r="A838" s="1">
        <v>78</v>
      </c>
      <c r="B838" t="s">
        <v>29</v>
      </c>
      <c r="C838">
        <v>635</v>
      </c>
      <c r="D838">
        <v>1</v>
      </c>
      <c r="E838" t="s">
        <v>45</v>
      </c>
      <c r="F838" t="s">
        <v>27</v>
      </c>
      <c r="G838" t="str">
        <f>"2025-12-18 16:54:49.457"</f>
        <v>2025-12-18 16:54:49.457</v>
      </c>
      <c r="H838" t="s">
        <v>21</v>
      </c>
      <c r="I838">
        <v>2.67</v>
      </c>
      <c r="J838" t="s">
        <v>42</v>
      </c>
    </row>
    <row r="839" spans="1:10" x14ac:dyDescent="0.25">
      <c r="A839" s="1">
        <v>79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"2025-12-18 10:30:00.204"</f>
        <v>2025-12-18 10:30:00.204</v>
      </c>
      <c r="H839" t="s">
        <v>21</v>
      </c>
      <c r="I839">
        <v>0</v>
      </c>
      <c r="J839" t="s">
        <v>32</v>
      </c>
    </row>
    <row r="840" spans="1:10" x14ac:dyDescent="0.25">
      <c r="A840" s="1">
        <v>80</v>
      </c>
      <c r="B840" t="s">
        <v>25</v>
      </c>
      <c r="C840">
        <v>635</v>
      </c>
      <c r="D840">
        <v>1</v>
      </c>
      <c r="E840" t="s">
        <v>45</v>
      </c>
      <c r="F840" t="s">
        <v>27</v>
      </c>
      <c r="G840" t="str">
        <f>"2025-12-18 08:53:01.983"</f>
        <v>2025-12-18 08:53:01.983</v>
      </c>
      <c r="H840" t="s">
        <v>21</v>
      </c>
    </row>
    <row r="841" spans="1:10" x14ac:dyDescent="0.25">
      <c r="A841" s="1">
        <v>81</v>
      </c>
      <c r="B841" t="s">
        <v>29</v>
      </c>
      <c r="C841">
        <v>635</v>
      </c>
      <c r="D841">
        <v>1</v>
      </c>
      <c r="E841" t="s">
        <v>45</v>
      </c>
      <c r="F841" t="s">
        <v>27</v>
      </c>
      <c r="G841" t="str">
        <f>"2025-12-18 08:39:00.483"</f>
        <v>2025-12-18 08:39:00.483</v>
      </c>
      <c r="H841" t="s">
        <v>21</v>
      </c>
      <c r="I841">
        <v>0</v>
      </c>
      <c r="J841" t="s">
        <v>37</v>
      </c>
    </row>
    <row r="842" spans="1:10" x14ac:dyDescent="0.25">
      <c r="A842" s="1">
        <v>83</v>
      </c>
      <c r="B842" t="s">
        <v>25</v>
      </c>
      <c r="C842">
        <v>635</v>
      </c>
      <c r="D842">
        <v>1</v>
      </c>
      <c r="E842" t="s">
        <v>45</v>
      </c>
      <c r="F842" t="s">
        <v>27</v>
      </c>
      <c r="G842" t="str">
        <f>"2025-12-18 03:36:32.883"</f>
        <v>2025-12-18 03:36:32.883</v>
      </c>
      <c r="H842" t="s">
        <v>21</v>
      </c>
    </row>
    <row r="843" spans="1:10" x14ac:dyDescent="0.25">
      <c r="A843" s="1">
        <v>84</v>
      </c>
      <c r="B843" t="s">
        <v>29</v>
      </c>
      <c r="C843">
        <v>635</v>
      </c>
      <c r="D843">
        <v>1</v>
      </c>
      <c r="E843" t="s">
        <v>45</v>
      </c>
      <c r="F843" t="s">
        <v>27</v>
      </c>
      <c r="G843" t="str">
        <f>"2025-12-18 03:29:11.883"</f>
        <v>2025-12-18 03:29:11.883</v>
      </c>
      <c r="H843" t="s">
        <v>21</v>
      </c>
      <c r="I843">
        <v>2.74</v>
      </c>
      <c r="J843" t="s">
        <v>42</v>
      </c>
    </row>
    <row r="844" spans="1:10" x14ac:dyDescent="0.25">
      <c r="A844" s="1">
        <v>85</v>
      </c>
      <c r="B844" t="s">
        <v>25</v>
      </c>
      <c r="C844">
        <v>635</v>
      </c>
      <c r="D844">
        <v>1</v>
      </c>
      <c r="E844" t="s">
        <v>45</v>
      </c>
      <c r="F844" t="s">
        <v>27</v>
      </c>
      <c r="G844" t="str">
        <f>"2025-12-18 03:24:07.383"</f>
        <v>2025-12-18 03:24:07.383</v>
      </c>
      <c r="H844" t="s">
        <v>21</v>
      </c>
    </row>
    <row r="845" spans="1:10" x14ac:dyDescent="0.25">
      <c r="A845" s="1">
        <v>86</v>
      </c>
      <c r="B845" t="s">
        <v>29</v>
      </c>
      <c r="C845">
        <v>635</v>
      </c>
      <c r="D845">
        <v>1</v>
      </c>
      <c r="E845" t="s">
        <v>45</v>
      </c>
      <c r="F845" t="s">
        <v>27</v>
      </c>
      <c r="G845" t="str">
        <f>"2025-12-18 03:21:36.383"</f>
        <v>2025-12-18 03:21:36.383</v>
      </c>
      <c r="H845" t="s">
        <v>21</v>
      </c>
      <c r="I845">
        <v>3.05</v>
      </c>
      <c r="J845" t="s">
        <v>42</v>
      </c>
    </row>
    <row r="846" spans="1:10" x14ac:dyDescent="0.25">
      <c r="A846" s="1">
        <v>87</v>
      </c>
      <c r="B846" t="s">
        <v>25</v>
      </c>
      <c r="C846">
        <v>635</v>
      </c>
      <c r="D846">
        <v>1</v>
      </c>
      <c r="E846" t="s">
        <v>45</v>
      </c>
      <c r="F846" t="s">
        <v>27</v>
      </c>
      <c r="G846" t="str">
        <f>"2025-12-18 03:16:54.383"</f>
        <v>2025-12-18 03:16:54.383</v>
      </c>
      <c r="H846" t="s">
        <v>21</v>
      </c>
    </row>
    <row r="847" spans="1:10" x14ac:dyDescent="0.25">
      <c r="A847" s="1">
        <v>88</v>
      </c>
      <c r="B847" t="s">
        <v>29</v>
      </c>
      <c r="C847">
        <v>635</v>
      </c>
      <c r="D847">
        <v>1</v>
      </c>
      <c r="E847" t="s">
        <v>45</v>
      </c>
      <c r="F847" t="s">
        <v>27</v>
      </c>
      <c r="G847" t="str">
        <f>"2025-12-18 03:14:38.483"</f>
        <v>2025-12-18 03:14:38.483</v>
      </c>
      <c r="H847" t="s">
        <v>21</v>
      </c>
      <c r="I847">
        <v>3.63</v>
      </c>
      <c r="J847" t="s">
        <v>42</v>
      </c>
    </row>
    <row r="848" spans="1:10" x14ac:dyDescent="0.25">
      <c r="A848" s="1">
        <v>89</v>
      </c>
      <c r="B848" t="s">
        <v>25</v>
      </c>
      <c r="C848">
        <v>635</v>
      </c>
      <c r="D848">
        <v>1</v>
      </c>
      <c r="E848" t="s">
        <v>45</v>
      </c>
      <c r="F848" t="s">
        <v>27</v>
      </c>
      <c r="G848" t="str">
        <f>"2025-12-17 21:39:11.383"</f>
        <v>2025-12-17 21:39:11.383</v>
      </c>
      <c r="H848" t="s">
        <v>21</v>
      </c>
    </row>
    <row r="849" spans="1:10" x14ac:dyDescent="0.25">
      <c r="A849" s="1">
        <v>90</v>
      </c>
      <c r="B849" t="s">
        <v>29</v>
      </c>
      <c r="C849">
        <v>635</v>
      </c>
      <c r="D849">
        <v>1</v>
      </c>
      <c r="E849" t="s">
        <v>45</v>
      </c>
      <c r="F849" t="s">
        <v>27</v>
      </c>
      <c r="G849" t="str">
        <f>"2025-12-17 21:36:29.883"</f>
        <v>2025-12-17 21:36:29.883</v>
      </c>
      <c r="H849" t="s">
        <v>21</v>
      </c>
      <c r="I849">
        <v>7.15</v>
      </c>
      <c r="J849" t="s">
        <v>42</v>
      </c>
    </row>
    <row r="850" spans="1:10" x14ac:dyDescent="0.25">
      <c r="A850" s="1">
        <v>91</v>
      </c>
      <c r="B850" t="s">
        <v>25</v>
      </c>
      <c r="C850">
        <v>635</v>
      </c>
      <c r="D850">
        <v>1</v>
      </c>
      <c r="E850" t="s">
        <v>45</v>
      </c>
      <c r="F850" t="s">
        <v>27</v>
      </c>
      <c r="G850" t="str">
        <f>"2025-12-17 20:48:09.883"</f>
        <v>2025-12-17 20:48:09.883</v>
      </c>
      <c r="H850" t="s">
        <v>21</v>
      </c>
    </row>
    <row r="851" spans="1:10" x14ac:dyDescent="0.25">
      <c r="A851" s="1">
        <v>92</v>
      </c>
      <c r="B851" t="s">
        <v>29</v>
      </c>
      <c r="C851">
        <v>635</v>
      </c>
      <c r="D851">
        <v>1</v>
      </c>
      <c r="E851" t="s">
        <v>45</v>
      </c>
      <c r="F851" t="s">
        <v>27</v>
      </c>
      <c r="G851" t="str">
        <f>"2025-12-17 20:45:03.883"</f>
        <v>2025-12-17 20:45:03.883</v>
      </c>
      <c r="H851" t="s">
        <v>21</v>
      </c>
      <c r="I851">
        <v>7.5</v>
      </c>
      <c r="J851" t="s">
        <v>42</v>
      </c>
    </row>
    <row r="852" spans="1:10" x14ac:dyDescent="0.25">
      <c r="A852" s="1">
        <v>93</v>
      </c>
      <c r="B852" t="s">
        <v>25</v>
      </c>
      <c r="C852">
        <v>635</v>
      </c>
      <c r="D852">
        <v>1</v>
      </c>
      <c r="E852" t="s">
        <v>45</v>
      </c>
      <c r="F852" t="s">
        <v>27</v>
      </c>
      <c r="G852" t="str">
        <f>"2025-12-17 18:44:20.583"</f>
        <v>2025-12-17 18:44:20.583</v>
      </c>
      <c r="H852" t="s">
        <v>21</v>
      </c>
    </row>
    <row r="853" spans="1:10" x14ac:dyDescent="0.25">
      <c r="A853" s="1">
        <v>94</v>
      </c>
      <c r="B853" t="s">
        <v>29</v>
      </c>
      <c r="C853">
        <v>635</v>
      </c>
      <c r="D853">
        <v>1</v>
      </c>
      <c r="E853" t="s">
        <v>45</v>
      </c>
      <c r="F853" t="s">
        <v>27</v>
      </c>
      <c r="G853" t="str">
        <f>"2025-12-17 18:36:41.583"</f>
        <v>2025-12-17 18:36:41.583</v>
      </c>
      <c r="H853" t="s">
        <v>21</v>
      </c>
      <c r="I853">
        <v>0</v>
      </c>
      <c r="J853" t="s">
        <v>37</v>
      </c>
    </row>
    <row r="854" spans="1:10" x14ac:dyDescent="0.25">
      <c r="A854" s="1">
        <v>95</v>
      </c>
      <c r="B854" t="s">
        <v>25</v>
      </c>
      <c r="C854">
        <v>635</v>
      </c>
      <c r="D854">
        <v>1</v>
      </c>
      <c r="E854" t="s">
        <v>45</v>
      </c>
      <c r="F854" t="s">
        <v>27</v>
      </c>
      <c r="G854" t="str">
        <f>"2025-12-17 17:46:16.683"</f>
        <v>2025-12-17 17:46:16.683</v>
      </c>
      <c r="H854" t="s">
        <v>21</v>
      </c>
    </row>
    <row r="855" spans="1:10" x14ac:dyDescent="0.25">
      <c r="A855" s="1">
        <v>96</v>
      </c>
      <c r="B855" t="s">
        <v>29</v>
      </c>
      <c r="C855">
        <v>635</v>
      </c>
      <c r="D855">
        <v>1</v>
      </c>
      <c r="E855" t="s">
        <v>45</v>
      </c>
      <c r="F855" t="s">
        <v>27</v>
      </c>
      <c r="G855" t="str">
        <f>"2025-12-17 17:44:02.683"</f>
        <v>2025-12-17 17:44:02.683</v>
      </c>
      <c r="H855" t="s">
        <v>21</v>
      </c>
      <c r="I855">
        <v>0</v>
      </c>
      <c r="J855" t="s">
        <v>37</v>
      </c>
    </row>
    <row r="856" spans="1:10" x14ac:dyDescent="0.25">
      <c r="A856" s="1">
        <v>97</v>
      </c>
      <c r="B856" t="s">
        <v>25</v>
      </c>
      <c r="C856">
        <v>635</v>
      </c>
      <c r="D856">
        <v>1</v>
      </c>
      <c r="E856" t="s">
        <v>45</v>
      </c>
      <c r="F856" t="s">
        <v>27</v>
      </c>
      <c r="G856" t="str">
        <f>"2025-12-17 11:55:11.583"</f>
        <v>2025-12-17 11:55:11.583</v>
      </c>
      <c r="H856" t="s">
        <v>21</v>
      </c>
    </row>
    <row r="857" spans="1:10" x14ac:dyDescent="0.25">
      <c r="A857" s="1">
        <v>98</v>
      </c>
      <c r="B857" t="s">
        <v>29</v>
      </c>
      <c r="C857">
        <v>635</v>
      </c>
      <c r="D857">
        <v>1</v>
      </c>
      <c r="E857" t="s">
        <v>45</v>
      </c>
      <c r="F857" t="s">
        <v>27</v>
      </c>
      <c r="G857" t="str">
        <f>"2025-12-17 11:53:11.583"</f>
        <v>2025-12-17 11:53:11.583</v>
      </c>
      <c r="H857" t="s">
        <v>21</v>
      </c>
      <c r="I857">
        <v>0</v>
      </c>
      <c r="J857" t="s">
        <v>37</v>
      </c>
    </row>
    <row r="858" spans="1:10" x14ac:dyDescent="0.25">
      <c r="A858" s="1">
        <v>99</v>
      </c>
      <c r="B858" t="s">
        <v>25</v>
      </c>
      <c r="C858">
        <v>635</v>
      </c>
      <c r="D858">
        <v>1</v>
      </c>
      <c r="E858" t="s">
        <v>45</v>
      </c>
      <c r="F858" t="s">
        <v>27</v>
      </c>
      <c r="G858" t="str">
        <f>"2025-12-17 10:04:17.783"</f>
        <v>2025-12-17 10:04:17.783</v>
      </c>
      <c r="H858" t="s">
        <v>21</v>
      </c>
    </row>
    <row r="859" spans="1:10" x14ac:dyDescent="0.25">
      <c r="A859" s="1">
        <v>0</v>
      </c>
      <c r="B859" t="s">
        <v>29</v>
      </c>
      <c r="C859">
        <v>635</v>
      </c>
      <c r="D859">
        <v>1</v>
      </c>
      <c r="E859" t="s">
        <v>45</v>
      </c>
      <c r="F859" t="s">
        <v>27</v>
      </c>
      <c r="G859" t="str">
        <f>"2025-12-17 10:01:40.283"</f>
        <v>2025-12-17 10:01:40.283</v>
      </c>
      <c r="H859" t="s">
        <v>21</v>
      </c>
      <c r="I859">
        <v>0</v>
      </c>
      <c r="J859" t="s">
        <v>37</v>
      </c>
    </row>
    <row r="860" spans="1:10" x14ac:dyDescent="0.25">
      <c r="A860" s="1">
        <v>1</v>
      </c>
      <c r="B860" t="s">
        <v>25</v>
      </c>
      <c r="C860">
        <v>635</v>
      </c>
      <c r="D860">
        <v>1</v>
      </c>
      <c r="E860" t="s">
        <v>45</v>
      </c>
      <c r="F860" t="s">
        <v>27</v>
      </c>
      <c r="G860" t="str">
        <f>"2025-12-17 05:11:31.583"</f>
        <v>2025-12-17 05:11:31.583</v>
      </c>
      <c r="H860" t="s">
        <v>21</v>
      </c>
    </row>
    <row r="861" spans="1:10" x14ac:dyDescent="0.25">
      <c r="A861" s="1">
        <v>2</v>
      </c>
      <c r="B861" t="s">
        <v>29</v>
      </c>
      <c r="C861">
        <v>635</v>
      </c>
      <c r="D861">
        <v>1</v>
      </c>
      <c r="E861" t="s">
        <v>45</v>
      </c>
      <c r="F861" t="s">
        <v>27</v>
      </c>
      <c r="G861" t="str">
        <f>"2025-12-17 05:08:23.083"</f>
        <v>2025-12-17 05:08:23.083</v>
      </c>
      <c r="H861" t="s">
        <v>21</v>
      </c>
      <c r="I861">
        <v>8.34</v>
      </c>
      <c r="J861" t="s">
        <v>42</v>
      </c>
    </row>
    <row r="862" spans="1:10" s="3" customFormat="1" x14ac:dyDescent="0.25">
      <c r="A862" s="2">
        <v>3</v>
      </c>
      <c r="B862" s="3" t="s">
        <v>25</v>
      </c>
      <c r="C862" s="3">
        <v>647</v>
      </c>
      <c r="D862" s="3">
        <v>1</v>
      </c>
      <c r="E862" s="3" t="s">
        <v>55</v>
      </c>
      <c r="F862" s="3" t="s">
        <v>56</v>
      </c>
      <c r="G862" s="3" t="str">
        <f>"2025-12-16 11:21:22.684"</f>
        <v>2025-12-16 11:21:22.684</v>
      </c>
      <c r="H862" s="3" t="s">
        <v>21</v>
      </c>
    </row>
    <row r="863" spans="1:10" s="3" customFormat="1" x14ac:dyDescent="0.25">
      <c r="A863" s="2">
        <v>4</v>
      </c>
      <c r="B863" s="3" t="s">
        <v>29</v>
      </c>
      <c r="C863" s="3">
        <v>647</v>
      </c>
      <c r="D863" s="3">
        <v>1</v>
      </c>
      <c r="E863" s="3" t="s">
        <v>55</v>
      </c>
      <c r="F863" s="3" t="s">
        <v>56</v>
      </c>
      <c r="G863" s="3" t="str">
        <f>"2025-12-16 11:21:19.984"</f>
        <v>2025-12-16 11:21:19.984</v>
      </c>
      <c r="H863" s="3" t="s">
        <v>21</v>
      </c>
      <c r="I863" s="3">
        <v>13.95</v>
      </c>
      <c r="J863" s="3" t="s">
        <v>54</v>
      </c>
    </row>
    <row r="864" spans="1:10" x14ac:dyDescent="0.25">
      <c r="A864" s="1">
        <v>5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"2025-12-16 11:15:30.113"</f>
        <v>2025-12-16 11:15:30.113</v>
      </c>
      <c r="H864" t="s">
        <v>21</v>
      </c>
      <c r="I864">
        <v>0</v>
      </c>
      <c r="J864" t="s">
        <v>32</v>
      </c>
    </row>
    <row r="865" spans="1:10" x14ac:dyDescent="0.25">
      <c r="A865" s="1">
        <v>6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"2025-12-15 10:43:31.244"</f>
        <v>2025-12-15 10:43:31.244</v>
      </c>
      <c r="H865" t="s">
        <v>21</v>
      </c>
      <c r="I865">
        <v>0</v>
      </c>
      <c r="J865" t="s">
        <v>32</v>
      </c>
    </row>
    <row r="866" spans="1:10" x14ac:dyDescent="0.25">
      <c r="A866" s="1">
        <v>7</v>
      </c>
      <c r="B866" t="s">
        <v>19</v>
      </c>
      <c r="C866">
        <v>706</v>
      </c>
      <c r="D866">
        <v>4</v>
      </c>
      <c r="E866" t="s">
        <v>22</v>
      </c>
      <c r="F866" t="s">
        <v>31</v>
      </c>
      <c r="G866" t="str">
        <f>"2025-12-15 10:32:46.852"</f>
        <v>2025-12-15 10:32:46.852</v>
      </c>
      <c r="H866" t="s">
        <v>21</v>
      </c>
      <c r="I866">
        <v>0</v>
      </c>
      <c r="J866" t="s">
        <v>24</v>
      </c>
    </row>
    <row r="867" spans="1:10" x14ac:dyDescent="0.25">
      <c r="A867" s="1">
        <v>8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"2025-12-15 10:27:27.122"</f>
        <v>2025-12-15 10:27:27.122</v>
      </c>
      <c r="H867" t="s">
        <v>21</v>
      </c>
      <c r="I867">
        <v>0</v>
      </c>
      <c r="J867" t="s">
        <v>32</v>
      </c>
    </row>
    <row r="868" spans="1:10" x14ac:dyDescent="0.25">
      <c r="A868" s="1">
        <v>9</v>
      </c>
      <c r="B868" t="s">
        <v>19</v>
      </c>
      <c r="C868">
        <v>700</v>
      </c>
      <c r="D868">
        <v>0</v>
      </c>
      <c r="E868" t="s">
        <v>20</v>
      </c>
      <c r="F868" t="s">
        <v>20</v>
      </c>
      <c r="G868" t="str">
        <f>"2025-12-15 08:53:56.107"</f>
        <v>2025-12-15 08:53:56.107</v>
      </c>
      <c r="H868" t="s">
        <v>21</v>
      </c>
      <c r="I868">
        <v>0</v>
      </c>
      <c r="J868" t="s">
        <v>32</v>
      </c>
    </row>
    <row r="869" spans="1:10" x14ac:dyDescent="0.25">
      <c r="A869" s="1">
        <v>10</v>
      </c>
      <c r="B869" t="s">
        <v>25</v>
      </c>
      <c r="C869">
        <v>98</v>
      </c>
      <c r="D869">
        <v>1</v>
      </c>
      <c r="E869" t="s">
        <v>64</v>
      </c>
      <c r="F869" t="s">
        <v>65</v>
      </c>
      <c r="G869" t="str">
        <f>"2025-12-14 18:49:41.079"</f>
        <v>2025-12-14 18:49:41.079</v>
      </c>
      <c r="H869" t="s">
        <v>21</v>
      </c>
    </row>
    <row r="870" spans="1:10" x14ac:dyDescent="0.25">
      <c r="A870" s="1">
        <v>11</v>
      </c>
      <c r="B870" t="s">
        <v>29</v>
      </c>
      <c r="C870">
        <v>98</v>
      </c>
      <c r="D870">
        <v>1</v>
      </c>
      <c r="E870" t="s">
        <v>64</v>
      </c>
      <c r="F870" t="s">
        <v>65</v>
      </c>
      <c r="G870" t="str">
        <f>"2025-12-14 18:49:40.080"</f>
        <v>2025-12-14 18:49:40.080</v>
      </c>
      <c r="H870" t="s">
        <v>21</v>
      </c>
      <c r="I870">
        <v>0</v>
      </c>
      <c r="J870" t="s">
        <v>37</v>
      </c>
    </row>
    <row r="871" spans="1:10" x14ac:dyDescent="0.25">
      <c r="A871" s="1">
        <v>12</v>
      </c>
      <c r="B871" t="s">
        <v>25</v>
      </c>
      <c r="C871">
        <v>635</v>
      </c>
      <c r="D871">
        <v>1</v>
      </c>
      <c r="E871" t="s">
        <v>45</v>
      </c>
      <c r="F871" t="s">
        <v>27</v>
      </c>
      <c r="G871" t="str">
        <f>"2025-12-14 17:06:19.939"</f>
        <v>2025-12-14 17:06:19.939</v>
      </c>
      <c r="H871" t="s">
        <v>21</v>
      </c>
    </row>
    <row r="872" spans="1:10" x14ac:dyDescent="0.25">
      <c r="A872" s="1">
        <v>13</v>
      </c>
      <c r="B872" t="s">
        <v>29</v>
      </c>
      <c r="C872">
        <v>635</v>
      </c>
      <c r="D872">
        <v>1</v>
      </c>
      <c r="E872" t="s">
        <v>45</v>
      </c>
      <c r="F872" t="s">
        <v>27</v>
      </c>
      <c r="G872" t="str">
        <f>"2025-12-14 16:45:21.940"</f>
        <v>2025-12-14 16:45:21.940</v>
      </c>
      <c r="H872" t="s">
        <v>21</v>
      </c>
      <c r="I872">
        <v>3.05</v>
      </c>
      <c r="J872" t="s">
        <v>54</v>
      </c>
    </row>
    <row r="873" spans="1:10" x14ac:dyDescent="0.25">
      <c r="A873" s="1">
        <v>14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"2025-12-13 14:11:00.109"</f>
        <v>2025-12-13 14:11:00.109</v>
      </c>
      <c r="H873" t="s">
        <v>21</v>
      </c>
    </row>
    <row r="874" spans="1:10" x14ac:dyDescent="0.25">
      <c r="A874" s="1">
        <v>15</v>
      </c>
      <c r="B874" t="s">
        <v>25</v>
      </c>
      <c r="C874">
        <v>635</v>
      </c>
      <c r="D874">
        <v>1</v>
      </c>
      <c r="E874" t="s">
        <v>45</v>
      </c>
      <c r="F874" t="s">
        <v>27</v>
      </c>
      <c r="G874" t="str">
        <f>"2025-12-13 05:56:06.121"</f>
        <v>2025-12-13 05:56:06.121</v>
      </c>
      <c r="H874" t="s">
        <v>21</v>
      </c>
    </row>
    <row r="875" spans="1:10" x14ac:dyDescent="0.25">
      <c r="A875" s="1">
        <v>16</v>
      </c>
      <c r="B875" t="s">
        <v>29</v>
      </c>
      <c r="C875">
        <v>635</v>
      </c>
      <c r="D875">
        <v>1</v>
      </c>
      <c r="E875" t="s">
        <v>45</v>
      </c>
      <c r="F875" t="s">
        <v>27</v>
      </c>
      <c r="G875" t="str">
        <f>"2025-12-13 05:53:13.622"</f>
        <v>2025-12-13 05:53:13.622</v>
      </c>
      <c r="H875" t="s">
        <v>21</v>
      </c>
      <c r="I875">
        <v>8.59</v>
      </c>
      <c r="J875" t="s">
        <v>42</v>
      </c>
    </row>
    <row r="876" spans="1:10" s="3" customFormat="1" x14ac:dyDescent="0.25">
      <c r="A876" s="2">
        <v>17</v>
      </c>
      <c r="B876" s="3" t="s">
        <v>25</v>
      </c>
      <c r="C876" s="3">
        <v>647</v>
      </c>
      <c r="D876" s="3">
        <v>1</v>
      </c>
      <c r="E876" s="3" t="s">
        <v>55</v>
      </c>
      <c r="F876" s="3" t="s">
        <v>56</v>
      </c>
      <c r="G876" s="3" t="str">
        <f>"2025-12-12 16:04:51.070"</f>
        <v>2025-12-12 16:04:51.070</v>
      </c>
      <c r="H876" s="3" t="s">
        <v>21</v>
      </c>
    </row>
    <row r="877" spans="1:10" s="3" customFormat="1" x14ac:dyDescent="0.25">
      <c r="A877" s="2">
        <v>18</v>
      </c>
      <c r="B877" s="3" t="s">
        <v>29</v>
      </c>
      <c r="C877" s="3">
        <v>647</v>
      </c>
      <c r="D877" s="3">
        <v>1</v>
      </c>
      <c r="E877" s="3" t="s">
        <v>55</v>
      </c>
      <c r="F877" s="3" t="s">
        <v>56</v>
      </c>
      <c r="G877" s="3" t="str">
        <f>"2025-12-12 16:04:48.970"</f>
        <v>2025-12-12 16:04:48.970</v>
      </c>
      <c r="H877" s="3" t="s">
        <v>21</v>
      </c>
      <c r="I877" s="3">
        <v>20.47</v>
      </c>
      <c r="J877" s="3" t="s">
        <v>37</v>
      </c>
    </row>
    <row r="878" spans="1:10" s="3" customFormat="1" x14ac:dyDescent="0.25">
      <c r="A878" s="2">
        <v>19</v>
      </c>
      <c r="B878" s="3" t="s">
        <v>25</v>
      </c>
      <c r="C878" s="3">
        <v>647</v>
      </c>
      <c r="D878" s="3">
        <v>1</v>
      </c>
      <c r="E878" s="3" t="s">
        <v>55</v>
      </c>
      <c r="F878" s="3" t="s">
        <v>56</v>
      </c>
      <c r="G878" s="3" t="str">
        <f>"2025-12-12 13:10:00.470"</f>
        <v>2025-12-12 13:10:00.470</v>
      </c>
      <c r="H878" s="3" t="s">
        <v>21</v>
      </c>
    </row>
    <row r="879" spans="1:10" s="3" customFormat="1" x14ac:dyDescent="0.25">
      <c r="A879" s="2">
        <v>20</v>
      </c>
      <c r="B879" s="3" t="s">
        <v>29</v>
      </c>
      <c r="C879" s="3">
        <v>647</v>
      </c>
      <c r="D879" s="3">
        <v>1</v>
      </c>
      <c r="E879" s="3" t="s">
        <v>55</v>
      </c>
      <c r="F879" s="3" t="s">
        <v>56</v>
      </c>
      <c r="G879" s="3" t="str">
        <f>"2025-12-12 13:09:55.970"</f>
        <v>2025-12-12 13:09:55.970</v>
      </c>
      <c r="H879" s="3" t="s">
        <v>21</v>
      </c>
      <c r="I879" s="3">
        <v>13.68</v>
      </c>
      <c r="J879" s="3" t="s">
        <v>54</v>
      </c>
    </row>
    <row r="880" spans="1:10" s="3" customFormat="1" x14ac:dyDescent="0.25">
      <c r="A880" s="2">
        <v>21</v>
      </c>
      <c r="B880" s="3" t="s">
        <v>25</v>
      </c>
      <c r="C880" s="3">
        <v>647</v>
      </c>
      <c r="D880" s="3">
        <v>1</v>
      </c>
      <c r="E880" s="3" t="s">
        <v>55</v>
      </c>
      <c r="F880" s="3" t="s">
        <v>56</v>
      </c>
      <c r="G880" s="3" t="str">
        <f>"2025-12-12 12:12:49.470"</f>
        <v>2025-12-12 12:12:49.470</v>
      </c>
      <c r="H880" s="3" t="s">
        <v>21</v>
      </c>
    </row>
    <row r="881" spans="1:10" s="3" customFormat="1" x14ac:dyDescent="0.25">
      <c r="A881" s="2">
        <v>22</v>
      </c>
      <c r="B881" s="3" t="s">
        <v>29</v>
      </c>
      <c r="C881" s="3">
        <v>647</v>
      </c>
      <c r="D881" s="3">
        <v>1</v>
      </c>
      <c r="E881" s="3" t="s">
        <v>55</v>
      </c>
      <c r="F881" s="3" t="s">
        <v>56</v>
      </c>
      <c r="G881" s="3" t="str">
        <f>"2025-12-12 12:12:45.970"</f>
        <v>2025-12-12 12:12:45.970</v>
      </c>
      <c r="H881" s="3" t="s">
        <v>21</v>
      </c>
      <c r="I881" s="3">
        <v>33.36</v>
      </c>
      <c r="J881" s="3" t="s">
        <v>54</v>
      </c>
    </row>
    <row r="882" spans="1:10" s="3" customFormat="1" x14ac:dyDescent="0.25">
      <c r="A882" s="2">
        <v>23</v>
      </c>
      <c r="B882" s="3" t="s">
        <v>25</v>
      </c>
      <c r="C882" s="3">
        <v>647</v>
      </c>
      <c r="D882" s="3">
        <v>1</v>
      </c>
      <c r="E882" s="3" t="s">
        <v>55</v>
      </c>
      <c r="F882" s="3" t="s">
        <v>56</v>
      </c>
      <c r="G882" s="3" t="str">
        <f>"2025-12-11 17:58:58.070"</f>
        <v>2025-12-11 17:58:58.070</v>
      </c>
      <c r="H882" s="3" t="s">
        <v>21</v>
      </c>
    </row>
    <row r="883" spans="1:10" s="3" customFormat="1" x14ac:dyDescent="0.25">
      <c r="A883" s="2">
        <v>24</v>
      </c>
      <c r="B883" s="3" t="s">
        <v>29</v>
      </c>
      <c r="C883" s="3">
        <v>647</v>
      </c>
      <c r="D883" s="3">
        <v>1</v>
      </c>
      <c r="E883" s="3" t="s">
        <v>55</v>
      </c>
      <c r="F883" s="3" t="s">
        <v>56</v>
      </c>
      <c r="G883" s="3" t="str">
        <f>"2025-12-11 17:58:56.370"</f>
        <v>2025-12-11 17:58:56.370</v>
      </c>
      <c r="H883" s="3" t="s">
        <v>21</v>
      </c>
      <c r="I883" s="3">
        <v>15.26</v>
      </c>
      <c r="J883" s="3" t="s">
        <v>37</v>
      </c>
    </row>
    <row r="884" spans="1:10" x14ac:dyDescent="0.25">
      <c r="A884" s="1">
        <v>25</v>
      </c>
      <c r="B884" t="s">
        <v>25</v>
      </c>
      <c r="C884">
        <v>635</v>
      </c>
      <c r="D884">
        <v>1</v>
      </c>
      <c r="E884" t="s">
        <v>45</v>
      </c>
      <c r="F884" t="s">
        <v>27</v>
      </c>
      <c r="G884" t="str">
        <f>"2025-12-11 15:46:41.422"</f>
        <v>2025-12-11 15:46:41.422</v>
      </c>
      <c r="H884" t="s">
        <v>21</v>
      </c>
    </row>
    <row r="885" spans="1:10" x14ac:dyDescent="0.25">
      <c r="A885" s="1">
        <v>26</v>
      </c>
      <c r="B885" t="s">
        <v>29</v>
      </c>
      <c r="C885">
        <v>635</v>
      </c>
      <c r="D885">
        <v>1</v>
      </c>
      <c r="E885" t="s">
        <v>45</v>
      </c>
      <c r="F885" t="s">
        <v>27</v>
      </c>
      <c r="G885" t="str">
        <f>"2025-12-11 15:42:54.422"</f>
        <v>2025-12-11 15:42:54.422</v>
      </c>
      <c r="H885" t="s">
        <v>21</v>
      </c>
      <c r="I885">
        <v>3.84</v>
      </c>
      <c r="J885" t="s">
        <v>54</v>
      </c>
    </row>
    <row r="886" spans="1:10" s="3" customFormat="1" x14ac:dyDescent="0.25">
      <c r="A886" s="2">
        <v>27</v>
      </c>
      <c r="B886" s="3" t="s">
        <v>25</v>
      </c>
      <c r="C886" s="3">
        <v>647</v>
      </c>
      <c r="D886" s="3">
        <v>1</v>
      </c>
      <c r="E886" s="3" t="s">
        <v>55</v>
      </c>
      <c r="F886" s="3" t="s">
        <v>56</v>
      </c>
      <c r="G886" s="3" t="str">
        <f>"2025-12-11 13:48:40.870"</f>
        <v>2025-12-11 13:48:40.870</v>
      </c>
      <c r="H886" s="3" t="s">
        <v>21</v>
      </c>
    </row>
    <row r="887" spans="1:10" s="3" customFormat="1" x14ac:dyDescent="0.25">
      <c r="A887" s="2">
        <v>28</v>
      </c>
      <c r="B887" s="3" t="s">
        <v>29</v>
      </c>
      <c r="C887" s="3">
        <v>647</v>
      </c>
      <c r="D887" s="3">
        <v>1</v>
      </c>
      <c r="E887" s="3" t="s">
        <v>55</v>
      </c>
      <c r="F887" s="3" t="s">
        <v>56</v>
      </c>
      <c r="G887" s="3" t="str">
        <f>"2025-12-11 13:48:34.370"</f>
        <v>2025-12-11 13:48:34.370</v>
      </c>
      <c r="H887" s="3" t="s">
        <v>21</v>
      </c>
      <c r="I887" s="3">
        <v>11.94</v>
      </c>
      <c r="J887" s="3" t="s">
        <v>54</v>
      </c>
    </row>
    <row r="888" spans="1:10" s="3" customFormat="1" x14ac:dyDescent="0.25">
      <c r="A888" s="2">
        <v>29</v>
      </c>
      <c r="B888" s="3" t="s">
        <v>25</v>
      </c>
      <c r="C888" s="3">
        <v>647</v>
      </c>
      <c r="D888" s="3">
        <v>1</v>
      </c>
      <c r="E888" s="3" t="s">
        <v>55</v>
      </c>
      <c r="F888" s="3" t="s">
        <v>56</v>
      </c>
      <c r="G888" s="3" t="str">
        <f>"2025-12-11 12:39:38.970"</f>
        <v>2025-12-11 12:39:38.970</v>
      </c>
      <c r="H888" s="3" t="s">
        <v>21</v>
      </c>
    </row>
    <row r="889" spans="1:10" s="3" customFormat="1" x14ac:dyDescent="0.25">
      <c r="A889" s="2">
        <v>30</v>
      </c>
      <c r="B889" s="3" t="s">
        <v>29</v>
      </c>
      <c r="C889" s="3">
        <v>647</v>
      </c>
      <c r="D889" s="3">
        <v>1</v>
      </c>
      <c r="E889" s="3" t="s">
        <v>55</v>
      </c>
      <c r="F889" s="3" t="s">
        <v>56</v>
      </c>
      <c r="G889" s="3" t="str">
        <f>"2025-12-11 12:39:36.070"</f>
        <v>2025-12-11 12:39:36.070</v>
      </c>
      <c r="H889" s="3" t="s">
        <v>21</v>
      </c>
      <c r="I889" s="3">
        <v>11.54</v>
      </c>
      <c r="J889" s="3" t="s">
        <v>54</v>
      </c>
    </row>
    <row r="890" spans="1:10" x14ac:dyDescent="0.25">
      <c r="A890" s="1">
        <v>31</v>
      </c>
      <c r="B890" t="s">
        <v>25</v>
      </c>
      <c r="C890">
        <v>635</v>
      </c>
      <c r="D890">
        <v>1</v>
      </c>
      <c r="E890" t="s">
        <v>45</v>
      </c>
      <c r="F890" t="s">
        <v>27</v>
      </c>
      <c r="G890" t="str">
        <f>"2025-12-11 12:10:24.722"</f>
        <v>2025-12-11 12:10:24.722</v>
      </c>
      <c r="H890" t="s">
        <v>21</v>
      </c>
    </row>
    <row r="891" spans="1:10" x14ac:dyDescent="0.25">
      <c r="A891" s="1">
        <v>32</v>
      </c>
      <c r="B891" t="s">
        <v>29</v>
      </c>
      <c r="C891">
        <v>635</v>
      </c>
      <c r="D891">
        <v>1</v>
      </c>
      <c r="E891" t="s">
        <v>45</v>
      </c>
      <c r="F891" t="s">
        <v>27</v>
      </c>
      <c r="G891" t="str">
        <f>"2025-12-11 12:06:19.222"</f>
        <v>2025-12-11 12:06:19.222</v>
      </c>
      <c r="H891" t="s">
        <v>21</v>
      </c>
      <c r="I891">
        <v>3.01</v>
      </c>
      <c r="J891" t="s">
        <v>54</v>
      </c>
    </row>
    <row r="892" spans="1:10" s="3" customFormat="1" x14ac:dyDescent="0.25">
      <c r="A892" s="2">
        <v>33</v>
      </c>
      <c r="B892" s="3" t="s">
        <v>25</v>
      </c>
      <c r="C892" s="3">
        <v>647</v>
      </c>
      <c r="D892" s="3">
        <v>1</v>
      </c>
      <c r="E892" s="3" t="s">
        <v>55</v>
      </c>
      <c r="F892" s="3" t="s">
        <v>56</v>
      </c>
      <c r="G892" s="3" t="str">
        <f>"2025-12-11 11:21:19.270"</f>
        <v>2025-12-11 11:21:19.270</v>
      </c>
      <c r="H892" s="3" t="s">
        <v>21</v>
      </c>
    </row>
    <row r="893" spans="1:10" s="3" customFormat="1" x14ac:dyDescent="0.25">
      <c r="A893" s="2">
        <v>34</v>
      </c>
      <c r="B893" s="3" t="s">
        <v>29</v>
      </c>
      <c r="C893" s="3">
        <v>647</v>
      </c>
      <c r="D893" s="3">
        <v>1</v>
      </c>
      <c r="E893" s="3" t="s">
        <v>55</v>
      </c>
      <c r="F893" s="3" t="s">
        <v>56</v>
      </c>
      <c r="G893" s="3" t="str">
        <f>"2025-12-11 11:21:16.971"</f>
        <v>2025-12-11 11:21:16.971</v>
      </c>
      <c r="H893" s="3" t="s">
        <v>21</v>
      </c>
      <c r="I893" s="3">
        <v>19.420000000000002</v>
      </c>
      <c r="J893" s="3" t="s">
        <v>37</v>
      </c>
    </row>
    <row r="894" spans="1:10" x14ac:dyDescent="0.25">
      <c r="A894" s="1">
        <v>35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"2025-12-11 08:22:57.132"</f>
        <v>2025-12-11 08:22:57.132</v>
      </c>
      <c r="H894" t="s">
        <v>21</v>
      </c>
      <c r="I894">
        <v>0</v>
      </c>
      <c r="J894" t="s">
        <v>32</v>
      </c>
    </row>
    <row r="895" spans="1:10" x14ac:dyDescent="0.25">
      <c r="A895" s="1">
        <v>36</v>
      </c>
      <c r="B895" t="s">
        <v>25</v>
      </c>
      <c r="C895">
        <v>635</v>
      </c>
      <c r="D895">
        <v>1</v>
      </c>
      <c r="E895" t="s">
        <v>45</v>
      </c>
      <c r="F895" t="s">
        <v>27</v>
      </c>
      <c r="G895" t="str">
        <f>"2025-12-11 07:23:12.865"</f>
        <v>2025-12-11 07:23:12.865</v>
      </c>
      <c r="H895" t="s">
        <v>21</v>
      </c>
    </row>
    <row r="896" spans="1:10" x14ac:dyDescent="0.25">
      <c r="A896" s="1">
        <v>37</v>
      </c>
      <c r="B896" t="s">
        <v>29</v>
      </c>
      <c r="C896">
        <v>635</v>
      </c>
      <c r="D896">
        <v>1</v>
      </c>
      <c r="E896" t="s">
        <v>45</v>
      </c>
      <c r="F896" t="s">
        <v>27</v>
      </c>
      <c r="G896" t="str">
        <f>"2025-12-11 07:19:56.865"</f>
        <v>2025-12-11 07:19:56.865</v>
      </c>
      <c r="H896" t="s">
        <v>21</v>
      </c>
      <c r="I896">
        <v>10.3</v>
      </c>
      <c r="J896" t="s">
        <v>54</v>
      </c>
    </row>
    <row r="897" spans="1:10" x14ac:dyDescent="0.25">
      <c r="A897" s="1">
        <v>38</v>
      </c>
      <c r="B897" t="s">
        <v>25</v>
      </c>
      <c r="C897">
        <v>61</v>
      </c>
      <c r="D897">
        <v>2</v>
      </c>
      <c r="E897" t="s">
        <v>57</v>
      </c>
      <c r="F897" t="s">
        <v>58</v>
      </c>
      <c r="G897" t="str">
        <f>"2025-12-11 02:49:51.819"</f>
        <v>2025-12-11 02:49:51.819</v>
      </c>
      <c r="H897" t="s">
        <v>21</v>
      </c>
    </row>
    <row r="898" spans="1:10" x14ac:dyDescent="0.25">
      <c r="A898" s="1">
        <v>39</v>
      </c>
      <c r="B898" t="s">
        <v>33</v>
      </c>
      <c r="C898">
        <v>61</v>
      </c>
      <c r="D898">
        <v>2</v>
      </c>
      <c r="E898" t="s">
        <v>57</v>
      </c>
      <c r="F898" t="s">
        <v>58</v>
      </c>
      <c r="G898" t="str">
        <f>"2025-12-11 02:49:47.619"</f>
        <v>2025-12-11 02:49:47.619</v>
      </c>
      <c r="H898" t="s">
        <v>21</v>
      </c>
      <c r="I898">
        <v>36.56</v>
      </c>
      <c r="J898" t="s">
        <v>54</v>
      </c>
    </row>
    <row r="899" spans="1:10" x14ac:dyDescent="0.25">
      <c r="A899" s="1">
        <v>40</v>
      </c>
      <c r="B899" t="s">
        <v>25</v>
      </c>
      <c r="C899">
        <v>61</v>
      </c>
      <c r="D899">
        <v>2</v>
      </c>
      <c r="E899" t="s">
        <v>57</v>
      </c>
      <c r="F899" t="s">
        <v>58</v>
      </c>
      <c r="G899" t="str">
        <f>"2025-12-11 01:59:32.319"</f>
        <v>2025-12-11 01:59:32.319</v>
      </c>
      <c r="H899" t="s">
        <v>21</v>
      </c>
    </row>
    <row r="900" spans="1:10" x14ac:dyDescent="0.25">
      <c r="A900" s="1">
        <v>41</v>
      </c>
      <c r="B900" t="s">
        <v>33</v>
      </c>
      <c r="C900">
        <v>61</v>
      </c>
      <c r="D900">
        <v>2</v>
      </c>
      <c r="E900" t="s">
        <v>57</v>
      </c>
      <c r="F900" t="s">
        <v>58</v>
      </c>
      <c r="G900" t="str">
        <f>"2025-12-11 01:59:26.219"</f>
        <v>2025-12-11 01:59:26.219</v>
      </c>
      <c r="H900" t="s">
        <v>21</v>
      </c>
      <c r="I900">
        <v>37.72</v>
      </c>
      <c r="J900" t="s">
        <v>54</v>
      </c>
    </row>
    <row r="901" spans="1:10" s="3" customFormat="1" x14ac:dyDescent="0.25">
      <c r="A901" s="2">
        <v>42</v>
      </c>
      <c r="B901" s="3" t="s">
        <v>25</v>
      </c>
      <c r="C901" s="3">
        <v>647</v>
      </c>
      <c r="D901" s="3">
        <v>1</v>
      </c>
      <c r="E901" s="3" t="s">
        <v>55</v>
      </c>
      <c r="F901" s="3" t="s">
        <v>56</v>
      </c>
      <c r="G901" s="3" t="str">
        <f>"2025-12-10 12:18:56.019"</f>
        <v>2025-12-10 12:18:56.019</v>
      </c>
      <c r="H901" s="3" t="s">
        <v>21</v>
      </c>
    </row>
    <row r="902" spans="1:10" s="3" customFormat="1" x14ac:dyDescent="0.25">
      <c r="A902" s="2">
        <v>43</v>
      </c>
      <c r="B902" s="3" t="s">
        <v>29</v>
      </c>
      <c r="C902" s="3">
        <v>647</v>
      </c>
      <c r="D902" s="3">
        <v>1</v>
      </c>
      <c r="E902" s="3" t="s">
        <v>55</v>
      </c>
      <c r="F902" s="3" t="s">
        <v>56</v>
      </c>
      <c r="G902" s="3" t="str">
        <f>"2025-12-10 12:18:54.919"</f>
        <v>2025-12-10 12:18:54.919</v>
      </c>
      <c r="H902" s="3" t="s">
        <v>21</v>
      </c>
      <c r="I902" s="3">
        <v>9.83</v>
      </c>
      <c r="J902" s="3" t="s">
        <v>54</v>
      </c>
    </row>
    <row r="903" spans="1:10" x14ac:dyDescent="0.25">
      <c r="A903" s="1">
        <v>44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"2025-12-10 10:41:10.116"</f>
        <v>2025-12-10 10:41:10.116</v>
      </c>
      <c r="H903" t="s">
        <v>21</v>
      </c>
      <c r="I903">
        <v>0</v>
      </c>
      <c r="J903" t="s">
        <v>32</v>
      </c>
    </row>
    <row r="904" spans="1:10" s="3" customFormat="1" x14ac:dyDescent="0.25">
      <c r="A904" s="2">
        <v>45</v>
      </c>
      <c r="B904" s="3" t="s">
        <v>25</v>
      </c>
      <c r="C904" s="3">
        <v>647</v>
      </c>
      <c r="D904" s="3">
        <v>1</v>
      </c>
      <c r="E904" s="3" t="s">
        <v>55</v>
      </c>
      <c r="F904" s="3" t="s">
        <v>56</v>
      </c>
      <c r="G904" s="3" t="str">
        <f>"2025-12-09 10:06:04.885"</f>
        <v>2025-12-09 10:06:04.885</v>
      </c>
      <c r="H904" s="3" t="s">
        <v>21</v>
      </c>
    </row>
    <row r="905" spans="1:10" s="3" customFormat="1" x14ac:dyDescent="0.25">
      <c r="A905" s="2">
        <v>46</v>
      </c>
      <c r="B905" s="3" t="s">
        <v>29</v>
      </c>
      <c r="C905" s="3">
        <v>647</v>
      </c>
      <c r="D905" s="3">
        <v>1</v>
      </c>
      <c r="E905" s="3" t="s">
        <v>55</v>
      </c>
      <c r="F905" s="3" t="s">
        <v>56</v>
      </c>
      <c r="G905" s="3" t="str">
        <f>"2025-12-09 10:06:02.185"</f>
        <v>2025-12-09 10:06:02.185</v>
      </c>
      <c r="H905" s="3" t="s">
        <v>21</v>
      </c>
      <c r="I905" s="3">
        <v>11.37</v>
      </c>
      <c r="J905" s="3" t="s">
        <v>54</v>
      </c>
    </row>
    <row r="906" spans="1:10" x14ac:dyDescent="0.25">
      <c r="A906" s="1">
        <v>47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"2025-12-09 09:44:50.107"</f>
        <v>2025-12-09 09:44:50.107</v>
      </c>
      <c r="H906" t="s">
        <v>21</v>
      </c>
      <c r="I906">
        <v>0</v>
      </c>
      <c r="J906" t="s">
        <v>32</v>
      </c>
    </row>
    <row r="907" spans="1:10" s="3" customFormat="1" x14ac:dyDescent="0.25">
      <c r="A907" s="2">
        <v>48</v>
      </c>
      <c r="B907" s="3" t="s">
        <v>25</v>
      </c>
      <c r="C907" s="3">
        <v>647</v>
      </c>
      <c r="D907" s="3">
        <v>1</v>
      </c>
      <c r="E907" s="3" t="s">
        <v>55</v>
      </c>
      <c r="F907" s="3" t="s">
        <v>56</v>
      </c>
      <c r="G907" s="3" t="str">
        <f>"2025-12-09 09:20:16.371"</f>
        <v>2025-12-09 09:20:16.371</v>
      </c>
      <c r="H907" s="3" t="s">
        <v>21</v>
      </c>
    </row>
    <row r="908" spans="1:10" s="3" customFormat="1" x14ac:dyDescent="0.25">
      <c r="A908" s="2">
        <v>49</v>
      </c>
      <c r="B908" s="3" t="s">
        <v>29</v>
      </c>
      <c r="C908" s="3">
        <v>647</v>
      </c>
      <c r="D908" s="3">
        <v>1</v>
      </c>
      <c r="E908" s="3" t="s">
        <v>55</v>
      </c>
      <c r="F908" s="3" t="s">
        <v>56</v>
      </c>
      <c r="G908" s="3" t="str">
        <f>"2025-12-09 09:20:10.872"</f>
        <v>2025-12-09 09:20:10.872</v>
      </c>
      <c r="H908" s="3" t="s">
        <v>21</v>
      </c>
      <c r="I908" s="3">
        <v>11.91</v>
      </c>
      <c r="J908" s="3" t="s">
        <v>54</v>
      </c>
    </row>
    <row r="909" spans="1:10" s="3" customFormat="1" x14ac:dyDescent="0.25">
      <c r="A909" s="2">
        <v>50</v>
      </c>
      <c r="B909" s="3" t="s">
        <v>25</v>
      </c>
      <c r="C909" s="3">
        <v>647</v>
      </c>
      <c r="D909" s="3">
        <v>1</v>
      </c>
      <c r="E909" s="3" t="s">
        <v>55</v>
      </c>
      <c r="F909" s="3" t="s">
        <v>56</v>
      </c>
      <c r="G909" s="3" t="str">
        <f>"2025-12-08 19:33:28.071"</f>
        <v>2025-12-08 19:33:28.071</v>
      </c>
      <c r="H909" s="3" t="s">
        <v>21</v>
      </c>
    </row>
    <row r="910" spans="1:10" s="3" customFormat="1" x14ac:dyDescent="0.25">
      <c r="A910" s="2">
        <v>51</v>
      </c>
      <c r="B910" s="3" t="s">
        <v>29</v>
      </c>
      <c r="C910" s="3">
        <v>647</v>
      </c>
      <c r="D910" s="3">
        <v>1</v>
      </c>
      <c r="E910" s="3" t="s">
        <v>55</v>
      </c>
      <c r="F910" s="3" t="s">
        <v>56</v>
      </c>
      <c r="G910" s="3" t="str">
        <f>"2025-12-08 19:33:23.771"</f>
        <v>2025-12-08 19:33:23.771</v>
      </c>
      <c r="H910" s="3" t="s">
        <v>21</v>
      </c>
      <c r="I910" s="3">
        <v>16.989999999999998</v>
      </c>
      <c r="J910" s="3" t="s">
        <v>54</v>
      </c>
    </row>
    <row r="911" spans="1:10" s="3" customFormat="1" x14ac:dyDescent="0.25">
      <c r="A911" s="2">
        <v>52</v>
      </c>
      <c r="B911" s="3" t="s">
        <v>25</v>
      </c>
      <c r="C911" s="3">
        <v>647</v>
      </c>
      <c r="D911" s="3">
        <v>1</v>
      </c>
      <c r="E911" s="3" t="s">
        <v>55</v>
      </c>
      <c r="F911" s="3" t="s">
        <v>56</v>
      </c>
      <c r="G911" s="3" t="str">
        <f>"2025-12-08 17:37:32.772"</f>
        <v>2025-12-08 17:37:32.772</v>
      </c>
      <c r="H911" s="3" t="s">
        <v>21</v>
      </c>
    </row>
    <row r="912" spans="1:10" s="3" customFormat="1" x14ac:dyDescent="0.25">
      <c r="A912" s="2">
        <v>53</v>
      </c>
      <c r="B912" s="3" t="s">
        <v>29</v>
      </c>
      <c r="C912" s="3">
        <v>647</v>
      </c>
      <c r="D912" s="3">
        <v>1</v>
      </c>
      <c r="E912" s="3" t="s">
        <v>55</v>
      </c>
      <c r="F912" s="3" t="s">
        <v>56</v>
      </c>
      <c r="G912" s="3" t="str">
        <f>"2025-12-08 17:37:30.571"</f>
        <v>2025-12-08 17:37:30.571</v>
      </c>
      <c r="H912" s="3" t="s">
        <v>21</v>
      </c>
      <c r="I912" s="3">
        <v>10.34</v>
      </c>
      <c r="J912" s="3" t="s">
        <v>54</v>
      </c>
    </row>
    <row r="913" spans="1:10" s="3" customFormat="1" x14ac:dyDescent="0.25">
      <c r="A913" s="2">
        <v>54</v>
      </c>
      <c r="B913" s="3" t="s">
        <v>25</v>
      </c>
      <c r="C913" s="3">
        <v>647</v>
      </c>
      <c r="D913" s="3">
        <v>1</v>
      </c>
      <c r="E913" s="3" t="s">
        <v>55</v>
      </c>
      <c r="F913" s="3" t="s">
        <v>56</v>
      </c>
      <c r="G913" s="3" t="str">
        <f>"2025-12-07 15:36:05.171"</f>
        <v>2025-12-07 15:36:05.171</v>
      </c>
      <c r="H913" s="3" t="s">
        <v>21</v>
      </c>
    </row>
    <row r="914" spans="1:10" s="3" customFormat="1" x14ac:dyDescent="0.25">
      <c r="A914" s="2">
        <v>55</v>
      </c>
      <c r="B914" s="3" t="s">
        <v>29</v>
      </c>
      <c r="C914" s="3">
        <v>647</v>
      </c>
      <c r="D914" s="3">
        <v>1</v>
      </c>
      <c r="E914" s="3" t="s">
        <v>55</v>
      </c>
      <c r="F914" s="3" t="s">
        <v>56</v>
      </c>
      <c r="G914" s="3" t="str">
        <f>"2025-12-07 15:36:02.871"</f>
        <v>2025-12-07 15:36:02.871</v>
      </c>
      <c r="H914" s="3" t="s">
        <v>21</v>
      </c>
      <c r="I914" s="3">
        <v>23.66</v>
      </c>
      <c r="J914" s="3" t="s">
        <v>54</v>
      </c>
    </row>
    <row r="915" spans="1:10" s="3" customFormat="1" x14ac:dyDescent="0.25">
      <c r="A915" s="2">
        <v>56</v>
      </c>
      <c r="B915" s="3" t="s">
        <v>25</v>
      </c>
      <c r="C915" s="3">
        <v>647</v>
      </c>
      <c r="D915" s="3">
        <v>1</v>
      </c>
      <c r="E915" s="3" t="s">
        <v>55</v>
      </c>
      <c r="F915" s="3" t="s">
        <v>56</v>
      </c>
      <c r="G915" s="3" t="str">
        <f>"2025-12-07 14:42:19.871"</f>
        <v>2025-12-07 14:42:19.871</v>
      </c>
      <c r="H915" s="3" t="s">
        <v>21</v>
      </c>
    </row>
    <row r="916" spans="1:10" s="3" customFormat="1" x14ac:dyDescent="0.25">
      <c r="A916" s="2">
        <v>57</v>
      </c>
      <c r="B916" s="3" t="s">
        <v>29</v>
      </c>
      <c r="C916" s="3">
        <v>647</v>
      </c>
      <c r="D916" s="3">
        <v>1</v>
      </c>
      <c r="E916" s="3" t="s">
        <v>55</v>
      </c>
      <c r="F916" s="3" t="s">
        <v>56</v>
      </c>
      <c r="G916" s="3" t="str">
        <f>"2025-12-07 14:42:14.171"</f>
        <v>2025-12-07 14:42:14.171</v>
      </c>
      <c r="H916" s="3" t="s">
        <v>21</v>
      </c>
      <c r="I916" s="3">
        <v>11.55</v>
      </c>
      <c r="J916" s="3" t="s">
        <v>54</v>
      </c>
    </row>
    <row r="917" spans="1:10" s="3" customFormat="1" x14ac:dyDescent="0.25">
      <c r="A917" s="2">
        <v>58</v>
      </c>
      <c r="B917" s="3" t="s">
        <v>25</v>
      </c>
      <c r="C917" s="3">
        <v>647</v>
      </c>
      <c r="D917" s="3">
        <v>1</v>
      </c>
      <c r="E917" s="3" t="s">
        <v>55</v>
      </c>
      <c r="F917" s="3" t="s">
        <v>56</v>
      </c>
      <c r="G917" s="3" t="str">
        <f>"2025-12-07 11:37:05.771"</f>
        <v>2025-12-07 11:37:05.771</v>
      </c>
      <c r="H917" s="3" t="s">
        <v>21</v>
      </c>
    </row>
    <row r="918" spans="1:10" s="3" customFormat="1" x14ac:dyDescent="0.25">
      <c r="A918" s="2">
        <v>59</v>
      </c>
      <c r="B918" s="3" t="s">
        <v>29</v>
      </c>
      <c r="C918" s="3">
        <v>647</v>
      </c>
      <c r="D918" s="3">
        <v>1</v>
      </c>
      <c r="E918" s="3" t="s">
        <v>55</v>
      </c>
      <c r="F918" s="3" t="s">
        <v>56</v>
      </c>
      <c r="G918" s="3" t="str">
        <f>"2025-12-07 11:37:04.271"</f>
        <v>2025-12-07 11:37:04.271</v>
      </c>
      <c r="H918" s="3" t="s">
        <v>21</v>
      </c>
      <c r="I918" s="3">
        <v>18.03</v>
      </c>
      <c r="J918" s="3" t="s">
        <v>54</v>
      </c>
    </row>
    <row r="919" spans="1:10" s="3" customFormat="1" x14ac:dyDescent="0.25">
      <c r="A919" s="2">
        <v>60</v>
      </c>
      <c r="B919" s="3" t="s">
        <v>25</v>
      </c>
      <c r="C919" s="3">
        <v>647</v>
      </c>
      <c r="D919" s="3">
        <v>1</v>
      </c>
      <c r="E919" s="3" t="s">
        <v>55</v>
      </c>
      <c r="F919" s="3" t="s">
        <v>56</v>
      </c>
      <c r="G919" s="3" t="str">
        <f>"2025-12-06 15:17:34.872"</f>
        <v>2025-12-06 15:17:34.872</v>
      </c>
      <c r="H919" s="3" t="s">
        <v>21</v>
      </c>
    </row>
    <row r="920" spans="1:10" s="3" customFormat="1" x14ac:dyDescent="0.25">
      <c r="A920" s="2">
        <v>61</v>
      </c>
      <c r="B920" s="3" t="s">
        <v>29</v>
      </c>
      <c r="C920" s="3">
        <v>647</v>
      </c>
      <c r="D920" s="3">
        <v>1</v>
      </c>
      <c r="E920" s="3" t="s">
        <v>55</v>
      </c>
      <c r="F920" s="3" t="s">
        <v>56</v>
      </c>
      <c r="G920" s="3" t="str">
        <f>"2025-12-06 15:17:27.971"</f>
        <v>2025-12-06 15:17:27.971</v>
      </c>
      <c r="H920" s="3" t="s">
        <v>21</v>
      </c>
      <c r="I920" s="3">
        <v>26.64</v>
      </c>
      <c r="J920" s="3" t="s">
        <v>54</v>
      </c>
    </row>
    <row r="921" spans="1:10" s="3" customFormat="1" x14ac:dyDescent="0.25">
      <c r="A921" s="2">
        <v>62</v>
      </c>
      <c r="B921" s="3" t="s">
        <v>25</v>
      </c>
      <c r="C921" s="3">
        <v>647</v>
      </c>
      <c r="D921" s="3">
        <v>1</v>
      </c>
      <c r="E921" s="3" t="s">
        <v>55</v>
      </c>
      <c r="F921" s="3" t="s">
        <v>56</v>
      </c>
      <c r="G921" s="3" t="str">
        <f>"2025-12-05 11:05:41.271"</f>
        <v>2025-12-05 11:05:41.271</v>
      </c>
      <c r="H921" s="3" t="s">
        <v>21</v>
      </c>
    </row>
    <row r="922" spans="1:10" s="3" customFormat="1" x14ac:dyDescent="0.25">
      <c r="A922" s="2">
        <v>63</v>
      </c>
      <c r="B922" s="3" t="s">
        <v>29</v>
      </c>
      <c r="C922" s="3">
        <v>647</v>
      </c>
      <c r="D922" s="3">
        <v>1</v>
      </c>
      <c r="E922" s="3" t="s">
        <v>55</v>
      </c>
      <c r="F922" s="3" t="s">
        <v>56</v>
      </c>
      <c r="G922" s="3" t="str">
        <f>"2025-12-05 11:05:35.371"</f>
        <v>2025-12-05 11:05:35.371</v>
      </c>
      <c r="H922" s="3" t="s">
        <v>21</v>
      </c>
      <c r="I922" s="3">
        <v>13.47</v>
      </c>
      <c r="J922" s="3" t="s">
        <v>54</v>
      </c>
    </row>
    <row r="923" spans="1:10" x14ac:dyDescent="0.25">
      <c r="A923" s="1">
        <v>64</v>
      </c>
      <c r="B923" t="s">
        <v>25</v>
      </c>
      <c r="C923">
        <v>635</v>
      </c>
      <c r="D923">
        <v>1</v>
      </c>
      <c r="E923" t="s">
        <v>45</v>
      </c>
      <c r="F923" t="s">
        <v>27</v>
      </c>
      <c r="G923" t="str">
        <f>"2025-12-05 10:59:29.571"</f>
        <v>2025-12-05 10:59:29.571</v>
      </c>
      <c r="H923" t="s">
        <v>21</v>
      </c>
    </row>
    <row r="924" spans="1:10" x14ac:dyDescent="0.25">
      <c r="A924" s="1">
        <v>65</v>
      </c>
      <c r="B924" t="s">
        <v>29</v>
      </c>
      <c r="C924">
        <v>635</v>
      </c>
      <c r="D924">
        <v>1</v>
      </c>
      <c r="E924" t="s">
        <v>45</v>
      </c>
      <c r="F924" t="s">
        <v>27</v>
      </c>
      <c r="G924" t="str">
        <f>"2025-12-05 10:56:11.571"</f>
        <v>2025-12-05 10:56:11.571</v>
      </c>
      <c r="H924" t="s">
        <v>21</v>
      </c>
      <c r="I924">
        <v>2.13</v>
      </c>
      <c r="J924" t="s">
        <v>42</v>
      </c>
    </row>
    <row r="925" spans="1:10" s="3" customFormat="1" x14ac:dyDescent="0.25">
      <c r="A925" s="2">
        <v>66</v>
      </c>
      <c r="B925" s="3" t="s">
        <v>25</v>
      </c>
      <c r="C925" s="3">
        <v>647</v>
      </c>
      <c r="D925" s="3">
        <v>1</v>
      </c>
      <c r="E925" s="3" t="s">
        <v>55</v>
      </c>
      <c r="F925" s="3" t="s">
        <v>56</v>
      </c>
      <c r="G925" s="3" t="str">
        <f>"2025-12-05 09:56:38.371"</f>
        <v>2025-12-05 09:56:38.371</v>
      </c>
      <c r="H925" s="3" t="s">
        <v>21</v>
      </c>
    </row>
    <row r="926" spans="1:10" s="3" customFormat="1" x14ac:dyDescent="0.25">
      <c r="A926" s="2">
        <v>67</v>
      </c>
      <c r="B926" s="3" t="s">
        <v>29</v>
      </c>
      <c r="C926" s="3">
        <v>647</v>
      </c>
      <c r="D926" s="3">
        <v>1</v>
      </c>
      <c r="E926" s="3" t="s">
        <v>55</v>
      </c>
      <c r="F926" s="3" t="s">
        <v>56</v>
      </c>
      <c r="G926" s="3" t="str">
        <f>"2025-12-05 09:56:32.671"</f>
        <v>2025-12-05 09:56:32.671</v>
      </c>
      <c r="H926" s="3" t="s">
        <v>21</v>
      </c>
      <c r="I926" s="3">
        <v>17.05</v>
      </c>
      <c r="J926" s="3" t="s">
        <v>54</v>
      </c>
    </row>
    <row r="927" spans="1:10" s="3" customFormat="1" x14ac:dyDescent="0.25">
      <c r="A927" s="2">
        <v>68</v>
      </c>
      <c r="B927" s="3" t="s">
        <v>25</v>
      </c>
      <c r="C927" s="3">
        <v>647</v>
      </c>
      <c r="D927" s="3">
        <v>1</v>
      </c>
      <c r="E927" s="3" t="s">
        <v>55</v>
      </c>
      <c r="F927" s="3" t="s">
        <v>56</v>
      </c>
      <c r="G927" s="3" t="str">
        <f>"2025-12-05 08:49:28.371"</f>
        <v>2025-12-05 08:49:28.371</v>
      </c>
      <c r="H927" s="3" t="s">
        <v>21</v>
      </c>
    </row>
    <row r="928" spans="1:10" s="3" customFormat="1" x14ac:dyDescent="0.25">
      <c r="A928" s="2">
        <v>69</v>
      </c>
      <c r="B928" s="3" t="s">
        <v>29</v>
      </c>
      <c r="C928" s="3">
        <v>647</v>
      </c>
      <c r="D928" s="3">
        <v>1</v>
      </c>
      <c r="E928" s="3" t="s">
        <v>55</v>
      </c>
      <c r="F928" s="3" t="s">
        <v>56</v>
      </c>
      <c r="G928" s="3" t="str">
        <f>"2025-12-05 08:49:25.472"</f>
        <v>2025-12-05 08:49:25.472</v>
      </c>
      <c r="H928" s="3" t="s">
        <v>21</v>
      </c>
      <c r="I928" s="3">
        <v>19.55</v>
      </c>
      <c r="J928" s="3" t="s">
        <v>54</v>
      </c>
    </row>
    <row r="929" spans="1:10" x14ac:dyDescent="0.25">
      <c r="A929" s="1">
        <v>70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"2025-12-04 17:35:34.073"</f>
        <v>2025-12-04 17:35:34.073</v>
      </c>
      <c r="H929" t="s">
        <v>21</v>
      </c>
      <c r="I929">
        <v>0</v>
      </c>
      <c r="J929" t="s">
        <v>32</v>
      </c>
    </row>
    <row r="930" spans="1:10" x14ac:dyDescent="0.25">
      <c r="A930" s="1">
        <v>71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"2025-12-04 17:11:18.080"</f>
        <v>2025-12-04 17:11:18.080</v>
      </c>
      <c r="H930" t="s">
        <v>21</v>
      </c>
      <c r="I930">
        <v>0</v>
      </c>
      <c r="J930" t="s">
        <v>32</v>
      </c>
    </row>
    <row r="931" spans="1:10" x14ac:dyDescent="0.25">
      <c r="A931" s="1">
        <v>72</v>
      </c>
      <c r="B931" t="s">
        <v>19</v>
      </c>
      <c r="C931">
        <v>706</v>
      </c>
      <c r="D931">
        <v>4</v>
      </c>
      <c r="E931" t="s">
        <v>22</v>
      </c>
      <c r="F931" t="s">
        <v>31</v>
      </c>
      <c r="G931" t="str">
        <f>"2025-12-04 17:00:31.464"</f>
        <v>2025-12-04 17:00:31.464</v>
      </c>
      <c r="H931" t="s">
        <v>21</v>
      </c>
      <c r="I931">
        <v>0</v>
      </c>
      <c r="J931" t="s">
        <v>24</v>
      </c>
    </row>
    <row r="932" spans="1:10" x14ac:dyDescent="0.25">
      <c r="A932" s="1">
        <v>73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"2025-12-04 16:56:44.094"</f>
        <v>2025-12-04 16:56:44.094</v>
      </c>
      <c r="H932" t="s">
        <v>21</v>
      </c>
      <c r="I932">
        <v>0</v>
      </c>
      <c r="J932" t="s">
        <v>32</v>
      </c>
    </row>
    <row r="933" spans="1:10" x14ac:dyDescent="0.25">
      <c r="A933" s="1">
        <v>75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"2025-12-04 14:40:18.083"</f>
        <v>2025-12-04 14:40:18.083</v>
      </c>
      <c r="H933" t="s">
        <v>21</v>
      </c>
    </row>
    <row r="934" spans="1:10" s="3" customFormat="1" x14ac:dyDescent="0.25">
      <c r="A934" s="2">
        <v>76</v>
      </c>
      <c r="B934" s="3" t="s">
        <v>25</v>
      </c>
      <c r="C934" s="3">
        <v>647</v>
      </c>
      <c r="D934" s="3">
        <v>1</v>
      </c>
      <c r="E934" s="3" t="s">
        <v>55</v>
      </c>
      <c r="F934" s="3" t="s">
        <v>56</v>
      </c>
      <c r="G934" s="3" t="str">
        <f>"2025-12-04 12:21:43.836"</f>
        <v>2025-12-04 12:21:43.836</v>
      </c>
      <c r="H934" s="3" t="s">
        <v>21</v>
      </c>
    </row>
    <row r="935" spans="1:10" s="3" customFormat="1" x14ac:dyDescent="0.25">
      <c r="A935" s="2">
        <v>77</v>
      </c>
      <c r="B935" s="3" t="s">
        <v>29</v>
      </c>
      <c r="C935" s="3">
        <v>647</v>
      </c>
      <c r="D935" s="3">
        <v>1</v>
      </c>
      <c r="E935" s="3" t="s">
        <v>55</v>
      </c>
      <c r="F935" s="3" t="s">
        <v>56</v>
      </c>
      <c r="G935" s="3" t="str">
        <f>"2025-12-04 12:21:39.836"</f>
        <v>2025-12-04 12:21:39.836</v>
      </c>
      <c r="H935" s="3" t="s">
        <v>21</v>
      </c>
      <c r="I935" s="3">
        <v>8.83</v>
      </c>
      <c r="J935" s="3" t="s">
        <v>54</v>
      </c>
    </row>
    <row r="936" spans="1:10" s="3" customFormat="1" x14ac:dyDescent="0.25">
      <c r="A936" s="2">
        <v>78</v>
      </c>
      <c r="B936" s="3" t="s">
        <v>25</v>
      </c>
      <c r="C936" s="3">
        <v>647</v>
      </c>
      <c r="D936" s="3">
        <v>1</v>
      </c>
      <c r="E936" s="3" t="s">
        <v>55</v>
      </c>
      <c r="F936" s="3" t="s">
        <v>56</v>
      </c>
      <c r="G936" s="3" t="str">
        <f>"2025-12-04 08:53:32.237"</f>
        <v>2025-12-04 08:53:32.237</v>
      </c>
      <c r="H936" s="3" t="s">
        <v>21</v>
      </c>
    </row>
    <row r="937" spans="1:10" s="3" customFormat="1" x14ac:dyDescent="0.25">
      <c r="A937" s="2">
        <v>79</v>
      </c>
      <c r="B937" s="3" t="s">
        <v>29</v>
      </c>
      <c r="C937" s="3">
        <v>647</v>
      </c>
      <c r="D937" s="3">
        <v>1</v>
      </c>
      <c r="E937" s="3" t="s">
        <v>55</v>
      </c>
      <c r="F937" s="3" t="s">
        <v>56</v>
      </c>
      <c r="G937" s="3" t="str">
        <f>"2025-12-04 08:53:24.537"</f>
        <v>2025-12-04 08:53:24.537</v>
      </c>
      <c r="H937" s="3" t="s">
        <v>21</v>
      </c>
      <c r="I937" s="3">
        <v>10.68</v>
      </c>
      <c r="J937" s="3" t="s">
        <v>54</v>
      </c>
    </row>
    <row r="938" spans="1:10" x14ac:dyDescent="0.25">
      <c r="A938" s="1">
        <v>80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"2025-12-04 08:06:41.238"</f>
        <v>2025-12-04 08:06:41.238</v>
      </c>
      <c r="H938" t="s">
        <v>21</v>
      </c>
    </row>
    <row r="939" spans="1:10" x14ac:dyDescent="0.25">
      <c r="A939" s="1">
        <v>81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"2025-12-03 08:23:16.080"</f>
        <v>2025-12-03 08:23:16.080</v>
      </c>
      <c r="H939" t="s">
        <v>21</v>
      </c>
      <c r="I939">
        <v>0</v>
      </c>
      <c r="J939" t="s">
        <v>32</v>
      </c>
    </row>
    <row r="940" spans="1:10" s="3" customFormat="1" x14ac:dyDescent="0.25">
      <c r="A940" s="2">
        <v>82</v>
      </c>
      <c r="B940" s="3" t="s">
        <v>25</v>
      </c>
      <c r="C940" s="3">
        <v>647</v>
      </c>
      <c r="D940" s="3">
        <v>1</v>
      </c>
      <c r="E940" s="3" t="s">
        <v>55</v>
      </c>
      <c r="F940" s="3" t="s">
        <v>56</v>
      </c>
      <c r="G940" s="3" t="str">
        <f>"2025-12-03 08:06:12.208"</f>
        <v>2025-12-03 08:06:12.208</v>
      </c>
      <c r="H940" s="3" t="s">
        <v>21</v>
      </c>
    </row>
    <row r="941" spans="1:10" s="3" customFormat="1" x14ac:dyDescent="0.25">
      <c r="A941" s="2">
        <v>83</v>
      </c>
      <c r="B941" s="3" t="s">
        <v>29</v>
      </c>
      <c r="C941" s="3">
        <v>647</v>
      </c>
      <c r="D941" s="3">
        <v>1</v>
      </c>
      <c r="E941" s="3" t="s">
        <v>55</v>
      </c>
      <c r="F941" s="3" t="s">
        <v>56</v>
      </c>
      <c r="G941" s="3" t="str">
        <f>"2025-12-03 08:06:10.508"</f>
        <v>2025-12-03 08:06:10.508</v>
      </c>
      <c r="H941" s="3" t="s">
        <v>21</v>
      </c>
      <c r="I941" s="3">
        <v>10.84</v>
      </c>
      <c r="J941" s="3" t="s">
        <v>54</v>
      </c>
    </row>
    <row r="942" spans="1:10" x14ac:dyDescent="0.25">
      <c r="A942" s="1">
        <v>84</v>
      </c>
      <c r="B942" t="s">
        <v>25</v>
      </c>
      <c r="C942">
        <v>635</v>
      </c>
      <c r="D942">
        <v>1</v>
      </c>
      <c r="E942" t="s">
        <v>45</v>
      </c>
      <c r="F942" t="s">
        <v>27</v>
      </c>
      <c r="G942" t="str">
        <f>"2025-12-02 23:22:39.360"</f>
        <v>2025-12-02 23:22:39.360</v>
      </c>
      <c r="H942" t="s">
        <v>21</v>
      </c>
    </row>
    <row r="943" spans="1:10" x14ac:dyDescent="0.25">
      <c r="A943" s="1">
        <v>85</v>
      </c>
      <c r="B943" t="s">
        <v>29</v>
      </c>
      <c r="C943">
        <v>635</v>
      </c>
      <c r="D943">
        <v>1</v>
      </c>
      <c r="E943" t="s">
        <v>45</v>
      </c>
      <c r="F943" t="s">
        <v>27</v>
      </c>
      <c r="G943" t="str">
        <f>"2025-12-02 23:16:13.360"</f>
        <v>2025-12-02 23:16:13.360</v>
      </c>
      <c r="H943" t="s">
        <v>21</v>
      </c>
      <c r="I943">
        <v>3.61</v>
      </c>
      <c r="J943" t="s">
        <v>42</v>
      </c>
    </row>
    <row r="944" spans="1:10" x14ac:dyDescent="0.25">
      <c r="A944" s="1">
        <v>86</v>
      </c>
      <c r="B944" t="s">
        <v>25</v>
      </c>
      <c r="C944">
        <v>635</v>
      </c>
      <c r="D944">
        <v>1</v>
      </c>
      <c r="E944" t="s">
        <v>45</v>
      </c>
      <c r="F944" t="s">
        <v>27</v>
      </c>
      <c r="G944" t="str">
        <f>"2025-12-02 17:31:26.260"</f>
        <v>2025-12-02 17:31:26.260</v>
      </c>
      <c r="H944" t="s">
        <v>21</v>
      </c>
    </row>
    <row r="945" spans="1:10" x14ac:dyDescent="0.25">
      <c r="A945" s="1">
        <v>87</v>
      </c>
      <c r="B945" t="s">
        <v>29</v>
      </c>
      <c r="C945">
        <v>635</v>
      </c>
      <c r="D945">
        <v>1</v>
      </c>
      <c r="E945" t="s">
        <v>45</v>
      </c>
      <c r="F945" t="s">
        <v>27</v>
      </c>
      <c r="G945" t="str">
        <f>"2025-12-02 17:27:38.261"</f>
        <v>2025-12-02 17:27:38.261</v>
      </c>
      <c r="H945" t="s">
        <v>21</v>
      </c>
      <c r="I945">
        <v>2.61</v>
      </c>
      <c r="J945" t="s">
        <v>42</v>
      </c>
    </row>
    <row r="946" spans="1:10" x14ac:dyDescent="0.25">
      <c r="A946" s="1">
        <v>88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"2025-12-02 15:10:19.318"</f>
        <v>2025-12-02 15:10:19.318</v>
      </c>
      <c r="H946" t="s">
        <v>21</v>
      </c>
      <c r="I946">
        <v>0</v>
      </c>
      <c r="J946" t="s">
        <v>32</v>
      </c>
    </row>
    <row r="947" spans="1:10" s="3" customFormat="1" x14ac:dyDescent="0.25">
      <c r="A947" s="2">
        <v>89</v>
      </c>
      <c r="B947" s="3" t="s">
        <v>25</v>
      </c>
      <c r="C947" s="3">
        <v>647</v>
      </c>
      <c r="D947" s="3">
        <v>1</v>
      </c>
      <c r="E947" s="3" t="s">
        <v>55</v>
      </c>
      <c r="F947" s="3" t="s">
        <v>56</v>
      </c>
      <c r="G947" s="3" t="str">
        <f>"2025-12-02 14:57:59.697"</f>
        <v>2025-12-02 14:57:59.697</v>
      </c>
      <c r="H947" s="3" t="s">
        <v>21</v>
      </c>
    </row>
    <row r="948" spans="1:10" s="3" customFormat="1" x14ac:dyDescent="0.25">
      <c r="A948" s="2">
        <v>90</v>
      </c>
      <c r="B948" s="3" t="s">
        <v>29</v>
      </c>
      <c r="C948" s="3">
        <v>647</v>
      </c>
      <c r="D948" s="3">
        <v>1</v>
      </c>
      <c r="E948" s="3" t="s">
        <v>55</v>
      </c>
      <c r="F948" s="3" t="s">
        <v>56</v>
      </c>
      <c r="G948" s="3" t="str">
        <f>"2025-12-02 14:57:58.397"</f>
        <v>2025-12-02 14:57:58.397</v>
      </c>
      <c r="H948" s="3" t="s">
        <v>21</v>
      </c>
      <c r="I948" s="3">
        <v>20.12</v>
      </c>
      <c r="J948" s="3" t="s">
        <v>54</v>
      </c>
    </row>
    <row r="949" spans="1:10" s="3" customFormat="1" x14ac:dyDescent="0.25">
      <c r="A949" s="2">
        <v>91</v>
      </c>
      <c r="B949" s="3" t="s">
        <v>25</v>
      </c>
      <c r="C949" s="3">
        <v>647</v>
      </c>
      <c r="D949" s="3">
        <v>1</v>
      </c>
      <c r="E949" s="3" t="s">
        <v>55</v>
      </c>
      <c r="F949" s="3" t="s">
        <v>56</v>
      </c>
      <c r="G949" s="3" t="str">
        <f>"2025-12-02 14:55:58.497"</f>
        <v>2025-12-02 14:55:58.497</v>
      </c>
      <c r="H949" s="3" t="s">
        <v>21</v>
      </c>
    </row>
    <row r="950" spans="1:10" s="3" customFormat="1" x14ac:dyDescent="0.25">
      <c r="A950" s="2">
        <v>92</v>
      </c>
      <c r="B950" s="3" t="s">
        <v>29</v>
      </c>
      <c r="C950" s="3">
        <v>647</v>
      </c>
      <c r="D950" s="3">
        <v>1</v>
      </c>
      <c r="E950" s="3" t="s">
        <v>55</v>
      </c>
      <c r="F950" s="3" t="s">
        <v>56</v>
      </c>
      <c r="G950" s="3" t="str">
        <f>"2025-12-02 14:55:36.997"</f>
        <v>2025-12-02 14:55:36.997</v>
      </c>
      <c r="H950" s="3" t="s">
        <v>21</v>
      </c>
      <c r="I950" s="3">
        <v>27.75</v>
      </c>
      <c r="J950" s="3" t="s">
        <v>54</v>
      </c>
    </row>
    <row r="951" spans="1:10" x14ac:dyDescent="0.25">
      <c r="A951" s="1">
        <v>93</v>
      </c>
      <c r="B951" t="s">
        <v>25</v>
      </c>
      <c r="C951">
        <v>635</v>
      </c>
      <c r="D951">
        <v>1</v>
      </c>
      <c r="E951" t="s">
        <v>45</v>
      </c>
      <c r="F951" t="s">
        <v>27</v>
      </c>
      <c r="G951" t="str">
        <f>"2025-12-02 13:02:17.243"</f>
        <v>2025-12-02 13:02:17.243</v>
      </c>
      <c r="H951" t="s">
        <v>21</v>
      </c>
    </row>
    <row r="952" spans="1:10" x14ac:dyDescent="0.25">
      <c r="A952" s="1">
        <v>94</v>
      </c>
      <c r="B952" t="s">
        <v>29</v>
      </c>
      <c r="C952">
        <v>635</v>
      </c>
      <c r="D952">
        <v>1</v>
      </c>
      <c r="E952" t="s">
        <v>45</v>
      </c>
      <c r="F952" t="s">
        <v>27</v>
      </c>
      <c r="G952" t="str">
        <f>"2025-12-02 12:59:04.243"</f>
        <v>2025-12-02 12:59:04.243</v>
      </c>
      <c r="H952" t="s">
        <v>21</v>
      </c>
      <c r="I952">
        <v>5.0599999999999996</v>
      </c>
      <c r="J952" t="s">
        <v>42</v>
      </c>
    </row>
    <row r="953" spans="1:10" x14ac:dyDescent="0.25">
      <c r="A953" s="1">
        <v>95</v>
      </c>
      <c r="B953" t="s">
        <v>25</v>
      </c>
      <c r="C953">
        <v>635</v>
      </c>
      <c r="D953">
        <v>1</v>
      </c>
      <c r="E953" t="s">
        <v>45</v>
      </c>
      <c r="F953" t="s">
        <v>27</v>
      </c>
      <c r="G953" t="str">
        <f>"2025-12-02 12:27:28.343"</f>
        <v>2025-12-02 12:27:28.343</v>
      </c>
      <c r="H953" t="s">
        <v>21</v>
      </c>
    </row>
    <row r="954" spans="1:10" x14ac:dyDescent="0.25">
      <c r="A954" s="1">
        <v>96</v>
      </c>
      <c r="B954" t="s">
        <v>29</v>
      </c>
      <c r="C954">
        <v>635</v>
      </c>
      <c r="D954">
        <v>1</v>
      </c>
      <c r="E954" t="s">
        <v>45</v>
      </c>
      <c r="F954" t="s">
        <v>27</v>
      </c>
      <c r="G954" t="str">
        <f>"2025-12-02 12:23:59.843"</f>
        <v>2025-12-02 12:23:59.843</v>
      </c>
      <c r="H954" t="s">
        <v>21</v>
      </c>
      <c r="I954">
        <v>6.26</v>
      </c>
      <c r="J954" t="s">
        <v>54</v>
      </c>
    </row>
    <row r="955" spans="1:10" s="3" customFormat="1" x14ac:dyDescent="0.25">
      <c r="A955" s="2">
        <v>97</v>
      </c>
      <c r="B955" s="3" t="s">
        <v>25</v>
      </c>
      <c r="C955" s="3">
        <v>647</v>
      </c>
      <c r="D955" s="3">
        <v>1</v>
      </c>
      <c r="E955" s="3" t="s">
        <v>55</v>
      </c>
      <c r="F955" s="3" t="s">
        <v>56</v>
      </c>
      <c r="G955" s="3" t="str">
        <f>"2025-12-02 11:47:28.097"</f>
        <v>2025-12-02 11:47:28.097</v>
      </c>
      <c r="H955" s="3" t="s">
        <v>21</v>
      </c>
    </row>
    <row r="956" spans="1:10" s="3" customFormat="1" x14ac:dyDescent="0.25">
      <c r="A956" s="2">
        <v>98</v>
      </c>
      <c r="B956" s="3" t="s">
        <v>29</v>
      </c>
      <c r="C956" s="3">
        <v>647</v>
      </c>
      <c r="D956" s="3">
        <v>1</v>
      </c>
      <c r="E956" s="3" t="s">
        <v>55</v>
      </c>
      <c r="F956" s="3" t="s">
        <v>56</v>
      </c>
      <c r="G956" s="3" t="str">
        <f>"2025-12-02 11:47:24.797"</f>
        <v>2025-12-02 11:47:24.797</v>
      </c>
      <c r="H956" s="3" t="s">
        <v>21</v>
      </c>
      <c r="I956" s="3">
        <v>21.07</v>
      </c>
      <c r="J956" s="3" t="s">
        <v>54</v>
      </c>
    </row>
    <row r="957" spans="1:10" s="3" customFormat="1" x14ac:dyDescent="0.25">
      <c r="A957" s="2">
        <v>99</v>
      </c>
      <c r="B957" s="3" t="s">
        <v>25</v>
      </c>
      <c r="C957" s="3">
        <v>647</v>
      </c>
      <c r="D957" s="3">
        <v>1</v>
      </c>
      <c r="E957" s="3" t="s">
        <v>55</v>
      </c>
      <c r="F957" s="3" t="s">
        <v>56</v>
      </c>
      <c r="G957" s="3" t="str">
        <f>"2025-12-02 09:02:11.497"</f>
        <v>2025-12-02 09:02:11.497</v>
      </c>
      <c r="H957" s="3" t="s">
        <v>21</v>
      </c>
    </row>
    <row r="958" spans="1:10" s="3" customFormat="1" x14ac:dyDescent="0.25">
      <c r="A958" s="2">
        <v>0</v>
      </c>
      <c r="B958" s="3" t="s">
        <v>29</v>
      </c>
      <c r="C958" s="3">
        <v>647</v>
      </c>
      <c r="D958" s="3">
        <v>1</v>
      </c>
      <c r="E958" s="3" t="s">
        <v>55</v>
      </c>
      <c r="F958" s="3" t="s">
        <v>56</v>
      </c>
      <c r="G958" s="3" t="str">
        <f>"2025-12-02 09:02:09.797"</f>
        <v>2025-12-02 09:02:09.797</v>
      </c>
      <c r="H958" s="3" t="s">
        <v>21</v>
      </c>
      <c r="I958" s="3">
        <v>11.22</v>
      </c>
      <c r="J958" s="3" t="s">
        <v>54</v>
      </c>
    </row>
    <row r="959" spans="1:10" s="3" customFormat="1" x14ac:dyDescent="0.25">
      <c r="A959" s="2">
        <v>1</v>
      </c>
      <c r="B959" s="3" t="s">
        <v>25</v>
      </c>
      <c r="C959" s="3">
        <v>647</v>
      </c>
      <c r="D959" s="3">
        <v>1</v>
      </c>
      <c r="E959" s="3" t="s">
        <v>55</v>
      </c>
      <c r="F959" s="3" t="s">
        <v>56</v>
      </c>
      <c r="G959" s="3" t="str">
        <f>"2025-12-01 11:34:40.997"</f>
        <v>2025-12-01 11:34:40.997</v>
      </c>
      <c r="H959" s="3" t="s">
        <v>21</v>
      </c>
    </row>
    <row r="960" spans="1:10" s="3" customFormat="1" x14ac:dyDescent="0.25">
      <c r="A960" s="2">
        <v>2</v>
      </c>
      <c r="B960" s="3" t="s">
        <v>29</v>
      </c>
      <c r="C960" s="3">
        <v>647</v>
      </c>
      <c r="D960" s="3">
        <v>1</v>
      </c>
      <c r="E960" s="3" t="s">
        <v>55</v>
      </c>
      <c r="F960" s="3" t="s">
        <v>56</v>
      </c>
      <c r="G960" s="3" t="str">
        <f>"2025-12-01 11:34:37.497"</f>
        <v>2025-12-01 11:34:37.497</v>
      </c>
      <c r="H960" s="3" t="s">
        <v>21</v>
      </c>
      <c r="I960" s="3">
        <v>17.260000000000002</v>
      </c>
      <c r="J960" s="3" t="s">
        <v>54</v>
      </c>
    </row>
    <row r="961" spans="1:10" s="3" customFormat="1" x14ac:dyDescent="0.25">
      <c r="A961" s="2">
        <v>3</v>
      </c>
      <c r="B961" s="3" t="s">
        <v>25</v>
      </c>
      <c r="C961" s="3">
        <v>647</v>
      </c>
      <c r="D961" s="3">
        <v>1</v>
      </c>
      <c r="E961" s="3" t="s">
        <v>55</v>
      </c>
      <c r="F961" s="3" t="s">
        <v>56</v>
      </c>
      <c r="G961" s="3" t="str">
        <f>"2025-11-30 14:13:11.697"</f>
        <v>2025-11-30 14:13:11.697</v>
      </c>
      <c r="H961" s="3" t="s">
        <v>21</v>
      </c>
    </row>
    <row r="962" spans="1:10" s="3" customFormat="1" x14ac:dyDescent="0.25">
      <c r="A962" s="2">
        <v>4</v>
      </c>
      <c r="B962" s="3" t="s">
        <v>29</v>
      </c>
      <c r="C962" s="3">
        <v>647</v>
      </c>
      <c r="D962" s="3">
        <v>1</v>
      </c>
      <c r="E962" s="3" t="s">
        <v>55</v>
      </c>
      <c r="F962" s="3" t="s">
        <v>56</v>
      </c>
      <c r="G962" s="3" t="str">
        <f>"2025-11-30 14:13:10.197"</f>
        <v>2025-11-30 14:13:10.197</v>
      </c>
      <c r="H962" s="3" t="s">
        <v>21</v>
      </c>
      <c r="I962" s="3">
        <v>15.34</v>
      </c>
      <c r="J962" s="3" t="s">
        <v>54</v>
      </c>
    </row>
    <row r="963" spans="1:10" x14ac:dyDescent="0.25">
      <c r="A963" s="1">
        <v>5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"2025-11-30 13:14:02.106"</f>
        <v>2025-11-30 13:14:02.106</v>
      </c>
      <c r="H963" t="s">
        <v>21</v>
      </c>
      <c r="I963">
        <v>0</v>
      </c>
      <c r="J963" t="s">
        <v>32</v>
      </c>
    </row>
    <row r="964" spans="1:10" s="3" customFormat="1" x14ac:dyDescent="0.25">
      <c r="A964" s="2">
        <v>6</v>
      </c>
      <c r="B964" s="3" t="s">
        <v>25</v>
      </c>
      <c r="C964" s="3">
        <v>647</v>
      </c>
      <c r="D964" s="3">
        <v>1</v>
      </c>
      <c r="E964" s="3" t="s">
        <v>55</v>
      </c>
      <c r="F964" s="3" t="s">
        <v>56</v>
      </c>
      <c r="G964" s="3" t="str">
        <f>"2025-11-29 19:32:27.266"</f>
        <v>2025-11-29 19:32:27.266</v>
      </c>
      <c r="H964" s="3" t="s">
        <v>21</v>
      </c>
    </row>
    <row r="965" spans="1:10" s="3" customFormat="1" x14ac:dyDescent="0.25">
      <c r="A965" s="2">
        <v>7</v>
      </c>
      <c r="B965" s="3" t="s">
        <v>29</v>
      </c>
      <c r="C965" s="3">
        <v>647</v>
      </c>
      <c r="D965" s="3">
        <v>1</v>
      </c>
      <c r="E965" s="3" t="s">
        <v>55</v>
      </c>
      <c r="F965" s="3" t="s">
        <v>56</v>
      </c>
      <c r="G965" s="3" t="str">
        <f>"2025-11-29 19:32:22.766"</f>
        <v>2025-11-29 19:32:22.766</v>
      </c>
      <c r="H965" s="3" t="s">
        <v>21</v>
      </c>
      <c r="I965" s="3">
        <v>21.24</v>
      </c>
      <c r="J965" s="3" t="s">
        <v>54</v>
      </c>
    </row>
    <row r="966" spans="1:10" s="3" customFormat="1" x14ac:dyDescent="0.25">
      <c r="A966" s="2">
        <v>8</v>
      </c>
      <c r="B966" s="3" t="s">
        <v>25</v>
      </c>
      <c r="C966" s="3">
        <v>647</v>
      </c>
      <c r="D966" s="3">
        <v>1</v>
      </c>
      <c r="E966" s="3" t="s">
        <v>55</v>
      </c>
      <c r="F966" s="3" t="s">
        <v>56</v>
      </c>
      <c r="G966" s="3" t="str">
        <f>"2025-11-29 11:11:13.266"</f>
        <v>2025-11-29 11:11:13.266</v>
      </c>
      <c r="H966" s="3" t="s">
        <v>21</v>
      </c>
    </row>
    <row r="967" spans="1:10" s="3" customFormat="1" x14ac:dyDescent="0.25">
      <c r="A967" s="2">
        <v>9</v>
      </c>
      <c r="B967" s="3" t="s">
        <v>29</v>
      </c>
      <c r="C967" s="3">
        <v>647</v>
      </c>
      <c r="D967" s="3">
        <v>1</v>
      </c>
      <c r="E967" s="3" t="s">
        <v>55</v>
      </c>
      <c r="F967" s="3" t="s">
        <v>56</v>
      </c>
      <c r="G967" s="3" t="str">
        <f>"2025-11-29 11:11:11.766"</f>
        <v>2025-11-29 11:11:11.766</v>
      </c>
      <c r="H967" s="3" t="s">
        <v>21</v>
      </c>
      <c r="I967" s="3">
        <v>14.48</v>
      </c>
      <c r="J967" s="3" t="s">
        <v>54</v>
      </c>
    </row>
    <row r="968" spans="1:10" x14ac:dyDescent="0.25">
      <c r="A968" s="1">
        <v>10</v>
      </c>
      <c r="B968" t="s">
        <v>25</v>
      </c>
      <c r="C968">
        <v>635</v>
      </c>
      <c r="D968">
        <v>1</v>
      </c>
      <c r="E968" t="s">
        <v>45</v>
      </c>
      <c r="F968" t="s">
        <v>27</v>
      </c>
      <c r="G968" t="str">
        <f>"2025-11-29 00:07:00.665"</f>
        <v>2025-11-29 00:07:00.665</v>
      </c>
      <c r="H968" t="s">
        <v>21</v>
      </c>
    </row>
    <row r="969" spans="1:10" x14ac:dyDescent="0.25">
      <c r="A969" s="1">
        <v>11</v>
      </c>
      <c r="B969" t="s">
        <v>29</v>
      </c>
      <c r="C969">
        <v>635</v>
      </c>
      <c r="D969">
        <v>1</v>
      </c>
      <c r="E969" t="s">
        <v>45</v>
      </c>
      <c r="F969" t="s">
        <v>27</v>
      </c>
      <c r="G969" t="str">
        <f>"2025-11-29 00:03:34.665"</f>
        <v>2025-11-29 00:03:34.665</v>
      </c>
      <c r="H969" t="s">
        <v>21</v>
      </c>
      <c r="I969">
        <v>5.76</v>
      </c>
      <c r="J969" t="s">
        <v>42</v>
      </c>
    </row>
    <row r="970" spans="1:10" s="3" customFormat="1" x14ac:dyDescent="0.25">
      <c r="A970" s="2">
        <v>12</v>
      </c>
      <c r="B970" s="3" t="s">
        <v>25</v>
      </c>
      <c r="C970" s="3">
        <v>647</v>
      </c>
      <c r="D970" s="3">
        <v>1</v>
      </c>
      <c r="E970" s="3" t="s">
        <v>55</v>
      </c>
      <c r="F970" s="3" t="s">
        <v>56</v>
      </c>
      <c r="G970" s="3" t="str">
        <f>"2025-11-28 14:34:59.966"</f>
        <v>2025-11-28 14:34:59.966</v>
      </c>
      <c r="H970" s="3" t="s">
        <v>21</v>
      </c>
    </row>
    <row r="971" spans="1:10" s="3" customFormat="1" x14ac:dyDescent="0.25">
      <c r="A971" s="2">
        <v>13</v>
      </c>
      <c r="B971" s="3" t="s">
        <v>29</v>
      </c>
      <c r="C971" s="3">
        <v>647</v>
      </c>
      <c r="D971" s="3">
        <v>1</v>
      </c>
      <c r="E971" s="3" t="s">
        <v>55</v>
      </c>
      <c r="F971" s="3" t="s">
        <v>56</v>
      </c>
      <c r="G971" s="3" t="str">
        <f>"2025-11-28 14:34:57.566"</f>
        <v>2025-11-28 14:34:57.566</v>
      </c>
      <c r="H971" s="3" t="s">
        <v>21</v>
      </c>
      <c r="I971" s="3">
        <v>22.08</v>
      </c>
      <c r="J971" s="3" t="s">
        <v>54</v>
      </c>
    </row>
    <row r="972" spans="1:10" s="3" customFormat="1" x14ac:dyDescent="0.25">
      <c r="A972" s="2">
        <v>14</v>
      </c>
      <c r="B972" s="3" t="s">
        <v>25</v>
      </c>
      <c r="C972" s="3">
        <v>647</v>
      </c>
      <c r="D972" s="3">
        <v>1</v>
      </c>
      <c r="E972" s="3" t="s">
        <v>55</v>
      </c>
      <c r="F972" s="3" t="s">
        <v>56</v>
      </c>
      <c r="G972" s="3" t="str">
        <f>"2025-11-28 13:34:00.166"</f>
        <v>2025-11-28 13:34:00.166</v>
      </c>
      <c r="H972" s="3" t="s">
        <v>21</v>
      </c>
    </row>
    <row r="973" spans="1:10" s="3" customFormat="1" x14ac:dyDescent="0.25">
      <c r="A973" s="2">
        <v>15</v>
      </c>
      <c r="B973" s="3" t="s">
        <v>29</v>
      </c>
      <c r="C973" s="3">
        <v>647</v>
      </c>
      <c r="D973" s="3">
        <v>1</v>
      </c>
      <c r="E973" s="3" t="s">
        <v>55</v>
      </c>
      <c r="F973" s="3" t="s">
        <v>56</v>
      </c>
      <c r="G973" s="3" t="str">
        <f>"2025-11-28 13:33:57.266"</f>
        <v>2025-11-28 13:33:57.266</v>
      </c>
      <c r="H973" s="3" t="s">
        <v>21</v>
      </c>
      <c r="I973" s="3">
        <v>22.33</v>
      </c>
      <c r="J973" s="3" t="s">
        <v>54</v>
      </c>
    </row>
    <row r="974" spans="1:10" s="3" customFormat="1" x14ac:dyDescent="0.25">
      <c r="A974" s="2">
        <v>16</v>
      </c>
      <c r="B974" s="3" t="s">
        <v>25</v>
      </c>
      <c r="C974" s="3">
        <v>647</v>
      </c>
      <c r="D974" s="3">
        <v>1</v>
      </c>
      <c r="E974" s="3" t="s">
        <v>55</v>
      </c>
      <c r="F974" s="3" t="s">
        <v>56</v>
      </c>
      <c r="G974" s="3" t="str">
        <f>"2025-11-28 13:07:13.966"</f>
        <v>2025-11-28 13:07:13.966</v>
      </c>
      <c r="H974" s="3" t="s">
        <v>21</v>
      </c>
    </row>
    <row r="975" spans="1:10" s="3" customFormat="1" x14ac:dyDescent="0.25">
      <c r="A975" s="2">
        <v>17</v>
      </c>
      <c r="B975" s="3" t="s">
        <v>29</v>
      </c>
      <c r="C975" s="3">
        <v>647</v>
      </c>
      <c r="D975" s="3">
        <v>1</v>
      </c>
      <c r="E975" s="3" t="s">
        <v>55</v>
      </c>
      <c r="F975" s="3" t="s">
        <v>56</v>
      </c>
      <c r="G975" s="3" t="str">
        <f>"2025-11-28 13:07:11.866"</f>
        <v>2025-11-28 13:07:11.866</v>
      </c>
      <c r="H975" s="3" t="s">
        <v>21</v>
      </c>
      <c r="I975" s="3">
        <v>20.37</v>
      </c>
      <c r="J975" s="3" t="s">
        <v>54</v>
      </c>
    </row>
    <row r="976" spans="1:10" s="3" customFormat="1" x14ac:dyDescent="0.25">
      <c r="A976" s="2">
        <v>18</v>
      </c>
      <c r="B976" s="3" t="s">
        <v>25</v>
      </c>
      <c r="C976" s="3">
        <v>647</v>
      </c>
      <c r="D976" s="3">
        <v>1</v>
      </c>
      <c r="E976" s="3" t="s">
        <v>55</v>
      </c>
      <c r="F976" s="3" t="s">
        <v>56</v>
      </c>
      <c r="G976" s="3" t="str">
        <f>"2025-11-28 12:03:55.366"</f>
        <v>2025-11-28 12:03:55.366</v>
      </c>
      <c r="H976" s="3" t="s">
        <v>21</v>
      </c>
    </row>
    <row r="977" spans="1:10" s="3" customFormat="1" x14ac:dyDescent="0.25">
      <c r="A977" s="2">
        <v>19</v>
      </c>
      <c r="B977" s="3" t="s">
        <v>29</v>
      </c>
      <c r="C977" s="3">
        <v>647</v>
      </c>
      <c r="D977" s="3">
        <v>1</v>
      </c>
      <c r="E977" s="3" t="s">
        <v>55</v>
      </c>
      <c r="F977" s="3" t="s">
        <v>56</v>
      </c>
      <c r="G977" s="3" t="str">
        <f>"2025-11-28 12:03:50.366"</f>
        <v>2025-11-28 12:03:50.366</v>
      </c>
      <c r="H977" s="3" t="s">
        <v>21</v>
      </c>
      <c r="I977" s="3">
        <v>11.38</v>
      </c>
      <c r="J977" s="3" t="s">
        <v>54</v>
      </c>
    </row>
    <row r="978" spans="1:10" s="3" customFormat="1" x14ac:dyDescent="0.25">
      <c r="A978" s="2">
        <v>20</v>
      </c>
      <c r="B978" s="3" t="s">
        <v>25</v>
      </c>
      <c r="C978" s="3">
        <v>647</v>
      </c>
      <c r="D978" s="3">
        <v>1</v>
      </c>
      <c r="E978" s="3" t="s">
        <v>55</v>
      </c>
      <c r="F978" s="3" t="s">
        <v>56</v>
      </c>
      <c r="G978" s="3" t="str">
        <f>"2025-11-28 11:26:03.466"</f>
        <v>2025-11-28 11:26:03.466</v>
      </c>
      <c r="H978" s="3" t="s">
        <v>21</v>
      </c>
    </row>
    <row r="979" spans="1:10" s="3" customFormat="1" x14ac:dyDescent="0.25">
      <c r="A979" s="2">
        <v>21</v>
      </c>
      <c r="B979" s="3" t="s">
        <v>29</v>
      </c>
      <c r="C979" s="3">
        <v>647</v>
      </c>
      <c r="D979" s="3">
        <v>1</v>
      </c>
      <c r="E979" s="3" t="s">
        <v>55</v>
      </c>
      <c r="F979" s="3" t="s">
        <v>56</v>
      </c>
      <c r="G979" s="3" t="str">
        <f>"2025-11-28 11:26:00.966"</f>
        <v>2025-11-28 11:26:00.966</v>
      </c>
      <c r="H979" s="3" t="s">
        <v>21</v>
      </c>
      <c r="I979" s="3">
        <v>8.85</v>
      </c>
      <c r="J979" s="3" t="s">
        <v>54</v>
      </c>
    </row>
    <row r="980" spans="1:10" x14ac:dyDescent="0.25">
      <c r="A980" s="1">
        <v>22</v>
      </c>
      <c r="B980" t="s">
        <v>25</v>
      </c>
      <c r="C980">
        <v>635</v>
      </c>
      <c r="D980">
        <v>1</v>
      </c>
      <c r="E980" t="s">
        <v>45</v>
      </c>
      <c r="F980" t="s">
        <v>27</v>
      </c>
      <c r="G980" t="str">
        <f>"2025-11-28 10:56:32.165"</f>
        <v>2025-11-28 10:56:32.165</v>
      </c>
      <c r="H980" t="s">
        <v>21</v>
      </c>
    </row>
    <row r="981" spans="1:10" x14ac:dyDescent="0.25">
      <c r="A981" s="1">
        <v>23</v>
      </c>
      <c r="B981" t="s">
        <v>29</v>
      </c>
      <c r="C981">
        <v>635</v>
      </c>
      <c r="D981">
        <v>1</v>
      </c>
      <c r="E981" t="s">
        <v>45</v>
      </c>
      <c r="F981" t="s">
        <v>27</v>
      </c>
      <c r="G981" t="str">
        <f>"2025-11-28 10:52:49.665"</f>
        <v>2025-11-28 10:52:49.665</v>
      </c>
      <c r="H981" t="s">
        <v>21</v>
      </c>
      <c r="I981">
        <v>3.25</v>
      </c>
      <c r="J981" t="s">
        <v>42</v>
      </c>
    </row>
    <row r="982" spans="1:10" x14ac:dyDescent="0.25">
      <c r="A982" s="1">
        <v>24</v>
      </c>
      <c r="B982" t="s">
        <v>25</v>
      </c>
      <c r="C982">
        <v>635</v>
      </c>
      <c r="D982">
        <v>1</v>
      </c>
      <c r="E982" t="s">
        <v>45</v>
      </c>
      <c r="F982" t="s">
        <v>27</v>
      </c>
      <c r="G982" t="str">
        <f>"2025-11-28 07:16:18.465"</f>
        <v>2025-11-28 07:16:18.465</v>
      </c>
      <c r="H982" t="s">
        <v>21</v>
      </c>
    </row>
    <row r="983" spans="1:10" x14ac:dyDescent="0.25">
      <c r="A983" s="1">
        <v>25</v>
      </c>
      <c r="B983" t="s">
        <v>29</v>
      </c>
      <c r="C983">
        <v>635</v>
      </c>
      <c r="D983">
        <v>1</v>
      </c>
      <c r="E983" t="s">
        <v>45</v>
      </c>
      <c r="F983" t="s">
        <v>27</v>
      </c>
      <c r="G983" t="str">
        <f>"2025-11-28 07:13:22.465"</f>
        <v>2025-11-28 07:13:22.465</v>
      </c>
      <c r="H983" t="s">
        <v>21</v>
      </c>
      <c r="I983">
        <v>1.1399999999999999</v>
      </c>
      <c r="J983" t="s">
        <v>42</v>
      </c>
    </row>
    <row r="984" spans="1:10" s="3" customFormat="1" x14ac:dyDescent="0.25">
      <c r="A984" s="2">
        <v>26</v>
      </c>
      <c r="B984" s="3" t="s">
        <v>25</v>
      </c>
      <c r="C984" s="3">
        <v>647</v>
      </c>
      <c r="D984" s="3">
        <v>1</v>
      </c>
      <c r="E984" s="3" t="s">
        <v>55</v>
      </c>
      <c r="F984" s="3" t="s">
        <v>56</v>
      </c>
      <c r="G984" s="3" t="str">
        <f>"2025-11-27 19:33:03.966"</f>
        <v>2025-11-27 19:33:03.966</v>
      </c>
      <c r="H984" s="3" t="s">
        <v>21</v>
      </c>
    </row>
    <row r="985" spans="1:10" s="3" customFormat="1" x14ac:dyDescent="0.25">
      <c r="A985" s="2">
        <v>27</v>
      </c>
      <c r="B985" s="3" t="s">
        <v>29</v>
      </c>
      <c r="C985" s="3">
        <v>647</v>
      </c>
      <c r="D985" s="3">
        <v>1</v>
      </c>
      <c r="E985" s="3" t="s">
        <v>55</v>
      </c>
      <c r="F985" s="3" t="s">
        <v>56</v>
      </c>
      <c r="G985" s="3" t="str">
        <f>"2025-11-27 19:32:53.866"</f>
        <v>2025-11-27 19:32:53.866</v>
      </c>
      <c r="H985" s="3" t="s">
        <v>21</v>
      </c>
      <c r="I985" s="3">
        <v>9.66</v>
      </c>
      <c r="J985" s="3" t="s">
        <v>54</v>
      </c>
    </row>
    <row r="986" spans="1:10" x14ac:dyDescent="0.25">
      <c r="A986" s="1">
        <v>28</v>
      </c>
      <c r="B986" t="s">
        <v>25</v>
      </c>
      <c r="C986">
        <v>635</v>
      </c>
      <c r="D986">
        <v>1</v>
      </c>
      <c r="E986" t="s">
        <v>45</v>
      </c>
      <c r="F986" t="s">
        <v>27</v>
      </c>
      <c r="G986" t="str">
        <f>"2025-11-27 18:44:21.865"</f>
        <v>2025-11-27 18:44:21.865</v>
      </c>
      <c r="H986" t="s">
        <v>21</v>
      </c>
    </row>
    <row r="987" spans="1:10" x14ac:dyDescent="0.25">
      <c r="A987" s="1">
        <v>29</v>
      </c>
      <c r="B987" t="s">
        <v>29</v>
      </c>
      <c r="C987">
        <v>635</v>
      </c>
      <c r="D987">
        <v>1</v>
      </c>
      <c r="E987" t="s">
        <v>45</v>
      </c>
      <c r="F987" t="s">
        <v>27</v>
      </c>
      <c r="G987" t="str">
        <f>"2025-11-27 18:40:27.865"</f>
        <v>2025-11-27 18:40:27.865</v>
      </c>
      <c r="H987" t="s">
        <v>21</v>
      </c>
      <c r="I987">
        <v>5.61</v>
      </c>
      <c r="J987" t="s">
        <v>42</v>
      </c>
    </row>
    <row r="988" spans="1:10" s="3" customFormat="1" x14ac:dyDescent="0.25">
      <c r="A988" s="2">
        <v>30</v>
      </c>
      <c r="B988" s="3" t="s">
        <v>25</v>
      </c>
      <c r="C988" s="3">
        <v>647</v>
      </c>
      <c r="D988" s="3">
        <v>1</v>
      </c>
      <c r="E988" s="3" t="s">
        <v>55</v>
      </c>
      <c r="F988" s="3" t="s">
        <v>56</v>
      </c>
      <c r="G988" s="3" t="str">
        <f>"2025-11-27 18:29:23.366"</f>
        <v>2025-11-27 18:29:23.366</v>
      </c>
      <c r="H988" s="3" t="s">
        <v>21</v>
      </c>
    </row>
    <row r="989" spans="1:10" s="3" customFormat="1" x14ac:dyDescent="0.25">
      <c r="A989" s="2">
        <v>31</v>
      </c>
      <c r="B989" s="3" t="s">
        <v>29</v>
      </c>
      <c r="C989" s="3">
        <v>647</v>
      </c>
      <c r="D989" s="3">
        <v>1</v>
      </c>
      <c r="E989" s="3" t="s">
        <v>55</v>
      </c>
      <c r="F989" s="3" t="s">
        <v>56</v>
      </c>
      <c r="G989" s="3" t="str">
        <f>"2025-11-27 18:29:18.866"</f>
        <v>2025-11-27 18:29:18.866</v>
      </c>
      <c r="H989" s="3" t="s">
        <v>21</v>
      </c>
      <c r="I989" s="3">
        <v>19.13</v>
      </c>
      <c r="J989" s="3" t="s">
        <v>54</v>
      </c>
    </row>
    <row r="990" spans="1:10" s="3" customFormat="1" x14ac:dyDescent="0.25">
      <c r="A990" s="2">
        <v>32</v>
      </c>
      <c r="B990" s="3" t="s">
        <v>25</v>
      </c>
      <c r="C990" s="3">
        <v>647</v>
      </c>
      <c r="D990" s="3">
        <v>1</v>
      </c>
      <c r="E990" s="3" t="s">
        <v>55</v>
      </c>
      <c r="F990" s="3" t="s">
        <v>56</v>
      </c>
      <c r="G990" s="3" t="str">
        <f>"2025-11-27 17:33:50.966"</f>
        <v>2025-11-27 17:33:50.966</v>
      </c>
      <c r="H990" s="3" t="s">
        <v>21</v>
      </c>
    </row>
    <row r="991" spans="1:10" s="3" customFormat="1" x14ac:dyDescent="0.25">
      <c r="A991" s="2">
        <v>33</v>
      </c>
      <c r="B991" s="3" t="s">
        <v>29</v>
      </c>
      <c r="C991" s="3">
        <v>647</v>
      </c>
      <c r="D991" s="3">
        <v>1</v>
      </c>
      <c r="E991" s="3" t="s">
        <v>55</v>
      </c>
      <c r="F991" s="3" t="s">
        <v>56</v>
      </c>
      <c r="G991" s="3" t="str">
        <f>"2025-11-27 17:33:42.966"</f>
        <v>2025-11-27 17:33:42.966</v>
      </c>
      <c r="H991" s="3" t="s">
        <v>21</v>
      </c>
      <c r="I991" s="3">
        <v>12.36</v>
      </c>
      <c r="J991" s="3" t="s">
        <v>54</v>
      </c>
    </row>
    <row r="992" spans="1:10" s="3" customFormat="1" x14ac:dyDescent="0.25">
      <c r="A992" s="2">
        <v>34</v>
      </c>
      <c r="B992" s="3" t="s">
        <v>25</v>
      </c>
      <c r="C992" s="3">
        <v>647</v>
      </c>
      <c r="D992" s="3">
        <v>1</v>
      </c>
      <c r="E992" s="3" t="s">
        <v>55</v>
      </c>
      <c r="F992" s="3" t="s">
        <v>56</v>
      </c>
      <c r="G992" s="3" t="str">
        <f>"2025-11-27 15:04:26.466"</f>
        <v>2025-11-27 15:04:26.466</v>
      </c>
      <c r="H992" s="3" t="s">
        <v>21</v>
      </c>
    </row>
    <row r="993" spans="1:10" s="3" customFormat="1" x14ac:dyDescent="0.25">
      <c r="A993" s="2">
        <v>35</v>
      </c>
      <c r="B993" s="3" t="s">
        <v>29</v>
      </c>
      <c r="C993" s="3">
        <v>647</v>
      </c>
      <c r="D993" s="3">
        <v>1</v>
      </c>
      <c r="E993" s="3" t="s">
        <v>55</v>
      </c>
      <c r="F993" s="3" t="s">
        <v>56</v>
      </c>
      <c r="G993" s="3" t="str">
        <f>"2025-11-27 15:04:23.166"</f>
        <v>2025-11-27 15:04:23.166</v>
      </c>
      <c r="H993" s="3" t="s">
        <v>21</v>
      </c>
      <c r="I993" s="3">
        <v>21.7</v>
      </c>
      <c r="J993" s="3" t="s">
        <v>54</v>
      </c>
    </row>
    <row r="994" spans="1:10" s="3" customFormat="1" x14ac:dyDescent="0.25">
      <c r="A994" s="2">
        <v>36</v>
      </c>
      <c r="B994" s="3" t="s">
        <v>25</v>
      </c>
      <c r="C994" s="3">
        <v>647</v>
      </c>
      <c r="D994" s="3">
        <v>1</v>
      </c>
      <c r="E994" s="3" t="s">
        <v>55</v>
      </c>
      <c r="F994" s="3" t="s">
        <v>56</v>
      </c>
      <c r="G994" s="3" t="str">
        <f>"2025-11-27 11:39:54.366"</f>
        <v>2025-11-27 11:39:54.366</v>
      </c>
      <c r="H994" s="3" t="s">
        <v>21</v>
      </c>
    </row>
    <row r="995" spans="1:10" s="3" customFormat="1" x14ac:dyDescent="0.25">
      <c r="A995" s="2">
        <v>37</v>
      </c>
      <c r="B995" s="3" t="s">
        <v>29</v>
      </c>
      <c r="C995" s="3">
        <v>647</v>
      </c>
      <c r="D995" s="3">
        <v>1</v>
      </c>
      <c r="E995" s="3" t="s">
        <v>55</v>
      </c>
      <c r="F995" s="3" t="s">
        <v>56</v>
      </c>
      <c r="G995" s="3" t="str">
        <f>"2025-11-27 11:39:50.666"</f>
        <v>2025-11-27 11:39:50.666</v>
      </c>
      <c r="H995" s="3" t="s">
        <v>21</v>
      </c>
      <c r="I995" s="3">
        <v>15.48</v>
      </c>
      <c r="J995" s="3" t="s">
        <v>54</v>
      </c>
    </row>
    <row r="996" spans="1:10" s="3" customFormat="1" x14ac:dyDescent="0.25">
      <c r="A996" s="2">
        <v>38</v>
      </c>
      <c r="B996" s="3" t="s">
        <v>25</v>
      </c>
      <c r="C996" s="3">
        <v>647</v>
      </c>
      <c r="D996" s="3">
        <v>1</v>
      </c>
      <c r="E996" s="3" t="s">
        <v>55</v>
      </c>
      <c r="F996" s="3" t="s">
        <v>56</v>
      </c>
      <c r="G996" s="3" t="str">
        <f>"2025-11-27 08:35:21.166"</f>
        <v>2025-11-27 08:35:21.166</v>
      </c>
      <c r="H996" s="3" t="s">
        <v>21</v>
      </c>
    </row>
    <row r="997" spans="1:10" s="3" customFormat="1" x14ac:dyDescent="0.25">
      <c r="A997" s="2">
        <v>39</v>
      </c>
      <c r="B997" s="3" t="s">
        <v>29</v>
      </c>
      <c r="C997" s="3">
        <v>647</v>
      </c>
      <c r="D997" s="3">
        <v>1</v>
      </c>
      <c r="E997" s="3" t="s">
        <v>55</v>
      </c>
      <c r="F997" s="3" t="s">
        <v>56</v>
      </c>
      <c r="G997" s="3" t="str">
        <f>"2025-11-27 08:35:18.266"</f>
        <v>2025-11-27 08:35:18.266</v>
      </c>
      <c r="H997" s="3" t="s">
        <v>21</v>
      </c>
      <c r="I997" s="3">
        <v>18.03</v>
      </c>
      <c r="J997" s="3" t="s">
        <v>54</v>
      </c>
    </row>
    <row r="998" spans="1:10" s="3" customFormat="1" x14ac:dyDescent="0.25">
      <c r="A998" s="2">
        <v>40</v>
      </c>
      <c r="B998" s="3" t="s">
        <v>25</v>
      </c>
      <c r="C998" s="3">
        <v>647</v>
      </c>
      <c r="D998" s="3">
        <v>1</v>
      </c>
      <c r="E998" s="3" t="s">
        <v>55</v>
      </c>
      <c r="F998" s="3" t="s">
        <v>56</v>
      </c>
      <c r="G998" s="3" t="str">
        <f>"2025-11-26 20:38:30.466"</f>
        <v>2025-11-26 20:38:30.466</v>
      </c>
      <c r="H998" s="3" t="s">
        <v>21</v>
      </c>
    </row>
    <row r="999" spans="1:10" s="3" customFormat="1" x14ac:dyDescent="0.25">
      <c r="A999" s="2">
        <v>41</v>
      </c>
      <c r="B999" s="3" t="s">
        <v>29</v>
      </c>
      <c r="C999" s="3">
        <v>647</v>
      </c>
      <c r="D999" s="3">
        <v>1</v>
      </c>
      <c r="E999" s="3" t="s">
        <v>55</v>
      </c>
      <c r="F999" s="3" t="s">
        <v>56</v>
      </c>
      <c r="G999" s="3" t="str">
        <f>"2025-11-26 20:38:28.966"</f>
        <v>2025-11-26 20:38:28.966</v>
      </c>
      <c r="H999" s="3" t="s">
        <v>21</v>
      </c>
      <c r="I999" s="3">
        <v>22.15</v>
      </c>
      <c r="J999" s="3" t="s">
        <v>54</v>
      </c>
    </row>
    <row r="1000" spans="1:10" x14ac:dyDescent="0.25">
      <c r="A1000" s="1">
        <v>42</v>
      </c>
      <c r="B1000" t="s">
        <v>19</v>
      </c>
      <c r="C1000">
        <v>706</v>
      </c>
      <c r="D1000">
        <v>4</v>
      </c>
      <c r="E1000" t="s">
        <v>22</v>
      </c>
      <c r="F1000" t="s">
        <v>31</v>
      </c>
      <c r="G1000" t="str">
        <f>"2025-11-26 16:58:22.935"</f>
        <v>2025-11-26 16:58:22.935</v>
      </c>
      <c r="H1000" t="s">
        <v>21</v>
      </c>
      <c r="I1000">
        <v>0</v>
      </c>
      <c r="J1000" t="s">
        <v>24</v>
      </c>
    </row>
    <row r="1001" spans="1:10" x14ac:dyDescent="0.25">
      <c r="A1001" s="1">
        <v>43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"2025-11-26 16:35:34.055"</f>
        <v>2025-11-26 16:35:34.055</v>
      </c>
      <c r="H1001" t="s">
        <v>21</v>
      </c>
      <c r="I1001">
        <v>0</v>
      </c>
      <c r="J1001" t="s">
        <v>32</v>
      </c>
    </row>
    <row r="1002" spans="1:10" x14ac:dyDescent="0.25">
      <c r="A1002" s="1">
        <v>44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"2025-11-26 16:15:33.053"</f>
        <v>2025-11-26 16:15:33.053</v>
      </c>
      <c r="H1002" t="s">
        <v>21</v>
      </c>
    </row>
    <row r="1003" spans="1:10" s="3" customFormat="1" x14ac:dyDescent="0.25">
      <c r="A1003" s="2">
        <v>45</v>
      </c>
      <c r="B1003" s="3" t="s">
        <v>25</v>
      </c>
      <c r="C1003" s="3">
        <v>647</v>
      </c>
      <c r="D1003" s="3">
        <v>1</v>
      </c>
      <c r="E1003" s="3" t="s">
        <v>55</v>
      </c>
      <c r="F1003" s="3" t="s">
        <v>56</v>
      </c>
      <c r="G1003" s="3" t="str">
        <f>"2025-11-26 15:37:51.286"</f>
        <v>2025-11-26 15:37:51.286</v>
      </c>
      <c r="H1003" s="3" t="s">
        <v>21</v>
      </c>
    </row>
    <row r="1004" spans="1:10" s="3" customFormat="1" x14ac:dyDescent="0.25">
      <c r="A1004" s="2">
        <v>46</v>
      </c>
      <c r="B1004" s="3" t="s">
        <v>29</v>
      </c>
      <c r="C1004" s="3">
        <v>647</v>
      </c>
      <c r="D1004" s="3">
        <v>1</v>
      </c>
      <c r="E1004" s="3" t="s">
        <v>55</v>
      </c>
      <c r="F1004" s="3" t="s">
        <v>56</v>
      </c>
      <c r="G1004" s="3" t="str">
        <f>"2025-11-26 15:37:48.586"</f>
        <v>2025-11-26 15:37:48.586</v>
      </c>
      <c r="H1004" s="3" t="s">
        <v>21</v>
      </c>
      <c r="I1004" s="3">
        <v>10.61</v>
      </c>
      <c r="J1004" s="3" t="s">
        <v>54</v>
      </c>
    </row>
    <row r="1005" spans="1:10" s="3" customFormat="1" x14ac:dyDescent="0.25">
      <c r="A1005" s="2">
        <v>47</v>
      </c>
      <c r="B1005" s="3" t="s">
        <v>25</v>
      </c>
      <c r="C1005" s="3">
        <v>647</v>
      </c>
      <c r="D1005" s="3">
        <v>1</v>
      </c>
      <c r="E1005" s="3" t="s">
        <v>55</v>
      </c>
      <c r="F1005" s="3" t="s">
        <v>56</v>
      </c>
      <c r="G1005" s="3" t="str">
        <f>"2025-11-25 14:12:58.186"</f>
        <v>2025-11-25 14:12:58.186</v>
      </c>
      <c r="H1005" s="3" t="s">
        <v>21</v>
      </c>
    </row>
    <row r="1006" spans="1:10" s="3" customFormat="1" x14ac:dyDescent="0.25">
      <c r="A1006" s="2">
        <v>48</v>
      </c>
      <c r="B1006" s="3" t="s">
        <v>29</v>
      </c>
      <c r="C1006" s="3">
        <v>647</v>
      </c>
      <c r="D1006" s="3">
        <v>1</v>
      </c>
      <c r="E1006" s="3" t="s">
        <v>55</v>
      </c>
      <c r="F1006" s="3" t="s">
        <v>56</v>
      </c>
      <c r="G1006" s="3" t="str">
        <f>"2025-11-25 14:12:49.286"</f>
        <v>2025-11-25 14:12:49.286</v>
      </c>
      <c r="H1006" s="3" t="s">
        <v>21</v>
      </c>
      <c r="I1006" s="3">
        <v>19.63</v>
      </c>
      <c r="J1006" s="3" t="s">
        <v>54</v>
      </c>
    </row>
    <row r="1007" spans="1:10" x14ac:dyDescent="0.25">
      <c r="A1007" s="1">
        <v>49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"2025-11-25 12:45:21.075"</f>
        <v>2025-11-25 12:45:21.075</v>
      </c>
      <c r="H1007" t="s">
        <v>21</v>
      </c>
      <c r="I1007">
        <v>0</v>
      </c>
      <c r="J1007" t="s">
        <v>32</v>
      </c>
    </row>
    <row r="1008" spans="1:10" s="3" customFormat="1" x14ac:dyDescent="0.25">
      <c r="A1008" s="2">
        <v>50</v>
      </c>
      <c r="B1008" s="3" t="s">
        <v>25</v>
      </c>
      <c r="C1008" s="3">
        <v>647</v>
      </c>
      <c r="D1008" s="3">
        <v>1</v>
      </c>
      <c r="E1008" s="3" t="s">
        <v>55</v>
      </c>
      <c r="F1008" s="3" t="s">
        <v>56</v>
      </c>
      <c r="G1008" s="3" t="str">
        <f>"2025-11-25 11:50:21.723"</f>
        <v>2025-11-25 11:50:21.723</v>
      </c>
      <c r="H1008" s="3" t="s">
        <v>21</v>
      </c>
    </row>
    <row r="1009" spans="1:10" s="3" customFormat="1" x14ac:dyDescent="0.25">
      <c r="A1009" s="2">
        <v>51</v>
      </c>
      <c r="B1009" s="3" t="s">
        <v>29</v>
      </c>
      <c r="C1009" s="3">
        <v>647</v>
      </c>
      <c r="D1009" s="3">
        <v>1</v>
      </c>
      <c r="E1009" s="3" t="s">
        <v>55</v>
      </c>
      <c r="F1009" s="3" t="s">
        <v>56</v>
      </c>
      <c r="G1009" s="3" t="str">
        <f>"2025-11-25 11:50:15.223"</f>
        <v>2025-11-25 11:50:15.223</v>
      </c>
      <c r="H1009" s="3" t="s">
        <v>21</v>
      </c>
      <c r="I1009" s="3">
        <v>9.65</v>
      </c>
      <c r="J1009" s="3" t="s">
        <v>54</v>
      </c>
    </row>
    <row r="1010" spans="1:10" s="3" customFormat="1" x14ac:dyDescent="0.25">
      <c r="A1010" s="2">
        <v>52</v>
      </c>
      <c r="B1010" s="3" t="s">
        <v>25</v>
      </c>
      <c r="C1010" s="3">
        <v>647</v>
      </c>
      <c r="D1010" s="3">
        <v>1</v>
      </c>
      <c r="E1010" s="3" t="s">
        <v>55</v>
      </c>
      <c r="F1010" s="3" t="s">
        <v>56</v>
      </c>
      <c r="G1010" s="3" t="str">
        <f>"2025-11-25 08:55:40.623"</f>
        <v>2025-11-25 08:55:40.623</v>
      </c>
      <c r="H1010" s="3" t="s">
        <v>21</v>
      </c>
    </row>
    <row r="1011" spans="1:10" s="3" customFormat="1" x14ac:dyDescent="0.25">
      <c r="A1011" s="2">
        <v>53</v>
      </c>
      <c r="B1011" s="3" t="s">
        <v>29</v>
      </c>
      <c r="C1011" s="3">
        <v>647</v>
      </c>
      <c r="D1011" s="3">
        <v>1</v>
      </c>
      <c r="E1011" s="3" t="s">
        <v>55</v>
      </c>
      <c r="F1011" s="3" t="s">
        <v>56</v>
      </c>
      <c r="G1011" s="3" t="str">
        <f>"2025-11-25 08:55:36.123"</f>
        <v>2025-11-25 08:55:36.123</v>
      </c>
      <c r="H1011" s="3" t="s">
        <v>21</v>
      </c>
      <c r="I1011" s="3">
        <v>10.33</v>
      </c>
      <c r="J1011" s="3" t="s">
        <v>54</v>
      </c>
    </row>
    <row r="1012" spans="1:10" x14ac:dyDescent="0.25">
      <c r="A1012" s="1">
        <v>54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"2025-11-25 07:57:44.049"</f>
        <v>2025-11-25 07:57:44.049</v>
      </c>
      <c r="H1012" t="s">
        <v>21</v>
      </c>
    </row>
    <row r="1013" spans="1:10" x14ac:dyDescent="0.25">
      <c r="A1013" s="1">
        <v>55</v>
      </c>
      <c r="B1013" t="s">
        <v>25</v>
      </c>
      <c r="C1013">
        <v>635</v>
      </c>
      <c r="D1013">
        <v>1</v>
      </c>
      <c r="E1013" t="s">
        <v>45</v>
      </c>
      <c r="F1013" t="s">
        <v>27</v>
      </c>
      <c r="G1013" t="str">
        <f>"2025-11-25 05:14:46.924"</f>
        <v>2025-11-25 05:14:46.924</v>
      </c>
      <c r="H1013" t="s">
        <v>21</v>
      </c>
    </row>
    <row r="1014" spans="1:10" x14ac:dyDescent="0.25">
      <c r="A1014" s="1">
        <v>56</v>
      </c>
      <c r="B1014" t="s">
        <v>29</v>
      </c>
      <c r="C1014">
        <v>635</v>
      </c>
      <c r="D1014">
        <v>1</v>
      </c>
      <c r="E1014" t="s">
        <v>45</v>
      </c>
      <c r="F1014" t="s">
        <v>27</v>
      </c>
      <c r="G1014" t="str">
        <f>"2025-11-25 05:10:59.924"</f>
        <v>2025-11-25 05:10:59.924</v>
      </c>
      <c r="H1014" t="s">
        <v>21</v>
      </c>
      <c r="I1014">
        <v>3.28</v>
      </c>
      <c r="J1014" t="s">
        <v>42</v>
      </c>
    </row>
    <row r="1015" spans="1:10" x14ac:dyDescent="0.25">
      <c r="A1015" s="1">
        <v>57</v>
      </c>
      <c r="B1015" t="s">
        <v>25</v>
      </c>
      <c r="C1015">
        <v>635</v>
      </c>
      <c r="D1015">
        <v>1</v>
      </c>
      <c r="E1015" t="s">
        <v>45</v>
      </c>
      <c r="F1015" t="s">
        <v>27</v>
      </c>
      <c r="G1015" t="str">
        <f>"2025-11-25 03:58:59.524"</f>
        <v>2025-11-25 03:58:59.524</v>
      </c>
      <c r="H1015" t="s">
        <v>21</v>
      </c>
    </row>
    <row r="1016" spans="1:10" x14ac:dyDescent="0.25">
      <c r="A1016" s="1">
        <v>58</v>
      </c>
      <c r="B1016" t="s">
        <v>29</v>
      </c>
      <c r="C1016">
        <v>635</v>
      </c>
      <c r="D1016">
        <v>1</v>
      </c>
      <c r="E1016" t="s">
        <v>45</v>
      </c>
      <c r="F1016" t="s">
        <v>27</v>
      </c>
      <c r="G1016" t="str">
        <f>"2025-11-25 03:53:42.023"</f>
        <v>2025-11-25 03:53:42.023</v>
      </c>
      <c r="H1016" t="s">
        <v>21</v>
      </c>
      <c r="I1016">
        <v>-0.57999999999999996</v>
      </c>
      <c r="J1016" t="s">
        <v>37</v>
      </c>
    </row>
    <row r="1017" spans="1:10" x14ac:dyDescent="0.25">
      <c r="A1017" s="1">
        <v>59</v>
      </c>
      <c r="B1017" t="s">
        <v>25</v>
      </c>
      <c r="C1017">
        <v>635</v>
      </c>
      <c r="D1017">
        <v>1</v>
      </c>
      <c r="E1017" t="s">
        <v>45</v>
      </c>
      <c r="F1017" t="s">
        <v>27</v>
      </c>
      <c r="G1017" t="str">
        <f>"2025-11-24 12:10:23.224"</f>
        <v>2025-11-24 12:10:23.224</v>
      </c>
      <c r="H1017" t="s">
        <v>21</v>
      </c>
    </row>
    <row r="1018" spans="1:10" x14ac:dyDescent="0.25">
      <c r="A1018" s="1">
        <v>60</v>
      </c>
      <c r="B1018" t="s">
        <v>29</v>
      </c>
      <c r="C1018">
        <v>635</v>
      </c>
      <c r="D1018">
        <v>1</v>
      </c>
      <c r="E1018" t="s">
        <v>45</v>
      </c>
      <c r="F1018" t="s">
        <v>27</v>
      </c>
      <c r="G1018" t="str">
        <f>"2025-11-24 11:46:22.224"</f>
        <v>2025-11-24 11:46:22.224</v>
      </c>
      <c r="H1018" t="s">
        <v>21</v>
      </c>
      <c r="I1018">
        <v>4.93</v>
      </c>
      <c r="J1018" t="s">
        <v>42</v>
      </c>
    </row>
    <row r="1019" spans="1:10" x14ac:dyDescent="0.25">
      <c r="A1019" s="1">
        <v>61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"2025-11-24 02:37:14.051"</f>
        <v>2025-11-24 02:37:14.051</v>
      </c>
      <c r="H1019" t="s">
        <v>21</v>
      </c>
    </row>
    <row r="1020" spans="1:10" x14ac:dyDescent="0.25">
      <c r="A1020" s="1">
        <v>62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"2025-11-24 02:18:04.038"</f>
        <v>2025-11-24 02:18:04.038</v>
      </c>
      <c r="H1020" t="s">
        <v>21</v>
      </c>
    </row>
    <row r="1021" spans="1:10" x14ac:dyDescent="0.25">
      <c r="A1021" s="1">
        <v>63</v>
      </c>
      <c r="B1021" t="s">
        <v>19</v>
      </c>
      <c r="C1021">
        <v>706</v>
      </c>
      <c r="D1021">
        <v>4</v>
      </c>
      <c r="E1021" t="s">
        <v>22</v>
      </c>
      <c r="F1021" t="s">
        <v>31</v>
      </c>
      <c r="G1021" t="str">
        <f>"2025-11-24 02:08:05.451"</f>
        <v>2025-11-24 02:08:05.451</v>
      </c>
      <c r="H1021" t="s">
        <v>21</v>
      </c>
      <c r="I1021">
        <v>0</v>
      </c>
      <c r="J1021" t="s">
        <v>24</v>
      </c>
    </row>
    <row r="1022" spans="1:10" x14ac:dyDescent="0.25">
      <c r="A1022" s="1">
        <v>64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"2025-11-24 02:02:33.051"</f>
        <v>2025-11-24 02:02:33.051</v>
      </c>
      <c r="H1022" t="s">
        <v>21</v>
      </c>
      <c r="I1022">
        <v>0</v>
      </c>
      <c r="J1022" t="s">
        <v>32</v>
      </c>
    </row>
    <row r="1023" spans="1:10" x14ac:dyDescent="0.25">
      <c r="A1023" s="1">
        <v>65</v>
      </c>
      <c r="B1023" t="s">
        <v>33</v>
      </c>
      <c r="C1023">
        <v>630</v>
      </c>
      <c r="D1023">
        <v>5</v>
      </c>
      <c r="E1023" t="s">
        <v>51</v>
      </c>
      <c r="F1023" t="s">
        <v>52</v>
      </c>
      <c r="G1023" t="str">
        <f>"2025-11-23 23:38:15.927"</f>
        <v>2025-11-23 23:38:15.927</v>
      </c>
      <c r="H1023" t="s">
        <v>40</v>
      </c>
      <c r="I1023">
        <v>0</v>
      </c>
      <c r="J1023" t="s">
        <v>24</v>
      </c>
    </row>
    <row r="1024" spans="1:10" x14ac:dyDescent="0.25">
      <c r="A1024" s="1">
        <v>66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"2025-11-23 23:33:13.269"</f>
        <v>2025-11-23 23:33:13.269</v>
      </c>
      <c r="H1024" t="s">
        <v>21</v>
      </c>
      <c r="I1024">
        <v>0</v>
      </c>
      <c r="J1024" t="s">
        <v>32</v>
      </c>
    </row>
    <row r="1025" spans="1:10" s="3" customFormat="1" x14ac:dyDescent="0.25">
      <c r="A1025" s="2">
        <v>67</v>
      </c>
      <c r="B1025" s="3" t="s">
        <v>25</v>
      </c>
      <c r="C1025" s="3">
        <v>647</v>
      </c>
      <c r="D1025" s="3">
        <v>1</v>
      </c>
      <c r="E1025" s="3" t="s">
        <v>55</v>
      </c>
      <c r="F1025" s="3" t="s">
        <v>56</v>
      </c>
      <c r="G1025" s="3" t="str">
        <f>"2025-11-23 11:47:06.556"</f>
        <v>2025-11-23 11:47:06.556</v>
      </c>
      <c r="H1025" s="3" t="s">
        <v>21</v>
      </c>
    </row>
    <row r="1026" spans="1:10" s="3" customFormat="1" x14ac:dyDescent="0.25">
      <c r="A1026" s="2">
        <v>68</v>
      </c>
      <c r="B1026" s="3" t="s">
        <v>29</v>
      </c>
      <c r="C1026" s="3">
        <v>647</v>
      </c>
      <c r="D1026" s="3">
        <v>1</v>
      </c>
      <c r="E1026" s="3" t="s">
        <v>55</v>
      </c>
      <c r="F1026" s="3" t="s">
        <v>56</v>
      </c>
      <c r="G1026" s="3" t="str">
        <f>"2025-11-23 11:47:00.856"</f>
        <v>2025-11-23 11:47:00.856</v>
      </c>
      <c r="H1026" s="3" t="s">
        <v>21</v>
      </c>
      <c r="I1026" s="3">
        <v>22.3</v>
      </c>
      <c r="J1026" s="3" t="s">
        <v>54</v>
      </c>
    </row>
    <row r="1027" spans="1:10" s="3" customFormat="1" x14ac:dyDescent="0.25">
      <c r="A1027" s="2">
        <v>69</v>
      </c>
      <c r="B1027" s="3" t="s">
        <v>25</v>
      </c>
      <c r="C1027" s="3">
        <v>647</v>
      </c>
      <c r="D1027" s="3">
        <v>1</v>
      </c>
      <c r="E1027" s="3" t="s">
        <v>55</v>
      </c>
      <c r="F1027" s="3" t="s">
        <v>56</v>
      </c>
      <c r="G1027" s="3" t="str">
        <f>"2025-11-23 10:16:29.656"</f>
        <v>2025-11-23 10:16:29.656</v>
      </c>
      <c r="H1027" s="3" t="s">
        <v>21</v>
      </c>
    </row>
    <row r="1028" spans="1:10" s="3" customFormat="1" x14ac:dyDescent="0.25">
      <c r="A1028" s="2">
        <v>70</v>
      </c>
      <c r="B1028" s="3" t="s">
        <v>29</v>
      </c>
      <c r="C1028" s="3">
        <v>647</v>
      </c>
      <c r="D1028" s="3">
        <v>1</v>
      </c>
      <c r="E1028" s="3" t="s">
        <v>55</v>
      </c>
      <c r="F1028" s="3" t="s">
        <v>56</v>
      </c>
      <c r="G1028" s="3" t="str">
        <f>"2025-11-23 10:16:26.556"</f>
        <v>2025-11-23 10:16:26.556</v>
      </c>
      <c r="H1028" s="3" t="s">
        <v>21</v>
      </c>
      <c r="I1028" s="3">
        <v>10.82</v>
      </c>
      <c r="J1028" s="3" t="s">
        <v>54</v>
      </c>
    </row>
    <row r="1029" spans="1:10" s="3" customFormat="1" x14ac:dyDescent="0.25">
      <c r="A1029" s="2">
        <v>71</v>
      </c>
      <c r="B1029" s="3" t="s">
        <v>25</v>
      </c>
      <c r="C1029" s="3">
        <v>647</v>
      </c>
      <c r="D1029" s="3">
        <v>1</v>
      </c>
      <c r="E1029" s="3" t="s">
        <v>55</v>
      </c>
      <c r="F1029" s="3" t="s">
        <v>56</v>
      </c>
      <c r="G1029" s="3" t="str">
        <f>"2025-11-23 09:10:15.756"</f>
        <v>2025-11-23 09:10:15.756</v>
      </c>
      <c r="H1029" s="3" t="s">
        <v>21</v>
      </c>
    </row>
    <row r="1030" spans="1:10" s="3" customFormat="1" x14ac:dyDescent="0.25">
      <c r="A1030" s="2">
        <v>72</v>
      </c>
      <c r="B1030" s="3" t="s">
        <v>29</v>
      </c>
      <c r="C1030" s="3">
        <v>647</v>
      </c>
      <c r="D1030" s="3">
        <v>1</v>
      </c>
      <c r="E1030" s="3" t="s">
        <v>55</v>
      </c>
      <c r="F1030" s="3" t="s">
        <v>56</v>
      </c>
      <c r="G1030" s="3" t="str">
        <f>"2025-11-23 09:10:09.656"</f>
        <v>2025-11-23 09:10:09.656</v>
      </c>
      <c r="H1030" s="3" t="s">
        <v>21</v>
      </c>
      <c r="I1030" s="3">
        <v>12.07</v>
      </c>
      <c r="J1030" s="3" t="s">
        <v>54</v>
      </c>
    </row>
    <row r="1031" spans="1:10" s="3" customFormat="1" x14ac:dyDescent="0.25">
      <c r="A1031" s="2">
        <v>73</v>
      </c>
      <c r="B1031" s="3" t="s">
        <v>25</v>
      </c>
      <c r="C1031" s="3">
        <v>647</v>
      </c>
      <c r="D1031" s="3">
        <v>1</v>
      </c>
      <c r="E1031" s="3" t="s">
        <v>55</v>
      </c>
      <c r="F1031" s="3" t="s">
        <v>56</v>
      </c>
      <c r="G1031" s="3" t="str">
        <f>"2025-11-23 08:05:12.356"</f>
        <v>2025-11-23 08:05:12.356</v>
      </c>
      <c r="H1031" s="3" t="s">
        <v>21</v>
      </c>
    </row>
    <row r="1032" spans="1:10" s="3" customFormat="1" x14ac:dyDescent="0.25">
      <c r="A1032" s="2">
        <v>74</v>
      </c>
      <c r="B1032" s="3" t="s">
        <v>29</v>
      </c>
      <c r="C1032" s="3">
        <v>647</v>
      </c>
      <c r="D1032" s="3">
        <v>1</v>
      </c>
      <c r="E1032" s="3" t="s">
        <v>55</v>
      </c>
      <c r="F1032" s="3" t="s">
        <v>56</v>
      </c>
      <c r="G1032" s="3" t="str">
        <f>"2025-11-23 08:05:05.356"</f>
        <v>2025-11-23 08:05:05.356</v>
      </c>
      <c r="H1032" s="3" t="s">
        <v>21</v>
      </c>
      <c r="I1032" s="3">
        <v>21.89</v>
      </c>
      <c r="J1032" s="3" t="s">
        <v>54</v>
      </c>
    </row>
    <row r="1033" spans="1:10" s="3" customFormat="1" x14ac:dyDescent="0.25">
      <c r="A1033" s="2">
        <v>75</v>
      </c>
      <c r="B1033" s="3" t="s">
        <v>25</v>
      </c>
      <c r="C1033" s="3">
        <v>647</v>
      </c>
      <c r="D1033" s="3">
        <v>1</v>
      </c>
      <c r="E1033" s="3" t="s">
        <v>55</v>
      </c>
      <c r="F1033" s="3" t="s">
        <v>56</v>
      </c>
      <c r="G1033" s="3" t="str">
        <f>"2025-11-22 19:32:31.256"</f>
        <v>2025-11-22 19:32:31.256</v>
      </c>
      <c r="H1033" s="3" t="s">
        <v>21</v>
      </c>
    </row>
    <row r="1034" spans="1:10" s="3" customFormat="1" x14ac:dyDescent="0.25">
      <c r="A1034" s="2">
        <v>76</v>
      </c>
      <c r="B1034" s="3" t="s">
        <v>29</v>
      </c>
      <c r="C1034" s="3">
        <v>647</v>
      </c>
      <c r="D1034" s="3">
        <v>1</v>
      </c>
      <c r="E1034" s="3" t="s">
        <v>55</v>
      </c>
      <c r="F1034" s="3" t="s">
        <v>56</v>
      </c>
      <c r="G1034" s="3" t="str">
        <f>"2025-11-22 19:32:29.056"</f>
        <v>2025-11-22 19:32:29.056</v>
      </c>
      <c r="H1034" s="3" t="s">
        <v>21</v>
      </c>
      <c r="I1034" s="3">
        <v>28.17</v>
      </c>
      <c r="J1034" s="3" t="s">
        <v>54</v>
      </c>
    </row>
    <row r="1035" spans="1:10" s="3" customFormat="1" x14ac:dyDescent="0.25">
      <c r="A1035" s="2">
        <v>77</v>
      </c>
      <c r="B1035" s="3" t="s">
        <v>25</v>
      </c>
      <c r="C1035" s="3">
        <v>647</v>
      </c>
      <c r="D1035" s="3">
        <v>1</v>
      </c>
      <c r="E1035" s="3" t="s">
        <v>55</v>
      </c>
      <c r="F1035" s="3" t="s">
        <v>56</v>
      </c>
      <c r="G1035" s="3" t="str">
        <f>"2025-11-22 16:33:37.056"</f>
        <v>2025-11-22 16:33:37.056</v>
      </c>
      <c r="H1035" s="3" t="s">
        <v>21</v>
      </c>
    </row>
    <row r="1036" spans="1:10" s="3" customFormat="1" x14ac:dyDescent="0.25">
      <c r="A1036" s="2">
        <v>78</v>
      </c>
      <c r="B1036" s="3" t="s">
        <v>29</v>
      </c>
      <c r="C1036" s="3">
        <v>647</v>
      </c>
      <c r="D1036" s="3">
        <v>1</v>
      </c>
      <c r="E1036" s="3" t="s">
        <v>55</v>
      </c>
      <c r="F1036" s="3" t="s">
        <v>56</v>
      </c>
      <c r="G1036" s="3" t="str">
        <f>"2025-11-22 16:33:31.556"</f>
        <v>2025-11-22 16:33:31.556</v>
      </c>
      <c r="H1036" s="3" t="s">
        <v>21</v>
      </c>
      <c r="I1036" s="3">
        <v>22.58</v>
      </c>
      <c r="J1036" s="3" t="s">
        <v>54</v>
      </c>
    </row>
    <row r="1037" spans="1:10" x14ac:dyDescent="0.25">
      <c r="A1037" s="1">
        <v>79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"2025-11-22 16:10:53.025"</f>
        <v>2025-11-22 16:10:53.025</v>
      </c>
      <c r="H1037" t="s">
        <v>21</v>
      </c>
    </row>
    <row r="1038" spans="1:10" x14ac:dyDescent="0.25">
      <c r="A1038" s="1">
        <v>80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"2025-11-22 16:02:35.045"</f>
        <v>2025-11-22 16:02:35.045</v>
      </c>
      <c r="H1038" t="s">
        <v>21</v>
      </c>
      <c r="I1038">
        <v>0</v>
      </c>
      <c r="J1038" t="s">
        <v>32</v>
      </c>
    </row>
    <row r="1039" spans="1:10" s="3" customFormat="1" x14ac:dyDescent="0.25">
      <c r="A1039" s="2">
        <v>81</v>
      </c>
      <c r="B1039" s="3" t="s">
        <v>25</v>
      </c>
      <c r="C1039" s="3">
        <v>647</v>
      </c>
      <c r="D1039" s="3">
        <v>1</v>
      </c>
      <c r="E1039" s="3" t="s">
        <v>55</v>
      </c>
      <c r="F1039" s="3" t="s">
        <v>56</v>
      </c>
      <c r="G1039" s="3" t="str">
        <f>"2025-11-22 15:45:10.212"</f>
        <v>2025-11-22 15:45:10.212</v>
      </c>
      <c r="H1039" s="3" t="s">
        <v>21</v>
      </c>
    </row>
    <row r="1040" spans="1:10" s="3" customFormat="1" x14ac:dyDescent="0.25">
      <c r="A1040" s="2">
        <v>82</v>
      </c>
      <c r="B1040" s="3" t="s">
        <v>29</v>
      </c>
      <c r="C1040" s="3">
        <v>647</v>
      </c>
      <c r="D1040" s="3">
        <v>1</v>
      </c>
      <c r="E1040" s="3" t="s">
        <v>55</v>
      </c>
      <c r="F1040" s="3" t="s">
        <v>56</v>
      </c>
      <c r="G1040" s="3" t="str">
        <f>"2025-11-22 15:45:05.912"</f>
        <v>2025-11-22 15:45:05.912</v>
      </c>
      <c r="H1040" s="3" t="s">
        <v>21</v>
      </c>
      <c r="I1040" s="3">
        <v>9.32</v>
      </c>
      <c r="J1040" s="3" t="s">
        <v>54</v>
      </c>
    </row>
    <row r="1041" spans="1:10" s="3" customFormat="1" x14ac:dyDescent="0.25">
      <c r="A1041" s="2">
        <v>83</v>
      </c>
      <c r="B1041" s="3" t="s">
        <v>25</v>
      </c>
      <c r="C1041" s="3">
        <v>647</v>
      </c>
      <c r="D1041" s="3">
        <v>1</v>
      </c>
      <c r="E1041" s="3" t="s">
        <v>55</v>
      </c>
      <c r="F1041" s="3" t="s">
        <v>56</v>
      </c>
      <c r="G1041" s="3" t="str">
        <f>"2025-11-22 15:45:04.012"</f>
        <v>2025-11-22 15:45:04.012</v>
      </c>
      <c r="H1041" s="3" t="s">
        <v>21</v>
      </c>
    </row>
    <row r="1042" spans="1:10" s="3" customFormat="1" x14ac:dyDescent="0.25">
      <c r="A1042" s="2">
        <v>84</v>
      </c>
      <c r="B1042" s="3" t="s">
        <v>29</v>
      </c>
      <c r="C1042" s="3">
        <v>647</v>
      </c>
      <c r="D1042" s="3">
        <v>1</v>
      </c>
      <c r="E1042" s="3" t="s">
        <v>55</v>
      </c>
      <c r="F1042" s="3" t="s">
        <v>56</v>
      </c>
      <c r="G1042" s="3" t="str">
        <f>"2025-11-22 15:45:01.313"</f>
        <v>2025-11-22 15:45:01.313</v>
      </c>
      <c r="H1042" s="3" t="s">
        <v>21</v>
      </c>
      <c r="I1042" s="3">
        <v>15.83</v>
      </c>
      <c r="J1042" s="3" t="s">
        <v>54</v>
      </c>
    </row>
    <row r="1043" spans="1:10" x14ac:dyDescent="0.25">
      <c r="A1043" s="1">
        <v>85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"2025-11-22 15:02:17.033"</f>
        <v>2025-11-22 15:02:17.033</v>
      </c>
      <c r="H1043" t="s">
        <v>21</v>
      </c>
    </row>
    <row r="1044" spans="1:10" x14ac:dyDescent="0.25">
      <c r="A1044" s="1">
        <v>86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"2025-11-22 14:56:46.237"</f>
        <v>2025-11-22 14:56:46.237</v>
      </c>
      <c r="H1044" t="s">
        <v>21</v>
      </c>
      <c r="I1044">
        <v>0</v>
      </c>
      <c r="J1044" t="s">
        <v>32</v>
      </c>
    </row>
    <row r="1045" spans="1:10" x14ac:dyDescent="0.25">
      <c r="A1045" s="1">
        <v>87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"2025-11-22 13:00:50.041"</f>
        <v>2025-11-22 13:00:50.041</v>
      </c>
      <c r="H1045" t="s">
        <v>21</v>
      </c>
    </row>
    <row r="1046" spans="1:10" s="3" customFormat="1" x14ac:dyDescent="0.25">
      <c r="A1046" s="2">
        <v>88</v>
      </c>
      <c r="B1046" s="3" t="s">
        <v>25</v>
      </c>
      <c r="C1046" s="3">
        <v>647</v>
      </c>
      <c r="D1046" s="3">
        <v>1</v>
      </c>
      <c r="E1046" s="3" t="s">
        <v>55</v>
      </c>
      <c r="F1046" s="3" t="s">
        <v>56</v>
      </c>
      <c r="G1046" s="3" t="str">
        <f>"2025-11-22 10:29:15.829"</f>
        <v>2025-11-22 10:29:15.829</v>
      </c>
      <c r="H1046" s="3" t="s">
        <v>21</v>
      </c>
    </row>
    <row r="1047" spans="1:10" s="3" customFormat="1" x14ac:dyDescent="0.25">
      <c r="A1047" s="2">
        <v>89</v>
      </c>
      <c r="B1047" s="3" t="s">
        <v>29</v>
      </c>
      <c r="C1047" s="3">
        <v>647</v>
      </c>
      <c r="D1047" s="3">
        <v>1</v>
      </c>
      <c r="E1047" s="3" t="s">
        <v>55</v>
      </c>
      <c r="F1047" s="3" t="s">
        <v>56</v>
      </c>
      <c r="G1047" s="3" t="str">
        <f>"2025-11-22 10:29:08.329"</f>
        <v>2025-11-22 10:29:08.329</v>
      </c>
      <c r="H1047" s="3" t="s">
        <v>21</v>
      </c>
      <c r="I1047" s="3">
        <v>12.73</v>
      </c>
      <c r="J1047" s="3" t="s">
        <v>54</v>
      </c>
    </row>
    <row r="1048" spans="1:10" s="3" customFormat="1" x14ac:dyDescent="0.25">
      <c r="A1048" s="2">
        <v>90</v>
      </c>
      <c r="B1048" s="3" t="s">
        <v>25</v>
      </c>
      <c r="C1048" s="3">
        <v>647</v>
      </c>
      <c r="D1048" s="3">
        <v>1</v>
      </c>
      <c r="E1048" s="3" t="s">
        <v>55</v>
      </c>
      <c r="F1048" s="3" t="s">
        <v>56</v>
      </c>
      <c r="G1048" s="3" t="str">
        <f>"2025-11-22 09:40:28.629"</f>
        <v>2025-11-22 09:40:28.629</v>
      </c>
      <c r="H1048" s="3" t="s">
        <v>21</v>
      </c>
    </row>
    <row r="1049" spans="1:10" s="3" customFormat="1" x14ac:dyDescent="0.25">
      <c r="A1049" s="2">
        <v>91</v>
      </c>
      <c r="B1049" s="3" t="s">
        <v>29</v>
      </c>
      <c r="C1049" s="3">
        <v>647</v>
      </c>
      <c r="D1049" s="3">
        <v>1</v>
      </c>
      <c r="E1049" s="3" t="s">
        <v>55</v>
      </c>
      <c r="F1049" s="3" t="s">
        <v>56</v>
      </c>
      <c r="G1049" s="3" t="str">
        <f>"2025-11-22 09:40:23.629"</f>
        <v>2025-11-22 09:40:23.629</v>
      </c>
      <c r="H1049" s="3" t="s">
        <v>21</v>
      </c>
      <c r="I1049" s="3">
        <v>17.7</v>
      </c>
      <c r="J1049" s="3" t="s">
        <v>54</v>
      </c>
    </row>
    <row r="1050" spans="1:10" s="3" customFormat="1" x14ac:dyDescent="0.25">
      <c r="A1050" s="2">
        <v>92</v>
      </c>
      <c r="B1050" s="3" t="s">
        <v>25</v>
      </c>
      <c r="C1050" s="3">
        <v>647</v>
      </c>
      <c r="D1050" s="3">
        <v>1</v>
      </c>
      <c r="E1050" s="3" t="s">
        <v>55</v>
      </c>
      <c r="F1050" s="3" t="s">
        <v>56</v>
      </c>
      <c r="G1050" s="3" t="str">
        <f>"2025-11-22 09:30:59.130"</f>
        <v>2025-11-22 09:30:59.130</v>
      </c>
      <c r="H1050" s="3" t="s">
        <v>21</v>
      </c>
    </row>
    <row r="1051" spans="1:10" s="3" customFormat="1" x14ac:dyDescent="0.25">
      <c r="A1051" s="2">
        <v>93</v>
      </c>
      <c r="B1051" s="3" t="s">
        <v>29</v>
      </c>
      <c r="C1051" s="3">
        <v>647</v>
      </c>
      <c r="D1051" s="3">
        <v>1</v>
      </c>
      <c r="E1051" s="3" t="s">
        <v>55</v>
      </c>
      <c r="F1051" s="3" t="s">
        <v>56</v>
      </c>
      <c r="G1051" s="3" t="str">
        <f>"2025-11-22 09:30:57.629"</f>
        <v>2025-11-22 09:30:57.629</v>
      </c>
      <c r="H1051" s="3" t="s">
        <v>21</v>
      </c>
      <c r="I1051" s="3">
        <v>10.6</v>
      </c>
      <c r="J1051" s="3" t="s">
        <v>54</v>
      </c>
    </row>
    <row r="1052" spans="1:10" s="3" customFormat="1" x14ac:dyDescent="0.25">
      <c r="A1052" s="2">
        <v>94</v>
      </c>
      <c r="B1052" s="3" t="s">
        <v>25</v>
      </c>
      <c r="C1052" s="3">
        <v>647</v>
      </c>
      <c r="D1052" s="3">
        <v>1</v>
      </c>
      <c r="E1052" s="3" t="s">
        <v>55</v>
      </c>
      <c r="F1052" s="3" t="s">
        <v>56</v>
      </c>
      <c r="G1052" s="3" t="str">
        <f>"2025-11-22 09:20:17.929"</f>
        <v>2025-11-22 09:20:17.929</v>
      </c>
      <c r="H1052" s="3" t="s">
        <v>21</v>
      </c>
    </row>
    <row r="1053" spans="1:10" s="3" customFormat="1" x14ac:dyDescent="0.25">
      <c r="A1053" s="2">
        <v>95</v>
      </c>
      <c r="B1053" s="3" t="s">
        <v>29</v>
      </c>
      <c r="C1053" s="3">
        <v>647</v>
      </c>
      <c r="D1053" s="3">
        <v>1</v>
      </c>
      <c r="E1053" s="3" t="s">
        <v>55</v>
      </c>
      <c r="F1053" s="3" t="s">
        <v>56</v>
      </c>
      <c r="G1053" s="3" t="str">
        <f>"2025-11-22 09:20:16.829"</f>
        <v>2025-11-22 09:20:16.829</v>
      </c>
      <c r="H1053" s="3" t="s">
        <v>21</v>
      </c>
      <c r="I1053" s="3">
        <v>21.51</v>
      </c>
      <c r="J1053" s="3" t="s">
        <v>54</v>
      </c>
    </row>
    <row r="1054" spans="1:10" s="3" customFormat="1" x14ac:dyDescent="0.25">
      <c r="A1054" s="2">
        <v>96</v>
      </c>
      <c r="B1054" s="3" t="s">
        <v>25</v>
      </c>
      <c r="C1054" s="3">
        <v>647</v>
      </c>
      <c r="D1054" s="3">
        <v>1</v>
      </c>
      <c r="E1054" s="3" t="s">
        <v>55</v>
      </c>
      <c r="F1054" s="3" t="s">
        <v>56</v>
      </c>
      <c r="G1054" s="3" t="str">
        <f>"2025-11-22 08:56:02.729"</f>
        <v>2025-11-22 08:56:02.729</v>
      </c>
      <c r="H1054" s="3" t="s">
        <v>21</v>
      </c>
    </row>
    <row r="1055" spans="1:10" s="3" customFormat="1" x14ac:dyDescent="0.25">
      <c r="A1055" s="2">
        <v>97</v>
      </c>
      <c r="B1055" s="3" t="s">
        <v>29</v>
      </c>
      <c r="C1055" s="3">
        <v>647</v>
      </c>
      <c r="D1055" s="3">
        <v>1</v>
      </c>
      <c r="E1055" s="3" t="s">
        <v>55</v>
      </c>
      <c r="F1055" s="3" t="s">
        <v>56</v>
      </c>
      <c r="G1055" s="3" t="str">
        <f>"2025-11-22 08:56:00.230"</f>
        <v>2025-11-22 08:56:00.230</v>
      </c>
      <c r="H1055" s="3" t="s">
        <v>21</v>
      </c>
      <c r="I1055" s="3">
        <v>21.85</v>
      </c>
      <c r="J1055" s="3" t="s">
        <v>54</v>
      </c>
    </row>
    <row r="1056" spans="1:10" x14ac:dyDescent="0.25">
      <c r="A1056" s="1">
        <v>98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"2025-11-21 19:53:43.301"</f>
        <v>2025-11-21 19:53:43.301</v>
      </c>
      <c r="H1056" t="s">
        <v>21</v>
      </c>
      <c r="I1056">
        <v>0</v>
      </c>
      <c r="J1056" t="s">
        <v>32</v>
      </c>
    </row>
    <row r="1057" spans="1:10" s="3" customFormat="1" x14ac:dyDescent="0.25">
      <c r="A1057" s="2">
        <v>99</v>
      </c>
      <c r="B1057" s="3" t="s">
        <v>25</v>
      </c>
      <c r="C1057" s="3">
        <v>647</v>
      </c>
      <c r="D1057" s="3">
        <v>1</v>
      </c>
      <c r="E1057" s="3" t="s">
        <v>55</v>
      </c>
      <c r="F1057" s="3" t="s">
        <v>56</v>
      </c>
      <c r="G1057" s="3" t="str">
        <f>"2025-11-21 18:21:43.472"</f>
        <v>2025-11-21 18:21:43.472</v>
      </c>
      <c r="H1057" s="3" t="s">
        <v>21</v>
      </c>
    </row>
    <row r="1058" spans="1:10" s="3" customFormat="1" x14ac:dyDescent="0.25">
      <c r="A1058" s="2">
        <v>100</v>
      </c>
      <c r="B1058" s="3" t="s">
        <v>29</v>
      </c>
      <c r="C1058" s="3">
        <v>647</v>
      </c>
      <c r="D1058" s="3">
        <v>1</v>
      </c>
      <c r="E1058" s="3" t="s">
        <v>55</v>
      </c>
      <c r="F1058" s="3" t="s">
        <v>56</v>
      </c>
      <c r="G1058" s="3" t="str">
        <f>"2025-11-21 18:21:35.372"</f>
        <v>2025-11-21 18:21:35.372</v>
      </c>
      <c r="H1058" s="3" t="s">
        <v>21</v>
      </c>
      <c r="I1058" s="3">
        <v>16.57</v>
      </c>
      <c r="J1058" s="3" t="s">
        <v>54</v>
      </c>
    </row>
    <row r="1059" spans="1:10" s="3" customFormat="1" x14ac:dyDescent="0.25">
      <c r="A1059" s="2">
        <v>101</v>
      </c>
      <c r="B1059" s="3" t="s">
        <v>25</v>
      </c>
      <c r="C1059" s="3">
        <v>647</v>
      </c>
      <c r="D1059" s="3">
        <v>1</v>
      </c>
      <c r="E1059" s="3" t="s">
        <v>55</v>
      </c>
      <c r="F1059" s="3" t="s">
        <v>56</v>
      </c>
      <c r="G1059" s="3" t="str">
        <f>"2025-11-21 18:20:45.472"</f>
        <v>2025-11-21 18:20:45.472</v>
      </c>
      <c r="H1059" s="3" t="s">
        <v>21</v>
      </c>
    </row>
    <row r="1060" spans="1:10" s="3" customFormat="1" x14ac:dyDescent="0.25">
      <c r="A1060" s="2">
        <v>102</v>
      </c>
      <c r="B1060" s="3" t="s">
        <v>29</v>
      </c>
      <c r="C1060" s="3">
        <v>647</v>
      </c>
      <c r="D1060" s="3">
        <v>1</v>
      </c>
      <c r="E1060" s="3" t="s">
        <v>55</v>
      </c>
      <c r="F1060" s="3" t="s">
        <v>56</v>
      </c>
      <c r="G1060" s="3" t="str">
        <f>"2025-11-21 18:20:41.172"</f>
        <v>2025-11-21 18:20:41.172</v>
      </c>
      <c r="H1060" s="3" t="s">
        <v>21</v>
      </c>
      <c r="I1060" s="3">
        <v>11.79</v>
      </c>
      <c r="J1060" s="3" t="s">
        <v>54</v>
      </c>
    </row>
    <row r="1061" spans="1:10" s="3" customFormat="1" x14ac:dyDescent="0.25">
      <c r="A1061" s="2">
        <v>103</v>
      </c>
      <c r="B1061" s="3" t="s">
        <v>25</v>
      </c>
      <c r="C1061" s="3">
        <v>647</v>
      </c>
      <c r="D1061" s="3">
        <v>1</v>
      </c>
      <c r="E1061" s="3" t="s">
        <v>55</v>
      </c>
      <c r="F1061" s="3" t="s">
        <v>56</v>
      </c>
      <c r="G1061" s="3" t="str">
        <f>"2025-11-21 14:27:45.572"</f>
        <v>2025-11-21 14:27:45.572</v>
      </c>
      <c r="H1061" s="3" t="s">
        <v>21</v>
      </c>
    </row>
    <row r="1062" spans="1:10" s="3" customFormat="1" x14ac:dyDescent="0.25">
      <c r="A1062" s="2">
        <v>104</v>
      </c>
      <c r="B1062" s="3" t="s">
        <v>29</v>
      </c>
      <c r="C1062" s="3">
        <v>647</v>
      </c>
      <c r="D1062" s="3">
        <v>1</v>
      </c>
      <c r="E1062" s="3" t="s">
        <v>55</v>
      </c>
      <c r="F1062" s="3" t="s">
        <v>56</v>
      </c>
      <c r="G1062" s="3" t="str">
        <f>"2025-11-21 14:27:39.272"</f>
        <v>2025-11-21 14:27:39.272</v>
      </c>
      <c r="H1062" s="3" t="s">
        <v>21</v>
      </c>
      <c r="I1062" s="3">
        <v>15.77</v>
      </c>
      <c r="J1062" s="3" t="s">
        <v>54</v>
      </c>
    </row>
    <row r="1063" spans="1:10" s="3" customFormat="1" x14ac:dyDescent="0.25">
      <c r="A1063" s="2">
        <v>105</v>
      </c>
      <c r="B1063" s="3" t="s">
        <v>25</v>
      </c>
      <c r="C1063" s="3">
        <v>647</v>
      </c>
      <c r="D1063" s="3">
        <v>1</v>
      </c>
      <c r="E1063" s="3" t="s">
        <v>55</v>
      </c>
      <c r="F1063" s="3" t="s">
        <v>56</v>
      </c>
      <c r="G1063" s="3" t="str">
        <f>"2025-11-21 12:46:31.072"</f>
        <v>2025-11-21 12:46:31.072</v>
      </c>
      <c r="H1063" s="3" t="s">
        <v>21</v>
      </c>
    </row>
    <row r="1064" spans="1:10" s="3" customFormat="1" x14ac:dyDescent="0.25">
      <c r="A1064" s="2">
        <v>106</v>
      </c>
      <c r="B1064" s="3" t="s">
        <v>29</v>
      </c>
      <c r="C1064" s="3">
        <v>647</v>
      </c>
      <c r="D1064" s="3">
        <v>1</v>
      </c>
      <c r="E1064" s="3" t="s">
        <v>55</v>
      </c>
      <c r="F1064" s="3" t="s">
        <v>56</v>
      </c>
      <c r="G1064" s="3" t="str">
        <f>"2025-11-21 12:46:22.172"</f>
        <v>2025-11-21 12:46:22.172</v>
      </c>
      <c r="H1064" s="3" t="s">
        <v>21</v>
      </c>
      <c r="I1064" s="3">
        <v>21.58</v>
      </c>
      <c r="J1064" s="3" t="s">
        <v>54</v>
      </c>
    </row>
    <row r="1065" spans="1:10" s="3" customFormat="1" x14ac:dyDescent="0.25">
      <c r="A1065" s="2">
        <v>107</v>
      </c>
      <c r="B1065" s="3" t="s">
        <v>25</v>
      </c>
      <c r="C1065" s="3">
        <v>647</v>
      </c>
      <c r="D1065" s="3">
        <v>1</v>
      </c>
      <c r="E1065" s="3" t="s">
        <v>55</v>
      </c>
      <c r="F1065" s="3" t="s">
        <v>56</v>
      </c>
      <c r="G1065" s="3" t="str">
        <f>"2025-11-21 08:54:25.972"</f>
        <v>2025-11-21 08:54:25.972</v>
      </c>
      <c r="H1065" s="3" t="s">
        <v>21</v>
      </c>
    </row>
    <row r="1066" spans="1:10" s="3" customFormat="1" x14ac:dyDescent="0.25">
      <c r="A1066" s="2">
        <v>108</v>
      </c>
      <c r="B1066" s="3" t="s">
        <v>29</v>
      </c>
      <c r="C1066" s="3">
        <v>647</v>
      </c>
      <c r="D1066" s="3">
        <v>1</v>
      </c>
      <c r="E1066" s="3" t="s">
        <v>55</v>
      </c>
      <c r="F1066" s="3" t="s">
        <v>56</v>
      </c>
      <c r="G1066" s="3" t="str">
        <f>"2025-11-21 08:54:16.673"</f>
        <v>2025-11-21 08:54:16.673</v>
      </c>
      <c r="H1066" s="3" t="s">
        <v>21</v>
      </c>
      <c r="I1066" s="3">
        <v>21.61</v>
      </c>
      <c r="J1066" s="3" t="s">
        <v>54</v>
      </c>
    </row>
    <row r="1067" spans="1:10" x14ac:dyDescent="0.25">
      <c r="A1067" s="1">
        <v>109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"2025-11-21 08:28:28.047"</f>
        <v>2025-11-21 08:28:28.047</v>
      </c>
      <c r="H1067" t="s">
        <v>21</v>
      </c>
      <c r="I1067">
        <v>0</v>
      </c>
      <c r="J1067" t="s">
        <v>32</v>
      </c>
    </row>
    <row r="1068" spans="1:10" x14ac:dyDescent="0.25">
      <c r="A1068" s="1">
        <v>110</v>
      </c>
      <c r="B1068" t="s">
        <v>25</v>
      </c>
      <c r="C1068">
        <v>635</v>
      </c>
      <c r="D1068">
        <v>1</v>
      </c>
      <c r="E1068" t="s">
        <v>45</v>
      </c>
      <c r="F1068" t="s">
        <v>27</v>
      </c>
      <c r="G1068" t="str">
        <f>"2025-11-21 05:30:58.498"</f>
        <v>2025-11-21 05:30:58.498</v>
      </c>
      <c r="H1068" t="s">
        <v>21</v>
      </c>
    </row>
    <row r="1069" spans="1:10" x14ac:dyDescent="0.25">
      <c r="A1069" s="1">
        <v>111</v>
      </c>
      <c r="B1069" t="s">
        <v>29</v>
      </c>
      <c r="C1069">
        <v>635</v>
      </c>
      <c r="D1069">
        <v>1</v>
      </c>
      <c r="E1069" t="s">
        <v>45</v>
      </c>
      <c r="F1069" t="s">
        <v>27</v>
      </c>
      <c r="G1069" t="str">
        <f>"2025-11-21 05:25:40.498"</f>
        <v>2025-11-21 05:25:40.498</v>
      </c>
      <c r="H1069" t="s">
        <v>21</v>
      </c>
      <c r="I1069">
        <v>6.61</v>
      </c>
      <c r="J1069" t="s">
        <v>42</v>
      </c>
    </row>
    <row r="1070" spans="1:10" x14ac:dyDescent="0.25">
      <c r="A1070" s="1">
        <v>112</v>
      </c>
      <c r="B1070" t="s">
        <v>25</v>
      </c>
      <c r="C1070">
        <v>635</v>
      </c>
      <c r="D1070">
        <v>1</v>
      </c>
      <c r="E1070" t="s">
        <v>45</v>
      </c>
      <c r="F1070" t="s">
        <v>27</v>
      </c>
      <c r="G1070" t="str">
        <f>"2025-11-20 15:23:59.098"</f>
        <v>2025-11-20 15:23:59.098</v>
      </c>
      <c r="H1070" t="s">
        <v>21</v>
      </c>
    </row>
    <row r="1071" spans="1:10" x14ac:dyDescent="0.25">
      <c r="A1071" s="1">
        <v>113</v>
      </c>
      <c r="B1071" t="s">
        <v>29</v>
      </c>
      <c r="C1071">
        <v>635</v>
      </c>
      <c r="D1071">
        <v>1</v>
      </c>
      <c r="E1071" t="s">
        <v>45</v>
      </c>
      <c r="F1071" t="s">
        <v>27</v>
      </c>
      <c r="G1071" t="str">
        <f>"2025-11-20 15:15:26.598"</f>
        <v>2025-11-20 15:15:26.598</v>
      </c>
      <c r="H1071" t="s">
        <v>21</v>
      </c>
      <c r="I1071">
        <v>2.62</v>
      </c>
      <c r="J1071" t="s">
        <v>42</v>
      </c>
    </row>
    <row r="1072" spans="1:10" s="3" customFormat="1" x14ac:dyDescent="0.25">
      <c r="A1072" s="2">
        <v>114</v>
      </c>
      <c r="B1072" s="3" t="s">
        <v>25</v>
      </c>
      <c r="C1072" s="3">
        <v>647</v>
      </c>
      <c r="D1072" s="3">
        <v>1</v>
      </c>
      <c r="E1072" s="3" t="s">
        <v>55</v>
      </c>
      <c r="F1072" s="3" t="s">
        <v>56</v>
      </c>
      <c r="G1072" s="3" t="str">
        <f>"2025-11-20 13:38:56.198"</f>
        <v>2025-11-20 13:38:56.198</v>
      </c>
      <c r="H1072" s="3" t="s">
        <v>21</v>
      </c>
    </row>
    <row r="1073" spans="1:10" s="3" customFormat="1" x14ac:dyDescent="0.25">
      <c r="A1073" s="2">
        <v>115</v>
      </c>
      <c r="B1073" s="3" t="s">
        <v>29</v>
      </c>
      <c r="C1073" s="3">
        <v>647</v>
      </c>
      <c r="D1073" s="3">
        <v>1</v>
      </c>
      <c r="E1073" s="3" t="s">
        <v>55</v>
      </c>
      <c r="F1073" s="3" t="s">
        <v>56</v>
      </c>
      <c r="G1073" s="3" t="str">
        <f>"2025-11-20 13:38:54.299"</f>
        <v>2025-11-20 13:38:54.299</v>
      </c>
      <c r="H1073" s="3" t="s">
        <v>21</v>
      </c>
      <c r="I1073" s="3">
        <v>19.7</v>
      </c>
      <c r="J1073" s="3" t="s">
        <v>54</v>
      </c>
    </row>
    <row r="1074" spans="1:10" x14ac:dyDescent="0.25">
      <c r="A1074" s="1">
        <v>116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"2025-11-20 10:43:42.069"</f>
        <v>2025-11-20 10:43:42.069</v>
      </c>
      <c r="H1074" t="s">
        <v>21</v>
      </c>
      <c r="I1074">
        <v>0</v>
      </c>
      <c r="J1074" t="s">
        <v>32</v>
      </c>
    </row>
    <row r="1075" spans="1:10" x14ac:dyDescent="0.25">
      <c r="A1075" s="1">
        <v>117</v>
      </c>
      <c r="B1075" t="s">
        <v>25</v>
      </c>
      <c r="C1075">
        <v>635</v>
      </c>
      <c r="D1075">
        <v>1</v>
      </c>
      <c r="E1075" t="s">
        <v>45</v>
      </c>
      <c r="F1075" t="s">
        <v>27</v>
      </c>
      <c r="G1075" t="str">
        <f>"2025-11-19 11:35:36.353"</f>
        <v>2025-11-19 11:35:36.353</v>
      </c>
      <c r="H1075" t="s">
        <v>21</v>
      </c>
    </row>
    <row r="1076" spans="1:10" x14ac:dyDescent="0.25">
      <c r="A1076" s="1">
        <v>118</v>
      </c>
      <c r="B1076" t="s">
        <v>29</v>
      </c>
      <c r="C1076">
        <v>635</v>
      </c>
      <c r="D1076">
        <v>1</v>
      </c>
      <c r="E1076" t="s">
        <v>45</v>
      </c>
      <c r="F1076" t="s">
        <v>27</v>
      </c>
      <c r="G1076" t="str">
        <f>"2025-11-19 11:31:43.353"</f>
        <v>2025-11-19 11:31:43.353</v>
      </c>
      <c r="H1076" t="s">
        <v>21</v>
      </c>
      <c r="I1076">
        <v>4.1399999999999997</v>
      </c>
      <c r="J1076" t="s">
        <v>42</v>
      </c>
    </row>
    <row r="1077" spans="1:10" s="3" customFormat="1" x14ac:dyDescent="0.25">
      <c r="A1077" s="2">
        <v>119</v>
      </c>
      <c r="B1077" s="3" t="s">
        <v>25</v>
      </c>
      <c r="C1077" s="3">
        <v>647</v>
      </c>
      <c r="D1077" s="3">
        <v>1</v>
      </c>
      <c r="E1077" s="3" t="s">
        <v>55</v>
      </c>
      <c r="F1077" s="3" t="s">
        <v>56</v>
      </c>
      <c r="G1077" s="3" t="str">
        <f>"2025-11-19 09:39:57.353"</f>
        <v>2025-11-19 09:39:57.353</v>
      </c>
      <c r="H1077" s="3" t="s">
        <v>21</v>
      </c>
    </row>
    <row r="1078" spans="1:10" s="3" customFormat="1" x14ac:dyDescent="0.25">
      <c r="A1078" s="2">
        <v>120</v>
      </c>
      <c r="B1078" s="3" t="s">
        <v>29</v>
      </c>
      <c r="C1078" s="3">
        <v>647</v>
      </c>
      <c r="D1078" s="3">
        <v>1</v>
      </c>
      <c r="E1078" s="3" t="s">
        <v>55</v>
      </c>
      <c r="F1078" s="3" t="s">
        <v>56</v>
      </c>
      <c r="G1078" s="3" t="str">
        <f>"2025-11-19 09:39:53.053"</f>
        <v>2025-11-19 09:39:53.053</v>
      </c>
      <c r="H1078" s="3" t="s">
        <v>21</v>
      </c>
      <c r="I1078" s="3">
        <v>22.09</v>
      </c>
      <c r="J1078" s="3" t="s">
        <v>54</v>
      </c>
    </row>
    <row r="1079" spans="1:10" x14ac:dyDescent="0.25">
      <c r="A1079" s="1">
        <v>121</v>
      </c>
      <c r="B1079" t="s">
        <v>25</v>
      </c>
      <c r="C1079">
        <v>635</v>
      </c>
      <c r="D1079">
        <v>1</v>
      </c>
      <c r="E1079" t="s">
        <v>45</v>
      </c>
      <c r="F1079" t="s">
        <v>27</v>
      </c>
      <c r="G1079" t="str">
        <f>"2025-11-19 01:01:16.653"</f>
        <v>2025-11-19 01:01:16.653</v>
      </c>
      <c r="H1079" t="s">
        <v>21</v>
      </c>
    </row>
    <row r="1080" spans="1:10" x14ac:dyDescent="0.25">
      <c r="A1080" s="1">
        <v>122</v>
      </c>
      <c r="B1080" t="s">
        <v>29</v>
      </c>
      <c r="C1080">
        <v>635</v>
      </c>
      <c r="D1080">
        <v>1</v>
      </c>
      <c r="E1080" t="s">
        <v>45</v>
      </c>
      <c r="F1080" t="s">
        <v>27</v>
      </c>
      <c r="G1080" t="str">
        <f>"2025-11-19 00:59:02.653"</f>
        <v>2025-11-19 00:59:02.653</v>
      </c>
      <c r="H1080" t="s">
        <v>21</v>
      </c>
      <c r="I1080">
        <v>-4.55</v>
      </c>
      <c r="J1080" t="s">
        <v>54</v>
      </c>
    </row>
    <row r="1081" spans="1:10" s="3" customFormat="1" x14ac:dyDescent="0.25">
      <c r="A1081" s="2">
        <v>123</v>
      </c>
      <c r="B1081" s="3" t="s">
        <v>25</v>
      </c>
      <c r="C1081" s="3">
        <v>647</v>
      </c>
      <c r="D1081" s="3">
        <v>1</v>
      </c>
      <c r="E1081" s="3" t="s">
        <v>55</v>
      </c>
      <c r="F1081" s="3" t="s">
        <v>56</v>
      </c>
      <c r="G1081" s="3" t="str">
        <f>"2025-11-18 18:27:07.654"</f>
        <v>2025-11-18 18:27:07.654</v>
      </c>
      <c r="H1081" s="3" t="s">
        <v>21</v>
      </c>
    </row>
    <row r="1082" spans="1:10" s="3" customFormat="1" x14ac:dyDescent="0.25">
      <c r="A1082" s="2">
        <v>124</v>
      </c>
      <c r="B1082" s="3" t="s">
        <v>29</v>
      </c>
      <c r="C1082" s="3">
        <v>647</v>
      </c>
      <c r="D1082" s="3">
        <v>1</v>
      </c>
      <c r="E1082" s="3" t="s">
        <v>55</v>
      </c>
      <c r="F1082" s="3" t="s">
        <v>56</v>
      </c>
      <c r="G1082" s="3" t="str">
        <f>"2025-11-18 18:27:05.553"</f>
        <v>2025-11-18 18:27:05.553</v>
      </c>
      <c r="H1082" s="3" t="s">
        <v>21</v>
      </c>
      <c r="I1082" s="3">
        <v>13.34</v>
      </c>
      <c r="J1082" s="3" t="s">
        <v>54</v>
      </c>
    </row>
    <row r="1083" spans="1:10" s="3" customFormat="1" x14ac:dyDescent="0.25">
      <c r="A1083" s="2">
        <v>125</v>
      </c>
      <c r="B1083" s="3" t="s">
        <v>25</v>
      </c>
      <c r="C1083" s="3">
        <v>647</v>
      </c>
      <c r="D1083" s="3">
        <v>1</v>
      </c>
      <c r="E1083" s="3" t="s">
        <v>55</v>
      </c>
      <c r="F1083" s="3" t="s">
        <v>56</v>
      </c>
      <c r="G1083" s="3" t="str">
        <f>"2025-11-17 13:26:14.653"</f>
        <v>2025-11-17 13:26:14.653</v>
      </c>
      <c r="H1083" s="3" t="s">
        <v>21</v>
      </c>
    </row>
    <row r="1084" spans="1:10" s="3" customFormat="1" x14ac:dyDescent="0.25">
      <c r="A1084" s="2">
        <v>126</v>
      </c>
      <c r="B1084" s="3" t="s">
        <v>29</v>
      </c>
      <c r="C1084" s="3">
        <v>647</v>
      </c>
      <c r="D1084" s="3">
        <v>1</v>
      </c>
      <c r="E1084" s="3" t="s">
        <v>55</v>
      </c>
      <c r="F1084" s="3" t="s">
        <v>56</v>
      </c>
      <c r="G1084" s="3" t="str">
        <f>"2025-11-17 13:26:11.553"</f>
        <v>2025-11-17 13:26:11.553</v>
      </c>
      <c r="H1084" s="3" t="s">
        <v>21</v>
      </c>
      <c r="I1084" s="3">
        <v>17.8</v>
      </c>
      <c r="J1084" s="3" t="s">
        <v>54</v>
      </c>
    </row>
    <row r="1085" spans="1:10" s="3" customFormat="1" x14ac:dyDescent="0.25">
      <c r="A1085" s="2">
        <v>127</v>
      </c>
      <c r="B1085" s="3" t="s">
        <v>25</v>
      </c>
      <c r="C1085" s="3">
        <v>647</v>
      </c>
      <c r="D1085" s="3">
        <v>1</v>
      </c>
      <c r="E1085" s="3" t="s">
        <v>55</v>
      </c>
      <c r="F1085" s="3" t="s">
        <v>56</v>
      </c>
      <c r="G1085" s="3" t="str">
        <f>"2025-11-16 02:41:19.353"</f>
        <v>2025-11-16 02:41:19.353</v>
      </c>
      <c r="H1085" s="3" t="s">
        <v>21</v>
      </c>
    </row>
    <row r="1086" spans="1:10" s="3" customFormat="1" x14ac:dyDescent="0.25">
      <c r="A1086" s="2">
        <v>128</v>
      </c>
      <c r="B1086" s="3" t="s">
        <v>29</v>
      </c>
      <c r="C1086" s="3">
        <v>647</v>
      </c>
      <c r="D1086" s="3">
        <v>1</v>
      </c>
      <c r="E1086" s="3" t="s">
        <v>55</v>
      </c>
      <c r="F1086" s="3" t="s">
        <v>56</v>
      </c>
      <c r="G1086" s="3" t="str">
        <f>"2025-11-16 02:41:13.053"</f>
        <v>2025-11-16 02:41:13.053</v>
      </c>
      <c r="H1086" s="3" t="s">
        <v>21</v>
      </c>
      <c r="I1086" s="3">
        <v>15.01</v>
      </c>
      <c r="J1086" s="3" t="s">
        <v>54</v>
      </c>
    </row>
    <row r="1087" spans="1:10" x14ac:dyDescent="0.25">
      <c r="A1087" s="1">
        <v>129</v>
      </c>
      <c r="B1087" t="s">
        <v>25</v>
      </c>
      <c r="C1087">
        <v>98</v>
      </c>
      <c r="D1087">
        <v>1</v>
      </c>
      <c r="E1087" t="s">
        <v>64</v>
      </c>
      <c r="F1087" t="s">
        <v>65</v>
      </c>
      <c r="G1087" t="str">
        <f>"2025-11-15 23:10:59.573"</f>
        <v>2025-11-15 23:10:59.573</v>
      </c>
      <c r="H1087" t="s">
        <v>21</v>
      </c>
    </row>
    <row r="1088" spans="1:10" x14ac:dyDescent="0.25">
      <c r="A1088" s="1">
        <v>130</v>
      </c>
      <c r="B1088" t="s">
        <v>29</v>
      </c>
      <c r="C1088">
        <v>98</v>
      </c>
      <c r="D1088">
        <v>1</v>
      </c>
      <c r="E1088" t="s">
        <v>64</v>
      </c>
      <c r="F1088" t="s">
        <v>65</v>
      </c>
      <c r="G1088" t="str">
        <f>"2025-11-15 23:10:58.574"</f>
        <v>2025-11-15 23:10:58.574</v>
      </c>
      <c r="H1088" t="s">
        <v>21</v>
      </c>
      <c r="I1088">
        <v>0</v>
      </c>
      <c r="J1088" t="s">
        <v>37</v>
      </c>
    </row>
    <row r="1089" spans="1:10" s="3" customFormat="1" x14ac:dyDescent="0.25">
      <c r="A1089" s="2">
        <v>131</v>
      </c>
      <c r="B1089" s="3" t="s">
        <v>25</v>
      </c>
      <c r="C1089" s="3">
        <v>647</v>
      </c>
      <c r="D1089" s="3">
        <v>1</v>
      </c>
      <c r="E1089" s="3" t="s">
        <v>55</v>
      </c>
      <c r="F1089" s="3" t="s">
        <v>56</v>
      </c>
      <c r="G1089" s="3" t="str">
        <f>"2025-11-15 21:19:34.754"</f>
        <v>2025-11-15 21:19:34.754</v>
      </c>
      <c r="H1089" s="3" t="s">
        <v>21</v>
      </c>
    </row>
    <row r="1090" spans="1:10" s="3" customFormat="1" x14ac:dyDescent="0.25">
      <c r="A1090" s="2">
        <v>132</v>
      </c>
      <c r="B1090" s="3" t="s">
        <v>29</v>
      </c>
      <c r="C1090" s="3">
        <v>647</v>
      </c>
      <c r="D1090" s="3">
        <v>1</v>
      </c>
      <c r="E1090" s="3" t="s">
        <v>55</v>
      </c>
      <c r="F1090" s="3" t="s">
        <v>56</v>
      </c>
      <c r="G1090" s="3" t="str">
        <f>"2025-11-15 21:19:33.053"</f>
        <v>2025-11-15 21:19:33.053</v>
      </c>
      <c r="H1090" s="3" t="s">
        <v>21</v>
      </c>
      <c r="I1090" s="3">
        <v>23.32</v>
      </c>
      <c r="J1090" s="3" t="s">
        <v>54</v>
      </c>
    </row>
    <row r="1091" spans="1:10" s="3" customFormat="1" x14ac:dyDescent="0.25">
      <c r="A1091" s="2">
        <v>133</v>
      </c>
      <c r="B1091" s="3" t="s">
        <v>25</v>
      </c>
      <c r="C1091" s="3">
        <v>647</v>
      </c>
      <c r="D1091" s="3">
        <v>1</v>
      </c>
      <c r="E1091" s="3" t="s">
        <v>55</v>
      </c>
      <c r="F1091" s="3" t="s">
        <v>56</v>
      </c>
      <c r="G1091" s="3" t="str">
        <f>"2025-11-15 20:56:58.253"</f>
        <v>2025-11-15 20:56:58.253</v>
      </c>
      <c r="H1091" s="3" t="s">
        <v>21</v>
      </c>
    </row>
    <row r="1092" spans="1:10" s="3" customFormat="1" x14ac:dyDescent="0.25">
      <c r="A1092" s="2">
        <v>134</v>
      </c>
      <c r="B1092" s="3" t="s">
        <v>29</v>
      </c>
      <c r="C1092" s="3">
        <v>647</v>
      </c>
      <c r="D1092" s="3">
        <v>1</v>
      </c>
      <c r="E1092" s="3" t="s">
        <v>55</v>
      </c>
      <c r="F1092" s="3" t="s">
        <v>56</v>
      </c>
      <c r="G1092" s="3" t="str">
        <f>"2025-11-15 20:56:57.154"</f>
        <v>2025-11-15 20:56:57.154</v>
      </c>
      <c r="H1092" s="3" t="s">
        <v>21</v>
      </c>
      <c r="I1092" s="3">
        <v>22.68</v>
      </c>
      <c r="J1092" s="3" t="s">
        <v>54</v>
      </c>
    </row>
    <row r="1093" spans="1:10" x14ac:dyDescent="0.25">
      <c r="A1093" s="1">
        <v>135</v>
      </c>
      <c r="B1093" t="s">
        <v>19</v>
      </c>
      <c r="C1093">
        <v>706</v>
      </c>
      <c r="D1093">
        <v>2</v>
      </c>
      <c r="E1093" t="s">
        <v>22</v>
      </c>
      <c r="F1093" t="s">
        <v>53</v>
      </c>
      <c r="G1093" t="str">
        <f>"2025-11-15 15:51:17.540"</f>
        <v>2025-11-15 15:51:17.540</v>
      </c>
      <c r="H1093" t="s">
        <v>21</v>
      </c>
      <c r="I1093">
        <v>0</v>
      </c>
      <c r="J1093" t="s">
        <v>24</v>
      </c>
    </row>
    <row r="1094" spans="1:10" x14ac:dyDescent="0.25">
      <c r="A1094" s="1">
        <v>136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"2025-11-15 15:45:57.010"</f>
        <v>2025-11-15 15:45:57.010</v>
      </c>
      <c r="H1094" t="s">
        <v>21</v>
      </c>
    </row>
    <row r="1095" spans="1:10" x14ac:dyDescent="0.25">
      <c r="A1095" s="1">
        <v>137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"2025-11-15 15:32:36.013"</f>
        <v>2025-11-15 15:32:36.013</v>
      </c>
      <c r="H1095" t="s">
        <v>21</v>
      </c>
      <c r="I1095">
        <v>0</v>
      </c>
      <c r="J1095" t="s">
        <v>32</v>
      </c>
    </row>
    <row r="1096" spans="1:10" x14ac:dyDescent="0.25">
      <c r="A1096" s="1">
        <v>138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"2025-11-15 15:16:43.008"</f>
        <v>2025-11-15 15:16:43.008</v>
      </c>
      <c r="H1096" t="s">
        <v>21</v>
      </c>
    </row>
    <row r="1097" spans="1:10" s="3" customFormat="1" x14ac:dyDescent="0.25">
      <c r="A1097" s="2">
        <v>139</v>
      </c>
      <c r="B1097" s="3" t="s">
        <v>25</v>
      </c>
      <c r="C1097" s="3">
        <v>647</v>
      </c>
      <c r="D1097" s="3">
        <v>1</v>
      </c>
      <c r="E1097" s="3" t="s">
        <v>55</v>
      </c>
      <c r="F1097" s="3" t="s">
        <v>56</v>
      </c>
      <c r="G1097" s="3" t="str">
        <f>"2025-11-15 08:14:40.126"</f>
        <v>2025-11-15 08:14:40.126</v>
      </c>
      <c r="H1097" s="3" t="s">
        <v>21</v>
      </c>
    </row>
    <row r="1098" spans="1:10" s="3" customFormat="1" x14ac:dyDescent="0.25">
      <c r="A1098" s="2">
        <v>140</v>
      </c>
      <c r="B1098" s="3" t="s">
        <v>29</v>
      </c>
      <c r="C1098" s="3">
        <v>647</v>
      </c>
      <c r="D1098" s="3">
        <v>1</v>
      </c>
      <c r="E1098" s="3" t="s">
        <v>55</v>
      </c>
      <c r="F1098" s="3" t="s">
        <v>56</v>
      </c>
      <c r="G1098" s="3" t="str">
        <f>"2025-11-15 08:14:30.126"</f>
        <v>2025-11-15 08:14:30.126</v>
      </c>
      <c r="H1098" s="3" t="s">
        <v>21</v>
      </c>
      <c r="I1098" s="3">
        <v>8.3800000000000008</v>
      </c>
      <c r="J1098" s="3" t="s">
        <v>54</v>
      </c>
    </row>
    <row r="1099" spans="1:10" s="3" customFormat="1" x14ac:dyDescent="0.25">
      <c r="A1099" s="2">
        <v>141</v>
      </c>
      <c r="B1099" s="3" t="s">
        <v>25</v>
      </c>
      <c r="C1099" s="3">
        <v>647</v>
      </c>
      <c r="D1099" s="3">
        <v>1</v>
      </c>
      <c r="E1099" s="3" t="s">
        <v>55</v>
      </c>
      <c r="F1099" s="3" t="s">
        <v>56</v>
      </c>
      <c r="G1099" s="3" t="str">
        <f>"2025-11-15 04:28:10.826"</f>
        <v>2025-11-15 04:28:10.826</v>
      </c>
      <c r="H1099" s="3" t="s">
        <v>21</v>
      </c>
    </row>
    <row r="1100" spans="1:10" s="3" customFormat="1" x14ac:dyDescent="0.25">
      <c r="A1100" s="2">
        <v>142</v>
      </c>
      <c r="B1100" s="3" t="s">
        <v>29</v>
      </c>
      <c r="C1100" s="3">
        <v>647</v>
      </c>
      <c r="D1100" s="3">
        <v>1</v>
      </c>
      <c r="E1100" s="3" t="s">
        <v>55</v>
      </c>
      <c r="F1100" s="3" t="s">
        <v>56</v>
      </c>
      <c r="G1100" s="3" t="str">
        <f>"2025-11-15 04:28:06.826"</f>
        <v>2025-11-15 04:28:06.826</v>
      </c>
      <c r="H1100" s="3" t="s">
        <v>21</v>
      </c>
      <c r="I1100" s="3">
        <v>10.18</v>
      </c>
      <c r="J1100" s="3" t="s">
        <v>54</v>
      </c>
    </row>
    <row r="1101" spans="1:10" x14ac:dyDescent="0.25">
      <c r="A1101" s="1">
        <v>143</v>
      </c>
      <c r="B1101" t="s">
        <v>25</v>
      </c>
      <c r="C1101">
        <v>635</v>
      </c>
      <c r="D1101">
        <v>1</v>
      </c>
      <c r="E1101" t="s">
        <v>45</v>
      </c>
      <c r="F1101" t="s">
        <v>27</v>
      </c>
      <c r="G1101" t="str">
        <f>"2025-11-15 02:25:42.025"</f>
        <v>2025-11-15 02:25:42.025</v>
      </c>
      <c r="H1101" t="s">
        <v>21</v>
      </c>
    </row>
    <row r="1102" spans="1:10" x14ac:dyDescent="0.25">
      <c r="A1102" s="1">
        <v>144</v>
      </c>
      <c r="B1102" t="s">
        <v>29</v>
      </c>
      <c r="C1102">
        <v>635</v>
      </c>
      <c r="D1102">
        <v>1</v>
      </c>
      <c r="E1102" t="s">
        <v>45</v>
      </c>
      <c r="F1102" t="s">
        <v>27</v>
      </c>
      <c r="G1102" t="str">
        <f>"2025-11-15 02:22:48.525"</f>
        <v>2025-11-15 02:22:48.525</v>
      </c>
      <c r="H1102" t="s">
        <v>21</v>
      </c>
      <c r="I1102">
        <v>0</v>
      </c>
      <c r="J1102" t="s">
        <v>37</v>
      </c>
    </row>
    <row r="1103" spans="1:10" x14ac:dyDescent="0.25">
      <c r="A1103" s="1">
        <v>145</v>
      </c>
      <c r="B1103" t="s">
        <v>25</v>
      </c>
      <c r="C1103">
        <v>635</v>
      </c>
      <c r="D1103">
        <v>1</v>
      </c>
      <c r="E1103" t="s">
        <v>45</v>
      </c>
      <c r="F1103" t="s">
        <v>27</v>
      </c>
      <c r="G1103" t="str">
        <f>"2025-11-14 08:54:25.425"</f>
        <v>2025-11-14 08:54:25.425</v>
      </c>
      <c r="H1103" t="s">
        <v>21</v>
      </c>
    </row>
    <row r="1104" spans="1:10" x14ac:dyDescent="0.25">
      <c r="A1104" s="1">
        <v>146</v>
      </c>
      <c r="B1104" t="s">
        <v>29</v>
      </c>
      <c r="C1104">
        <v>635</v>
      </c>
      <c r="D1104">
        <v>1</v>
      </c>
      <c r="E1104" t="s">
        <v>45</v>
      </c>
      <c r="F1104" t="s">
        <v>27</v>
      </c>
      <c r="G1104" t="str">
        <f>"2025-11-14 08:49:25.425"</f>
        <v>2025-11-14 08:49:25.425</v>
      </c>
      <c r="H1104" t="s">
        <v>21</v>
      </c>
      <c r="I1104">
        <v>-2.23</v>
      </c>
      <c r="J1104" t="s">
        <v>54</v>
      </c>
    </row>
    <row r="1105" spans="1:10" s="3" customFormat="1" x14ac:dyDescent="0.25">
      <c r="A1105" s="2">
        <v>148</v>
      </c>
      <c r="B1105" s="3" t="s">
        <v>25</v>
      </c>
      <c r="C1105" s="3">
        <v>647</v>
      </c>
      <c r="D1105" s="3">
        <v>1</v>
      </c>
      <c r="E1105" s="3" t="s">
        <v>55</v>
      </c>
      <c r="F1105" s="3" t="s">
        <v>56</v>
      </c>
      <c r="G1105" s="3" t="str">
        <f>"2025-11-14 06:13:17.526"</f>
        <v>2025-11-14 06:13:17.526</v>
      </c>
      <c r="H1105" s="3" t="s">
        <v>21</v>
      </c>
    </row>
    <row r="1106" spans="1:10" s="3" customFormat="1" x14ac:dyDescent="0.25">
      <c r="A1106" s="2">
        <v>149</v>
      </c>
      <c r="B1106" s="3" t="s">
        <v>29</v>
      </c>
      <c r="C1106" s="3">
        <v>647</v>
      </c>
      <c r="D1106" s="3">
        <v>1</v>
      </c>
      <c r="E1106" s="3" t="s">
        <v>55</v>
      </c>
      <c r="F1106" s="3" t="s">
        <v>56</v>
      </c>
      <c r="G1106" s="3" t="str">
        <f>"2025-11-14 06:13:14.426"</f>
        <v>2025-11-14 06:13:14.426</v>
      </c>
      <c r="H1106" s="3" t="s">
        <v>21</v>
      </c>
      <c r="I1106" s="3">
        <v>27.31</v>
      </c>
      <c r="J1106" s="3" t="s">
        <v>54</v>
      </c>
    </row>
    <row r="1107" spans="1:10" x14ac:dyDescent="0.25">
      <c r="A1107" s="1">
        <v>150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"2025-11-14 02:28:41.164"</f>
        <v>2025-11-14 02:28:41.164</v>
      </c>
      <c r="H1107" t="s">
        <v>21</v>
      </c>
    </row>
    <row r="1108" spans="1:10" x14ac:dyDescent="0.25">
      <c r="A1108" s="1">
        <v>151</v>
      </c>
      <c r="B1108" t="s">
        <v>25</v>
      </c>
      <c r="C1108">
        <v>619</v>
      </c>
      <c r="D1108">
        <v>1</v>
      </c>
      <c r="E1108" t="s">
        <v>26</v>
      </c>
      <c r="F1108" t="s">
        <v>27</v>
      </c>
      <c r="G1108" t="str">
        <f>"2025-11-14 02:18:00.327"</f>
        <v>2025-11-14 02:18:00.327</v>
      </c>
      <c r="H1108" t="s">
        <v>28</v>
      </c>
    </row>
    <row r="1109" spans="1:10" x14ac:dyDescent="0.25">
      <c r="A1109" s="1">
        <v>152</v>
      </c>
      <c r="B1109" t="s">
        <v>29</v>
      </c>
      <c r="C1109">
        <v>619</v>
      </c>
      <c r="D1109">
        <v>1</v>
      </c>
      <c r="E1109" t="s">
        <v>26</v>
      </c>
      <c r="F1109" t="s">
        <v>27</v>
      </c>
      <c r="G1109" t="str">
        <f>"2025-11-14 02:17:12.476"</f>
        <v>2025-11-14 02:17:12.476</v>
      </c>
      <c r="H1109" t="s">
        <v>28</v>
      </c>
      <c r="I1109">
        <v>0</v>
      </c>
      <c r="J1109" t="s">
        <v>24</v>
      </c>
    </row>
    <row r="1110" spans="1:10" x14ac:dyDescent="0.25">
      <c r="A1110" s="1">
        <v>153</v>
      </c>
      <c r="B1110" t="s">
        <v>19</v>
      </c>
      <c r="C1110">
        <v>706</v>
      </c>
      <c r="D1110">
        <v>4</v>
      </c>
      <c r="E1110" t="s">
        <v>22</v>
      </c>
      <c r="F1110" t="s">
        <v>31</v>
      </c>
      <c r="G1110" t="str">
        <f>"2025-11-14 02:17:05.856"</f>
        <v>2025-11-14 02:17:05.856</v>
      </c>
      <c r="H1110" t="s">
        <v>21</v>
      </c>
      <c r="I1110">
        <v>0</v>
      </c>
      <c r="J1110" t="s">
        <v>24</v>
      </c>
    </row>
    <row r="1111" spans="1:10" x14ac:dyDescent="0.25">
      <c r="A1111" s="1">
        <v>154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"2025-11-14 02:05:39.116"</f>
        <v>2025-11-14 02:05:39.116</v>
      </c>
      <c r="H1111" t="s">
        <v>21</v>
      </c>
    </row>
    <row r="1112" spans="1:10" x14ac:dyDescent="0.25">
      <c r="A1112" s="1">
        <v>155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"2025-11-14 00:02:53.998"</f>
        <v>2025-11-14 00:02:53.998</v>
      </c>
      <c r="H1112" t="s">
        <v>21</v>
      </c>
      <c r="I1112">
        <v>0</v>
      </c>
      <c r="J1112" t="s">
        <v>32</v>
      </c>
    </row>
    <row r="1113" spans="1:10" x14ac:dyDescent="0.25">
      <c r="A1113" s="1">
        <v>156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"2025-11-13 23:57:31.254"</f>
        <v>2025-11-13 23:57:31.254</v>
      </c>
      <c r="H1113" t="s">
        <v>21</v>
      </c>
    </row>
    <row r="1114" spans="1:10" x14ac:dyDescent="0.25">
      <c r="A1114" s="1">
        <v>157</v>
      </c>
      <c r="B1114" t="s">
        <v>19</v>
      </c>
      <c r="C1114">
        <v>706</v>
      </c>
      <c r="D1114">
        <v>2</v>
      </c>
      <c r="E1114" t="s">
        <v>22</v>
      </c>
      <c r="F1114" t="s">
        <v>53</v>
      </c>
      <c r="G1114" t="str">
        <f>"2025-11-13 20:20:00.329"</f>
        <v>2025-11-13 20:20:00.329</v>
      </c>
      <c r="H1114" t="s">
        <v>21</v>
      </c>
      <c r="I1114">
        <v>0</v>
      </c>
      <c r="J1114" t="s">
        <v>24</v>
      </c>
    </row>
    <row r="1115" spans="1:10" x14ac:dyDescent="0.25">
      <c r="A1115" s="1">
        <v>158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"2025-11-13 20:19:09.009"</f>
        <v>2025-11-13 20:19:09.009</v>
      </c>
      <c r="H1115" t="s">
        <v>21</v>
      </c>
      <c r="I1115">
        <v>0</v>
      </c>
      <c r="J1115" t="s">
        <v>32</v>
      </c>
    </row>
    <row r="1116" spans="1:10" s="3" customFormat="1" x14ac:dyDescent="0.25">
      <c r="A1116" s="2">
        <v>159</v>
      </c>
      <c r="B1116" s="3" t="s">
        <v>25</v>
      </c>
      <c r="C1116" s="3">
        <v>647</v>
      </c>
      <c r="D1116" s="3">
        <v>1</v>
      </c>
      <c r="E1116" s="3" t="s">
        <v>55</v>
      </c>
      <c r="F1116" s="3" t="s">
        <v>56</v>
      </c>
      <c r="G1116" s="3" t="str">
        <f>"2025-11-12 23:17:43.446"</f>
        <v>2025-11-12 23:17:43.446</v>
      </c>
      <c r="H1116" s="3" t="s">
        <v>21</v>
      </c>
    </row>
    <row r="1117" spans="1:10" s="3" customFormat="1" x14ac:dyDescent="0.25">
      <c r="A1117" s="2">
        <v>160</v>
      </c>
      <c r="B1117" s="3" t="s">
        <v>29</v>
      </c>
      <c r="C1117" s="3">
        <v>647</v>
      </c>
      <c r="D1117" s="3">
        <v>1</v>
      </c>
      <c r="E1117" s="3" t="s">
        <v>55</v>
      </c>
      <c r="F1117" s="3" t="s">
        <v>56</v>
      </c>
      <c r="G1117" s="3" t="str">
        <f>"2025-11-12 23:17:41.946"</f>
        <v>2025-11-12 23:17:41.946</v>
      </c>
      <c r="H1117" s="3" t="s">
        <v>21</v>
      </c>
      <c r="I1117" s="3">
        <v>14.03</v>
      </c>
      <c r="J1117" s="3" t="s">
        <v>54</v>
      </c>
    </row>
    <row r="1118" spans="1:10" s="3" customFormat="1" x14ac:dyDescent="0.25">
      <c r="A1118" s="2">
        <v>161</v>
      </c>
      <c r="B1118" s="3" t="s">
        <v>25</v>
      </c>
      <c r="C1118" s="3">
        <v>647</v>
      </c>
      <c r="D1118" s="3">
        <v>1</v>
      </c>
      <c r="E1118" s="3" t="s">
        <v>55</v>
      </c>
      <c r="F1118" s="3" t="s">
        <v>56</v>
      </c>
      <c r="G1118" s="3" t="str">
        <f>"2025-11-12 18:22:21.446"</f>
        <v>2025-11-12 18:22:21.446</v>
      </c>
      <c r="H1118" s="3" t="s">
        <v>21</v>
      </c>
    </row>
    <row r="1119" spans="1:10" s="3" customFormat="1" x14ac:dyDescent="0.25">
      <c r="A1119" s="2">
        <v>162</v>
      </c>
      <c r="B1119" s="3" t="s">
        <v>29</v>
      </c>
      <c r="C1119" s="3">
        <v>647</v>
      </c>
      <c r="D1119" s="3">
        <v>1</v>
      </c>
      <c r="E1119" s="3" t="s">
        <v>55</v>
      </c>
      <c r="F1119" s="3" t="s">
        <v>56</v>
      </c>
      <c r="G1119" s="3" t="str">
        <f>"2025-11-12 18:22:17.746"</f>
        <v>2025-11-12 18:22:17.746</v>
      </c>
      <c r="H1119" s="3" t="s">
        <v>21</v>
      </c>
      <c r="I1119" s="3">
        <v>10.89</v>
      </c>
      <c r="J1119" s="3" t="s">
        <v>54</v>
      </c>
    </row>
    <row r="1120" spans="1:10" s="3" customFormat="1" x14ac:dyDescent="0.25">
      <c r="A1120" s="2">
        <v>163</v>
      </c>
      <c r="B1120" s="3" t="s">
        <v>25</v>
      </c>
      <c r="C1120" s="3">
        <v>647</v>
      </c>
      <c r="D1120" s="3">
        <v>1</v>
      </c>
      <c r="E1120" s="3" t="s">
        <v>55</v>
      </c>
      <c r="F1120" s="3" t="s">
        <v>56</v>
      </c>
      <c r="G1120" s="3" t="str">
        <f>"2025-11-12 05:57:02.846"</f>
        <v>2025-11-12 05:57:02.846</v>
      </c>
      <c r="H1120" s="3" t="s">
        <v>21</v>
      </c>
    </row>
    <row r="1121" spans="1:10" s="3" customFormat="1" x14ac:dyDescent="0.25">
      <c r="A1121" s="2">
        <v>164</v>
      </c>
      <c r="B1121" s="3" t="s">
        <v>29</v>
      </c>
      <c r="C1121" s="3">
        <v>647</v>
      </c>
      <c r="D1121" s="3">
        <v>1</v>
      </c>
      <c r="E1121" s="3" t="s">
        <v>55</v>
      </c>
      <c r="F1121" s="3" t="s">
        <v>56</v>
      </c>
      <c r="G1121" s="3" t="str">
        <f>"2025-11-12 05:57:00.546"</f>
        <v>2025-11-12 05:57:00.546</v>
      </c>
      <c r="H1121" s="3" t="s">
        <v>21</v>
      </c>
      <c r="I1121" s="3">
        <v>19.059999999999999</v>
      </c>
      <c r="J1121" s="3" t="s">
        <v>54</v>
      </c>
    </row>
    <row r="1122" spans="1:10" s="3" customFormat="1" x14ac:dyDescent="0.25">
      <c r="A1122" s="2">
        <v>165</v>
      </c>
      <c r="B1122" s="3" t="s">
        <v>25</v>
      </c>
      <c r="C1122" s="3">
        <v>647</v>
      </c>
      <c r="D1122" s="3">
        <v>1</v>
      </c>
      <c r="E1122" s="3" t="s">
        <v>55</v>
      </c>
      <c r="F1122" s="3" t="s">
        <v>56</v>
      </c>
      <c r="G1122" s="3" t="str">
        <f>"2025-11-12 03:35:41.246"</f>
        <v>2025-11-12 03:35:41.246</v>
      </c>
      <c r="H1122" s="3" t="s">
        <v>21</v>
      </c>
    </row>
    <row r="1123" spans="1:10" s="3" customFormat="1" x14ac:dyDescent="0.25">
      <c r="A1123" s="2">
        <v>166</v>
      </c>
      <c r="B1123" s="3" t="s">
        <v>29</v>
      </c>
      <c r="C1123" s="3">
        <v>647</v>
      </c>
      <c r="D1123" s="3">
        <v>1</v>
      </c>
      <c r="E1123" s="3" t="s">
        <v>55</v>
      </c>
      <c r="F1123" s="3" t="s">
        <v>56</v>
      </c>
      <c r="G1123" s="3" t="str">
        <f>"2025-11-12 03:35:38.546"</f>
        <v>2025-11-12 03:35:38.546</v>
      </c>
      <c r="H1123" s="3" t="s">
        <v>21</v>
      </c>
      <c r="I1123" s="3">
        <v>15.13</v>
      </c>
      <c r="J1123" s="3" t="s">
        <v>54</v>
      </c>
    </row>
    <row r="1124" spans="1:10" x14ac:dyDescent="0.25">
      <c r="A1124" s="1">
        <v>167</v>
      </c>
      <c r="B1124" t="s">
        <v>25</v>
      </c>
      <c r="C1124">
        <v>635</v>
      </c>
      <c r="D1124">
        <v>1</v>
      </c>
      <c r="E1124" t="s">
        <v>45</v>
      </c>
      <c r="F1124" t="s">
        <v>27</v>
      </c>
      <c r="G1124" t="str">
        <f>"2025-11-12 03:00:38.498"</f>
        <v>2025-11-12 03:00:38.498</v>
      </c>
      <c r="H1124" t="s">
        <v>21</v>
      </c>
    </row>
    <row r="1125" spans="1:10" x14ac:dyDescent="0.25">
      <c r="A1125" s="1">
        <v>168</v>
      </c>
      <c r="B1125" t="s">
        <v>29</v>
      </c>
      <c r="C1125">
        <v>635</v>
      </c>
      <c r="D1125">
        <v>1</v>
      </c>
      <c r="E1125" t="s">
        <v>45</v>
      </c>
      <c r="F1125" t="s">
        <v>27</v>
      </c>
      <c r="G1125" t="str">
        <f>"2025-11-12 02:57:11.998"</f>
        <v>2025-11-12 02:57:11.998</v>
      </c>
      <c r="H1125" t="s">
        <v>21</v>
      </c>
      <c r="I1125">
        <v>4.0599999999999996</v>
      </c>
      <c r="J1125" t="s">
        <v>42</v>
      </c>
    </row>
    <row r="1126" spans="1:10" s="3" customFormat="1" x14ac:dyDescent="0.25">
      <c r="A1126" s="2">
        <v>169</v>
      </c>
      <c r="B1126" s="3" t="s">
        <v>25</v>
      </c>
      <c r="C1126" s="3">
        <v>647</v>
      </c>
      <c r="D1126" s="3">
        <v>1</v>
      </c>
      <c r="E1126" s="3" t="s">
        <v>55</v>
      </c>
      <c r="F1126" s="3" t="s">
        <v>56</v>
      </c>
      <c r="G1126" s="3" t="str">
        <f>"2025-11-11 23:09:16.446"</f>
        <v>2025-11-11 23:09:16.446</v>
      </c>
      <c r="H1126" s="3" t="s">
        <v>21</v>
      </c>
    </row>
    <row r="1127" spans="1:10" s="3" customFormat="1" x14ac:dyDescent="0.25">
      <c r="A1127" s="2">
        <v>170</v>
      </c>
      <c r="B1127" s="3" t="s">
        <v>29</v>
      </c>
      <c r="C1127" s="3">
        <v>647</v>
      </c>
      <c r="D1127" s="3">
        <v>1</v>
      </c>
      <c r="E1127" s="3" t="s">
        <v>55</v>
      </c>
      <c r="F1127" s="3" t="s">
        <v>56</v>
      </c>
      <c r="G1127" s="3" t="str">
        <f>"2025-11-11 23:09:08.746"</f>
        <v>2025-11-11 23:09:08.746</v>
      </c>
      <c r="H1127" s="3" t="s">
        <v>21</v>
      </c>
      <c r="I1127" s="3">
        <v>18.59</v>
      </c>
      <c r="J1127" s="3" t="s">
        <v>54</v>
      </c>
    </row>
    <row r="1128" spans="1:10" s="3" customFormat="1" x14ac:dyDescent="0.25">
      <c r="A1128" s="2">
        <v>171</v>
      </c>
      <c r="B1128" s="3" t="s">
        <v>25</v>
      </c>
      <c r="C1128" s="3">
        <v>647</v>
      </c>
      <c r="D1128" s="3">
        <v>1</v>
      </c>
      <c r="E1128" s="3" t="s">
        <v>55</v>
      </c>
      <c r="F1128" s="3" t="s">
        <v>56</v>
      </c>
      <c r="G1128" s="3" t="str">
        <f>"2025-11-11 16:36:00.147"</f>
        <v>2025-11-11 16:36:00.147</v>
      </c>
      <c r="H1128" s="3" t="s">
        <v>21</v>
      </c>
    </row>
    <row r="1129" spans="1:10" s="3" customFormat="1" x14ac:dyDescent="0.25">
      <c r="A1129" s="2">
        <v>172</v>
      </c>
      <c r="B1129" s="3" t="s">
        <v>29</v>
      </c>
      <c r="C1129" s="3">
        <v>647</v>
      </c>
      <c r="D1129" s="3">
        <v>1</v>
      </c>
      <c r="E1129" s="3" t="s">
        <v>55</v>
      </c>
      <c r="F1129" s="3" t="s">
        <v>56</v>
      </c>
      <c r="G1129" s="3" t="str">
        <f>"2025-11-11 16:35:58.346"</f>
        <v>2025-11-11 16:35:58.346</v>
      </c>
      <c r="H1129" s="3" t="s">
        <v>21</v>
      </c>
      <c r="I1129" s="3">
        <v>28.52</v>
      </c>
      <c r="J1129" s="3" t="s">
        <v>54</v>
      </c>
    </row>
    <row r="1130" spans="1:10" s="3" customFormat="1" x14ac:dyDescent="0.25">
      <c r="A1130" s="2">
        <v>173</v>
      </c>
      <c r="B1130" s="3" t="s">
        <v>25</v>
      </c>
      <c r="C1130" s="3">
        <v>647</v>
      </c>
      <c r="D1130" s="3">
        <v>1</v>
      </c>
      <c r="E1130" s="3" t="s">
        <v>55</v>
      </c>
      <c r="F1130" s="3" t="s">
        <v>56</v>
      </c>
      <c r="G1130" s="3" t="str">
        <f>"2025-11-11 06:16:02.246"</f>
        <v>2025-11-11 06:16:02.246</v>
      </c>
      <c r="H1130" s="3" t="s">
        <v>21</v>
      </c>
    </row>
    <row r="1131" spans="1:10" s="3" customFormat="1" x14ac:dyDescent="0.25">
      <c r="A1131" s="2">
        <v>174</v>
      </c>
      <c r="B1131" s="3" t="s">
        <v>29</v>
      </c>
      <c r="C1131" s="3">
        <v>647</v>
      </c>
      <c r="D1131" s="3">
        <v>1</v>
      </c>
      <c r="E1131" s="3" t="s">
        <v>55</v>
      </c>
      <c r="F1131" s="3" t="s">
        <v>56</v>
      </c>
      <c r="G1131" s="3" t="str">
        <f>"2025-11-11 06:15:58.547"</f>
        <v>2025-11-11 06:15:58.547</v>
      </c>
      <c r="H1131" s="3" t="s">
        <v>21</v>
      </c>
      <c r="I1131" s="3">
        <v>20.82</v>
      </c>
      <c r="J1131" s="3" t="s">
        <v>54</v>
      </c>
    </row>
    <row r="1132" spans="1:10" x14ac:dyDescent="0.25">
      <c r="A1132" s="1">
        <v>175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"2025-11-11 03:20:13.989"</f>
        <v>2025-11-11 03:20:13.989</v>
      </c>
      <c r="H1132" t="s">
        <v>21</v>
      </c>
      <c r="I1132">
        <v>0</v>
      </c>
      <c r="J1132" t="s">
        <v>32</v>
      </c>
    </row>
    <row r="1133" spans="1:10" x14ac:dyDescent="0.25">
      <c r="A1133" s="1">
        <v>176</v>
      </c>
      <c r="B1133" t="s">
        <v>25</v>
      </c>
      <c r="C1133">
        <v>635</v>
      </c>
      <c r="D1133">
        <v>1</v>
      </c>
      <c r="E1133" t="s">
        <v>45</v>
      </c>
      <c r="F1133" t="s">
        <v>27</v>
      </c>
      <c r="G1133" t="str">
        <f>"2025-11-10 21:24:30.334"</f>
        <v>2025-11-10 21:24:30.334</v>
      </c>
      <c r="H1133" t="s">
        <v>21</v>
      </c>
    </row>
    <row r="1134" spans="1:10" x14ac:dyDescent="0.25">
      <c r="A1134" s="1">
        <v>177</v>
      </c>
      <c r="B1134" t="s">
        <v>29</v>
      </c>
      <c r="C1134">
        <v>635</v>
      </c>
      <c r="D1134">
        <v>1</v>
      </c>
      <c r="E1134" t="s">
        <v>45</v>
      </c>
      <c r="F1134" t="s">
        <v>27</v>
      </c>
      <c r="G1134" t="str">
        <f>"2025-11-10 21:20:37.334"</f>
        <v>2025-11-10 21:20:37.334</v>
      </c>
      <c r="H1134" t="s">
        <v>21</v>
      </c>
      <c r="I1134">
        <v>5.15</v>
      </c>
      <c r="J1134" t="s">
        <v>42</v>
      </c>
    </row>
    <row r="1135" spans="1:10" s="3" customFormat="1" x14ac:dyDescent="0.25">
      <c r="A1135" s="2">
        <v>178</v>
      </c>
      <c r="B1135" s="3" t="s">
        <v>25</v>
      </c>
      <c r="C1135" s="3">
        <v>647</v>
      </c>
      <c r="D1135" s="3">
        <v>1</v>
      </c>
      <c r="E1135" s="3" t="s">
        <v>55</v>
      </c>
      <c r="F1135" s="3" t="s">
        <v>56</v>
      </c>
      <c r="G1135" s="3" t="str">
        <f>"2025-11-10 20:26:32.835"</f>
        <v>2025-11-10 20:26:32.835</v>
      </c>
      <c r="H1135" s="3" t="s">
        <v>21</v>
      </c>
    </row>
    <row r="1136" spans="1:10" s="3" customFormat="1" x14ac:dyDescent="0.25">
      <c r="A1136" s="2">
        <v>179</v>
      </c>
      <c r="B1136" s="3" t="s">
        <v>29</v>
      </c>
      <c r="C1136" s="3">
        <v>647</v>
      </c>
      <c r="D1136" s="3">
        <v>1</v>
      </c>
      <c r="E1136" s="3" t="s">
        <v>55</v>
      </c>
      <c r="F1136" s="3" t="s">
        <v>56</v>
      </c>
      <c r="G1136" s="3" t="str">
        <f>"2025-11-10 20:26:31.535"</f>
        <v>2025-11-10 20:26:31.535</v>
      </c>
      <c r="H1136" s="3" t="s">
        <v>21</v>
      </c>
      <c r="I1136" s="3">
        <v>26.06</v>
      </c>
      <c r="J1136" s="3" t="s">
        <v>54</v>
      </c>
    </row>
    <row r="1137" spans="1:10" s="3" customFormat="1" x14ac:dyDescent="0.25">
      <c r="A1137" s="2">
        <v>180</v>
      </c>
      <c r="B1137" s="3" t="s">
        <v>25</v>
      </c>
      <c r="C1137" s="3">
        <v>647</v>
      </c>
      <c r="D1137" s="3">
        <v>1</v>
      </c>
      <c r="E1137" s="3" t="s">
        <v>55</v>
      </c>
      <c r="F1137" s="3" t="s">
        <v>56</v>
      </c>
      <c r="G1137" s="3" t="str">
        <f>"2025-11-10 01:29:44.635"</f>
        <v>2025-11-10 01:29:44.635</v>
      </c>
      <c r="H1137" s="3" t="s">
        <v>21</v>
      </c>
    </row>
    <row r="1138" spans="1:10" s="3" customFormat="1" x14ac:dyDescent="0.25">
      <c r="A1138" s="2">
        <v>181</v>
      </c>
      <c r="B1138" s="3" t="s">
        <v>29</v>
      </c>
      <c r="C1138" s="3">
        <v>647</v>
      </c>
      <c r="D1138" s="3">
        <v>1</v>
      </c>
      <c r="E1138" s="3" t="s">
        <v>55</v>
      </c>
      <c r="F1138" s="3" t="s">
        <v>56</v>
      </c>
      <c r="G1138" s="3" t="str">
        <f>"2025-11-10 01:29:41.535"</f>
        <v>2025-11-10 01:29:41.535</v>
      </c>
      <c r="H1138" s="3" t="s">
        <v>21</v>
      </c>
      <c r="I1138" s="3">
        <v>24.8</v>
      </c>
      <c r="J1138" s="3" t="s">
        <v>54</v>
      </c>
    </row>
    <row r="1139" spans="1:10" s="3" customFormat="1" x14ac:dyDescent="0.25">
      <c r="A1139" s="2">
        <v>182</v>
      </c>
      <c r="B1139" s="3" t="s">
        <v>25</v>
      </c>
      <c r="C1139" s="3">
        <v>647</v>
      </c>
      <c r="D1139" s="3">
        <v>1</v>
      </c>
      <c r="E1139" s="3" t="s">
        <v>55</v>
      </c>
      <c r="F1139" s="3" t="s">
        <v>56</v>
      </c>
      <c r="G1139" s="3" t="str">
        <f>"2025-11-09 22:21:34.835"</f>
        <v>2025-11-09 22:21:34.835</v>
      </c>
      <c r="H1139" s="3" t="s">
        <v>21</v>
      </c>
    </row>
    <row r="1140" spans="1:10" s="3" customFormat="1" x14ac:dyDescent="0.25">
      <c r="A1140" s="2">
        <v>183</v>
      </c>
      <c r="B1140" s="3" t="s">
        <v>29</v>
      </c>
      <c r="C1140" s="3">
        <v>647</v>
      </c>
      <c r="D1140" s="3">
        <v>1</v>
      </c>
      <c r="E1140" s="3" t="s">
        <v>55</v>
      </c>
      <c r="F1140" s="3" t="s">
        <v>56</v>
      </c>
      <c r="G1140" s="3" t="str">
        <f>"2025-11-09 22:21:25.235"</f>
        <v>2025-11-09 22:21:25.235</v>
      </c>
      <c r="H1140" s="3" t="s">
        <v>21</v>
      </c>
      <c r="I1140" s="3">
        <v>20.27</v>
      </c>
      <c r="J1140" s="3" t="s">
        <v>54</v>
      </c>
    </row>
    <row r="1141" spans="1:10" s="3" customFormat="1" x14ac:dyDescent="0.25">
      <c r="A1141" s="2">
        <v>184</v>
      </c>
      <c r="B1141" s="3" t="s">
        <v>25</v>
      </c>
      <c r="C1141" s="3">
        <v>647</v>
      </c>
      <c r="D1141" s="3">
        <v>1</v>
      </c>
      <c r="E1141" s="3" t="s">
        <v>55</v>
      </c>
      <c r="F1141" s="3" t="s">
        <v>56</v>
      </c>
      <c r="G1141" s="3" t="str">
        <f>"2025-11-09 21:01:01.935"</f>
        <v>2025-11-09 21:01:01.935</v>
      </c>
      <c r="H1141" s="3" t="s">
        <v>21</v>
      </c>
    </row>
    <row r="1142" spans="1:10" s="3" customFormat="1" x14ac:dyDescent="0.25">
      <c r="A1142" s="2">
        <v>185</v>
      </c>
      <c r="B1142" s="3" t="s">
        <v>29</v>
      </c>
      <c r="C1142" s="3">
        <v>647</v>
      </c>
      <c r="D1142" s="3">
        <v>1</v>
      </c>
      <c r="E1142" s="3" t="s">
        <v>55</v>
      </c>
      <c r="F1142" s="3" t="s">
        <v>56</v>
      </c>
      <c r="G1142" s="3" t="str">
        <f>"2025-11-09 21:00:56.935"</f>
        <v>2025-11-09 21:00:56.935</v>
      </c>
      <c r="H1142" s="3" t="s">
        <v>21</v>
      </c>
      <c r="I1142" s="3">
        <v>9.6999999999999993</v>
      </c>
      <c r="J1142" s="3" t="s">
        <v>54</v>
      </c>
    </row>
    <row r="1143" spans="1:10" x14ac:dyDescent="0.25">
      <c r="A1143" s="1">
        <v>186</v>
      </c>
      <c r="B1143" t="s">
        <v>19</v>
      </c>
      <c r="C1143">
        <v>706</v>
      </c>
      <c r="D1143">
        <v>4</v>
      </c>
      <c r="E1143" t="s">
        <v>22</v>
      </c>
      <c r="F1143" t="s">
        <v>31</v>
      </c>
      <c r="G1143" t="str">
        <f>"2025-11-09 12:51:01.784"</f>
        <v>2025-11-09 12:51:01.784</v>
      </c>
      <c r="H1143" t="s">
        <v>21</v>
      </c>
      <c r="I1143">
        <v>0</v>
      </c>
      <c r="J1143" t="s">
        <v>24</v>
      </c>
    </row>
    <row r="1144" spans="1:10" s="3" customFormat="1" x14ac:dyDescent="0.25">
      <c r="A1144" s="2">
        <v>187</v>
      </c>
      <c r="B1144" s="3" t="s">
        <v>25</v>
      </c>
      <c r="C1144" s="3">
        <v>647</v>
      </c>
      <c r="D1144" s="3">
        <v>1</v>
      </c>
      <c r="E1144" s="3" t="s">
        <v>55</v>
      </c>
      <c r="F1144" s="3" t="s">
        <v>56</v>
      </c>
      <c r="G1144" s="3" t="str">
        <f>"2025-11-09 02:28:25.135"</f>
        <v>2025-11-09 02:28:25.135</v>
      </c>
      <c r="H1144" s="3" t="s">
        <v>21</v>
      </c>
    </row>
    <row r="1145" spans="1:10" s="3" customFormat="1" x14ac:dyDescent="0.25">
      <c r="A1145" s="2">
        <v>188</v>
      </c>
      <c r="B1145" s="3" t="s">
        <v>29</v>
      </c>
      <c r="C1145" s="3">
        <v>647</v>
      </c>
      <c r="D1145" s="3">
        <v>1</v>
      </c>
      <c r="E1145" s="3" t="s">
        <v>55</v>
      </c>
      <c r="F1145" s="3" t="s">
        <v>56</v>
      </c>
      <c r="G1145" s="3" t="str">
        <f>"2025-11-09 02:28:20.035"</f>
        <v>2025-11-09 02:28:20.035</v>
      </c>
      <c r="H1145" s="3" t="s">
        <v>21</v>
      </c>
      <c r="I1145" s="3">
        <v>16.13</v>
      </c>
      <c r="J1145" s="3" t="s">
        <v>54</v>
      </c>
    </row>
    <row r="1146" spans="1:10" s="3" customFormat="1" x14ac:dyDescent="0.25">
      <c r="A1146" s="2">
        <v>189</v>
      </c>
      <c r="B1146" s="3" t="s">
        <v>25</v>
      </c>
      <c r="C1146" s="3">
        <v>647</v>
      </c>
      <c r="D1146" s="3">
        <v>1</v>
      </c>
      <c r="E1146" s="3" t="s">
        <v>55</v>
      </c>
      <c r="F1146" s="3" t="s">
        <v>56</v>
      </c>
      <c r="G1146" s="3" t="str">
        <f>"2025-11-09 02:27:51.235"</f>
        <v>2025-11-09 02:27:51.235</v>
      </c>
      <c r="H1146" s="3" t="s">
        <v>21</v>
      </c>
    </row>
    <row r="1147" spans="1:10" s="3" customFormat="1" x14ac:dyDescent="0.25">
      <c r="A1147" s="2">
        <v>190</v>
      </c>
      <c r="B1147" s="3" t="s">
        <v>29</v>
      </c>
      <c r="C1147" s="3">
        <v>647</v>
      </c>
      <c r="D1147" s="3">
        <v>1</v>
      </c>
      <c r="E1147" s="3" t="s">
        <v>55</v>
      </c>
      <c r="F1147" s="3" t="s">
        <v>56</v>
      </c>
      <c r="G1147" s="3" t="str">
        <f>"2025-11-09 02:27:49.835"</f>
        <v>2025-11-09 02:27:49.835</v>
      </c>
      <c r="H1147" s="3" t="s">
        <v>21</v>
      </c>
      <c r="I1147" s="3">
        <v>18.57</v>
      </c>
      <c r="J1147" s="3" t="s">
        <v>54</v>
      </c>
    </row>
    <row r="1148" spans="1:10" s="3" customFormat="1" x14ac:dyDescent="0.25">
      <c r="A1148" s="2">
        <v>191</v>
      </c>
      <c r="B1148" s="3" t="s">
        <v>25</v>
      </c>
      <c r="C1148" s="3">
        <v>647</v>
      </c>
      <c r="D1148" s="3">
        <v>1</v>
      </c>
      <c r="E1148" s="3" t="s">
        <v>55</v>
      </c>
      <c r="F1148" s="3" t="s">
        <v>56</v>
      </c>
      <c r="G1148" s="3" t="str">
        <f>"2025-11-09 00:20:01.035"</f>
        <v>2025-11-09 00:20:01.035</v>
      </c>
      <c r="H1148" s="3" t="s">
        <v>21</v>
      </c>
    </row>
    <row r="1149" spans="1:10" s="3" customFormat="1" x14ac:dyDescent="0.25">
      <c r="A1149" s="2">
        <v>192</v>
      </c>
      <c r="B1149" s="3" t="s">
        <v>29</v>
      </c>
      <c r="C1149" s="3">
        <v>647</v>
      </c>
      <c r="D1149" s="3">
        <v>1</v>
      </c>
      <c r="E1149" s="3" t="s">
        <v>55</v>
      </c>
      <c r="F1149" s="3" t="s">
        <v>56</v>
      </c>
      <c r="G1149" s="3" t="str">
        <f>"2025-11-09 00:19:58.835"</f>
        <v>2025-11-09 00:19:58.835</v>
      </c>
      <c r="H1149" s="3" t="s">
        <v>21</v>
      </c>
      <c r="I1149" s="3">
        <v>24.61</v>
      </c>
      <c r="J1149" s="3" t="s">
        <v>54</v>
      </c>
    </row>
    <row r="1150" spans="1:10" s="3" customFormat="1" x14ac:dyDescent="0.25">
      <c r="A1150" s="2">
        <v>193</v>
      </c>
      <c r="B1150" s="3" t="s">
        <v>25</v>
      </c>
      <c r="C1150" s="3">
        <v>647</v>
      </c>
      <c r="D1150" s="3">
        <v>1</v>
      </c>
      <c r="E1150" s="3" t="s">
        <v>55</v>
      </c>
      <c r="F1150" s="3" t="s">
        <v>56</v>
      </c>
      <c r="G1150" s="3" t="str">
        <f>"2025-11-08 19:46:04.735"</f>
        <v>2025-11-08 19:46:04.735</v>
      </c>
      <c r="H1150" s="3" t="s">
        <v>21</v>
      </c>
    </row>
    <row r="1151" spans="1:10" s="3" customFormat="1" x14ac:dyDescent="0.25">
      <c r="A1151" s="2">
        <v>194</v>
      </c>
      <c r="B1151" s="3" t="s">
        <v>29</v>
      </c>
      <c r="C1151" s="3">
        <v>647</v>
      </c>
      <c r="D1151" s="3">
        <v>1</v>
      </c>
      <c r="E1151" s="3" t="s">
        <v>55</v>
      </c>
      <c r="F1151" s="3" t="s">
        <v>56</v>
      </c>
      <c r="G1151" s="3" t="str">
        <f>"2025-11-08 19:46:02.235"</f>
        <v>2025-11-08 19:46:02.235</v>
      </c>
      <c r="H1151" s="3" t="s">
        <v>21</v>
      </c>
      <c r="I1151" s="3">
        <v>12.41</v>
      </c>
      <c r="J1151" s="3" t="s">
        <v>37</v>
      </c>
    </row>
    <row r="1152" spans="1:10" x14ac:dyDescent="0.25">
      <c r="A1152" s="1">
        <v>195</v>
      </c>
      <c r="B1152" t="s">
        <v>25</v>
      </c>
      <c r="C1152">
        <v>635</v>
      </c>
      <c r="D1152">
        <v>1</v>
      </c>
      <c r="E1152" t="s">
        <v>45</v>
      </c>
      <c r="F1152" t="s">
        <v>27</v>
      </c>
      <c r="G1152" t="str">
        <f>"2025-11-08 03:20:28.434"</f>
        <v>2025-11-08 03:20:28.434</v>
      </c>
      <c r="H1152" t="s">
        <v>21</v>
      </c>
    </row>
    <row r="1153" spans="1:10" x14ac:dyDescent="0.25">
      <c r="A1153" s="1">
        <v>196</v>
      </c>
      <c r="B1153" t="s">
        <v>29</v>
      </c>
      <c r="C1153">
        <v>635</v>
      </c>
      <c r="D1153">
        <v>1</v>
      </c>
      <c r="E1153" t="s">
        <v>45</v>
      </c>
      <c r="F1153" t="s">
        <v>27</v>
      </c>
      <c r="G1153" t="str">
        <f>"2025-11-08 03:16:58.934"</f>
        <v>2025-11-08 03:16:58.934</v>
      </c>
      <c r="H1153" t="s">
        <v>21</v>
      </c>
      <c r="I1153">
        <v>4.51</v>
      </c>
      <c r="J1153" t="s">
        <v>42</v>
      </c>
    </row>
    <row r="1154" spans="1:10" x14ac:dyDescent="0.25">
      <c r="A1154" s="1">
        <v>197</v>
      </c>
      <c r="B1154" t="s">
        <v>25</v>
      </c>
      <c r="C1154">
        <v>61</v>
      </c>
      <c r="D1154">
        <v>2</v>
      </c>
      <c r="E1154" t="s">
        <v>57</v>
      </c>
      <c r="F1154" t="s">
        <v>58</v>
      </c>
      <c r="G1154" t="str">
        <f>"2025-11-07 13:54:52.035"</f>
        <v>2025-11-07 13:54:52.035</v>
      </c>
      <c r="H1154" t="s">
        <v>21</v>
      </c>
    </row>
    <row r="1155" spans="1:10" x14ac:dyDescent="0.25">
      <c r="A1155" s="1">
        <v>198</v>
      </c>
      <c r="B1155" t="s">
        <v>33</v>
      </c>
      <c r="C1155">
        <v>61</v>
      </c>
      <c r="D1155">
        <v>2</v>
      </c>
      <c r="E1155" t="s">
        <v>57</v>
      </c>
      <c r="F1155" t="s">
        <v>58</v>
      </c>
      <c r="G1155" t="str">
        <f>"2025-11-07 13:54:41.735"</f>
        <v>2025-11-07 13:54:41.735</v>
      </c>
      <c r="H1155" t="s">
        <v>21</v>
      </c>
      <c r="I1155">
        <v>36.69</v>
      </c>
      <c r="J1155" t="s">
        <v>54</v>
      </c>
    </row>
    <row r="1156" spans="1:10" s="3" customFormat="1" x14ac:dyDescent="0.25">
      <c r="A1156" s="2">
        <v>199</v>
      </c>
      <c r="B1156" s="3" t="s">
        <v>25</v>
      </c>
      <c r="C1156" s="3">
        <v>647</v>
      </c>
      <c r="D1156" s="3">
        <v>1</v>
      </c>
      <c r="E1156" s="3" t="s">
        <v>55</v>
      </c>
      <c r="F1156" s="3" t="s">
        <v>56</v>
      </c>
      <c r="G1156" s="3" t="str">
        <f>"2025-11-06 21:30:52.435"</f>
        <v>2025-11-06 21:30:52.435</v>
      </c>
      <c r="H1156" s="3" t="s">
        <v>21</v>
      </c>
    </row>
    <row r="1157" spans="1:10" s="3" customFormat="1" x14ac:dyDescent="0.25">
      <c r="A1157" s="2">
        <v>200</v>
      </c>
      <c r="B1157" s="3" t="s">
        <v>29</v>
      </c>
      <c r="C1157" s="3">
        <v>647</v>
      </c>
      <c r="D1157" s="3">
        <v>1</v>
      </c>
      <c r="E1157" s="3" t="s">
        <v>55</v>
      </c>
      <c r="F1157" s="3" t="s">
        <v>56</v>
      </c>
      <c r="G1157" s="3" t="str">
        <f>"2025-11-06 21:30:43.735"</f>
        <v>2025-11-06 21:30:43.735</v>
      </c>
      <c r="H1157" s="3" t="s">
        <v>21</v>
      </c>
      <c r="I1157" s="3">
        <v>18.48</v>
      </c>
      <c r="J1157" s="3" t="s">
        <v>54</v>
      </c>
    </row>
    <row r="1158" spans="1:10" s="3" customFormat="1" x14ac:dyDescent="0.25">
      <c r="A1158" s="2">
        <v>201</v>
      </c>
      <c r="B1158" s="3" t="s">
        <v>25</v>
      </c>
      <c r="C1158" s="3">
        <v>647</v>
      </c>
      <c r="D1158" s="3">
        <v>1</v>
      </c>
      <c r="E1158" s="3" t="s">
        <v>55</v>
      </c>
      <c r="F1158" s="3" t="s">
        <v>56</v>
      </c>
      <c r="G1158" s="3" t="str">
        <f>"2025-11-06 20:15:52.335"</f>
        <v>2025-11-06 20:15:52.335</v>
      </c>
      <c r="H1158" s="3" t="s">
        <v>21</v>
      </c>
    </row>
    <row r="1159" spans="1:10" s="3" customFormat="1" x14ac:dyDescent="0.25">
      <c r="A1159" s="2">
        <v>202</v>
      </c>
      <c r="B1159" s="3" t="s">
        <v>29</v>
      </c>
      <c r="C1159" s="3">
        <v>647</v>
      </c>
      <c r="D1159" s="3">
        <v>1</v>
      </c>
      <c r="E1159" s="3" t="s">
        <v>55</v>
      </c>
      <c r="F1159" s="3" t="s">
        <v>56</v>
      </c>
      <c r="G1159" s="3" t="str">
        <f>"2025-11-06 20:15:50.035"</f>
        <v>2025-11-06 20:15:50.035</v>
      </c>
      <c r="H1159" s="3" t="s">
        <v>21</v>
      </c>
      <c r="I1159" s="3">
        <v>12.75</v>
      </c>
      <c r="J1159" s="3" t="s">
        <v>54</v>
      </c>
    </row>
    <row r="1160" spans="1:10" x14ac:dyDescent="0.25">
      <c r="A1160" s="1">
        <v>203</v>
      </c>
      <c r="B1160" t="s">
        <v>25</v>
      </c>
      <c r="C1160">
        <v>635</v>
      </c>
      <c r="D1160">
        <v>1</v>
      </c>
      <c r="E1160" t="s">
        <v>45</v>
      </c>
      <c r="F1160" t="s">
        <v>27</v>
      </c>
      <c r="G1160" t="str">
        <f>"2025-11-06 20:01:38.034"</f>
        <v>2025-11-06 20:01:38.034</v>
      </c>
      <c r="H1160" t="s">
        <v>21</v>
      </c>
    </row>
    <row r="1161" spans="1:10" x14ac:dyDescent="0.25">
      <c r="A1161" s="1">
        <v>204</v>
      </c>
      <c r="B1161" t="s">
        <v>29</v>
      </c>
      <c r="C1161">
        <v>635</v>
      </c>
      <c r="D1161">
        <v>1</v>
      </c>
      <c r="E1161" t="s">
        <v>45</v>
      </c>
      <c r="F1161" t="s">
        <v>27</v>
      </c>
      <c r="G1161" t="str">
        <f>"2025-11-06 19:57:27.534"</f>
        <v>2025-11-06 19:57:27.534</v>
      </c>
      <c r="H1161" t="s">
        <v>21</v>
      </c>
      <c r="I1161">
        <v>3.17</v>
      </c>
      <c r="J1161" t="s">
        <v>42</v>
      </c>
    </row>
    <row r="1162" spans="1:10" x14ac:dyDescent="0.25">
      <c r="A1162" s="1">
        <v>205</v>
      </c>
      <c r="B1162" t="s">
        <v>25</v>
      </c>
      <c r="C1162">
        <v>630</v>
      </c>
      <c r="D1162">
        <v>5</v>
      </c>
      <c r="E1162" t="s">
        <v>51</v>
      </c>
      <c r="F1162" t="s">
        <v>52</v>
      </c>
      <c r="G1162" t="str">
        <f>"2025-11-06 12:41:01.335"</f>
        <v>2025-11-06 12:41:01.335</v>
      </c>
      <c r="H1162" t="s">
        <v>40</v>
      </c>
    </row>
    <row r="1163" spans="1:10" x14ac:dyDescent="0.25">
      <c r="A1163" s="1">
        <v>206</v>
      </c>
      <c r="B1163" t="s">
        <v>19</v>
      </c>
      <c r="C1163">
        <v>706</v>
      </c>
      <c r="D1163">
        <v>2</v>
      </c>
      <c r="E1163" t="s">
        <v>22</v>
      </c>
      <c r="F1163" t="s">
        <v>53</v>
      </c>
      <c r="G1163" t="str">
        <f>"2025-11-06 12:40:31.193"</f>
        <v>2025-11-06 12:40:31.193</v>
      </c>
      <c r="H1163" t="s">
        <v>21</v>
      </c>
      <c r="I1163">
        <v>0</v>
      </c>
      <c r="J1163" t="s">
        <v>24</v>
      </c>
    </row>
    <row r="1164" spans="1:10" x14ac:dyDescent="0.25">
      <c r="A1164" s="1">
        <v>207</v>
      </c>
      <c r="B1164" t="s">
        <v>33</v>
      </c>
      <c r="C1164">
        <v>630</v>
      </c>
      <c r="D1164">
        <v>5</v>
      </c>
      <c r="E1164" t="s">
        <v>51</v>
      </c>
      <c r="F1164" t="s">
        <v>52</v>
      </c>
      <c r="G1164" t="str">
        <f>"2025-11-06 12:36:34.335"</f>
        <v>2025-11-06 12:36:34.335</v>
      </c>
      <c r="H1164" t="s">
        <v>40</v>
      </c>
      <c r="I1164">
        <v>0</v>
      </c>
      <c r="J1164" t="s">
        <v>24</v>
      </c>
    </row>
    <row r="1165" spans="1:10" s="3" customFormat="1" x14ac:dyDescent="0.25">
      <c r="A1165" s="2">
        <v>208</v>
      </c>
      <c r="B1165" s="3" t="s">
        <v>25</v>
      </c>
      <c r="C1165" s="3">
        <v>647</v>
      </c>
      <c r="D1165" s="3">
        <v>1</v>
      </c>
      <c r="E1165" s="3" t="s">
        <v>55</v>
      </c>
      <c r="F1165" s="3" t="s">
        <v>56</v>
      </c>
      <c r="G1165" s="3" t="str">
        <f>"2025-11-06 06:37:45.535"</f>
        <v>2025-11-06 06:37:45.535</v>
      </c>
      <c r="H1165" s="3" t="s">
        <v>21</v>
      </c>
    </row>
    <row r="1166" spans="1:10" s="3" customFormat="1" x14ac:dyDescent="0.25">
      <c r="A1166" s="2">
        <v>209</v>
      </c>
      <c r="B1166" s="3" t="s">
        <v>29</v>
      </c>
      <c r="C1166" s="3">
        <v>647</v>
      </c>
      <c r="D1166" s="3">
        <v>1</v>
      </c>
      <c r="E1166" s="3" t="s">
        <v>55</v>
      </c>
      <c r="F1166" s="3" t="s">
        <v>56</v>
      </c>
      <c r="G1166" s="3" t="str">
        <f>"2025-11-06 06:37:34.435"</f>
        <v>2025-11-06 06:37:34.435</v>
      </c>
      <c r="H1166" s="3" t="s">
        <v>21</v>
      </c>
      <c r="I1166" s="3">
        <v>21.1</v>
      </c>
      <c r="J1166" s="3" t="s">
        <v>54</v>
      </c>
    </row>
    <row r="1167" spans="1:10" s="3" customFormat="1" x14ac:dyDescent="0.25">
      <c r="A1167" s="2">
        <v>210</v>
      </c>
      <c r="B1167" s="3" t="s">
        <v>25</v>
      </c>
      <c r="C1167" s="3">
        <v>647</v>
      </c>
      <c r="D1167" s="3">
        <v>1</v>
      </c>
      <c r="E1167" s="3" t="s">
        <v>55</v>
      </c>
      <c r="F1167" s="3" t="s">
        <v>56</v>
      </c>
      <c r="G1167" s="3" t="str">
        <f>"2025-11-06 06:37:19.135"</f>
        <v>2025-11-06 06:37:19.135</v>
      </c>
      <c r="H1167" s="3" t="s">
        <v>21</v>
      </c>
    </row>
    <row r="1168" spans="1:10" s="3" customFormat="1" x14ac:dyDescent="0.25">
      <c r="A1168" s="2">
        <v>211</v>
      </c>
      <c r="B1168" s="3" t="s">
        <v>29</v>
      </c>
      <c r="C1168" s="3">
        <v>647</v>
      </c>
      <c r="D1168" s="3">
        <v>1</v>
      </c>
      <c r="E1168" s="3" t="s">
        <v>55</v>
      </c>
      <c r="F1168" s="3" t="s">
        <v>56</v>
      </c>
      <c r="G1168" s="3" t="str">
        <f>"2025-11-06 06:37:11.435"</f>
        <v>2025-11-06 06:37:11.435</v>
      </c>
      <c r="H1168" s="3" t="s">
        <v>21</v>
      </c>
      <c r="I1168" s="3">
        <v>8.9</v>
      </c>
      <c r="J1168" s="3" t="s">
        <v>54</v>
      </c>
    </row>
    <row r="1169" spans="1:10" s="3" customFormat="1" x14ac:dyDescent="0.25">
      <c r="A1169" s="2">
        <v>212</v>
      </c>
      <c r="B1169" s="3" t="s">
        <v>25</v>
      </c>
      <c r="C1169" s="3">
        <v>647</v>
      </c>
      <c r="D1169" s="3">
        <v>1</v>
      </c>
      <c r="E1169" s="3" t="s">
        <v>55</v>
      </c>
      <c r="F1169" s="3" t="s">
        <v>56</v>
      </c>
      <c r="G1169" s="3" t="str">
        <f>"2025-11-06 02:08:26.435"</f>
        <v>2025-11-06 02:08:26.435</v>
      </c>
      <c r="H1169" s="3" t="s">
        <v>21</v>
      </c>
    </row>
    <row r="1170" spans="1:10" s="3" customFormat="1" x14ac:dyDescent="0.25">
      <c r="A1170" s="2">
        <v>213</v>
      </c>
      <c r="B1170" s="3" t="s">
        <v>29</v>
      </c>
      <c r="C1170" s="3">
        <v>647</v>
      </c>
      <c r="D1170" s="3">
        <v>1</v>
      </c>
      <c r="E1170" s="3" t="s">
        <v>55</v>
      </c>
      <c r="F1170" s="3" t="s">
        <v>56</v>
      </c>
      <c r="G1170" s="3" t="str">
        <f>"2025-11-06 02:08:23.535"</f>
        <v>2025-11-06 02:08:23.535</v>
      </c>
      <c r="H1170" s="3" t="s">
        <v>21</v>
      </c>
      <c r="I1170" s="3">
        <v>11.95</v>
      </c>
      <c r="J1170" s="3" t="s">
        <v>54</v>
      </c>
    </row>
    <row r="1171" spans="1:10" s="3" customFormat="1" x14ac:dyDescent="0.25">
      <c r="A1171" s="2">
        <v>214</v>
      </c>
      <c r="B1171" s="3" t="s">
        <v>25</v>
      </c>
      <c r="C1171" s="3">
        <v>647</v>
      </c>
      <c r="D1171" s="3">
        <v>1</v>
      </c>
      <c r="E1171" s="3" t="s">
        <v>55</v>
      </c>
      <c r="F1171" s="3" t="s">
        <v>56</v>
      </c>
      <c r="G1171" s="3" t="str">
        <f>"2025-11-06 02:08:19.235"</f>
        <v>2025-11-06 02:08:19.235</v>
      </c>
      <c r="H1171" s="3" t="s">
        <v>21</v>
      </c>
    </row>
    <row r="1172" spans="1:10" s="3" customFormat="1" x14ac:dyDescent="0.25">
      <c r="A1172" s="2">
        <v>215</v>
      </c>
      <c r="B1172" s="3" t="s">
        <v>29</v>
      </c>
      <c r="C1172" s="3">
        <v>647</v>
      </c>
      <c r="D1172" s="3">
        <v>1</v>
      </c>
      <c r="E1172" s="3" t="s">
        <v>55</v>
      </c>
      <c r="F1172" s="3" t="s">
        <v>56</v>
      </c>
      <c r="G1172" s="3" t="str">
        <f>"2025-11-06 02:08:09.735"</f>
        <v>2025-11-06 02:08:09.735</v>
      </c>
      <c r="H1172" s="3" t="s">
        <v>21</v>
      </c>
      <c r="I1172" s="3">
        <v>16.09</v>
      </c>
      <c r="J1172" s="3" t="s">
        <v>54</v>
      </c>
    </row>
    <row r="1173" spans="1:10" s="3" customFormat="1" x14ac:dyDescent="0.25">
      <c r="A1173" s="2">
        <v>216</v>
      </c>
      <c r="B1173" s="3" t="s">
        <v>25</v>
      </c>
      <c r="C1173" s="3">
        <v>647</v>
      </c>
      <c r="D1173" s="3">
        <v>1</v>
      </c>
      <c r="E1173" s="3" t="s">
        <v>55</v>
      </c>
      <c r="F1173" s="3" t="s">
        <v>56</v>
      </c>
      <c r="G1173" s="3" t="str">
        <f>"2025-11-05 17:31:55.135"</f>
        <v>2025-11-05 17:31:55.135</v>
      </c>
      <c r="H1173" s="3" t="s">
        <v>21</v>
      </c>
    </row>
    <row r="1174" spans="1:10" s="3" customFormat="1" x14ac:dyDescent="0.25">
      <c r="A1174" s="2">
        <v>217</v>
      </c>
      <c r="B1174" s="3" t="s">
        <v>29</v>
      </c>
      <c r="C1174" s="3">
        <v>647</v>
      </c>
      <c r="D1174" s="3">
        <v>1</v>
      </c>
      <c r="E1174" s="3" t="s">
        <v>55</v>
      </c>
      <c r="F1174" s="3" t="s">
        <v>56</v>
      </c>
      <c r="G1174" s="3" t="str">
        <f>"2025-11-05 17:31:52.835"</f>
        <v>2025-11-05 17:31:52.835</v>
      </c>
      <c r="H1174" s="3" t="s">
        <v>21</v>
      </c>
      <c r="I1174" s="3">
        <v>11.39</v>
      </c>
      <c r="J1174" s="3" t="s">
        <v>54</v>
      </c>
    </row>
    <row r="1175" spans="1:10" x14ac:dyDescent="0.25">
      <c r="A1175" s="1">
        <v>218</v>
      </c>
      <c r="B1175" t="s">
        <v>25</v>
      </c>
      <c r="C1175">
        <v>635</v>
      </c>
      <c r="D1175">
        <v>1</v>
      </c>
      <c r="E1175" t="s">
        <v>45</v>
      </c>
      <c r="F1175" t="s">
        <v>27</v>
      </c>
      <c r="G1175" t="str">
        <f>"2025-11-05 05:31:43.234"</f>
        <v>2025-11-05 05:31:43.234</v>
      </c>
      <c r="H1175" t="s">
        <v>21</v>
      </c>
    </row>
    <row r="1176" spans="1:10" x14ac:dyDescent="0.25">
      <c r="A1176" s="1">
        <v>219</v>
      </c>
      <c r="B1176" t="s">
        <v>29</v>
      </c>
      <c r="C1176">
        <v>635</v>
      </c>
      <c r="D1176">
        <v>1</v>
      </c>
      <c r="E1176" t="s">
        <v>45</v>
      </c>
      <c r="F1176" t="s">
        <v>27</v>
      </c>
      <c r="G1176" t="str">
        <f>"2025-11-05 05:28:58.234"</f>
        <v>2025-11-05 05:28:58.234</v>
      </c>
      <c r="H1176" t="s">
        <v>21</v>
      </c>
      <c r="I1176">
        <v>2.65</v>
      </c>
      <c r="J1176" t="s">
        <v>54</v>
      </c>
    </row>
    <row r="1177" spans="1:10" s="3" customFormat="1" x14ac:dyDescent="0.25">
      <c r="A1177" s="2">
        <v>220</v>
      </c>
      <c r="B1177" s="3" t="s">
        <v>25</v>
      </c>
      <c r="C1177" s="3">
        <v>647</v>
      </c>
      <c r="D1177" s="3">
        <v>1</v>
      </c>
      <c r="E1177" s="3" t="s">
        <v>55</v>
      </c>
      <c r="F1177" s="3" t="s">
        <v>56</v>
      </c>
      <c r="G1177" s="3" t="str">
        <f>"2025-11-04 23:37:34.235"</f>
        <v>2025-11-04 23:37:34.235</v>
      </c>
      <c r="H1177" s="3" t="s">
        <v>21</v>
      </c>
    </row>
    <row r="1178" spans="1:10" s="3" customFormat="1" x14ac:dyDescent="0.25">
      <c r="A1178" s="2">
        <v>221</v>
      </c>
      <c r="B1178" s="3" t="s">
        <v>29</v>
      </c>
      <c r="C1178" s="3">
        <v>647</v>
      </c>
      <c r="D1178" s="3">
        <v>1</v>
      </c>
      <c r="E1178" s="3" t="s">
        <v>55</v>
      </c>
      <c r="F1178" s="3" t="s">
        <v>56</v>
      </c>
      <c r="G1178" s="3" t="str">
        <f>"2025-11-04 23:37:31.335"</f>
        <v>2025-11-04 23:37:31.335</v>
      </c>
      <c r="H1178" s="3" t="s">
        <v>21</v>
      </c>
      <c r="I1178" s="3">
        <v>11.16</v>
      </c>
      <c r="J1178" s="3" t="s">
        <v>54</v>
      </c>
    </row>
    <row r="1179" spans="1:10" x14ac:dyDescent="0.25">
      <c r="A1179" s="1">
        <v>222</v>
      </c>
      <c r="B1179" t="s">
        <v>25</v>
      </c>
      <c r="C1179">
        <v>635</v>
      </c>
      <c r="D1179">
        <v>1</v>
      </c>
      <c r="E1179" t="s">
        <v>45</v>
      </c>
      <c r="F1179" t="s">
        <v>27</v>
      </c>
      <c r="G1179" t="str">
        <f>"2025-11-04 19:32:56.034"</f>
        <v>2025-11-04 19:32:56.034</v>
      </c>
      <c r="H1179" t="s">
        <v>21</v>
      </c>
    </row>
    <row r="1180" spans="1:10" x14ac:dyDescent="0.25">
      <c r="A1180" s="1">
        <v>223</v>
      </c>
      <c r="B1180" t="s">
        <v>29</v>
      </c>
      <c r="C1180">
        <v>635</v>
      </c>
      <c r="D1180">
        <v>1</v>
      </c>
      <c r="E1180" t="s">
        <v>45</v>
      </c>
      <c r="F1180" t="s">
        <v>27</v>
      </c>
      <c r="G1180" t="str">
        <f>"2025-11-04 19:05:35.134"</f>
        <v>2025-11-04 19:05:35.134</v>
      </c>
      <c r="H1180" t="s">
        <v>21</v>
      </c>
      <c r="I1180">
        <v>9.5299999999999994</v>
      </c>
      <c r="J1180" t="s">
        <v>54</v>
      </c>
    </row>
    <row r="1181" spans="1:10" x14ac:dyDescent="0.25">
      <c r="A1181" s="1">
        <v>224</v>
      </c>
      <c r="B1181" t="s">
        <v>25</v>
      </c>
      <c r="C1181">
        <v>635</v>
      </c>
      <c r="D1181">
        <v>1</v>
      </c>
      <c r="E1181" t="s">
        <v>45</v>
      </c>
      <c r="F1181" t="s">
        <v>27</v>
      </c>
      <c r="G1181" t="str">
        <f>"2025-11-03 22:16:59.734"</f>
        <v>2025-11-03 22:16:59.734</v>
      </c>
      <c r="H1181" t="s">
        <v>21</v>
      </c>
    </row>
    <row r="1182" spans="1:10" x14ac:dyDescent="0.25">
      <c r="A1182" s="1">
        <v>225</v>
      </c>
      <c r="B1182" t="s">
        <v>29</v>
      </c>
      <c r="C1182">
        <v>635</v>
      </c>
      <c r="D1182">
        <v>1</v>
      </c>
      <c r="E1182" t="s">
        <v>45</v>
      </c>
      <c r="F1182" t="s">
        <v>27</v>
      </c>
      <c r="G1182" t="str">
        <f>"2025-11-03 22:14:00.734"</f>
        <v>2025-11-03 22:14:00.734</v>
      </c>
      <c r="H1182" t="s">
        <v>21</v>
      </c>
      <c r="I1182">
        <v>4.0199999999999996</v>
      </c>
      <c r="J1182" t="s">
        <v>42</v>
      </c>
    </row>
    <row r="1183" spans="1:10" x14ac:dyDescent="0.25">
      <c r="A1183" s="1">
        <v>226</v>
      </c>
      <c r="B1183" t="s">
        <v>25</v>
      </c>
      <c r="C1183">
        <v>635</v>
      </c>
      <c r="D1183">
        <v>1</v>
      </c>
      <c r="E1183" t="s">
        <v>45</v>
      </c>
      <c r="F1183" t="s">
        <v>27</v>
      </c>
      <c r="G1183" t="str">
        <f>"2025-11-03 21:22:35.334"</f>
        <v>2025-11-03 21:22:35.334</v>
      </c>
      <c r="H1183" t="s">
        <v>21</v>
      </c>
    </row>
    <row r="1184" spans="1:10" x14ac:dyDescent="0.25">
      <c r="A1184" s="1">
        <v>227</v>
      </c>
      <c r="B1184" t="s">
        <v>29</v>
      </c>
      <c r="C1184">
        <v>635</v>
      </c>
      <c r="D1184">
        <v>1</v>
      </c>
      <c r="E1184" t="s">
        <v>45</v>
      </c>
      <c r="F1184" t="s">
        <v>27</v>
      </c>
      <c r="G1184" t="str">
        <f>"2025-11-03 21:20:01.834"</f>
        <v>2025-11-03 21:20:01.834</v>
      </c>
      <c r="H1184" t="s">
        <v>21</v>
      </c>
      <c r="I1184">
        <v>4.08</v>
      </c>
      <c r="J1184" t="s">
        <v>42</v>
      </c>
    </row>
    <row r="1185" spans="1:10" s="3" customFormat="1" x14ac:dyDescent="0.25">
      <c r="A1185" s="2">
        <v>228</v>
      </c>
      <c r="B1185" s="3" t="s">
        <v>25</v>
      </c>
      <c r="C1185" s="3">
        <v>647</v>
      </c>
      <c r="D1185" s="3">
        <v>1</v>
      </c>
      <c r="E1185" s="3" t="s">
        <v>55</v>
      </c>
      <c r="F1185" s="3" t="s">
        <v>56</v>
      </c>
      <c r="G1185" s="3" t="str">
        <f>"2025-11-03 17:13:02.635"</f>
        <v>2025-11-03 17:13:02.635</v>
      </c>
      <c r="H1185" s="3" t="s">
        <v>21</v>
      </c>
    </row>
    <row r="1186" spans="1:10" s="3" customFormat="1" x14ac:dyDescent="0.25">
      <c r="A1186" s="2">
        <v>229</v>
      </c>
      <c r="B1186" s="3" t="s">
        <v>29</v>
      </c>
      <c r="C1186" s="3">
        <v>647</v>
      </c>
      <c r="D1186" s="3">
        <v>1</v>
      </c>
      <c r="E1186" s="3" t="s">
        <v>55</v>
      </c>
      <c r="F1186" s="3" t="s">
        <v>56</v>
      </c>
      <c r="G1186" s="3" t="str">
        <f>"2025-11-03 17:13:00.935"</f>
        <v>2025-11-03 17:13:00.935</v>
      </c>
      <c r="H1186" s="3" t="s">
        <v>21</v>
      </c>
      <c r="I1186" s="3">
        <v>19.489999999999998</v>
      </c>
      <c r="J1186" s="3" t="s">
        <v>54</v>
      </c>
    </row>
    <row r="1187" spans="1:10" x14ac:dyDescent="0.25">
      <c r="A1187" s="1">
        <v>230</v>
      </c>
      <c r="B1187" t="s">
        <v>19</v>
      </c>
      <c r="C1187">
        <v>706</v>
      </c>
      <c r="D1187">
        <v>4</v>
      </c>
      <c r="E1187" t="s">
        <v>22</v>
      </c>
      <c r="F1187" t="s">
        <v>31</v>
      </c>
      <c r="G1187" t="str">
        <f>"2025-11-03 00:00:22.664"</f>
        <v>2025-11-03 00:00:22.664</v>
      </c>
      <c r="H1187" t="s">
        <v>21</v>
      </c>
      <c r="I1187">
        <v>0</v>
      </c>
      <c r="J1187" t="s">
        <v>24</v>
      </c>
    </row>
    <row r="1188" spans="1:10" x14ac:dyDescent="0.25">
      <c r="A1188" s="1">
        <v>231</v>
      </c>
      <c r="B1188" t="s">
        <v>19</v>
      </c>
      <c r="C1188">
        <v>706</v>
      </c>
      <c r="D1188">
        <v>3</v>
      </c>
      <c r="E1188" t="s">
        <v>22</v>
      </c>
      <c r="F1188" t="s">
        <v>23</v>
      </c>
      <c r="G1188" t="str">
        <f>"2025-11-03 00:00:09.354"</f>
        <v>2025-11-03 00:00:09.354</v>
      </c>
      <c r="H1188" t="s">
        <v>21</v>
      </c>
      <c r="I1188">
        <v>0</v>
      </c>
      <c r="J1188" t="s">
        <v>24</v>
      </c>
    </row>
    <row r="1189" spans="1:10" x14ac:dyDescent="0.25">
      <c r="A1189" s="1">
        <v>232</v>
      </c>
      <c r="B1189" t="s">
        <v>19</v>
      </c>
      <c r="C1189">
        <v>706</v>
      </c>
      <c r="D1189">
        <v>3</v>
      </c>
      <c r="E1189" t="s">
        <v>22</v>
      </c>
      <c r="F1189" t="s">
        <v>23</v>
      </c>
      <c r="G1189" t="str">
        <f>"2025-11-02 23:59:16.754"</f>
        <v>2025-11-02 23:59:16.754</v>
      </c>
      <c r="H1189" t="s">
        <v>21</v>
      </c>
      <c r="I1189">
        <v>0</v>
      </c>
      <c r="J1189" t="s">
        <v>24</v>
      </c>
    </row>
    <row r="1190" spans="1:10" x14ac:dyDescent="0.25">
      <c r="A1190" s="1">
        <v>233</v>
      </c>
      <c r="B1190" t="s">
        <v>19</v>
      </c>
      <c r="C1190">
        <v>706</v>
      </c>
      <c r="D1190">
        <v>3</v>
      </c>
      <c r="E1190" t="s">
        <v>22</v>
      </c>
      <c r="F1190" t="s">
        <v>23</v>
      </c>
      <c r="G1190" t="str">
        <f>"2025-11-02 23:58:15.254"</f>
        <v>2025-11-02 23:58:15.254</v>
      </c>
      <c r="H1190" t="s">
        <v>21</v>
      </c>
      <c r="I1190">
        <v>0</v>
      </c>
      <c r="J1190" t="s">
        <v>24</v>
      </c>
    </row>
    <row r="1191" spans="1:10" x14ac:dyDescent="0.25">
      <c r="A1191" s="1">
        <v>234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"2025-11-02 23:57:18.954"</f>
        <v>2025-11-02 23:57:18.954</v>
      </c>
      <c r="H1191" t="s">
        <v>21</v>
      </c>
    </row>
    <row r="1192" spans="1:10" x14ac:dyDescent="0.25">
      <c r="A1192" s="1">
        <v>235</v>
      </c>
      <c r="B1192" t="s">
        <v>19</v>
      </c>
      <c r="C1192">
        <v>706</v>
      </c>
      <c r="D1192">
        <v>2</v>
      </c>
      <c r="E1192" t="s">
        <v>22</v>
      </c>
      <c r="F1192" t="s">
        <v>53</v>
      </c>
      <c r="G1192" t="str">
        <f>"2025-11-02 23:44:55.292"</f>
        <v>2025-11-02 23:44:55.292</v>
      </c>
      <c r="H1192" t="s">
        <v>21</v>
      </c>
      <c r="I1192">
        <v>0</v>
      </c>
      <c r="J1192" t="s">
        <v>24</v>
      </c>
    </row>
    <row r="1193" spans="1:10" x14ac:dyDescent="0.25">
      <c r="A1193" s="1">
        <v>236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"2025-11-02 23:40:23.952"</f>
        <v>2025-11-02 23:40:23.952</v>
      </c>
      <c r="H1193" t="s">
        <v>21</v>
      </c>
    </row>
    <row r="1194" spans="1:10" x14ac:dyDescent="0.25">
      <c r="A1194" s="1">
        <v>237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"2025-11-02 23:24:36.973"</f>
        <v>2025-11-02 23:24:36.973</v>
      </c>
      <c r="H1194" t="s">
        <v>21</v>
      </c>
      <c r="I1194">
        <v>0</v>
      </c>
      <c r="J1194" t="s">
        <v>32</v>
      </c>
    </row>
    <row r="1195" spans="1:10" x14ac:dyDescent="0.25">
      <c r="A1195" s="1">
        <v>238</v>
      </c>
      <c r="B1195" t="s">
        <v>33</v>
      </c>
      <c r="C1195">
        <v>630</v>
      </c>
      <c r="D1195">
        <v>5</v>
      </c>
      <c r="E1195" t="s">
        <v>51</v>
      </c>
      <c r="F1195" t="s">
        <v>52</v>
      </c>
      <c r="G1195" t="str">
        <f>"2025-11-02 23:20:14.042"</f>
        <v>2025-11-02 23:20:14.042</v>
      </c>
      <c r="H1195" t="s">
        <v>40</v>
      </c>
      <c r="I1195">
        <v>0</v>
      </c>
      <c r="J1195" t="s">
        <v>24</v>
      </c>
    </row>
    <row r="1196" spans="1:10" x14ac:dyDescent="0.25">
      <c r="A1196" s="1">
        <v>239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"2025-11-02 23:15:11.334"</f>
        <v>2025-11-02 23:15:11.334</v>
      </c>
      <c r="H1196" t="s">
        <v>21</v>
      </c>
      <c r="I1196">
        <v>0</v>
      </c>
      <c r="J1196" t="s">
        <v>32</v>
      </c>
    </row>
    <row r="1197" spans="1:10" x14ac:dyDescent="0.25">
      <c r="A1197" s="1">
        <v>240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"2025-11-02 11:26:03.981"</f>
        <v>2025-11-02 11:26:03.981</v>
      </c>
      <c r="H1197" t="s">
        <v>21</v>
      </c>
    </row>
    <row r="1198" spans="1:10" x14ac:dyDescent="0.25">
      <c r="A1198" s="1">
        <v>241</v>
      </c>
      <c r="B1198" t="s">
        <v>25</v>
      </c>
      <c r="C1198">
        <v>635</v>
      </c>
      <c r="D1198">
        <v>1</v>
      </c>
      <c r="E1198" t="s">
        <v>45</v>
      </c>
      <c r="F1198" t="s">
        <v>27</v>
      </c>
      <c r="G1198" t="str">
        <f>"2025-11-02 10:24:46.277"</f>
        <v>2025-11-02 10:24:46.277</v>
      </c>
      <c r="H1198" t="s">
        <v>21</v>
      </c>
    </row>
    <row r="1199" spans="1:10" x14ac:dyDescent="0.25">
      <c r="A1199" s="1">
        <v>242</v>
      </c>
      <c r="B1199" t="s">
        <v>29</v>
      </c>
      <c r="C1199">
        <v>635</v>
      </c>
      <c r="D1199">
        <v>1</v>
      </c>
      <c r="E1199" t="s">
        <v>45</v>
      </c>
      <c r="F1199" t="s">
        <v>27</v>
      </c>
      <c r="G1199" t="str">
        <f>"2025-11-02 10:22:27.777"</f>
        <v>2025-11-02 10:22:27.777</v>
      </c>
      <c r="H1199" t="s">
        <v>21</v>
      </c>
      <c r="I1199">
        <v>7.23</v>
      </c>
      <c r="J1199" t="s">
        <v>42</v>
      </c>
    </row>
    <row r="1200" spans="1:10" s="3" customFormat="1" x14ac:dyDescent="0.25">
      <c r="A1200" s="2">
        <v>243</v>
      </c>
      <c r="B1200" s="3" t="s">
        <v>25</v>
      </c>
      <c r="C1200" s="3">
        <v>647</v>
      </c>
      <c r="D1200" s="3">
        <v>1</v>
      </c>
      <c r="E1200" s="3" t="s">
        <v>55</v>
      </c>
      <c r="F1200" s="3" t="s">
        <v>56</v>
      </c>
      <c r="G1200" s="3" t="str">
        <f>"2025-11-02 02:38:11.877"</f>
        <v>2025-11-02 02:38:11.877</v>
      </c>
      <c r="H1200" s="3" t="s">
        <v>21</v>
      </c>
    </row>
    <row r="1201" spans="1:10" s="3" customFormat="1" x14ac:dyDescent="0.25">
      <c r="A1201" s="2">
        <v>244</v>
      </c>
      <c r="B1201" s="3" t="s">
        <v>29</v>
      </c>
      <c r="C1201" s="3">
        <v>647</v>
      </c>
      <c r="D1201" s="3">
        <v>1</v>
      </c>
      <c r="E1201" s="3" t="s">
        <v>55</v>
      </c>
      <c r="F1201" s="3" t="s">
        <v>56</v>
      </c>
      <c r="G1201" s="3" t="str">
        <f>"2025-11-02 02:38:04.177"</f>
        <v>2025-11-02 02:38:04.177</v>
      </c>
      <c r="H1201" s="3" t="s">
        <v>21</v>
      </c>
      <c r="I1201" s="3">
        <v>17.84</v>
      </c>
      <c r="J1201" s="3" t="s">
        <v>54</v>
      </c>
    </row>
    <row r="1202" spans="1:10" s="3" customFormat="1" x14ac:dyDescent="0.25">
      <c r="A1202" s="2">
        <v>245</v>
      </c>
      <c r="B1202" s="3" t="s">
        <v>25</v>
      </c>
      <c r="C1202" s="3">
        <v>647</v>
      </c>
      <c r="D1202" s="3">
        <v>1</v>
      </c>
      <c r="E1202" s="3" t="s">
        <v>55</v>
      </c>
      <c r="F1202" s="3" t="s">
        <v>56</v>
      </c>
      <c r="G1202" s="3" t="str">
        <f>"2025-11-01 22:10:40.577"</f>
        <v>2025-11-01 22:10:40.577</v>
      </c>
      <c r="H1202" s="3" t="s">
        <v>21</v>
      </c>
    </row>
    <row r="1203" spans="1:10" s="3" customFormat="1" x14ac:dyDescent="0.25">
      <c r="A1203" s="2">
        <v>246</v>
      </c>
      <c r="B1203" s="3" t="s">
        <v>29</v>
      </c>
      <c r="C1203" s="3">
        <v>647</v>
      </c>
      <c r="D1203" s="3">
        <v>1</v>
      </c>
      <c r="E1203" s="3" t="s">
        <v>55</v>
      </c>
      <c r="F1203" s="3" t="s">
        <v>56</v>
      </c>
      <c r="G1203" s="3" t="str">
        <f>"2025-11-01 22:10:32.277"</f>
        <v>2025-11-01 22:10:32.277</v>
      </c>
      <c r="H1203" s="3" t="s">
        <v>21</v>
      </c>
      <c r="I1203" s="3">
        <v>20.149999999999999</v>
      </c>
      <c r="J1203" s="3" t="s">
        <v>54</v>
      </c>
    </row>
    <row r="1204" spans="1:10" s="3" customFormat="1" x14ac:dyDescent="0.25">
      <c r="A1204" s="2">
        <v>247</v>
      </c>
      <c r="B1204" s="3" t="s">
        <v>25</v>
      </c>
      <c r="C1204" s="3">
        <v>647</v>
      </c>
      <c r="D1204" s="3">
        <v>1</v>
      </c>
      <c r="E1204" s="3" t="s">
        <v>55</v>
      </c>
      <c r="F1204" s="3" t="s">
        <v>56</v>
      </c>
      <c r="G1204" s="3" t="str">
        <f>"2025-11-01 07:27:58.577"</f>
        <v>2025-11-01 07:27:58.577</v>
      </c>
      <c r="H1204" s="3" t="s">
        <v>21</v>
      </c>
    </row>
    <row r="1205" spans="1:10" s="3" customFormat="1" x14ac:dyDescent="0.25">
      <c r="A1205" s="2">
        <v>248</v>
      </c>
      <c r="B1205" s="3" t="s">
        <v>29</v>
      </c>
      <c r="C1205" s="3">
        <v>647</v>
      </c>
      <c r="D1205" s="3">
        <v>1</v>
      </c>
      <c r="E1205" s="3" t="s">
        <v>55</v>
      </c>
      <c r="F1205" s="3" t="s">
        <v>56</v>
      </c>
      <c r="G1205" s="3" t="str">
        <f>"2025-11-01 07:27:45.277"</f>
        <v>2025-11-01 07:27:45.277</v>
      </c>
      <c r="H1205" s="3" t="s">
        <v>21</v>
      </c>
      <c r="I1205" s="3">
        <v>14.05</v>
      </c>
      <c r="J1205" s="3" t="s">
        <v>54</v>
      </c>
    </row>
    <row r="1206" spans="1:10" x14ac:dyDescent="0.25">
      <c r="A1206" s="1">
        <v>249</v>
      </c>
      <c r="B1206" t="s">
        <v>25</v>
      </c>
      <c r="C1206">
        <v>635</v>
      </c>
      <c r="D1206">
        <v>1</v>
      </c>
      <c r="E1206" t="s">
        <v>45</v>
      </c>
      <c r="F1206" t="s">
        <v>27</v>
      </c>
      <c r="G1206" t="str">
        <f>"2025-11-01 04:43:18.177"</f>
        <v>2025-11-01 04:43:18.177</v>
      </c>
      <c r="H1206" t="s">
        <v>21</v>
      </c>
    </row>
    <row r="1207" spans="1:10" x14ac:dyDescent="0.25">
      <c r="A1207" s="1">
        <v>250</v>
      </c>
      <c r="B1207" t="s">
        <v>29</v>
      </c>
      <c r="C1207">
        <v>635</v>
      </c>
      <c r="D1207">
        <v>1</v>
      </c>
      <c r="E1207" t="s">
        <v>45</v>
      </c>
      <c r="F1207" t="s">
        <v>27</v>
      </c>
      <c r="G1207" t="str">
        <f>"2025-11-01 04:40:33.677"</f>
        <v>2025-11-01 04:40:33.677</v>
      </c>
      <c r="H1207" t="s">
        <v>21</v>
      </c>
      <c r="I1207">
        <v>-0.03</v>
      </c>
      <c r="J1207" t="s">
        <v>37</v>
      </c>
    </row>
    <row r="1208" spans="1:10" s="3" customFormat="1" x14ac:dyDescent="0.25">
      <c r="A1208" s="2">
        <v>251</v>
      </c>
      <c r="B1208" s="3" t="s">
        <v>25</v>
      </c>
      <c r="C1208" s="3">
        <v>647</v>
      </c>
      <c r="D1208" s="3">
        <v>1</v>
      </c>
      <c r="E1208" s="3" t="s">
        <v>55</v>
      </c>
      <c r="F1208" s="3" t="s">
        <v>56</v>
      </c>
      <c r="G1208" s="3" t="str">
        <f>"2025-11-01 04:29:06.377"</f>
        <v>2025-11-01 04:29:06.377</v>
      </c>
      <c r="H1208" s="3" t="s">
        <v>21</v>
      </c>
    </row>
    <row r="1209" spans="1:10" s="3" customFormat="1" x14ac:dyDescent="0.25">
      <c r="A1209" s="2">
        <v>252</v>
      </c>
      <c r="B1209" s="3" t="s">
        <v>29</v>
      </c>
      <c r="C1209" s="3">
        <v>647</v>
      </c>
      <c r="D1209" s="3">
        <v>1</v>
      </c>
      <c r="E1209" s="3" t="s">
        <v>55</v>
      </c>
      <c r="F1209" s="3" t="s">
        <v>56</v>
      </c>
      <c r="G1209" s="3" t="str">
        <f>"2025-11-01 04:29:02.877"</f>
        <v>2025-11-01 04:29:02.877</v>
      </c>
      <c r="H1209" s="3" t="s">
        <v>21</v>
      </c>
      <c r="I1209" s="3">
        <v>8.8699999999999992</v>
      </c>
      <c r="J1209" s="3" t="s">
        <v>54</v>
      </c>
    </row>
    <row r="1210" spans="1:10" s="3" customFormat="1" x14ac:dyDescent="0.25">
      <c r="A1210" s="2">
        <v>253</v>
      </c>
      <c r="B1210" s="3" t="s">
        <v>25</v>
      </c>
      <c r="C1210" s="3">
        <v>647</v>
      </c>
      <c r="D1210" s="3">
        <v>1</v>
      </c>
      <c r="E1210" s="3" t="s">
        <v>55</v>
      </c>
      <c r="F1210" s="3" t="s">
        <v>56</v>
      </c>
      <c r="G1210" s="3" t="str">
        <f>"2025-11-01 03:09:51.877"</f>
        <v>2025-11-01 03:09:51.877</v>
      </c>
      <c r="H1210" s="3" t="s">
        <v>21</v>
      </c>
    </row>
    <row r="1211" spans="1:10" s="3" customFormat="1" x14ac:dyDescent="0.25">
      <c r="A1211" s="2">
        <v>254</v>
      </c>
      <c r="B1211" s="3" t="s">
        <v>29</v>
      </c>
      <c r="C1211" s="3">
        <v>647</v>
      </c>
      <c r="D1211" s="3">
        <v>1</v>
      </c>
      <c r="E1211" s="3" t="s">
        <v>55</v>
      </c>
      <c r="F1211" s="3" t="s">
        <v>56</v>
      </c>
      <c r="G1211" s="3" t="str">
        <f>"2025-11-01 03:09:48.877"</f>
        <v>2025-11-01 03:09:48.877</v>
      </c>
      <c r="H1211" s="3" t="s">
        <v>21</v>
      </c>
      <c r="I1211" s="3">
        <v>16.190000000000001</v>
      </c>
      <c r="J1211" s="3" t="s">
        <v>54</v>
      </c>
    </row>
    <row r="1212" spans="1:10" x14ac:dyDescent="0.25">
      <c r="A1212" s="1">
        <v>255</v>
      </c>
      <c r="B1212" t="s">
        <v>25</v>
      </c>
      <c r="C1212">
        <v>635</v>
      </c>
      <c r="D1212">
        <v>1</v>
      </c>
      <c r="E1212" t="s">
        <v>45</v>
      </c>
      <c r="F1212" t="s">
        <v>27</v>
      </c>
      <c r="G1212" t="str">
        <f>"2025-10-31 23:01:36.677"</f>
        <v>2025-10-31 23:01:36.677</v>
      </c>
      <c r="H1212" t="s">
        <v>21</v>
      </c>
    </row>
    <row r="1213" spans="1:10" x14ac:dyDescent="0.25">
      <c r="A1213" s="1">
        <v>256</v>
      </c>
      <c r="B1213" t="s">
        <v>29</v>
      </c>
      <c r="C1213">
        <v>635</v>
      </c>
      <c r="D1213">
        <v>1</v>
      </c>
      <c r="E1213" t="s">
        <v>45</v>
      </c>
      <c r="F1213" t="s">
        <v>27</v>
      </c>
      <c r="G1213" t="str">
        <f>"2025-10-31 22:57:19.177"</f>
        <v>2025-10-31 22:57:19.177</v>
      </c>
      <c r="H1213" t="s">
        <v>21</v>
      </c>
      <c r="I1213">
        <v>1.36</v>
      </c>
      <c r="J1213" t="s">
        <v>42</v>
      </c>
    </row>
    <row r="1214" spans="1:10" s="3" customFormat="1" x14ac:dyDescent="0.25">
      <c r="A1214" s="2">
        <v>257</v>
      </c>
      <c r="B1214" s="3" t="s">
        <v>25</v>
      </c>
      <c r="C1214" s="3">
        <v>647</v>
      </c>
      <c r="D1214" s="3">
        <v>1</v>
      </c>
      <c r="E1214" s="3" t="s">
        <v>55</v>
      </c>
      <c r="F1214" s="3" t="s">
        <v>56</v>
      </c>
      <c r="G1214" s="3" t="str">
        <f>"2025-10-31 20:50:29.577"</f>
        <v>2025-10-31 20:50:29.577</v>
      </c>
      <c r="H1214" s="3" t="s">
        <v>21</v>
      </c>
    </row>
    <row r="1215" spans="1:10" s="3" customFormat="1" x14ac:dyDescent="0.25">
      <c r="A1215" s="2">
        <v>258</v>
      </c>
      <c r="B1215" s="3" t="s">
        <v>29</v>
      </c>
      <c r="C1215" s="3">
        <v>647</v>
      </c>
      <c r="D1215" s="3">
        <v>1</v>
      </c>
      <c r="E1215" s="3" t="s">
        <v>55</v>
      </c>
      <c r="F1215" s="3" t="s">
        <v>56</v>
      </c>
      <c r="G1215" s="3" t="str">
        <f>"2025-10-31 20:50:25.278"</f>
        <v>2025-10-31 20:50:25.278</v>
      </c>
      <c r="H1215" s="3" t="s">
        <v>21</v>
      </c>
      <c r="I1215" s="3">
        <v>31.32</v>
      </c>
      <c r="J1215" s="3" t="s">
        <v>54</v>
      </c>
    </row>
    <row r="1216" spans="1:10" x14ac:dyDescent="0.25">
      <c r="A1216" s="1">
        <v>259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"2025-10-31 13:07:04.110"</f>
        <v>2025-10-31 13:07:04.110</v>
      </c>
      <c r="H1216" t="s">
        <v>21</v>
      </c>
      <c r="I1216">
        <v>0</v>
      </c>
      <c r="J1216" t="s">
        <v>32</v>
      </c>
    </row>
    <row r="1217" spans="1:10" s="3" customFormat="1" x14ac:dyDescent="0.25">
      <c r="A1217" s="2">
        <v>260</v>
      </c>
      <c r="B1217" s="3" t="s">
        <v>25</v>
      </c>
      <c r="C1217" s="3">
        <v>647</v>
      </c>
      <c r="D1217" s="3">
        <v>1</v>
      </c>
      <c r="E1217" s="3" t="s">
        <v>55</v>
      </c>
      <c r="F1217" s="3" t="s">
        <v>56</v>
      </c>
      <c r="G1217" s="3" t="str">
        <f>"2025-10-31 05:58:30.630"</f>
        <v>2025-10-31 05:58:30.630</v>
      </c>
      <c r="H1217" s="3" t="s">
        <v>21</v>
      </c>
    </row>
    <row r="1218" spans="1:10" s="3" customFormat="1" x14ac:dyDescent="0.25">
      <c r="A1218" s="2">
        <v>261</v>
      </c>
      <c r="B1218" s="3" t="s">
        <v>29</v>
      </c>
      <c r="C1218" s="3">
        <v>647</v>
      </c>
      <c r="D1218" s="3">
        <v>1</v>
      </c>
      <c r="E1218" s="3" t="s">
        <v>55</v>
      </c>
      <c r="F1218" s="3" t="s">
        <v>56</v>
      </c>
      <c r="G1218" s="3" t="str">
        <f>"2025-10-31 05:58:20.730"</f>
        <v>2025-10-31 05:58:20.730</v>
      </c>
      <c r="H1218" s="3" t="s">
        <v>21</v>
      </c>
      <c r="I1218" s="3">
        <v>13.74</v>
      </c>
      <c r="J1218" s="3" t="s">
        <v>54</v>
      </c>
    </row>
    <row r="1219" spans="1:10" s="3" customFormat="1" x14ac:dyDescent="0.25">
      <c r="A1219" s="2">
        <v>262</v>
      </c>
      <c r="B1219" s="3" t="s">
        <v>25</v>
      </c>
      <c r="C1219" s="3">
        <v>647</v>
      </c>
      <c r="D1219" s="3">
        <v>1</v>
      </c>
      <c r="E1219" s="3" t="s">
        <v>55</v>
      </c>
      <c r="F1219" s="3" t="s">
        <v>56</v>
      </c>
      <c r="G1219" s="3" t="str">
        <f>"2025-10-30 04:51:58.230"</f>
        <v>2025-10-30 04:51:58.230</v>
      </c>
      <c r="H1219" s="3" t="s">
        <v>21</v>
      </c>
    </row>
    <row r="1220" spans="1:10" s="3" customFormat="1" x14ac:dyDescent="0.25">
      <c r="A1220" s="2">
        <v>263</v>
      </c>
      <c r="B1220" s="3" t="s">
        <v>29</v>
      </c>
      <c r="C1220" s="3">
        <v>647</v>
      </c>
      <c r="D1220" s="3">
        <v>1</v>
      </c>
      <c r="E1220" s="3" t="s">
        <v>55</v>
      </c>
      <c r="F1220" s="3" t="s">
        <v>56</v>
      </c>
      <c r="G1220" s="3" t="str">
        <f>"2025-10-30 04:51:48.530"</f>
        <v>2025-10-30 04:51:48.530</v>
      </c>
      <c r="H1220" s="3" t="s">
        <v>21</v>
      </c>
      <c r="I1220" s="3">
        <v>26.09</v>
      </c>
      <c r="J1220" s="3" t="s">
        <v>54</v>
      </c>
    </row>
    <row r="1221" spans="1:10" s="3" customFormat="1" x14ac:dyDescent="0.25">
      <c r="A1221" s="2">
        <v>264</v>
      </c>
      <c r="B1221" s="3" t="s">
        <v>25</v>
      </c>
      <c r="C1221" s="3">
        <v>647</v>
      </c>
      <c r="D1221" s="3">
        <v>1</v>
      </c>
      <c r="E1221" s="3" t="s">
        <v>55</v>
      </c>
      <c r="F1221" s="3" t="s">
        <v>56</v>
      </c>
      <c r="G1221" s="3" t="str">
        <f>"2025-10-29 20:57:46.030"</f>
        <v>2025-10-29 20:57:46.030</v>
      </c>
      <c r="H1221" s="3" t="s">
        <v>21</v>
      </c>
    </row>
    <row r="1222" spans="1:10" s="3" customFormat="1" x14ac:dyDescent="0.25">
      <c r="A1222" s="2">
        <v>265</v>
      </c>
      <c r="B1222" s="3" t="s">
        <v>29</v>
      </c>
      <c r="C1222" s="3">
        <v>647</v>
      </c>
      <c r="D1222" s="3">
        <v>1</v>
      </c>
      <c r="E1222" s="3" t="s">
        <v>55</v>
      </c>
      <c r="F1222" s="3" t="s">
        <v>56</v>
      </c>
      <c r="G1222" s="3" t="str">
        <f>"2025-10-29 20:57:42.130"</f>
        <v>2025-10-29 20:57:42.130</v>
      </c>
      <c r="H1222" s="3" t="s">
        <v>21</v>
      </c>
      <c r="I1222" s="3">
        <v>16.5</v>
      </c>
      <c r="J1222" s="3" t="s">
        <v>54</v>
      </c>
    </row>
    <row r="1223" spans="1:10" x14ac:dyDescent="0.25">
      <c r="A1223" s="1">
        <v>266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"2025-10-29 13:00:08.958"</f>
        <v>2025-10-29 13:00:08.958</v>
      </c>
      <c r="H1223" t="s">
        <v>21</v>
      </c>
      <c r="I1223">
        <v>0</v>
      </c>
      <c r="J1223" t="s">
        <v>32</v>
      </c>
    </row>
    <row r="1224" spans="1:10" x14ac:dyDescent="0.25">
      <c r="A1224" s="1">
        <v>267</v>
      </c>
      <c r="B1224" t="s">
        <v>19</v>
      </c>
      <c r="C1224">
        <v>706</v>
      </c>
      <c r="D1224">
        <v>2</v>
      </c>
      <c r="E1224" t="s">
        <v>22</v>
      </c>
      <c r="F1224" t="s">
        <v>53</v>
      </c>
      <c r="G1224" t="str">
        <f>"2025-10-28 20:23:48.938"</f>
        <v>2025-10-28 20:23:48.938</v>
      </c>
      <c r="H1224" t="s">
        <v>21</v>
      </c>
      <c r="I1224">
        <v>0</v>
      </c>
      <c r="J1224" t="s">
        <v>24</v>
      </c>
    </row>
    <row r="1225" spans="1:10" x14ac:dyDescent="0.25">
      <c r="A1225" s="1">
        <v>268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"2025-10-28 20:23:32.978"</f>
        <v>2025-10-28 20:23:32.978</v>
      </c>
      <c r="H1225" t="s">
        <v>21</v>
      </c>
    </row>
    <row r="1226" spans="1:10" x14ac:dyDescent="0.25">
      <c r="A1226" s="1">
        <v>269</v>
      </c>
      <c r="B1226" t="s">
        <v>25</v>
      </c>
      <c r="C1226">
        <v>635</v>
      </c>
      <c r="D1226">
        <v>1</v>
      </c>
      <c r="E1226" t="s">
        <v>45</v>
      </c>
      <c r="F1226" t="s">
        <v>27</v>
      </c>
      <c r="G1226" t="str">
        <f>"2025-10-28 02:17:10.813"</f>
        <v>2025-10-28 02:17:10.813</v>
      </c>
      <c r="H1226" t="s">
        <v>21</v>
      </c>
    </row>
    <row r="1227" spans="1:10" x14ac:dyDescent="0.25">
      <c r="A1227" s="1">
        <v>270</v>
      </c>
      <c r="B1227" t="s">
        <v>29</v>
      </c>
      <c r="C1227">
        <v>635</v>
      </c>
      <c r="D1227">
        <v>1</v>
      </c>
      <c r="E1227" t="s">
        <v>45</v>
      </c>
      <c r="F1227" t="s">
        <v>27</v>
      </c>
      <c r="G1227" t="str">
        <f>"2025-10-28 02:14:05.813"</f>
        <v>2025-10-28 02:14:05.813</v>
      </c>
      <c r="H1227" t="s">
        <v>21</v>
      </c>
      <c r="I1227">
        <v>7.0000000000000007E-2</v>
      </c>
      <c r="J1227" t="s">
        <v>37</v>
      </c>
    </row>
    <row r="1228" spans="1:10" s="3" customFormat="1" x14ac:dyDescent="0.25">
      <c r="A1228" s="2">
        <v>271</v>
      </c>
      <c r="B1228" s="3" t="s">
        <v>25</v>
      </c>
      <c r="C1228" s="3">
        <v>647</v>
      </c>
      <c r="D1228" s="3">
        <v>1</v>
      </c>
      <c r="E1228" s="3" t="s">
        <v>55</v>
      </c>
      <c r="F1228" s="3" t="s">
        <v>56</v>
      </c>
      <c r="G1228" s="3" t="str">
        <f>"2025-10-28 01:11:48.513"</f>
        <v>2025-10-28 01:11:48.513</v>
      </c>
      <c r="H1228" s="3" t="s">
        <v>21</v>
      </c>
    </row>
    <row r="1229" spans="1:10" s="3" customFormat="1" x14ac:dyDescent="0.25">
      <c r="A1229" s="2">
        <v>272</v>
      </c>
      <c r="B1229" s="3" t="s">
        <v>29</v>
      </c>
      <c r="C1229" s="3">
        <v>647</v>
      </c>
      <c r="D1229" s="3">
        <v>1</v>
      </c>
      <c r="E1229" s="3" t="s">
        <v>55</v>
      </c>
      <c r="F1229" s="3" t="s">
        <v>56</v>
      </c>
      <c r="G1229" s="3" t="str">
        <f>"2025-10-28 01:11:43.613"</f>
        <v>2025-10-28 01:11:43.613</v>
      </c>
      <c r="H1229" s="3" t="s">
        <v>21</v>
      </c>
      <c r="I1229" s="3">
        <v>13.09</v>
      </c>
      <c r="J1229" s="3" t="s">
        <v>54</v>
      </c>
    </row>
    <row r="1230" spans="1:10" x14ac:dyDescent="0.25">
      <c r="A1230" s="1">
        <v>273</v>
      </c>
      <c r="B1230" t="s">
        <v>25</v>
      </c>
      <c r="C1230">
        <v>98</v>
      </c>
      <c r="D1230">
        <v>1</v>
      </c>
      <c r="E1230" t="s">
        <v>64</v>
      </c>
      <c r="F1230" t="s">
        <v>65</v>
      </c>
      <c r="G1230" t="str">
        <f>"2025-10-27 01:42:35.045"</f>
        <v>2025-10-27 01:42:35.045</v>
      </c>
      <c r="H1230" t="s">
        <v>21</v>
      </c>
    </row>
    <row r="1231" spans="1:10" x14ac:dyDescent="0.25">
      <c r="A1231" s="1">
        <v>274</v>
      </c>
      <c r="B1231" t="s">
        <v>29</v>
      </c>
      <c r="C1231">
        <v>98</v>
      </c>
      <c r="D1231">
        <v>1</v>
      </c>
      <c r="E1231" t="s">
        <v>64</v>
      </c>
      <c r="F1231" t="s">
        <v>65</v>
      </c>
      <c r="G1231" t="str">
        <f>"2025-10-27 01:42:34.046"</f>
        <v>2025-10-27 01:42:34.046</v>
      </c>
      <c r="H1231" t="s">
        <v>21</v>
      </c>
      <c r="I1231">
        <v>0</v>
      </c>
      <c r="J1231" t="s">
        <v>37</v>
      </c>
    </row>
    <row r="1232" spans="1:10" s="3" customFormat="1" x14ac:dyDescent="0.25">
      <c r="A1232" s="2">
        <v>275</v>
      </c>
      <c r="B1232" s="3" t="s">
        <v>25</v>
      </c>
      <c r="C1232" s="3">
        <v>647</v>
      </c>
      <c r="D1232" s="3">
        <v>1</v>
      </c>
      <c r="E1232" s="3" t="s">
        <v>55</v>
      </c>
      <c r="F1232" s="3" t="s">
        <v>56</v>
      </c>
      <c r="G1232" s="3" t="str">
        <f>"2025-10-25 23:44:49.013"</f>
        <v>2025-10-25 23:44:49.013</v>
      </c>
      <c r="H1232" s="3" t="s">
        <v>21</v>
      </c>
    </row>
    <row r="1233" spans="1:10" s="3" customFormat="1" x14ac:dyDescent="0.25">
      <c r="A1233" s="2">
        <v>276</v>
      </c>
      <c r="B1233" s="3" t="s">
        <v>29</v>
      </c>
      <c r="C1233" s="3">
        <v>647</v>
      </c>
      <c r="D1233" s="3">
        <v>1</v>
      </c>
      <c r="E1233" s="3" t="s">
        <v>55</v>
      </c>
      <c r="F1233" s="3" t="s">
        <v>56</v>
      </c>
      <c r="G1233" s="3" t="str">
        <f>"2025-10-25 23:44:47.313"</f>
        <v>2025-10-25 23:44:47.313</v>
      </c>
      <c r="H1233" s="3" t="s">
        <v>21</v>
      </c>
      <c r="I1233" s="3">
        <v>8.48</v>
      </c>
      <c r="J1233" s="3" t="s">
        <v>54</v>
      </c>
    </row>
    <row r="1234" spans="1:10" s="3" customFormat="1" x14ac:dyDescent="0.25">
      <c r="A1234" s="2">
        <v>277</v>
      </c>
      <c r="B1234" s="3" t="s">
        <v>25</v>
      </c>
      <c r="C1234" s="3">
        <v>647</v>
      </c>
      <c r="D1234" s="3">
        <v>1</v>
      </c>
      <c r="E1234" s="3" t="s">
        <v>55</v>
      </c>
      <c r="F1234" s="3" t="s">
        <v>56</v>
      </c>
      <c r="G1234" s="3" t="str">
        <f>"2025-10-25 23:41:15.614"</f>
        <v>2025-10-25 23:41:15.614</v>
      </c>
      <c r="H1234" s="3" t="s">
        <v>21</v>
      </c>
    </row>
    <row r="1235" spans="1:10" s="3" customFormat="1" x14ac:dyDescent="0.25">
      <c r="A1235" s="2">
        <v>278</v>
      </c>
      <c r="B1235" s="3" t="s">
        <v>29</v>
      </c>
      <c r="C1235" s="3">
        <v>647</v>
      </c>
      <c r="D1235" s="3">
        <v>1</v>
      </c>
      <c r="E1235" s="3" t="s">
        <v>55</v>
      </c>
      <c r="F1235" s="3" t="s">
        <v>56</v>
      </c>
      <c r="G1235" s="3" t="str">
        <f>"2025-10-25 23:41:14.314"</f>
        <v>2025-10-25 23:41:14.314</v>
      </c>
      <c r="H1235" s="3" t="s">
        <v>21</v>
      </c>
      <c r="I1235" s="3">
        <v>20.86</v>
      </c>
      <c r="J1235" s="3" t="s">
        <v>54</v>
      </c>
    </row>
    <row r="1236" spans="1:10" s="3" customFormat="1" x14ac:dyDescent="0.25">
      <c r="A1236" s="2">
        <v>279</v>
      </c>
      <c r="B1236" s="3" t="s">
        <v>25</v>
      </c>
      <c r="C1236" s="3">
        <v>647</v>
      </c>
      <c r="D1236" s="3">
        <v>1</v>
      </c>
      <c r="E1236" s="3" t="s">
        <v>55</v>
      </c>
      <c r="F1236" s="3" t="s">
        <v>56</v>
      </c>
      <c r="G1236" s="3" t="str">
        <f>"2025-10-25 21:37:25.413"</f>
        <v>2025-10-25 21:37:25.413</v>
      </c>
      <c r="H1236" s="3" t="s">
        <v>21</v>
      </c>
    </row>
    <row r="1237" spans="1:10" s="3" customFormat="1" x14ac:dyDescent="0.25">
      <c r="A1237" s="2">
        <v>280</v>
      </c>
      <c r="B1237" s="3" t="s">
        <v>29</v>
      </c>
      <c r="C1237" s="3">
        <v>647</v>
      </c>
      <c r="D1237" s="3">
        <v>1</v>
      </c>
      <c r="E1237" s="3" t="s">
        <v>55</v>
      </c>
      <c r="F1237" s="3" t="s">
        <v>56</v>
      </c>
      <c r="G1237" s="3" t="str">
        <f>"2025-10-25 21:37:23.914"</f>
        <v>2025-10-25 21:37:23.914</v>
      </c>
      <c r="H1237" s="3" t="s">
        <v>21</v>
      </c>
      <c r="I1237" s="3">
        <v>18.22</v>
      </c>
      <c r="J1237" s="3" t="s">
        <v>54</v>
      </c>
    </row>
    <row r="1238" spans="1:10" x14ac:dyDescent="0.25">
      <c r="A1238" s="1">
        <v>281</v>
      </c>
      <c r="B1238" t="s">
        <v>19</v>
      </c>
      <c r="C1238">
        <v>706</v>
      </c>
      <c r="D1238">
        <v>4</v>
      </c>
      <c r="E1238" t="s">
        <v>22</v>
      </c>
      <c r="F1238" t="s">
        <v>31</v>
      </c>
      <c r="G1238" t="str">
        <f>"2025-10-25 17:30:51.676"</f>
        <v>2025-10-25 17:30:51.676</v>
      </c>
      <c r="H1238" t="s">
        <v>21</v>
      </c>
      <c r="I1238">
        <v>0</v>
      </c>
      <c r="J1238" t="s">
        <v>24</v>
      </c>
    </row>
    <row r="1239" spans="1:10" x14ac:dyDescent="0.25">
      <c r="A1239" s="1">
        <v>282</v>
      </c>
      <c r="B1239" t="s">
        <v>19</v>
      </c>
      <c r="C1239">
        <v>700</v>
      </c>
      <c r="D1239">
        <v>0</v>
      </c>
      <c r="E1239" t="s">
        <v>20</v>
      </c>
      <c r="F1239" t="s">
        <v>20</v>
      </c>
      <c r="G1239" t="str">
        <f>"2025-10-25 17:29:41.946"</f>
        <v>2025-10-25 17:29:41.946</v>
      </c>
      <c r="H1239" t="s">
        <v>21</v>
      </c>
    </row>
    <row r="1240" spans="1:10" x14ac:dyDescent="0.25">
      <c r="A1240" s="1">
        <v>283</v>
      </c>
      <c r="B1240" t="s">
        <v>25</v>
      </c>
      <c r="C1240">
        <v>630</v>
      </c>
      <c r="D1240">
        <v>5</v>
      </c>
      <c r="E1240" t="s">
        <v>51</v>
      </c>
      <c r="F1240" t="s">
        <v>52</v>
      </c>
      <c r="G1240" t="str">
        <f>"2025-10-25 17:20:52.235"</f>
        <v>2025-10-25 17:20:52.235</v>
      </c>
      <c r="H1240" t="s">
        <v>40</v>
      </c>
    </row>
    <row r="1241" spans="1:10" x14ac:dyDescent="0.25">
      <c r="A1241" s="1">
        <v>284</v>
      </c>
      <c r="B1241" t="s">
        <v>19</v>
      </c>
      <c r="C1241">
        <v>706</v>
      </c>
      <c r="D1241">
        <v>4</v>
      </c>
      <c r="E1241" t="s">
        <v>22</v>
      </c>
      <c r="F1241" t="s">
        <v>31</v>
      </c>
      <c r="G1241" t="str">
        <f>"2025-10-25 17:20:22.147"</f>
        <v>2025-10-25 17:20:22.147</v>
      </c>
      <c r="H1241" t="s">
        <v>21</v>
      </c>
      <c r="I1241">
        <v>0</v>
      </c>
      <c r="J1241" t="s">
        <v>24</v>
      </c>
    </row>
    <row r="1242" spans="1:10" x14ac:dyDescent="0.25">
      <c r="A1242" s="1">
        <v>287</v>
      </c>
      <c r="B1242" t="s">
        <v>33</v>
      </c>
      <c r="C1242">
        <v>630</v>
      </c>
      <c r="D1242">
        <v>5</v>
      </c>
      <c r="E1242" t="s">
        <v>51</v>
      </c>
      <c r="F1242" t="s">
        <v>52</v>
      </c>
      <c r="G1242" t="str">
        <f>"2025-10-25 17:19:59.251"</f>
        <v>2025-10-25 17:19:59.251</v>
      </c>
      <c r="H1242" t="s">
        <v>40</v>
      </c>
      <c r="I1242">
        <v>0</v>
      </c>
      <c r="J1242" t="s">
        <v>24</v>
      </c>
    </row>
    <row r="1243" spans="1:10" x14ac:dyDescent="0.25">
      <c r="A1243" s="1">
        <v>288</v>
      </c>
      <c r="B1243" t="s">
        <v>19</v>
      </c>
      <c r="C1243">
        <v>782</v>
      </c>
      <c r="D1243">
        <v>7</v>
      </c>
      <c r="E1243" t="s">
        <v>43</v>
      </c>
      <c r="F1243" t="s">
        <v>44</v>
      </c>
      <c r="G1243" t="str">
        <f>"2025-10-25 17:19:59.247"</f>
        <v>2025-10-25 17:19:59.247</v>
      </c>
      <c r="H1243" t="s">
        <v>21</v>
      </c>
      <c r="I1243">
        <v>0</v>
      </c>
      <c r="J1243" t="s">
        <v>24</v>
      </c>
    </row>
    <row r="1244" spans="1:10" x14ac:dyDescent="0.25">
      <c r="A1244" s="1">
        <v>291</v>
      </c>
      <c r="B1244" t="s">
        <v>25</v>
      </c>
      <c r="C1244">
        <v>630</v>
      </c>
      <c r="D1244">
        <v>5</v>
      </c>
      <c r="E1244" t="s">
        <v>51</v>
      </c>
      <c r="F1244" t="s">
        <v>52</v>
      </c>
      <c r="G1244" t="str">
        <f>"2025-10-25 17:19:59.238"</f>
        <v>2025-10-25 17:19:59.238</v>
      </c>
      <c r="H1244" t="s">
        <v>40</v>
      </c>
    </row>
    <row r="1245" spans="1:10" x14ac:dyDescent="0.25">
      <c r="A1245" s="1">
        <v>292</v>
      </c>
      <c r="B1245" t="s">
        <v>25</v>
      </c>
      <c r="C1245">
        <v>30</v>
      </c>
      <c r="D1245">
        <v>1</v>
      </c>
      <c r="E1245" t="s">
        <v>71</v>
      </c>
      <c r="F1245" t="s">
        <v>72</v>
      </c>
      <c r="G1245" t="str">
        <f>"2025-10-25 17:19:59.236"</f>
        <v>2025-10-25 17:19:59.236</v>
      </c>
      <c r="H1245" t="s">
        <v>40</v>
      </c>
    </row>
    <row r="1246" spans="1:10" x14ac:dyDescent="0.25">
      <c r="A1246" s="1">
        <v>293</v>
      </c>
      <c r="B1246" t="s">
        <v>19</v>
      </c>
      <c r="C1246">
        <v>782</v>
      </c>
      <c r="D1246">
        <v>7</v>
      </c>
      <c r="E1246" t="s">
        <v>43</v>
      </c>
      <c r="F1246" t="s">
        <v>44</v>
      </c>
      <c r="G1246" t="str">
        <f>"2025-10-25 17:19:59.235"</f>
        <v>2025-10-25 17:19:59.235</v>
      </c>
      <c r="H1246" t="s">
        <v>21</v>
      </c>
      <c r="I1246">
        <v>0</v>
      </c>
      <c r="J1246" t="s">
        <v>24</v>
      </c>
    </row>
    <row r="1247" spans="1:10" x14ac:dyDescent="0.25">
      <c r="A1247" s="1">
        <v>294</v>
      </c>
      <c r="B1247" t="s">
        <v>33</v>
      </c>
      <c r="C1247">
        <v>630</v>
      </c>
      <c r="D1247">
        <v>5</v>
      </c>
      <c r="E1247" t="s">
        <v>51</v>
      </c>
      <c r="F1247" t="s">
        <v>52</v>
      </c>
      <c r="G1247" t="str">
        <f>"2025-10-25 17:12:37.736"</f>
        <v>2025-10-25 17:12:37.736</v>
      </c>
      <c r="H1247" t="s">
        <v>40</v>
      </c>
      <c r="I1247">
        <v>0</v>
      </c>
      <c r="J1247" t="s">
        <v>24</v>
      </c>
    </row>
    <row r="1248" spans="1:10" x14ac:dyDescent="0.25">
      <c r="A1248" s="1">
        <v>295</v>
      </c>
      <c r="B1248" t="s">
        <v>33</v>
      </c>
      <c r="C1248">
        <v>30</v>
      </c>
      <c r="D1248">
        <v>1</v>
      </c>
      <c r="E1248" t="s">
        <v>71</v>
      </c>
      <c r="F1248" t="s">
        <v>72</v>
      </c>
      <c r="G1248" t="str">
        <f>"2025-10-25 17:09:46.428"</f>
        <v>2025-10-25 17:09:46.428</v>
      </c>
      <c r="H1248" t="s">
        <v>40</v>
      </c>
      <c r="I1248">
        <v>0</v>
      </c>
      <c r="J1248" t="s">
        <v>24</v>
      </c>
    </row>
    <row r="1249" spans="1:10" x14ac:dyDescent="0.25">
      <c r="A1249" s="1">
        <v>296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"2025-10-25 17:07:34.947"</f>
        <v>2025-10-25 17:07:34.947</v>
      </c>
      <c r="H1249" t="s">
        <v>21</v>
      </c>
      <c r="I1249">
        <v>0</v>
      </c>
      <c r="J1249" t="s">
        <v>32</v>
      </c>
    </row>
    <row r="1250" spans="1:10" x14ac:dyDescent="0.25">
      <c r="A1250" s="1">
        <v>297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"2025-10-25 17:02:10.952"</f>
        <v>2025-10-25 17:02:10.952</v>
      </c>
      <c r="H1250" t="s">
        <v>21</v>
      </c>
      <c r="I1250">
        <v>0</v>
      </c>
      <c r="J1250" t="s">
        <v>32</v>
      </c>
    </row>
    <row r="1251" spans="1:10" x14ac:dyDescent="0.25">
      <c r="A1251" s="1">
        <v>298</v>
      </c>
      <c r="B1251" t="s">
        <v>33</v>
      </c>
      <c r="C1251">
        <v>30</v>
      </c>
      <c r="D1251">
        <v>1</v>
      </c>
      <c r="E1251" t="s">
        <v>71</v>
      </c>
      <c r="F1251" t="s">
        <v>72</v>
      </c>
      <c r="G1251" t="str">
        <f>"2025-10-25 16:42:47.555"</f>
        <v>2025-10-25 16:42:47.555</v>
      </c>
      <c r="H1251" t="s">
        <v>40</v>
      </c>
      <c r="I1251">
        <v>0</v>
      </c>
      <c r="J1251" t="s">
        <v>24</v>
      </c>
    </row>
    <row r="1252" spans="1:10" x14ac:dyDescent="0.25">
      <c r="A1252" s="1">
        <v>299</v>
      </c>
      <c r="B1252" t="s">
        <v>33</v>
      </c>
      <c r="C1252">
        <v>630</v>
      </c>
      <c r="D1252">
        <v>5</v>
      </c>
      <c r="E1252" t="s">
        <v>51</v>
      </c>
      <c r="F1252" t="s">
        <v>52</v>
      </c>
      <c r="G1252" t="str">
        <f>"2025-10-25 16:38:17.855"</f>
        <v>2025-10-25 16:38:17.855</v>
      </c>
      <c r="H1252" t="s">
        <v>40</v>
      </c>
      <c r="I1252">
        <v>0</v>
      </c>
      <c r="J1252" t="s">
        <v>24</v>
      </c>
    </row>
    <row r="1253" spans="1:10" x14ac:dyDescent="0.25">
      <c r="A1253" s="1">
        <v>300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"2025-10-25 16:33:15.073"</f>
        <v>2025-10-25 16:33:15.073</v>
      </c>
      <c r="H1253" t="s">
        <v>21</v>
      </c>
      <c r="I1253">
        <v>0</v>
      </c>
      <c r="J1253" t="s">
        <v>32</v>
      </c>
    </row>
    <row r="1254" spans="1:10" x14ac:dyDescent="0.25">
      <c r="A1254" s="1">
        <v>301</v>
      </c>
      <c r="B1254" t="s">
        <v>41</v>
      </c>
      <c r="C1254">
        <v>30</v>
      </c>
      <c r="D1254">
        <v>1</v>
      </c>
      <c r="E1254" t="s">
        <v>71</v>
      </c>
      <c r="F1254" t="s">
        <v>72</v>
      </c>
      <c r="G1254" t="str">
        <f>"2025-10-25 14:26:48.231"</f>
        <v>2025-10-25 14:26:48.231</v>
      </c>
      <c r="H1254" t="s">
        <v>40</v>
      </c>
    </row>
    <row r="1255" spans="1:10" x14ac:dyDescent="0.25">
      <c r="A1255" s="1">
        <v>302</v>
      </c>
      <c r="B1255" t="s">
        <v>33</v>
      </c>
      <c r="C1255">
        <v>30</v>
      </c>
      <c r="D1255">
        <v>1</v>
      </c>
      <c r="E1255" t="s">
        <v>71</v>
      </c>
      <c r="F1255" t="s">
        <v>72</v>
      </c>
      <c r="G1255" t="str">
        <f>"2025-10-25 14:26:18.331"</f>
        <v>2025-10-25 14:26:18.331</v>
      </c>
      <c r="H1255" t="s">
        <v>40</v>
      </c>
      <c r="I1255">
        <v>0</v>
      </c>
      <c r="J1255" t="s">
        <v>24</v>
      </c>
    </row>
    <row r="1256" spans="1:10" x14ac:dyDescent="0.25">
      <c r="A1256" s="1">
        <v>303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"2025-10-25 14:26:08.116"</f>
        <v>2025-10-25 14:26:08.116</v>
      </c>
      <c r="H1256" t="s">
        <v>21</v>
      </c>
    </row>
    <row r="1257" spans="1:10" x14ac:dyDescent="0.25">
      <c r="A1257" s="1">
        <v>304</v>
      </c>
      <c r="B1257" t="s">
        <v>33</v>
      </c>
      <c r="C1257">
        <v>30</v>
      </c>
      <c r="D1257">
        <v>1</v>
      </c>
      <c r="E1257" t="s">
        <v>71</v>
      </c>
      <c r="F1257" t="s">
        <v>72</v>
      </c>
      <c r="G1257" t="str">
        <f>"2025-10-25 14:23:02.171"</f>
        <v>2025-10-25 14:23:02.171</v>
      </c>
      <c r="H1257" t="s">
        <v>40</v>
      </c>
      <c r="I1257">
        <v>0</v>
      </c>
      <c r="J1257" t="s">
        <v>24</v>
      </c>
    </row>
    <row r="1258" spans="1:10" x14ac:dyDescent="0.25">
      <c r="A1258" s="1">
        <v>305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"2025-10-25 14:22:51.966"</f>
        <v>2025-10-25 14:22:51.966</v>
      </c>
      <c r="H1258" t="s">
        <v>21</v>
      </c>
    </row>
    <row r="1259" spans="1:10" x14ac:dyDescent="0.25">
      <c r="A1259" s="1">
        <v>306</v>
      </c>
      <c r="B1259" t="s">
        <v>33</v>
      </c>
      <c r="C1259">
        <v>30</v>
      </c>
      <c r="D1259">
        <v>1</v>
      </c>
      <c r="E1259" t="s">
        <v>71</v>
      </c>
      <c r="F1259" t="s">
        <v>72</v>
      </c>
      <c r="G1259" t="str">
        <f>"2025-10-25 14:17:57.476"</f>
        <v>2025-10-25 14:17:57.476</v>
      </c>
      <c r="H1259" t="s">
        <v>40</v>
      </c>
      <c r="I1259">
        <v>3.58</v>
      </c>
      <c r="J1259" t="s">
        <v>54</v>
      </c>
    </row>
    <row r="1260" spans="1:10" x14ac:dyDescent="0.25">
      <c r="A1260" s="1">
        <v>307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"2025-10-25 10:43:02.975"</f>
        <v>2025-10-25 10:43:02.975</v>
      </c>
      <c r="H1260" t="s">
        <v>21</v>
      </c>
    </row>
    <row r="1261" spans="1:10" x14ac:dyDescent="0.25">
      <c r="A1261" s="1">
        <v>308</v>
      </c>
      <c r="B1261" t="s">
        <v>33</v>
      </c>
      <c r="C1261">
        <v>30</v>
      </c>
      <c r="D1261">
        <v>1</v>
      </c>
      <c r="E1261" t="s">
        <v>71</v>
      </c>
      <c r="F1261" t="s">
        <v>72</v>
      </c>
      <c r="G1261" t="str">
        <f>"2025-10-25 10:33:56.732"</f>
        <v>2025-10-25 10:33:56.732</v>
      </c>
      <c r="H1261" t="s">
        <v>40</v>
      </c>
      <c r="I1261">
        <v>0.76</v>
      </c>
      <c r="J1261" t="s">
        <v>54</v>
      </c>
    </row>
    <row r="1262" spans="1:10" x14ac:dyDescent="0.25">
      <c r="A1262" s="1">
        <v>309</v>
      </c>
      <c r="B1262" t="s">
        <v>41</v>
      </c>
      <c r="C1262">
        <v>30</v>
      </c>
      <c r="D1262">
        <v>1</v>
      </c>
      <c r="E1262" t="s">
        <v>71</v>
      </c>
      <c r="F1262" t="s">
        <v>72</v>
      </c>
      <c r="G1262" t="str">
        <f>"2025-10-25 10:33:56.692"</f>
        <v>2025-10-25 10:33:56.692</v>
      </c>
      <c r="H1262" t="s">
        <v>40</v>
      </c>
    </row>
    <row r="1263" spans="1:10" x14ac:dyDescent="0.25">
      <c r="A1263" s="1">
        <v>310</v>
      </c>
      <c r="B1263" t="s">
        <v>33</v>
      </c>
      <c r="C1263">
        <v>30</v>
      </c>
      <c r="D1263">
        <v>1</v>
      </c>
      <c r="E1263" t="s">
        <v>71</v>
      </c>
      <c r="F1263" t="s">
        <v>72</v>
      </c>
      <c r="G1263" t="str">
        <f>"2025-10-25 10:31:22.932"</f>
        <v>2025-10-25 10:31:22.932</v>
      </c>
      <c r="H1263" t="s">
        <v>40</v>
      </c>
      <c r="I1263">
        <v>23.7</v>
      </c>
      <c r="J1263" t="s">
        <v>54</v>
      </c>
    </row>
    <row r="1264" spans="1:10" s="3" customFormat="1" x14ac:dyDescent="0.25">
      <c r="A1264" s="2">
        <v>311</v>
      </c>
      <c r="B1264" s="3" t="s">
        <v>25</v>
      </c>
      <c r="C1264" s="3">
        <v>647</v>
      </c>
      <c r="D1264" s="3">
        <v>1</v>
      </c>
      <c r="E1264" s="3" t="s">
        <v>55</v>
      </c>
      <c r="F1264" s="3" t="s">
        <v>56</v>
      </c>
      <c r="G1264" s="3" t="str">
        <f>"2025-10-25 07:10:09.639"</f>
        <v>2025-10-25 07:10:09.639</v>
      </c>
      <c r="H1264" s="3" t="s">
        <v>21</v>
      </c>
    </row>
    <row r="1265" spans="1:10" s="3" customFormat="1" x14ac:dyDescent="0.25">
      <c r="A1265" s="2">
        <v>312</v>
      </c>
      <c r="B1265" s="3" t="s">
        <v>29</v>
      </c>
      <c r="C1265" s="3">
        <v>647</v>
      </c>
      <c r="D1265" s="3">
        <v>1</v>
      </c>
      <c r="E1265" s="3" t="s">
        <v>55</v>
      </c>
      <c r="F1265" s="3" t="s">
        <v>56</v>
      </c>
      <c r="G1265" s="3" t="str">
        <f>"2025-10-25 07:10:04.939"</f>
        <v>2025-10-25 07:10:04.939</v>
      </c>
      <c r="H1265" s="3" t="s">
        <v>21</v>
      </c>
      <c r="I1265" s="3">
        <v>20.53</v>
      </c>
      <c r="J1265" s="3" t="s">
        <v>54</v>
      </c>
    </row>
    <row r="1266" spans="1:10" s="3" customFormat="1" x14ac:dyDescent="0.25">
      <c r="A1266" s="2">
        <v>313</v>
      </c>
      <c r="B1266" s="3" t="s">
        <v>25</v>
      </c>
      <c r="C1266" s="3">
        <v>647</v>
      </c>
      <c r="D1266" s="3">
        <v>1</v>
      </c>
      <c r="E1266" s="3" t="s">
        <v>55</v>
      </c>
      <c r="F1266" s="3" t="s">
        <v>56</v>
      </c>
      <c r="G1266" s="3" t="str">
        <f>"2025-10-25 06:29:47.839"</f>
        <v>2025-10-25 06:29:47.839</v>
      </c>
      <c r="H1266" s="3" t="s">
        <v>21</v>
      </c>
    </row>
    <row r="1267" spans="1:10" s="3" customFormat="1" x14ac:dyDescent="0.25">
      <c r="A1267" s="2">
        <v>314</v>
      </c>
      <c r="B1267" s="3" t="s">
        <v>29</v>
      </c>
      <c r="C1267" s="3">
        <v>647</v>
      </c>
      <c r="D1267" s="3">
        <v>1</v>
      </c>
      <c r="E1267" s="3" t="s">
        <v>55</v>
      </c>
      <c r="F1267" s="3" t="s">
        <v>56</v>
      </c>
      <c r="G1267" s="3" t="str">
        <f>"2025-10-25 06:29:43.939"</f>
        <v>2025-10-25 06:29:43.939</v>
      </c>
      <c r="H1267" s="3" t="s">
        <v>21</v>
      </c>
      <c r="I1267" s="3">
        <v>20.75</v>
      </c>
      <c r="J1267" s="3" t="s">
        <v>54</v>
      </c>
    </row>
    <row r="1268" spans="1:10" s="3" customFormat="1" x14ac:dyDescent="0.25">
      <c r="A1268" s="2">
        <v>315</v>
      </c>
      <c r="B1268" s="3" t="s">
        <v>25</v>
      </c>
      <c r="C1268" s="3">
        <v>647</v>
      </c>
      <c r="D1268" s="3">
        <v>1</v>
      </c>
      <c r="E1268" s="3" t="s">
        <v>55</v>
      </c>
      <c r="F1268" s="3" t="s">
        <v>56</v>
      </c>
      <c r="G1268" s="3" t="str">
        <f>"2025-10-25 05:33:42.939"</f>
        <v>2025-10-25 05:33:42.939</v>
      </c>
      <c r="H1268" s="3" t="s">
        <v>21</v>
      </c>
    </row>
    <row r="1269" spans="1:10" s="3" customFormat="1" x14ac:dyDescent="0.25">
      <c r="A1269" s="2">
        <v>316</v>
      </c>
      <c r="B1269" s="3" t="s">
        <v>29</v>
      </c>
      <c r="C1269" s="3">
        <v>647</v>
      </c>
      <c r="D1269" s="3">
        <v>1</v>
      </c>
      <c r="E1269" s="3" t="s">
        <v>55</v>
      </c>
      <c r="F1269" s="3" t="s">
        <v>56</v>
      </c>
      <c r="G1269" s="3" t="str">
        <f>"2025-10-25 05:33:30.639"</f>
        <v>2025-10-25 05:33:30.639</v>
      </c>
      <c r="H1269" s="3" t="s">
        <v>21</v>
      </c>
      <c r="I1269" s="3">
        <v>31.5</v>
      </c>
      <c r="J1269" s="3" t="s">
        <v>54</v>
      </c>
    </row>
    <row r="1270" spans="1:10" s="3" customFormat="1" x14ac:dyDescent="0.25">
      <c r="A1270" s="2">
        <v>317</v>
      </c>
      <c r="B1270" s="3" t="s">
        <v>25</v>
      </c>
      <c r="C1270" s="3">
        <v>647</v>
      </c>
      <c r="D1270" s="3">
        <v>1</v>
      </c>
      <c r="E1270" s="3" t="s">
        <v>55</v>
      </c>
      <c r="F1270" s="3" t="s">
        <v>56</v>
      </c>
      <c r="G1270" s="3" t="str">
        <f>"2025-10-25 03:10:06.938"</f>
        <v>2025-10-25 03:10:06.938</v>
      </c>
      <c r="H1270" s="3" t="s">
        <v>21</v>
      </c>
    </row>
    <row r="1271" spans="1:10" s="3" customFormat="1" x14ac:dyDescent="0.25">
      <c r="A1271" s="2">
        <v>318</v>
      </c>
      <c r="B1271" s="3" t="s">
        <v>29</v>
      </c>
      <c r="C1271" s="3">
        <v>647</v>
      </c>
      <c r="D1271" s="3">
        <v>1</v>
      </c>
      <c r="E1271" s="3" t="s">
        <v>55</v>
      </c>
      <c r="F1271" s="3" t="s">
        <v>56</v>
      </c>
      <c r="G1271" s="3" t="str">
        <f>"2025-10-25 03:10:03.238"</f>
        <v>2025-10-25 03:10:03.238</v>
      </c>
      <c r="H1271" s="3" t="s">
        <v>21</v>
      </c>
      <c r="I1271" s="3">
        <v>9.48</v>
      </c>
      <c r="J1271" s="3" t="s">
        <v>54</v>
      </c>
    </row>
    <row r="1272" spans="1:10" s="3" customFormat="1" x14ac:dyDescent="0.25">
      <c r="A1272" s="2">
        <v>319</v>
      </c>
      <c r="B1272" s="3" t="s">
        <v>25</v>
      </c>
      <c r="C1272" s="3">
        <v>647</v>
      </c>
      <c r="D1272" s="3">
        <v>1</v>
      </c>
      <c r="E1272" s="3" t="s">
        <v>55</v>
      </c>
      <c r="F1272" s="3" t="s">
        <v>56</v>
      </c>
      <c r="G1272" s="3" t="str">
        <f>"2025-10-25 00:09:45.139"</f>
        <v>2025-10-25 00:09:45.139</v>
      </c>
      <c r="H1272" s="3" t="s">
        <v>21</v>
      </c>
    </row>
    <row r="1273" spans="1:10" s="3" customFormat="1" x14ac:dyDescent="0.25">
      <c r="A1273" s="2">
        <v>320</v>
      </c>
      <c r="B1273" s="3" t="s">
        <v>29</v>
      </c>
      <c r="C1273" s="3">
        <v>647</v>
      </c>
      <c r="D1273" s="3">
        <v>1</v>
      </c>
      <c r="E1273" s="3" t="s">
        <v>55</v>
      </c>
      <c r="F1273" s="3" t="s">
        <v>56</v>
      </c>
      <c r="G1273" s="3" t="str">
        <f>"2025-10-25 00:09:20.740"</f>
        <v>2025-10-25 00:09:20.740</v>
      </c>
      <c r="H1273" s="3" t="s">
        <v>21</v>
      </c>
      <c r="I1273" s="3">
        <v>19.91</v>
      </c>
      <c r="J1273" s="3" t="s">
        <v>54</v>
      </c>
    </row>
    <row r="1274" spans="1:10" x14ac:dyDescent="0.25">
      <c r="A1274" s="1">
        <v>321</v>
      </c>
      <c r="B1274" t="s">
        <v>19</v>
      </c>
      <c r="C1274">
        <v>706</v>
      </c>
      <c r="D1274">
        <v>4</v>
      </c>
      <c r="E1274" t="s">
        <v>22</v>
      </c>
      <c r="F1274" t="s">
        <v>31</v>
      </c>
      <c r="G1274" t="str">
        <f>"2025-10-24 15:52:17.061"</f>
        <v>2025-10-24 15:52:17.061</v>
      </c>
      <c r="H1274" t="s">
        <v>21</v>
      </c>
      <c r="I1274">
        <v>0</v>
      </c>
      <c r="J1274" t="s">
        <v>24</v>
      </c>
    </row>
    <row r="1275" spans="1:10" x14ac:dyDescent="0.25">
      <c r="A1275" s="1">
        <v>322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"2025-10-24 15:46:54.051"</f>
        <v>2025-10-24 15:46:54.051</v>
      </c>
      <c r="H1275" t="s">
        <v>21</v>
      </c>
      <c r="I1275">
        <v>0</v>
      </c>
      <c r="J1275" t="s">
        <v>32</v>
      </c>
    </row>
    <row r="1276" spans="1:10" x14ac:dyDescent="0.25">
      <c r="A1276" s="1">
        <v>323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"2025-10-24 14:18:51.938"</f>
        <v>2025-10-24 14:18:51.938</v>
      </c>
      <c r="H1276" t="s">
        <v>21</v>
      </c>
    </row>
    <row r="1277" spans="1:10" x14ac:dyDescent="0.25">
      <c r="A1277" s="1">
        <v>324</v>
      </c>
      <c r="B1277" t="s">
        <v>25</v>
      </c>
      <c r="C1277">
        <v>4</v>
      </c>
      <c r="D1277">
        <v>1</v>
      </c>
      <c r="E1277" t="s">
        <v>46</v>
      </c>
      <c r="F1277" t="s">
        <v>47</v>
      </c>
      <c r="G1277" t="str">
        <f>"2025-10-24 13:59:14.252"</f>
        <v>2025-10-24 13:59:14.252</v>
      </c>
      <c r="H1277" t="s">
        <v>48</v>
      </c>
    </row>
    <row r="1278" spans="1:10" x14ac:dyDescent="0.25">
      <c r="A1278" s="1">
        <v>325</v>
      </c>
      <c r="B1278" t="s">
        <v>29</v>
      </c>
      <c r="C1278">
        <v>4</v>
      </c>
      <c r="D1278">
        <v>1</v>
      </c>
      <c r="E1278" t="s">
        <v>46</v>
      </c>
      <c r="F1278" t="s">
        <v>47</v>
      </c>
      <c r="G1278" t="str">
        <f>"2025-10-24 13:59:01.413"</f>
        <v>2025-10-24 13:59:01.413</v>
      </c>
      <c r="H1278" t="s">
        <v>48</v>
      </c>
      <c r="I1278">
        <v>0</v>
      </c>
      <c r="J1278" t="s">
        <v>24</v>
      </c>
    </row>
    <row r="1279" spans="1:10" x14ac:dyDescent="0.25">
      <c r="A1279" s="1">
        <v>328</v>
      </c>
      <c r="B1279" t="s">
        <v>19</v>
      </c>
      <c r="C1279">
        <v>706</v>
      </c>
      <c r="D1279">
        <v>4</v>
      </c>
      <c r="E1279" t="s">
        <v>22</v>
      </c>
      <c r="F1279" t="s">
        <v>31</v>
      </c>
      <c r="G1279" t="str">
        <f>"2025-10-24 13:56:39.474"</f>
        <v>2025-10-24 13:56:39.474</v>
      </c>
      <c r="H1279" t="s">
        <v>21</v>
      </c>
      <c r="I1279">
        <v>0</v>
      </c>
      <c r="J1279" t="s">
        <v>24</v>
      </c>
    </row>
    <row r="1280" spans="1:10" x14ac:dyDescent="0.25">
      <c r="A1280" s="1">
        <v>329</v>
      </c>
      <c r="B1280" t="s">
        <v>19</v>
      </c>
      <c r="C1280">
        <v>782</v>
      </c>
      <c r="D1280">
        <v>7</v>
      </c>
      <c r="E1280" t="s">
        <v>43</v>
      </c>
      <c r="F1280" t="s">
        <v>44</v>
      </c>
      <c r="G1280" t="str">
        <f>"2025-10-24 13:56:26.052"</f>
        <v>2025-10-24 13:56:26.052</v>
      </c>
      <c r="H1280" t="s">
        <v>21</v>
      </c>
      <c r="I1280">
        <v>0</v>
      </c>
      <c r="J1280" t="s">
        <v>24</v>
      </c>
    </row>
    <row r="1281" spans="1:10" x14ac:dyDescent="0.25">
      <c r="A1281" s="1">
        <v>332</v>
      </c>
      <c r="B1281" t="s">
        <v>25</v>
      </c>
      <c r="C1281">
        <v>30</v>
      </c>
      <c r="D1281">
        <v>1</v>
      </c>
      <c r="E1281" t="s">
        <v>71</v>
      </c>
      <c r="F1281" t="s">
        <v>72</v>
      </c>
      <c r="G1281" t="str">
        <f>"2025-10-24 13:56:26.044"</f>
        <v>2025-10-24 13:56:26.044</v>
      </c>
      <c r="H1281" t="s">
        <v>40</v>
      </c>
    </row>
    <row r="1282" spans="1:10" x14ac:dyDescent="0.25">
      <c r="A1282" s="1">
        <v>333</v>
      </c>
      <c r="B1282" t="s">
        <v>19</v>
      </c>
      <c r="C1282">
        <v>782</v>
      </c>
      <c r="D1282">
        <v>7</v>
      </c>
      <c r="E1282" t="s">
        <v>43</v>
      </c>
      <c r="F1282" t="s">
        <v>44</v>
      </c>
      <c r="G1282" t="str">
        <f>"2025-10-24 13:56:26.042"</f>
        <v>2025-10-24 13:56:26.042</v>
      </c>
      <c r="H1282" t="s">
        <v>21</v>
      </c>
      <c r="I1282">
        <v>0</v>
      </c>
      <c r="J1282" t="s">
        <v>24</v>
      </c>
    </row>
    <row r="1283" spans="1:10" x14ac:dyDescent="0.25">
      <c r="A1283" s="1">
        <v>334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"2025-10-24 13:56:10.954"</f>
        <v>2025-10-24 13:56:10.954</v>
      </c>
      <c r="H1283" t="s">
        <v>21</v>
      </c>
      <c r="I1283">
        <v>0</v>
      </c>
      <c r="J1283" t="s">
        <v>32</v>
      </c>
    </row>
    <row r="1284" spans="1:10" s="3" customFormat="1" x14ac:dyDescent="0.25">
      <c r="A1284" s="2">
        <v>335</v>
      </c>
      <c r="B1284" s="3" t="s">
        <v>25</v>
      </c>
      <c r="C1284" s="3">
        <v>647</v>
      </c>
      <c r="D1284" s="3">
        <v>1</v>
      </c>
      <c r="E1284" s="3" t="s">
        <v>55</v>
      </c>
      <c r="F1284" s="3" t="s">
        <v>56</v>
      </c>
      <c r="G1284" s="3" t="str">
        <f>"2025-10-24 13:21:50.021"</f>
        <v>2025-10-24 13:21:50.021</v>
      </c>
      <c r="H1284" s="3" t="s">
        <v>21</v>
      </c>
    </row>
    <row r="1285" spans="1:10" s="3" customFormat="1" x14ac:dyDescent="0.25">
      <c r="A1285" s="2">
        <v>336</v>
      </c>
      <c r="B1285" s="3" t="s">
        <v>29</v>
      </c>
      <c r="C1285" s="3">
        <v>647</v>
      </c>
      <c r="D1285" s="3">
        <v>1</v>
      </c>
      <c r="E1285" s="3" t="s">
        <v>55</v>
      </c>
      <c r="F1285" s="3" t="s">
        <v>56</v>
      </c>
      <c r="G1285" s="3" t="str">
        <f>"2025-10-24 13:21:48.521"</f>
        <v>2025-10-24 13:21:48.521</v>
      </c>
      <c r="H1285" s="3" t="s">
        <v>21</v>
      </c>
      <c r="I1285" s="3">
        <v>8.39</v>
      </c>
      <c r="J1285" s="3" t="s">
        <v>37</v>
      </c>
    </row>
    <row r="1286" spans="1:10" x14ac:dyDescent="0.25">
      <c r="A1286" s="1">
        <v>337</v>
      </c>
      <c r="B1286" t="s">
        <v>19</v>
      </c>
      <c r="C1286">
        <v>706</v>
      </c>
      <c r="D1286">
        <v>4</v>
      </c>
      <c r="E1286" t="s">
        <v>22</v>
      </c>
      <c r="F1286" t="s">
        <v>31</v>
      </c>
      <c r="G1286" t="str">
        <f>"2025-10-24 13:18:26.227"</f>
        <v>2025-10-24 13:18:26.227</v>
      </c>
      <c r="H1286" t="s">
        <v>21</v>
      </c>
      <c r="I1286">
        <v>0</v>
      </c>
      <c r="J1286" t="s">
        <v>24</v>
      </c>
    </row>
    <row r="1287" spans="1:10" x14ac:dyDescent="0.25">
      <c r="A1287" s="1">
        <v>338</v>
      </c>
      <c r="B1287" t="s">
        <v>19</v>
      </c>
      <c r="C1287">
        <v>706</v>
      </c>
      <c r="D1287">
        <v>3</v>
      </c>
      <c r="E1287" t="s">
        <v>22</v>
      </c>
      <c r="F1287" t="s">
        <v>23</v>
      </c>
      <c r="G1287" t="str">
        <f>"2025-10-24 13:18:08.607"</f>
        <v>2025-10-24 13:18:08.607</v>
      </c>
      <c r="H1287" t="s">
        <v>21</v>
      </c>
      <c r="I1287">
        <v>0</v>
      </c>
      <c r="J1287" t="s">
        <v>24</v>
      </c>
    </row>
    <row r="1288" spans="1:10" x14ac:dyDescent="0.25">
      <c r="A1288" s="1">
        <v>339</v>
      </c>
      <c r="B1288" t="s">
        <v>29</v>
      </c>
      <c r="C1288">
        <v>30</v>
      </c>
      <c r="D1288">
        <v>1</v>
      </c>
      <c r="E1288" t="s">
        <v>71</v>
      </c>
      <c r="F1288" t="s">
        <v>72</v>
      </c>
      <c r="G1288" t="str">
        <f>"2025-10-24 13:17:17.320"</f>
        <v>2025-10-24 13:17:17.320</v>
      </c>
      <c r="H1288" t="s">
        <v>40</v>
      </c>
      <c r="I1288">
        <v>0</v>
      </c>
      <c r="J1288" t="s">
        <v>37</v>
      </c>
    </row>
    <row r="1289" spans="1:10" x14ac:dyDescent="0.25">
      <c r="A1289" s="1">
        <v>340</v>
      </c>
      <c r="B1289" t="s">
        <v>41</v>
      </c>
      <c r="C1289">
        <v>30</v>
      </c>
      <c r="D1289">
        <v>1</v>
      </c>
      <c r="E1289" t="s">
        <v>71</v>
      </c>
      <c r="F1289" t="s">
        <v>72</v>
      </c>
      <c r="G1289" t="str">
        <f>"2025-10-24 13:17:06.867"</f>
        <v>2025-10-24 13:17:06.867</v>
      </c>
      <c r="H1289" t="s">
        <v>40</v>
      </c>
    </row>
    <row r="1290" spans="1:10" x14ac:dyDescent="0.25">
      <c r="A1290" s="1">
        <v>341</v>
      </c>
      <c r="B1290" t="s">
        <v>33</v>
      </c>
      <c r="C1290">
        <v>30</v>
      </c>
      <c r="D1290">
        <v>1</v>
      </c>
      <c r="E1290" t="s">
        <v>71</v>
      </c>
      <c r="F1290" t="s">
        <v>72</v>
      </c>
      <c r="G1290" t="str">
        <f>"2025-10-24 13:15:33.921"</f>
        <v>2025-10-24 13:15:33.921</v>
      </c>
      <c r="H1290" t="s">
        <v>40</v>
      </c>
      <c r="I1290">
        <v>18.420000000000002</v>
      </c>
      <c r="J1290" t="s">
        <v>54</v>
      </c>
    </row>
    <row r="1291" spans="1:10" x14ac:dyDescent="0.25">
      <c r="A1291" s="1">
        <v>342</v>
      </c>
      <c r="B1291" t="s">
        <v>41</v>
      </c>
      <c r="C1291">
        <v>30</v>
      </c>
      <c r="D1291">
        <v>1</v>
      </c>
      <c r="E1291" t="s">
        <v>71</v>
      </c>
      <c r="F1291" t="s">
        <v>72</v>
      </c>
      <c r="G1291" t="str">
        <f>"2025-10-24 13:14:20.521"</f>
        <v>2025-10-24 13:14:20.521</v>
      </c>
      <c r="H1291" t="s">
        <v>40</v>
      </c>
    </row>
    <row r="1292" spans="1:10" x14ac:dyDescent="0.25">
      <c r="A1292" s="1">
        <v>343</v>
      </c>
      <c r="B1292" t="s">
        <v>33</v>
      </c>
      <c r="C1292">
        <v>30</v>
      </c>
      <c r="D1292">
        <v>1</v>
      </c>
      <c r="E1292" t="s">
        <v>71</v>
      </c>
      <c r="F1292" t="s">
        <v>72</v>
      </c>
      <c r="G1292" t="str">
        <f>"2025-10-24 13:14:02.621"</f>
        <v>2025-10-24 13:14:02.621</v>
      </c>
      <c r="H1292" t="s">
        <v>40</v>
      </c>
      <c r="I1292">
        <v>13.96</v>
      </c>
      <c r="J1292" t="s">
        <v>54</v>
      </c>
    </row>
    <row r="1293" spans="1:10" s="3" customFormat="1" x14ac:dyDescent="0.25">
      <c r="A1293" s="2">
        <v>344</v>
      </c>
      <c r="B1293" s="3" t="s">
        <v>25</v>
      </c>
      <c r="C1293" s="3">
        <v>647</v>
      </c>
      <c r="D1293" s="3">
        <v>1</v>
      </c>
      <c r="E1293" s="3" t="s">
        <v>55</v>
      </c>
      <c r="F1293" s="3" t="s">
        <v>56</v>
      </c>
      <c r="G1293" s="3" t="str">
        <f>"2025-10-24 05:35:06.321"</f>
        <v>2025-10-24 05:35:06.321</v>
      </c>
      <c r="H1293" s="3" t="s">
        <v>21</v>
      </c>
    </row>
    <row r="1294" spans="1:10" s="3" customFormat="1" x14ac:dyDescent="0.25">
      <c r="A1294" s="2">
        <v>345</v>
      </c>
      <c r="B1294" s="3" t="s">
        <v>29</v>
      </c>
      <c r="C1294" s="3">
        <v>647</v>
      </c>
      <c r="D1294" s="3">
        <v>1</v>
      </c>
      <c r="E1294" s="3" t="s">
        <v>55</v>
      </c>
      <c r="F1294" s="3" t="s">
        <v>56</v>
      </c>
      <c r="G1294" s="3" t="str">
        <f>"2025-10-24 05:35:01.521"</f>
        <v>2025-10-24 05:35:01.521</v>
      </c>
      <c r="H1294" s="3" t="s">
        <v>21</v>
      </c>
      <c r="I1294" s="3">
        <v>9.5</v>
      </c>
      <c r="J1294" s="3" t="s">
        <v>54</v>
      </c>
    </row>
    <row r="1295" spans="1:10" x14ac:dyDescent="0.25">
      <c r="A1295" s="1">
        <v>346</v>
      </c>
      <c r="B1295" t="s">
        <v>25</v>
      </c>
      <c r="C1295">
        <v>635</v>
      </c>
      <c r="D1295">
        <v>1</v>
      </c>
      <c r="E1295" t="s">
        <v>45</v>
      </c>
      <c r="F1295" t="s">
        <v>27</v>
      </c>
      <c r="G1295" t="str">
        <f>"2025-10-24 05:00:37.020"</f>
        <v>2025-10-24 05:00:37.020</v>
      </c>
      <c r="H1295" t="s">
        <v>21</v>
      </c>
    </row>
    <row r="1296" spans="1:10" x14ac:dyDescent="0.25">
      <c r="A1296" s="1">
        <v>347</v>
      </c>
      <c r="B1296" t="s">
        <v>29</v>
      </c>
      <c r="C1296">
        <v>635</v>
      </c>
      <c r="D1296">
        <v>1</v>
      </c>
      <c r="E1296" t="s">
        <v>45</v>
      </c>
      <c r="F1296" t="s">
        <v>27</v>
      </c>
      <c r="G1296" t="str">
        <f>"2025-10-24 04:57:30.520"</f>
        <v>2025-10-24 04:57:30.520</v>
      </c>
      <c r="H1296" t="s">
        <v>21</v>
      </c>
      <c r="I1296">
        <v>4.4800000000000004</v>
      </c>
      <c r="J1296" t="s">
        <v>42</v>
      </c>
    </row>
    <row r="1297" spans="1:10" s="3" customFormat="1" x14ac:dyDescent="0.25">
      <c r="A1297" s="2">
        <v>348</v>
      </c>
      <c r="B1297" s="3" t="s">
        <v>25</v>
      </c>
      <c r="C1297" s="3">
        <v>647</v>
      </c>
      <c r="D1297" s="3">
        <v>1</v>
      </c>
      <c r="E1297" s="3" t="s">
        <v>55</v>
      </c>
      <c r="F1297" s="3" t="s">
        <v>56</v>
      </c>
      <c r="G1297" s="3" t="str">
        <f>"2025-10-24 04:40:36.421"</f>
        <v>2025-10-24 04:40:36.421</v>
      </c>
      <c r="H1297" s="3" t="s">
        <v>21</v>
      </c>
    </row>
    <row r="1298" spans="1:10" s="3" customFormat="1" x14ac:dyDescent="0.25">
      <c r="A1298" s="2">
        <v>349</v>
      </c>
      <c r="B1298" s="3" t="s">
        <v>29</v>
      </c>
      <c r="C1298" s="3">
        <v>647</v>
      </c>
      <c r="D1298" s="3">
        <v>1</v>
      </c>
      <c r="E1298" s="3" t="s">
        <v>55</v>
      </c>
      <c r="F1298" s="3" t="s">
        <v>56</v>
      </c>
      <c r="G1298" s="3" t="str">
        <f>"2025-10-24 04:40:34.521"</f>
        <v>2025-10-24 04:40:34.521</v>
      </c>
      <c r="H1298" s="3" t="s">
        <v>21</v>
      </c>
      <c r="I1298" s="3">
        <v>23.45</v>
      </c>
      <c r="J1298" s="3" t="s">
        <v>54</v>
      </c>
    </row>
    <row r="1299" spans="1:10" x14ac:dyDescent="0.25">
      <c r="A1299" s="1">
        <v>350</v>
      </c>
      <c r="B1299" t="s">
        <v>25</v>
      </c>
      <c r="C1299">
        <v>635</v>
      </c>
      <c r="D1299">
        <v>1</v>
      </c>
      <c r="E1299" t="s">
        <v>45</v>
      </c>
      <c r="F1299" t="s">
        <v>27</v>
      </c>
      <c r="G1299" t="str">
        <f>"2025-10-24 04:14:27.620"</f>
        <v>2025-10-24 04:14:27.620</v>
      </c>
      <c r="H1299" t="s">
        <v>21</v>
      </c>
    </row>
    <row r="1300" spans="1:10" x14ac:dyDescent="0.25">
      <c r="A1300" s="1">
        <v>351</v>
      </c>
      <c r="B1300" t="s">
        <v>29</v>
      </c>
      <c r="C1300">
        <v>635</v>
      </c>
      <c r="D1300">
        <v>1</v>
      </c>
      <c r="E1300" t="s">
        <v>45</v>
      </c>
      <c r="F1300" t="s">
        <v>27</v>
      </c>
      <c r="G1300" t="str">
        <f>"2025-10-24 04:11:00.620"</f>
        <v>2025-10-24 04:11:00.620</v>
      </c>
      <c r="H1300" t="s">
        <v>21</v>
      </c>
      <c r="I1300">
        <v>0</v>
      </c>
      <c r="J1300" t="s">
        <v>37</v>
      </c>
    </row>
    <row r="1301" spans="1:10" s="3" customFormat="1" x14ac:dyDescent="0.25">
      <c r="A1301" s="2">
        <v>352</v>
      </c>
      <c r="B1301" s="3" t="s">
        <v>25</v>
      </c>
      <c r="C1301" s="3">
        <v>647</v>
      </c>
      <c r="D1301" s="3">
        <v>1</v>
      </c>
      <c r="E1301" s="3" t="s">
        <v>55</v>
      </c>
      <c r="F1301" s="3" t="s">
        <v>56</v>
      </c>
      <c r="G1301" s="3" t="str">
        <f>"2025-10-24 02:22:17.421"</f>
        <v>2025-10-24 02:22:17.421</v>
      </c>
      <c r="H1301" s="3" t="s">
        <v>21</v>
      </c>
    </row>
    <row r="1302" spans="1:10" s="3" customFormat="1" x14ac:dyDescent="0.25">
      <c r="A1302" s="2">
        <v>353</v>
      </c>
      <c r="B1302" s="3" t="s">
        <v>29</v>
      </c>
      <c r="C1302" s="3">
        <v>647</v>
      </c>
      <c r="D1302" s="3">
        <v>1</v>
      </c>
      <c r="E1302" s="3" t="s">
        <v>55</v>
      </c>
      <c r="F1302" s="3" t="s">
        <v>56</v>
      </c>
      <c r="G1302" s="3" t="str">
        <f>"2025-10-24 02:22:14.721"</f>
        <v>2025-10-24 02:22:14.721</v>
      </c>
      <c r="H1302" s="3" t="s">
        <v>21</v>
      </c>
      <c r="I1302" s="3">
        <v>11.76</v>
      </c>
      <c r="J1302" s="3" t="s">
        <v>54</v>
      </c>
    </row>
    <row r="1303" spans="1:10" x14ac:dyDescent="0.25">
      <c r="A1303" s="1">
        <v>354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"2025-10-23 11:58:08.907"</f>
        <v>2025-10-23 11:58:08.907</v>
      </c>
      <c r="H1303" t="s">
        <v>21</v>
      </c>
    </row>
    <row r="1304" spans="1:10" x14ac:dyDescent="0.25">
      <c r="A1304" s="1">
        <v>355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"2025-10-23 10:58:10.918"</f>
        <v>2025-10-23 10:58:10.918</v>
      </c>
      <c r="H1304" t="s">
        <v>21</v>
      </c>
    </row>
    <row r="1305" spans="1:10" x14ac:dyDescent="0.25">
      <c r="A1305" s="1">
        <v>356</v>
      </c>
      <c r="B1305" t="s">
        <v>19</v>
      </c>
      <c r="C1305">
        <v>706</v>
      </c>
      <c r="D1305">
        <v>4</v>
      </c>
      <c r="E1305" t="s">
        <v>22</v>
      </c>
      <c r="F1305" t="s">
        <v>31</v>
      </c>
      <c r="G1305" t="str">
        <f>"2025-10-23 10:39:33.866"</f>
        <v>2025-10-23 10:39:33.866</v>
      </c>
      <c r="H1305" t="s">
        <v>21</v>
      </c>
      <c r="I1305">
        <v>0</v>
      </c>
      <c r="J1305" t="s">
        <v>24</v>
      </c>
    </row>
    <row r="1306" spans="1:10" x14ac:dyDescent="0.25">
      <c r="A1306" s="1">
        <v>357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"2025-10-23 10:31:50.896"</f>
        <v>2025-10-23 10:31:50.896</v>
      </c>
      <c r="H1306" t="s">
        <v>21</v>
      </c>
    </row>
    <row r="1307" spans="1:10" x14ac:dyDescent="0.25">
      <c r="A1307" s="1">
        <v>358</v>
      </c>
      <c r="B1307" t="s">
        <v>33</v>
      </c>
      <c r="C1307">
        <v>630</v>
      </c>
      <c r="D1307">
        <v>5</v>
      </c>
      <c r="E1307" t="s">
        <v>51</v>
      </c>
      <c r="F1307" t="s">
        <v>52</v>
      </c>
      <c r="G1307" t="str">
        <f>"2025-10-23 08:56:28.741"</f>
        <v>2025-10-23 08:56:28.741</v>
      </c>
      <c r="H1307" t="s">
        <v>40</v>
      </c>
      <c r="I1307">
        <v>0</v>
      </c>
      <c r="J1307" t="s">
        <v>24</v>
      </c>
    </row>
    <row r="1308" spans="1:10" x14ac:dyDescent="0.25">
      <c r="A1308" s="1">
        <v>359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"2025-10-23 08:51:25.929"</f>
        <v>2025-10-23 08:51:25.929</v>
      </c>
      <c r="H1308" t="s">
        <v>21</v>
      </c>
    </row>
    <row r="1309" spans="1:10" x14ac:dyDescent="0.25">
      <c r="A1309" s="1">
        <v>360</v>
      </c>
      <c r="B1309" t="s">
        <v>25</v>
      </c>
      <c r="C1309">
        <v>635</v>
      </c>
      <c r="D1309">
        <v>1</v>
      </c>
      <c r="E1309" t="s">
        <v>45</v>
      </c>
      <c r="F1309" t="s">
        <v>27</v>
      </c>
      <c r="G1309" t="str">
        <f>"2025-10-23 02:25:58.127"</f>
        <v>2025-10-23 02:25:58.127</v>
      </c>
      <c r="H1309" t="s">
        <v>21</v>
      </c>
    </row>
    <row r="1310" spans="1:10" x14ac:dyDescent="0.25">
      <c r="A1310" s="1">
        <v>361</v>
      </c>
      <c r="B1310" t="s">
        <v>29</v>
      </c>
      <c r="C1310">
        <v>635</v>
      </c>
      <c r="D1310">
        <v>1</v>
      </c>
      <c r="E1310" t="s">
        <v>45</v>
      </c>
      <c r="F1310" t="s">
        <v>27</v>
      </c>
      <c r="G1310" t="str">
        <f>"2025-10-23 02:08:02.227"</f>
        <v>2025-10-23 02:08:02.227</v>
      </c>
      <c r="H1310" t="s">
        <v>21</v>
      </c>
      <c r="I1310">
        <v>0</v>
      </c>
      <c r="J1310" t="s">
        <v>37</v>
      </c>
    </row>
    <row r="1311" spans="1:10" s="3" customFormat="1" x14ac:dyDescent="0.25">
      <c r="A1311" s="2">
        <v>362</v>
      </c>
      <c r="B1311" s="3" t="s">
        <v>25</v>
      </c>
      <c r="C1311" s="3">
        <v>647</v>
      </c>
      <c r="D1311" s="3">
        <v>1</v>
      </c>
      <c r="E1311" s="3" t="s">
        <v>55</v>
      </c>
      <c r="F1311" s="3" t="s">
        <v>56</v>
      </c>
      <c r="G1311" s="3" t="str">
        <f>"2025-10-23 01:10:29.327"</f>
        <v>2025-10-23 01:10:29.327</v>
      </c>
      <c r="H1311" s="3" t="s">
        <v>21</v>
      </c>
    </row>
    <row r="1312" spans="1:10" s="3" customFormat="1" x14ac:dyDescent="0.25">
      <c r="A1312" s="2">
        <v>363</v>
      </c>
      <c r="B1312" s="3" t="s">
        <v>29</v>
      </c>
      <c r="C1312" s="3">
        <v>647</v>
      </c>
      <c r="D1312" s="3">
        <v>1</v>
      </c>
      <c r="E1312" s="3" t="s">
        <v>55</v>
      </c>
      <c r="F1312" s="3" t="s">
        <v>56</v>
      </c>
      <c r="G1312" s="3" t="str">
        <f>"2025-10-23 01:10:28.028"</f>
        <v>2025-10-23 01:10:28.028</v>
      </c>
      <c r="H1312" s="3" t="s">
        <v>21</v>
      </c>
      <c r="I1312" s="3">
        <v>18.2</v>
      </c>
      <c r="J1312" s="3" t="s">
        <v>54</v>
      </c>
    </row>
    <row r="1313" spans="1:10" x14ac:dyDescent="0.25">
      <c r="A1313" s="1">
        <v>364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"2025-10-22 22:48:18.919"</f>
        <v>2025-10-22 22:48:18.919</v>
      </c>
      <c r="H1313" t="s">
        <v>21</v>
      </c>
    </row>
    <row r="1314" spans="1:10" x14ac:dyDescent="0.25">
      <c r="A1314" s="1">
        <v>365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"2025-10-22 22:41:02.959"</f>
        <v>2025-10-22 22:41:02.959</v>
      </c>
      <c r="H1314" t="s">
        <v>21</v>
      </c>
      <c r="I1314">
        <v>0</v>
      </c>
      <c r="J1314" t="s">
        <v>32</v>
      </c>
    </row>
    <row r="1315" spans="1:10" x14ac:dyDescent="0.25">
      <c r="A1315" s="1">
        <v>366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"2025-10-22 14:21:37.949"</f>
        <v>2025-10-22 14:21:37.949</v>
      </c>
      <c r="H1315" t="s">
        <v>21</v>
      </c>
      <c r="I1315">
        <v>0</v>
      </c>
      <c r="J1315" t="s">
        <v>32</v>
      </c>
    </row>
    <row r="1316" spans="1:10" x14ac:dyDescent="0.25">
      <c r="A1316" s="1">
        <v>367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"2025-10-22 08:54:28.944"</f>
        <v>2025-10-22 08:54:28.944</v>
      </c>
      <c r="H1316" t="s">
        <v>21</v>
      </c>
      <c r="I1316">
        <v>0</v>
      </c>
      <c r="J1316" t="s">
        <v>32</v>
      </c>
    </row>
    <row r="1317" spans="1:10" x14ac:dyDescent="0.25">
      <c r="A1317" s="1">
        <v>368</v>
      </c>
      <c r="B1317" t="s">
        <v>25</v>
      </c>
      <c r="C1317">
        <v>635</v>
      </c>
      <c r="D1317">
        <v>1</v>
      </c>
      <c r="E1317" t="s">
        <v>45</v>
      </c>
      <c r="F1317" t="s">
        <v>27</v>
      </c>
      <c r="G1317" t="str">
        <f>"2025-10-22 06:15:59.728"</f>
        <v>2025-10-22 06:15:59.728</v>
      </c>
      <c r="H1317" t="s">
        <v>21</v>
      </c>
    </row>
    <row r="1318" spans="1:10" x14ac:dyDescent="0.25">
      <c r="A1318" s="1">
        <v>369</v>
      </c>
      <c r="B1318" t="s">
        <v>29</v>
      </c>
      <c r="C1318">
        <v>635</v>
      </c>
      <c r="D1318">
        <v>1</v>
      </c>
      <c r="E1318" t="s">
        <v>45</v>
      </c>
      <c r="F1318" t="s">
        <v>27</v>
      </c>
      <c r="G1318" t="str">
        <f>"2025-10-22 06:09:38.728"</f>
        <v>2025-10-22 06:09:38.728</v>
      </c>
      <c r="H1318" t="s">
        <v>21</v>
      </c>
      <c r="I1318">
        <v>0</v>
      </c>
      <c r="J1318" t="s">
        <v>37</v>
      </c>
    </row>
    <row r="1319" spans="1:10" s="3" customFormat="1" x14ac:dyDescent="0.25">
      <c r="A1319" s="2">
        <v>370</v>
      </c>
      <c r="B1319" s="3" t="s">
        <v>25</v>
      </c>
      <c r="C1319" s="3">
        <v>647</v>
      </c>
      <c r="D1319" s="3">
        <v>1</v>
      </c>
      <c r="E1319" s="3" t="s">
        <v>55</v>
      </c>
      <c r="F1319" s="3" t="s">
        <v>56</v>
      </c>
      <c r="G1319" s="3" t="str">
        <f>"2025-10-22 02:55:08.228"</f>
        <v>2025-10-22 02:55:08.228</v>
      </c>
      <c r="H1319" s="3" t="s">
        <v>21</v>
      </c>
    </row>
    <row r="1320" spans="1:10" s="3" customFormat="1" x14ac:dyDescent="0.25">
      <c r="A1320" s="2">
        <v>371</v>
      </c>
      <c r="B1320" s="3" t="s">
        <v>29</v>
      </c>
      <c r="C1320" s="3">
        <v>647</v>
      </c>
      <c r="D1320" s="3">
        <v>1</v>
      </c>
      <c r="E1320" s="3" t="s">
        <v>55</v>
      </c>
      <c r="F1320" s="3" t="s">
        <v>56</v>
      </c>
      <c r="G1320" s="3" t="str">
        <f>"2025-10-22 02:55:06.128"</f>
        <v>2025-10-22 02:55:06.128</v>
      </c>
      <c r="H1320" s="3" t="s">
        <v>21</v>
      </c>
      <c r="I1320" s="3">
        <v>10.86</v>
      </c>
      <c r="J1320" s="3" t="s">
        <v>54</v>
      </c>
    </row>
    <row r="1321" spans="1:10" x14ac:dyDescent="0.25">
      <c r="A1321" s="1">
        <v>372</v>
      </c>
      <c r="B1321" t="s">
        <v>25</v>
      </c>
      <c r="C1321">
        <v>98</v>
      </c>
      <c r="D1321">
        <v>1</v>
      </c>
      <c r="E1321" t="s">
        <v>64</v>
      </c>
      <c r="F1321" t="s">
        <v>65</v>
      </c>
      <c r="G1321" t="str">
        <f>"2025-10-21 20:47:12.841"</f>
        <v>2025-10-21 20:47:12.841</v>
      </c>
      <c r="H1321" t="s">
        <v>21</v>
      </c>
    </row>
    <row r="1322" spans="1:10" x14ac:dyDescent="0.25">
      <c r="A1322" s="1">
        <v>373</v>
      </c>
      <c r="B1322" t="s">
        <v>29</v>
      </c>
      <c r="C1322">
        <v>98</v>
      </c>
      <c r="D1322">
        <v>1</v>
      </c>
      <c r="E1322" t="s">
        <v>64</v>
      </c>
      <c r="F1322" t="s">
        <v>65</v>
      </c>
      <c r="G1322" t="str">
        <f>"2025-10-21 20:47:11.841"</f>
        <v>2025-10-21 20:47:11.841</v>
      </c>
      <c r="H1322" t="s">
        <v>21</v>
      </c>
      <c r="I1322">
        <v>0</v>
      </c>
      <c r="J1322" t="s">
        <v>37</v>
      </c>
    </row>
    <row r="1323" spans="1:10" s="3" customFormat="1" x14ac:dyDescent="0.25">
      <c r="A1323" s="2">
        <v>374</v>
      </c>
      <c r="B1323" s="3" t="s">
        <v>25</v>
      </c>
      <c r="C1323" s="3">
        <v>647</v>
      </c>
      <c r="D1323" s="3">
        <v>1</v>
      </c>
      <c r="E1323" s="3" t="s">
        <v>55</v>
      </c>
      <c r="F1323" s="3" t="s">
        <v>56</v>
      </c>
      <c r="G1323" s="3" t="str">
        <f>"2025-10-20 21:29:01.128"</f>
        <v>2025-10-20 21:29:01.128</v>
      </c>
      <c r="H1323" s="3" t="s">
        <v>21</v>
      </c>
    </row>
    <row r="1324" spans="1:10" s="3" customFormat="1" x14ac:dyDescent="0.25">
      <c r="A1324" s="2">
        <v>375</v>
      </c>
      <c r="B1324" s="3" t="s">
        <v>29</v>
      </c>
      <c r="C1324" s="3">
        <v>647</v>
      </c>
      <c r="D1324" s="3">
        <v>1</v>
      </c>
      <c r="E1324" s="3" t="s">
        <v>55</v>
      </c>
      <c r="F1324" s="3" t="s">
        <v>56</v>
      </c>
      <c r="G1324" s="3" t="str">
        <f>"2025-10-20 21:28:55.628"</f>
        <v>2025-10-20 21:28:55.628</v>
      </c>
      <c r="H1324" s="3" t="s">
        <v>21</v>
      </c>
      <c r="I1324" s="3">
        <v>14.32</v>
      </c>
      <c r="J1324" s="3" t="s">
        <v>54</v>
      </c>
    </row>
    <row r="1325" spans="1:10" s="3" customFormat="1" x14ac:dyDescent="0.25">
      <c r="A1325" s="2">
        <v>376</v>
      </c>
      <c r="B1325" s="3" t="s">
        <v>25</v>
      </c>
      <c r="C1325" s="3">
        <v>647</v>
      </c>
      <c r="D1325" s="3">
        <v>1</v>
      </c>
      <c r="E1325" s="3" t="s">
        <v>55</v>
      </c>
      <c r="F1325" s="3" t="s">
        <v>56</v>
      </c>
      <c r="G1325" s="3" t="str">
        <f>"2025-10-20 20:28:27.428"</f>
        <v>2025-10-20 20:28:27.428</v>
      </c>
      <c r="H1325" s="3" t="s">
        <v>21</v>
      </c>
    </row>
    <row r="1326" spans="1:10" s="3" customFormat="1" x14ac:dyDescent="0.25">
      <c r="A1326" s="2">
        <v>377</v>
      </c>
      <c r="B1326" s="3" t="s">
        <v>29</v>
      </c>
      <c r="C1326" s="3">
        <v>647</v>
      </c>
      <c r="D1326" s="3">
        <v>1</v>
      </c>
      <c r="E1326" s="3" t="s">
        <v>55</v>
      </c>
      <c r="F1326" s="3" t="s">
        <v>56</v>
      </c>
      <c r="G1326" s="3" t="str">
        <f>"2025-10-20 20:28:24.129"</f>
        <v>2025-10-20 20:28:24.129</v>
      </c>
      <c r="H1326" s="3" t="s">
        <v>21</v>
      </c>
      <c r="I1326" s="3">
        <v>18.13</v>
      </c>
      <c r="J1326" s="3" t="s">
        <v>54</v>
      </c>
    </row>
    <row r="1327" spans="1:10" x14ac:dyDescent="0.25">
      <c r="A1327" s="1">
        <v>378</v>
      </c>
      <c r="B1327" t="s">
        <v>19</v>
      </c>
      <c r="C1327">
        <v>700</v>
      </c>
      <c r="D1327">
        <v>0</v>
      </c>
      <c r="E1327" t="s">
        <v>20</v>
      </c>
      <c r="F1327" t="s">
        <v>20</v>
      </c>
      <c r="G1327" t="str">
        <f>"2025-10-20 10:20:49.929"</f>
        <v>2025-10-20 10:20:49.929</v>
      </c>
      <c r="H1327" t="s">
        <v>21</v>
      </c>
      <c r="I1327">
        <v>0</v>
      </c>
      <c r="J1327" t="s">
        <v>32</v>
      </c>
    </row>
    <row r="1328" spans="1:10" s="3" customFormat="1" x14ac:dyDescent="0.25">
      <c r="A1328" s="2">
        <v>379</v>
      </c>
      <c r="B1328" s="3" t="s">
        <v>25</v>
      </c>
      <c r="C1328" s="3">
        <v>647</v>
      </c>
      <c r="D1328" s="3">
        <v>1</v>
      </c>
      <c r="E1328" s="3" t="s">
        <v>55</v>
      </c>
      <c r="F1328" s="3" t="s">
        <v>56</v>
      </c>
      <c r="G1328" s="3" t="str">
        <f>"2025-10-20 07:02:53.091"</f>
        <v>2025-10-20 07:02:53.091</v>
      </c>
      <c r="H1328" s="3" t="s">
        <v>21</v>
      </c>
    </row>
    <row r="1329" spans="1:10" s="3" customFormat="1" x14ac:dyDescent="0.25">
      <c r="A1329" s="2">
        <v>380</v>
      </c>
      <c r="B1329" s="3" t="s">
        <v>29</v>
      </c>
      <c r="C1329" s="3">
        <v>647</v>
      </c>
      <c r="D1329" s="3">
        <v>1</v>
      </c>
      <c r="E1329" s="3" t="s">
        <v>55</v>
      </c>
      <c r="F1329" s="3" t="s">
        <v>56</v>
      </c>
      <c r="G1329" s="3" t="str">
        <f>"2025-10-20 07:02:44.991"</f>
        <v>2025-10-20 07:02:44.991</v>
      </c>
      <c r="H1329" s="3" t="s">
        <v>21</v>
      </c>
      <c r="I1329" s="3">
        <v>14.29</v>
      </c>
      <c r="J1329" s="3" t="s">
        <v>54</v>
      </c>
    </row>
    <row r="1330" spans="1:10" s="3" customFormat="1" x14ac:dyDescent="0.25">
      <c r="A1330" s="2">
        <v>381</v>
      </c>
      <c r="B1330" s="3" t="s">
        <v>25</v>
      </c>
      <c r="C1330" s="3">
        <v>647</v>
      </c>
      <c r="D1330" s="3">
        <v>1</v>
      </c>
      <c r="E1330" s="3" t="s">
        <v>55</v>
      </c>
      <c r="F1330" s="3" t="s">
        <v>56</v>
      </c>
      <c r="G1330" s="3" t="str">
        <f>"2025-10-20 06:59:45.491"</f>
        <v>2025-10-20 06:59:45.491</v>
      </c>
      <c r="H1330" s="3" t="s">
        <v>21</v>
      </c>
    </row>
    <row r="1331" spans="1:10" s="3" customFormat="1" x14ac:dyDescent="0.25">
      <c r="A1331" s="2">
        <v>382</v>
      </c>
      <c r="B1331" s="3" t="s">
        <v>29</v>
      </c>
      <c r="C1331" s="3">
        <v>647</v>
      </c>
      <c r="D1331" s="3">
        <v>1</v>
      </c>
      <c r="E1331" s="3" t="s">
        <v>55</v>
      </c>
      <c r="F1331" s="3" t="s">
        <v>56</v>
      </c>
      <c r="G1331" s="3" t="str">
        <f>"2025-10-20 06:59:41.192"</f>
        <v>2025-10-20 06:59:41.192</v>
      </c>
      <c r="H1331" s="3" t="s">
        <v>21</v>
      </c>
      <c r="I1331" s="3">
        <v>16.98</v>
      </c>
      <c r="J1331" s="3" t="s">
        <v>54</v>
      </c>
    </row>
    <row r="1332" spans="1:10" x14ac:dyDescent="0.25">
      <c r="A1332" s="1">
        <v>383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"2025-10-20 05:12:44.083"</f>
        <v>2025-10-20 05:12:44.083</v>
      </c>
      <c r="H1332" t="s">
        <v>21</v>
      </c>
      <c r="I1332">
        <v>0</v>
      </c>
      <c r="J1332" t="s">
        <v>32</v>
      </c>
    </row>
    <row r="1333" spans="1:10" s="3" customFormat="1" x14ac:dyDescent="0.25">
      <c r="A1333" s="2">
        <v>384</v>
      </c>
      <c r="B1333" s="3" t="s">
        <v>25</v>
      </c>
      <c r="C1333" s="3">
        <v>647</v>
      </c>
      <c r="D1333" s="3">
        <v>1</v>
      </c>
      <c r="E1333" s="3" t="s">
        <v>55</v>
      </c>
      <c r="F1333" s="3" t="s">
        <v>56</v>
      </c>
      <c r="G1333" s="3" t="str">
        <f>"2025-10-20 01:23:22.244"</f>
        <v>2025-10-20 01:23:22.244</v>
      </c>
      <c r="H1333" s="3" t="s">
        <v>21</v>
      </c>
    </row>
    <row r="1334" spans="1:10" s="3" customFormat="1" x14ac:dyDescent="0.25">
      <c r="A1334" s="2">
        <v>385</v>
      </c>
      <c r="B1334" s="3" t="s">
        <v>29</v>
      </c>
      <c r="C1334" s="3">
        <v>647</v>
      </c>
      <c r="D1334" s="3">
        <v>1</v>
      </c>
      <c r="E1334" s="3" t="s">
        <v>55</v>
      </c>
      <c r="F1334" s="3" t="s">
        <v>56</v>
      </c>
      <c r="G1334" s="3" t="str">
        <f>"2025-10-20 01:23:19.944"</f>
        <v>2025-10-20 01:23:19.944</v>
      </c>
      <c r="H1334" s="3" t="s">
        <v>21</v>
      </c>
      <c r="I1334" s="3">
        <v>9.1300000000000008</v>
      </c>
      <c r="J1334" s="3" t="s">
        <v>54</v>
      </c>
    </row>
    <row r="1335" spans="1:10" x14ac:dyDescent="0.25">
      <c r="A1335" s="1">
        <v>386</v>
      </c>
      <c r="B1335" t="s">
        <v>25</v>
      </c>
      <c r="C1335">
        <v>635</v>
      </c>
      <c r="D1335">
        <v>1</v>
      </c>
      <c r="E1335" t="s">
        <v>45</v>
      </c>
      <c r="F1335" t="s">
        <v>27</v>
      </c>
      <c r="G1335" t="str">
        <f>"2025-10-19 22:58:21.644"</f>
        <v>2025-10-19 22:58:21.644</v>
      </c>
      <c r="H1335" t="s">
        <v>21</v>
      </c>
    </row>
    <row r="1336" spans="1:10" x14ac:dyDescent="0.25">
      <c r="A1336" s="1">
        <v>387</v>
      </c>
      <c r="B1336" t="s">
        <v>29</v>
      </c>
      <c r="C1336">
        <v>635</v>
      </c>
      <c r="D1336">
        <v>1</v>
      </c>
      <c r="E1336" t="s">
        <v>45</v>
      </c>
      <c r="F1336" t="s">
        <v>27</v>
      </c>
      <c r="G1336" t="str">
        <f>"2025-10-19 22:51:47.644"</f>
        <v>2025-10-19 22:51:47.644</v>
      </c>
      <c r="H1336" t="s">
        <v>21</v>
      </c>
      <c r="I1336">
        <v>0</v>
      </c>
      <c r="J1336" t="s">
        <v>37</v>
      </c>
    </row>
    <row r="1337" spans="1:10" x14ac:dyDescent="0.25">
      <c r="A1337" s="1">
        <v>388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"2025-10-18 13:29:48.919"</f>
        <v>2025-10-18 13:29:48.919</v>
      </c>
      <c r="H1337" t="s">
        <v>21</v>
      </c>
    </row>
    <row r="1338" spans="1:10" x14ac:dyDescent="0.25">
      <c r="A1338" s="1">
        <v>389</v>
      </c>
      <c r="B1338" t="s">
        <v>25</v>
      </c>
      <c r="C1338">
        <v>635</v>
      </c>
      <c r="D1338">
        <v>1</v>
      </c>
      <c r="E1338" t="s">
        <v>45</v>
      </c>
      <c r="F1338" t="s">
        <v>27</v>
      </c>
      <c r="G1338" t="str">
        <f>"2025-10-17 04:26:59.274"</f>
        <v>2025-10-17 04:26:59.274</v>
      </c>
      <c r="H1338" t="s">
        <v>21</v>
      </c>
    </row>
    <row r="1339" spans="1:10" x14ac:dyDescent="0.25">
      <c r="A1339" s="1">
        <v>390</v>
      </c>
      <c r="B1339" t="s">
        <v>29</v>
      </c>
      <c r="C1339">
        <v>635</v>
      </c>
      <c r="D1339">
        <v>1</v>
      </c>
      <c r="E1339" t="s">
        <v>45</v>
      </c>
      <c r="F1339" t="s">
        <v>27</v>
      </c>
      <c r="G1339" t="str">
        <f>"2025-10-17 04:20:06.774"</f>
        <v>2025-10-17 04:20:06.774</v>
      </c>
      <c r="H1339" t="s">
        <v>21</v>
      </c>
      <c r="I1339">
        <v>0.14000000000000001</v>
      </c>
      <c r="J1339" t="s">
        <v>37</v>
      </c>
    </row>
    <row r="1340" spans="1:10" x14ac:dyDescent="0.25">
      <c r="A1340" s="1">
        <v>391</v>
      </c>
      <c r="B1340" t="s">
        <v>25</v>
      </c>
      <c r="C1340">
        <v>635</v>
      </c>
      <c r="D1340">
        <v>1</v>
      </c>
      <c r="E1340" t="s">
        <v>45</v>
      </c>
      <c r="F1340" t="s">
        <v>27</v>
      </c>
      <c r="G1340" t="str">
        <f>"2025-10-16 19:16:36.074"</f>
        <v>2025-10-16 19:16:36.074</v>
      </c>
      <c r="H1340" t="s">
        <v>21</v>
      </c>
    </row>
    <row r="1341" spans="1:10" x14ac:dyDescent="0.25">
      <c r="A1341" s="1">
        <v>392</v>
      </c>
      <c r="B1341" t="s">
        <v>29</v>
      </c>
      <c r="C1341">
        <v>635</v>
      </c>
      <c r="D1341">
        <v>1</v>
      </c>
      <c r="E1341" t="s">
        <v>45</v>
      </c>
      <c r="F1341" t="s">
        <v>27</v>
      </c>
      <c r="G1341" t="str">
        <f>"2025-10-16 18:56:33.074"</f>
        <v>2025-10-16 18:56:33.074</v>
      </c>
      <c r="H1341" t="s">
        <v>21</v>
      </c>
      <c r="I1341">
        <v>8.48</v>
      </c>
      <c r="J1341" t="s">
        <v>54</v>
      </c>
    </row>
    <row r="1342" spans="1:10" x14ac:dyDescent="0.25">
      <c r="A1342" s="1">
        <v>393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"2025-10-16 09:07:08.907"</f>
        <v>2025-10-16 09:07:08.907</v>
      </c>
      <c r="H1342" t="s">
        <v>21</v>
      </c>
      <c r="I1342">
        <v>0</v>
      </c>
      <c r="J1342" t="s">
        <v>32</v>
      </c>
    </row>
    <row r="1343" spans="1:10" s="3" customFormat="1" x14ac:dyDescent="0.25">
      <c r="A1343" s="2">
        <v>394</v>
      </c>
      <c r="B1343" s="3" t="s">
        <v>25</v>
      </c>
      <c r="C1343" s="3">
        <v>647</v>
      </c>
      <c r="D1343" s="3">
        <v>1</v>
      </c>
      <c r="E1343" s="3" t="s">
        <v>55</v>
      </c>
      <c r="F1343" s="3" t="s">
        <v>56</v>
      </c>
      <c r="G1343" s="3" t="str">
        <f>"2025-10-16 05:43:00.026"</f>
        <v>2025-10-16 05:43:00.026</v>
      </c>
      <c r="H1343" s="3" t="s">
        <v>21</v>
      </c>
    </row>
    <row r="1344" spans="1:10" s="3" customFormat="1" x14ac:dyDescent="0.25">
      <c r="A1344" s="2">
        <v>395</v>
      </c>
      <c r="B1344" s="3" t="s">
        <v>29</v>
      </c>
      <c r="C1344" s="3">
        <v>647</v>
      </c>
      <c r="D1344" s="3">
        <v>1</v>
      </c>
      <c r="E1344" s="3" t="s">
        <v>55</v>
      </c>
      <c r="F1344" s="3" t="s">
        <v>56</v>
      </c>
      <c r="G1344" s="3" t="str">
        <f>"2025-10-16 05:42:57.926"</f>
        <v>2025-10-16 05:42:57.926</v>
      </c>
      <c r="H1344" s="3" t="s">
        <v>21</v>
      </c>
      <c r="I1344" s="3">
        <v>21.07</v>
      </c>
      <c r="J1344" s="3" t="s">
        <v>54</v>
      </c>
    </row>
    <row r="1345" spans="1:10" x14ac:dyDescent="0.25">
      <c r="A1345" s="1">
        <v>396</v>
      </c>
      <c r="B1345" t="s">
        <v>25</v>
      </c>
      <c r="C1345">
        <v>635</v>
      </c>
      <c r="D1345">
        <v>1</v>
      </c>
      <c r="E1345" t="s">
        <v>45</v>
      </c>
      <c r="F1345" t="s">
        <v>27</v>
      </c>
      <c r="G1345" t="str">
        <f>"2025-10-14 09:20:09.978"</f>
        <v>2025-10-14 09:20:09.978</v>
      </c>
      <c r="H1345" t="s">
        <v>21</v>
      </c>
    </row>
    <row r="1346" spans="1:10" x14ac:dyDescent="0.25">
      <c r="A1346" s="1">
        <v>397</v>
      </c>
      <c r="B1346" t="s">
        <v>29</v>
      </c>
      <c r="C1346">
        <v>635</v>
      </c>
      <c r="D1346">
        <v>1</v>
      </c>
      <c r="E1346" t="s">
        <v>45</v>
      </c>
      <c r="F1346" t="s">
        <v>27</v>
      </c>
      <c r="G1346" t="str">
        <f>"2025-10-14 08:46:20.078"</f>
        <v>2025-10-14 08:46:20.078</v>
      </c>
      <c r="H1346" t="s">
        <v>21</v>
      </c>
      <c r="I1346">
        <v>7.78</v>
      </c>
      <c r="J1346" t="s">
        <v>42</v>
      </c>
    </row>
    <row r="1347" spans="1:10" x14ac:dyDescent="0.25">
      <c r="A1347" s="1">
        <v>398</v>
      </c>
      <c r="B1347" t="s">
        <v>25</v>
      </c>
      <c r="C1347">
        <v>635</v>
      </c>
      <c r="D1347">
        <v>1</v>
      </c>
      <c r="E1347" t="s">
        <v>45</v>
      </c>
      <c r="F1347" t="s">
        <v>27</v>
      </c>
      <c r="G1347" t="str">
        <f>"2025-10-14 02:09:44.078"</f>
        <v>2025-10-14 02:09:44.078</v>
      </c>
      <c r="H1347" t="s">
        <v>21</v>
      </c>
    </row>
    <row r="1348" spans="1:10" x14ac:dyDescent="0.25">
      <c r="A1348" s="1">
        <v>399</v>
      </c>
      <c r="B1348" t="s">
        <v>29</v>
      </c>
      <c r="C1348">
        <v>635</v>
      </c>
      <c r="D1348">
        <v>1</v>
      </c>
      <c r="E1348" t="s">
        <v>45</v>
      </c>
      <c r="F1348" t="s">
        <v>27</v>
      </c>
      <c r="G1348" t="str">
        <f>"2025-10-14 02:03:32.578"</f>
        <v>2025-10-14 02:03:32.578</v>
      </c>
      <c r="H1348" t="s">
        <v>21</v>
      </c>
      <c r="I1348">
        <v>5.05</v>
      </c>
      <c r="J1348" t="s">
        <v>54</v>
      </c>
    </row>
    <row r="1349" spans="1:10" x14ac:dyDescent="0.25">
      <c r="A1349" s="1">
        <v>400</v>
      </c>
      <c r="B1349" t="s">
        <v>25</v>
      </c>
      <c r="C1349">
        <v>635</v>
      </c>
      <c r="D1349">
        <v>1</v>
      </c>
      <c r="E1349" t="s">
        <v>45</v>
      </c>
      <c r="F1349" t="s">
        <v>27</v>
      </c>
      <c r="G1349" t="str">
        <f>"2025-10-13 16:05:34.478"</f>
        <v>2025-10-13 16:05:34.478</v>
      </c>
      <c r="H1349" t="s">
        <v>21</v>
      </c>
    </row>
    <row r="1350" spans="1:10" x14ac:dyDescent="0.25">
      <c r="A1350" s="1">
        <v>401</v>
      </c>
      <c r="B1350" t="s">
        <v>29</v>
      </c>
      <c r="C1350">
        <v>635</v>
      </c>
      <c r="D1350">
        <v>1</v>
      </c>
      <c r="E1350" t="s">
        <v>45</v>
      </c>
      <c r="F1350" t="s">
        <v>27</v>
      </c>
      <c r="G1350" t="str">
        <f>"2025-10-13 16:03:32.979"</f>
        <v>2025-10-13 16:03:32.979</v>
      </c>
      <c r="H1350" t="s">
        <v>21</v>
      </c>
      <c r="I1350">
        <v>9.7200000000000006</v>
      </c>
      <c r="J1350" t="s">
        <v>42</v>
      </c>
    </row>
    <row r="1351" spans="1:10" x14ac:dyDescent="0.25">
      <c r="A1351" s="1">
        <v>402</v>
      </c>
      <c r="B1351" t="s">
        <v>19</v>
      </c>
      <c r="C1351">
        <v>706</v>
      </c>
      <c r="D1351">
        <v>4</v>
      </c>
      <c r="E1351" t="s">
        <v>22</v>
      </c>
      <c r="F1351" t="s">
        <v>31</v>
      </c>
      <c r="G1351" t="str">
        <f>"2025-10-12 17:42:33.640"</f>
        <v>2025-10-12 17:42:33.640</v>
      </c>
      <c r="H1351" t="s">
        <v>21</v>
      </c>
      <c r="I1351">
        <v>0</v>
      </c>
      <c r="J1351" t="s">
        <v>24</v>
      </c>
    </row>
    <row r="1352" spans="1:10" x14ac:dyDescent="0.25">
      <c r="A1352" s="1">
        <v>403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"2025-10-12 17:35:17.920"</f>
        <v>2025-10-12 17:35:17.920</v>
      </c>
      <c r="H1352" t="s">
        <v>21</v>
      </c>
      <c r="I1352">
        <v>0</v>
      </c>
      <c r="J1352" t="s">
        <v>32</v>
      </c>
    </row>
    <row r="1353" spans="1:10" x14ac:dyDescent="0.25">
      <c r="A1353" s="1">
        <v>404</v>
      </c>
      <c r="B1353" t="s">
        <v>33</v>
      </c>
      <c r="C1353">
        <v>47</v>
      </c>
      <c r="D1353">
        <v>2</v>
      </c>
      <c r="E1353" t="s">
        <v>49</v>
      </c>
      <c r="F1353" t="s">
        <v>50</v>
      </c>
      <c r="G1353" t="str">
        <f>"2025-10-12 17:33:18.531"</f>
        <v>2025-10-12 17:33:18.531</v>
      </c>
      <c r="H1353" t="s">
        <v>36</v>
      </c>
      <c r="I1353">
        <v>0</v>
      </c>
      <c r="J1353" t="s">
        <v>37</v>
      </c>
    </row>
    <row r="1354" spans="1:10" x14ac:dyDescent="0.25">
      <c r="A1354" s="1">
        <v>405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"2025-10-12 17:29:49.899"</f>
        <v>2025-10-12 17:29:49.899</v>
      </c>
      <c r="H1354" t="s">
        <v>21</v>
      </c>
    </row>
    <row r="1355" spans="1:10" x14ac:dyDescent="0.25">
      <c r="A1355" s="1">
        <v>406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"2025-10-12 05:51:07.907"</f>
        <v>2025-10-12 05:51:07.907</v>
      </c>
      <c r="H1355" t="s">
        <v>21</v>
      </c>
    </row>
    <row r="1356" spans="1:10" x14ac:dyDescent="0.25">
      <c r="A1356" s="1">
        <v>407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"2025-10-12 05:11:10.908"</f>
        <v>2025-10-12 05:11:10.908</v>
      </c>
      <c r="H1356" t="s">
        <v>21</v>
      </c>
    </row>
    <row r="1357" spans="1:10" x14ac:dyDescent="0.25">
      <c r="A1357" s="1">
        <v>408</v>
      </c>
      <c r="B1357" t="s">
        <v>19</v>
      </c>
      <c r="C1357">
        <v>706</v>
      </c>
      <c r="D1357">
        <v>4</v>
      </c>
      <c r="E1357" t="s">
        <v>22</v>
      </c>
      <c r="F1357" t="s">
        <v>31</v>
      </c>
      <c r="G1357" t="str">
        <f>"2025-10-12 05:00:08.234"</f>
        <v>2025-10-12 05:00:08.234</v>
      </c>
      <c r="H1357" t="s">
        <v>21</v>
      </c>
      <c r="I1357">
        <v>0</v>
      </c>
      <c r="J1357" t="s">
        <v>24</v>
      </c>
    </row>
    <row r="1358" spans="1:10" x14ac:dyDescent="0.25">
      <c r="A1358" s="1">
        <v>409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"2025-10-12 04:45:52.944"</f>
        <v>2025-10-12 04:45:52.944</v>
      </c>
      <c r="H1358" t="s">
        <v>21</v>
      </c>
      <c r="I1358">
        <v>0</v>
      </c>
      <c r="J1358" t="s">
        <v>32</v>
      </c>
    </row>
    <row r="1359" spans="1:10" x14ac:dyDescent="0.25">
      <c r="A1359" s="1">
        <v>410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"2025-10-11 12:39:02.918"</f>
        <v>2025-10-11 12:39:02.918</v>
      </c>
      <c r="H1359" t="s">
        <v>21</v>
      </c>
    </row>
    <row r="1360" spans="1:10" x14ac:dyDescent="0.25">
      <c r="A1360" s="1">
        <v>411</v>
      </c>
      <c r="B1360" t="s">
        <v>25</v>
      </c>
      <c r="C1360">
        <v>635</v>
      </c>
      <c r="D1360">
        <v>1</v>
      </c>
      <c r="E1360" t="s">
        <v>45</v>
      </c>
      <c r="F1360" t="s">
        <v>27</v>
      </c>
      <c r="G1360" t="str">
        <f>"2025-10-10 10:40:07.853"</f>
        <v>2025-10-10 10:40:07.853</v>
      </c>
      <c r="H1360" t="s">
        <v>21</v>
      </c>
    </row>
    <row r="1361" spans="1:10" x14ac:dyDescent="0.25">
      <c r="A1361" s="1">
        <v>412</v>
      </c>
      <c r="B1361" t="s">
        <v>29</v>
      </c>
      <c r="C1361">
        <v>635</v>
      </c>
      <c r="D1361">
        <v>1</v>
      </c>
      <c r="E1361" t="s">
        <v>45</v>
      </c>
      <c r="F1361" t="s">
        <v>27</v>
      </c>
      <c r="G1361" t="str">
        <f>"2025-10-10 10:37:38.854"</f>
        <v>2025-10-10 10:37:38.854</v>
      </c>
      <c r="H1361" t="s">
        <v>21</v>
      </c>
      <c r="I1361">
        <v>2.58</v>
      </c>
      <c r="J1361" t="s">
        <v>42</v>
      </c>
    </row>
    <row r="1362" spans="1:10" x14ac:dyDescent="0.25">
      <c r="A1362" s="1">
        <v>413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"2025-10-10 09:04:54.903"</f>
        <v>2025-10-10 09:04:54.903</v>
      </c>
      <c r="H1362" t="s">
        <v>21</v>
      </c>
    </row>
    <row r="1363" spans="1:10" x14ac:dyDescent="0.25">
      <c r="A1363" s="1">
        <v>414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"2025-10-09 09:54:01.918"</f>
        <v>2025-10-09 09:54:01.918</v>
      </c>
      <c r="H1363" t="s">
        <v>21</v>
      </c>
      <c r="I1363">
        <v>0</v>
      </c>
      <c r="J1363" t="s">
        <v>32</v>
      </c>
    </row>
    <row r="1364" spans="1:10" s="3" customFormat="1" x14ac:dyDescent="0.25">
      <c r="A1364" s="2">
        <v>415</v>
      </c>
      <c r="B1364" s="3" t="s">
        <v>25</v>
      </c>
      <c r="C1364" s="3">
        <v>647</v>
      </c>
      <c r="D1364" s="3">
        <v>1</v>
      </c>
      <c r="E1364" s="3" t="s">
        <v>55</v>
      </c>
      <c r="F1364" s="3" t="s">
        <v>56</v>
      </c>
      <c r="G1364" s="3" t="str">
        <f>"2025-10-09 06:14:51.621"</f>
        <v>2025-10-09 06:14:51.621</v>
      </c>
      <c r="H1364" s="3" t="s">
        <v>21</v>
      </c>
    </row>
    <row r="1365" spans="1:10" s="3" customFormat="1" x14ac:dyDescent="0.25">
      <c r="A1365" s="2">
        <v>416</v>
      </c>
      <c r="B1365" s="3" t="s">
        <v>29</v>
      </c>
      <c r="C1365" s="3">
        <v>647</v>
      </c>
      <c r="D1365" s="3">
        <v>1</v>
      </c>
      <c r="E1365" s="3" t="s">
        <v>55</v>
      </c>
      <c r="F1365" s="3" t="s">
        <v>56</v>
      </c>
      <c r="G1365" s="3" t="str">
        <f>"2025-10-09 06:14:47.322"</f>
        <v>2025-10-09 06:14:47.322</v>
      </c>
      <c r="H1365" s="3" t="s">
        <v>21</v>
      </c>
      <c r="I1365" s="3">
        <v>8.42</v>
      </c>
      <c r="J1365" s="3" t="s">
        <v>54</v>
      </c>
    </row>
    <row r="1366" spans="1:10" x14ac:dyDescent="0.25">
      <c r="A1366" s="1">
        <v>417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"2025-10-08 17:09:31.898"</f>
        <v>2025-10-08 17:09:31.898</v>
      </c>
      <c r="H1366" t="s">
        <v>21</v>
      </c>
    </row>
    <row r="1367" spans="1:10" x14ac:dyDescent="0.25">
      <c r="A1367" s="1">
        <v>418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"2025-10-07 15:44:36.931"</f>
        <v>2025-10-07 15:44:36.931</v>
      </c>
      <c r="H1367" t="s">
        <v>21</v>
      </c>
    </row>
    <row r="1368" spans="1:10" x14ac:dyDescent="0.25">
      <c r="A1368" s="1">
        <v>419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"2025-10-05 13:03:55.920"</f>
        <v>2025-10-05 13:03:55.920</v>
      </c>
      <c r="H1368" t="s">
        <v>21</v>
      </c>
    </row>
    <row r="1369" spans="1:10" x14ac:dyDescent="0.25">
      <c r="A1369" s="1">
        <v>420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"2025-10-05 12:51:28.921"</f>
        <v>2025-10-05 12:51:28.921</v>
      </c>
      <c r="H1369" t="s">
        <v>21</v>
      </c>
      <c r="I1369">
        <v>0</v>
      </c>
      <c r="J1369" t="s">
        <v>32</v>
      </c>
    </row>
    <row r="1370" spans="1:10" x14ac:dyDescent="0.25">
      <c r="A1370" s="1">
        <v>421</v>
      </c>
      <c r="B1370" t="s">
        <v>25</v>
      </c>
      <c r="C1370">
        <v>635</v>
      </c>
      <c r="D1370">
        <v>1</v>
      </c>
      <c r="E1370" t="s">
        <v>45</v>
      </c>
      <c r="F1370" t="s">
        <v>27</v>
      </c>
      <c r="G1370" t="str">
        <f>"2025-10-04 19:34:06.498"</f>
        <v>2025-10-04 19:34:06.498</v>
      </c>
      <c r="H1370" t="s">
        <v>21</v>
      </c>
    </row>
    <row r="1371" spans="1:10" x14ac:dyDescent="0.25">
      <c r="A1371" s="1">
        <v>422</v>
      </c>
      <c r="B1371" t="s">
        <v>29</v>
      </c>
      <c r="C1371">
        <v>635</v>
      </c>
      <c r="D1371">
        <v>1</v>
      </c>
      <c r="E1371" t="s">
        <v>45</v>
      </c>
      <c r="F1371" t="s">
        <v>27</v>
      </c>
      <c r="G1371" t="str">
        <f>"2025-10-04 19:04:37.098"</f>
        <v>2025-10-04 19:04:37.098</v>
      </c>
      <c r="H1371" t="s">
        <v>21</v>
      </c>
      <c r="I1371">
        <v>7.38</v>
      </c>
      <c r="J1371" t="s">
        <v>42</v>
      </c>
    </row>
    <row r="1372" spans="1:10" x14ac:dyDescent="0.25">
      <c r="A1372" s="1">
        <v>423</v>
      </c>
      <c r="B1372" t="s">
        <v>25</v>
      </c>
      <c r="C1372">
        <v>635</v>
      </c>
      <c r="D1372">
        <v>1</v>
      </c>
      <c r="E1372" t="s">
        <v>45</v>
      </c>
      <c r="F1372" t="s">
        <v>27</v>
      </c>
      <c r="G1372" t="str">
        <f>"2025-10-04 17:14:20.198"</f>
        <v>2025-10-04 17:14:20.198</v>
      </c>
      <c r="H1372" t="s">
        <v>21</v>
      </c>
    </row>
    <row r="1373" spans="1:10" x14ac:dyDescent="0.25">
      <c r="A1373" s="1">
        <v>424</v>
      </c>
      <c r="B1373" t="s">
        <v>29</v>
      </c>
      <c r="C1373">
        <v>635</v>
      </c>
      <c r="D1373">
        <v>1</v>
      </c>
      <c r="E1373" t="s">
        <v>45</v>
      </c>
      <c r="F1373" t="s">
        <v>27</v>
      </c>
      <c r="G1373" t="str">
        <f>"2025-10-04 16:44:43.798"</f>
        <v>2025-10-04 16:44:43.798</v>
      </c>
      <c r="H1373" t="s">
        <v>21</v>
      </c>
      <c r="I1373">
        <v>8.33</v>
      </c>
      <c r="J1373" t="s">
        <v>42</v>
      </c>
    </row>
    <row r="1374" spans="1:10" s="3" customFormat="1" x14ac:dyDescent="0.25">
      <c r="A1374" s="2">
        <v>425</v>
      </c>
      <c r="B1374" s="3" t="s">
        <v>25</v>
      </c>
      <c r="C1374" s="3">
        <v>647</v>
      </c>
      <c r="D1374" s="3">
        <v>1</v>
      </c>
      <c r="E1374" s="3" t="s">
        <v>55</v>
      </c>
      <c r="F1374" s="3" t="s">
        <v>56</v>
      </c>
      <c r="G1374" s="3" t="str">
        <f>"2025-10-04 16:19:54.252"</f>
        <v>2025-10-04 16:19:54.252</v>
      </c>
      <c r="H1374" s="3" t="s">
        <v>21</v>
      </c>
    </row>
    <row r="1375" spans="1:10" s="3" customFormat="1" x14ac:dyDescent="0.25">
      <c r="A1375" s="2">
        <v>426</v>
      </c>
      <c r="B1375" s="3" t="s">
        <v>29</v>
      </c>
      <c r="C1375" s="3">
        <v>647</v>
      </c>
      <c r="D1375" s="3">
        <v>1</v>
      </c>
      <c r="E1375" s="3" t="s">
        <v>55</v>
      </c>
      <c r="F1375" s="3" t="s">
        <v>56</v>
      </c>
      <c r="G1375" s="3" t="str">
        <f>"2025-10-04 16:19:51.152"</f>
        <v>2025-10-04 16:19:51.152</v>
      </c>
      <c r="H1375" s="3" t="s">
        <v>21</v>
      </c>
      <c r="I1375" s="3">
        <v>11.3</v>
      </c>
      <c r="J1375" s="3" t="s">
        <v>54</v>
      </c>
    </row>
    <row r="1376" spans="1:10" x14ac:dyDescent="0.25">
      <c r="A1376" s="1">
        <v>427</v>
      </c>
      <c r="B1376" t="s">
        <v>25</v>
      </c>
      <c r="C1376">
        <v>635</v>
      </c>
      <c r="D1376">
        <v>1</v>
      </c>
      <c r="E1376" t="s">
        <v>45</v>
      </c>
      <c r="F1376" t="s">
        <v>27</v>
      </c>
      <c r="G1376" t="str">
        <f>"2025-10-04 14:53:20.398"</f>
        <v>2025-10-04 14:53:20.398</v>
      </c>
      <c r="H1376" t="s">
        <v>21</v>
      </c>
    </row>
    <row r="1377" spans="1:10" x14ac:dyDescent="0.25">
      <c r="A1377" s="1">
        <v>428</v>
      </c>
      <c r="B1377" t="s">
        <v>29</v>
      </c>
      <c r="C1377">
        <v>635</v>
      </c>
      <c r="D1377">
        <v>1</v>
      </c>
      <c r="E1377" t="s">
        <v>45</v>
      </c>
      <c r="F1377" t="s">
        <v>27</v>
      </c>
      <c r="G1377" t="str">
        <f>"2025-10-04 14:24:13.498"</f>
        <v>2025-10-04 14:24:13.498</v>
      </c>
      <c r="H1377" t="s">
        <v>21</v>
      </c>
      <c r="I1377">
        <v>5.15</v>
      </c>
      <c r="J1377" t="s">
        <v>42</v>
      </c>
    </row>
    <row r="1378" spans="1:10" x14ac:dyDescent="0.25">
      <c r="A1378" s="1">
        <v>429</v>
      </c>
      <c r="B1378" t="s">
        <v>25</v>
      </c>
      <c r="C1378">
        <v>635</v>
      </c>
      <c r="D1378">
        <v>1</v>
      </c>
      <c r="E1378" t="s">
        <v>45</v>
      </c>
      <c r="F1378" t="s">
        <v>27</v>
      </c>
      <c r="G1378" t="str">
        <f>"2025-10-04 10:35:39.798"</f>
        <v>2025-10-04 10:35:39.798</v>
      </c>
      <c r="H1378" t="s">
        <v>21</v>
      </c>
    </row>
    <row r="1379" spans="1:10" x14ac:dyDescent="0.25">
      <c r="A1379" s="1">
        <v>430</v>
      </c>
      <c r="B1379" t="s">
        <v>29</v>
      </c>
      <c r="C1379">
        <v>635</v>
      </c>
      <c r="D1379">
        <v>1</v>
      </c>
      <c r="E1379" t="s">
        <v>45</v>
      </c>
      <c r="F1379" t="s">
        <v>27</v>
      </c>
      <c r="G1379" t="str">
        <f>"2025-10-04 10:14:14.898"</f>
        <v>2025-10-04 10:14:14.898</v>
      </c>
      <c r="H1379" t="s">
        <v>21</v>
      </c>
      <c r="I1379">
        <v>8.14</v>
      </c>
      <c r="J1379" t="s">
        <v>42</v>
      </c>
    </row>
    <row r="1380" spans="1:10" x14ac:dyDescent="0.25">
      <c r="A1380" s="1">
        <v>431</v>
      </c>
      <c r="B1380" t="s">
        <v>25</v>
      </c>
      <c r="C1380">
        <v>635</v>
      </c>
      <c r="D1380">
        <v>1</v>
      </c>
      <c r="E1380" t="s">
        <v>45</v>
      </c>
      <c r="F1380" t="s">
        <v>27</v>
      </c>
      <c r="G1380" t="str">
        <f>"2025-10-04 10:02:21.898"</f>
        <v>2025-10-04 10:02:21.898</v>
      </c>
      <c r="H1380" t="s">
        <v>21</v>
      </c>
    </row>
    <row r="1381" spans="1:10" x14ac:dyDescent="0.25">
      <c r="A1381" s="1">
        <v>432</v>
      </c>
      <c r="B1381" t="s">
        <v>29</v>
      </c>
      <c r="C1381">
        <v>635</v>
      </c>
      <c r="D1381">
        <v>1</v>
      </c>
      <c r="E1381" t="s">
        <v>45</v>
      </c>
      <c r="F1381" t="s">
        <v>27</v>
      </c>
      <c r="G1381" t="str">
        <f>"2025-10-04 09:42:43.398"</f>
        <v>2025-10-04 09:42:43.398</v>
      </c>
      <c r="H1381" t="s">
        <v>21</v>
      </c>
      <c r="I1381">
        <v>4.62</v>
      </c>
      <c r="J1381" t="s">
        <v>54</v>
      </c>
    </row>
    <row r="1382" spans="1:10" x14ac:dyDescent="0.25">
      <c r="A1382" s="1">
        <v>433</v>
      </c>
      <c r="B1382" t="s">
        <v>25</v>
      </c>
      <c r="C1382">
        <v>635</v>
      </c>
      <c r="D1382">
        <v>1</v>
      </c>
      <c r="E1382" t="s">
        <v>45</v>
      </c>
      <c r="F1382" t="s">
        <v>27</v>
      </c>
      <c r="G1382" t="str">
        <f>"2025-10-03 17:46:26.298"</f>
        <v>2025-10-03 17:46:26.298</v>
      </c>
      <c r="H1382" t="s">
        <v>21</v>
      </c>
    </row>
    <row r="1383" spans="1:10" x14ac:dyDescent="0.25">
      <c r="A1383" s="1">
        <v>434</v>
      </c>
      <c r="B1383" t="s">
        <v>29</v>
      </c>
      <c r="C1383">
        <v>635</v>
      </c>
      <c r="D1383">
        <v>1</v>
      </c>
      <c r="E1383" t="s">
        <v>45</v>
      </c>
      <c r="F1383" t="s">
        <v>27</v>
      </c>
      <c r="G1383" t="str">
        <f>"2025-10-03 17:16:23.298"</f>
        <v>2025-10-03 17:16:23.298</v>
      </c>
      <c r="H1383" t="s">
        <v>21</v>
      </c>
      <c r="I1383">
        <v>5.52</v>
      </c>
      <c r="J1383" t="s">
        <v>42</v>
      </c>
    </row>
    <row r="1384" spans="1:10" x14ac:dyDescent="0.25">
      <c r="A1384" s="1">
        <v>435</v>
      </c>
      <c r="B1384" t="s">
        <v>25</v>
      </c>
      <c r="C1384">
        <v>635</v>
      </c>
      <c r="D1384">
        <v>1</v>
      </c>
      <c r="E1384" t="s">
        <v>45</v>
      </c>
      <c r="F1384" t="s">
        <v>27</v>
      </c>
      <c r="G1384" t="str">
        <f>"2025-10-03 17:00:55.398"</f>
        <v>2025-10-03 17:00:55.398</v>
      </c>
      <c r="H1384" t="s">
        <v>21</v>
      </c>
    </row>
    <row r="1385" spans="1:10" x14ac:dyDescent="0.25">
      <c r="A1385" s="1">
        <v>436</v>
      </c>
      <c r="B1385" t="s">
        <v>29</v>
      </c>
      <c r="C1385">
        <v>635</v>
      </c>
      <c r="D1385">
        <v>1</v>
      </c>
      <c r="E1385" t="s">
        <v>45</v>
      </c>
      <c r="F1385" t="s">
        <v>27</v>
      </c>
      <c r="G1385" t="str">
        <f>"2025-10-03 16:30:49.898"</f>
        <v>2025-10-03 16:30:49.898</v>
      </c>
      <c r="H1385" t="s">
        <v>21</v>
      </c>
      <c r="I1385">
        <v>5.26</v>
      </c>
      <c r="J1385" t="s">
        <v>42</v>
      </c>
    </row>
    <row r="1386" spans="1:10" x14ac:dyDescent="0.25">
      <c r="A1386" s="1">
        <v>437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"2025-10-03 10:43:20.906"</f>
        <v>2025-10-03 10:43:20.906</v>
      </c>
      <c r="H1386" t="s">
        <v>21</v>
      </c>
    </row>
    <row r="1387" spans="1:10" x14ac:dyDescent="0.25">
      <c r="A1387" s="1">
        <v>438</v>
      </c>
      <c r="B1387" t="s">
        <v>25</v>
      </c>
      <c r="C1387">
        <v>635</v>
      </c>
      <c r="D1387">
        <v>1</v>
      </c>
      <c r="E1387" t="s">
        <v>45</v>
      </c>
      <c r="F1387" t="s">
        <v>27</v>
      </c>
      <c r="G1387" t="str">
        <f>"2025-10-03 08:41:13.794"</f>
        <v>2025-10-03 08:41:13.794</v>
      </c>
      <c r="H1387" t="s">
        <v>21</v>
      </c>
    </row>
    <row r="1388" spans="1:10" x14ac:dyDescent="0.25">
      <c r="A1388" s="1">
        <v>439</v>
      </c>
      <c r="B1388" t="s">
        <v>29</v>
      </c>
      <c r="C1388">
        <v>635</v>
      </c>
      <c r="D1388">
        <v>1</v>
      </c>
      <c r="E1388" t="s">
        <v>45</v>
      </c>
      <c r="F1388" t="s">
        <v>27</v>
      </c>
      <c r="G1388" t="str">
        <f>"2025-10-03 08:11:14.394"</f>
        <v>2025-10-03 08:11:14.394</v>
      </c>
      <c r="H1388" t="s">
        <v>21</v>
      </c>
      <c r="I1388">
        <v>3.71</v>
      </c>
      <c r="J1388" t="s">
        <v>42</v>
      </c>
    </row>
    <row r="1389" spans="1:10" x14ac:dyDescent="0.25">
      <c r="A1389" s="1">
        <v>440</v>
      </c>
      <c r="B1389" t="s">
        <v>25</v>
      </c>
      <c r="C1389">
        <v>635</v>
      </c>
      <c r="D1389">
        <v>1</v>
      </c>
      <c r="E1389" t="s">
        <v>45</v>
      </c>
      <c r="F1389" t="s">
        <v>27</v>
      </c>
      <c r="G1389" t="str">
        <f>"2025-10-03 05:37:37.094"</f>
        <v>2025-10-03 05:37:37.094</v>
      </c>
      <c r="H1389" t="s">
        <v>21</v>
      </c>
    </row>
    <row r="1390" spans="1:10" x14ac:dyDescent="0.25">
      <c r="A1390" s="1">
        <v>441</v>
      </c>
      <c r="B1390" t="s">
        <v>29</v>
      </c>
      <c r="C1390">
        <v>635</v>
      </c>
      <c r="D1390">
        <v>1</v>
      </c>
      <c r="E1390" t="s">
        <v>45</v>
      </c>
      <c r="F1390" t="s">
        <v>27</v>
      </c>
      <c r="G1390" t="str">
        <f>"2025-10-03 05:08:46.094"</f>
        <v>2025-10-03 05:08:46.094</v>
      </c>
      <c r="H1390" t="s">
        <v>21</v>
      </c>
      <c r="I1390">
        <v>5.32</v>
      </c>
      <c r="J1390" t="s">
        <v>42</v>
      </c>
    </row>
    <row r="1391" spans="1:10" s="3" customFormat="1" x14ac:dyDescent="0.25">
      <c r="A1391" s="2">
        <v>443</v>
      </c>
      <c r="B1391" s="3" t="s">
        <v>25</v>
      </c>
      <c r="C1391" s="3">
        <v>647</v>
      </c>
      <c r="D1391" s="3">
        <v>1</v>
      </c>
      <c r="E1391" s="3" t="s">
        <v>55</v>
      </c>
      <c r="F1391" s="3" t="s">
        <v>56</v>
      </c>
      <c r="G1391" s="3" t="str">
        <f>"2025-10-01 17:07:15.148"</f>
        <v>2025-10-01 17:07:15.148</v>
      </c>
      <c r="H1391" s="3" t="s">
        <v>21</v>
      </c>
    </row>
    <row r="1392" spans="1:10" s="3" customFormat="1" x14ac:dyDescent="0.25">
      <c r="A1392" s="2">
        <v>444</v>
      </c>
      <c r="B1392" s="3" t="s">
        <v>29</v>
      </c>
      <c r="C1392" s="3">
        <v>647</v>
      </c>
      <c r="D1392" s="3">
        <v>1</v>
      </c>
      <c r="E1392" s="3" t="s">
        <v>55</v>
      </c>
      <c r="F1392" s="3" t="s">
        <v>56</v>
      </c>
      <c r="G1392" s="3" t="str">
        <f>"2025-10-01 17:07:11.648"</f>
        <v>2025-10-01 17:07:11.648</v>
      </c>
      <c r="H1392" s="3" t="s">
        <v>21</v>
      </c>
      <c r="I1392" s="3">
        <v>8.98</v>
      </c>
      <c r="J1392" s="3" t="s">
        <v>54</v>
      </c>
    </row>
    <row r="1393" spans="1:10" x14ac:dyDescent="0.25">
      <c r="A1393" s="1">
        <v>445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"2025-10-01 15:20:34.891"</f>
        <v>2025-10-01 15:20:34.891</v>
      </c>
      <c r="H1393" t="s">
        <v>21</v>
      </c>
    </row>
    <row r="1394" spans="1:10" x14ac:dyDescent="0.25">
      <c r="A1394" s="1">
        <v>446</v>
      </c>
      <c r="B1394" t="s">
        <v>19</v>
      </c>
      <c r="C1394">
        <v>706</v>
      </c>
      <c r="D1394">
        <v>4</v>
      </c>
      <c r="E1394" t="s">
        <v>22</v>
      </c>
      <c r="F1394" t="s">
        <v>31</v>
      </c>
      <c r="G1394" t="str">
        <f>"2025-10-01 15:09:16.237"</f>
        <v>2025-10-01 15:09:16.237</v>
      </c>
      <c r="H1394" t="s">
        <v>21</v>
      </c>
      <c r="I1394">
        <v>0</v>
      </c>
      <c r="J1394" t="s">
        <v>24</v>
      </c>
    </row>
    <row r="1395" spans="1:10" x14ac:dyDescent="0.25">
      <c r="A1395" s="1">
        <v>447</v>
      </c>
      <c r="B1395" t="s">
        <v>19</v>
      </c>
      <c r="C1395">
        <v>700</v>
      </c>
      <c r="D1395">
        <v>0</v>
      </c>
      <c r="E1395" t="s">
        <v>20</v>
      </c>
      <c r="F1395" t="s">
        <v>20</v>
      </c>
      <c r="G1395" t="str">
        <f>"2025-10-01 14:48:40.897"</f>
        <v>2025-10-01 14:48:40.897</v>
      </c>
      <c r="H1395" t="s">
        <v>21</v>
      </c>
      <c r="I1395">
        <v>0</v>
      </c>
      <c r="J1395" t="s">
        <v>32</v>
      </c>
    </row>
    <row r="1396" spans="1:10" x14ac:dyDescent="0.25">
      <c r="A1396" s="1">
        <v>448</v>
      </c>
      <c r="B1396" t="s">
        <v>19</v>
      </c>
      <c r="C1396">
        <v>700</v>
      </c>
      <c r="D1396">
        <v>0</v>
      </c>
      <c r="E1396" t="s">
        <v>20</v>
      </c>
      <c r="F1396" t="s">
        <v>20</v>
      </c>
      <c r="G1396" t="str">
        <f>"2025-10-01 14:01:19.019"</f>
        <v>2025-10-01 14:01:19.019</v>
      </c>
      <c r="H1396" t="s">
        <v>21</v>
      </c>
    </row>
    <row r="1397" spans="1:10" x14ac:dyDescent="0.25">
      <c r="A1397" s="1">
        <v>449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"2025-09-30 07:59:32.135"</f>
        <v>2025-09-30 07:59:32.135</v>
      </c>
      <c r="H1397" t="s">
        <v>21</v>
      </c>
    </row>
    <row r="1398" spans="1:10" x14ac:dyDescent="0.25">
      <c r="A1398" s="1">
        <v>450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"2025-09-28 11:09:56.941"</f>
        <v>2025-09-28 11:09:56.941</v>
      </c>
      <c r="H1398" t="s">
        <v>21</v>
      </c>
    </row>
    <row r="1399" spans="1:10" x14ac:dyDescent="0.25">
      <c r="A1399" s="1">
        <v>451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"2025-09-27 13:18:25.127"</f>
        <v>2025-09-27 13:18:25.127</v>
      </c>
      <c r="H1399" t="s">
        <v>21</v>
      </c>
    </row>
    <row r="1400" spans="1:10" x14ac:dyDescent="0.25">
      <c r="A1400" s="1">
        <v>452</v>
      </c>
      <c r="B1400" t="s">
        <v>25</v>
      </c>
      <c r="C1400">
        <v>635</v>
      </c>
      <c r="D1400">
        <v>1</v>
      </c>
      <c r="E1400" t="s">
        <v>45</v>
      </c>
      <c r="F1400" t="s">
        <v>27</v>
      </c>
      <c r="G1400" t="str">
        <f>"2025-09-26 17:25:56.400"</f>
        <v>2025-09-26 17:25:56.400</v>
      </c>
      <c r="H1400" t="s">
        <v>21</v>
      </c>
    </row>
    <row r="1401" spans="1:10" x14ac:dyDescent="0.25">
      <c r="A1401" s="1">
        <v>453</v>
      </c>
      <c r="B1401" t="s">
        <v>29</v>
      </c>
      <c r="C1401">
        <v>635</v>
      </c>
      <c r="D1401">
        <v>1</v>
      </c>
      <c r="E1401" t="s">
        <v>45</v>
      </c>
      <c r="F1401" t="s">
        <v>27</v>
      </c>
      <c r="G1401" t="str">
        <f>"2025-09-26 17:18:05.400"</f>
        <v>2025-09-26 17:18:05.400</v>
      </c>
      <c r="H1401" t="s">
        <v>21</v>
      </c>
      <c r="I1401">
        <v>3.14</v>
      </c>
      <c r="J1401" t="s">
        <v>54</v>
      </c>
    </row>
    <row r="1402" spans="1:10" s="3" customFormat="1" x14ac:dyDescent="0.25">
      <c r="A1402" s="2">
        <v>454</v>
      </c>
      <c r="B1402" s="3" t="s">
        <v>25</v>
      </c>
      <c r="C1402" s="3">
        <v>647</v>
      </c>
      <c r="D1402" s="3">
        <v>1</v>
      </c>
      <c r="E1402" s="3" t="s">
        <v>55</v>
      </c>
      <c r="F1402" s="3" t="s">
        <v>56</v>
      </c>
      <c r="G1402" s="3" t="str">
        <f>"2025-09-26 12:41:45.554"</f>
        <v>2025-09-26 12:41:45.554</v>
      </c>
      <c r="H1402" s="3" t="s">
        <v>21</v>
      </c>
    </row>
    <row r="1403" spans="1:10" s="3" customFormat="1" x14ac:dyDescent="0.25">
      <c r="A1403" s="2">
        <v>455</v>
      </c>
      <c r="B1403" s="3" t="s">
        <v>29</v>
      </c>
      <c r="C1403" s="3">
        <v>647</v>
      </c>
      <c r="D1403" s="3">
        <v>1</v>
      </c>
      <c r="E1403" s="3" t="s">
        <v>55</v>
      </c>
      <c r="F1403" s="3" t="s">
        <v>56</v>
      </c>
      <c r="G1403" s="3" t="str">
        <f>"2025-09-26 12:41:37.854"</f>
        <v>2025-09-26 12:41:37.854</v>
      </c>
      <c r="H1403" s="3" t="s">
        <v>21</v>
      </c>
      <c r="I1403" s="3">
        <v>8.6199999999999992</v>
      </c>
      <c r="J1403" s="3" t="s">
        <v>54</v>
      </c>
    </row>
    <row r="1404" spans="1:10" s="3" customFormat="1" x14ac:dyDescent="0.25">
      <c r="A1404" s="2">
        <v>456</v>
      </c>
      <c r="B1404" s="3" t="s">
        <v>25</v>
      </c>
      <c r="C1404" s="3">
        <v>647</v>
      </c>
      <c r="D1404" s="3">
        <v>1</v>
      </c>
      <c r="E1404" s="3" t="s">
        <v>55</v>
      </c>
      <c r="F1404" s="3" t="s">
        <v>56</v>
      </c>
      <c r="G1404" s="3" t="str">
        <f>"2025-09-26 00:53:29.854"</f>
        <v>2025-09-26 00:53:29.854</v>
      </c>
      <c r="H1404" s="3" t="s">
        <v>21</v>
      </c>
    </row>
    <row r="1405" spans="1:10" s="3" customFormat="1" x14ac:dyDescent="0.25">
      <c r="A1405" s="2">
        <v>457</v>
      </c>
      <c r="B1405" s="3" t="s">
        <v>29</v>
      </c>
      <c r="C1405" s="3">
        <v>647</v>
      </c>
      <c r="D1405" s="3">
        <v>1</v>
      </c>
      <c r="E1405" s="3" t="s">
        <v>55</v>
      </c>
      <c r="F1405" s="3" t="s">
        <v>56</v>
      </c>
      <c r="G1405" s="3" t="str">
        <f>"2025-09-26 00:53:27.754"</f>
        <v>2025-09-26 00:53:27.754</v>
      </c>
      <c r="H1405" s="3" t="s">
        <v>21</v>
      </c>
      <c r="I1405" s="3">
        <v>11.13</v>
      </c>
      <c r="J1405" s="3" t="s">
        <v>54</v>
      </c>
    </row>
    <row r="1406" spans="1:10" x14ac:dyDescent="0.25">
      <c r="A1406" s="1">
        <v>458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"2025-09-25 09:44:42.112"</f>
        <v>2025-09-25 09:44:42.112</v>
      </c>
      <c r="H1406" t="s">
        <v>21</v>
      </c>
    </row>
    <row r="1407" spans="1:10" x14ac:dyDescent="0.25">
      <c r="A1407" s="1">
        <v>459</v>
      </c>
      <c r="B1407" t="s">
        <v>25</v>
      </c>
      <c r="C1407">
        <v>635</v>
      </c>
      <c r="D1407">
        <v>1</v>
      </c>
      <c r="E1407" t="s">
        <v>45</v>
      </c>
      <c r="F1407" t="s">
        <v>27</v>
      </c>
      <c r="G1407" t="str">
        <f>"2025-09-24 16:53:10.793"</f>
        <v>2025-09-24 16:53:10.793</v>
      </c>
      <c r="H1407" t="s">
        <v>21</v>
      </c>
    </row>
    <row r="1408" spans="1:10" x14ac:dyDescent="0.25">
      <c r="A1408" s="1">
        <v>460</v>
      </c>
      <c r="B1408" t="s">
        <v>29</v>
      </c>
      <c r="C1408">
        <v>635</v>
      </c>
      <c r="D1408">
        <v>1</v>
      </c>
      <c r="E1408" t="s">
        <v>45</v>
      </c>
      <c r="F1408" t="s">
        <v>27</v>
      </c>
      <c r="G1408" t="str">
        <f>"2025-09-24 16:28:30.793"</f>
        <v>2025-09-24 16:28:30.793</v>
      </c>
      <c r="H1408" t="s">
        <v>21</v>
      </c>
      <c r="I1408">
        <v>6.67</v>
      </c>
      <c r="J1408" t="s">
        <v>42</v>
      </c>
    </row>
    <row r="1409" spans="1:10" x14ac:dyDescent="0.25">
      <c r="A1409" s="1">
        <v>461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"2025-09-24 14:43:48.913"</f>
        <v>2025-09-24 14:43:48.913</v>
      </c>
      <c r="H1409" t="s">
        <v>21</v>
      </c>
      <c r="I1409">
        <v>0</v>
      </c>
      <c r="J1409" t="s">
        <v>32</v>
      </c>
    </row>
    <row r="1410" spans="1:10" s="3" customFormat="1" x14ac:dyDescent="0.25">
      <c r="A1410" s="2">
        <v>462</v>
      </c>
      <c r="B1410" s="3" t="s">
        <v>25</v>
      </c>
      <c r="C1410" s="3">
        <v>647</v>
      </c>
      <c r="D1410" s="3">
        <v>1</v>
      </c>
      <c r="E1410" s="3" t="s">
        <v>55</v>
      </c>
      <c r="F1410" s="3" t="s">
        <v>56</v>
      </c>
      <c r="G1410" s="3" t="str">
        <f>"2025-09-24 02:37:02.246"</f>
        <v>2025-09-24 02:37:02.246</v>
      </c>
      <c r="H1410" s="3" t="s">
        <v>21</v>
      </c>
    </row>
    <row r="1411" spans="1:10" s="3" customFormat="1" x14ac:dyDescent="0.25">
      <c r="A1411" s="2">
        <v>463</v>
      </c>
      <c r="B1411" s="3" t="s">
        <v>29</v>
      </c>
      <c r="C1411" s="3">
        <v>647</v>
      </c>
      <c r="D1411" s="3">
        <v>1</v>
      </c>
      <c r="E1411" s="3" t="s">
        <v>55</v>
      </c>
      <c r="F1411" s="3" t="s">
        <v>56</v>
      </c>
      <c r="G1411" s="3" t="str">
        <f>"2025-09-24 02:37:00.146"</f>
        <v>2025-09-24 02:37:00.146</v>
      </c>
      <c r="H1411" s="3" t="s">
        <v>21</v>
      </c>
      <c r="I1411" s="3">
        <v>9.3000000000000007</v>
      </c>
      <c r="J1411" s="3" t="s">
        <v>54</v>
      </c>
    </row>
    <row r="1412" spans="1:10" x14ac:dyDescent="0.25">
      <c r="A1412" s="1">
        <v>464</v>
      </c>
      <c r="B1412" t="s">
        <v>25</v>
      </c>
      <c r="C1412">
        <v>635</v>
      </c>
      <c r="D1412">
        <v>1</v>
      </c>
      <c r="E1412" t="s">
        <v>45</v>
      </c>
      <c r="F1412" t="s">
        <v>27</v>
      </c>
      <c r="G1412" t="str">
        <f>"2025-09-23 17:23:40.345"</f>
        <v>2025-09-23 17:23:40.345</v>
      </c>
      <c r="H1412" t="s">
        <v>21</v>
      </c>
    </row>
    <row r="1413" spans="1:10" x14ac:dyDescent="0.25">
      <c r="A1413" s="1">
        <v>465</v>
      </c>
      <c r="B1413" t="s">
        <v>29</v>
      </c>
      <c r="C1413">
        <v>635</v>
      </c>
      <c r="D1413">
        <v>1</v>
      </c>
      <c r="E1413" t="s">
        <v>45</v>
      </c>
      <c r="F1413" t="s">
        <v>27</v>
      </c>
      <c r="G1413" t="str">
        <f>"2025-09-23 16:58:21.345"</f>
        <v>2025-09-23 16:58:21.345</v>
      </c>
      <c r="H1413" t="s">
        <v>21</v>
      </c>
      <c r="I1413">
        <v>6.89</v>
      </c>
      <c r="J1413" t="s">
        <v>42</v>
      </c>
    </row>
    <row r="1414" spans="1:10" x14ac:dyDescent="0.25">
      <c r="A1414" s="1">
        <v>466</v>
      </c>
      <c r="B1414" t="s">
        <v>25</v>
      </c>
      <c r="C1414">
        <v>635</v>
      </c>
      <c r="D1414">
        <v>1</v>
      </c>
      <c r="E1414" t="s">
        <v>45</v>
      </c>
      <c r="F1414" t="s">
        <v>27</v>
      </c>
      <c r="G1414" t="str">
        <f>"2025-09-22 16:03:41.045"</f>
        <v>2025-09-22 16:03:41.045</v>
      </c>
      <c r="H1414" t="s">
        <v>21</v>
      </c>
    </row>
    <row r="1415" spans="1:10" x14ac:dyDescent="0.25">
      <c r="A1415" s="1">
        <v>467</v>
      </c>
      <c r="B1415" t="s">
        <v>29</v>
      </c>
      <c r="C1415">
        <v>635</v>
      </c>
      <c r="D1415">
        <v>1</v>
      </c>
      <c r="E1415" t="s">
        <v>45</v>
      </c>
      <c r="F1415" t="s">
        <v>27</v>
      </c>
      <c r="G1415" t="str">
        <f>"2025-09-22 15:44:12.145"</f>
        <v>2025-09-22 15:44:12.145</v>
      </c>
      <c r="H1415" t="s">
        <v>21</v>
      </c>
      <c r="I1415">
        <v>9.3000000000000007</v>
      </c>
      <c r="J1415" t="s">
        <v>42</v>
      </c>
    </row>
    <row r="1416" spans="1:10" x14ac:dyDescent="0.25">
      <c r="A1416" s="1">
        <v>469</v>
      </c>
      <c r="B1416" t="s">
        <v>25</v>
      </c>
      <c r="C1416">
        <v>635</v>
      </c>
      <c r="D1416">
        <v>1</v>
      </c>
      <c r="E1416" t="s">
        <v>45</v>
      </c>
      <c r="F1416" t="s">
        <v>27</v>
      </c>
      <c r="G1416" t="str">
        <f>"2025-09-22 09:36:53.645"</f>
        <v>2025-09-22 09:36:53.645</v>
      </c>
      <c r="H1416" t="s">
        <v>21</v>
      </c>
    </row>
    <row r="1417" spans="1:10" x14ac:dyDescent="0.25">
      <c r="A1417" s="1">
        <v>470</v>
      </c>
      <c r="B1417" t="s">
        <v>29</v>
      </c>
      <c r="C1417">
        <v>635</v>
      </c>
      <c r="D1417">
        <v>1</v>
      </c>
      <c r="E1417" t="s">
        <v>45</v>
      </c>
      <c r="F1417" t="s">
        <v>27</v>
      </c>
      <c r="G1417" t="str">
        <f>"2025-09-22 09:15:34.745"</f>
        <v>2025-09-22 09:15:34.745</v>
      </c>
      <c r="H1417" t="s">
        <v>21</v>
      </c>
      <c r="I1417">
        <v>9.7899999999999991</v>
      </c>
      <c r="J1417" t="s">
        <v>54</v>
      </c>
    </row>
    <row r="1418" spans="1:10" x14ac:dyDescent="0.25">
      <c r="A1418" s="1">
        <v>471</v>
      </c>
      <c r="B1418" t="s">
        <v>25</v>
      </c>
      <c r="C1418">
        <v>635</v>
      </c>
      <c r="D1418">
        <v>1</v>
      </c>
      <c r="E1418" t="s">
        <v>45</v>
      </c>
      <c r="F1418" t="s">
        <v>27</v>
      </c>
      <c r="G1418" t="str">
        <f>"2025-09-21 10:39:29.245"</f>
        <v>2025-09-21 10:39:29.245</v>
      </c>
      <c r="H1418" t="s">
        <v>21</v>
      </c>
    </row>
    <row r="1419" spans="1:10" x14ac:dyDescent="0.25">
      <c r="A1419" s="1">
        <v>472</v>
      </c>
      <c r="B1419" t="s">
        <v>29</v>
      </c>
      <c r="C1419">
        <v>635</v>
      </c>
      <c r="D1419">
        <v>1</v>
      </c>
      <c r="E1419" t="s">
        <v>45</v>
      </c>
      <c r="F1419" t="s">
        <v>27</v>
      </c>
      <c r="G1419" t="str">
        <f>"2025-09-21 10:15:05.845"</f>
        <v>2025-09-21 10:15:05.845</v>
      </c>
      <c r="H1419" t="s">
        <v>21</v>
      </c>
      <c r="I1419">
        <v>5.64</v>
      </c>
      <c r="J1419" t="s">
        <v>42</v>
      </c>
    </row>
    <row r="1420" spans="1:10" x14ac:dyDescent="0.25">
      <c r="A1420" s="1">
        <v>473</v>
      </c>
      <c r="B1420" t="s">
        <v>25</v>
      </c>
      <c r="C1420">
        <v>635</v>
      </c>
      <c r="D1420">
        <v>1</v>
      </c>
      <c r="E1420" t="s">
        <v>45</v>
      </c>
      <c r="F1420" t="s">
        <v>27</v>
      </c>
      <c r="G1420" t="str">
        <f>"2025-09-21 08:27:20.445"</f>
        <v>2025-09-21 08:27:20.445</v>
      </c>
      <c r="H1420" t="s">
        <v>21</v>
      </c>
    </row>
    <row r="1421" spans="1:10" x14ac:dyDescent="0.25">
      <c r="A1421" s="1">
        <v>474</v>
      </c>
      <c r="B1421" t="s">
        <v>29</v>
      </c>
      <c r="C1421">
        <v>635</v>
      </c>
      <c r="D1421">
        <v>1</v>
      </c>
      <c r="E1421" t="s">
        <v>45</v>
      </c>
      <c r="F1421" t="s">
        <v>27</v>
      </c>
      <c r="G1421" t="str">
        <f>"2025-09-21 07:58:04.045"</f>
        <v>2025-09-21 07:58:04.045</v>
      </c>
      <c r="H1421" t="s">
        <v>21</v>
      </c>
      <c r="I1421">
        <v>7.99</v>
      </c>
      <c r="J1421" t="s">
        <v>42</v>
      </c>
    </row>
    <row r="1422" spans="1:10" x14ac:dyDescent="0.25">
      <c r="A1422" s="1">
        <v>475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"2025-09-21 03:46:26.914"</f>
        <v>2025-09-21 03:46:26.914</v>
      </c>
      <c r="H1422" t="s">
        <v>21</v>
      </c>
      <c r="I1422">
        <v>0</v>
      </c>
      <c r="J1422" t="s">
        <v>32</v>
      </c>
    </row>
    <row r="1423" spans="1:10" x14ac:dyDescent="0.25">
      <c r="A1423" s="1">
        <v>476</v>
      </c>
      <c r="B1423" t="s">
        <v>19</v>
      </c>
      <c r="C1423">
        <v>706</v>
      </c>
      <c r="D1423">
        <v>4</v>
      </c>
      <c r="E1423" t="s">
        <v>22</v>
      </c>
      <c r="F1423" t="s">
        <v>31</v>
      </c>
      <c r="G1423" t="str">
        <f>"2025-09-21 02:35:23.248"</f>
        <v>2025-09-21 02:35:23.248</v>
      </c>
      <c r="H1423" t="s">
        <v>21</v>
      </c>
      <c r="I1423">
        <v>0</v>
      </c>
      <c r="J1423" t="s">
        <v>24</v>
      </c>
    </row>
    <row r="1424" spans="1:10" x14ac:dyDescent="0.25">
      <c r="A1424" s="1">
        <v>477</v>
      </c>
      <c r="B1424" t="s">
        <v>19</v>
      </c>
      <c r="C1424">
        <v>706</v>
      </c>
      <c r="D1424">
        <v>2</v>
      </c>
      <c r="E1424" t="s">
        <v>22</v>
      </c>
      <c r="F1424" t="s">
        <v>53</v>
      </c>
      <c r="G1424" t="str">
        <f>"2025-09-21 02:33:11.678"</f>
        <v>2025-09-21 02:33:11.678</v>
      </c>
      <c r="H1424" t="s">
        <v>21</v>
      </c>
      <c r="I1424">
        <v>0</v>
      </c>
      <c r="J1424" t="s">
        <v>24</v>
      </c>
    </row>
    <row r="1425" spans="1:10" x14ac:dyDescent="0.25">
      <c r="A1425" s="1">
        <v>478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"2025-09-21 02:22:51.908"</f>
        <v>2025-09-21 02:22:51.908</v>
      </c>
      <c r="H1425" t="s">
        <v>21</v>
      </c>
      <c r="I1425">
        <v>0</v>
      </c>
      <c r="J1425" t="s">
        <v>32</v>
      </c>
    </row>
    <row r="1426" spans="1:10" x14ac:dyDescent="0.25">
      <c r="A1426" s="1">
        <v>479</v>
      </c>
      <c r="B1426" t="s">
        <v>19</v>
      </c>
      <c r="C1426">
        <v>719</v>
      </c>
      <c r="D1426">
        <v>5</v>
      </c>
      <c r="E1426" t="s">
        <v>73</v>
      </c>
      <c r="F1426" t="s">
        <v>74</v>
      </c>
      <c r="G1426" t="str">
        <f>"2025-09-21 00:19:00.709"</f>
        <v>2025-09-21 00:19:00.709</v>
      </c>
      <c r="H1426" t="s">
        <v>21</v>
      </c>
      <c r="I1426">
        <v>0</v>
      </c>
      <c r="J1426" t="s">
        <v>24</v>
      </c>
    </row>
    <row r="1427" spans="1:10" x14ac:dyDescent="0.25">
      <c r="A1427" s="1">
        <v>480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"2025-09-21 00:04:49.048"</f>
        <v>2025-09-21 00:04:49.048</v>
      </c>
      <c r="H1427" t="s">
        <v>21</v>
      </c>
    </row>
    <row r="1428" spans="1:10" x14ac:dyDescent="0.25">
      <c r="A1428" s="1">
        <v>481</v>
      </c>
      <c r="B1428" t="s">
        <v>19</v>
      </c>
      <c r="C1428">
        <v>706</v>
      </c>
      <c r="D1428">
        <v>4</v>
      </c>
      <c r="E1428" t="s">
        <v>22</v>
      </c>
      <c r="F1428" t="s">
        <v>31</v>
      </c>
      <c r="G1428" t="str">
        <f>"2025-09-20 21:47:50.240"</f>
        <v>2025-09-20 21:47:50.240</v>
      </c>
      <c r="H1428" t="s">
        <v>21</v>
      </c>
      <c r="I1428">
        <v>0</v>
      </c>
      <c r="J1428" t="s">
        <v>24</v>
      </c>
    </row>
    <row r="1429" spans="1:10" x14ac:dyDescent="0.25">
      <c r="A1429" s="1">
        <v>482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"2025-09-20 21:38:02.070"</f>
        <v>2025-09-20 21:38:02.070</v>
      </c>
      <c r="H1429" t="s">
        <v>21</v>
      </c>
    </row>
    <row r="1430" spans="1:10" x14ac:dyDescent="0.25">
      <c r="A1430" s="1">
        <v>483</v>
      </c>
      <c r="B1430" t="s">
        <v>25</v>
      </c>
      <c r="C1430">
        <v>635</v>
      </c>
      <c r="D1430">
        <v>1</v>
      </c>
      <c r="E1430" t="s">
        <v>45</v>
      </c>
      <c r="F1430" t="s">
        <v>27</v>
      </c>
      <c r="G1430" t="str">
        <f>"2025-09-20 19:12:21.098"</f>
        <v>2025-09-20 19:12:21.098</v>
      </c>
      <c r="H1430" t="s">
        <v>21</v>
      </c>
    </row>
    <row r="1431" spans="1:10" x14ac:dyDescent="0.25">
      <c r="A1431" s="1">
        <v>484</v>
      </c>
      <c r="B1431" t="s">
        <v>29</v>
      </c>
      <c r="C1431">
        <v>635</v>
      </c>
      <c r="D1431">
        <v>1</v>
      </c>
      <c r="E1431" t="s">
        <v>45</v>
      </c>
      <c r="F1431" t="s">
        <v>27</v>
      </c>
      <c r="G1431" t="str">
        <f>"2025-09-20 18:50:21.098"</f>
        <v>2025-09-20 18:50:21.098</v>
      </c>
      <c r="H1431" t="s">
        <v>21</v>
      </c>
      <c r="I1431">
        <v>7.04</v>
      </c>
      <c r="J1431" t="s">
        <v>42</v>
      </c>
    </row>
    <row r="1432" spans="1:10" x14ac:dyDescent="0.25">
      <c r="A1432" s="1">
        <v>485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"2025-09-20 10:09:34.908"</f>
        <v>2025-09-20 10:09:34.908</v>
      </c>
      <c r="H1432" t="s">
        <v>21</v>
      </c>
      <c r="I1432">
        <v>0</v>
      </c>
      <c r="J1432" t="s">
        <v>32</v>
      </c>
    </row>
    <row r="1433" spans="1:10" x14ac:dyDescent="0.25">
      <c r="A1433" s="1">
        <v>486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"2025-09-20 07:54:10.155"</f>
        <v>2025-09-20 07:54:10.155</v>
      </c>
      <c r="H1433" t="s">
        <v>21</v>
      </c>
    </row>
    <row r="1434" spans="1:10" x14ac:dyDescent="0.25">
      <c r="A1434" s="1">
        <v>487</v>
      </c>
      <c r="B1434" t="s">
        <v>25</v>
      </c>
      <c r="C1434">
        <v>635</v>
      </c>
      <c r="D1434">
        <v>1</v>
      </c>
      <c r="E1434" t="s">
        <v>45</v>
      </c>
      <c r="F1434" t="s">
        <v>27</v>
      </c>
      <c r="G1434" t="str">
        <f>"2025-09-19 20:43:21.408"</f>
        <v>2025-09-19 20:43:21.408</v>
      </c>
      <c r="H1434" t="s">
        <v>21</v>
      </c>
    </row>
    <row r="1435" spans="1:10" x14ac:dyDescent="0.25">
      <c r="A1435" s="1">
        <v>488</v>
      </c>
      <c r="B1435" t="s">
        <v>29</v>
      </c>
      <c r="C1435">
        <v>635</v>
      </c>
      <c r="D1435">
        <v>1</v>
      </c>
      <c r="E1435" t="s">
        <v>45</v>
      </c>
      <c r="F1435" t="s">
        <v>27</v>
      </c>
      <c r="G1435" t="str">
        <f>"2025-09-19 20:40:35.408"</f>
        <v>2025-09-19 20:40:35.408</v>
      </c>
      <c r="H1435" t="s">
        <v>21</v>
      </c>
      <c r="I1435">
        <v>3.98</v>
      </c>
      <c r="J1435" t="s">
        <v>54</v>
      </c>
    </row>
    <row r="1436" spans="1:10" x14ac:dyDescent="0.25">
      <c r="A1436" s="1">
        <v>489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"2025-09-19 09:44:06.919"</f>
        <v>2025-09-19 09:44:06.919</v>
      </c>
      <c r="H1436" t="s">
        <v>21</v>
      </c>
    </row>
    <row r="1437" spans="1:10" s="3" customFormat="1" x14ac:dyDescent="0.25">
      <c r="A1437" s="2">
        <v>490</v>
      </c>
      <c r="B1437" s="3" t="s">
        <v>25</v>
      </c>
      <c r="C1437" s="3">
        <v>647</v>
      </c>
      <c r="D1437" s="3">
        <v>1</v>
      </c>
      <c r="E1437" s="3" t="s">
        <v>55</v>
      </c>
      <c r="F1437" s="3" t="s">
        <v>56</v>
      </c>
      <c r="G1437" s="3" t="str">
        <f>"2025-09-18 00:53:11.646"</f>
        <v>2025-09-18 00:53:11.646</v>
      </c>
      <c r="H1437" s="3" t="s">
        <v>21</v>
      </c>
    </row>
    <row r="1438" spans="1:10" s="3" customFormat="1" x14ac:dyDescent="0.25">
      <c r="A1438" s="2">
        <v>491</v>
      </c>
      <c r="B1438" s="3" t="s">
        <v>29</v>
      </c>
      <c r="C1438" s="3">
        <v>647</v>
      </c>
      <c r="D1438" s="3">
        <v>1</v>
      </c>
      <c r="E1438" s="3" t="s">
        <v>55</v>
      </c>
      <c r="F1438" s="3" t="s">
        <v>56</v>
      </c>
      <c r="G1438" s="3" t="str">
        <f>"2025-09-18 00:53:07.547"</f>
        <v>2025-09-18 00:53:07.547</v>
      </c>
      <c r="H1438" s="3" t="s">
        <v>21</v>
      </c>
      <c r="I1438" s="3">
        <v>8.91</v>
      </c>
      <c r="J1438" s="3" t="s">
        <v>37</v>
      </c>
    </row>
    <row r="1439" spans="1:10" x14ac:dyDescent="0.25">
      <c r="A1439" s="1">
        <v>492</v>
      </c>
      <c r="B1439" t="s">
        <v>19</v>
      </c>
      <c r="C1439">
        <v>706</v>
      </c>
      <c r="D1439">
        <v>4</v>
      </c>
      <c r="E1439" t="s">
        <v>22</v>
      </c>
      <c r="F1439" t="s">
        <v>31</v>
      </c>
      <c r="G1439" t="str">
        <f>"2025-09-17 10:40:19.390"</f>
        <v>2025-09-17 10:40:19.390</v>
      </c>
      <c r="H1439" t="s">
        <v>21</v>
      </c>
      <c r="I1439">
        <v>0</v>
      </c>
      <c r="J1439" t="s">
        <v>24</v>
      </c>
    </row>
    <row r="1440" spans="1:10" x14ac:dyDescent="0.25">
      <c r="A1440" s="1">
        <v>493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"2025-09-16 17:51:37.910"</f>
        <v>2025-09-16 17:51:37.910</v>
      </c>
      <c r="H1440" t="s">
        <v>21</v>
      </c>
      <c r="I1440">
        <v>0</v>
      </c>
      <c r="J1440" t="s">
        <v>32</v>
      </c>
    </row>
    <row r="1441" spans="1:10" x14ac:dyDescent="0.25">
      <c r="A1441" s="1">
        <v>494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"2025-09-15 22:02:26.908"</f>
        <v>2025-09-15 22:02:26.908</v>
      </c>
      <c r="H1441" t="s">
        <v>21</v>
      </c>
      <c r="I1441">
        <v>0</v>
      </c>
      <c r="J1441" t="s">
        <v>32</v>
      </c>
    </row>
    <row r="1442" spans="1:10" x14ac:dyDescent="0.25">
      <c r="A1442" s="1">
        <v>495</v>
      </c>
      <c r="B1442" t="s">
        <v>25</v>
      </c>
      <c r="C1442">
        <v>635</v>
      </c>
      <c r="D1442">
        <v>1</v>
      </c>
      <c r="E1442" t="s">
        <v>45</v>
      </c>
      <c r="F1442" t="s">
        <v>27</v>
      </c>
      <c r="G1442" t="str">
        <f>"2025-09-15 21:00:45.349"</f>
        <v>2025-09-15 21:00:45.349</v>
      </c>
      <c r="H1442" t="s">
        <v>21</v>
      </c>
    </row>
    <row r="1443" spans="1:10" x14ac:dyDescent="0.25">
      <c r="A1443" s="1">
        <v>496</v>
      </c>
      <c r="B1443" t="s">
        <v>29</v>
      </c>
      <c r="C1443">
        <v>635</v>
      </c>
      <c r="D1443">
        <v>1</v>
      </c>
      <c r="E1443" t="s">
        <v>45</v>
      </c>
      <c r="F1443" t="s">
        <v>27</v>
      </c>
      <c r="G1443" t="str">
        <f>"2025-09-15 20:34:20.350"</f>
        <v>2025-09-15 20:34:20.350</v>
      </c>
      <c r="H1443" t="s">
        <v>21</v>
      </c>
      <c r="I1443">
        <v>6.43</v>
      </c>
      <c r="J1443" t="s">
        <v>42</v>
      </c>
    </row>
    <row r="1444" spans="1:10" x14ac:dyDescent="0.25">
      <c r="A1444" s="1">
        <v>497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"2025-09-13 13:44:16.911"</f>
        <v>2025-09-13 13:44:16.911</v>
      </c>
      <c r="H1444" t="s">
        <v>21</v>
      </c>
      <c r="I1444">
        <v>0</v>
      </c>
      <c r="J1444" t="s">
        <v>32</v>
      </c>
    </row>
    <row r="1445" spans="1:10" x14ac:dyDescent="0.25">
      <c r="A1445" s="1">
        <v>498</v>
      </c>
      <c r="B1445" t="s">
        <v>41</v>
      </c>
      <c r="C1445">
        <v>33</v>
      </c>
      <c r="D1445">
        <v>1</v>
      </c>
      <c r="E1445" t="s">
        <v>61</v>
      </c>
      <c r="F1445" t="s">
        <v>62</v>
      </c>
      <c r="G1445" t="str">
        <f>"2025-09-12 22:37:46.775"</f>
        <v>2025-09-12 22:37:46.775</v>
      </c>
      <c r="H1445" t="s">
        <v>63</v>
      </c>
    </row>
    <row r="1446" spans="1:10" x14ac:dyDescent="0.25">
      <c r="A1446" s="1">
        <v>499</v>
      </c>
      <c r="B1446" t="s">
        <v>33</v>
      </c>
      <c r="C1446">
        <v>33</v>
      </c>
      <c r="D1446">
        <v>1</v>
      </c>
      <c r="E1446" t="s">
        <v>61</v>
      </c>
      <c r="F1446" t="s">
        <v>62</v>
      </c>
      <c r="G1446" t="str">
        <f>"2025-09-12 22:35:58.154"</f>
        <v>2025-09-12 22:35:58.154</v>
      </c>
      <c r="H1446" t="s">
        <v>63</v>
      </c>
      <c r="I1446">
        <v>10.65</v>
      </c>
      <c r="J1446" t="s">
        <v>42</v>
      </c>
    </row>
    <row r="1447" spans="1:10" x14ac:dyDescent="0.25">
      <c r="A1447" s="1">
        <v>500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"2025-09-12 22:20:52.131"</f>
        <v>2025-09-12 22:20:52.131</v>
      </c>
      <c r="H1447" t="s">
        <v>21</v>
      </c>
      <c r="I1447">
        <v>0</v>
      </c>
      <c r="J1447" t="s">
        <v>32</v>
      </c>
    </row>
    <row r="1448" spans="1:10" x14ac:dyDescent="0.25">
      <c r="A1448" s="1">
        <v>502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"2025-09-10 17:18:16.932"</f>
        <v>2025-09-10 17:18:16.932</v>
      </c>
      <c r="H1448" t="s">
        <v>21</v>
      </c>
      <c r="I1448">
        <v>0</v>
      </c>
      <c r="J1448" t="s">
        <v>32</v>
      </c>
    </row>
    <row r="1449" spans="1:10" x14ac:dyDescent="0.25">
      <c r="A1449" s="1">
        <v>503</v>
      </c>
      <c r="B1449" t="s">
        <v>75</v>
      </c>
      <c r="C1449">
        <v>215</v>
      </c>
      <c r="D1449">
        <v>9</v>
      </c>
      <c r="E1449" t="s">
        <v>76</v>
      </c>
      <c r="F1449" t="s">
        <v>77</v>
      </c>
      <c r="G1449" t="str">
        <f>"2025-09-09 22:38:42.918"</f>
        <v>2025-09-09 22:38:42.918</v>
      </c>
      <c r="H1449" t="s">
        <v>21</v>
      </c>
    </row>
    <row r="1450" spans="1:10" x14ac:dyDescent="0.25">
      <c r="A1450" s="1">
        <v>504</v>
      </c>
      <c r="B1450" t="s">
        <v>75</v>
      </c>
      <c r="C1450">
        <v>115</v>
      </c>
      <c r="D1450">
        <v>9</v>
      </c>
      <c r="E1450" t="s">
        <v>78</v>
      </c>
      <c r="F1450" t="s">
        <v>77</v>
      </c>
      <c r="G1450" t="str">
        <f>"2025-09-09 22:38:42.818"</f>
        <v>2025-09-09 22:38:42.818</v>
      </c>
      <c r="H1450" t="s">
        <v>21</v>
      </c>
    </row>
    <row r="1451" spans="1:10" x14ac:dyDescent="0.25">
      <c r="A1451" s="1">
        <v>505</v>
      </c>
      <c r="B1451" t="s">
        <v>33</v>
      </c>
      <c r="C1451">
        <v>115</v>
      </c>
      <c r="D1451">
        <v>9</v>
      </c>
      <c r="E1451" t="s">
        <v>78</v>
      </c>
      <c r="F1451" t="s">
        <v>77</v>
      </c>
      <c r="G1451" t="str">
        <f>"2025-09-09 22:38:37.758"</f>
        <v>2025-09-09 22:38:37.758</v>
      </c>
      <c r="H1451" t="s">
        <v>21</v>
      </c>
      <c r="I1451">
        <v>-1.76</v>
      </c>
      <c r="J1451" t="s">
        <v>37</v>
      </c>
    </row>
    <row r="1452" spans="1:10" x14ac:dyDescent="0.25">
      <c r="A1452" s="1">
        <v>506</v>
      </c>
      <c r="B1452" t="s">
        <v>33</v>
      </c>
      <c r="C1452">
        <v>215</v>
      </c>
      <c r="D1452">
        <v>9</v>
      </c>
      <c r="E1452" t="s">
        <v>76</v>
      </c>
      <c r="F1452" t="s">
        <v>77</v>
      </c>
      <c r="G1452" t="str">
        <f>"2025-09-09 22:38:37.738"</f>
        <v>2025-09-09 22:38:37.738</v>
      </c>
      <c r="H1452" t="s">
        <v>21</v>
      </c>
      <c r="I1452">
        <v>-1.79</v>
      </c>
      <c r="J1452" t="s">
        <v>37</v>
      </c>
    </row>
    <row r="1453" spans="1:10" x14ac:dyDescent="0.25">
      <c r="A1453" s="1">
        <v>507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"2025-09-09 20:17:05.885"</f>
        <v>2025-09-09 20:17:05.885</v>
      </c>
      <c r="H1453" t="s">
        <v>21</v>
      </c>
    </row>
    <row r="1454" spans="1:10" x14ac:dyDescent="0.25">
      <c r="A1454" s="1">
        <v>508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"2025-09-09 20:06:34.101"</f>
        <v>2025-09-09 20:06:34.101</v>
      </c>
      <c r="H1454" t="s">
        <v>21</v>
      </c>
    </row>
    <row r="1455" spans="1:10" x14ac:dyDescent="0.25">
      <c r="A1455" s="1">
        <v>509</v>
      </c>
      <c r="B1455" t="s">
        <v>19</v>
      </c>
      <c r="C1455">
        <v>706</v>
      </c>
      <c r="D1455">
        <v>4</v>
      </c>
      <c r="E1455" t="s">
        <v>22</v>
      </c>
      <c r="F1455" t="s">
        <v>31</v>
      </c>
      <c r="G1455" t="str">
        <f>"2025-09-09 17:55:57.472"</f>
        <v>2025-09-09 17:55:57.472</v>
      </c>
      <c r="H1455" t="s">
        <v>21</v>
      </c>
      <c r="I1455">
        <v>0</v>
      </c>
      <c r="J1455" t="s">
        <v>24</v>
      </c>
    </row>
    <row r="1456" spans="1:10" x14ac:dyDescent="0.25">
      <c r="A1456" s="1">
        <v>510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"2025-09-09 17:55:14.902"</f>
        <v>2025-09-09 17:55:14.902</v>
      </c>
      <c r="H1456" t="s">
        <v>21</v>
      </c>
      <c r="I1456">
        <v>0</v>
      </c>
      <c r="J1456" t="s">
        <v>32</v>
      </c>
    </row>
    <row r="1457" spans="1:10" x14ac:dyDescent="0.25">
      <c r="A1457" s="1">
        <v>511</v>
      </c>
      <c r="B1457" t="s">
        <v>19</v>
      </c>
      <c r="C1457">
        <v>706</v>
      </c>
      <c r="D1457">
        <v>4</v>
      </c>
      <c r="E1457" t="s">
        <v>22</v>
      </c>
      <c r="F1457" t="s">
        <v>31</v>
      </c>
      <c r="G1457" t="str">
        <f>"2025-09-09 17:34:26.600"</f>
        <v>2025-09-09 17:34:26.600</v>
      </c>
      <c r="H1457" t="s">
        <v>21</v>
      </c>
      <c r="I1457">
        <v>0</v>
      </c>
      <c r="J1457" t="s">
        <v>24</v>
      </c>
    </row>
    <row r="1458" spans="1:10" x14ac:dyDescent="0.25">
      <c r="A1458" s="1">
        <v>512</v>
      </c>
      <c r="B1458" t="s">
        <v>19</v>
      </c>
      <c r="C1458">
        <v>706</v>
      </c>
      <c r="D1458">
        <v>2</v>
      </c>
      <c r="E1458" t="s">
        <v>22</v>
      </c>
      <c r="F1458" t="s">
        <v>53</v>
      </c>
      <c r="G1458" t="str">
        <f>"2025-09-09 17:34:14.870"</f>
        <v>2025-09-09 17:34:14.870</v>
      </c>
      <c r="H1458" t="s">
        <v>21</v>
      </c>
      <c r="I1458">
        <v>0</v>
      </c>
      <c r="J1458" t="s">
        <v>24</v>
      </c>
    </row>
    <row r="1459" spans="1:10" x14ac:dyDescent="0.25">
      <c r="A1459" s="1">
        <v>513</v>
      </c>
      <c r="B1459" t="s">
        <v>25</v>
      </c>
      <c r="C1459">
        <v>631</v>
      </c>
      <c r="D1459">
        <v>2</v>
      </c>
      <c r="E1459" t="s">
        <v>66</v>
      </c>
      <c r="F1459" t="s">
        <v>67</v>
      </c>
      <c r="G1459" t="str">
        <f>"2025-09-09 16:59:11.381"</f>
        <v>2025-09-09 16:59:11.381</v>
      </c>
      <c r="H1459" t="s">
        <v>21</v>
      </c>
    </row>
    <row r="1460" spans="1:10" x14ac:dyDescent="0.25">
      <c r="A1460" s="1">
        <v>514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"2025-09-09 16:58:57.990"</f>
        <v>2025-09-09 16:58:57.990</v>
      </c>
      <c r="H1460" t="s">
        <v>21</v>
      </c>
      <c r="I1460">
        <v>0</v>
      </c>
      <c r="J1460" t="s">
        <v>32</v>
      </c>
    </row>
    <row r="1461" spans="1:10" x14ac:dyDescent="0.25">
      <c r="A1461" s="1">
        <v>515</v>
      </c>
      <c r="B1461" t="s">
        <v>29</v>
      </c>
      <c r="C1461">
        <v>631</v>
      </c>
      <c r="D1461">
        <v>2</v>
      </c>
      <c r="E1461" t="s">
        <v>66</v>
      </c>
      <c r="F1461" t="s">
        <v>67</v>
      </c>
      <c r="G1461" t="str">
        <f>"2025-09-09 10:29:42.132"</f>
        <v>2025-09-09 10:29:42.132</v>
      </c>
      <c r="H1461" t="s">
        <v>21</v>
      </c>
      <c r="I1461">
        <v>0</v>
      </c>
      <c r="J1461" t="s">
        <v>24</v>
      </c>
    </row>
    <row r="1462" spans="1:10" x14ac:dyDescent="0.25">
      <c r="A1462" s="1">
        <v>516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"2025-09-09 10:29:28.881"</f>
        <v>2025-09-09 10:29:28.881</v>
      </c>
      <c r="H1462" t="s">
        <v>21</v>
      </c>
    </row>
    <row r="1463" spans="1:10" x14ac:dyDescent="0.25">
      <c r="A1463" s="1">
        <v>517</v>
      </c>
      <c r="B1463" t="s">
        <v>25</v>
      </c>
      <c r="C1463">
        <v>631</v>
      </c>
      <c r="D1463">
        <v>2</v>
      </c>
      <c r="E1463" t="s">
        <v>66</v>
      </c>
      <c r="F1463" t="s">
        <v>67</v>
      </c>
      <c r="G1463" t="str">
        <f>"2025-09-09 10:24:54.094"</f>
        <v>2025-09-09 10:24:54.094</v>
      </c>
      <c r="H1463" t="s">
        <v>21</v>
      </c>
    </row>
    <row r="1464" spans="1:10" x14ac:dyDescent="0.25">
      <c r="A1464" s="1">
        <v>518</v>
      </c>
      <c r="B1464" t="s">
        <v>29</v>
      </c>
      <c r="C1464">
        <v>631</v>
      </c>
      <c r="D1464">
        <v>2</v>
      </c>
      <c r="E1464" t="s">
        <v>66</v>
      </c>
      <c r="F1464" t="s">
        <v>67</v>
      </c>
      <c r="G1464" t="str">
        <f>"2025-09-09 10:22:47.243"</f>
        <v>2025-09-09 10:22:47.243</v>
      </c>
      <c r="H1464" t="s">
        <v>21</v>
      </c>
      <c r="I1464">
        <v>0</v>
      </c>
      <c r="J1464" t="s">
        <v>24</v>
      </c>
    </row>
    <row r="1465" spans="1:10" x14ac:dyDescent="0.25">
      <c r="A1465" s="1">
        <v>519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"2025-09-09 10:22:33.894"</f>
        <v>2025-09-09 10:22:33.894</v>
      </c>
      <c r="H1465" t="s">
        <v>21</v>
      </c>
    </row>
    <row r="1466" spans="1:10" x14ac:dyDescent="0.25">
      <c r="A1466" s="1">
        <v>520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"2025-09-08 22:15:58.917"</f>
        <v>2025-09-08 22:15:58.917</v>
      </c>
      <c r="H1466" t="s">
        <v>21</v>
      </c>
    </row>
    <row r="1467" spans="1:10" x14ac:dyDescent="0.25">
      <c r="A1467" s="1">
        <v>521</v>
      </c>
      <c r="B1467" t="s">
        <v>19</v>
      </c>
      <c r="C1467">
        <v>706</v>
      </c>
      <c r="D1467">
        <v>4</v>
      </c>
      <c r="E1467" t="s">
        <v>22</v>
      </c>
      <c r="F1467" t="s">
        <v>31</v>
      </c>
      <c r="G1467" t="str">
        <f>"2025-09-08 12:21:51.250"</f>
        <v>2025-09-08 12:21:51.250</v>
      </c>
      <c r="H1467" t="s">
        <v>21</v>
      </c>
      <c r="I1467">
        <v>0</v>
      </c>
      <c r="J1467" t="s">
        <v>24</v>
      </c>
    </row>
    <row r="1468" spans="1:10" x14ac:dyDescent="0.25">
      <c r="A1468" s="1">
        <v>522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"2025-09-08 12:21:35.900"</f>
        <v>2025-09-08 12:21:35.900</v>
      </c>
      <c r="H1468" t="s">
        <v>21</v>
      </c>
      <c r="I1468">
        <v>0</v>
      </c>
      <c r="J1468" t="s">
        <v>32</v>
      </c>
    </row>
    <row r="1469" spans="1:10" x14ac:dyDescent="0.25">
      <c r="A1469" s="1">
        <v>523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"2025-09-08 08:58:26.923"</f>
        <v>2025-09-08 08:58:26.923</v>
      </c>
      <c r="H1469" t="s">
        <v>21</v>
      </c>
    </row>
    <row r="1470" spans="1:10" x14ac:dyDescent="0.25">
      <c r="A1470" s="1">
        <v>524</v>
      </c>
      <c r="B1470" t="s">
        <v>25</v>
      </c>
      <c r="C1470">
        <v>635</v>
      </c>
      <c r="D1470">
        <v>1</v>
      </c>
      <c r="E1470" t="s">
        <v>45</v>
      </c>
      <c r="F1470" t="s">
        <v>27</v>
      </c>
      <c r="G1470" t="str">
        <f>"2025-09-08 07:48:16.416"</f>
        <v>2025-09-08 07:48:16.416</v>
      </c>
      <c r="H1470" t="s">
        <v>21</v>
      </c>
    </row>
    <row r="1471" spans="1:10" x14ac:dyDescent="0.25">
      <c r="A1471" s="1">
        <v>525</v>
      </c>
      <c r="B1471" t="s">
        <v>29</v>
      </c>
      <c r="C1471">
        <v>635</v>
      </c>
      <c r="D1471">
        <v>1</v>
      </c>
      <c r="E1471" t="s">
        <v>45</v>
      </c>
      <c r="F1471" t="s">
        <v>27</v>
      </c>
      <c r="G1471" t="str">
        <f>"2025-09-08 07:31:12.416"</f>
        <v>2025-09-08 07:31:12.416</v>
      </c>
      <c r="H1471" t="s">
        <v>21</v>
      </c>
      <c r="I1471">
        <v>6.35</v>
      </c>
      <c r="J1471" t="s">
        <v>42</v>
      </c>
    </row>
    <row r="1472" spans="1:10" x14ac:dyDescent="0.25">
      <c r="A1472" s="1">
        <v>526</v>
      </c>
      <c r="B1472" t="s">
        <v>25</v>
      </c>
      <c r="C1472">
        <v>635</v>
      </c>
      <c r="D1472">
        <v>1</v>
      </c>
      <c r="E1472" t="s">
        <v>45</v>
      </c>
      <c r="F1472" t="s">
        <v>27</v>
      </c>
      <c r="G1472" t="str">
        <f>"2025-09-08 06:17:25.516"</f>
        <v>2025-09-08 06:17:25.516</v>
      </c>
      <c r="H1472" t="s">
        <v>21</v>
      </c>
    </row>
    <row r="1473" spans="1:10" x14ac:dyDescent="0.25">
      <c r="A1473" s="1">
        <v>527</v>
      </c>
      <c r="B1473" t="s">
        <v>29</v>
      </c>
      <c r="C1473">
        <v>635</v>
      </c>
      <c r="D1473">
        <v>1</v>
      </c>
      <c r="E1473" t="s">
        <v>45</v>
      </c>
      <c r="F1473" t="s">
        <v>27</v>
      </c>
      <c r="G1473" t="str">
        <f>"2025-09-08 05:56:06.516"</f>
        <v>2025-09-08 05:56:06.516</v>
      </c>
      <c r="H1473" t="s">
        <v>21</v>
      </c>
      <c r="I1473">
        <v>7.38</v>
      </c>
      <c r="J1473" t="s">
        <v>42</v>
      </c>
    </row>
    <row r="1474" spans="1:10" x14ac:dyDescent="0.25">
      <c r="A1474" s="1">
        <v>528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"2025-09-07 20:45:59.065"</f>
        <v>2025-09-07 20:45:59.065</v>
      </c>
      <c r="H1474" t="s">
        <v>21</v>
      </c>
      <c r="I1474">
        <v>0</v>
      </c>
      <c r="J1474" t="s">
        <v>32</v>
      </c>
    </row>
    <row r="1475" spans="1:10" x14ac:dyDescent="0.25">
      <c r="A1475" s="1">
        <v>529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"2025-09-07 13:38:26.925"</f>
        <v>2025-09-07 13:38:26.925</v>
      </c>
      <c r="H1475" t="s">
        <v>21</v>
      </c>
    </row>
    <row r="1476" spans="1:10" s="3" customFormat="1" x14ac:dyDescent="0.25">
      <c r="A1476" s="2">
        <v>530</v>
      </c>
      <c r="B1476" s="3" t="s">
        <v>25</v>
      </c>
      <c r="C1476" s="3">
        <v>647</v>
      </c>
      <c r="D1476" s="3">
        <v>1</v>
      </c>
      <c r="E1476" s="3" t="s">
        <v>55</v>
      </c>
      <c r="F1476" s="3" t="s">
        <v>56</v>
      </c>
      <c r="G1476" s="3" t="str">
        <f>"2025-09-07 00:20:34.184"</f>
        <v>2025-09-07 00:20:34.184</v>
      </c>
      <c r="H1476" s="3" t="s">
        <v>21</v>
      </c>
    </row>
    <row r="1477" spans="1:10" s="3" customFormat="1" x14ac:dyDescent="0.25">
      <c r="A1477" s="2">
        <v>531</v>
      </c>
      <c r="B1477" s="3" t="s">
        <v>29</v>
      </c>
      <c r="C1477" s="3">
        <v>647</v>
      </c>
      <c r="D1477" s="3">
        <v>1</v>
      </c>
      <c r="E1477" s="3" t="s">
        <v>55</v>
      </c>
      <c r="F1477" s="3" t="s">
        <v>56</v>
      </c>
      <c r="G1477" s="3" t="str">
        <f>"2025-09-07 00:20:26.685"</f>
        <v>2025-09-07 00:20:26.685</v>
      </c>
      <c r="H1477" s="3" t="s">
        <v>21</v>
      </c>
      <c r="I1477" s="3">
        <v>8.2799999999999994</v>
      </c>
      <c r="J1477" s="3" t="s">
        <v>37</v>
      </c>
    </row>
    <row r="1478" spans="1:10" x14ac:dyDescent="0.25">
      <c r="A1478" s="1">
        <v>532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"2025-09-06 19:51:45.036"</f>
        <v>2025-09-06 19:51:45.036</v>
      </c>
      <c r="H1478" t="s">
        <v>21</v>
      </c>
      <c r="I1478">
        <v>0</v>
      </c>
      <c r="J1478" t="s">
        <v>32</v>
      </c>
    </row>
    <row r="1479" spans="1:10" x14ac:dyDescent="0.25">
      <c r="A1479" s="1">
        <v>533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"2025-09-06 07:57:26.993"</f>
        <v>2025-09-06 07:57:26.993</v>
      </c>
      <c r="H1479" t="s">
        <v>21</v>
      </c>
    </row>
    <row r="1480" spans="1:10" x14ac:dyDescent="0.25">
      <c r="A1480" s="1">
        <v>535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"2025-09-03 19:50:48.888"</f>
        <v>2025-09-03 19:50:48.888</v>
      </c>
      <c r="H1480" t="s">
        <v>21</v>
      </c>
      <c r="I1480">
        <v>0</v>
      </c>
      <c r="J1480" t="s">
        <v>32</v>
      </c>
    </row>
    <row r="1481" spans="1:10" s="3" customFormat="1" x14ac:dyDescent="0.25">
      <c r="A1481" s="2">
        <v>536</v>
      </c>
      <c r="B1481" s="3" t="s">
        <v>25</v>
      </c>
      <c r="C1481" s="3">
        <v>647</v>
      </c>
      <c r="D1481" s="3">
        <v>1</v>
      </c>
      <c r="E1481" s="3" t="s">
        <v>55</v>
      </c>
      <c r="F1481" s="3" t="s">
        <v>56</v>
      </c>
      <c r="G1481" s="3" t="str">
        <f>"2025-09-03 09:08:19.915"</f>
        <v>2025-09-03 09:08:19.915</v>
      </c>
      <c r="H1481" s="3" t="s">
        <v>21</v>
      </c>
    </row>
    <row r="1482" spans="1:10" s="3" customFormat="1" x14ac:dyDescent="0.25">
      <c r="A1482" s="2">
        <v>537</v>
      </c>
      <c r="B1482" s="3" t="s">
        <v>29</v>
      </c>
      <c r="C1482" s="3">
        <v>647</v>
      </c>
      <c r="D1482" s="3">
        <v>1</v>
      </c>
      <c r="E1482" s="3" t="s">
        <v>55</v>
      </c>
      <c r="F1482" s="3" t="s">
        <v>56</v>
      </c>
      <c r="G1482" s="3" t="str">
        <f>"2025-09-03 09:08:17.615"</f>
        <v>2025-09-03 09:08:17.615</v>
      </c>
      <c r="H1482" s="3" t="s">
        <v>21</v>
      </c>
      <c r="I1482" s="3">
        <v>13.58</v>
      </c>
      <c r="J1482" s="3" t="s">
        <v>54</v>
      </c>
    </row>
    <row r="1483" spans="1:10" x14ac:dyDescent="0.25">
      <c r="A1483" s="1">
        <v>538</v>
      </c>
      <c r="B1483" t="s">
        <v>25</v>
      </c>
      <c r="C1483">
        <v>635</v>
      </c>
      <c r="D1483">
        <v>1</v>
      </c>
      <c r="E1483" t="s">
        <v>45</v>
      </c>
      <c r="F1483" t="s">
        <v>27</v>
      </c>
      <c r="G1483" t="str">
        <f>"2025-09-03 02:14:25.115"</f>
        <v>2025-09-03 02:14:25.115</v>
      </c>
      <c r="H1483" t="s">
        <v>21</v>
      </c>
    </row>
    <row r="1484" spans="1:10" x14ac:dyDescent="0.25">
      <c r="A1484" s="1">
        <v>539</v>
      </c>
      <c r="B1484" t="s">
        <v>29</v>
      </c>
      <c r="C1484">
        <v>635</v>
      </c>
      <c r="D1484">
        <v>1</v>
      </c>
      <c r="E1484" t="s">
        <v>45</v>
      </c>
      <c r="F1484" t="s">
        <v>27</v>
      </c>
      <c r="G1484" t="str">
        <f>"2025-09-03 01:54:06.115"</f>
        <v>2025-09-03 01:54:06.115</v>
      </c>
      <c r="H1484" t="s">
        <v>21</v>
      </c>
      <c r="I1484">
        <v>7.63</v>
      </c>
      <c r="J1484" t="s">
        <v>42</v>
      </c>
    </row>
    <row r="1485" spans="1:10" x14ac:dyDescent="0.25">
      <c r="A1485" s="1">
        <v>540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"2025-09-01 22:23:55.370"</f>
        <v>2025-09-01 22:23:55.370</v>
      </c>
      <c r="H1485" t="s">
        <v>21</v>
      </c>
      <c r="I1485">
        <v>0</v>
      </c>
      <c r="J1485" t="s">
        <v>32</v>
      </c>
    </row>
    <row r="1486" spans="1:10" x14ac:dyDescent="0.25">
      <c r="A1486" s="1">
        <v>541</v>
      </c>
      <c r="B1486" t="s">
        <v>25</v>
      </c>
      <c r="C1486">
        <v>635</v>
      </c>
      <c r="D1486">
        <v>1</v>
      </c>
      <c r="E1486" t="s">
        <v>45</v>
      </c>
      <c r="F1486" t="s">
        <v>27</v>
      </c>
      <c r="G1486" t="str">
        <f>"2025-08-31 15:57:22.160"</f>
        <v>2025-08-31 15:57:22.160</v>
      </c>
      <c r="H1486" t="s">
        <v>21</v>
      </c>
    </row>
    <row r="1487" spans="1:10" x14ac:dyDescent="0.25">
      <c r="A1487" s="1">
        <v>542</v>
      </c>
      <c r="B1487" t="s">
        <v>29</v>
      </c>
      <c r="C1487">
        <v>635</v>
      </c>
      <c r="D1487">
        <v>1</v>
      </c>
      <c r="E1487" t="s">
        <v>45</v>
      </c>
      <c r="F1487" t="s">
        <v>27</v>
      </c>
      <c r="G1487" t="str">
        <f>"2025-08-31 15:52:40.160"</f>
        <v>2025-08-31 15:52:40.160</v>
      </c>
      <c r="H1487" t="s">
        <v>21</v>
      </c>
      <c r="I1487">
        <v>1.63</v>
      </c>
      <c r="J1487" t="s">
        <v>42</v>
      </c>
    </row>
    <row r="1488" spans="1:10" x14ac:dyDescent="0.25">
      <c r="A1488" s="1">
        <v>543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"2025-08-31 07:54:55.898"</f>
        <v>2025-08-31 07:54:55.898</v>
      </c>
      <c r="H1488" t="s">
        <v>21</v>
      </c>
      <c r="I1488">
        <v>0</v>
      </c>
      <c r="J1488" t="s">
        <v>32</v>
      </c>
    </row>
    <row r="1489" spans="1:10" x14ac:dyDescent="0.25">
      <c r="A1489" s="1">
        <v>544</v>
      </c>
      <c r="B1489" t="s">
        <v>25</v>
      </c>
      <c r="C1489">
        <v>635</v>
      </c>
      <c r="D1489">
        <v>1</v>
      </c>
      <c r="E1489" t="s">
        <v>45</v>
      </c>
      <c r="F1489" t="s">
        <v>27</v>
      </c>
      <c r="G1489" t="str">
        <f>"2025-08-30 08:38:04.064"</f>
        <v>2025-08-30 08:38:04.064</v>
      </c>
      <c r="H1489" t="s">
        <v>21</v>
      </c>
    </row>
    <row r="1490" spans="1:10" x14ac:dyDescent="0.25">
      <c r="A1490" s="1">
        <v>545</v>
      </c>
      <c r="B1490" t="s">
        <v>29</v>
      </c>
      <c r="C1490">
        <v>635</v>
      </c>
      <c r="D1490">
        <v>1</v>
      </c>
      <c r="E1490" t="s">
        <v>45</v>
      </c>
      <c r="F1490" t="s">
        <v>27</v>
      </c>
      <c r="G1490" t="str">
        <f>"2025-08-30 08:34:59.565"</f>
        <v>2025-08-30 08:34:59.565</v>
      </c>
      <c r="H1490" t="s">
        <v>21</v>
      </c>
      <c r="I1490">
        <v>-0.02</v>
      </c>
      <c r="J1490" t="s">
        <v>37</v>
      </c>
    </row>
    <row r="1491" spans="1:10" x14ac:dyDescent="0.25">
      <c r="A1491" s="1">
        <v>546</v>
      </c>
      <c r="B1491" t="s">
        <v>19</v>
      </c>
      <c r="C1491">
        <v>706</v>
      </c>
      <c r="D1491">
        <v>2</v>
      </c>
      <c r="E1491" t="s">
        <v>22</v>
      </c>
      <c r="F1491" t="s">
        <v>53</v>
      </c>
      <c r="G1491" t="str">
        <f>"2025-08-30 04:17:26.920"</f>
        <v>2025-08-30 04:17:26.920</v>
      </c>
      <c r="H1491" t="s">
        <v>21</v>
      </c>
      <c r="I1491">
        <v>0</v>
      </c>
      <c r="J1491" t="s">
        <v>24</v>
      </c>
    </row>
    <row r="1492" spans="1:10" x14ac:dyDescent="0.25">
      <c r="A1492" s="1">
        <v>547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"2025-08-30 04:17:13.090"</f>
        <v>2025-08-30 04:17:13.090</v>
      </c>
      <c r="H1492" t="s">
        <v>21</v>
      </c>
    </row>
    <row r="1493" spans="1:10" x14ac:dyDescent="0.25">
      <c r="A1493" s="1">
        <v>548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"2025-08-30 02:42:29.885"</f>
        <v>2025-08-30 02:42:29.885</v>
      </c>
      <c r="H1493" t="s">
        <v>21</v>
      </c>
    </row>
    <row r="1494" spans="1:10" x14ac:dyDescent="0.25">
      <c r="A1494" s="1">
        <v>549</v>
      </c>
      <c r="B1494" t="s">
        <v>19</v>
      </c>
      <c r="C1494">
        <v>706</v>
      </c>
      <c r="D1494">
        <v>4</v>
      </c>
      <c r="E1494" t="s">
        <v>22</v>
      </c>
      <c r="F1494" t="s">
        <v>31</v>
      </c>
      <c r="G1494" t="str">
        <f>"2025-08-30 00:41:15.718"</f>
        <v>2025-08-30 00:41:15.718</v>
      </c>
      <c r="H1494" t="s">
        <v>21</v>
      </c>
      <c r="I1494">
        <v>0</v>
      </c>
      <c r="J1494" t="s">
        <v>24</v>
      </c>
    </row>
    <row r="1495" spans="1:10" x14ac:dyDescent="0.25">
      <c r="A1495" s="1">
        <v>550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"2025-08-30 00:19:31.898"</f>
        <v>2025-08-30 00:19:31.898</v>
      </c>
      <c r="H1495" t="s">
        <v>21</v>
      </c>
      <c r="I1495">
        <v>0</v>
      </c>
      <c r="J1495" t="s">
        <v>32</v>
      </c>
    </row>
    <row r="1496" spans="1:10" x14ac:dyDescent="0.25">
      <c r="A1496" s="1">
        <v>551</v>
      </c>
      <c r="B1496" t="s">
        <v>33</v>
      </c>
      <c r="C1496">
        <v>630</v>
      </c>
      <c r="D1496">
        <v>5</v>
      </c>
      <c r="E1496" t="s">
        <v>51</v>
      </c>
      <c r="F1496" t="s">
        <v>52</v>
      </c>
      <c r="G1496" t="str">
        <f>"2025-08-29 23:38:04.430"</f>
        <v>2025-08-29 23:38:04.430</v>
      </c>
      <c r="H1496" t="s">
        <v>40</v>
      </c>
      <c r="I1496">
        <v>0</v>
      </c>
      <c r="J1496" t="s">
        <v>24</v>
      </c>
    </row>
    <row r="1497" spans="1:10" x14ac:dyDescent="0.25">
      <c r="A1497" s="1">
        <v>552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"2025-08-29 23:33:01.629"</f>
        <v>2025-08-29 23:33:01.629</v>
      </c>
      <c r="H1497" t="s">
        <v>21</v>
      </c>
      <c r="I1497">
        <v>0</v>
      </c>
      <c r="J1497" t="s">
        <v>32</v>
      </c>
    </row>
    <row r="1498" spans="1:10" x14ac:dyDescent="0.25">
      <c r="A1498" s="1">
        <v>553</v>
      </c>
      <c r="B1498" t="s">
        <v>25</v>
      </c>
      <c r="C1498">
        <v>635</v>
      </c>
      <c r="D1498">
        <v>1</v>
      </c>
      <c r="E1498" t="s">
        <v>45</v>
      </c>
      <c r="F1498" t="s">
        <v>27</v>
      </c>
      <c r="G1498" t="str">
        <f>"2025-08-29 21:45:27.485"</f>
        <v>2025-08-29 21:45:27.485</v>
      </c>
      <c r="H1498" t="s">
        <v>21</v>
      </c>
    </row>
    <row r="1499" spans="1:10" x14ac:dyDescent="0.25">
      <c r="A1499" s="1">
        <v>554</v>
      </c>
      <c r="B1499" t="s">
        <v>29</v>
      </c>
      <c r="C1499">
        <v>635</v>
      </c>
      <c r="D1499">
        <v>1</v>
      </c>
      <c r="E1499" t="s">
        <v>45</v>
      </c>
      <c r="F1499" t="s">
        <v>27</v>
      </c>
      <c r="G1499" t="str">
        <f>"2025-08-29 21:24:06.985"</f>
        <v>2025-08-29 21:24:06.985</v>
      </c>
      <c r="H1499" t="s">
        <v>21</v>
      </c>
      <c r="I1499">
        <v>6.83</v>
      </c>
      <c r="J1499" t="s">
        <v>42</v>
      </c>
    </row>
    <row r="1500" spans="1:10" x14ac:dyDescent="0.25">
      <c r="A1500" s="1">
        <v>555</v>
      </c>
      <c r="B1500" t="s">
        <v>19</v>
      </c>
      <c r="C1500">
        <v>706</v>
      </c>
      <c r="D1500">
        <v>4</v>
      </c>
      <c r="E1500" t="s">
        <v>22</v>
      </c>
      <c r="F1500" t="s">
        <v>31</v>
      </c>
      <c r="G1500" t="str">
        <f>"2025-08-28 12:25:40.857"</f>
        <v>2025-08-28 12:25:40.857</v>
      </c>
      <c r="H1500" t="s">
        <v>21</v>
      </c>
      <c r="I1500">
        <v>0</v>
      </c>
      <c r="J1500" t="s">
        <v>24</v>
      </c>
    </row>
    <row r="1501" spans="1:10" x14ac:dyDescent="0.25">
      <c r="A1501" s="1">
        <v>556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"2025-08-28 12:24:55.077"</f>
        <v>2025-08-28 12:24:55.077</v>
      </c>
      <c r="H1501" t="s">
        <v>21</v>
      </c>
    </row>
    <row r="1502" spans="1:10" x14ac:dyDescent="0.25">
      <c r="A1502" s="1">
        <v>557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"2025-08-28 11:34:59.159"</f>
        <v>2025-08-28 11:34:59.159</v>
      </c>
      <c r="H1502" t="s">
        <v>21</v>
      </c>
      <c r="I1502">
        <v>0</v>
      </c>
      <c r="J1502" t="s">
        <v>32</v>
      </c>
    </row>
    <row r="1503" spans="1:10" x14ac:dyDescent="0.25">
      <c r="A1503" s="1">
        <v>558</v>
      </c>
      <c r="B1503" t="s">
        <v>19</v>
      </c>
      <c r="C1503">
        <v>706</v>
      </c>
      <c r="D1503">
        <v>4</v>
      </c>
      <c r="E1503" t="s">
        <v>22</v>
      </c>
      <c r="F1503" t="s">
        <v>31</v>
      </c>
      <c r="G1503" t="str">
        <f>"2025-08-28 11:28:24.431"</f>
        <v>2025-08-28 11:28:24.431</v>
      </c>
      <c r="H1503" t="s">
        <v>21</v>
      </c>
      <c r="I1503">
        <v>0</v>
      </c>
      <c r="J1503" t="s">
        <v>24</v>
      </c>
    </row>
    <row r="1504" spans="1:10" x14ac:dyDescent="0.25">
      <c r="A1504" s="1">
        <v>559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"2025-08-28 11:10:32.891"</f>
        <v>2025-08-28 11:10:32.891</v>
      </c>
      <c r="H1504" t="s">
        <v>21</v>
      </c>
    </row>
    <row r="1505" spans="1:10" x14ac:dyDescent="0.25">
      <c r="A1505" s="1">
        <v>561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"2025-08-28 11:03:23.886"</f>
        <v>2025-08-28 11:03:23.886</v>
      </c>
      <c r="H1505" t="s">
        <v>21</v>
      </c>
    </row>
    <row r="1506" spans="1:10" x14ac:dyDescent="0.25">
      <c r="A1506" s="1">
        <v>564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"2025-08-28 10:58:12.045"</f>
        <v>2025-08-28 10:58:12.045</v>
      </c>
      <c r="H1506" t="s">
        <v>21</v>
      </c>
    </row>
    <row r="1507" spans="1:10" x14ac:dyDescent="0.25">
      <c r="A1507" s="1">
        <v>567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"2025-08-28 10:52:51.884"</f>
        <v>2025-08-28 10:52:51.884</v>
      </c>
      <c r="H1507" t="s">
        <v>21</v>
      </c>
      <c r="I1507">
        <v>0</v>
      </c>
      <c r="J1507" t="s">
        <v>32</v>
      </c>
    </row>
    <row r="1508" spans="1:10" x14ac:dyDescent="0.25">
      <c r="A1508" s="1">
        <v>569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"2025-08-28 10:51:39.886"</f>
        <v>2025-08-28 10:51:39.886</v>
      </c>
      <c r="H1508" t="s">
        <v>21</v>
      </c>
    </row>
    <row r="1509" spans="1:10" x14ac:dyDescent="0.25">
      <c r="A1509" s="1">
        <v>570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"2025-08-28 10:48:46.887"</f>
        <v>2025-08-28 10:48:46.887</v>
      </c>
      <c r="H1509" t="s">
        <v>21</v>
      </c>
    </row>
    <row r="1510" spans="1:10" x14ac:dyDescent="0.25">
      <c r="A1510" s="1">
        <v>572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"2025-08-28 10:41:55.126"</f>
        <v>2025-08-28 10:41:55.126</v>
      </c>
      <c r="H1510" t="s">
        <v>21</v>
      </c>
    </row>
    <row r="1511" spans="1:10" x14ac:dyDescent="0.25">
      <c r="A1511" s="1">
        <v>573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"2025-08-28 10:39:28.867"</f>
        <v>2025-08-28 10:39:28.867</v>
      </c>
      <c r="H1511" t="s">
        <v>21</v>
      </c>
    </row>
    <row r="1512" spans="1:10" x14ac:dyDescent="0.25">
      <c r="A1512" s="1">
        <v>576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"2025-08-28 10:33:28.891"</f>
        <v>2025-08-28 10:33:28.891</v>
      </c>
      <c r="H1512" t="s">
        <v>21</v>
      </c>
    </row>
    <row r="1513" spans="1:10" x14ac:dyDescent="0.25">
      <c r="A1513" s="1">
        <v>579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"2025-08-28 10:29:55.883"</f>
        <v>2025-08-28 10:29:55.883</v>
      </c>
      <c r="H1513" t="s">
        <v>21</v>
      </c>
    </row>
    <row r="1514" spans="1:10" x14ac:dyDescent="0.25">
      <c r="A1514" s="1">
        <v>582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"2025-08-28 10:26:29.113"</f>
        <v>2025-08-28 10:26:29.113</v>
      </c>
      <c r="H1514" t="s">
        <v>21</v>
      </c>
    </row>
    <row r="1515" spans="1:10" x14ac:dyDescent="0.25">
      <c r="A1515" s="1">
        <v>585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"2025-08-28 10:23:25.884"</f>
        <v>2025-08-28 10:23:25.884</v>
      </c>
      <c r="H1515" t="s">
        <v>21</v>
      </c>
    </row>
    <row r="1516" spans="1:10" x14ac:dyDescent="0.25">
      <c r="A1516" s="1">
        <v>592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"2025-08-28 10:16:14.876"</f>
        <v>2025-08-28 10:16:14.876</v>
      </c>
      <c r="H1516" t="s">
        <v>21</v>
      </c>
    </row>
    <row r="1517" spans="1:10" x14ac:dyDescent="0.25">
      <c r="A1517" s="1">
        <v>595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"2025-08-28 10:13:26.870"</f>
        <v>2025-08-28 10:13:26.870</v>
      </c>
      <c r="H1517" t="s">
        <v>21</v>
      </c>
    </row>
    <row r="1518" spans="1:10" x14ac:dyDescent="0.25">
      <c r="A1518" s="1">
        <v>598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"2025-08-28 10:11:28.917"</f>
        <v>2025-08-28 10:11:28.917</v>
      </c>
      <c r="H1518" t="s">
        <v>21</v>
      </c>
    </row>
    <row r="1519" spans="1:10" x14ac:dyDescent="0.25">
      <c r="A1519" s="1">
        <v>600</v>
      </c>
      <c r="B1519" t="s">
        <v>25</v>
      </c>
      <c r="C1519">
        <v>49</v>
      </c>
      <c r="D1519">
        <v>1</v>
      </c>
      <c r="E1519" t="s">
        <v>79</v>
      </c>
      <c r="F1519" t="s">
        <v>80</v>
      </c>
      <c r="G1519" t="str">
        <f>"2025-08-28 10:08:23.821"</f>
        <v>2025-08-28 10:08:23.821</v>
      </c>
      <c r="H1519" t="s">
        <v>81</v>
      </c>
    </row>
    <row r="1520" spans="1:10" x14ac:dyDescent="0.25">
      <c r="A1520" s="1">
        <v>602</v>
      </c>
      <c r="B1520" t="s">
        <v>29</v>
      </c>
      <c r="C1520">
        <v>49</v>
      </c>
      <c r="D1520">
        <v>1</v>
      </c>
      <c r="E1520" t="s">
        <v>79</v>
      </c>
      <c r="F1520" t="s">
        <v>80</v>
      </c>
      <c r="G1520" t="str">
        <f>"2025-08-28 09:55:06.521"</f>
        <v>2025-08-28 09:55:06.521</v>
      </c>
      <c r="H1520" t="s">
        <v>81</v>
      </c>
      <c r="I1520">
        <v>0</v>
      </c>
      <c r="J1520" t="s">
        <v>24</v>
      </c>
    </row>
    <row r="1521" spans="1:10" x14ac:dyDescent="0.25">
      <c r="A1521" s="1">
        <v>604</v>
      </c>
      <c r="B1521" t="s">
        <v>33</v>
      </c>
      <c r="C1521">
        <v>47</v>
      </c>
      <c r="D1521">
        <v>2</v>
      </c>
      <c r="E1521" t="s">
        <v>49</v>
      </c>
      <c r="F1521" t="s">
        <v>50</v>
      </c>
      <c r="G1521" t="str">
        <f>"2025-08-28 09:53:57.421"</f>
        <v>2025-08-28 09:53:57.421</v>
      </c>
      <c r="H1521" t="s">
        <v>36</v>
      </c>
      <c r="I1521">
        <v>0</v>
      </c>
      <c r="J1521" t="s">
        <v>37</v>
      </c>
    </row>
    <row r="1522" spans="1:10" x14ac:dyDescent="0.25">
      <c r="A1522" s="1">
        <v>606</v>
      </c>
      <c r="B1522" t="s">
        <v>19</v>
      </c>
      <c r="C1522">
        <v>706</v>
      </c>
      <c r="D1522">
        <v>2</v>
      </c>
      <c r="E1522" t="s">
        <v>22</v>
      </c>
      <c r="F1522" t="s">
        <v>53</v>
      </c>
      <c r="G1522" t="str">
        <f>"2025-08-26 13:36:53.590"</f>
        <v>2025-08-26 13:36:53.590</v>
      </c>
      <c r="H1522" t="s">
        <v>21</v>
      </c>
      <c r="I1522">
        <v>0</v>
      </c>
      <c r="J1522" t="s">
        <v>24</v>
      </c>
    </row>
    <row r="1523" spans="1:10" x14ac:dyDescent="0.25">
      <c r="A1523" s="1">
        <v>607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"2025-08-26 13:36:34.090"</f>
        <v>2025-08-26 13:36:34.090</v>
      </c>
      <c r="H1523" t="s">
        <v>21</v>
      </c>
      <c r="I1523">
        <v>0</v>
      </c>
      <c r="J1523" t="s">
        <v>32</v>
      </c>
    </row>
    <row r="1524" spans="1:10" x14ac:dyDescent="0.25">
      <c r="A1524" s="1">
        <v>609</v>
      </c>
      <c r="B1524" t="s">
        <v>33</v>
      </c>
      <c r="C1524">
        <v>47</v>
      </c>
      <c r="D1524">
        <v>2</v>
      </c>
      <c r="E1524" t="s">
        <v>49</v>
      </c>
      <c r="F1524" t="s">
        <v>50</v>
      </c>
      <c r="G1524" t="str">
        <f>"2025-08-26 12:52:57.692"</f>
        <v>2025-08-26 12:52:57.692</v>
      </c>
      <c r="H1524" t="s">
        <v>36</v>
      </c>
      <c r="I1524">
        <v>0</v>
      </c>
      <c r="J1524" t="s">
        <v>37</v>
      </c>
    </row>
    <row r="1525" spans="1:10" x14ac:dyDescent="0.25">
      <c r="A1525" s="1">
        <v>610</v>
      </c>
      <c r="B1525" t="s">
        <v>19</v>
      </c>
      <c r="C1525">
        <v>706</v>
      </c>
      <c r="D1525">
        <v>4</v>
      </c>
      <c r="E1525" t="s">
        <v>22</v>
      </c>
      <c r="F1525" t="s">
        <v>31</v>
      </c>
      <c r="G1525" t="str">
        <f>"2025-08-26 05:34:11.261"</f>
        <v>2025-08-26 05:34:11.261</v>
      </c>
      <c r="H1525" t="s">
        <v>21</v>
      </c>
      <c r="I1525">
        <v>0</v>
      </c>
      <c r="J1525" t="s">
        <v>24</v>
      </c>
    </row>
    <row r="1526" spans="1:10" x14ac:dyDescent="0.25">
      <c r="A1526" s="1">
        <v>612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"2025-08-26 05:31:59.011"</f>
        <v>2025-08-26 05:31:59.011</v>
      </c>
      <c r="H1526" t="s">
        <v>21</v>
      </c>
      <c r="I1526">
        <v>0</v>
      </c>
      <c r="J1526" t="s">
        <v>32</v>
      </c>
    </row>
    <row r="1527" spans="1:10" x14ac:dyDescent="0.25">
      <c r="A1527" s="1">
        <v>614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"2025-08-26 05:05:18.108"</f>
        <v>2025-08-26 05:05:18.108</v>
      </c>
      <c r="H1527" t="s">
        <v>21</v>
      </c>
      <c r="I1527">
        <v>0</v>
      </c>
      <c r="J1527" t="s">
        <v>32</v>
      </c>
    </row>
    <row r="1528" spans="1:10" x14ac:dyDescent="0.25">
      <c r="A1528" s="1">
        <v>616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"2025-08-26 05:03:53.861"</f>
        <v>2025-08-26 05:03:53.861</v>
      </c>
      <c r="H1528" t="s">
        <v>21</v>
      </c>
    </row>
    <row r="1529" spans="1:10" x14ac:dyDescent="0.25">
      <c r="A1529" s="1">
        <v>619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"2025-08-26 04:48:59.896"</f>
        <v>2025-08-26 04:48:59.896</v>
      </c>
      <c r="H1529" t="s">
        <v>21</v>
      </c>
    </row>
    <row r="1530" spans="1:10" x14ac:dyDescent="0.25">
      <c r="A1530" s="1">
        <v>621</v>
      </c>
      <c r="B1530" t="s">
        <v>33</v>
      </c>
      <c r="C1530">
        <v>47</v>
      </c>
      <c r="D1530">
        <v>2</v>
      </c>
      <c r="E1530" t="s">
        <v>49</v>
      </c>
      <c r="F1530" t="s">
        <v>50</v>
      </c>
      <c r="G1530" t="str">
        <f>"2025-08-26 04:44:53.844"</f>
        <v>2025-08-26 04:44:53.844</v>
      </c>
      <c r="H1530" t="s">
        <v>36</v>
      </c>
      <c r="I1530">
        <v>0</v>
      </c>
      <c r="J1530" t="s">
        <v>37</v>
      </c>
    </row>
    <row r="1531" spans="1:10" x14ac:dyDescent="0.25">
      <c r="A1531" s="1">
        <v>622</v>
      </c>
      <c r="B1531" t="s">
        <v>41</v>
      </c>
      <c r="C1531">
        <v>33</v>
      </c>
      <c r="D1531">
        <v>1</v>
      </c>
      <c r="E1531" t="s">
        <v>61</v>
      </c>
      <c r="F1531" t="s">
        <v>62</v>
      </c>
      <c r="G1531" t="str">
        <f>"2025-08-26 02:12:21.144"</f>
        <v>2025-08-26 02:12:21.144</v>
      </c>
      <c r="H1531" t="s">
        <v>63</v>
      </c>
    </row>
    <row r="1532" spans="1:10" x14ac:dyDescent="0.25">
      <c r="A1532" s="1">
        <v>623</v>
      </c>
      <c r="B1532" t="s">
        <v>33</v>
      </c>
      <c r="C1532">
        <v>33</v>
      </c>
      <c r="D1532">
        <v>1</v>
      </c>
      <c r="E1532" t="s">
        <v>61</v>
      </c>
      <c r="F1532" t="s">
        <v>62</v>
      </c>
      <c r="G1532" t="str">
        <f>"2025-08-26 02:08:59.542"</f>
        <v>2025-08-26 02:08:59.542</v>
      </c>
      <c r="H1532" t="s">
        <v>63</v>
      </c>
      <c r="I1532">
        <v>7.65</v>
      </c>
      <c r="J1532" t="s">
        <v>42</v>
      </c>
    </row>
    <row r="1533" spans="1:10" x14ac:dyDescent="0.25">
      <c r="A1533" s="1">
        <v>625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"2025-08-25 20:51:59.871"</f>
        <v>2025-08-25 20:51:59.871</v>
      </c>
      <c r="H1533" t="s">
        <v>21</v>
      </c>
      <c r="I1533">
        <v>0</v>
      </c>
      <c r="J1533" t="s">
        <v>32</v>
      </c>
    </row>
    <row r="1534" spans="1:10" x14ac:dyDescent="0.25">
      <c r="A1534" s="1">
        <v>627</v>
      </c>
      <c r="B1534" t="s">
        <v>33</v>
      </c>
      <c r="C1534">
        <v>47</v>
      </c>
      <c r="D1534">
        <v>2</v>
      </c>
      <c r="E1534" t="s">
        <v>49</v>
      </c>
      <c r="F1534" t="s">
        <v>50</v>
      </c>
      <c r="G1534" t="str">
        <f>"2025-08-25 20:46:57.975"</f>
        <v>2025-08-25 20:46:57.975</v>
      </c>
      <c r="H1534" t="s">
        <v>36</v>
      </c>
      <c r="I1534">
        <v>0</v>
      </c>
      <c r="J1534" t="s">
        <v>37</v>
      </c>
    </row>
    <row r="1535" spans="1:10" x14ac:dyDescent="0.25">
      <c r="A1535" s="1">
        <v>629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"2025-08-24 20:01:58.158"</f>
        <v>2025-08-24 20:01:58.158</v>
      </c>
      <c r="H1535" t="s">
        <v>21</v>
      </c>
    </row>
    <row r="1536" spans="1:10" x14ac:dyDescent="0.25">
      <c r="A1536" s="1">
        <v>631</v>
      </c>
      <c r="B1536" t="s">
        <v>33</v>
      </c>
      <c r="C1536">
        <v>47</v>
      </c>
      <c r="D1536">
        <v>2</v>
      </c>
      <c r="E1536" t="s">
        <v>49</v>
      </c>
      <c r="F1536" t="s">
        <v>50</v>
      </c>
      <c r="G1536" t="str">
        <f>"2025-08-24 19:56:02.937"</f>
        <v>2025-08-24 19:56:02.937</v>
      </c>
      <c r="H1536" t="s">
        <v>36</v>
      </c>
      <c r="I1536">
        <v>0</v>
      </c>
      <c r="J1536" t="s">
        <v>37</v>
      </c>
    </row>
    <row r="1537" spans="1:10" x14ac:dyDescent="0.25">
      <c r="A1537" s="1">
        <v>633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"2025-08-24 12:14:30.856"</f>
        <v>2025-08-24 12:14:30.856</v>
      </c>
      <c r="H1537" t="s">
        <v>21</v>
      </c>
      <c r="I1537">
        <v>0</v>
      </c>
      <c r="J1537" t="s">
        <v>32</v>
      </c>
    </row>
    <row r="1538" spans="1:10" x14ac:dyDescent="0.25">
      <c r="A1538" s="1">
        <v>635</v>
      </c>
      <c r="B1538" t="s">
        <v>33</v>
      </c>
      <c r="C1538">
        <v>47</v>
      </c>
      <c r="D1538">
        <v>2</v>
      </c>
      <c r="E1538" t="s">
        <v>49</v>
      </c>
      <c r="F1538" t="s">
        <v>50</v>
      </c>
      <c r="G1538" t="str">
        <f>"2025-08-24 11:16:43.252"</f>
        <v>2025-08-24 11:16:43.252</v>
      </c>
      <c r="H1538" t="s">
        <v>36</v>
      </c>
      <c r="I1538">
        <v>0</v>
      </c>
      <c r="J1538" t="s">
        <v>37</v>
      </c>
    </row>
    <row r="1539" spans="1:10" x14ac:dyDescent="0.25">
      <c r="A1539" s="1">
        <v>637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"2025-08-24 11:13:50.853"</f>
        <v>2025-08-24 11:13:50.853</v>
      </c>
      <c r="H1539" t="s">
        <v>21</v>
      </c>
    </row>
    <row r="1540" spans="1:10" x14ac:dyDescent="0.25">
      <c r="A1540" s="1">
        <v>640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"2025-08-24 10:27:45.854"</f>
        <v>2025-08-24 10:27:45.854</v>
      </c>
      <c r="H1540" t="s">
        <v>21</v>
      </c>
      <c r="I1540">
        <v>0</v>
      </c>
      <c r="J1540" t="s">
        <v>32</v>
      </c>
    </row>
    <row r="1541" spans="1:10" x14ac:dyDescent="0.25">
      <c r="A1541" s="1">
        <v>643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"2025-08-24 09:26:20.856"</f>
        <v>2025-08-24 09:26:20.856</v>
      </c>
      <c r="H1541" t="s">
        <v>21</v>
      </c>
      <c r="I1541">
        <v>0</v>
      </c>
      <c r="J1541" t="s">
        <v>32</v>
      </c>
    </row>
    <row r="1542" spans="1:10" x14ac:dyDescent="0.25">
      <c r="A1542" s="1">
        <v>645</v>
      </c>
      <c r="B1542" t="s">
        <v>25</v>
      </c>
      <c r="C1542">
        <v>49</v>
      </c>
      <c r="D1542">
        <v>1</v>
      </c>
      <c r="E1542" t="s">
        <v>79</v>
      </c>
      <c r="F1542" t="s">
        <v>80</v>
      </c>
      <c r="G1542" t="str">
        <f>"2025-08-24 07:45:05.688"</f>
        <v>2025-08-24 07:45:05.688</v>
      </c>
      <c r="H1542" t="s">
        <v>81</v>
      </c>
    </row>
    <row r="1543" spans="1:10" x14ac:dyDescent="0.25">
      <c r="A1543" s="1">
        <v>647</v>
      </c>
      <c r="B1543" t="s">
        <v>19</v>
      </c>
      <c r="C1543">
        <v>706</v>
      </c>
      <c r="D1543">
        <v>4</v>
      </c>
      <c r="E1543" t="s">
        <v>22</v>
      </c>
      <c r="F1543" t="s">
        <v>31</v>
      </c>
      <c r="G1543" t="str">
        <f>"2025-08-24 07:44:55.849"</f>
        <v>2025-08-24 07:44:55.849</v>
      </c>
      <c r="H1543" t="s">
        <v>21</v>
      </c>
      <c r="I1543">
        <v>0</v>
      </c>
      <c r="J1543" t="s">
        <v>24</v>
      </c>
    </row>
    <row r="1544" spans="1:10" x14ac:dyDescent="0.25">
      <c r="A1544" s="1">
        <v>648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"2025-08-24 07:44:35.899"</f>
        <v>2025-08-24 07:44:35.899</v>
      </c>
      <c r="H1544" t="s">
        <v>21</v>
      </c>
      <c r="I1544">
        <v>0</v>
      </c>
      <c r="J1544" t="s">
        <v>32</v>
      </c>
    </row>
    <row r="1545" spans="1:10" x14ac:dyDescent="0.25">
      <c r="A1545" s="1">
        <v>649</v>
      </c>
      <c r="B1545" t="s">
        <v>29</v>
      </c>
      <c r="C1545">
        <v>49</v>
      </c>
      <c r="D1545">
        <v>1</v>
      </c>
      <c r="E1545" t="s">
        <v>79</v>
      </c>
      <c r="F1545" t="s">
        <v>80</v>
      </c>
      <c r="G1545" t="str">
        <f>"2025-08-23 19:20:46.774"</f>
        <v>2025-08-23 19:20:46.774</v>
      </c>
      <c r="H1545" t="s">
        <v>81</v>
      </c>
      <c r="I1545">
        <v>0</v>
      </c>
      <c r="J1545" t="s">
        <v>24</v>
      </c>
    </row>
    <row r="1546" spans="1:10" x14ac:dyDescent="0.25">
      <c r="A1546" s="1">
        <v>652</v>
      </c>
      <c r="B1546" t="s">
        <v>19</v>
      </c>
      <c r="C1546">
        <v>706</v>
      </c>
      <c r="D1546">
        <v>4</v>
      </c>
      <c r="E1546" t="s">
        <v>22</v>
      </c>
      <c r="F1546" t="s">
        <v>31</v>
      </c>
      <c r="G1546" t="str">
        <f>"2025-08-23 13:44:58.564"</f>
        <v>2025-08-23 13:44:58.564</v>
      </c>
      <c r="H1546" t="s">
        <v>21</v>
      </c>
      <c r="I1546">
        <v>0</v>
      </c>
      <c r="J1546" t="s">
        <v>24</v>
      </c>
    </row>
    <row r="1547" spans="1:10" x14ac:dyDescent="0.25">
      <c r="A1547" s="1">
        <v>653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"2025-08-23 13:44:36.874"</f>
        <v>2025-08-23 13:44:36.874</v>
      </c>
      <c r="H1547" t="s">
        <v>21</v>
      </c>
    </row>
    <row r="1548" spans="1:10" x14ac:dyDescent="0.25">
      <c r="A1548" s="1">
        <v>655</v>
      </c>
      <c r="B1548" t="s">
        <v>25</v>
      </c>
      <c r="C1548">
        <v>98</v>
      </c>
      <c r="D1548">
        <v>1</v>
      </c>
      <c r="E1548" t="s">
        <v>64</v>
      </c>
      <c r="F1548" t="s">
        <v>65</v>
      </c>
      <c r="G1548" t="str">
        <f>"2025-08-23 12:59:35.807"</f>
        <v>2025-08-23 12:59:35.807</v>
      </c>
      <c r="H1548" t="s">
        <v>21</v>
      </c>
    </row>
    <row r="1549" spans="1:10" x14ac:dyDescent="0.25">
      <c r="A1549" s="1">
        <v>656</v>
      </c>
      <c r="B1549" t="s">
        <v>29</v>
      </c>
      <c r="C1549">
        <v>98</v>
      </c>
      <c r="D1549">
        <v>1</v>
      </c>
      <c r="E1549" t="s">
        <v>64</v>
      </c>
      <c r="F1549" t="s">
        <v>65</v>
      </c>
      <c r="G1549" t="str">
        <f>"2025-08-23 12:59:34.707"</f>
        <v>2025-08-23 12:59:34.707</v>
      </c>
      <c r="H1549" t="s">
        <v>21</v>
      </c>
      <c r="I1549">
        <v>0</v>
      </c>
      <c r="J1549" t="s">
        <v>37</v>
      </c>
    </row>
    <row r="1550" spans="1:10" x14ac:dyDescent="0.25">
      <c r="A1550" s="1">
        <v>657</v>
      </c>
      <c r="B1550" t="s">
        <v>25</v>
      </c>
      <c r="C1550">
        <v>635</v>
      </c>
      <c r="D1550">
        <v>1</v>
      </c>
      <c r="E1550" t="s">
        <v>45</v>
      </c>
      <c r="F1550" t="s">
        <v>27</v>
      </c>
      <c r="G1550" t="str">
        <f>"2025-08-23 10:11:12.294"</f>
        <v>2025-08-23 10:11:12.294</v>
      </c>
      <c r="H1550" t="s">
        <v>21</v>
      </c>
    </row>
    <row r="1551" spans="1:10" x14ac:dyDescent="0.25">
      <c r="A1551" s="1">
        <v>658</v>
      </c>
      <c r="B1551" t="s">
        <v>29</v>
      </c>
      <c r="C1551">
        <v>635</v>
      </c>
      <c r="D1551">
        <v>1</v>
      </c>
      <c r="E1551" t="s">
        <v>45</v>
      </c>
      <c r="F1551" t="s">
        <v>27</v>
      </c>
      <c r="G1551" t="str">
        <f>"2025-08-23 10:08:46.294"</f>
        <v>2025-08-23 10:08:46.294</v>
      </c>
      <c r="H1551" t="s">
        <v>21</v>
      </c>
      <c r="I1551">
        <v>4.05</v>
      </c>
      <c r="J1551" t="s">
        <v>37</v>
      </c>
    </row>
    <row r="1552" spans="1:10" x14ac:dyDescent="0.25">
      <c r="A1552" s="1">
        <v>659</v>
      </c>
      <c r="B1552" t="s">
        <v>25</v>
      </c>
      <c r="C1552">
        <v>635</v>
      </c>
      <c r="D1552">
        <v>1</v>
      </c>
      <c r="E1552" t="s">
        <v>45</v>
      </c>
      <c r="F1552" t="s">
        <v>27</v>
      </c>
      <c r="G1552" t="str">
        <f>"2025-08-23 03:49:26.394"</f>
        <v>2025-08-23 03:49:26.394</v>
      </c>
      <c r="H1552" t="s">
        <v>21</v>
      </c>
    </row>
    <row r="1553" spans="1:10" x14ac:dyDescent="0.25">
      <c r="A1553" s="1">
        <v>660</v>
      </c>
      <c r="B1553" t="s">
        <v>29</v>
      </c>
      <c r="C1553">
        <v>635</v>
      </c>
      <c r="D1553">
        <v>1</v>
      </c>
      <c r="E1553" t="s">
        <v>45</v>
      </c>
      <c r="F1553" t="s">
        <v>27</v>
      </c>
      <c r="G1553" t="str">
        <f>"2025-08-23 03:23:00.494"</f>
        <v>2025-08-23 03:23:00.494</v>
      </c>
      <c r="H1553" t="s">
        <v>21</v>
      </c>
      <c r="I1553">
        <v>5.43</v>
      </c>
      <c r="J1553" t="s">
        <v>42</v>
      </c>
    </row>
    <row r="1554" spans="1:10" x14ac:dyDescent="0.25">
      <c r="A1554" s="1">
        <v>661</v>
      </c>
      <c r="B1554" t="s">
        <v>25</v>
      </c>
      <c r="C1554">
        <v>635</v>
      </c>
      <c r="D1554">
        <v>1</v>
      </c>
      <c r="E1554" t="s">
        <v>45</v>
      </c>
      <c r="F1554" t="s">
        <v>27</v>
      </c>
      <c r="G1554" t="str">
        <f>"2025-08-22 22:24:14.494"</f>
        <v>2025-08-22 22:24:14.494</v>
      </c>
      <c r="H1554" t="s">
        <v>21</v>
      </c>
    </row>
    <row r="1555" spans="1:10" x14ac:dyDescent="0.25">
      <c r="A1555" s="1">
        <v>662</v>
      </c>
      <c r="B1555" t="s">
        <v>29</v>
      </c>
      <c r="C1555">
        <v>635</v>
      </c>
      <c r="D1555">
        <v>1</v>
      </c>
      <c r="E1555" t="s">
        <v>45</v>
      </c>
      <c r="F1555" t="s">
        <v>27</v>
      </c>
      <c r="G1555" t="str">
        <f>"2025-08-22 21:52:29.494"</f>
        <v>2025-08-22 21:52:29.494</v>
      </c>
      <c r="H1555" t="s">
        <v>21</v>
      </c>
      <c r="I1555">
        <v>9.1</v>
      </c>
      <c r="J1555" t="s">
        <v>42</v>
      </c>
    </row>
    <row r="1556" spans="1:10" x14ac:dyDescent="0.25">
      <c r="A1556" s="1">
        <v>664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"2025-08-22 21:31:19.847"</f>
        <v>2025-08-22 21:31:19.847</v>
      </c>
      <c r="H1556" t="s">
        <v>21</v>
      </c>
    </row>
    <row r="1557" spans="1:10" s="3" customFormat="1" x14ac:dyDescent="0.25">
      <c r="A1557" s="2">
        <v>666</v>
      </c>
      <c r="B1557" s="3" t="s">
        <v>25</v>
      </c>
      <c r="C1557" s="3">
        <v>647</v>
      </c>
      <c r="D1557" s="3">
        <v>1</v>
      </c>
      <c r="E1557" s="3" t="s">
        <v>55</v>
      </c>
      <c r="F1557" s="3" t="s">
        <v>56</v>
      </c>
      <c r="G1557" s="3" t="str">
        <f>"2025-08-22 02:07:54.922"</f>
        <v>2025-08-22 02:07:54.922</v>
      </c>
      <c r="H1557" s="3" t="s">
        <v>21</v>
      </c>
    </row>
    <row r="1558" spans="1:10" s="3" customFormat="1" x14ac:dyDescent="0.25">
      <c r="A1558" s="2">
        <v>667</v>
      </c>
      <c r="B1558" s="3" t="s">
        <v>29</v>
      </c>
      <c r="C1558" s="3">
        <v>647</v>
      </c>
      <c r="D1558" s="3">
        <v>1</v>
      </c>
      <c r="E1558" s="3" t="s">
        <v>55</v>
      </c>
      <c r="F1558" s="3" t="s">
        <v>56</v>
      </c>
      <c r="G1558" s="3" t="str">
        <f>"2025-08-22 02:07:33.622"</f>
        <v>2025-08-22 02:07:33.622</v>
      </c>
      <c r="H1558" s="3" t="s">
        <v>21</v>
      </c>
      <c r="I1558" s="3">
        <v>11.18</v>
      </c>
      <c r="J1558" s="3" t="s">
        <v>54</v>
      </c>
    </row>
    <row r="1559" spans="1:10" s="3" customFormat="1" x14ac:dyDescent="0.25">
      <c r="A1559" s="2">
        <v>668</v>
      </c>
      <c r="B1559" s="3" t="s">
        <v>25</v>
      </c>
      <c r="C1559" s="3">
        <v>647</v>
      </c>
      <c r="D1559" s="3">
        <v>1</v>
      </c>
      <c r="E1559" s="3" t="s">
        <v>55</v>
      </c>
      <c r="F1559" s="3" t="s">
        <v>56</v>
      </c>
      <c r="G1559" s="3" t="str">
        <f>"2025-08-22 02:07:32.122"</f>
        <v>2025-08-22 02:07:32.122</v>
      </c>
      <c r="H1559" s="3" t="s">
        <v>21</v>
      </c>
    </row>
    <row r="1560" spans="1:10" s="3" customFormat="1" x14ac:dyDescent="0.25">
      <c r="A1560" s="2">
        <v>669</v>
      </c>
      <c r="B1560" s="3" t="s">
        <v>29</v>
      </c>
      <c r="C1560" s="3">
        <v>647</v>
      </c>
      <c r="D1560" s="3">
        <v>1</v>
      </c>
      <c r="E1560" s="3" t="s">
        <v>55</v>
      </c>
      <c r="F1560" s="3" t="s">
        <v>56</v>
      </c>
      <c r="G1560" s="3" t="str">
        <f>"2025-08-22 02:07:25.622"</f>
        <v>2025-08-22 02:07:25.622</v>
      </c>
      <c r="H1560" s="3" t="s">
        <v>21</v>
      </c>
      <c r="I1560" s="3">
        <v>8.66</v>
      </c>
      <c r="J1560" s="3" t="s">
        <v>54</v>
      </c>
    </row>
    <row r="1561" spans="1:10" s="3" customFormat="1" x14ac:dyDescent="0.25">
      <c r="A1561" s="2">
        <v>670</v>
      </c>
      <c r="B1561" s="3" t="s">
        <v>25</v>
      </c>
      <c r="C1561" s="3">
        <v>647</v>
      </c>
      <c r="D1561" s="3">
        <v>1</v>
      </c>
      <c r="E1561" s="3" t="s">
        <v>55</v>
      </c>
      <c r="F1561" s="3" t="s">
        <v>56</v>
      </c>
      <c r="G1561" s="3" t="str">
        <f>"2025-08-22 02:07:01.922"</f>
        <v>2025-08-22 02:07:01.922</v>
      </c>
      <c r="H1561" s="3" t="s">
        <v>21</v>
      </c>
    </row>
    <row r="1562" spans="1:10" s="3" customFormat="1" x14ac:dyDescent="0.25">
      <c r="A1562" s="2">
        <v>671</v>
      </c>
      <c r="B1562" s="3" t="s">
        <v>29</v>
      </c>
      <c r="C1562" s="3">
        <v>647</v>
      </c>
      <c r="D1562" s="3">
        <v>1</v>
      </c>
      <c r="E1562" s="3" t="s">
        <v>55</v>
      </c>
      <c r="F1562" s="3" t="s">
        <v>56</v>
      </c>
      <c r="G1562" s="3" t="str">
        <f>"2025-08-22 02:07:00.122"</f>
        <v>2025-08-22 02:07:00.122</v>
      </c>
      <c r="H1562" s="3" t="s">
        <v>21</v>
      </c>
      <c r="I1562" s="3">
        <v>8.7899999999999991</v>
      </c>
      <c r="J1562" s="3" t="s">
        <v>54</v>
      </c>
    </row>
    <row r="1563" spans="1:10" x14ac:dyDescent="0.25">
      <c r="A1563" s="1">
        <v>672</v>
      </c>
      <c r="B1563" t="s">
        <v>25</v>
      </c>
      <c r="C1563">
        <v>635</v>
      </c>
      <c r="D1563">
        <v>1</v>
      </c>
      <c r="E1563" t="s">
        <v>45</v>
      </c>
      <c r="F1563" t="s">
        <v>27</v>
      </c>
      <c r="G1563" t="str">
        <f>"2025-08-19 21:46:31.374"</f>
        <v>2025-08-19 21:46:31.374</v>
      </c>
      <c r="H1563" t="s">
        <v>21</v>
      </c>
    </row>
    <row r="1564" spans="1:10" x14ac:dyDescent="0.25">
      <c r="A1564" s="1">
        <v>673</v>
      </c>
      <c r="B1564" t="s">
        <v>29</v>
      </c>
      <c r="C1564">
        <v>635</v>
      </c>
      <c r="D1564">
        <v>1</v>
      </c>
      <c r="E1564" t="s">
        <v>45</v>
      </c>
      <c r="F1564" t="s">
        <v>27</v>
      </c>
      <c r="G1564" t="str">
        <f>"2025-08-19 21:22:03.374"</f>
        <v>2025-08-19 21:22:03.374</v>
      </c>
      <c r="H1564" t="s">
        <v>21</v>
      </c>
      <c r="I1564">
        <v>7.23</v>
      </c>
      <c r="J1564" t="s">
        <v>42</v>
      </c>
    </row>
    <row r="1565" spans="1:10" x14ac:dyDescent="0.25">
      <c r="A1565" s="1">
        <v>674</v>
      </c>
      <c r="B1565" t="s">
        <v>19</v>
      </c>
      <c r="C1565">
        <v>706</v>
      </c>
      <c r="D1565">
        <v>4</v>
      </c>
      <c r="E1565" t="s">
        <v>22</v>
      </c>
      <c r="F1565" t="s">
        <v>31</v>
      </c>
      <c r="G1565" t="str">
        <f>"2025-08-19 11:15:48.340"</f>
        <v>2025-08-19 11:15:48.340</v>
      </c>
      <c r="H1565" t="s">
        <v>21</v>
      </c>
      <c r="I1565">
        <v>0</v>
      </c>
      <c r="J1565" t="s">
        <v>24</v>
      </c>
    </row>
    <row r="1566" spans="1:10" s="3" customFormat="1" x14ac:dyDescent="0.25">
      <c r="A1566" s="2">
        <v>677</v>
      </c>
      <c r="B1566" s="3" t="s">
        <v>25</v>
      </c>
      <c r="C1566" s="3">
        <v>647</v>
      </c>
      <c r="D1566" s="3">
        <v>1</v>
      </c>
      <c r="E1566" s="3" t="s">
        <v>55</v>
      </c>
      <c r="F1566" s="3" t="s">
        <v>56</v>
      </c>
      <c r="G1566" s="3" t="str">
        <f>"2025-08-19 01:34:17.822"</f>
        <v>2025-08-19 01:34:17.822</v>
      </c>
      <c r="H1566" s="3" t="s">
        <v>21</v>
      </c>
    </row>
    <row r="1567" spans="1:10" s="3" customFormat="1" x14ac:dyDescent="0.25">
      <c r="A1567" s="2">
        <v>678</v>
      </c>
      <c r="B1567" s="3" t="s">
        <v>29</v>
      </c>
      <c r="C1567" s="3">
        <v>647</v>
      </c>
      <c r="D1567" s="3">
        <v>1</v>
      </c>
      <c r="E1567" s="3" t="s">
        <v>55</v>
      </c>
      <c r="F1567" s="3" t="s">
        <v>56</v>
      </c>
      <c r="G1567" s="3" t="str">
        <f>"2025-08-19 01:34:16.523"</f>
        <v>2025-08-19 01:34:16.523</v>
      </c>
      <c r="H1567" s="3" t="s">
        <v>21</v>
      </c>
      <c r="I1567" s="3">
        <v>10.039999999999999</v>
      </c>
      <c r="J1567" s="3" t="s">
        <v>37</v>
      </c>
    </row>
    <row r="1568" spans="1:10" x14ac:dyDescent="0.25">
      <c r="A1568" s="1">
        <v>680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"2025-08-18 20:05:56.850"</f>
        <v>2025-08-18 20:05:56.850</v>
      </c>
      <c r="H1568" t="s">
        <v>21</v>
      </c>
    </row>
    <row r="1569" spans="1:10" x14ac:dyDescent="0.25">
      <c r="A1569" s="1">
        <v>683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"2025-08-18 19:09:20.846"</f>
        <v>2025-08-18 19:09:20.846</v>
      </c>
      <c r="H1569" t="s">
        <v>21</v>
      </c>
    </row>
    <row r="1570" spans="1:10" x14ac:dyDescent="0.25">
      <c r="A1570" s="1">
        <v>686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"2025-08-18 18:31:03.850"</f>
        <v>2025-08-18 18:31:03.850</v>
      </c>
      <c r="H1570" t="s">
        <v>21</v>
      </c>
      <c r="I1570">
        <v>0</v>
      </c>
      <c r="J1570" t="s">
        <v>32</v>
      </c>
    </row>
    <row r="1571" spans="1:10" x14ac:dyDescent="0.25">
      <c r="A1571" s="1">
        <v>689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"2025-08-18 18:20:33.847"</f>
        <v>2025-08-18 18:20:33.847</v>
      </c>
      <c r="H1571" t="s">
        <v>21</v>
      </c>
      <c r="I1571">
        <v>0</v>
      </c>
      <c r="J1571" t="s">
        <v>32</v>
      </c>
    </row>
    <row r="1572" spans="1:10" x14ac:dyDescent="0.25">
      <c r="A1572" s="1">
        <v>691</v>
      </c>
      <c r="B1572" t="s">
        <v>41</v>
      </c>
      <c r="C1572">
        <v>47</v>
      </c>
      <c r="D1572">
        <v>2</v>
      </c>
      <c r="E1572" t="s">
        <v>49</v>
      </c>
      <c r="F1572" t="s">
        <v>50</v>
      </c>
      <c r="G1572" t="str">
        <f>"2025-08-18 18:16:51.350"</f>
        <v>2025-08-18 18:16:51.350</v>
      </c>
      <c r="H1572" t="s">
        <v>36</v>
      </c>
    </row>
    <row r="1573" spans="1:10" x14ac:dyDescent="0.25">
      <c r="A1573" s="1">
        <v>692</v>
      </c>
      <c r="B1573" t="s">
        <v>33</v>
      </c>
      <c r="C1573">
        <v>47</v>
      </c>
      <c r="D1573">
        <v>2</v>
      </c>
      <c r="E1573" t="s">
        <v>49</v>
      </c>
      <c r="F1573" t="s">
        <v>50</v>
      </c>
      <c r="G1573" t="str">
        <f>"2025-08-18 18:16:49.050"</f>
        <v>2025-08-18 18:16:49.050</v>
      </c>
      <c r="H1573" t="s">
        <v>36</v>
      </c>
      <c r="I1573">
        <v>0</v>
      </c>
      <c r="J1573" t="s">
        <v>24</v>
      </c>
    </row>
    <row r="1574" spans="1:10" x14ac:dyDescent="0.25">
      <c r="A1574" s="1">
        <v>693</v>
      </c>
      <c r="B1574" t="s">
        <v>19</v>
      </c>
      <c r="C1574">
        <v>706</v>
      </c>
      <c r="D1574">
        <v>4</v>
      </c>
      <c r="E1574" t="s">
        <v>22</v>
      </c>
      <c r="F1574" t="s">
        <v>31</v>
      </c>
      <c r="G1574" t="str">
        <f>"2025-08-18 18:16:44.603"</f>
        <v>2025-08-18 18:16:44.603</v>
      </c>
      <c r="H1574" t="s">
        <v>21</v>
      </c>
      <c r="I1574">
        <v>0</v>
      </c>
      <c r="J1574" t="s">
        <v>24</v>
      </c>
    </row>
    <row r="1575" spans="1:10" x14ac:dyDescent="0.25">
      <c r="A1575" s="1">
        <v>694</v>
      </c>
      <c r="B1575" t="s">
        <v>19</v>
      </c>
      <c r="C1575">
        <v>706</v>
      </c>
      <c r="D1575">
        <v>2</v>
      </c>
      <c r="E1575" t="s">
        <v>22</v>
      </c>
      <c r="F1575" t="s">
        <v>53</v>
      </c>
      <c r="G1575" t="str">
        <f>"2025-08-18 18:11:39.173"</f>
        <v>2025-08-18 18:11:39.173</v>
      </c>
      <c r="H1575" t="s">
        <v>21</v>
      </c>
      <c r="I1575">
        <v>0</v>
      </c>
      <c r="J1575" t="s">
        <v>24</v>
      </c>
    </row>
    <row r="1576" spans="1:10" x14ac:dyDescent="0.25">
      <c r="A1576" s="1">
        <v>695</v>
      </c>
      <c r="B1576" t="s">
        <v>25</v>
      </c>
      <c r="C1576">
        <v>630</v>
      </c>
      <c r="D1576">
        <v>5</v>
      </c>
      <c r="E1576" t="s">
        <v>51</v>
      </c>
      <c r="F1576" t="s">
        <v>52</v>
      </c>
      <c r="G1576" t="str">
        <f>"2025-08-18 18:10:29.850"</f>
        <v>2025-08-18 18:10:29.850</v>
      </c>
      <c r="H1576" t="s">
        <v>40</v>
      </c>
    </row>
    <row r="1577" spans="1:10" x14ac:dyDescent="0.25">
      <c r="A1577" s="1">
        <v>696</v>
      </c>
      <c r="B1577" t="s">
        <v>33</v>
      </c>
      <c r="C1577">
        <v>630</v>
      </c>
      <c r="D1577">
        <v>5</v>
      </c>
      <c r="E1577" t="s">
        <v>51</v>
      </c>
      <c r="F1577" t="s">
        <v>52</v>
      </c>
      <c r="G1577" t="str">
        <f>"2025-08-18 18:01:28.651"</f>
        <v>2025-08-18 18:01:28.651</v>
      </c>
      <c r="H1577" t="s">
        <v>40</v>
      </c>
      <c r="I1577">
        <v>0</v>
      </c>
      <c r="J1577" t="s">
        <v>24</v>
      </c>
    </row>
    <row r="1578" spans="1:10" x14ac:dyDescent="0.25">
      <c r="A1578" s="1">
        <v>697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"2025-08-18 17:56:25.843"</f>
        <v>2025-08-18 17:56:25.843</v>
      </c>
      <c r="H1578" t="s">
        <v>21</v>
      </c>
    </row>
    <row r="1579" spans="1:10" x14ac:dyDescent="0.25">
      <c r="A1579" s="1">
        <v>698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"2025-08-18 15:20:51.091"</f>
        <v>2025-08-18 15:20:51.091</v>
      </c>
      <c r="H1579" t="s">
        <v>21</v>
      </c>
      <c r="I1579">
        <v>0</v>
      </c>
      <c r="J1579" t="s">
        <v>32</v>
      </c>
    </row>
    <row r="1580" spans="1:10" x14ac:dyDescent="0.25">
      <c r="A1580" s="1">
        <v>699</v>
      </c>
      <c r="B1580" t="s">
        <v>19</v>
      </c>
      <c r="C1580">
        <v>706</v>
      </c>
      <c r="D1580">
        <v>4</v>
      </c>
      <c r="E1580" t="s">
        <v>22</v>
      </c>
      <c r="F1580" t="s">
        <v>31</v>
      </c>
      <c r="G1580" t="str">
        <f>"2025-08-18 15:15:51.146"</f>
        <v>2025-08-18 15:15:51.146</v>
      </c>
      <c r="H1580" t="s">
        <v>21</v>
      </c>
      <c r="I1580">
        <v>0</v>
      </c>
      <c r="J1580" t="s">
        <v>24</v>
      </c>
    </row>
    <row r="1581" spans="1:10" x14ac:dyDescent="0.25">
      <c r="A1581" s="1">
        <v>700</v>
      </c>
      <c r="B1581" t="s">
        <v>25</v>
      </c>
      <c r="C1581">
        <v>635</v>
      </c>
      <c r="D1581">
        <v>1</v>
      </c>
      <c r="E1581" t="s">
        <v>45</v>
      </c>
      <c r="F1581" t="s">
        <v>27</v>
      </c>
      <c r="G1581" t="str">
        <f>"2025-08-18 05:25:50.067"</f>
        <v>2025-08-18 05:25:50.067</v>
      </c>
      <c r="H1581" t="s">
        <v>21</v>
      </c>
    </row>
    <row r="1582" spans="1:10" x14ac:dyDescent="0.25">
      <c r="A1582" s="1">
        <v>701</v>
      </c>
      <c r="B1582" t="s">
        <v>29</v>
      </c>
      <c r="C1582">
        <v>635</v>
      </c>
      <c r="D1582">
        <v>1</v>
      </c>
      <c r="E1582" t="s">
        <v>45</v>
      </c>
      <c r="F1582" t="s">
        <v>27</v>
      </c>
      <c r="G1582" t="str">
        <f>"2025-08-18 05:20:34.067"</f>
        <v>2025-08-18 05:20:34.067</v>
      </c>
      <c r="H1582" t="s">
        <v>21</v>
      </c>
      <c r="I1582">
        <v>4.51</v>
      </c>
      <c r="J1582" t="s">
        <v>42</v>
      </c>
    </row>
    <row r="1583" spans="1:10" x14ac:dyDescent="0.25">
      <c r="A1583" s="1">
        <v>702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"2025-08-17 20:12:50.866"</f>
        <v>2025-08-17 20:12:50.866</v>
      </c>
      <c r="H1583" t="s">
        <v>21</v>
      </c>
      <c r="I1583">
        <v>0</v>
      </c>
      <c r="J1583" t="s">
        <v>32</v>
      </c>
    </row>
    <row r="1584" spans="1:10" x14ac:dyDescent="0.25">
      <c r="A1584" s="1">
        <v>703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"2025-08-17 19:03:44.875"</f>
        <v>2025-08-17 19:03:44.875</v>
      </c>
      <c r="H1584" t="s">
        <v>21</v>
      </c>
      <c r="I1584">
        <v>0</v>
      </c>
      <c r="J1584" t="s">
        <v>32</v>
      </c>
    </row>
    <row r="1585" spans="1:10" x14ac:dyDescent="0.25">
      <c r="A1585" s="1">
        <v>704</v>
      </c>
      <c r="B1585" t="s">
        <v>19</v>
      </c>
      <c r="C1585">
        <v>706</v>
      </c>
      <c r="D1585">
        <v>4</v>
      </c>
      <c r="E1585" t="s">
        <v>22</v>
      </c>
      <c r="F1585" t="s">
        <v>31</v>
      </c>
      <c r="G1585" t="str">
        <f>"2025-08-17 17:49:33.462"</f>
        <v>2025-08-17 17:49:33.462</v>
      </c>
      <c r="H1585" t="s">
        <v>21</v>
      </c>
      <c r="I1585">
        <v>0</v>
      </c>
      <c r="J1585" t="s">
        <v>24</v>
      </c>
    </row>
    <row r="1586" spans="1:10" x14ac:dyDescent="0.25">
      <c r="A1586" s="1">
        <v>705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"2025-08-17 17:49:06.872"</f>
        <v>2025-08-17 17:49:06.872</v>
      </c>
      <c r="H1586" t="s">
        <v>21</v>
      </c>
      <c r="I1586">
        <v>0</v>
      </c>
      <c r="J1586" t="s">
        <v>32</v>
      </c>
    </row>
    <row r="1587" spans="1:10" x14ac:dyDescent="0.25">
      <c r="A1587" s="1">
        <v>706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"2025-08-17 14:48:56.856"</f>
        <v>2025-08-17 14:48:56.856</v>
      </c>
      <c r="H1587" t="s">
        <v>21</v>
      </c>
    </row>
    <row r="1588" spans="1:10" x14ac:dyDescent="0.25">
      <c r="A1588" s="1">
        <v>707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"2025-08-17 14:28:57.869"</f>
        <v>2025-08-17 14:28:57.869</v>
      </c>
      <c r="H1588" t="s">
        <v>21</v>
      </c>
    </row>
    <row r="1589" spans="1:10" x14ac:dyDescent="0.25">
      <c r="A1589" s="1">
        <v>708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"2025-08-17 13:46:54.868"</f>
        <v>2025-08-17 13:46:54.868</v>
      </c>
      <c r="H1589" t="s">
        <v>21</v>
      </c>
      <c r="I1589">
        <v>0</v>
      </c>
      <c r="J1589" t="s">
        <v>32</v>
      </c>
    </row>
    <row r="1590" spans="1:10" x14ac:dyDescent="0.25">
      <c r="A1590" s="1">
        <v>709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"2025-08-17 09:39:41.111"</f>
        <v>2025-08-17 09:39:41.111</v>
      </c>
      <c r="H1590" t="s">
        <v>21</v>
      </c>
      <c r="I1590">
        <v>0</v>
      </c>
      <c r="J1590" t="s">
        <v>32</v>
      </c>
    </row>
    <row r="1591" spans="1:10" s="3" customFormat="1" x14ac:dyDescent="0.25">
      <c r="A1591" s="2">
        <v>710</v>
      </c>
      <c r="B1591" s="3" t="s">
        <v>25</v>
      </c>
      <c r="C1591" s="3">
        <v>647</v>
      </c>
      <c r="D1591" s="3">
        <v>1</v>
      </c>
      <c r="E1591" s="3" t="s">
        <v>55</v>
      </c>
      <c r="F1591" s="3" t="s">
        <v>56</v>
      </c>
      <c r="G1591" s="3" t="str">
        <f>"2025-08-17 07:39:52.727"</f>
        <v>2025-08-17 07:39:52.727</v>
      </c>
      <c r="H1591" s="3" t="s">
        <v>21</v>
      </c>
    </row>
    <row r="1592" spans="1:10" s="3" customFormat="1" x14ac:dyDescent="0.25">
      <c r="A1592" s="2">
        <v>711</v>
      </c>
      <c r="B1592" s="3" t="s">
        <v>29</v>
      </c>
      <c r="C1592" s="3">
        <v>647</v>
      </c>
      <c r="D1592" s="3">
        <v>1</v>
      </c>
      <c r="E1592" s="3" t="s">
        <v>55</v>
      </c>
      <c r="F1592" s="3" t="s">
        <v>56</v>
      </c>
      <c r="G1592" s="3" t="str">
        <f>"2025-08-17 07:39:48.628"</f>
        <v>2025-08-17 07:39:48.628</v>
      </c>
      <c r="H1592" s="3" t="s">
        <v>21</v>
      </c>
      <c r="I1592" s="3">
        <v>8.76</v>
      </c>
      <c r="J1592" s="3" t="s">
        <v>54</v>
      </c>
    </row>
    <row r="1593" spans="1:10" x14ac:dyDescent="0.25">
      <c r="A1593" s="1">
        <v>712</v>
      </c>
      <c r="B1593" t="s">
        <v>19</v>
      </c>
      <c r="C1593">
        <v>706</v>
      </c>
      <c r="D1593">
        <v>2</v>
      </c>
      <c r="E1593" t="s">
        <v>22</v>
      </c>
      <c r="F1593" t="s">
        <v>53</v>
      </c>
      <c r="G1593" t="str">
        <f>"2025-08-16 21:41:11.729"</f>
        <v>2025-08-16 21:41:11.729</v>
      </c>
      <c r="H1593" t="s">
        <v>21</v>
      </c>
      <c r="I1593">
        <v>0</v>
      </c>
      <c r="J1593" t="s">
        <v>24</v>
      </c>
    </row>
    <row r="1594" spans="1:10" x14ac:dyDescent="0.25">
      <c r="A1594" s="1">
        <v>713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"2025-08-16 21:40:42.129"</f>
        <v>2025-08-16 21:40:42.129</v>
      </c>
      <c r="H1594" t="s">
        <v>21</v>
      </c>
      <c r="I1594">
        <v>0</v>
      </c>
      <c r="J1594" t="s">
        <v>32</v>
      </c>
    </row>
    <row r="1595" spans="1:10" x14ac:dyDescent="0.25">
      <c r="A1595" s="1">
        <v>714</v>
      </c>
      <c r="B1595" t="s">
        <v>25</v>
      </c>
      <c r="C1595">
        <v>98</v>
      </c>
      <c r="D1595">
        <v>1</v>
      </c>
      <c r="E1595" t="s">
        <v>64</v>
      </c>
      <c r="F1595" t="s">
        <v>65</v>
      </c>
      <c r="G1595" t="str">
        <f>"2025-08-15 21:44:31.869"</f>
        <v>2025-08-15 21:44:31.869</v>
      </c>
      <c r="H1595" t="s">
        <v>21</v>
      </c>
    </row>
    <row r="1596" spans="1:10" x14ac:dyDescent="0.25">
      <c r="A1596" s="1">
        <v>715</v>
      </c>
      <c r="B1596" t="s">
        <v>29</v>
      </c>
      <c r="C1596">
        <v>98</v>
      </c>
      <c r="D1596">
        <v>1</v>
      </c>
      <c r="E1596" t="s">
        <v>64</v>
      </c>
      <c r="F1596" t="s">
        <v>65</v>
      </c>
      <c r="G1596" t="str">
        <f>"2025-08-15 21:44:30.869"</f>
        <v>2025-08-15 21:44:30.869</v>
      </c>
      <c r="H1596" t="s">
        <v>21</v>
      </c>
      <c r="I1596">
        <v>0</v>
      </c>
      <c r="J1596" t="s">
        <v>37</v>
      </c>
    </row>
    <row r="1597" spans="1:10" x14ac:dyDescent="0.25">
      <c r="A1597" s="1">
        <v>716</v>
      </c>
      <c r="B1597" t="s">
        <v>25</v>
      </c>
      <c r="C1597">
        <v>98</v>
      </c>
      <c r="D1597">
        <v>1</v>
      </c>
      <c r="E1597" t="s">
        <v>64</v>
      </c>
      <c r="F1597" t="s">
        <v>65</v>
      </c>
      <c r="G1597" t="str">
        <f>"2025-08-15 21:43:21.069"</f>
        <v>2025-08-15 21:43:21.069</v>
      </c>
      <c r="H1597" t="s">
        <v>21</v>
      </c>
    </row>
    <row r="1598" spans="1:10" x14ac:dyDescent="0.25">
      <c r="A1598" s="1">
        <v>717</v>
      </c>
      <c r="B1598" t="s">
        <v>29</v>
      </c>
      <c r="C1598">
        <v>98</v>
      </c>
      <c r="D1598">
        <v>1</v>
      </c>
      <c r="E1598" t="s">
        <v>64</v>
      </c>
      <c r="F1598" t="s">
        <v>65</v>
      </c>
      <c r="G1598" t="str">
        <f>"2025-08-15 21:43:20.070"</f>
        <v>2025-08-15 21:43:20.070</v>
      </c>
      <c r="H1598" t="s">
        <v>21</v>
      </c>
      <c r="I1598">
        <v>0</v>
      </c>
      <c r="J1598" t="s">
        <v>37</v>
      </c>
    </row>
    <row r="1599" spans="1:10" x14ac:dyDescent="0.25">
      <c r="A1599" s="1">
        <v>718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"2025-08-15 10:41:19.852"</f>
        <v>2025-08-15 10:41:19.852</v>
      </c>
      <c r="H1599" t="s">
        <v>21</v>
      </c>
    </row>
    <row r="1600" spans="1:10" x14ac:dyDescent="0.25">
      <c r="A1600" s="1">
        <v>719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"2025-08-15 10:30:08.099"</f>
        <v>2025-08-15 10:30:08.099</v>
      </c>
      <c r="H1600" t="s">
        <v>21</v>
      </c>
    </row>
    <row r="1601" spans="1:10" x14ac:dyDescent="0.25">
      <c r="A1601" s="1">
        <v>720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"2025-08-15 09:41:57.049"</f>
        <v>2025-08-15 09:41:57.049</v>
      </c>
      <c r="H1601" t="s">
        <v>21</v>
      </c>
    </row>
    <row r="1602" spans="1:10" x14ac:dyDescent="0.25">
      <c r="A1602" s="1">
        <v>721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"2025-08-15 07:50:01.989"</f>
        <v>2025-08-15 07:50:01.989</v>
      </c>
      <c r="H1602" t="s">
        <v>21</v>
      </c>
      <c r="I1602">
        <v>0</v>
      </c>
      <c r="J1602" t="s">
        <v>32</v>
      </c>
    </row>
    <row r="1603" spans="1:10" x14ac:dyDescent="0.25">
      <c r="A1603" s="1">
        <v>722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"2025-08-15 04:37:21.975"</f>
        <v>2025-08-15 04:37:21.975</v>
      </c>
      <c r="H1603" t="s">
        <v>21</v>
      </c>
    </row>
    <row r="1604" spans="1:10" x14ac:dyDescent="0.25">
      <c r="A1604" s="1">
        <v>723</v>
      </c>
      <c r="B1604" t="s">
        <v>19</v>
      </c>
      <c r="C1604">
        <v>706</v>
      </c>
      <c r="D1604">
        <v>2</v>
      </c>
      <c r="E1604" t="s">
        <v>22</v>
      </c>
      <c r="F1604" t="s">
        <v>53</v>
      </c>
      <c r="G1604" t="str">
        <f>"2025-08-15 04:22:47.046"</f>
        <v>2025-08-15 04:22:47.046</v>
      </c>
      <c r="H1604" t="s">
        <v>21</v>
      </c>
      <c r="I1604">
        <v>0</v>
      </c>
      <c r="J1604" t="s">
        <v>24</v>
      </c>
    </row>
    <row r="1605" spans="1:10" x14ac:dyDescent="0.25">
      <c r="A1605" s="1">
        <v>724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"2025-08-15 04:22:18.856"</f>
        <v>2025-08-15 04:22:18.856</v>
      </c>
      <c r="H1605" t="s">
        <v>21</v>
      </c>
    </row>
    <row r="1606" spans="1:10" x14ac:dyDescent="0.25">
      <c r="A1606" s="1">
        <v>725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"2025-08-15 04:20:37.861"</f>
        <v>2025-08-15 04:20:37.861</v>
      </c>
      <c r="H1606" t="s">
        <v>21</v>
      </c>
    </row>
    <row r="1607" spans="1:10" x14ac:dyDescent="0.25">
      <c r="A1607" s="1">
        <v>726</v>
      </c>
      <c r="B1607" t="s">
        <v>19</v>
      </c>
      <c r="C1607">
        <v>706</v>
      </c>
      <c r="D1607">
        <v>4</v>
      </c>
      <c r="E1607" t="s">
        <v>22</v>
      </c>
      <c r="F1607" t="s">
        <v>31</v>
      </c>
      <c r="G1607" t="str">
        <f>"2025-08-15 03:07:37.957"</f>
        <v>2025-08-15 03:07:37.957</v>
      </c>
      <c r="H1607" t="s">
        <v>21</v>
      </c>
      <c r="I1607">
        <v>0</v>
      </c>
      <c r="J1607" t="s">
        <v>24</v>
      </c>
    </row>
    <row r="1608" spans="1:10" x14ac:dyDescent="0.25">
      <c r="A1608" s="1">
        <v>727</v>
      </c>
      <c r="B1608" t="s">
        <v>19</v>
      </c>
      <c r="C1608">
        <v>706</v>
      </c>
      <c r="D1608">
        <v>2</v>
      </c>
      <c r="E1608" t="s">
        <v>22</v>
      </c>
      <c r="F1608" t="s">
        <v>53</v>
      </c>
      <c r="G1608" t="str">
        <f>"2025-08-15 03:06:11.567"</f>
        <v>2025-08-15 03:06:11.567</v>
      </c>
      <c r="H1608" t="s">
        <v>21</v>
      </c>
      <c r="I1608">
        <v>0</v>
      </c>
      <c r="J1608" t="s">
        <v>24</v>
      </c>
    </row>
    <row r="1609" spans="1:10" x14ac:dyDescent="0.25">
      <c r="A1609" s="1">
        <v>728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"2025-08-15 03:04:23.867"</f>
        <v>2025-08-15 03:04:23.867</v>
      </c>
      <c r="H1609" t="s">
        <v>21</v>
      </c>
      <c r="I1609">
        <v>0</v>
      </c>
      <c r="J1609" t="s">
        <v>32</v>
      </c>
    </row>
    <row r="1610" spans="1:10" x14ac:dyDescent="0.25">
      <c r="A1610" s="1">
        <v>729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"2025-08-15 03:02:03.057"</f>
        <v>2025-08-15 03:02:03.057</v>
      </c>
      <c r="H1610" t="s">
        <v>21</v>
      </c>
      <c r="I1610">
        <v>0</v>
      </c>
      <c r="J1610" t="s">
        <v>32</v>
      </c>
    </row>
    <row r="1611" spans="1:10" x14ac:dyDescent="0.25">
      <c r="A1611" s="1">
        <v>730</v>
      </c>
      <c r="B1611" t="s">
        <v>25</v>
      </c>
      <c r="C1611">
        <v>630</v>
      </c>
      <c r="D1611">
        <v>5</v>
      </c>
      <c r="E1611" t="s">
        <v>51</v>
      </c>
      <c r="F1611" t="s">
        <v>52</v>
      </c>
      <c r="G1611" t="str">
        <f>"2025-08-15 02:38:57.290"</f>
        <v>2025-08-15 02:38:57.290</v>
      </c>
      <c r="H1611" t="s">
        <v>40</v>
      </c>
    </row>
    <row r="1612" spans="1:10" x14ac:dyDescent="0.25">
      <c r="A1612" s="1">
        <v>731</v>
      </c>
      <c r="B1612" t="s">
        <v>19</v>
      </c>
      <c r="C1612">
        <v>706</v>
      </c>
      <c r="D1612">
        <v>4</v>
      </c>
      <c r="E1612" t="s">
        <v>22</v>
      </c>
      <c r="F1612" t="s">
        <v>31</v>
      </c>
      <c r="G1612" t="str">
        <f>"2025-08-15 02:38:27.242"</f>
        <v>2025-08-15 02:38:27.242</v>
      </c>
      <c r="H1612" t="s">
        <v>21</v>
      </c>
      <c r="I1612">
        <v>0</v>
      </c>
      <c r="J1612" t="s">
        <v>24</v>
      </c>
    </row>
    <row r="1613" spans="1:10" x14ac:dyDescent="0.25">
      <c r="A1613" s="1">
        <v>732</v>
      </c>
      <c r="B1613" t="s">
        <v>33</v>
      </c>
      <c r="C1613">
        <v>630</v>
      </c>
      <c r="D1613">
        <v>5</v>
      </c>
      <c r="E1613" t="s">
        <v>51</v>
      </c>
      <c r="F1613" t="s">
        <v>52</v>
      </c>
      <c r="G1613" t="str">
        <f>"2025-08-15 02:30:57.891"</f>
        <v>2025-08-15 02:30:57.891</v>
      </c>
      <c r="H1613" t="s">
        <v>40</v>
      </c>
      <c r="I1613">
        <v>0</v>
      </c>
      <c r="J1613" t="s">
        <v>24</v>
      </c>
    </row>
    <row r="1614" spans="1:10" x14ac:dyDescent="0.25">
      <c r="A1614" s="1">
        <v>733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"2025-08-15 02:25:55.102"</f>
        <v>2025-08-15 02:25:55.102</v>
      </c>
      <c r="H1614" t="s">
        <v>21</v>
      </c>
    </row>
    <row r="1615" spans="1:10" x14ac:dyDescent="0.25">
      <c r="A1615" s="1">
        <v>734</v>
      </c>
      <c r="B1615" t="s">
        <v>25</v>
      </c>
      <c r="C1615">
        <v>635</v>
      </c>
      <c r="D1615">
        <v>1</v>
      </c>
      <c r="E1615" t="s">
        <v>45</v>
      </c>
      <c r="F1615" t="s">
        <v>27</v>
      </c>
      <c r="G1615" t="str">
        <f>"2025-08-14 16:00:27.884"</f>
        <v>2025-08-14 16:00:27.884</v>
      </c>
      <c r="H1615" t="s">
        <v>21</v>
      </c>
    </row>
    <row r="1616" spans="1:10" x14ac:dyDescent="0.25">
      <c r="A1616" s="1">
        <v>735</v>
      </c>
      <c r="B1616" t="s">
        <v>29</v>
      </c>
      <c r="C1616">
        <v>635</v>
      </c>
      <c r="D1616">
        <v>1</v>
      </c>
      <c r="E1616" t="s">
        <v>45</v>
      </c>
      <c r="F1616" t="s">
        <v>27</v>
      </c>
      <c r="G1616" t="str">
        <f>"2025-08-14 15:53:21.384"</f>
        <v>2025-08-14 15:53:21.384</v>
      </c>
      <c r="H1616" t="s">
        <v>21</v>
      </c>
      <c r="I1616">
        <v>2.5299999999999998</v>
      </c>
      <c r="J1616" t="s">
        <v>37</v>
      </c>
    </row>
    <row r="1617" spans="1:10" s="3" customFormat="1" x14ac:dyDescent="0.25">
      <c r="A1617" s="2">
        <v>736</v>
      </c>
      <c r="B1617" s="3" t="s">
        <v>25</v>
      </c>
      <c r="C1617" s="3">
        <v>647</v>
      </c>
      <c r="D1617" s="3">
        <v>1</v>
      </c>
      <c r="E1617" s="3" t="s">
        <v>55</v>
      </c>
      <c r="F1617" s="3" t="s">
        <v>56</v>
      </c>
      <c r="G1617" s="3" t="str">
        <f>"2025-08-14 14:18:31.984"</f>
        <v>2025-08-14 14:18:31.984</v>
      </c>
      <c r="H1617" s="3" t="s">
        <v>21</v>
      </c>
    </row>
    <row r="1618" spans="1:10" s="3" customFormat="1" x14ac:dyDescent="0.25">
      <c r="A1618" s="2">
        <v>737</v>
      </c>
      <c r="B1618" s="3" t="s">
        <v>29</v>
      </c>
      <c r="C1618" s="3">
        <v>647</v>
      </c>
      <c r="D1618" s="3">
        <v>1</v>
      </c>
      <c r="E1618" s="3" t="s">
        <v>55</v>
      </c>
      <c r="F1618" s="3" t="s">
        <v>56</v>
      </c>
      <c r="G1618" s="3" t="str">
        <f>"2025-08-14 14:18:30.484"</f>
        <v>2025-08-14 14:18:30.484</v>
      </c>
      <c r="H1618" s="3" t="s">
        <v>21</v>
      </c>
      <c r="I1618" s="3">
        <v>12.24</v>
      </c>
      <c r="J1618" s="3" t="s">
        <v>54</v>
      </c>
    </row>
    <row r="1619" spans="1:10" x14ac:dyDescent="0.25">
      <c r="A1619" s="1">
        <v>738</v>
      </c>
      <c r="B1619" t="s">
        <v>25</v>
      </c>
      <c r="C1619">
        <v>635</v>
      </c>
      <c r="D1619">
        <v>1</v>
      </c>
      <c r="E1619" t="s">
        <v>45</v>
      </c>
      <c r="F1619" t="s">
        <v>27</v>
      </c>
      <c r="G1619" t="str">
        <f>"2025-08-13 15:18:06.484"</f>
        <v>2025-08-13 15:18:06.484</v>
      </c>
      <c r="H1619" t="s">
        <v>21</v>
      </c>
    </row>
    <row r="1620" spans="1:10" x14ac:dyDescent="0.25">
      <c r="A1620" s="1">
        <v>739</v>
      </c>
      <c r="B1620" t="s">
        <v>29</v>
      </c>
      <c r="C1620">
        <v>635</v>
      </c>
      <c r="D1620">
        <v>1</v>
      </c>
      <c r="E1620" t="s">
        <v>45</v>
      </c>
      <c r="F1620" t="s">
        <v>27</v>
      </c>
      <c r="G1620" t="str">
        <f>"2025-08-13 15:14:51.484"</f>
        <v>2025-08-13 15:14:51.484</v>
      </c>
      <c r="H1620" t="s">
        <v>21</v>
      </c>
      <c r="I1620">
        <v>4.3899999999999997</v>
      </c>
      <c r="J1620" t="s">
        <v>42</v>
      </c>
    </row>
    <row r="1621" spans="1:10" x14ac:dyDescent="0.25">
      <c r="A1621" s="1">
        <v>740</v>
      </c>
      <c r="B1621" t="s">
        <v>25</v>
      </c>
      <c r="C1621">
        <v>635</v>
      </c>
      <c r="D1621">
        <v>1</v>
      </c>
      <c r="E1621" t="s">
        <v>45</v>
      </c>
      <c r="F1621" t="s">
        <v>27</v>
      </c>
      <c r="G1621" t="str">
        <f>"2025-08-13 13:22:44.684"</f>
        <v>2025-08-13 13:22:44.684</v>
      </c>
      <c r="H1621" t="s">
        <v>21</v>
      </c>
    </row>
    <row r="1622" spans="1:10" x14ac:dyDescent="0.25">
      <c r="A1622" s="1">
        <v>741</v>
      </c>
      <c r="B1622" t="s">
        <v>29</v>
      </c>
      <c r="C1622">
        <v>635</v>
      </c>
      <c r="D1622">
        <v>1</v>
      </c>
      <c r="E1622" t="s">
        <v>45</v>
      </c>
      <c r="F1622" t="s">
        <v>27</v>
      </c>
      <c r="G1622" t="str">
        <f>"2025-08-13 13:20:06.684"</f>
        <v>2025-08-13 13:20:06.684</v>
      </c>
      <c r="H1622" t="s">
        <v>21</v>
      </c>
      <c r="I1622">
        <v>2.19</v>
      </c>
      <c r="J1622" t="s">
        <v>54</v>
      </c>
    </row>
    <row r="1623" spans="1:10" s="3" customFormat="1" x14ac:dyDescent="0.25">
      <c r="A1623" s="2">
        <v>742</v>
      </c>
      <c r="B1623" s="3" t="s">
        <v>25</v>
      </c>
      <c r="C1623" s="3">
        <v>647</v>
      </c>
      <c r="D1623" s="3">
        <v>1</v>
      </c>
      <c r="E1623" s="3" t="s">
        <v>55</v>
      </c>
      <c r="F1623" s="3" t="s">
        <v>56</v>
      </c>
      <c r="G1623" s="3" t="str">
        <f>"2025-08-13 11:22:05.084"</f>
        <v>2025-08-13 11:22:05.084</v>
      </c>
      <c r="H1623" s="3" t="s">
        <v>21</v>
      </c>
    </row>
    <row r="1624" spans="1:10" s="3" customFormat="1" x14ac:dyDescent="0.25">
      <c r="A1624" s="2">
        <v>743</v>
      </c>
      <c r="B1624" s="3" t="s">
        <v>29</v>
      </c>
      <c r="C1624" s="3">
        <v>647</v>
      </c>
      <c r="D1624" s="3">
        <v>1</v>
      </c>
      <c r="E1624" s="3" t="s">
        <v>55</v>
      </c>
      <c r="F1624" s="3" t="s">
        <v>56</v>
      </c>
      <c r="G1624" s="3" t="str">
        <f>"2025-08-13 11:21:57.884"</f>
        <v>2025-08-13 11:21:57.884</v>
      </c>
      <c r="H1624" s="3" t="s">
        <v>21</v>
      </c>
      <c r="I1624" s="3">
        <v>16.13</v>
      </c>
      <c r="J1624" s="3" t="s">
        <v>54</v>
      </c>
    </row>
    <row r="1625" spans="1:10" x14ac:dyDescent="0.25">
      <c r="A1625" s="1">
        <v>744</v>
      </c>
      <c r="B1625" t="s">
        <v>25</v>
      </c>
      <c r="C1625">
        <v>635</v>
      </c>
      <c r="D1625">
        <v>1</v>
      </c>
      <c r="E1625" t="s">
        <v>45</v>
      </c>
      <c r="F1625" t="s">
        <v>27</v>
      </c>
      <c r="G1625" t="str">
        <f>"2025-08-13 09:44:51.584"</f>
        <v>2025-08-13 09:44:51.584</v>
      </c>
      <c r="H1625" t="s">
        <v>21</v>
      </c>
    </row>
    <row r="1626" spans="1:10" x14ac:dyDescent="0.25">
      <c r="A1626" s="1">
        <v>745</v>
      </c>
      <c r="B1626" t="s">
        <v>29</v>
      </c>
      <c r="C1626">
        <v>635</v>
      </c>
      <c r="D1626">
        <v>1</v>
      </c>
      <c r="E1626" t="s">
        <v>45</v>
      </c>
      <c r="F1626" t="s">
        <v>27</v>
      </c>
      <c r="G1626" t="str">
        <f>"2025-08-13 09:42:38.084"</f>
        <v>2025-08-13 09:42:38.084</v>
      </c>
      <c r="H1626" t="s">
        <v>21</v>
      </c>
      <c r="I1626">
        <v>0</v>
      </c>
      <c r="J1626" t="s">
        <v>37</v>
      </c>
    </row>
    <row r="1627" spans="1:10" x14ac:dyDescent="0.25">
      <c r="A1627" s="1">
        <v>746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"2025-08-12 20:15:56.881"</f>
        <v>2025-08-12 20:15:56.881</v>
      </c>
      <c r="H1627" t="s">
        <v>21</v>
      </c>
      <c r="I1627">
        <v>0</v>
      </c>
      <c r="J1627" t="s">
        <v>32</v>
      </c>
    </row>
    <row r="1628" spans="1:10" s="3" customFormat="1" x14ac:dyDescent="0.25">
      <c r="A1628" s="2">
        <v>747</v>
      </c>
      <c r="B1628" s="3" t="s">
        <v>25</v>
      </c>
      <c r="C1628" s="3">
        <v>647</v>
      </c>
      <c r="D1628" s="3">
        <v>1</v>
      </c>
      <c r="E1628" s="3" t="s">
        <v>55</v>
      </c>
      <c r="F1628" s="3" t="s">
        <v>56</v>
      </c>
      <c r="G1628" s="3" t="str">
        <f>"2025-08-12 11:26:04.121"</f>
        <v>2025-08-12 11:26:04.121</v>
      </c>
      <c r="H1628" s="3" t="s">
        <v>21</v>
      </c>
    </row>
    <row r="1629" spans="1:10" s="3" customFormat="1" x14ac:dyDescent="0.25">
      <c r="A1629" s="2">
        <v>748</v>
      </c>
      <c r="B1629" s="3" t="s">
        <v>29</v>
      </c>
      <c r="C1629" s="3">
        <v>647</v>
      </c>
      <c r="D1629" s="3">
        <v>1</v>
      </c>
      <c r="E1629" s="3" t="s">
        <v>55</v>
      </c>
      <c r="F1629" s="3" t="s">
        <v>56</v>
      </c>
      <c r="G1629" s="3" t="str">
        <f>"2025-08-12 11:26:00.421"</f>
        <v>2025-08-12 11:26:00.421</v>
      </c>
      <c r="H1629" s="3" t="s">
        <v>21</v>
      </c>
      <c r="I1629" s="3">
        <v>13.72</v>
      </c>
      <c r="J1629" s="3" t="s">
        <v>54</v>
      </c>
    </row>
    <row r="1630" spans="1:10" x14ac:dyDescent="0.25">
      <c r="A1630" s="1">
        <v>749</v>
      </c>
      <c r="B1630" t="s">
        <v>25</v>
      </c>
      <c r="C1630">
        <v>635</v>
      </c>
      <c r="D1630">
        <v>1</v>
      </c>
      <c r="E1630" t="s">
        <v>45</v>
      </c>
      <c r="F1630" t="s">
        <v>27</v>
      </c>
      <c r="G1630" t="str">
        <f>"2025-08-12 07:19:25.320"</f>
        <v>2025-08-12 07:19:25.320</v>
      </c>
      <c r="H1630" t="s">
        <v>21</v>
      </c>
    </row>
    <row r="1631" spans="1:10" x14ac:dyDescent="0.25">
      <c r="A1631" s="1">
        <v>750</v>
      </c>
      <c r="B1631" t="s">
        <v>29</v>
      </c>
      <c r="C1631">
        <v>635</v>
      </c>
      <c r="D1631">
        <v>1</v>
      </c>
      <c r="E1631" t="s">
        <v>45</v>
      </c>
      <c r="F1631" t="s">
        <v>27</v>
      </c>
      <c r="G1631" t="str">
        <f>"2025-08-12 07:17:11.820"</f>
        <v>2025-08-12 07:17:11.820</v>
      </c>
      <c r="H1631" t="s">
        <v>21</v>
      </c>
      <c r="I1631">
        <v>6.34</v>
      </c>
      <c r="J1631" t="s">
        <v>42</v>
      </c>
    </row>
    <row r="1632" spans="1:10" s="3" customFormat="1" x14ac:dyDescent="0.25">
      <c r="A1632" s="2">
        <v>751</v>
      </c>
      <c r="B1632" s="3" t="s">
        <v>25</v>
      </c>
      <c r="C1632" s="3">
        <v>647</v>
      </c>
      <c r="D1632" s="3">
        <v>1</v>
      </c>
      <c r="E1632" s="3" t="s">
        <v>55</v>
      </c>
      <c r="F1632" s="3" t="s">
        <v>56</v>
      </c>
      <c r="G1632" s="3" t="str">
        <f>"2025-08-11 12:05:42.221"</f>
        <v>2025-08-11 12:05:42.221</v>
      </c>
      <c r="H1632" s="3" t="s">
        <v>21</v>
      </c>
    </row>
    <row r="1633" spans="1:10" s="3" customFormat="1" x14ac:dyDescent="0.25">
      <c r="A1633" s="2">
        <v>752</v>
      </c>
      <c r="B1633" s="3" t="s">
        <v>29</v>
      </c>
      <c r="C1633" s="3">
        <v>647</v>
      </c>
      <c r="D1633" s="3">
        <v>1</v>
      </c>
      <c r="E1633" s="3" t="s">
        <v>55</v>
      </c>
      <c r="F1633" s="3" t="s">
        <v>56</v>
      </c>
      <c r="G1633" s="3" t="str">
        <f>"2025-08-11 12:05:37.521"</f>
        <v>2025-08-11 12:05:37.521</v>
      </c>
      <c r="H1633" s="3" t="s">
        <v>21</v>
      </c>
      <c r="I1633" s="3">
        <v>18.7</v>
      </c>
      <c r="J1633" s="3" t="s">
        <v>54</v>
      </c>
    </row>
    <row r="1634" spans="1:10" s="3" customFormat="1" x14ac:dyDescent="0.25">
      <c r="A1634" s="2">
        <v>753</v>
      </c>
      <c r="B1634" s="3" t="s">
        <v>25</v>
      </c>
      <c r="C1634" s="3">
        <v>647</v>
      </c>
      <c r="D1634" s="3">
        <v>1</v>
      </c>
      <c r="E1634" s="3" t="s">
        <v>55</v>
      </c>
      <c r="F1634" s="3" t="s">
        <v>56</v>
      </c>
      <c r="G1634" s="3" t="str">
        <f>"2025-08-11 12:05:36.021"</f>
        <v>2025-08-11 12:05:36.021</v>
      </c>
      <c r="H1634" s="3" t="s">
        <v>21</v>
      </c>
    </row>
    <row r="1635" spans="1:10" s="3" customFormat="1" x14ac:dyDescent="0.25">
      <c r="A1635" s="2">
        <v>754</v>
      </c>
      <c r="B1635" s="3" t="s">
        <v>29</v>
      </c>
      <c r="C1635" s="3">
        <v>647</v>
      </c>
      <c r="D1635" s="3">
        <v>1</v>
      </c>
      <c r="E1635" s="3" t="s">
        <v>55</v>
      </c>
      <c r="F1635" s="3" t="s">
        <v>56</v>
      </c>
      <c r="G1635" s="3" t="str">
        <f>"2025-08-11 12:05:32.921"</f>
        <v>2025-08-11 12:05:32.921</v>
      </c>
      <c r="H1635" s="3" t="s">
        <v>21</v>
      </c>
      <c r="I1635" s="3">
        <v>21.45</v>
      </c>
      <c r="J1635" s="3" t="s">
        <v>54</v>
      </c>
    </row>
    <row r="1636" spans="1:10" x14ac:dyDescent="0.25">
      <c r="A1636" s="1">
        <v>755</v>
      </c>
      <c r="B1636" t="s">
        <v>25</v>
      </c>
      <c r="C1636">
        <v>635</v>
      </c>
      <c r="D1636">
        <v>1</v>
      </c>
      <c r="E1636" t="s">
        <v>45</v>
      </c>
      <c r="F1636" t="s">
        <v>27</v>
      </c>
      <c r="G1636" t="str">
        <f>"2025-08-11 03:11:17.220"</f>
        <v>2025-08-11 03:11:17.220</v>
      </c>
      <c r="H1636" t="s">
        <v>21</v>
      </c>
    </row>
    <row r="1637" spans="1:10" x14ac:dyDescent="0.25">
      <c r="A1637" s="1">
        <v>756</v>
      </c>
      <c r="B1637" t="s">
        <v>29</v>
      </c>
      <c r="C1637">
        <v>635</v>
      </c>
      <c r="D1637">
        <v>1</v>
      </c>
      <c r="E1637" t="s">
        <v>45</v>
      </c>
      <c r="F1637" t="s">
        <v>27</v>
      </c>
      <c r="G1637" t="str">
        <f>"2025-08-11 03:07:00.220"</f>
        <v>2025-08-11 03:07:00.220</v>
      </c>
      <c r="H1637" t="s">
        <v>21</v>
      </c>
      <c r="I1637">
        <v>2.36</v>
      </c>
      <c r="J1637" t="s">
        <v>37</v>
      </c>
    </row>
    <row r="1638" spans="1:10" x14ac:dyDescent="0.25">
      <c r="A1638" s="1">
        <v>757</v>
      </c>
      <c r="B1638" t="s">
        <v>25</v>
      </c>
      <c r="C1638">
        <v>635</v>
      </c>
      <c r="D1638">
        <v>1</v>
      </c>
      <c r="E1638" t="s">
        <v>45</v>
      </c>
      <c r="F1638" t="s">
        <v>27</v>
      </c>
      <c r="G1638" t="str">
        <f>"2025-08-10 19:51:15.020"</f>
        <v>2025-08-10 19:51:15.020</v>
      </c>
      <c r="H1638" t="s">
        <v>21</v>
      </c>
    </row>
    <row r="1639" spans="1:10" x14ac:dyDescent="0.25">
      <c r="A1639" s="1">
        <v>758</v>
      </c>
      <c r="B1639" t="s">
        <v>29</v>
      </c>
      <c r="C1639">
        <v>635</v>
      </c>
      <c r="D1639">
        <v>1</v>
      </c>
      <c r="E1639" t="s">
        <v>45</v>
      </c>
      <c r="F1639" t="s">
        <v>27</v>
      </c>
      <c r="G1639" t="str">
        <f>"2025-08-10 19:48:14.520"</f>
        <v>2025-08-10 19:48:14.520</v>
      </c>
      <c r="H1639" t="s">
        <v>21</v>
      </c>
      <c r="I1639">
        <v>1.43</v>
      </c>
      <c r="J1639" t="s">
        <v>42</v>
      </c>
    </row>
    <row r="1640" spans="1:10" s="3" customFormat="1" x14ac:dyDescent="0.25">
      <c r="A1640" s="2">
        <v>759</v>
      </c>
      <c r="B1640" s="3" t="s">
        <v>25</v>
      </c>
      <c r="C1640" s="3">
        <v>647</v>
      </c>
      <c r="D1640" s="3">
        <v>1</v>
      </c>
      <c r="E1640" s="3" t="s">
        <v>55</v>
      </c>
      <c r="F1640" s="3" t="s">
        <v>56</v>
      </c>
      <c r="G1640" s="3" t="str">
        <f>"2025-08-10 15:36:57.321"</f>
        <v>2025-08-10 15:36:57.321</v>
      </c>
      <c r="H1640" s="3" t="s">
        <v>21</v>
      </c>
    </row>
    <row r="1641" spans="1:10" s="3" customFormat="1" x14ac:dyDescent="0.25">
      <c r="A1641" s="2">
        <v>760</v>
      </c>
      <c r="B1641" s="3" t="s">
        <v>29</v>
      </c>
      <c r="C1641" s="3">
        <v>647</v>
      </c>
      <c r="D1641" s="3">
        <v>1</v>
      </c>
      <c r="E1641" s="3" t="s">
        <v>55</v>
      </c>
      <c r="F1641" s="3" t="s">
        <v>56</v>
      </c>
      <c r="G1641" s="3" t="str">
        <f>"2025-08-10 15:36:55.421"</f>
        <v>2025-08-10 15:36:55.421</v>
      </c>
      <c r="H1641" s="3" t="s">
        <v>21</v>
      </c>
      <c r="I1641" s="3">
        <v>9.23</v>
      </c>
      <c r="J1641" s="3" t="s">
        <v>54</v>
      </c>
    </row>
    <row r="1642" spans="1:10" s="3" customFormat="1" x14ac:dyDescent="0.25">
      <c r="A1642" s="2">
        <v>761</v>
      </c>
      <c r="B1642" s="3" t="s">
        <v>25</v>
      </c>
      <c r="C1642" s="3">
        <v>647</v>
      </c>
      <c r="D1642" s="3">
        <v>1</v>
      </c>
      <c r="E1642" s="3" t="s">
        <v>55</v>
      </c>
      <c r="F1642" s="3" t="s">
        <v>56</v>
      </c>
      <c r="G1642" s="3" t="str">
        <f>"2025-08-10 15:36:51.721"</f>
        <v>2025-08-10 15:36:51.721</v>
      </c>
      <c r="H1642" s="3" t="s">
        <v>21</v>
      </c>
    </row>
    <row r="1643" spans="1:10" s="3" customFormat="1" x14ac:dyDescent="0.25">
      <c r="A1643" s="2">
        <v>762</v>
      </c>
      <c r="B1643" s="3" t="s">
        <v>29</v>
      </c>
      <c r="C1643" s="3">
        <v>647</v>
      </c>
      <c r="D1643" s="3">
        <v>1</v>
      </c>
      <c r="E1643" s="3" t="s">
        <v>55</v>
      </c>
      <c r="F1643" s="3" t="s">
        <v>56</v>
      </c>
      <c r="G1643" s="3" t="str">
        <f>"2025-08-10 15:36:49.421"</f>
        <v>2025-08-10 15:36:49.421</v>
      </c>
      <c r="H1643" s="3" t="s">
        <v>21</v>
      </c>
      <c r="I1643" s="3">
        <v>24.77</v>
      </c>
      <c r="J1643" s="3" t="s">
        <v>54</v>
      </c>
    </row>
    <row r="1644" spans="1:10" s="3" customFormat="1" x14ac:dyDescent="0.25">
      <c r="A1644" s="2">
        <v>763</v>
      </c>
      <c r="B1644" s="3" t="s">
        <v>25</v>
      </c>
      <c r="C1644" s="3">
        <v>647</v>
      </c>
      <c r="D1644" s="3">
        <v>1</v>
      </c>
      <c r="E1644" s="3" t="s">
        <v>55</v>
      </c>
      <c r="F1644" s="3" t="s">
        <v>56</v>
      </c>
      <c r="G1644" s="3" t="str">
        <f>"2025-08-10 14:37:38.121"</f>
        <v>2025-08-10 14:37:38.121</v>
      </c>
      <c r="H1644" s="3" t="s">
        <v>21</v>
      </c>
    </row>
    <row r="1645" spans="1:10" s="3" customFormat="1" x14ac:dyDescent="0.25">
      <c r="A1645" s="2">
        <v>764</v>
      </c>
      <c r="B1645" s="3" t="s">
        <v>29</v>
      </c>
      <c r="C1645" s="3">
        <v>647</v>
      </c>
      <c r="D1645" s="3">
        <v>1</v>
      </c>
      <c r="E1645" s="3" t="s">
        <v>55</v>
      </c>
      <c r="F1645" s="3" t="s">
        <v>56</v>
      </c>
      <c r="G1645" s="3" t="str">
        <f>"2025-08-10 14:37:36.821"</f>
        <v>2025-08-10 14:37:36.821</v>
      </c>
      <c r="H1645" s="3" t="s">
        <v>21</v>
      </c>
      <c r="I1645" s="3">
        <v>18.57</v>
      </c>
      <c r="J1645" s="3" t="s">
        <v>54</v>
      </c>
    </row>
    <row r="1646" spans="1:10" x14ac:dyDescent="0.25">
      <c r="A1646" s="1">
        <v>765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"2025-08-10 11:11:57.898"</f>
        <v>2025-08-10 11:11:57.898</v>
      </c>
      <c r="H1646" t="s">
        <v>21</v>
      </c>
      <c r="I1646">
        <v>0</v>
      </c>
      <c r="J1646" t="s">
        <v>32</v>
      </c>
    </row>
    <row r="1647" spans="1:10" x14ac:dyDescent="0.25">
      <c r="A1647" s="1">
        <v>766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"2025-08-09 19:34:35.158"</f>
        <v>2025-08-09 19:34:35.158</v>
      </c>
      <c r="H1647" t="s">
        <v>21</v>
      </c>
      <c r="I1647">
        <v>0</v>
      </c>
      <c r="J1647" t="s">
        <v>32</v>
      </c>
    </row>
    <row r="1648" spans="1:10" x14ac:dyDescent="0.25">
      <c r="A1648" s="1">
        <v>767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"2025-08-09 14:45:09.161"</f>
        <v>2025-08-09 14:45:09.161</v>
      </c>
      <c r="H1648" t="s">
        <v>21</v>
      </c>
      <c r="I1648">
        <v>0</v>
      </c>
      <c r="J1648" t="s">
        <v>32</v>
      </c>
    </row>
    <row r="1649" spans="1:10" s="3" customFormat="1" x14ac:dyDescent="0.25">
      <c r="A1649" s="2">
        <v>768</v>
      </c>
      <c r="B1649" s="3" t="s">
        <v>25</v>
      </c>
      <c r="C1649" s="3">
        <v>647</v>
      </c>
      <c r="D1649" s="3">
        <v>1</v>
      </c>
      <c r="E1649" s="3" t="s">
        <v>55</v>
      </c>
      <c r="F1649" s="3" t="s">
        <v>56</v>
      </c>
      <c r="G1649" s="3" t="str">
        <f>"2025-08-09 14:21:09.530"</f>
        <v>2025-08-09 14:21:09.530</v>
      </c>
      <c r="H1649" s="3" t="s">
        <v>21</v>
      </c>
    </row>
    <row r="1650" spans="1:10" s="3" customFormat="1" x14ac:dyDescent="0.25">
      <c r="A1650" s="2">
        <v>769</v>
      </c>
      <c r="B1650" s="3" t="s">
        <v>29</v>
      </c>
      <c r="C1650" s="3">
        <v>647</v>
      </c>
      <c r="D1650" s="3">
        <v>1</v>
      </c>
      <c r="E1650" s="3" t="s">
        <v>55</v>
      </c>
      <c r="F1650" s="3" t="s">
        <v>56</v>
      </c>
      <c r="G1650" s="3" t="str">
        <f>"2025-08-09 14:21:04.830"</f>
        <v>2025-08-09 14:21:04.830</v>
      </c>
      <c r="H1650" s="3" t="s">
        <v>21</v>
      </c>
      <c r="I1650" s="3">
        <v>31.08</v>
      </c>
      <c r="J1650" s="3" t="s">
        <v>54</v>
      </c>
    </row>
    <row r="1651" spans="1:10" s="3" customFormat="1" x14ac:dyDescent="0.25">
      <c r="A1651" s="2">
        <v>770</v>
      </c>
      <c r="B1651" s="3" t="s">
        <v>25</v>
      </c>
      <c r="C1651" s="3">
        <v>647</v>
      </c>
      <c r="D1651" s="3">
        <v>1</v>
      </c>
      <c r="E1651" s="3" t="s">
        <v>55</v>
      </c>
      <c r="F1651" s="3" t="s">
        <v>56</v>
      </c>
      <c r="G1651" s="3" t="str">
        <f>"2025-08-09 14:20:56.530"</f>
        <v>2025-08-09 14:20:56.530</v>
      </c>
      <c r="H1651" s="3" t="s">
        <v>21</v>
      </c>
    </row>
    <row r="1652" spans="1:10" s="3" customFormat="1" x14ac:dyDescent="0.25">
      <c r="A1652" s="2">
        <v>771</v>
      </c>
      <c r="B1652" s="3" t="s">
        <v>29</v>
      </c>
      <c r="C1652" s="3">
        <v>647</v>
      </c>
      <c r="D1652" s="3">
        <v>1</v>
      </c>
      <c r="E1652" s="3" t="s">
        <v>55</v>
      </c>
      <c r="F1652" s="3" t="s">
        <v>56</v>
      </c>
      <c r="G1652" s="3" t="str">
        <f>"2025-08-09 14:20:50.030"</f>
        <v>2025-08-09 14:20:50.030</v>
      </c>
      <c r="H1652" s="3" t="s">
        <v>21</v>
      </c>
      <c r="I1652" s="3">
        <v>25.02</v>
      </c>
      <c r="J1652" s="3" t="s">
        <v>54</v>
      </c>
    </row>
    <row r="1653" spans="1:10" x14ac:dyDescent="0.25">
      <c r="A1653" s="1">
        <v>772</v>
      </c>
      <c r="B1653" t="s">
        <v>25</v>
      </c>
      <c r="C1653">
        <v>635</v>
      </c>
      <c r="D1653">
        <v>1</v>
      </c>
      <c r="E1653" t="s">
        <v>45</v>
      </c>
      <c r="F1653" t="s">
        <v>27</v>
      </c>
      <c r="G1653" t="str">
        <f>"2025-08-09 05:36:33.229"</f>
        <v>2025-08-09 05:36:33.229</v>
      </c>
      <c r="H1653" t="s">
        <v>21</v>
      </c>
    </row>
    <row r="1654" spans="1:10" x14ac:dyDescent="0.25">
      <c r="A1654" s="1">
        <v>773</v>
      </c>
      <c r="B1654" t="s">
        <v>29</v>
      </c>
      <c r="C1654">
        <v>635</v>
      </c>
      <c r="D1654">
        <v>1</v>
      </c>
      <c r="E1654" t="s">
        <v>45</v>
      </c>
      <c r="F1654" t="s">
        <v>27</v>
      </c>
      <c r="G1654" t="str">
        <f>"2025-08-09 05:31:59.230"</f>
        <v>2025-08-09 05:31:59.230</v>
      </c>
      <c r="H1654" t="s">
        <v>21</v>
      </c>
      <c r="I1654">
        <v>1.63</v>
      </c>
      <c r="J1654" t="s">
        <v>54</v>
      </c>
    </row>
    <row r="1655" spans="1:10" x14ac:dyDescent="0.25">
      <c r="A1655" s="1">
        <v>774</v>
      </c>
      <c r="B1655" t="s">
        <v>19</v>
      </c>
      <c r="C1655">
        <v>706</v>
      </c>
      <c r="D1655">
        <v>4</v>
      </c>
      <c r="E1655" t="s">
        <v>22</v>
      </c>
      <c r="F1655" t="s">
        <v>31</v>
      </c>
      <c r="G1655" t="str">
        <f>"2025-08-09 00:37:24.948"</f>
        <v>2025-08-09 00:37:24.948</v>
      </c>
      <c r="H1655" t="s">
        <v>21</v>
      </c>
      <c r="I1655">
        <v>0</v>
      </c>
      <c r="J1655" t="s">
        <v>24</v>
      </c>
    </row>
    <row r="1656" spans="1:10" s="3" customFormat="1" x14ac:dyDescent="0.25">
      <c r="A1656" s="2">
        <v>775</v>
      </c>
      <c r="B1656" s="3" t="s">
        <v>25</v>
      </c>
      <c r="C1656" s="3">
        <v>647</v>
      </c>
      <c r="D1656" s="3">
        <v>1</v>
      </c>
      <c r="E1656" s="3" t="s">
        <v>55</v>
      </c>
      <c r="F1656" s="3" t="s">
        <v>56</v>
      </c>
      <c r="G1656" s="3" t="str">
        <f>"2025-08-08 17:05:58.930"</f>
        <v>2025-08-08 17:05:58.930</v>
      </c>
      <c r="H1656" s="3" t="s">
        <v>21</v>
      </c>
    </row>
    <row r="1657" spans="1:10" s="3" customFormat="1" x14ac:dyDescent="0.25">
      <c r="A1657" s="2">
        <v>776</v>
      </c>
      <c r="B1657" s="3" t="s">
        <v>29</v>
      </c>
      <c r="C1657" s="3">
        <v>647</v>
      </c>
      <c r="D1657" s="3">
        <v>1</v>
      </c>
      <c r="E1657" s="3" t="s">
        <v>55</v>
      </c>
      <c r="F1657" s="3" t="s">
        <v>56</v>
      </c>
      <c r="G1657" s="3" t="str">
        <f>"2025-08-08 17:05:56.230"</f>
        <v>2025-08-08 17:05:56.230</v>
      </c>
      <c r="H1657" s="3" t="s">
        <v>21</v>
      </c>
      <c r="I1657" s="3">
        <v>16.05</v>
      </c>
      <c r="J1657" s="3" t="s">
        <v>54</v>
      </c>
    </row>
    <row r="1658" spans="1:10" s="3" customFormat="1" x14ac:dyDescent="0.25">
      <c r="A1658" s="2">
        <v>777</v>
      </c>
      <c r="B1658" s="3" t="s">
        <v>25</v>
      </c>
      <c r="C1658" s="3">
        <v>647</v>
      </c>
      <c r="D1658" s="3">
        <v>1</v>
      </c>
      <c r="E1658" s="3" t="s">
        <v>55</v>
      </c>
      <c r="F1658" s="3" t="s">
        <v>56</v>
      </c>
      <c r="G1658" s="3" t="str">
        <f>"2025-08-08 00:27:34.130"</f>
        <v>2025-08-08 00:27:34.130</v>
      </c>
      <c r="H1658" s="3" t="s">
        <v>21</v>
      </c>
    </row>
    <row r="1659" spans="1:10" s="3" customFormat="1" x14ac:dyDescent="0.25">
      <c r="A1659" s="2">
        <v>778</v>
      </c>
      <c r="B1659" s="3" t="s">
        <v>29</v>
      </c>
      <c r="C1659" s="3">
        <v>647</v>
      </c>
      <c r="D1659" s="3">
        <v>1</v>
      </c>
      <c r="E1659" s="3" t="s">
        <v>55</v>
      </c>
      <c r="F1659" s="3" t="s">
        <v>56</v>
      </c>
      <c r="G1659" s="3" t="str">
        <f>"2025-08-08 00:27:32.430"</f>
        <v>2025-08-08 00:27:32.430</v>
      </c>
      <c r="H1659" s="3" t="s">
        <v>21</v>
      </c>
      <c r="I1659" s="3">
        <v>18.05</v>
      </c>
      <c r="J1659" s="3" t="s">
        <v>54</v>
      </c>
    </row>
    <row r="1660" spans="1:10" s="3" customFormat="1" x14ac:dyDescent="0.25">
      <c r="A1660" s="2">
        <v>779</v>
      </c>
      <c r="B1660" s="3" t="s">
        <v>25</v>
      </c>
      <c r="C1660" s="3">
        <v>647</v>
      </c>
      <c r="D1660" s="3">
        <v>1</v>
      </c>
      <c r="E1660" s="3" t="s">
        <v>55</v>
      </c>
      <c r="F1660" s="3" t="s">
        <v>56</v>
      </c>
      <c r="G1660" s="3" t="str">
        <f>"2025-08-08 00:00:48.330"</f>
        <v>2025-08-08 00:00:48.330</v>
      </c>
      <c r="H1660" s="3" t="s">
        <v>21</v>
      </c>
    </row>
    <row r="1661" spans="1:10" s="3" customFormat="1" x14ac:dyDescent="0.25">
      <c r="A1661" s="2">
        <v>780</v>
      </c>
      <c r="B1661" s="3" t="s">
        <v>29</v>
      </c>
      <c r="C1661" s="3">
        <v>647</v>
      </c>
      <c r="D1661" s="3">
        <v>1</v>
      </c>
      <c r="E1661" s="3" t="s">
        <v>55</v>
      </c>
      <c r="F1661" s="3" t="s">
        <v>56</v>
      </c>
      <c r="G1661" s="3" t="str">
        <f>"2025-08-08 00:00:46.030"</f>
        <v>2025-08-08 00:00:46.030</v>
      </c>
      <c r="H1661" s="3" t="s">
        <v>21</v>
      </c>
      <c r="I1661" s="3">
        <v>13.97</v>
      </c>
      <c r="J1661" s="3" t="s">
        <v>54</v>
      </c>
    </row>
    <row r="1662" spans="1:10" x14ac:dyDescent="0.25">
      <c r="A1662" s="1">
        <v>781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"2025-08-07 23:00:58.098"</f>
        <v>2025-08-07 23:00:58.098</v>
      </c>
      <c r="H1662" t="s">
        <v>21</v>
      </c>
    </row>
    <row r="1663" spans="1:10" s="3" customFormat="1" x14ac:dyDescent="0.25">
      <c r="A1663" s="2">
        <v>782</v>
      </c>
      <c r="B1663" s="3" t="s">
        <v>25</v>
      </c>
      <c r="C1663" s="3">
        <v>647</v>
      </c>
      <c r="D1663" s="3">
        <v>1</v>
      </c>
      <c r="E1663" s="3" t="s">
        <v>55</v>
      </c>
      <c r="F1663" s="3" t="s">
        <v>56</v>
      </c>
      <c r="G1663" s="3" t="str">
        <f>"2025-08-07 11:36:49.129"</f>
        <v>2025-08-07 11:36:49.129</v>
      </c>
      <c r="H1663" s="3" t="s">
        <v>21</v>
      </c>
    </row>
    <row r="1664" spans="1:10" s="3" customFormat="1" x14ac:dyDescent="0.25">
      <c r="A1664" s="2">
        <v>783</v>
      </c>
      <c r="B1664" s="3" t="s">
        <v>29</v>
      </c>
      <c r="C1664" s="3">
        <v>647</v>
      </c>
      <c r="D1664" s="3">
        <v>1</v>
      </c>
      <c r="E1664" s="3" t="s">
        <v>55</v>
      </c>
      <c r="F1664" s="3" t="s">
        <v>56</v>
      </c>
      <c r="G1664" s="3" t="str">
        <f>"2025-08-07 11:36:43.029"</f>
        <v>2025-08-07 11:36:43.029</v>
      </c>
      <c r="H1664" s="3" t="s">
        <v>21</v>
      </c>
      <c r="I1664" s="3">
        <v>13.12</v>
      </c>
      <c r="J1664" s="3" t="s">
        <v>54</v>
      </c>
    </row>
    <row r="1665" spans="1:10" s="3" customFormat="1" x14ac:dyDescent="0.25">
      <c r="A1665" s="2">
        <v>784</v>
      </c>
      <c r="B1665" s="3" t="s">
        <v>25</v>
      </c>
      <c r="C1665" s="3">
        <v>647</v>
      </c>
      <c r="D1665" s="3">
        <v>1</v>
      </c>
      <c r="E1665" s="3" t="s">
        <v>55</v>
      </c>
      <c r="F1665" s="3" t="s">
        <v>56</v>
      </c>
      <c r="G1665" s="3" t="str">
        <f>"2025-08-07 10:36:44.829"</f>
        <v>2025-08-07 10:36:44.829</v>
      </c>
      <c r="H1665" s="3" t="s">
        <v>21</v>
      </c>
    </row>
    <row r="1666" spans="1:10" s="3" customFormat="1" x14ac:dyDescent="0.25">
      <c r="A1666" s="2">
        <v>785</v>
      </c>
      <c r="B1666" s="3" t="s">
        <v>29</v>
      </c>
      <c r="C1666" s="3">
        <v>647</v>
      </c>
      <c r="D1666" s="3">
        <v>1</v>
      </c>
      <c r="E1666" s="3" t="s">
        <v>55</v>
      </c>
      <c r="F1666" s="3" t="s">
        <v>56</v>
      </c>
      <c r="G1666" s="3" t="str">
        <f>"2025-08-07 10:36:42.529"</f>
        <v>2025-08-07 10:36:42.529</v>
      </c>
      <c r="H1666" s="3" t="s">
        <v>21</v>
      </c>
      <c r="I1666" s="3">
        <v>15.12</v>
      </c>
      <c r="J1666" s="3" t="s">
        <v>54</v>
      </c>
    </row>
    <row r="1667" spans="1:10" x14ac:dyDescent="0.25">
      <c r="A1667" s="1">
        <v>786</v>
      </c>
      <c r="B1667" t="s">
        <v>19</v>
      </c>
      <c r="C1667">
        <v>706</v>
      </c>
      <c r="D1667">
        <v>2</v>
      </c>
      <c r="E1667" t="s">
        <v>22</v>
      </c>
      <c r="F1667" t="s">
        <v>53</v>
      </c>
      <c r="G1667" t="str">
        <f>"2025-08-07 04:26:42.497"</f>
        <v>2025-08-07 04:26:42.497</v>
      </c>
      <c r="H1667" t="s">
        <v>21</v>
      </c>
      <c r="I1667">
        <v>0</v>
      </c>
      <c r="J1667" t="s">
        <v>24</v>
      </c>
    </row>
    <row r="1668" spans="1:10" x14ac:dyDescent="0.25">
      <c r="A1668" s="1">
        <v>787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"2025-08-07 04:26:26.907"</f>
        <v>2025-08-07 04:26:26.907</v>
      </c>
      <c r="H1668" t="s">
        <v>21</v>
      </c>
      <c r="I1668">
        <v>0</v>
      </c>
      <c r="J1668" t="s">
        <v>32</v>
      </c>
    </row>
    <row r="1669" spans="1:10" x14ac:dyDescent="0.25">
      <c r="A1669" s="1">
        <v>788</v>
      </c>
      <c r="B1669" t="s">
        <v>25</v>
      </c>
      <c r="C1669">
        <v>630</v>
      </c>
      <c r="D1669">
        <v>5</v>
      </c>
      <c r="E1669" t="s">
        <v>51</v>
      </c>
      <c r="F1669" t="s">
        <v>52</v>
      </c>
      <c r="G1669" t="str">
        <f>"2025-08-07 03:13:18.519"</f>
        <v>2025-08-07 03:13:18.519</v>
      </c>
      <c r="H1669" t="s">
        <v>40</v>
      </c>
    </row>
    <row r="1670" spans="1:10" x14ac:dyDescent="0.25">
      <c r="A1670" s="1">
        <v>789</v>
      </c>
      <c r="B1670" t="s">
        <v>19</v>
      </c>
      <c r="C1670">
        <v>706</v>
      </c>
      <c r="D1670">
        <v>4</v>
      </c>
      <c r="E1670" t="s">
        <v>22</v>
      </c>
      <c r="F1670" t="s">
        <v>31</v>
      </c>
      <c r="G1670" t="str">
        <f>"2025-08-07 03:12:48.422"</f>
        <v>2025-08-07 03:12:48.422</v>
      </c>
      <c r="H1670" t="s">
        <v>21</v>
      </c>
      <c r="I1670">
        <v>0</v>
      </c>
      <c r="J1670" t="s">
        <v>24</v>
      </c>
    </row>
    <row r="1671" spans="1:10" x14ac:dyDescent="0.25">
      <c r="A1671" s="1">
        <v>790</v>
      </c>
      <c r="B1671" t="s">
        <v>33</v>
      </c>
      <c r="C1671">
        <v>630</v>
      </c>
      <c r="D1671">
        <v>5</v>
      </c>
      <c r="E1671" t="s">
        <v>51</v>
      </c>
      <c r="F1671" t="s">
        <v>52</v>
      </c>
      <c r="G1671" t="str">
        <f>"2025-08-07 03:10:18.020"</f>
        <v>2025-08-07 03:10:18.020</v>
      </c>
      <c r="H1671" t="s">
        <v>40</v>
      </c>
      <c r="I1671">
        <v>0</v>
      </c>
      <c r="J1671" t="s">
        <v>24</v>
      </c>
    </row>
    <row r="1672" spans="1:10" x14ac:dyDescent="0.25">
      <c r="A1672" s="1">
        <v>791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"2025-08-07 03:05:15.172"</f>
        <v>2025-08-07 03:05:15.172</v>
      </c>
      <c r="H1672" t="s">
        <v>21</v>
      </c>
      <c r="I1672">
        <v>0</v>
      </c>
      <c r="J1672" t="s">
        <v>32</v>
      </c>
    </row>
    <row r="1673" spans="1:10" x14ac:dyDescent="0.25">
      <c r="A1673" s="1">
        <v>792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"2025-08-07 02:58:54.097"</f>
        <v>2025-08-07 02:58:54.097</v>
      </c>
      <c r="H1673" t="s">
        <v>21</v>
      </c>
      <c r="I1673">
        <v>0</v>
      </c>
      <c r="J1673" t="s">
        <v>32</v>
      </c>
    </row>
    <row r="1674" spans="1:10" x14ac:dyDescent="0.25">
      <c r="A1674" s="1">
        <v>793</v>
      </c>
      <c r="B1674" t="s">
        <v>33</v>
      </c>
      <c r="C1674">
        <v>630</v>
      </c>
      <c r="D1674">
        <v>5</v>
      </c>
      <c r="E1674" t="s">
        <v>51</v>
      </c>
      <c r="F1674" t="s">
        <v>52</v>
      </c>
      <c r="G1674" t="str">
        <f>"2025-08-07 01:20:15.839"</f>
        <v>2025-08-07 01:20:15.839</v>
      </c>
      <c r="H1674" t="s">
        <v>40</v>
      </c>
      <c r="I1674">
        <v>0</v>
      </c>
      <c r="J1674" t="s">
        <v>24</v>
      </c>
    </row>
    <row r="1675" spans="1:10" x14ac:dyDescent="0.25">
      <c r="A1675" s="1">
        <v>794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"2025-08-06 20:04:19.904"</f>
        <v>2025-08-06 20:04:19.904</v>
      </c>
      <c r="H1675" t="s">
        <v>21</v>
      </c>
    </row>
    <row r="1676" spans="1:10" x14ac:dyDescent="0.25">
      <c r="A1676" s="1">
        <v>795</v>
      </c>
      <c r="B1676" t="s">
        <v>25</v>
      </c>
      <c r="C1676">
        <v>635</v>
      </c>
      <c r="D1676">
        <v>1</v>
      </c>
      <c r="E1676" t="s">
        <v>45</v>
      </c>
      <c r="F1676" t="s">
        <v>27</v>
      </c>
      <c r="G1676" t="str">
        <f>"2025-08-06 17:34:33.126"</f>
        <v>2025-08-06 17:34:33.126</v>
      </c>
      <c r="H1676" t="s">
        <v>21</v>
      </c>
    </row>
    <row r="1677" spans="1:10" x14ac:dyDescent="0.25">
      <c r="A1677" s="1">
        <v>796</v>
      </c>
      <c r="B1677" t="s">
        <v>29</v>
      </c>
      <c r="C1677">
        <v>635</v>
      </c>
      <c r="D1677">
        <v>1</v>
      </c>
      <c r="E1677" t="s">
        <v>45</v>
      </c>
      <c r="F1677" t="s">
        <v>27</v>
      </c>
      <c r="G1677" t="str">
        <f>"2025-08-06 17:31:49.626"</f>
        <v>2025-08-06 17:31:49.626</v>
      </c>
      <c r="H1677" t="s">
        <v>21</v>
      </c>
      <c r="I1677">
        <v>0</v>
      </c>
      <c r="J1677" t="s">
        <v>37</v>
      </c>
    </row>
    <row r="1678" spans="1:10" s="3" customFormat="1" x14ac:dyDescent="0.25">
      <c r="A1678" s="2">
        <v>797</v>
      </c>
      <c r="B1678" s="3" t="s">
        <v>25</v>
      </c>
      <c r="C1678" s="3">
        <v>647</v>
      </c>
      <c r="D1678" s="3">
        <v>1</v>
      </c>
      <c r="E1678" s="3" t="s">
        <v>55</v>
      </c>
      <c r="F1678" s="3" t="s">
        <v>56</v>
      </c>
      <c r="G1678" s="3" t="str">
        <f>"2025-08-06 16:00:08.926"</f>
        <v>2025-08-06 16:00:08.926</v>
      </c>
      <c r="H1678" s="3" t="s">
        <v>21</v>
      </c>
    </row>
    <row r="1679" spans="1:10" s="3" customFormat="1" x14ac:dyDescent="0.25">
      <c r="A1679" s="2">
        <v>798</v>
      </c>
      <c r="B1679" s="3" t="s">
        <v>29</v>
      </c>
      <c r="C1679" s="3">
        <v>647</v>
      </c>
      <c r="D1679" s="3">
        <v>1</v>
      </c>
      <c r="E1679" s="3" t="s">
        <v>55</v>
      </c>
      <c r="F1679" s="3" t="s">
        <v>56</v>
      </c>
      <c r="G1679" s="3" t="str">
        <f>"2025-08-06 16:00:03.626"</f>
        <v>2025-08-06 16:00:03.626</v>
      </c>
      <c r="H1679" s="3" t="s">
        <v>21</v>
      </c>
      <c r="I1679" s="3">
        <v>20.94</v>
      </c>
      <c r="J1679" s="3" t="s">
        <v>54</v>
      </c>
    </row>
    <row r="1680" spans="1:10" s="3" customFormat="1" x14ac:dyDescent="0.25">
      <c r="A1680" s="2">
        <v>799</v>
      </c>
      <c r="B1680" s="3" t="s">
        <v>25</v>
      </c>
      <c r="C1680" s="3">
        <v>647</v>
      </c>
      <c r="D1680" s="3">
        <v>1</v>
      </c>
      <c r="E1680" s="3" t="s">
        <v>55</v>
      </c>
      <c r="F1680" s="3" t="s">
        <v>56</v>
      </c>
      <c r="G1680" s="3" t="str">
        <f>"2025-08-06 12:26:06.326"</f>
        <v>2025-08-06 12:26:06.326</v>
      </c>
      <c r="H1680" s="3" t="s">
        <v>21</v>
      </c>
    </row>
    <row r="1681" spans="1:10" s="3" customFormat="1" x14ac:dyDescent="0.25">
      <c r="A1681" s="2">
        <v>800</v>
      </c>
      <c r="B1681" s="3" t="s">
        <v>29</v>
      </c>
      <c r="C1681" s="3">
        <v>647</v>
      </c>
      <c r="D1681" s="3">
        <v>1</v>
      </c>
      <c r="E1681" s="3" t="s">
        <v>55</v>
      </c>
      <c r="F1681" s="3" t="s">
        <v>56</v>
      </c>
      <c r="G1681" s="3" t="str">
        <f>"2025-08-06 12:25:59.026"</f>
        <v>2025-08-06 12:25:59.026</v>
      </c>
      <c r="H1681" s="3" t="s">
        <v>21</v>
      </c>
      <c r="I1681" s="3">
        <v>20.75</v>
      </c>
      <c r="J1681" s="3" t="s">
        <v>54</v>
      </c>
    </row>
    <row r="1682" spans="1:10" s="3" customFormat="1" x14ac:dyDescent="0.25">
      <c r="A1682" s="2">
        <v>801</v>
      </c>
      <c r="B1682" s="3" t="s">
        <v>25</v>
      </c>
      <c r="C1682" s="3">
        <v>647</v>
      </c>
      <c r="D1682" s="3">
        <v>1</v>
      </c>
      <c r="E1682" s="3" t="s">
        <v>55</v>
      </c>
      <c r="F1682" s="3" t="s">
        <v>56</v>
      </c>
      <c r="G1682" s="3" t="str">
        <f>"2025-08-05 21:08:07.726"</f>
        <v>2025-08-05 21:08:07.726</v>
      </c>
      <c r="H1682" s="3" t="s">
        <v>21</v>
      </c>
    </row>
    <row r="1683" spans="1:10" s="3" customFormat="1" x14ac:dyDescent="0.25">
      <c r="A1683" s="2">
        <v>802</v>
      </c>
      <c r="B1683" s="3" t="s">
        <v>29</v>
      </c>
      <c r="C1683" s="3">
        <v>647</v>
      </c>
      <c r="D1683" s="3">
        <v>1</v>
      </c>
      <c r="E1683" s="3" t="s">
        <v>55</v>
      </c>
      <c r="F1683" s="3" t="s">
        <v>56</v>
      </c>
      <c r="G1683" s="3" t="str">
        <f>"2025-08-05 21:08:06.427"</f>
        <v>2025-08-05 21:08:06.427</v>
      </c>
      <c r="H1683" s="3" t="s">
        <v>21</v>
      </c>
      <c r="I1683" s="3">
        <v>12.46</v>
      </c>
      <c r="J1683" s="3" t="s">
        <v>54</v>
      </c>
    </row>
    <row r="1684" spans="1:10" x14ac:dyDescent="0.25">
      <c r="A1684" s="1">
        <v>803</v>
      </c>
      <c r="B1684" t="s">
        <v>19</v>
      </c>
      <c r="C1684">
        <v>706</v>
      </c>
      <c r="D1684">
        <v>4</v>
      </c>
      <c r="E1684" t="s">
        <v>22</v>
      </c>
      <c r="F1684" t="s">
        <v>31</v>
      </c>
      <c r="G1684" t="str">
        <f>"2025-08-05 20:08:02.677"</f>
        <v>2025-08-05 20:08:02.677</v>
      </c>
      <c r="H1684" t="s">
        <v>21</v>
      </c>
      <c r="I1684">
        <v>0</v>
      </c>
      <c r="J1684" t="s">
        <v>24</v>
      </c>
    </row>
    <row r="1685" spans="1:10" x14ac:dyDescent="0.25">
      <c r="A1685" s="1">
        <v>804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"2025-08-05 20:06:24.987"</f>
        <v>2025-08-05 20:06:24.987</v>
      </c>
      <c r="H1685" t="s">
        <v>21</v>
      </c>
      <c r="I1685">
        <v>0</v>
      </c>
      <c r="J1685" t="s">
        <v>32</v>
      </c>
    </row>
    <row r="1686" spans="1:10" x14ac:dyDescent="0.25">
      <c r="A1686" s="1">
        <v>805</v>
      </c>
      <c r="B1686" t="s">
        <v>25</v>
      </c>
      <c r="C1686">
        <v>635</v>
      </c>
      <c r="D1686">
        <v>1</v>
      </c>
      <c r="E1686" t="s">
        <v>45</v>
      </c>
      <c r="F1686" t="s">
        <v>27</v>
      </c>
      <c r="G1686" t="str">
        <f>"2025-08-05 10:51:16.385"</f>
        <v>2025-08-05 10:51:16.385</v>
      </c>
      <c r="H1686" t="s">
        <v>21</v>
      </c>
    </row>
    <row r="1687" spans="1:10" x14ac:dyDescent="0.25">
      <c r="A1687" s="1">
        <v>806</v>
      </c>
      <c r="B1687" t="s">
        <v>29</v>
      </c>
      <c r="C1687">
        <v>635</v>
      </c>
      <c r="D1687">
        <v>1</v>
      </c>
      <c r="E1687" t="s">
        <v>45</v>
      </c>
      <c r="F1687" t="s">
        <v>27</v>
      </c>
      <c r="G1687" t="str">
        <f>"2025-08-05 10:47:09.385"</f>
        <v>2025-08-05 10:47:09.385</v>
      </c>
      <c r="H1687" t="s">
        <v>21</v>
      </c>
      <c r="I1687">
        <v>0</v>
      </c>
      <c r="J1687" t="s">
        <v>37</v>
      </c>
    </row>
    <row r="1688" spans="1:10" x14ac:dyDescent="0.25">
      <c r="A1688" s="1">
        <v>807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"2025-08-04 19:53:56.349"</f>
        <v>2025-08-04 19:53:56.349</v>
      </c>
      <c r="H1688" t="s">
        <v>21</v>
      </c>
      <c r="I1688">
        <v>0</v>
      </c>
      <c r="J1688" t="s">
        <v>32</v>
      </c>
    </row>
    <row r="1689" spans="1:10" s="3" customFormat="1" x14ac:dyDescent="0.25">
      <c r="A1689" s="2">
        <v>808</v>
      </c>
      <c r="B1689" s="3" t="s">
        <v>25</v>
      </c>
      <c r="C1689" s="3">
        <v>647</v>
      </c>
      <c r="D1689" s="3">
        <v>1</v>
      </c>
      <c r="E1689" s="3" t="s">
        <v>55</v>
      </c>
      <c r="F1689" s="3" t="s">
        <v>56</v>
      </c>
      <c r="G1689" s="3" t="str">
        <f>"2025-08-04 03:08:31.571"</f>
        <v>2025-08-04 03:08:31.571</v>
      </c>
      <c r="H1689" s="3" t="s">
        <v>21</v>
      </c>
    </row>
    <row r="1690" spans="1:10" s="3" customFormat="1" x14ac:dyDescent="0.25">
      <c r="A1690" s="2">
        <v>809</v>
      </c>
      <c r="B1690" s="3" t="s">
        <v>29</v>
      </c>
      <c r="C1690" s="3">
        <v>647</v>
      </c>
      <c r="D1690" s="3">
        <v>1</v>
      </c>
      <c r="E1690" s="3" t="s">
        <v>55</v>
      </c>
      <c r="F1690" s="3" t="s">
        <v>56</v>
      </c>
      <c r="G1690" s="3" t="str">
        <f>"2025-08-04 03:08:28.071"</f>
        <v>2025-08-04 03:08:28.071</v>
      </c>
      <c r="H1690" s="3" t="s">
        <v>21</v>
      </c>
      <c r="I1690" s="3">
        <v>17.399999999999999</v>
      </c>
      <c r="J1690" s="3" t="s">
        <v>54</v>
      </c>
    </row>
    <row r="1691" spans="1:10" x14ac:dyDescent="0.25">
      <c r="A1691" s="1">
        <v>811</v>
      </c>
      <c r="B1691" t="s">
        <v>25</v>
      </c>
      <c r="C1691">
        <v>635</v>
      </c>
      <c r="D1691">
        <v>1</v>
      </c>
      <c r="E1691" t="s">
        <v>45</v>
      </c>
      <c r="F1691" t="s">
        <v>27</v>
      </c>
      <c r="G1691" t="str">
        <f>"2025-08-02 20:39:42.271"</f>
        <v>2025-08-02 20:39:42.271</v>
      </c>
      <c r="H1691" t="s">
        <v>21</v>
      </c>
    </row>
    <row r="1692" spans="1:10" x14ac:dyDescent="0.25">
      <c r="A1692" s="1">
        <v>812</v>
      </c>
      <c r="B1692" t="s">
        <v>29</v>
      </c>
      <c r="C1692">
        <v>635</v>
      </c>
      <c r="D1692">
        <v>1</v>
      </c>
      <c r="E1692" t="s">
        <v>45</v>
      </c>
      <c r="F1692" t="s">
        <v>27</v>
      </c>
      <c r="G1692" t="str">
        <f>"2025-08-02 20:25:59.771"</f>
        <v>2025-08-02 20:25:59.771</v>
      </c>
      <c r="H1692" t="s">
        <v>21</v>
      </c>
      <c r="I1692">
        <v>5.63</v>
      </c>
      <c r="J1692" t="s">
        <v>54</v>
      </c>
    </row>
    <row r="1693" spans="1:10" x14ac:dyDescent="0.25">
      <c r="A1693" s="1">
        <v>813</v>
      </c>
      <c r="B1693" t="s">
        <v>19</v>
      </c>
      <c r="C1693">
        <v>706</v>
      </c>
      <c r="D1693">
        <v>4</v>
      </c>
      <c r="E1693" t="s">
        <v>22</v>
      </c>
      <c r="F1693" t="s">
        <v>31</v>
      </c>
      <c r="G1693" t="str">
        <f>"2025-08-02 19:35:29.826"</f>
        <v>2025-08-02 19:35:29.826</v>
      </c>
      <c r="H1693" t="s">
        <v>21</v>
      </c>
      <c r="I1693">
        <v>0</v>
      </c>
      <c r="J1693" t="s">
        <v>24</v>
      </c>
    </row>
    <row r="1694" spans="1:10" x14ac:dyDescent="0.25">
      <c r="A1694" s="1">
        <v>814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"2025-08-02 19:35:15.346"</f>
        <v>2025-08-02 19:35:15.346</v>
      </c>
      <c r="H1694" t="s">
        <v>21</v>
      </c>
      <c r="I1694">
        <v>0</v>
      </c>
      <c r="J1694" t="s">
        <v>32</v>
      </c>
    </row>
    <row r="1695" spans="1:10" s="3" customFormat="1" x14ac:dyDescent="0.25">
      <c r="A1695" s="2">
        <v>815</v>
      </c>
      <c r="B1695" s="3" t="s">
        <v>25</v>
      </c>
      <c r="C1695" s="3">
        <v>647</v>
      </c>
      <c r="D1695" s="3">
        <v>1</v>
      </c>
      <c r="E1695" s="3" t="s">
        <v>55</v>
      </c>
      <c r="F1695" s="3" t="s">
        <v>56</v>
      </c>
      <c r="G1695" s="3" t="str">
        <f>"2025-08-01 11:02:22.188"</f>
        <v>2025-08-01 11:02:22.188</v>
      </c>
      <c r="H1695" s="3" t="s">
        <v>21</v>
      </c>
    </row>
    <row r="1696" spans="1:10" s="3" customFormat="1" x14ac:dyDescent="0.25">
      <c r="A1696" s="2">
        <v>816</v>
      </c>
      <c r="B1696" s="3" t="s">
        <v>29</v>
      </c>
      <c r="C1696" s="3">
        <v>647</v>
      </c>
      <c r="D1696" s="3">
        <v>1</v>
      </c>
      <c r="E1696" s="3" t="s">
        <v>55</v>
      </c>
      <c r="F1696" s="3" t="s">
        <v>56</v>
      </c>
      <c r="G1696" s="3" t="str">
        <f>"2025-08-01 11:02:19.888"</f>
        <v>2025-08-01 11:02:19.888</v>
      </c>
      <c r="H1696" s="3" t="s">
        <v>21</v>
      </c>
      <c r="I1696" s="3">
        <v>8.65</v>
      </c>
      <c r="J1696" s="3" t="s">
        <v>54</v>
      </c>
    </row>
    <row r="1697" spans="1:10" s="3" customFormat="1" x14ac:dyDescent="0.25">
      <c r="A1697" s="2">
        <v>817</v>
      </c>
      <c r="B1697" s="3" t="s">
        <v>25</v>
      </c>
      <c r="C1697" s="3">
        <v>647</v>
      </c>
      <c r="D1697" s="3">
        <v>1</v>
      </c>
      <c r="E1697" s="3" t="s">
        <v>55</v>
      </c>
      <c r="F1697" s="3" t="s">
        <v>56</v>
      </c>
      <c r="G1697" s="3" t="str">
        <f>"2025-07-31 18:51:33.288"</f>
        <v>2025-07-31 18:51:33.288</v>
      </c>
      <c r="H1697" s="3" t="s">
        <v>21</v>
      </c>
    </row>
    <row r="1698" spans="1:10" s="3" customFormat="1" x14ac:dyDescent="0.25">
      <c r="A1698" s="2">
        <v>818</v>
      </c>
      <c r="B1698" s="3" t="s">
        <v>29</v>
      </c>
      <c r="C1698" s="3">
        <v>647</v>
      </c>
      <c r="D1698" s="3">
        <v>1</v>
      </c>
      <c r="E1698" s="3" t="s">
        <v>55</v>
      </c>
      <c r="F1698" s="3" t="s">
        <v>56</v>
      </c>
      <c r="G1698" s="3" t="str">
        <f>"2025-07-31 18:51:25.788"</f>
        <v>2025-07-31 18:51:25.788</v>
      </c>
      <c r="H1698" s="3" t="s">
        <v>21</v>
      </c>
      <c r="I1698" s="3">
        <v>16.32</v>
      </c>
      <c r="J1698" s="3" t="s">
        <v>54</v>
      </c>
    </row>
    <row r="1699" spans="1:10" s="3" customFormat="1" x14ac:dyDescent="0.25">
      <c r="A1699" s="2">
        <v>819</v>
      </c>
      <c r="B1699" s="3" t="s">
        <v>25</v>
      </c>
      <c r="C1699" s="3">
        <v>647</v>
      </c>
      <c r="D1699" s="3">
        <v>1</v>
      </c>
      <c r="E1699" s="3" t="s">
        <v>55</v>
      </c>
      <c r="F1699" s="3" t="s">
        <v>56</v>
      </c>
      <c r="G1699" s="3" t="str">
        <f>"2025-07-31 16:23:35.188"</f>
        <v>2025-07-31 16:23:35.188</v>
      </c>
      <c r="H1699" s="3" t="s">
        <v>21</v>
      </c>
    </row>
    <row r="1700" spans="1:10" s="3" customFormat="1" x14ac:dyDescent="0.25">
      <c r="A1700" s="2">
        <v>820</v>
      </c>
      <c r="B1700" s="3" t="s">
        <v>29</v>
      </c>
      <c r="C1700" s="3">
        <v>647</v>
      </c>
      <c r="D1700" s="3">
        <v>1</v>
      </c>
      <c r="E1700" s="3" t="s">
        <v>55</v>
      </c>
      <c r="F1700" s="3" t="s">
        <v>56</v>
      </c>
      <c r="G1700" s="3" t="str">
        <f>"2025-07-31 16:23:30.888"</f>
        <v>2025-07-31 16:23:30.888</v>
      </c>
      <c r="H1700" s="3" t="s">
        <v>21</v>
      </c>
      <c r="I1700" s="3">
        <v>16.36</v>
      </c>
      <c r="J1700" s="3" t="s">
        <v>54</v>
      </c>
    </row>
    <row r="1701" spans="1:10" x14ac:dyDescent="0.25">
      <c r="A1701" s="1">
        <v>821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"2025-07-31 07:56:28.155"</f>
        <v>2025-07-31 07:56:28.155</v>
      </c>
      <c r="H1701" t="s">
        <v>21</v>
      </c>
      <c r="I1701">
        <v>0</v>
      </c>
      <c r="J1701" t="s">
        <v>32</v>
      </c>
    </row>
    <row r="1702" spans="1:10" x14ac:dyDescent="0.25">
      <c r="A1702" s="1">
        <v>822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"2025-07-31 06:43:46.907"</f>
        <v>2025-07-31 06:43:46.907</v>
      </c>
      <c r="H1702" t="s">
        <v>21</v>
      </c>
      <c r="I1702">
        <v>0</v>
      </c>
      <c r="J1702" t="s">
        <v>32</v>
      </c>
    </row>
    <row r="1703" spans="1:10" x14ac:dyDescent="0.25">
      <c r="A1703" s="1">
        <v>823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"2025-07-31 05:58:18.898"</f>
        <v>2025-07-31 05:58:18.898</v>
      </c>
      <c r="H1703" t="s">
        <v>21</v>
      </c>
    </row>
    <row r="1704" spans="1:10" x14ac:dyDescent="0.25">
      <c r="A1704" s="1">
        <v>824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"2025-07-31 05:57:18.152"</f>
        <v>2025-07-31 05:57:18.152</v>
      </c>
      <c r="H1704" t="s">
        <v>21</v>
      </c>
      <c r="I1704">
        <v>0</v>
      </c>
      <c r="J1704" t="s">
        <v>32</v>
      </c>
    </row>
    <row r="1705" spans="1:10" x14ac:dyDescent="0.25">
      <c r="A1705" s="1">
        <v>825</v>
      </c>
      <c r="B1705" t="s">
        <v>25</v>
      </c>
      <c r="C1705">
        <v>98</v>
      </c>
      <c r="D1705">
        <v>1</v>
      </c>
      <c r="E1705" t="s">
        <v>64</v>
      </c>
      <c r="F1705" t="s">
        <v>65</v>
      </c>
      <c r="G1705" t="str">
        <f>"2025-07-31 03:05:50.482"</f>
        <v>2025-07-31 03:05:50.482</v>
      </c>
      <c r="H1705" t="s">
        <v>21</v>
      </c>
    </row>
    <row r="1706" spans="1:10" x14ac:dyDescent="0.25">
      <c r="A1706" s="1">
        <v>826</v>
      </c>
      <c r="B1706" t="s">
        <v>29</v>
      </c>
      <c r="C1706">
        <v>98</v>
      </c>
      <c r="D1706">
        <v>1</v>
      </c>
      <c r="E1706" t="s">
        <v>64</v>
      </c>
      <c r="F1706" t="s">
        <v>65</v>
      </c>
      <c r="G1706" t="str">
        <f>"2025-07-31 03:05:49.482"</f>
        <v>2025-07-31 03:05:49.482</v>
      </c>
      <c r="H1706" t="s">
        <v>21</v>
      </c>
      <c r="I1706">
        <v>0</v>
      </c>
      <c r="J1706" t="s">
        <v>37</v>
      </c>
    </row>
    <row r="1707" spans="1:10" x14ac:dyDescent="0.25">
      <c r="A1707" s="1">
        <v>827</v>
      </c>
      <c r="B1707" t="s">
        <v>25</v>
      </c>
      <c r="C1707">
        <v>98</v>
      </c>
      <c r="D1707">
        <v>1</v>
      </c>
      <c r="E1707" t="s">
        <v>64</v>
      </c>
      <c r="F1707" t="s">
        <v>65</v>
      </c>
      <c r="G1707" t="str">
        <f>"2025-07-31 03:05:49.182"</f>
        <v>2025-07-31 03:05:49.182</v>
      </c>
      <c r="H1707" t="s">
        <v>21</v>
      </c>
    </row>
    <row r="1708" spans="1:10" x14ac:dyDescent="0.25">
      <c r="A1708" s="1">
        <v>828</v>
      </c>
      <c r="B1708" t="s">
        <v>29</v>
      </c>
      <c r="C1708">
        <v>98</v>
      </c>
      <c r="D1708">
        <v>1</v>
      </c>
      <c r="E1708" t="s">
        <v>64</v>
      </c>
      <c r="F1708" t="s">
        <v>65</v>
      </c>
      <c r="G1708" t="str">
        <f>"2025-07-31 03:05:48.182"</f>
        <v>2025-07-31 03:05:48.182</v>
      </c>
      <c r="H1708" t="s">
        <v>21</v>
      </c>
      <c r="I1708">
        <v>0</v>
      </c>
      <c r="J1708" t="s">
        <v>37</v>
      </c>
    </row>
    <row r="1709" spans="1:10" x14ac:dyDescent="0.25">
      <c r="A1709" s="1">
        <v>829</v>
      </c>
      <c r="B1709" t="s">
        <v>25</v>
      </c>
      <c r="C1709">
        <v>98</v>
      </c>
      <c r="D1709">
        <v>1</v>
      </c>
      <c r="E1709" t="s">
        <v>64</v>
      </c>
      <c r="F1709" t="s">
        <v>65</v>
      </c>
      <c r="G1709" t="str">
        <f>"2025-07-31 03:05:48.082"</f>
        <v>2025-07-31 03:05:48.082</v>
      </c>
      <c r="H1709" t="s">
        <v>21</v>
      </c>
    </row>
    <row r="1710" spans="1:10" x14ac:dyDescent="0.25">
      <c r="A1710" s="1">
        <v>830</v>
      </c>
      <c r="B1710" t="s">
        <v>29</v>
      </c>
      <c r="C1710">
        <v>98</v>
      </c>
      <c r="D1710">
        <v>1</v>
      </c>
      <c r="E1710" t="s">
        <v>64</v>
      </c>
      <c r="F1710" t="s">
        <v>65</v>
      </c>
      <c r="G1710" t="str">
        <f>"2025-07-31 03:05:47.082"</f>
        <v>2025-07-31 03:05:47.082</v>
      </c>
      <c r="H1710" t="s">
        <v>21</v>
      </c>
      <c r="I1710">
        <v>0</v>
      </c>
      <c r="J1710" t="s">
        <v>37</v>
      </c>
    </row>
    <row r="1711" spans="1:10" s="3" customFormat="1" x14ac:dyDescent="0.25">
      <c r="A1711" s="2">
        <v>831</v>
      </c>
      <c r="B1711" s="3" t="s">
        <v>25</v>
      </c>
      <c r="C1711" s="3">
        <v>647</v>
      </c>
      <c r="D1711" s="3">
        <v>1</v>
      </c>
      <c r="E1711" s="3" t="s">
        <v>55</v>
      </c>
      <c r="F1711" s="3" t="s">
        <v>56</v>
      </c>
      <c r="G1711" s="3" t="str">
        <f>"2025-07-30 17:15:47.662"</f>
        <v>2025-07-30 17:15:47.662</v>
      </c>
      <c r="H1711" s="3" t="s">
        <v>21</v>
      </c>
    </row>
    <row r="1712" spans="1:10" s="3" customFormat="1" x14ac:dyDescent="0.25">
      <c r="A1712" s="2">
        <v>832</v>
      </c>
      <c r="B1712" s="3" t="s">
        <v>29</v>
      </c>
      <c r="C1712" s="3">
        <v>647</v>
      </c>
      <c r="D1712" s="3">
        <v>1</v>
      </c>
      <c r="E1712" s="3" t="s">
        <v>55</v>
      </c>
      <c r="F1712" s="3" t="s">
        <v>56</v>
      </c>
      <c r="G1712" s="3" t="str">
        <f>"2025-07-30 17:15:46.562"</f>
        <v>2025-07-30 17:15:46.562</v>
      </c>
      <c r="H1712" s="3" t="s">
        <v>21</v>
      </c>
      <c r="I1712" s="3">
        <v>17.54</v>
      </c>
      <c r="J1712" s="3" t="s">
        <v>54</v>
      </c>
    </row>
    <row r="1713" spans="1:10" s="3" customFormat="1" x14ac:dyDescent="0.25">
      <c r="A1713" s="2">
        <v>833</v>
      </c>
      <c r="B1713" s="3" t="s">
        <v>25</v>
      </c>
      <c r="C1713" s="3">
        <v>647</v>
      </c>
      <c r="D1713" s="3">
        <v>1</v>
      </c>
      <c r="E1713" s="3" t="s">
        <v>55</v>
      </c>
      <c r="F1713" s="3" t="s">
        <v>56</v>
      </c>
      <c r="G1713" s="3" t="str">
        <f>"2025-07-30 09:29:34.962"</f>
        <v>2025-07-30 09:29:34.962</v>
      </c>
      <c r="H1713" s="3" t="s">
        <v>21</v>
      </c>
    </row>
    <row r="1714" spans="1:10" s="3" customFormat="1" x14ac:dyDescent="0.25">
      <c r="A1714" s="2">
        <v>834</v>
      </c>
      <c r="B1714" s="3" t="s">
        <v>29</v>
      </c>
      <c r="C1714" s="3">
        <v>647</v>
      </c>
      <c r="D1714" s="3">
        <v>1</v>
      </c>
      <c r="E1714" s="3" t="s">
        <v>55</v>
      </c>
      <c r="F1714" s="3" t="s">
        <v>56</v>
      </c>
      <c r="G1714" s="3" t="str">
        <f>"2025-07-30 09:29:28.462"</f>
        <v>2025-07-30 09:29:28.462</v>
      </c>
      <c r="H1714" s="3" t="s">
        <v>21</v>
      </c>
      <c r="I1714" s="3">
        <v>12.07</v>
      </c>
      <c r="J1714" s="3" t="s">
        <v>54</v>
      </c>
    </row>
    <row r="1715" spans="1:10" s="3" customFormat="1" x14ac:dyDescent="0.25">
      <c r="A1715" s="2">
        <v>835</v>
      </c>
      <c r="B1715" s="3" t="s">
        <v>25</v>
      </c>
      <c r="C1715" s="3">
        <v>647</v>
      </c>
      <c r="D1715" s="3">
        <v>1</v>
      </c>
      <c r="E1715" s="3" t="s">
        <v>55</v>
      </c>
      <c r="F1715" s="3" t="s">
        <v>56</v>
      </c>
      <c r="G1715" s="3" t="str">
        <f>"2025-07-30 08:34:34.862"</f>
        <v>2025-07-30 08:34:34.862</v>
      </c>
      <c r="H1715" s="3" t="s">
        <v>21</v>
      </c>
    </row>
    <row r="1716" spans="1:10" s="3" customFormat="1" x14ac:dyDescent="0.25">
      <c r="A1716" s="2">
        <v>836</v>
      </c>
      <c r="B1716" s="3" t="s">
        <v>29</v>
      </c>
      <c r="C1716" s="3">
        <v>647</v>
      </c>
      <c r="D1716" s="3">
        <v>1</v>
      </c>
      <c r="E1716" s="3" t="s">
        <v>55</v>
      </c>
      <c r="F1716" s="3" t="s">
        <v>56</v>
      </c>
      <c r="G1716" s="3" t="str">
        <f>"2025-07-30 08:34:28.962"</f>
        <v>2025-07-30 08:34:28.962</v>
      </c>
      <c r="H1716" s="3" t="s">
        <v>21</v>
      </c>
      <c r="I1716" s="3">
        <v>8.92</v>
      </c>
      <c r="J1716" s="3" t="s">
        <v>54</v>
      </c>
    </row>
    <row r="1717" spans="1:10" s="3" customFormat="1" x14ac:dyDescent="0.25">
      <c r="A1717" s="2">
        <v>837</v>
      </c>
      <c r="B1717" s="3" t="s">
        <v>25</v>
      </c>
      <c r="C1717" s="3">
        <v>647</v>
      </c>
      <c r="D1717" s="3">
        <v>1</v>
      </c>
      <c r="E1717" s="3" t="s">
        <v>55</v>
      </c>
      <c r="F1717" s="3" t="s">
        <v>56</v>
      </c>
      <c r="G1717" s="3" t="str">
        <f>"2025-07-29 10:30:07.262"</f>
        <v>2025-07-29 10:30:07.262</v>
      </c>
      <c r="H1717" s="3" t="s">
        <v>21</v>
      </c>
    </row>
    <row r="1718" spans="1:10" s="3" customFormat="1" x14ac:dyDescent="0.25">
      <c r="A1718" s="2">
        <v>838</v>
      </c>
      <c r="B1718" s="3" t="s">
        <v>29</v>
      </c>
      <c r="C1718" s="3">
        <v>647</v>
      </c>
      <c r="D1718" s="3">
        <v>1</v>
      </c>
      <c r="E1718" s="3" t="s">
        <v>55</v>
      </c>
      <c r="F1718" s="3" t="s">
        <v>56</v>
      </c>
      <c r="G1718" s="3" t="str">
        <f>"2025-07-29 10:29:55.162"</f>
        <v>2025-07-29 10:29:55.162</v>
      </c>
      <c r="H1718" s="3" t="s">
        <v>21</v>
      </c>
      <c r="I1718" s="3">
        <v>19.649999999999999</v>
      </c>
      <c r="J1718" s="3" t="s">
        <v>54</v>
      </c>
    </row>
    <row r="1719" spans="1:10" x14ac:dyDescent="0.25">
      <c r="A1719" s="1">
        <v>839</v>
      </c>
      <c r="B1719" t="s">
        <v>25</v>
      </c>
      <c r="C1719">
        <v>635</v>
      </c>
      <c r="D1719">
        <v>1</v>
      </c>
      <c r="E1719" t="s">
        <v>45</v>
      </c>
      <c r="F1719" t="s">
        <v>27</v>
      </c>
      <c r="G1719" t="str">
        <f>"2025-07-29 10:16:56.861"</f>
        <v>2025-07-29 10:16:56.861</v>
      </c>
      <c r="H1719" t="s">
        <v>21</v>
      </c>
    </row>
    <row r="1720" spans="1:10" x14ac:dyDescent="0.25">
      <c r="A1720" s="1">
        <v>840</v>
      </c>
      <c r="B1720" t="s">
        <v>29</v>
      </c>
      <c r="C1720">
        <v>635</v>
      </c>
      <c r="D1720">
        <v>1</v>
      </c>
      <c r="E1720" t="s">
        <v>45</v>
      </c>
      <c r="F1720" t="s">
        <v>27</v>
      </c>
      <c r="G1720" t="str">
        <f>"2025-07-29 10:11:58.461"</f>
        <v>2025-07-29 10:11:58.461</v>
      </c>
      <c r="H1720" t="s">
        <v>21</v>
      </c>
      <c r="I1720">
        <v>2.08</v>
      </c>
      <c r="J1720" t="s">
        <v>42</v>
      </c>
    </row>
    <row r="1721" spans="1:10" x14ac:dyDescent="0.25">
      <c r="A1721" s="1">
        <v>841</v>
      </c>
      <c r="B1721" t="s">
        <v>25</v>
      </c>
      <c r="C1721">
        <v>635</v>
      </c>
      <c r="D1721">
        <v>1</v>
      </c>
      <c r="E1721" t="s">
        <v>45</v>
      </c>
      <c r="F1721" t="s">
        <v>27</v>
      </c>
      <c r="G1721" t="str">
        <f>"2025-07-29 03:26:01.162"</f>
        <v>2025-07-29 03:26:01.162</v>
      </c>
      <c r="H1721" t="s">
        <v>21</v>
      </c>
    </row>
    <row r="1722" spans="1:10" x14ac:dyDescent="0.25">
      <c r="A1722" s="1">
        <v>842</v>
      </c>
      <c r="B1722" t="s">
        <v>29</v>
      </c>
      <c r="C1722">
        <v>635</v>
      </c>
      <c r="D1722">
        <v>1</v>
      </c>
      <c r="E1722" t="s">
        <v>45</v>
      </c>
      <c r="F1722" t="s">
        <v>27</v>
      </c>
      <c r="G1722" t="str">
        <f>"2025-07-29 03:21:43.162"</f>
        <v>2025-07-29 03:21:43.162</v>
      </c>
      <c r="H1722" t="s">
        <v>21</v>
      </c>
      <c r="I1722">
        <v>3.4</v>
      </c>
      <c r="J1722" t="s">
        <v>54</v>
      </c>
    </row>
    <row r="1723" spans="1:10" x14ac:dyDescent="0.25">
      <c r="A1723" s="1">
        <v>843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"2025-07-28 20:02:54.940"</f>
        <v>2025-07-28 20:02:54.940</v>
      </c>
      <c r="H1723" t="s">
        <v>21</v>
      </c>
      <c r="I1723">
        <v>0</v>
      </c>
      <c r="J1723" t="s">
        <v>32</v>
      </c>
    </row>
    <row r="1724" spans="1:10" s="3" customFormat="1" x14ac:dyDescent="0.25">
      <c r="A1724" s="2">
        <v>844</v>
      </c>
      <c r="B1724" s="3" t="s">
        <v>25</v>
      </c>
      <c r="C1724" s="3">
        <v>647</v>
      </c>
      <c r="D1724" s="3">
        <v>1</v>
      </c>
      <c r="E1724" s="3" t="s">
        <v>55</v>
      </c>
      <c r="F1724" s="3" t="s">
        <v>56</v>
      </c>
      <c r="G1724" s="3" t="str">
        <f>"2025-07-28 17:26:52.233"</f>
        <v>2025-07-28 17:26:52.233</v>
      </c>
      <c r="H1724" s="3" t="s">
        <v>21</v>
      </c>
    </row>
    <row r="1725" spans="1:10" s="3" customFormat="1" x14ac:dyDescent="0.25">
      <c r="A1725" s="2">
        <v>845</v>
      </c>
      <c r="B1725" s="3" t="s">
        <v>29</v>
      </c>
      <c r="C1725" s="3">
        <v>647</v>
      </c>
      <c r="D1725" s="3">
        <v>1</v>
      </c>
      <c r="E1725" s="3" t="s">
        <v>55</v>
      </c>
      <c r="F1725" s="3" t="s">
        <v>56</v>
      </c>
      <c r="G1725" s="3" t="str">
        <f>"2025-07-28 17:26:46.733"</f>
        <v>2025-07-28 17:26:46.733</v>
      </c>
      <c r="H1725" s="3" t="s">
        <v>21</v>
      </c>
      <c r="I1725" s="3">
        <v>8.7200000000000006</v>
      </c>
      <c r="J1725" s="3" t="s">
        <v>54</v>
      </c>
    </row>
    <row r="1726" spans="1:10" s="3" customFormat="1" x14ac:dyDescent="0.25">
      <c r="A1726" s="2">
        <v>846</v>
      </c>
      <c r="B1726" s="3" t="s">
        <v>25</v>
      </c>
      <c r="C1726" s="3">
        <v>647</v>
      </c>
      <c r="D1726" s="3">
        <v>1</v>
      </c>
      <c r="E1726" s="3" t="s">
        <v>55</v>
      </c>
      <c r="F1726" s="3" t="s">
        <v>56</v>
      </c>
      <c r="G1726" s="3" t="str">
        <f>"2025-07-28 13:07:45.733"</f>
        <v>2025-07-28 13:07:45.733</v>
      </c>
      <c r="H1726" s="3" t="s">
        <v>21</v>
      </c>
    </row>
    <row r="1727" spans="1:10" s="3" customFormat="1" x14ac:dyDescent="0.25">
      <c r="A1727" s="2">
        <v>847</v>
      </c>
      <c r="B1727" s="3" t="s">
        <v>29</v>
      </c>
      <c r="C1727" s="3">
        <v>647</v>
      </c>
      <c r="D1727" s="3">
        <v>1</v>
      </c>
      <c r="E1727" s="3" t="s">
        <v>55</v>
      </c>
      <c r="F1727" s="3" t="s">
        <v>56</v>
      </c>
      <c r="G1727" s="3" t="str">
        <f>"2025-07-28 13:07:43.433"</f>
        <v>2025-07-28 13:07:43.433</v>
      </c>
      <c r="H1727" s="3" t="s">
        <v>21</v>
      </c>
      <c r="I1727" s="3">
        <v>16.21</v>
      </c>
      <c r="J1727" s="3" t="s">
        <v>54</v>
      </c>
    </row>
    <row r="1728" spans="1:10" s="3" customFormat="1" x14ac:dyDescent="0.25">
      <c r="A1728" s="2">
        <v>848</v>
      </c>
      <c r="B1728" s="3" t="s">
        <v>25</v>
      </c>
      <c r="C1728" s="3">
        <v>647</v>
      </c>
      <c r="D1728" s="3">
        <v>1</v>
      </c>
      <c r="E1728" s="3" t="s">
        <v>55</v>
      </c>
      <c r="F1728" s="3" t="s">
        <v>56</v>
      </c>
      <c r="G1728" s="3" t="str">
        <f>"2025-07-28 11:53:16.033"</f>
        <v>2025-07-28 11:53:16.033</v>
      </c>
      <c r="H1728" s="3" t="s">
        <v>21</v>
      </c>
    </row>
    <row r="1729" spans="1:10" s="3" customFormat="1" x14ac:dyDescent="0.25">
      <c r="A1729" s="2">
        <v>849</v>
      </c>
      <c r="B1729" s="3" t="s">
        <v>29</v>
      </c>
      <c r="C1729" s="3">
        <v>647</v>
      </c>
      <c r="D1729" s="3">
        <v>1</v>
      </c>
      <c r="E1729" s="3" t="s">
        <v>55</v>
      </c>
      <c r="F1729" s="3" t="s">
        <v>56</v>
      </c>
      <c r="G1729" s="3" t="str">
        <f>"2025-07-28 11:53:06.333"</f>
        <v>2025-07-28 11:53:06.333</v>
      </c>
      <c r="H1729" s="3" t="s">
        <v>21</v>
      </c>
      <c r="I1729" s="3">
        <v>19.260000000000002</v>
      </c>
      <c r="J1729" s="3" t="s">
        <v>54</v>
      </c>
    </row>
    <row r="1730" spans="1:10" x14ac:dyDescent="0.25">
      <c r="A1730" s="1">
        <v>850</v>
      </c>
      <c r="B1730" t="s">
        <v>19</v>
      </c>
      <c r="C1730">
        <v>706</v>
      </c>
      <c r="D1730">
        <v>4</v>
      </c>
      <c r="E1730" t="s">
        <v>22</v>
      </c>
      <c r="F1730" t="s">
        <v>31</v>
      </c>
      <c r="G1730" t="str">
        <f>"2025-07-27 12:07:18.069"</f>
        <v>2025-07-27 12:07:18.069</v>
      </c>
      <c r="H1730" t="s">
        <v>21</v>
      </c>
      <c r="I1730">
        <v>0</v>
      </c>
      <c r="J1730" t="s">
        <v>24</v>
      </c>
    </row>
    <row r="1731" spans="1:10" x14ac:dyDescent="0.25">
      <c r="A1731" s="1">
        <v>853</v>
      </c>
      <c r="B1731" t="s">
        <v>19</v>
      </c>
      <c r="C1731">
        <v>782</v>
      </c>
      <c r="D1731">
        <v>7</v>
      </c>
      <c r="E1731" t="s">
        <v>43</v>
      </c>
      <c r="F1731" t="s">
        <v>44</v>
      </c>
      <c r="G1731" t="str">
        <f>"2025-07-27 12:07:11.794"</f>
        <v>2025-07-27 12:07:11.794</v>
      </c>
      <c r="H1731" t="s">
        <v>21</v>
      </c>
      <c r="I1731">
        <v>0</v>
      </c>
      <c r="J1731" t="s">
        <v>24</v>
      </c>
    </row>
    <row r="1732" spans="1:10" x14ac:dyDescent="0.25">
      <c r="A1732" s="1">
        <v>856</v>
      </c>
      <c r="B1732" t="s">
        <v>25</v>
      </c>
      <c r="C1732">
        <v>48</v>
      </c>
      <c r="D1732">
        <v>1</v>
      </c>
      <c r="E1732" t="s">
        <v>82</v>
      </c>
      <c r="F1732" t="s">
        <v>83</v>
      </c>
      <c r="G1732" t="str">
        <f>"2025-07-27 12:07:11.786"</f>
        <v>2025-07-27 12:07:11.786</v>
      </c>
      <c r="H1732" t="s">
        <v>36</v>
      </c>
    </row>
    <row r="1733" spans="1:10" x14ac:dyDescent="0.25">
      <c r="A1733" s="1">
        <v>857</v>
      </c>
      <c r="B1733" t="s">
        <v>19</v>
      </c>
      <c r="C1733">
        <v>782</v>
      </c>
      <c r="D1733">
        <v>7</v>
      </c>
      <c r="E1733" t="s">
        <v>43</v>
      </c>
      <c r="F1733" t="s">
        <v>44</v>
      </c>
      <c r="G1733" t="str">
        <f>"2025-07-27 12:07:11.785"</f>
        <v>2025-07-27 12:07:11.785</v>
      </c>
      <c r="H1733" t="s">
        <v>21</v>
      </c>
      <c r="I1733">
        <v>0</v>
      </c>
      <c r="J1733" t="s">
        <v>24</v>
      </c>
    </row>
    <row r="1734" spans="1:10" x14ac:dyDescent="0.25">
      <c r="A1734" s="1">
        <v>858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"2025-07-27 12:05:37.889"</f>
        <v>2025-07-27 12:05:37.889</v>
      </c>
      <c r="H1734" t="s">
        <v>21</v>
      </c>
    </row>
    <row r="1735" spans="1:10" x14ac:dyDescent="0.25">
      <c r="A1735" s="1">
        <v>859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"2025-07-27 12:00:19.893"</f>
        <v>2025-07-27 12:00:19.893</v>
      </c>
      <c r="H1735" t="s">
        <v>21</v>
      </c>
    </row>
    <row r="1736" spans="1:10" x14ac:dyDescent="0.25">
      <c r="A1736" s="1">
        <v>860</v>
      </c>
      <c r="B1736" t="s">
        <v>19</v>
      </c>
      <c r="C1736">
        <v>706</v>
      </c>
      <c r="D1736">
        <v>2</v>
      </c>
      <c r="E1736" t="s">
        <v>22</v>
      </c>
      <c r="F1736" t="s">
        <v>53</v>
      </c>
      <c r="G1736" t="str">
        <f>"2025-07-27 11:53:07.305"</f>
        <v>2025-07-27 11:53:07.305</v>
      </c>
      <c r="H1736" t="s">
        <v>21</v>
      </c>
      <c r="I1736">
        <v>0</v>
      </c>
      <c r="J1736" t="s">
        <v>24</v>
      </c>
    </row>
    <row r="1737" spans="1:10" x14ac:dyDescent="0.25">
      <c r="A1737" s="1">
        <v>861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"2025-07-27 11:50:37.885"</f>
        <v>2025-07-27 11:50:37.885</v>
      </c>
      <c r="H1737" t="s">
        <v>21</v>
      </c>
    </row>
    <row r="1738" spans="1:10" x14ac:dyDescent="0.25">
      <c r="A1738" s="1">
        <v>862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"2025-07-27 11:48:30.043"</f>
        <v>2025-07-27 11:48:30.043</v>
      </c>
      <c r="H1738" t="s">
        <v>21</v>
      </c>
      <c r="I1738">
        <v>0</v>
      </c>
      <c r="J1738" t="s">
        <v>32</v>
      </c>
    </row>
    <row r="1739" spans="1:10" x14ac:dyDescent="0.25">
      <c r="A1739" s="1">
        <v>863</v>
      </c>
      <c r="B1739" t="s">
        <v>29</v>
      </c>
      <c r="C1739">
        <v>48</v>
      </c>
      <c r="D1739">
        <v>1</v>
      </c>
      <c r="E1739" t="s">
        <v>82</v>
      </c>
      <c r="F1739" t="s">
        <v>83</v>
      </c>
      <c r="G1739" t="str">
        <f>"2025-07-27 11:10:18.557"</f>
        <v>2025-07-27 11:10:18.557</v>
      </c>
      <c r="H1739" t="s">
        <v>36</v>
      </c>
      <c r="I1739">
        <v>0</v>
      </c>
      <c r="J1739" t="s">
        <v>24</v>
      </c>
    </row>
    <row r="1740" spans="1:10" x14ac:dyDescent="0.25">
      <c r="A1740" s="1">
        <v>864</v>
      </c>
      <c r="B1740" t="s">
        <v>25</v>
      </c>
      <c r="C1740">
        <v>630</v>
      </c>
      <c r="D1740">
        <v>5</v>
      </c>
      <c r="E1740" t="s">
        <v>51</v>
      </c>
      <c r="F1740" t="s">
        <v>52</v>
      </c>
      <c r="G1740" t="str">
        <f>"2025-07-27 11:10:11.420"</f>
        <v>2025-07-27 11:10:11.420</v>
      </c>
      <c r="H1740" t="s">
        <v>40</v>
      </c>
    </row>
    <row r="1741" spans="1:10" x14ac:dyDescent="0.25">
      <c r="A1741" s="1">
        <v>865</v>
      </c>
      <c r="B1741" t="s">
        <v>75</v>
      </c>
      <c r="C1741">
        <v>48</v>
      </c>
      <c r="D1741">
        <v>1</v>
      </c>
      <c r="E1741" t="s">
        <v>82</v>
      </c>
      <c r="F1741" t="s">
        <v>83</v>
      </c>
      <c r="G1741" t="str">
        <f>"2025-07-27 11:10:10.799"</f>
        <v>2025-07-27 11:10:10.799</v>
      </c>
      <c r="H1741" t="s">
        <v>36</v>
      </c>
    </row>
    <row r="1742" spans="1:10" x14ac:dyDescent="0.25">
      <c r="A1742" s="1">
        <v>866</v>
      </c>
      <c r="B1742" t="s">
        <v>33</v>
      </c>
      <c r="C1742">
        <v>48</v>
      </c>
      <c r="D1742">
        <v>1</v>
      </c>
      <c r="E1742" t="s">
        <v>82</v>
      </c>
      <c r="F1742" t="s">
        <v>83</v>
      </c>
      <c r="G1742" t="str">
        <f>"2025-07-27 11:10:05.757"</f>
        <v>2025-07-27 11:10:05.757</v>
      </c>
      <c r="H1742" t="s">
        <v>36</v>
      </c>
      <c r="I1742">
        <v>0</v>
      </c>
      <c r="J1742" t="s">
        <v>24</v>
      </c>
    </row>
    <row r="1743" spans="1:10" x14ac:dyDescent="0.25">
      <c r="A1743" s="1">
        <v>867</v>
      </c>
      <c r="B1743" t="s">
        <v>75</v>
      </c>
      <c r="C1743">
        <v>48</v>
      </c>
      <c r="D1743">
        <v>1</v>
      </c>
      <c r="E1743" t="s">
        <v>82</v>
      </c>
      <c r="F1743" t="s">
        <v>83</v>
      </c>
      <c r="G1743" t="str">
        <f>"2025-07-27 11:09:57.999"</f>
        <v>2025-07-27 11:09:57.999</v>
      </c>
      <c r="H1743" t="s">
        <v>36</v>
      </c>
    </row>
    <row r="1744" spans="1:10" x14ac:dyDescent="0.25">
      <c r="A1744" s="1">
        <v>868</v>
      </c>
      <c r="B1744" t="s">
        <v>33</v>
      </c>
      <c r="C1744">
        <v>48</v>
      </c>
      <c r="D1744">
        <v>1</v>
      </c>
      <c r="E1744" t="s">
        <v>82</v>
      </c>
      <c r="F1744" t="s">
        <v>83</v>
      </c>
      <c r="G1744" t="str">
        <f>"2025-07-27 11:09:52.917"</f>
        <v>2025-07-27 11:09:52.917</v>
      </c>
      <c r="H1744" t="s">
        <v>36</v>
      </c>
      <c r="I1744">
        <v>0</v>
      </c>
      <c r="J1744" t="s">
        <v>24</v>
      </c>
    </row>
    <row r="1745" spans="1:10" x14ac:dyDescent="0.25">
      <c r="A1745" s="1">
        <v>869</v>
      </c>
      <c r="B1745" t="s">
        <v>19</v>
      </c>
      <c r="C1745">
        <v>706</v>
      </c>
      <c r="D1745">
        <v>4</v>
      </c>
      <c r="E1745" t="s">
        <v>22</v>
      </c>
      <c r="F1745" t="s">
        <v>31</v>
      </c>
      <c r="G1745" t="str">
        <f>"2025-07-27 11:09:41.385"</f>
        <v>2025-07-27 11:09:41.385</v>
      </c>
      <c r="H1745" t="s">
        <v>21</v>
      </c>
      <c r="I1745">
        <v>0</v>
      </c>
      <c r="J1745" t="s">
        <v>24</v>
      </c>
    </row>
    <row r="1746" spans="1:10" x14ac:dyDescent="0.25">
      <c r="A1746" s="1">
        <v>870</v>
      </c>
      <c r="B1746" t="s">
        <v>33</v>
      </c>
      <c r="C1746">
        <v>630</v>
      </c>
      <c r="D1746">
        <v>5</v>
      </c>
      <c r="E1746" t="s">
        <v>51</v>
      </c>
      <c r="F1746" t="s">
        <v>52</v>
      </c>
      <c r="G1746" t="str">
        <f>"2025-07-27 10:21:06.720"</f>
        <v>2025-07-27 10:21:06.720</v>
      </c>
      <c r="H1746" t="s">
        <v>40</v>
      </c>
      <c r="I1746">
        <v>0</v>
      </c>
      <c r="J1746" t="s">
        <v>24</v>
      </c>
    </row>
    <row r="1747" spans="1:10" x14ac:dyDescent="0.25">
      <c r="A1747" s="1">
        <v>871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"2025-07-27 10:16:03.925"</f>
        <v>2025-07-27 10:16:03.925</v>
      </c>
      <c r="H1747" t="s">
        <v>21</v>
      </c>
    </row>
    <row r="1748" spans="1:10" x14ac:dyDescent="0.25">
      <c r="A1748" s="1">
        <v>872</v>
      </c>
      <c r="B1748" t="s">
        <v>19</v>
      </c>
      <c r="C1748">
        <v>706</v>
      </c>
      <c r="D1748">
        <v>4</v>
      </c>
      <c r="E1748" t="s">
        <v>22</v>
      </c>
      <c r="F1748" t="s">
        <v>31</v>
      </c>
      <c r="G1748" t="str">
        <f>"2025-07-27 08:57:37.302"</f>
        <v>2025-07-27 08:57:37.302</v>
      </c>
      <c r="H1748" t="s">
        <v>21</v>
      </c>
      <c r="I1748">
        <v>0</v>
      </c>
      <c r="J1748" t="s">
        <v>24</v>
      </c>
    </row>
    <row r="1749" spans="1:10" x14ac:dyDescent="0.25">
      <c r="A1749" s="1">
        <v>873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"2025-07-26 22:09:19.102"</f>
        <v>2025-07-26 22:09:19.102</v>
      </c>
      <c r="H1749" t="s">
        <v>21</v>
      </c>
      <c r="I1749">
        <v>0</v>
      </c>
      <c r="J1749" t="s">
        <v>32</v>
      </c>
    </row>
    <row r="1750" spans="1:10" x14ac:dyDescent="0.25">
      <c r="A1750" s="1">
        <v>874</v>
      </c>
      <c r="B1750" t="s">
        <v>19</v>
      </c>
      <c r="C1750">
        <v>706</v>
      </c>
      <c r="D1750">
        <v>4</v>
      </c>
      <c r="E1750" t="s">
        <v>22</v>
      </c>
      <c r="F1750" t="s">
        <v>31</v>
      </c>
      <c r="G1750" t="str">
        <f>"2025-07-25 13:27:54.202"</f>
        <v>2025-07-25 13:27:54.202</v>
      </c>
      <c r="H1750" t="s">
        <v>21</v>
      </c>
      <c r="I1750">
        <v>0</v>
      </c>
      <c r="J1750" t="s">
        <v>24</v>
      </c>
    </row>
    <row r="1751" spans="1:10" x14ac:dyDescent="0.25">
      <c r="A1751" s="1">
        <v>875</v>
      </c>
      <c r="B1751" t="s">
        <v>19</v>
      </c>
      <c r="C1751">
        <v>706</v>
      </c>
      <c r="D1751">
        <v>3</v>
      </c>
      <c r="E1751" t="s">
        <v>22</v>
      </c>
      <c r="F1751" t="s">
        <v>23</v>
      </c>
      <c r="G1751" t="str">
        <f>"2025-07-25 13:27:41.681"</f>
        <v>2025-07-25 13:27:41.681</v>
      </c>
      <c r="H1751" t="s">
        <v>21</v>
      </c>
      <c r="I1751">
        <v>0</v>
      </c>
      <c r="J1751" t="s">
        <v>24</v>
      </c>
    </row>
    <row r="1752" spans="1:10" s="3" customFormat="1" x14ac:dyDescent="0.25">
      <c r="A1752" s="2">
        <v>876</v>
      </c>
      <c r="B1752" s="3" t="s">
        <v>25</v>
      </c>
      <c r="C1752" s="3">
        <v>647</v>
      </c>
      <c r="D1752" s="3">
        <v>1</v>
      </c>
      <c r="E1752" s="3" t="s">
        <v>55</v>
      </c>
      <c r="F1752" s="3" t="s">
        <v>56</v>
      </c>
      <c r="G1752" s="3" t="str">
        <f>"2025-07-25 12:33:51.450"</f>
        <v>2025-07-25 12:33:51.450</v>
      </c>
      <c r="H1752" s="3" t="s">
        <v>21</v>
      </c>
    </row>
    <row r="1753" spans="1:10" s="3" customFormat="1" x14ac:dyDescent="0.25">
      <c r="A1753" s="2">
        <v>877</v>
      </c>
      <c r="B1753" s="3" t="s">
        <v>29</v>
      </c>
      <c r="C1753" s="3">
        <v>647</v>
      </c>
      <c r="D1753" s="3">
        <v>1</v>
      </c>
      <c r="E1753" s="3" t="s">
        <v>55</v>
      </c>
      <c r="F1753" s="3" t="s">
        <v>56</v>
      </c>
      <c r="G1753" s="3" t="str">
        <f>"2025-07-25 12:33:50.351"</f>
        <v>2025-07-25 12:33:50.351</v>
      </c>
      <c r="H1753" s="3" t="s">
        <v>21</v>
      </c>
      <c r="I1753" s="3">
        <v>12.64</v>
      </c>
      <c r="J1753" s="3" t="s">
        <v>54</v>
      </c>
    </row>
    <row r="1754" spans="1:10" x14ac:dyDescent="0.25">
      <c r="A1754" s="1">
        <v>878</v>
      </c>
      <c r="B1754" t="s">
        <v>19</v>
      </c>
      <c r="C1754">
        <v>706</v>
      </c>
      <c r="D1754">
        <v>4</v>
      </c>
      <c r="E1754" t="s">
        <v>22</v>
      </c>
      <c r="F1754" t="s">
        <v>31</v>
      </c>
      <c r="G1754" t="str">
        <f>"2025-07-25 08:12:17.062"</f>
        <v>2025-07-25 08:12:17.062</v>
      </c>
      <c r="H1754" t="s">
        <v>21</v>
      </c>
      <c r="I1754">
        <v>0</v>
      </c>
      <c r="J1754" t="s">
        <v>24</v>
      </c>
    </row>
    <row r="1755" spans="1:10" x14ac:dyDescent="0.25">
      <c r="A1755" s="1">
        <v>879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"2025-07-25 08:11:12.902"</f>
        <v>2025-07-25 08:11:12.902</v>
      </c>
      <c r="H1755" t="s">
        <v>21</v>
      </c>
    </row>
    <row r="1756" spans="1:10" s="3" customFormat="1" x14ac:dyDescent="0.25">
      <c r="A1756" s="2">
        <v>880</v>
      </c>
      <c r="B1756" s="3" t="s">
        <v>25</v>
      </c>
      <c r="C1756" s="3">
        <v>647</v>
      </c>
      <c r="D1756" s="3">
        <v>1</v>
      </c>
      <c r="E1756" s="3" t="s">
        <v>55</v>
      </c>
      <c r="F1756" s="3" t="s">
        <v>56</v>
      </c>
      <c r="G1756" s="3" t="str">
        <f>"2025-07-24 18:54:07.854"</f>
        <v>2025-07-24 18:54:07.854</v>
      </c>
      <c r="H1756" s="3" t="s">
        <v>21</v>
      </c>
    </row>
    <row r="1757" spans="1:10" s="3" customFormat="1" x14ac:dyDescent="0.25">
      <c r="A1757" s="2">
        <v>881</v>
      </c>
      <c r="B1757" s="3" t="s">
        <v>29</v>
      </c>
      <c r="C1757" s="3">
        <v>647</v>
      </c>
      <c r="D1757" s="3">
        <v>1</v>
      </c>
      <c r="E1757" s="3" t="s">
        <v>55</v>
      </c>
      <c r="F1757" s="3" t="s">
        <v>56</v>
      </c>
      <c r="G1757" s="3" t="str">
        <f>"2025-07-24 18:54:03.154"</f>
        <v>2025-07-24 18:54:03.154</v>
      </c>
      <c r="H1757" s="3" t="s">
        <v>21</v>
      </c>
      <c r="I1757" s="3">
        <v>11.67</v>
      </c>
      <c r="J1757" s="3" t="s">
        <v>54</v>
      </c>
    </row>
    <row r="1758" spans="1:10" s="3" customFormat="1" x14ac:dyDescent="0.25">
      <c r="A1758" s="2">
        <v>882</v>
      </c>
      <c r="B1758" s="3" t="s">
        <v>25</v>
      </c>
      <c r="C1758" s="3">
        <v>647</v>
      </c>
      <c r="D1758" s="3">
        <v>1</v>
      </c>
      <c r="E1758" s="3" t="s">
        <v>55</v>
      </c>
      <c r="F1758" s="3" t="s">
        <v>56</v>
      </c>
      <c r="G1758" s="3" t="str">
        <f>"2025-07-24 17:49:19.754"</f>
        <v>2025-07-24 17:49:19.754</v>
      </c>
      <c r="H1758" s="3" t="s">
        <v>21</v>
      </c>
    </row>
    <row r="1759" spans="1:10" s="3" customFormat="1" x14ac:dyDescent="0.25">
      <c r="A1759" s="2">
        <v>883</v>
      </c>
      <c r="B1759" s="3" t="s">
        <v>29</v>
      </c>
      <c r="C1759" s="3">
        <v>647</v>
      </c>
      <c r="D1759" s="3">
        <v>1</v>
      </c>
      <c r="E1759" s="3" t="s">
        <v>55</v>
      </c>
      <c r="F1759" s="3" t="s">
        <v>56</v>
      </c>
      <c r="G1759" s="3" t="str">
        <f>"2025-07-24 17:49:15.255"</f>
        <v>2025-07-24 17:49:15.255</v>
      </c>
      <c r="H1759" s="3" t="s">
        <v>21</v>
      </c>
      <c r="I1759" s="3">
        <v>8.2100000000000009</v>
      </c>
      <c r="J1759" s="3" t="s">
        <v>54</v>
      </c>
    </row>
    <row r="1760" spans="1:10" x14ac:dyDescent="0.25">
      <c r="A1760" s="1">
        <v>884</v>
      </c>
      <c r="B1760" t="s">
        <v>19</v>
      </c>
      <c r="C1760">
        <v>706</v>
      </c>
      <c r="D1760">
        <v>4</v>
      </c>
      <c r="E1760" t="s">
        <v>22</v>
      </c>
      <c r="F1760" t="s">
        <v>31</v>
      </c>
      <c r="G1760" t="str">
        <f>"2025-07-24 09:19:59.467"</f>
        <v>2025-07-24 09:19:59.467</v>
      </c>
      <c r="H1760" t="s">
        <v>21</v>
      </c>
      <c r="I1760">
        <v>0</v>
      </c>
      <c r="J1760" t="s">
        <v>24</v>
      </c>
    </row>
    <row r="1761" spans="1:10" x14ac:dyDescent="0.25">
      <c r="A1761" s="1">
        <v>885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"2025-07-24 09:18:42.057"</f>
        <v>2025-07-24 09:18:42.057</v>
      </c>
      <c r="H1761" t="s">
        <v>21</v>
      </c>
      <c r="I1761">
        <v>0</v>
      </c>
      <c r="J1761" t="s">
        <v>32</v>
      </c>
    </row>
    <row r="1762" spans="1:10" x14ac:dyDescent="0.25">
      <c r="A1762" s="1">
        <v>886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"2025-07-24 02:30:41.128"</f>
        <v>2025-07-24 02:30:41.128</v>
      </c>
      <c r="H1762" t="s">
        <v>21</v>
      </c>
      <c r="I1762">
        <v>0</v>
      </c>
      <c r="J1762" t="s">
        <v>32</v>
      </c>
    </row>
    <row r="1763" spans="1:10" x14ac:dyDescent="0.25">
      <c r="A1763" s="1">
        <v>887</v>
      </c>
      <c r="B1763" t="s">
        <v>25</v>
      </c>
      <c r="C1763">
        <v>630</v>
      </c>
      <c r="D1763">
        <v>5</v>
      </c>
      <c r="E1763" t="s">
        <v>51</v>
      </c>
      <c r="F1763" t="s">
        <v>52</v>
      </c>
      <c r="G1763" t="str">
        <f>"2025-07-23 21:27:44.683"</f>
        <v>2025-07-23 21:27:44.683</v>
      </c>
      <c r="H1763" t="s">
        <v>40</v>
      </c>
    </row>
    <row r="1764" spans="1:10" x14ac:dyDescent="0.25">
      <c r="A1764" s="1">
        <v>888</v>
      </c>
      <c r="B1764" t="s">
        <v>19</v>
      </c>
      <c r="C1764">
        <v>706</v>
      </c>
      <c r="D1764">
        <v>2</v>
      </c>
      <c r="E1764" t="s">
        <v>22</v>
      </c>
      <c r="F1764" t="s">
        <v>53</v>
      </c>
      <c r="G1764" t="str">
        <f>"2025-07-23 21:27:11.779"</f>
        <v>2025-07-23 21:27:11.779</v>
      </c>
      <c r="H1764" t="s">
        <v>21</v>
      </c>
      <c r="I1764">
        <v>0</v>
      </c>
      <c r="J1764" t="s">
        <v>24</v>
      </c>
    </row>
    <row r="1765" spans="1:10" x14ac:dyDescent="0.25">
      <c r="A1765" s="1">
        <v>889</v>
      </c>
      <c r="B1765" t="s">
        <v>33</v>
      </c>
      <c r="C1765">
        <v>630</v>
      </c>
      <c r="D1765">
        <v>5</v>
      </c>
      <c r="E1765" t="s">
        <v>51</v>
      </c>
      <c r="F1765" t="s">
        <v>52</v>
      </c>
      <c r="G1765" t="str">
        <f>"2025-07-23 21:16:03.783"</f>
        <v>2025-07-23 21:16:03.783</v>
      </c>
      <c r="H1765" t="s">
        <v>40</v>
      </c>
      <c r="I1765">
        <v>0</v>
      </c>
      <c r="J1765" t="s">
        <v>24</v>
      </c>
    </row>
    <row r="1766" spans="1:10" s="3" customFormat="1" x14ac:dyDescent="0.25">
      <c r="A1766" s="2">
        <v>890</v>
      </c>
      <c r="B1766" s="3" t="s">
        <v>25</v>
      </c>
      <c r="C1766" s="3">
        <v>647</v>
      </c>
      <c r="D1766" s="3">
        <v>1</v>
      </c>
      <c r="E1766" s="3" t="s">
        <v>55</v>
      </c>
      <c r="F1766" s="3" t="s">
        <v>56</v>
      </c>
      <c r="G1766" s="3" t="str">
        <f>"2025-07-23 11:51:07.783"</f>
        <v>2025-07-23 11:51:07.783</v>
      </c>
      <c r="H1766" s="3" t="s">
        <v>21</v>
      </c>
    </row>
    <row r="1767" spans="1:10" s="3" customFormat="1" x14ac:dyDescent="0.25">
      <c r="A1767" s="2">
        <v>891</v>
      </c>
      <c r="B1767" s="3" t="s">
        <v>29</v>
      </c>
      <c r="C1767" s="3">
        <v>647</v>
      </c>
      <c r="D1767" s="3">
        <v>1</v>
      </c>
      <c r="E1767" s="3" t="s">
        <v>55</v>
      </c>
      <c r="F1767" s="3" t="s">
        <v>56</v>
      </c>
      <c r="G1767" s="3" t="str">
        <f>"2025-07-23 11:50:56.783"</f>
        <v>2025-07-23 11:50:56.783</v>
      </c>
      <c r="H1767" s="3" t="s">
        <v>21</v>
      </c>
      <c r="I1767" s="3">
        <v>8.64</v>
      </c>
      <c r="J1767" s="3" t="s">
        <v>54</v>
      </c>
    </row>
    <row r="1768" spans="1:10" x14ac:dyDescent="0.25">
      <c r="A1768" s="1">
        <v>892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"2025-07-22 19:55:01.019"</f>
        <v>2025-07-22 19:55:01.019</v>
      </c>
      <c r="H1768" t="s">
        <v>21</v>
      </c>
    </row>
    <row r="1769" spans="1:10" x14ac:dyDescent="0.25">
      <c r="A1769" s="1">
        <v>893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"2025-07-22 08:40:02.873"</f>
        <v>2025-07-22 08:40:02.873</v>
      </c>
      <c r="H1769" t="s">
        <v>21</v>
      </c>
    </row>
    <row r="1770" spans="1:10" x14ac:dyDescent="0.25">
      <c r="A1770" s="1">
        <v>894</v>
      </c>
      <c r="B1770" t="s">
        <v>41</v>
      </c>
      <c r="C1770">
        <v>33</v>
      </c>
      <c r="D1770">
        <v>1</v>
      </c>
      <c r="E1770" t="s">
        <v>61</v>
      </c>
      <c r="F1770" t="s">
        <v>62</v>
      </c>
      <c r="G1770" t="str">
        <f>"2025-07-20 21:39:36.571"</f>
        <v>2025-07-20 21:39:36.571</v>
      </c>
      <c r="H1770" t="s">
        <v>63</v>
      </c>
    </row>
    <row r="1771" spans="1:10" x14ac:dyDescent="0.25">
      <c r="A1771" s="1">
        <v>895</v>
      </c>
      <c r="B1771" t="s">
        <v>33</v>
      </c>
      <c r="C1771">
        <v>33</v>
      </c>
      <c r="D1771">
        <v>1</v>
      </c>
      <c r="E1771" t="s">
        <v>61</v>
      </c>
      <c r="F1771" t="s">
        <v>62</v>
      </c>
      <c r="G1771" t="str">
        <f>"2025-07-20 21:38:47.570"</f>
        <v>2025-07-20 21:38:47.570</v>
      </c>
      <c r="H1771" t="s">
        <v>63</v>
      </c>
      <c r="I1771">
        <v>10.68</v>
      </c>
      <c r="J1771" t="s">
        <v>42</v>
      </c>
    </row>
    <row r="1772" spans="1:10" s="3" customFormat="1" x14ac:dyDescent="0.25">
      <c r="A1772" s="2">
        <v>896</v>
      </c>
      <c r="B1772" s="3" t="s">
        <v>25</v>
      </c>
      <c r="C1772" s="3">
        <v>647</v>
      </c>
      <c r="D1772" s="3">
        <v>1</v>
      </c>
      <c r="E1772" s="3" t="s">
        <v>55</v>
      </c>
      <c r="F1772" s="3" t="s">
        <v>56</v>
      </c>
      <c r="G1772" s="3" t="str">
        <f>"2025-07-20 14:23:26.818"</f>
        <v>2025-07-20 14:23:26.818</v>
      </c>
      <c r="H1772" s="3" t="s">
        <v>21</v>
      </c>
    </row>
    <row r="1773" spans="1:10" s="3" customFormat="1" x14ac:dyDescent="0.25">
      <c r="A1773" s="2">
        <v>897</v>
      </c>
      <c r="B1773" s="3" t="s">
        <v>29</v>
      </c>
      <c r="C1773" s="3">
        <v>647</v>
      </c>
      <c r="D1773" s="3">
        <v>1</v>
      </c>
      <c r="E1773" s="3" t="s">
        <v>55</v>
      </c>
      <c r="F1773" s="3" t="s">
        <v>56</v>
      </c>
      <c r="G1773" s="3" t="str">
        <f>"2025-07-20 14:23:22.718"</f>
        <v>2025-07-20 14:23:22.718</v>
      </c>
      <c r="H1773" s="3" t="s">
        <v>21</v>
      </c>
      <c r="I1773" s="3">
        <v>8.0500000000000007</v>
      </c>
      <c r="J1773" s="3" t="s">
        <v>54</v>
      </c>
    </row>
    <row r="1774" spans="1:10" s="3" customFormat="1" x14ac:dyDescent="0.25">
      <c r="A1774" s="2">
        <v>899</v>
      </c>
      <c r="B1774" s="3" t="s">
        <v>25</v>
      </c>
      <c r="C1774" s="3">
        <v>647</v>
      </c>
      <c r="D1774" s="3">
        <v>1</v>
      </c>
      <c r="E1774" s="3" t="s">
        <v>55</v>
      </c>
      <c r="F1774" s="3" t="s">
        <v>56</v>
      </c>
      <c r="G1774" s="3" t="str">
        <f>"2025-07-19 12:42:34.208"</f>
        <v>2025-07-19 12:42:34.208</v>
      </c>
      <c r="H1774" s="3" t="s">
        <v>21</v>
      </c>
    </row>
    <row r="1775" spans="1:10" s="3" customFormat="1" x14ac:dyDescent="0.25">
      <c r="A1775" s="2">
        <v>900</v>
      </c>
      <c r="B1775" s="3" t="s">
        <v>29</v>
      </c>
      <c r="C1775" s="3">
        <v>647</v>
      </c>
      <c r="D1775" s="3">
        <v>1</v>
      </c>
      <c r="E1775" s="3" t="s">
        <v>55</v>
      </c>
      <c r="F1775" s="3" t="s">
        <v>56</v>
      </c>
      <c r="G1775" s="3" t="str">
        <f>"2025-07-19 12:42:30.209"</f>
        <v>2025-07-19 12:42:30.209</v>
      </c>
      <c r="H1775" s="3" t="s">
        <v>21</v>
      </c>
      <c r="I1775" s="3">
        <v>8.26</v>
      </c>
      <c r="J1775" s="3" t="s">
        <v>54</v>
      </c>
    </row>
    <row r="1776" spans="1:10" x14ac:dyDescent="0.25">
      <c r="A1776" s="1">
        <v>901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"2025-07-18 22:19:15.951"</f>
        <v>2025-07-18 22:19:15.951</v>
      </c>
      <c r="H1776" t="s">
        <v>21</v>
      </c>
    </row>
    <row r="1777" spans="1:10" x14ac:dyDescent="0.25">
      <c r="A1777" s="1">
        <v>902</v>
      </c>
      <c r="B1777" t="s">
        <v>41</v>
      </c>
      <c r="C1777">
        <v>33</v>
      </c>
      <c r="D1777">
        <v>1</v>
      </c>
      <c r="E1777" t="s">
        <v>61</v>
      </c>
      <c r="F1777" t="s">
        <v>62</v>
      </c>
      <c r="G1777" t="str">
        <f>"2025-07-18 15:20:23.133"</f>
        <v>2025-07-18 15:20:23.133</v>
      </c>
      <c r="H1777" t="s">
        <v>63</v>
      </c>
    </row>
    <row r="1778" spans="1:10" x14ac:dyDescent="0.25">
      <c r="A1778" s="1">
        <v>903</v>
      </c>
      <c r="B1778" t="s">
        <v>33</v>
      </c>
      <c r="C1778">
        <v>33</v>
      </c>
      <c r="D1778">
        <v>1</v>
      </c>
      <c r="E1778" t="s">
        <v>61</v>
      </c>
      <c r="F1778" t="s">
        <v>62</v>
      </c>
      <c r="G1778" t="str">
        <f>"2025-07-18 15:19:10.791"</f>
        <v>2025-07-18 15:19:10.791</v>
      </c>
      <c r="H1778" t="s">
        <v>63</v>
      </c>
      <c r="I1778">
        <v>10.82</v>
      </c>
      <c r="J1778" t="s">
        <v>42</v>
      </c>
    </row>
    <row r="1779" spans="1:10" x14ac:dyDescent="0.25">
      <c r="A1779" s="1">
        <v>904</v>
      </c>
      <c r="B1779" t="s">
        <v>25</v>
      </c>
      <c r="C1779">
        <v>630</v>
      </c>
      <c r="D1779">
        <v>5</v>
      </c>
      <c r="E1779" t="s">
        <v>51</v>
      </c>
      <c r="F1779" t="s">
        <v>52</v>
      </c>
      <c r="G1779" t="str">
        <f>"2025-07-18 10:17:46.633"</f>
        <v>2025-07-18 10:17:46.633</v>
      </c>
      <c r="H1779" t="s">
        <v>40</v>
      </c>
    </row>
    <row r="1780" spans="1:10" x14ac:dyDescent="0.25">
      <c r="A1780" s="1">
        <v>905</v>
      </c>
      <c r="B1780" t="s">
        <v>19</v>
      </c>
      <c r="C1780">
        <v>706</v>
      </c>
      <c r="D1780">
        <v>4</v>
      </c>
      <c r="E1780" t="s">
        <v>22</v>
      </c>
      <c r="F1780" t="s">
        <v>31</v>
      </c>
      <c r="G1780" t="str">
        <f>"2025-07-18 10:17:16.661"</f>
        <v>2025-07-18 10:17:16.661</v>
      </c>
      <c r="H1780" t="s">
        <v>21</v>
      </c>
      <c r="I1780">
        <v>0</v>
      </c>
      <c r="J1780" t="s">
        <v>24</v>
      </c>
    </row>
    <row r="1781" spans="1:10" x14ac:dyDescent="0.25">
      <c r="A1781" s="1">
        <v>906</v>
      </c>
      <c r="B1781" t="s">
        <v>33</v>
      </c>
      <c r="C1781">
        <v>630</v>
      </c>
      <c r="D1781">
        <v>5</v>
      </c>
      <c r="E1781" t="s">
        <v>51</v>
      </c>
      <c r="F1781" t="s">
        <v>52</v>
      </c>
      <c r="G1781" t="str">
        <f>"2025-07-18 10:12:00.633"</f>
        <v>2025-07-18 10:12:00.633</v>
      </c>
      <c r="H1781" t="s">
        <v>40</v>
      </c>
      <c r="I1781">
        <v>0</v>
      </c>
      <c r="J1781" t="s">
        <v>24</v>
      </c>
    </row>
    <row r="1782" spans="1:10" x14ac:dyDescent="0.25">
      <c r="A1782" s="1">
        <v>907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"2025-07-18 10:06:57.881"</f>
        <v>2025-07-18 10:06:57.881</v>
      </c>
      <c r="H1782" t="s">
        <v>21</v>
      </c>
      <c r="I1782">
        <v>0</v>
      </c>
      <c r="J1782" t="s">
        <v>32</v>
      </c>
    </row>
    <row r="1783" spans="1:10" x14ac:dyDescent="0.25">
      <c r="A1783" s="1">
        <v>908</v>
      </c>
      <c r="B1783" t="s">
        <v>33</v>
      </c>
      <c r="C1783">
        <v>630</v>
      </c>
      <c r="D1783">
        <v>5</v>
      </c>
      <c r="E1783" t="s">
        <v>51</v>
      </c>
      <c r="F1783" t="s">
        <v>52</v>
      </c>
      <c r="G1783" t="str">
        <f>"2025-07-18 09:53:06.832"</f>
        <v>2025-07-18 09:53:06.832</v>
      </c>
      <c r="H1783" t="s">
        <v>40</v>
      </c>
      <c r="I1783">
        <v>0</v>
      </c>
      <c r="J1783" t="s">
        <v>24</v>
      </c>
    </row>
    <row r="1784" spans="1:10" x14ac:dyDescent="0.25">
      <c r="A1784" s="1">
        <v>909</v>
      </c>
      <c r="B1784" t="s">
        <v>25</v>
      </c>
      <c r="C1784">
        <v>635</v>
      </c>
      <c r="D1784">
        <v>1</v>
      </c>
      <c r="E1784" t="s">
        <v>45</v>
      </c>
      <c r="F1784" t="s">
        <v>27</v>
      </c>
      <c r="G1784" t="str">
        <f>"2025-07-18 07:18:57.531"</f>
        <v>2025-07-18 07:18:57.531</v>
      </c>
      <c r="H1784" t="s">
        <v>21</v>
      </c>
    </row>
    <row r="1785" spans="1:10" x14ac:dyDescent="0.25">
      <c r="A1785" s="1">
        <v>910</v>
      </c>
      <c r="B1785" t="s">
        <v>29</v>
      </c>
      <c r="C1785">
        <v>635</v>
      </c>
      <c r="D1785">
        <v>1</v>
      </c>
      <c r="E1785" t="s">
        <v>45</v>
      </c>
      <c r="F1785" t="s">
        <v>27</v>
      </c>
      <c r="G1785" t="str">
        <f>"2025-07-18 07:15:24.031"</f>
        <v>2025-07-18 07:15:24.031</v>
      </c>
      <c r="H1785" t="s">
        <v>21</v>
      </c>
      <c r="I1785">
        <v>0</v>
      </c>
      <c r="J1785" t="s">
        <v>37</v>
      </c>
    </row>
    <row r="1786" spans="1:10" s="3" customFormat="1" x14ac:dyDescent="0.25">
      <c r="A1786" s="2">
        <v>911</v>
      </c>
      <c r="B1786" s="3" t="s">
        <v>25</v>
      </c>
      <c r="C1786" s="3">
        <v>647</v>
      </c>
      <c r="D1786" s="3">
        <v>1</v>
      </c>
      <c r="E1786" s="3" t="s">
        <v>55</v>
      </c>
      <c r="F1786" s="3" t="s">
        <v>56</v>
      </c>
      <c r="G1786" s="3" t="str">
        <f>"2025-07-17 08:39:48.032"</f>
        <v>2025-07-17 08:39:48.032</v>
      </c>
      <c r="H1786" s="3" t="s">
        <v>21</v>
      </c>
    </row>
    <row r="1787" spans="1:10" s="3" customFormat="1" x14ac:dyDescent="0.25">
      <c r="A1787" s="2">
        <v>912</v>
      </c>
      <c r="B1787" s="3" t="s">
        <v>29</v>
      </c>
      <c r="C1787" s="3">
        <v>647</v>
      </c>
      <c r="D1787" s="3">
        <v>1</v>
      </c>
      <c r="E1787" s="3" t="s">
        <v>55</v>
      </c>
      <c r="F1787" s="3" t="s">
        <v>56</v>
      </c>
      <c r="G1787" s="3" t="str">
        <f>"2025-07-17 08:39:40.532"</f>
        <v>2025-07-17 08:39:40.532</v>
      </c>
      <c r="H1787" s="3" t="s">
        <v>21</v>
      </c>
      <c r="I1787" s="3">
        <v>21.93</v>
      </c>
      <c r="J1787" s="3" t="s">
        <v>54</v>
      </c>
    </row>
    <row r="1788" spans="1:10" x14ac:dyDescent="0.25">
      <c r="A1788" s="1">
        <v>913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"2025-07-16 22:59:40.959"</f>
        <v>2025-07-16 22:59:40.959</v>
      </c>
      <c r="H1788" t="s">
        <v>21</v>
      </c>
    </row>
    <row r="1789" spans="1:10" x14ac:dyDescent="0.25">
      <c r="A1789" s="1">
        <v>914</v>
      </c>
      <c r="B1789" t="s">
        <v>19</v>
      </c>
      <c r="C1789">
        <v>706</v>
      </c>
      <c r="D1789">
        <v>2</v>
      </c>
      <c r="E1789" t="s">
        <v>22</v>
      </c>
      <c r="F1789" t="s">
        <v>53</v>
      </c>
      <c r="G1789" t="str">
        <f>"2025-07-16 22:45:47.209"</f>
        <v>2025-07-16 22:45:47.209</v>
      </c>
      <c r="H1789" t="s">
        <v>21</v>
      </c>
      <c r="I1789">
        <v>0</v>
      </c>
      <c r="J1789" t="s">
        <v>24</v>
      </c>
    </row>
    <row r="1790" spans="1:10" x14ac:dyDescent="0.25">
      <c r="A1790" s="1">
        <v>915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"2025-07-16 22:45:25.139"</f>
        <v>2025-07-16 22:45:25.139</v>
      </c>
      <c r="H1790" t="s">
        <v>21</v>
      </c>
    </row>
    <row r="1791" spans="1:10" x14ac:dyDescent="0.25">
      <c r="A1791" s="1">
        <v>916</v>
      </c>
      <c r="B1791" t="s">
        <v>33</v>
      </c>
      <c r="C1791">
        <v>630</v>
      </c>
      <c r="D1791">
        <v>5</v>
      </c>
      <c r="E1791" t="s">
        <v>51</v>
      </c>
      <c r="F1791" t="s">
        <v>52</v>
      </c>
      <c r="G1791" t="str">
        <f>"2025-07-16 22:39:56.763"</f>
        <v>2025-07-16 22:39:56.763</v>
      </c>
      <c r="H1791" t="s">
        <v>40</v>
      </c>
      <c r="I1791">
        <v>0</v>
      </c>
      <c r="J1791" t="s">
        <v>24</v>
      </c>
    </row>
    <row r="1792" spans="1:10" x14ac:dyDescent="0.25">
      <c r="A1792" s="1">
        <v>917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"2025-07-16 22:34:53.943"</f>
        <v>2025-07-16 22:34:53.943</v>
      </c>
      <c r="H1792" t="s">
        <v>21</v>
      </c>
      <c r="I1792">
        <v>0</v>
      </c>
      <c r="J1792" t="s">
        <v>32</v>
      </c>
    </row>
    <row r="1793" spans="1:10" x14ac:dyDescent="0.25">
      <c r="A1793" s="1">
        <v>918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"2025-07-16 21:00:28.881"</f>
        <v>2025-07-16 21:00:28.881</v>
      </c>
      <c r="H1793" t="s">
        <v>21</v>
      </c>
      <c r="I1793">
        <v>0</v>
      </c>
      <c r="J1793" t="s">
        <v>32</v>
      </c>
    </row>
    <row r="1794" spans="1:10" x14ac:dyDescent="0.25">
      <c r="A1794" s="1">
        <v>919</v>
      </c>
      <c r="B1794" t="s">
        <v>25</v>
      </c>
      <c r="C1794">
        <v>635</v>
      </c>
      <c r="D1794">
        <v>1</v>
      </c>
      <c r="E1794" t="s">
        <v>45</v>
      </c>
      <c r="F1794" t="s">
        <v>27</v>
      </c>
      <c r="G1794" t="str">
        <f>"2025-07-16 17:31:24.736"</f>
        <v>2025-07-16 17:31:24.736</v>
      </c>
      <c r="H1794" t="s">
        <v>21</v>
      </c>
    </row>
    <row r="1795" spans="1:10" x14ac:dyDescent="0.25">
      <c r="A1795" s="1">
        <v>920</v>
      </c>
      <c r="B1795" t="s">
        <v>29</v>
      </c>
      <c r="C1795">
        <v>635</v>
      </c>
      <c r="D1795">
        <v>1</v>
      </c>
      <c r="E1795" t="s">
        <v>45</v>
      </c>
      <c r="F1795" t="s">
        <v>27</v>
      </c>
      <c r="G1795" t="str">
        <f>"2025-07-16 17:29:52.236"</f>
        <v>2025-07-16 17:29:52.236</v>
      </c>
      <c r="H1795" t="s">
        <v>21</v>
      </c>
      <c r="I1795">
        <v>4.83</v>
      </c>
      <c r="J1795" t="s">
        <v>42</v>
      </c>
    </row>
    <row r="1796" spans="1:10" s="3" customFormat="1" x14ac:dyDescent="0.25">
      <c r="A1796" s="2">
        <v>921</v>
      </c>
      <c r="B1796" s="3" t="s">
        <v>25</v>
      </c>
      <c r="C1796" s="3">
        <v>647</v>
      </c>
      <c r="D1796" s="3">
        <v>1</v>
      </c>
      <c r="E1796" s="3" t="s">
        <v>55</v>
      </c>
      <c r="F1796" s="3" t="s">
        <v>56</v>
      </c>
      <c r="G1796" s="3" t="str">
        <f>"2025-07-15 06:00:36.537"</f>
        <v>2025-07-15 06:00:36.537</v>
      </c>
      <c r="H1796" s="3" t="s">
        <v>21</v>
      </c>
    </row>
    <row r="1797" spans="1:10" s="3" customFormat="1" x14ac:dyDescent="0.25">
      <c r="A1797" s="2">
        <v>922</v>
      </c>
      <c r="B1797" s="3" t="s">
        <v>29</v>
      </c>
      <c r="C1797" s="3">
        <v>647</v>
      </c>
      <c r="D1797" s="3">
        <v>1</v>
      </c>
      <c r="E1797" s="3" t="s">
        <v>55</v>
      </c>
      <c r="F1797" s="3" t="s">
        <v>56</v>
      </c>
      <c r="G1797" s="3" t="str">
        <f>"2025-07-15 06:00:29.837"</f>
        <v>2025-07-15 06:00:29.837</v>
      </c>
      <c r="H1797" s="3" t="s">
        <v>21</v>
      </c>
      <c r="I1797" s="3">
        <v>9.31</v>
      </c>
      <c r="J1797" s="3" t="s">
        <v>54</v>
      </c>
    </row>
    <row r="1798" spans="1:10" x14ac:dyDescent="0.25">
      <c r="A1798" s="1">
        <v>923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"2025-07-14 13:50:24.155"</f>
        <v>2025-07-14 13:50:24.155</v>
      </c>
      <c r="H1798" t="s">
        <v>21</v>
      </c>
      <c r="I1798">
        <v>0</v>
      </c>
      <c r="J1798" t="s">
        <v>32</v>
      </c>
    </row>
    <row r="1799" spans="1:10" s="3" customFormat="1" x14ac:dyDescent="0.25">
      <c r="A1799" s="2">
        <v>924</v>
      </c>
      <c r="B1799" s="3" t="s">
        <v>25</v>
      </c>
      <c r="C1799" s="3">
        <v>647</v>
      </c>
      <c r="D1799" s="3">
        <v>1</v>
      </c>
      <c r="E1799" s="3" t="s">
        <v>55</v>
      </c>
      <c r="F1799" s="3" t="s">
        <v>56</v>
      </c>
      <c r="G1799" s="3" t="str">
        <f>"2025-07-12 23:42:35.766"</f>
        <v>2025-07-12 23:42:35.766</v>
      </c>
      <c r="H1799" s="3" t="s">
        <v>21</v>
      </c>
    </row>
    <row r="1800" spans="1:10" s="3" customFormat="1" x14ac:dyDescent="0.25">
      <c r="A1800" s="2">
        <v>925</v>
      </c>
      <c r="B1800" s="3" t="s">
        <v>29</v>
      </c>
      <c r="C1800" s="3">
        <v>647</v>
      </c>
      <c r="D1800" s="3">
        <v>1</v>
      </c>
      <c r="E1800" s="3" t="s">
        <v>55</v>
      </c>
      <c r="F1800" s="3" t="s">
        <v>56</v>
      </c>
      <c r="G1800" s="3" t="str">
        <f>"2025-07-12 23:42:32.666"</f>
        <v>2025-07-12 23:42:32.666</v>
      </c>
      <c r="H1800" s="3" t="s">
        <v>21</v>
      </c>
      <c r="I1800" s="3">
        <v>8.06</v>
      </c>
      <c r="J1800" s="3" t="s">
        <v>54</v>
      </c>
    </row>
    <row r="1801" spans="1:10" s="3" customFormat="1" x14ac:dyDescent="0.25">
      <c r="A1801" s="2">
        <v>926</v>
      </c>
      <c r="B1801" s="3" t="s">
        <v>25</v>
      </c>
      <c r="C1801" s="3">
        <v>647</v>
      </c>
      <c r="D1801" s="3">
        <v>1</v>
      </c>
      <c r="E1801" s="3" t="s">
        <v>55</v>
      </c>
      <c r="F1801" s="3" t="s">
        <v>56</v>
      </c>
      <c r="G1801" s="3" t="str">
        <f>"2025-07-12 05:42:42.366"</f>
        <v>2025-07-12 05:42:42.366</v>
      </c>
      <c r="H1801" s="3" t="s">
        <v>21</v>
      </c>
    </row>
    <row r="1802" spans="1:10" s="3" customFormat="1" x14ac:dyDescent="0.25">
      <c r="A1802" s="2">
        <v>927</v>
      </c>
      <c r="B1802" s="3" t="s">
        <v>29</v>
      </c>
      <c r="C1802" s="3">
        <v>647</v>
      </c>
      <c r="D1802" s="3">
        <v>1</v>
      </c>
      <c r="E1802" s="3" t="s">
        <v>55</v>
      </c>
      <c r="F1802" s="3" t="s">
        <v>56</v>
      </c>
      <c r="G1802" s="3" t="str">
        <f>"2025-07-12 05:42:37.666"</f>
        <v>2025-07-12 05:42:37.666</v>
      </c>
      <c r="H1802" s="3" t="s">
        <v>21</v>
      </c>
      <c r="I1802" s="3">
        <v>9.9700000000000006</v>
      </c>
      <c r="J1802" s="3" t="s">
        <v>54</v>
      </c>
    </row>
    <row r="1803" spans="1:10" s="3" customFormat="1" x14ac:dyDescent="0.25">
      <c r="A1803" s="2">
        <v>929</v>
      </c>
      <c r="B1803" s="3" t="s">
        <v>25</v>
      </c>
      <c r="C1803" s="3">
        <v>647</v>
      </c>
      <c r="D1803" s="3">
        <v>1</v>
      </c>
      <c r="E1803" s="3" t="s">
        <v>55</v>
      </c>
      <c r="F1803" s="3" t="s">
        <v>56</v>
      </c>
      <c r="G1803" s="3" t="str">
        <f>"2025-07-11 08:13:57.166"</f>
        <v>2025-07-11 08:13:57.166</v>
      </c>
      <c r="H1803" s="3" t="s">
        <v>21</v>
      </c>
    </row>
    <row r="1804" spans="1:10" s="3" customFormat="1" x14ac:dyDescent="0.25">
      <c r="A1804" s="2">
        <v>930</v>
      </c>
      <c r="B1804" s="3" t="s">
        <v>29</v>
      </c>
      <c r="C1804" s="3">
        <v>647</v>
      </c>
      <c r="D1804" s="3">
        <v>1</v>
      </c>
      <c r="E1804" s="3" t="s">
        <v>55</v>
      </c>
      <c r="F1804" s="3" t="s">
        <v>56</v>
      </c>
      <c r="G1804" s="3" t="str">
        <f>"2025-07-11 08:13:49.366"</f>
        <v>2025-07-11 08:13:49.366</v>
      </c>
      <c r="H1804" s="3" t="s">
        <v>21</v>
      </c>
      <c r="I1804" s="3">
        <v>10.38</v>
      </c>
      <c r="J1804" s="3" t="s">
        <v>54</v>
      </c>
    </row>
    <row r="1805" spans="1:10" s="3" customFormat="1" x14ac:dyDescent="0.25">
      <c r="A1805" s="2">
        <v>931</v>
      </c>
      <c r="B1805" s="3" t="s">
        <v>25</v>
      </c>
      <c r="C1805" s="3">
        <v>647</v>
      </c>
      <c r="D1805" s="3">
        <v>1</v>
      </c>
      <c r="E1805" s="3" t="s">
        <v>55</v>
      </c>
      <c r="F1805" s="3" t="s">
        <v>56</v>
      </c>
      <c r="G1805" s="3" t="str">
        <f>"2025-07-11 00:49:02.266"</f>
        <v>2025-07-11 00:49:02.266</v>
      </c>
      <c r="H1805" s="3" t="s">
        <v>21</v>
      </c>
    </row>
    <row r="1806" spans="1:10" s="3" customFormat="1" x14ac:dyDescent="0.25">
      <c r="A1806" s="2">
        <v>932</v>
      </c>
      <c r="B1806" s="3" t="s">
        <v>29</v>
      </c>
      <c r="C1806" s="3">
        <v>647</v>
      </c>
      <c r="D1806" s="3">
        <v>1</v>
      </c>
      <c r="E1806" s="3" t="s">
        <v>55</v>
      </c>
      <c r="F1806" s="3" t="s">
        <v>56</v>
      </c>
      <c r="G1806" s="3" t="str">
        <f>"2025-07-11 00:49:00.166"</f>
        <v>2025-07-11 00:49:00.166</v>
      </c>
      <c r="H1806" s="3" t="s">
        <v>21</v>
      </c>
      <c r="I1806" s="3">
        <v>14.55</v>
      </c>
      <c r="J1806" s="3" t="s">
        <v>54</v>
      </c>
    </row>
    <row r="1807" spans="1:10" s="3" customFormat="1" x14ac:dyDescent="0.25">
      <c r="A1807" s="2">
        <v>933</v>
      </c>
      <c r="B1807" s="3" t="s">
        <v>25</v>
      </c>
      <c r="C1807" s="3">
        <v>647</v>
      </c>
      <c r="D1807" s="3">
        <v>1</v>
      </c>
      <c r="E1807" s="3" t="s">
        <v>55</v>
      </c>
      <c r="F1807" s="3" t="s">
        <v>56</v>
      </c>
      <c r="G1807" s="3" t="str">
        <f>"2025-07-10 16:41:28.966"</f>
        <v>2025-07-10 16:41:28.966</v>
      </c>
      <c r="H1807" s="3" t="s">
        <v>21</v>
      </c>
    </row>
    <row r="1808" spans="1:10" s="3" customFormat="1" x14ac:dyDescent="0.25">
      <c r="A1808" s="2">
        <v>934</v>
      </c>
      <c r="B1808" s="3" t="s">
        <v>29</v>
      </c>
      <c r="C1808" s="3">
        <v>647</v>
      </c>
      <c r="D1808" s="3">
        <v>1</v>
      </c>
      <c r="E1808" s="3" t="s">
        <v>55</v>
      </c>
      <c r="F1808" s="3" t="s">
        <v>56</v>
      </c>
      <c r="G1808" s="3" t="str">
        <f>"2025-07-10 16:41:26.266"</f>
        <v>2025-07-10 16:41:26.266</v>
      </c>
      <c r="H1808" s="3" t="s">
        <v>21</v>
      </c>
      <c r="I1808" s="3">
        <v>11.11</v>
      </c>
      <c r="J1808" s="3" t="s">
        <v>54</v>
      </c>
    </row>
    <row r="1809" spans="1:10" x14ac:dyDescent="0.25">
      <c r="A1809" s="1">
        <v>935</v>
      </c>
      <c r="B1809" t="s">
        <v>25</v>
      </c>
      <c r="C1809">
        <v>635</v>
      </c>
      <c r="D1809">
        <v>1</v>
      </c>
      <c r="E1809" t="s">
        <v>45</v>
      </c>
      <c r="F1809" t="s">
        <v>27</v>
      </c>
      <c r="G1809" t="str">
        <f>"2025-07-10 15:38:29.319"</f>
        <v>2025-07-10 15:38:29.319</v>
      </c>
      <c r="H1809" t="s">
        <v>21</v>
      </c>
    </row>
    <row r="1810" spans="1:10" x14ac:dyDescent="0.25">
      <c r="A1810" s="1">
        <v>936</v>
      </c>
      <c r="B1810" t="s">
        <v>29</v>
      </c>
      <c r="C1810">
        <v>635</v>
      </c>
      <c r="D1810">
        <v>1</v>
      </c>
      <c r="E1810" t="s">
        <v>45</v>
      </c>
      <c r="F1810" t="s">
        <v>27</v>
      </c>
      <c r="G1810" t="str">
        <f>"2025-07-10 15:06:42.819"</f>
        <v>2025-07-10 15:06:42.819</v>
      </c>
      <c r="H1810" t="s">
        <v>21</v>
      </c>
      <c r="I1810">
        <v>2.78</v>
      </c>
      <c r="J1810" t="s">
        <v>42</v>
      </c>
    </row>
    <row r="1811" spans="1:10" s="3" customFormat="1" x14ac:dyDescent="0.25">
      <c r="A1811" s="2">
        <v>938</v>
      </c>
      <c r="B1811" s="3" t="s">
        <v>25</v>
      </c>
      <c r="C1811" s="3">
        <v>647</v>
      </c>
      <c r="D1811" s="3">
        <v>1</v>
      </c>
      <c r="E1811" s="3" t="s">
        <v>55</v>
      </c>
      <c r="F1811" s="3" t="s">
        <v>56</v>
      </c>
      <c r="G1811" s="3" t="str">
        <f>"2025-07-09 20:13:58.766"</f>
        <v>2025-07-09 20:13:58.766</v>
      </c>
      <c r="H1811" s="3" t="s">
        <v>21</v>
      </c>
    </row>
    <row r="1812" spans="1:10" s="3" customFormat="1" x14ac:dyDescent="0.25">
      <c r="A1812" s="2">
        <v>939</v>
      </c>
      <c r="B1812" s="3" t="s">
        <v>29</v>
      </c>
      <c r="C1812" s="3">
        <v>647</v>
      </c>
      <c r="D1812" s="3">
        <v>1</v>
      </c>
      <c r="E1812" s="3" t="s">
        <v>55</v>
      </c>
      <c r="F1812" s="3" t="s">
        <v>56</v>
      </c>
      <c r="G1812" s="3" t="str">
        <f>"2025-07-09 20:13:53.866"</f>
        <v>2025-07-09 20:13:53.866</v>
      </c>
      <c r="H1812" s="3" t="s">
        <v>21</v>
      </c>
      <c r="I1812" s="3">
        <v>10.23</v>
      </c>
      <c r="J1812" s="3" t="s">
        <v>54</v>
      </c>
    </row>
    <row r="1813" spans="1:10" s="3" customFormat="1" x14ac:dyDescent="0.25">
      <c r="A1813" s="2">
        <v>940</v>
      </c>
      <c r="B1813" s="3" t="s">
        <v>25</v>
      </c>
      <c r="C1813" s="3">
        <v>647</v>
      </c>
      <c r="D1813" s="3">
        <v>1</v>
      </c>
      <c r="E1813" s="3" t="s">
        <v>55</v>
      </c>
      <c r="F1813" s="3" t="s">
        <v>56</v>
      </c>
      <c r="G1813" s="3" t="str">
        <f>"2025-07-09 04:35:43.766"</f>
        <v>2025-07-09 04:35:43.766</v>
      </c>
      <c r="H1813" s="3" t="s">
        <v>21</v>
      </c>
    </row>
    <row r="1814" spans="1:10" s="3" customFormat="1" x14ac:dyDescent="0.25">
      <c r="A1814" s="2">
        <v>941</v>
      </c>
      <c r="B1814" s="3" t="s">
        <v>29</v>
      </c>
      <c r="C1814" s="3">
        <v>647</v>
      </c>
      <c r="D1814" s="3">
        <v>1</v>
      </c>
      <c r="E1814" s="3" t="s">
        <v>55</v>
      </c>
      <c r="F1814" s="3" t="s">
        <v>56</v>
      </c>
      <c r="G1814" s="3" t="str">
        <f>"2025-07-09 04:35:39.366"</f>
        <v>2025-07-09 04:35:39.366</v>
      </c>
      <c r="H1814" s="3" t="s">
        <v>21</v>
      </c>
      <c r="I1814" s="3">
        <v>8.2200000000000006</v>
      </c>
      <c r="J1814" s="3" t="s">
        <v>54</v>
      </c>
    </row>
    <row r="1815" spans="1:10" s="3" customFormat="1" x14ac:dyDescent="0.25">
      <c r="A1815" s="2">
        <v>942</v>
      </c>
      <c r="B1815" s="3" t="s">
        <v>25</v>
      </c>
      <c r="C1815" s="3">
        <v>647</v>
      </c>
      <c r="D1815" s="3">
        <v>1</v>
      </c>
      <c r="E1815" s="3" t="s">
        <v>55</v>
      </c>
      <c r="F1815" s="3" t="s">
        <v>56</v>
      </c>
      <c r="G1815" s="3" t="str">
        <f>"2025-07-09 02:02:55.766"</f>
        <v>2025-07-09 02:02:55.766</v>
      </c>
      <c r="H1815" s="3" t="s">
        <v>21</v>
      </c>
    </row>
    <row r="1816" spans="1:10" s="3" customFormat="1" x14ac:dyDescent="0.25">
      <c r="A1816" s="2">
        <v>943</v>
      </c>
      <c r="B1816" s="3" t="s">
        <v>29</v>
      </c>
      <c r="C1816" s="3">
        <v>647</v>
      </c>
      <c r="D1816" s="3">
        <v>1</v>
      </c>
      <c r="E1816" s="3" t="s">
        <v>55</v>
      </c>
      <c r="F1816" s="3" t="s">
        <v>56</v>
      </c>
      <c r="G1816" s="3" t="str">
        <f>"2025-07-09 02:02:52.866"</f>
        <v>2025-07-09 02:02:52.866</v>
      </c>
      <c r="H1816" s="3" t="s">
        <v>21</v>
      </c>
      <c r="I1816" s="3">
        <v>10.02</v>
      </c>
      <c r="J1816" s="3" t="s">
        <v>54</v>
      </c>
    </row>
    <row r="1817" spans="1:10" s="3" customFormat="1" x14ac:dyDescent="0.25">
      <c r="A1817" s="2">
        <v>945</v>
      </c>
      <c r="B1817" s="3" t="s">
        <v>25</v>
      </c>
      <c r="C1817" s="3">
        <v>647</v>
      </c>
      <c r="D1817" s="3">
        <v>1</v>
      </c>
      <c r="E1817" s="3" t="s">
        <v>55</v>
      </c>
      <c r="F1817" s="3" t="s">
        <v>56</v>
      </c>
      <c r="G1817" s="3" t="str">
        <f>"2025-07-07 05:59:29.566"</f>
        <v>2025-07-07 05:59:29.566</v>
      </c>
      <c r="H1817" s="3" t="s">
        <v>21</v>
      </c>
    </row>
    <row r="1818" spans="1:10" s="3" customFormat="1" x14ac:dyDescent="0.25">
      <c r="A1818" s="2">
        <v>946</v>
      </c>
      <c r="B1818" s="3" t="s">
        <v>29</v>
      </c>
      <c r="C1818" s="3">
        <v>647</v>
      </c>
      <c r="D1818" s="3">
        <v>1</v>
      </c>
      <c r="E1818" s="3" t="s">
        <v>55</v>
      </c>
      <c r="F1818" s="3" t="s">
        <v>56</v>
      </c>
      <c r="G1818" s="3" t="str">
        <f>"2025-07-07 05:59:20.066"</f>
        <v>2025-07-07 05:59:20.066</v>
      </c>
      <c r="H1818" s="3" t="s">
        <v>21</v>
      </c>
      <c r="I1818" s="3">
        <v>8.49</v>
      </c>
      <c r="J1818" s="3" t="s">
        <v>54</v>
      </c>
    </row>
    <row r="1819" spans="1:10" s="3" customFormat="1" x14ac:dyDescent="0.25">
      <c r="A1819" s="2">
        <v>947</v>
      </c>
      <c r="B1819" s="3" t="s">
        <v>25</v>
      </c>
      <c r="C1819" s="3">
        <v>647</v>
      </c>
      <c r="D1819" s="3">
        <v>1</v>
      </c>
      <c r="E1819" s="3" t="s">
        <v>55</v>
      </c>
      <c r="F1819" s="3" t="s">
        <v>56</v>
      </c>
      <c r="G1819" s="3" t="str">
        <f>"2025-07-06 20:45:32.366"</f>
        <v>2025-07-06 20:45:32.366</v>
      </c>
      <c r="H1819" s="3" t="s">
        <v>21</v>
      </c>
    </row>
    <row r="1820" spans="1:10" s="3" customFormat="1" x14ac:dyDescent="0.25">
      <c r="A1820" s="2">
        <v>948</v>
      </c>
      <c r="B1820" s="3" t="s">
        <v>29</v>
      </c>
      <c r="C1820" s="3">
        <v>647</v>
      </c>
      <c r="D1820" s="3">
        <v>1</v>
      </c>
      <c r="E1820" s="3" t="s">
        <v>55</v>
      </c>
      <c r="F1820" s="3" t="s">
        <v>56</v>
      </c>
      <c r="G1820" s="3" t="str">
        <f>"2025-07-06 20:45:18.667"</f>
        <v>2025-07-06 20:45:18.667</v>
      </c>
      <c r="H1820" s="3" t="s">
        <v>21</v>
      </c>
      <c r="I1820" s="3">
        <v>14.75</v>
      </c>
      <c r="J1820" s="3" t="s">
        <v>54</v>
      </c>
    </row>
    <row r="1821" spans="1:10" x14ac:dyDescent="0.25">
      <c r="A1821" s="1">
        <v>949</v>
      </c>
      <c r="B1821" t="s">
        <v>25</v>
      </c>
      <c r="C1821">
        <v>98</v>
      </c>
      <c r="D1821">
        <v>1</v>
      </c>
      <c r="E1821" t="s">
        <v>64</v>
      </c>
      <c r="F1821" t="s">
        <v>65</v>
      </c>
      <c r="G1821" t="str">
        <f>"2025-07-06 11:27:37.959"</f>
        <v>2025-07-06 11:27:37.959</v>
      </c>
      <c r="H1821" t="s">
        <v>21</v>
      </c>
    </row>
    <row r="1822" spans="1:10" x14ac:dyDescent="0.25">
      <c r="A1822" s="1">
        <v>950</v>
      </c>
      <c r="B1822" t="s">
        <v>29</v>
      </c>
      <c r="C1822">
        <v>98</v>
      </c>
      <c r="D1822">
        <v>1</v>
      </c>
      <c r="E1822" t="s">
        <v>64</v>
      </c>
      <c r="F1822" t="s">
        <v>65</v>
      </c>
      <c r="G1822" t="str">
        <f>"2025-07-06 11:27:36.960"</f>
        <v>2025-07-06 11:27:36.960</v>
      </c>
      <c r="H1822" t="s">
        <v>21</v>
      </c>
      <c r="I1822">
        <v>0</v>
      </c>
      <c r="J1822" t="s">
        <v>37</v>
      </c>
    </row>
    <row r="1823" spans="1:10" x14ac:dyDescent="0.25">
      <c r="A1823" s="1">
        <v>951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"2025-07-06 11:27:07.858"</f>
        <v>2025-07-06 11:27:07.858</v>
      </c>
      <c r="H1823" t="s">
        <v>21</v>
      </c>
    </row>
    <row r="1824" spans="1:10" x14ac:dyDescent="0.25">
      <c r="A1824" s="1">
        <v>952</v>
      </c>
      <c r="B1824" t="s">
        <v>25</v>
      </c>
      <c r="C1824">
        <v>630</v>
      </c>
      <c r="D1824">
        <v>5</v>
      </c>
      <c r="E1824" t="s">
        <v>51</v>
      </c>
      <c r="F1824" t="s">
        <v>52</v>
      </c>
      <c r="G1824" t="str">
        <f>"2025-07-06 10:46:59.722"</f>
        <v>2025-07-06 10:46:59.722</v>
      </c>
      <c r="H1824" t="s">
        <v>40</v>
      </c>
    </row>
    <row r="1825" spans="1:10" x14ac:dyDescent="0.25">
      <c r="A1825" s="1">
        <v>953</v>
      </c>
      <c r="B1825" t="s">
        <v>19</v>
      </c>
      <c r="C1825">
        <v>706</v>
      </c>
      <c r="D1825">
        <v>4</v>
      </c>
      <c r="E1825" t="s">
        <v>22</v>
      </c>
      <c r="F1825" t="s">
        <v>31</v>
      </c>
      <c r="G1825" t="str">
        <f>"2025-07-06 10:46:29.671"</f>
        <v>2025-07-06 10:46:29.671</v>
      </c>
      <c r="H1825" t="s">
        <v>21</v>
      </c>
      <c r="I1825">
        <v>0</v>
      </c>
      <c r="J1825" t="s">
        <v>24</v>
      </c>
    </row>
    <row r="1826" spans="1:10" x14ac:dyDescent="0.25">
      <c r="A1826" s="1">
        <v>954</v>
      </c>
      <c r="B1826" t="s">
        <v>33</v>
      </c>
      <c r="C1826">
        <v>630</v>
      </c>
      <c r="D1826">
        <v>5</v>
      </c>
      <c r="E1826" t="s">
        <v>51</v>
      </c>
      <c r="F1826" t="s">
        <v>52</v>
      </c>
      <c r="G1826" t="str">
        <f>"2025-07-06 10:43:11.722"</f>
        <v>2025-07-06 10:43:11.722</v>
      </c>
      <c r="H1826" t="s">
        <v>40</v>
      </c>
      <c r="I1826">
        <v>0</v>
      </c>
      <c r="J1826" t="s">
        <v>24</v>
      </c>
    </row>
    <row r="1827" spans="1:10" x14ac:dyDescent="0.25">
      <c r="A1827" s="1">
        <v>955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"2025-07-06 10:38:08.991"</f>
        <v>2025-07-06 10:38:08.991</v>
      </c>
      <c r="H1827" t="s">
        <v>21</v>
      </c>
      <c r="I1827">
        <v>0</v>
      </c>
      <c r="J1827" t="s">
        <v>32</v>
      </c>
    </row>
    <row r="1828" spans="1:10" x14ac:dyDescent="0.25">
      <c r="A1828" s="1">
        <v>956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"2025-07-06 09:32:59.127"</f>
        <v>2025-07-06 09:32:59.127</v>
      </c>
      <c r="H1828" t="s">
        <v>21</v>
      </c>
      <c r="I1828">
        <v>0</v>
      </c>
      <c r="J1828" t="s">
        <v>32</v>
      </c>
    </row>
    <row r="1829" spans="1:10" x14ac:dyDescent="0.25">
      <c r="A1829" s="1">
        <v>957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"2025-07-06 09:30:17.102"</f>
        <v>2025-07-06 09:30:17.102</v>
      </c>
      <c r="H1829" t="s">
        <v>21</v>
      </c>
    </row>
    <row r="1830" spans="1:10" x14ac:dyDescent="0.25">
      <c r="A1830" s="1">
        <v>958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"2025-07-06 09:28:55.227"</f>
        <v>2025-07-06 09:28:55.227</v>
      </c>
      <c r="H1830" t="s">
        <v>21</v>
      </c>
    </row>
    <row r="1831" spans="1:10" s="3" customFormat="1" x14ac:dyDescent="0.25">
      <c r="A1831" s="2">
        <v>959</v>
      </c>
      <c r="B1831" s="3" t="s">
        <v>25</v>
      </c>
      <c r="C1831" s="3">
        <v>647</v>
      </c>
      <c r="D1831" s="3">
        <v>1</v>
      </c>
      <c r="E1831" s="3" t="s">
        <v>55</v>
      </c>
      <c r="F1831" s="3" t="s">
        <v>56</v>
      </c>
      <c r="G1831" s="3" t="str">
        <f>"2025-07-06 07:10:01.418"</f>
        <v>2025-07-06 07:10:01.418</v>
      </c>
      <c r="H1831" s="3" t="s">
        <v>21</v>
      </c>
    </row>
    <row r="1832" spans="1:10" s="3" customFormat="1" x14ac:dyDescent="0.25">
      <c r="A1832" s="2">
        <v>960</v>
      </c>
      <c r="B1832" s="3" t="s">
        <v>29</v>
      </c>
      <c r="C1832" s="3">
        <v>647</v>
      </c>
      <c r="D1832" s="3">
        <v>1</v>
      </c>
      <c r="E1832" s="3" t="s">
        <v>55</v>
      </c>
      <c r="F1832" s="3" t="s">
        <v>56</v>
      </c>
      <c r="G1832" s="3" t="str">
        <f>"2025-07-06 07:09:58.318"</f>
        <v>2025-07-06 07:09:58.318</v>
      </c>
      <c r="H1832" s="3" t="s">
        <v>21</v>
      </c>
      <c r="I1832" s="3">
        <v>19.600000000000001</v>
      </c>
      <c r="J1832" s="3" t="s">
        <v>54</v>
      </c>
    </row>
    <row r="1833" spans="1:10" s="3" customFormat="1" x14ac:dyDescent="0.25">
      <c r="A1833" s="2">
        <v>961</v>
      </c>
      <c r="B1833" s="3" t="s">
        <v>25</v>
      </c>
      <c r="C1833" s="3">
        <v>647</v>
      </c>
      <c r="D1833" s="3">
        <v>1</v>
      </c>
      <c r="E1833" s="3" t="s">
        <v>55</v>
      </c>
      <c r="F1833" s="3" t="s">
        <v>56</v>
      </c>
      <c r="G1833" s="3" t="str">
        <f>"2025-07-06 06:17:02.718"</f>
        <v>2025-07-06 06:17:02.718</v>
      </c>
      <c r="H1833" s="3" t="s">
        <v>21</v>
      </c>
    </row>
    <row r="1834" spans="1:10" s="3" customFormat="1" x14ac:dyDescent="0.25">
      <c r="A1834" s="2">
        <v>962</v>
      </c>
      <c r="B1834" s="3" t="s">
        <v>29</v>
      </c>
      <c r="C1834" s="3">
        <v>647</v>
      </c>
      <c r="D1834" s="3">
        <v>1</v>
      </c>
      <c r="E1834" s="3" t="s">
        <v>55</v>
      </c>
      <c r="F1834" s="3" t="s">
        <v>56</v>
      </c>
      <c r="G1834" s="3" t="str">
        <f>"2025-07-06 06:17:01.018"</f>
        <v>2025-07-06 06:17:01.018</v>
      </c>
      <c r="H1834" s="3" t="s">
        <v>21</v>
      </c>
      <c r="I1834" s="3">
        <v>9.84</v>
      </c>
      <c r="J1834" s="3" t="s">
        <v>37</v>
      </c>
    </row>
    <row r="1835" spans="1:10" s="3" customFormat="1" x14ac:dyDescent="0.25">
      <c r="A1835" s="2">
        <v>963</v>
      </c>
      <c r="B1835" s="3" t="s">
        <v>25</v>
      </c>
      <c r="C1835" s="3">
        <v>647</v>
      </c>
      <c r="D1835" s="3">
        <v>1</v>
      </c>
      <c r="E1835" s="3" t="s">
        <v>55</v>
      </c>
      <c r="F1835" s="3" t="s">
        <v>56</v>
      </c>
      <c r="G1835" s="3" t="str">
        <f>"2025-07-05 23:31:14.518"</f>
        <v>2025-07-05 23:31:14.518</v>
      </c>
      <c r="H1835" s="3" t="s">
        <v>21</v>
      </c>
    </row>
    <row r="1836" spans="1:10" s="3" customFormat="1" x14ac:dyDescent="0.25">
      <c r="A1836" s="2">
        <v>964</v>
      </c>
      <c r="B1836" s="3" t="s">
        <v>29</v>
      </c>
      <c r="C1836" s="3">
        <v>647</v>
      </c>
      <c r="D1836" s="3">
        <v>1</v>
      </c>
      <c r="E1836" s="3" t="s">
        <v>55</v>
      </c>
      <c r="F1836" s="3" t="s">
        <v>56</v>
      </c>
      <c r="G1836" s="3" t="str">
        <f>"2025-07-05 23:31:08.518"</f>
        <v>2025-07-05 23:31:08.518</v>
      </c>
      <c r="H1836" s="3" t="s">
        <v>21</v>
      </c>
      <c r="I1836" s="3">
        <v>10.61</v>
      </c>
      <c r="J1836" s="3" t="s">
        <v>54</v>
      </c>
    </row>
    <row r="1837" spans="1:10" s="3" customFormat="1" x14ac:dyDescent="0.25">
      <c r="A1837" s="2">
        <v>965</v>
      </c>
      <c r="B1837" s="3" t="s">
        <v>25</v>
      </c>
      <c r="C1837" s="3">
        <v>647</v>
      </c>
      <c r="D1837" s="3">
        <v>1</v>
      </c>
      <c r="E1837" s="3" t="s">
        <v>55</v>
      </c>
      <c r="F1837" s="3" t="s">
        <v>56</v>
      </c>
      <c r="G1837" s="3" t="str">
        <f>"2025-07-05 22:46:58.718"</f>
        <v>2025-07-05 22:46:58.718</v>
      </c>
      <c r="H1837" s="3" t="s">
        <v>21</v>
      </c>
    </row>
    <row r="1838" spans="1:10" s="3" customFormat="1" x14ac:dyDescent="0.25">
      <c r="A1838" s="2">
        <v>966</v>
      </c>
      <c r="B1838" s="3" t="s">
        <v>29</v>
      </c>
      <c r="C1838" s="3">
        <v>647</v>
      </c>
      <c r="D1838" s="3">
        <v>1</v>
      </c>
      <c r="E1838" s="3" t="s">
        <v>55</v>
      </c>
      <c r="F1838" s="3" t="s">
        <v>56</v>
      </c>
      <c r="G1838" s="3" t="str">
        <f>"2025-07-05 22:46:55.018"</f>
        <v>2025-07-05 22:46:55.018</v>
      </c>
      <c r="H1838" s="3" t="s">
        <v>21</v>
      </c>
      <c r="I1838" s="3">
        <v>10.64</v>
      </c>
      <c r="J1838" s="3" t="s">
        <v>54</v>
      </c>
    </row>
    <row r="1839" spans="1:10" s="3" customFormat="1" x14ac:dyDescent="0.25">
      <c r="A1839" s="2">
        <v>967</v>
      </c>
      <c r="B1839" s="3" t="s">
        <v>25</v>
      </c>
      <c r="C1839" s="3">
        <v>647</v>
      </c>
      <c r="D1839" s="3">
        <v>1</v>
      </c>
      <c r="E1839" s="3" t="s">
        <v>55</v>
      </c>
      <c r="F1839" s="3" t="s">
        <v>56</v>
      </c>
      <c r="G1839" s="3" t="str">
        <f>"2025-07-05 19:47:30.418"</f>
        <v>2025-07-05 19:47:30.418</v>
      </c>
      <c r="H1839" s="3" t="s">
        <v>21</v>
      </c>
    </row>
    <row r="1840" spans="1:10" s="3" customFormat="1" x14ac:dyDescent="0.25">
      <c r="A1840" s="2">
        <v>968</v>
      </c>
      <c r="B1840" s="3" t="s">
        <v>29</v>
      </c>
      <c r="C1840" s="3">
        <v>647</v>
      </c>
      <c r="D1840" s="3">
        <v>1</v>
      </c>
      <c r="E1840" s="3" t="s">
        <v>55</v>
      </c>
      <c r="F1840" s="3" t="s">
        <v>56</v>
      </c>
      <c r="G1840" s="3" t="str">
        <f>"2025-07-05 19:47:28.518"</f>
        <v>2025-07-05 19:47:28.518</v>
      </c>
      <c r="H1840" s="3" t="s">
        <v>21</v>
      </c>
      <c r="I1840" s="3">
        <v>22.54</v>
      </c>
      <c r="J1840" s="3" t="s">
        <v>54</v>
      </c>
    </row>
    <row r="1841" spans="1:10" s="3" customFormat="1" x14ac:dyDescent="0.25">
      <c r="A1841" s="2">
        <v>969</v>
      </c>
      <c r="B1841" s="3" t="s">
        <v>25</v>
      </c>
      <c r="C1841" s="3">
        <v>647</v>
      </c>
      <c r="D1841" s="3">
        <v>1</v>
      </c>
      <c r="E1841" s="3" t="s">
        <v>55</v>
      </c>
      <c r="F1841" s="3" t="s">
        <v>56</v>
      </c>
      <c r="G1841" s="3" t="str">
        <f>"2025-07-05 19:47:23.618"</f>
        <v>2025-07-05 19:47:23.618</v>
      </c>
      <c r="H1841" s="3" t="s">
        <v>21</v>
      </c>
    </row>
    <row r="1842" spans="1:10" s="3" customFormat="1" x14ac:dyDescent="0.25">
      <c r="A1842" s="2">
        <v>970</v>
      </c>
      <c r="B1842" s="3" t="s">
        <v>29</v>
      </c>
      <c r="C1842" s="3">
        <v>647</v>
      </c>
      <c r="D1842" s="3">
        <v>1</v>
      </c>
      <c r="E1842" s="3" t="s">
        <v>55</v>
      </c>
      <c r="F1842" s="3" t="s">
        <v>56</v>
      </c>
      <c r="G1842" s="3" t="str">
        <f>"2025-07-05 19:47:14.719"</f>
        <v>2025-07-05 19:47:14.719</v>
      </c>
      <c r="H1842" s="3" t="s">
        <v>21</v>
      </c>
      <c r="I1842" s="3">
        <v>20.53</v>
      </c>
      <c r="J1842" s="3" t="s">
        <v>54</v>
      </c>
    </row>
    <row r="1843" spans="1:10" x14ac:dyDescent="0.25">
      <c r="A1843" s="1">
        <v>971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"2025-07-05 00:57:08.839"</f>
        <v>2025-07-05 00:57:08.839</v>
      </c>
      <c r="H1843" t="s">
        <v>21</v>
      </c>
      <c r="I1843">
        <v>0</v>
      </c>
      <c r="J1843" t="s">
        <v>32</v>
      </c>
    </row>
    <row r="1844" spans="1:10" x14ac:dyDescent="0.25">
      <c r="A1844" s="1">
        <v>972</v>
      </c>
      <c r="B1844" t="s">
        <v>19</v>
      </c>
      <c r="C1844">
        <v>706</v>
      </c>
      <c r="D1844">
        <v>3</v>
      </c>
      <c r="E1844" t="s">
        <v>22</v>
      </c>
      <c r="F1844" t="s">
        <v>23</v>
      </c>
      <c r="G1844" t="str">
        <f>"2025-07-05 00:54:55.290"</f>
        <v>2025-07-05 00:54:55.290</v>
      </c>
      <c r="H1844" t="s">
        <v>21</v>
      </c>
      <c r="I1844">
        <v>0</v>
      </c>
      <c r="J1844" t="s">
        <v>30</v>
      </c>
    </row>
    <row r="1845" spans="1:10" x14ac:dyDescent="0.25">
      <c r="A1845" s="1">
        <v>973</v>
      </c>
      <c r="B1845" t="s">
        <v>19</v>
      </c>
      <c r="C1845">
        <v>706</v>
      </c>
      <c r="D1845">
        <v>4</v>
      </c>
      <c r="E1845" t="s">
        <v>22</v>
      </c>
      <c r="F1845" t="s">
        <v>31</v>
      </c>
      <c r="G1845" t="str">
        <f>"2025-07-05 00:54:08.010"</f>
        <v>2025-07-05 00:54:08.010</v>
      </c>
      <c r="H1845" t="s">
        <v>21</v>
      </c>
      <c r="I1845">
        <v>0</v>
      </c>
      <c r="J1845" t="s">
        <v>30</v>
      </c>
    </row>
    <row r="1846" spans="1:10" x14ac:dyDescent="0.25">
      <c r="A1846" s="1">
        <v>974</v>
      </c>
      <c r="B1846" t="s">
        <v>33</v>
      </c>
      <c r="C1846">
        <v>630</v>
      </c>
      <c r="D1846">
        <v>5</v>
      </c>
      <c r="E1846" t="s">
        <v>51</v>
      </c>
      <c r="F1846" t="s">
        <v>52</v>
      </c>
      <c r="G1846" t="str">
        <f>"2025-07-05 00:49:42.594"</f>
        <v>2025-07-05 00:49:42.594</v>
      </c>
      <c r="H1846" t="s">
        <v>40</v>
      </c>
      <c r="I1846">
        <v>0</v>
      </c>
      <c r="J1846" t="s">
        <v>30</v>
      </c>
    </row>
    <row r="1847" spans="1:10" x14ac:dyDescent="0.25">
      <c r="A1847" s="1">
        <v>975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"2025-07-05 00:44:08.110"</f>
        <v>2025-07-05 00:44:08.110</v>
      </c>
      <c r="H1847" t="s">
        <v>21</v>
      </c>
      <c r="I1847">
        <v>0</v>
      </c>
      <c r="J1847" t="s">
        <v>32</v>
      </c>
    </row>
    <row r="1848" spans="1:10" x14ac:dyDescent="0.25">
      <c r="A1848" s="1">
        <v>976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"2025-07-05 00:41:19.109"</f>
        <v>2025-07-05 00:41:19.109</v>
      </c>
      <c r="H1848" t="s">
        <v>21</v>
      </c>
      <c r="I1848">
        <v>0</v>
      </c>
      <c r="J1848" t="s">
        <v>32</v>
      </c>
    </row>
    <row r="1849" spans="1:10" x14ac:dyDescent="0.25">
      <c r="A1849" s="1">
        <v>977</v>
      </c>
      <c r="B1849" t="s">
        <v>19</v>
      </c>
      <c r="C1849">
        <v>700</v>
      </c>
      <c r="D1849">
        <v>0</v>
      </c>
      <c r="E1849" t="s">
        <v>20</v>
      </c>
      <c r="F1849" t="s">
        <v>20</v>
      </c>
      <c r="G1849" t="str">
        <f>"2025-07-05 00:35:05.084"</f>
        <v>2025-07-05 00:35:05.084</v>
      </c>
      <c r="H1849" t="s">
        <v>21</v>
      </c>
      <c r="I1849">
        <v>0</v>
      </c>
      <c r="J1849" t="s">
        <v>32</v>
      </c>
    </row>
    <row r="1850" spans="1:10" x14ac:dyDescent="0.25">
      <c r="A1850" s="1">
        <v>978</v>
      </c>
      <c r="B1850" t="s">
        <v>19</v>
      </c>
      <c r="C1850">
        <v>706</v>
      </c>
      <c r="D1850">
        <v>2</v>
      </c>
      <c r="E1850" t="s">
        <v>22</v>
      </c>
      <c r="F1850" t="s">
        <v>53</v>
      </c>
      <c r="G1850" t="str">
        <f>"2025-07-05 00:32:58.130"</f>
        <v>2025-07-05 00:32:58.130</v>
      </c>
      <c r="H1850" t="s">
        <v>21</v>
      </c>
      <c r="I1850">
        <v>0</v>
      </c>
      <c r="J1850" t="s">
        <v>30</v>
      </c>
    </row>
    <row r="1851" spans="1:10" x14ac:dyDescent="0.25">
      <c r="A1851" s="1">
        <v>979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"2025-07-04 13:13:43.850"</f>
        <v>2025-07-04 13:13:43.850</v>
      </c>
      <c r="H1851" t="s">
        <v>21</v>
      </c>
      <c r="I1851">
        <v>0</v>
      </c>
      <c r="J1851" t="s">
        <v>32</v>
      </c>
    </row>
    <row r="1852" spans="1:10" x14ac:dyDescent="0.25">
      <c r="A1852" s="1">
        <v>980</v>
      </c>
      <c r="B1852" t="s">
        <v>19</v>
      </c>
      <c r="C1852">
        <v>706</v>
      </c>
      <c r="D1852">
        <v>2</v>
      </c>
      <c r="E1852" t="s">
        <v>22</v>
      </c>
      <c r="F1852" t="s">
        <v>53</v>
      </c>
      <c r="G1852" t="str">
        <f>"2025-07-04 12:33:23.348"</f>
        <v>2025-07-04 12:33:23.348</v>
      </c>
      <c r="H1852" t="s">
        <v>21</v>
      </c>
      <c r="I1852">
        <v>0</v>
      </c>
      <c r="J1852" t="s">
        <v>24</v>
      </c>
    </row>
    <row r="1853" spans="1:10" x14ac:dyDescent="0.25">
      <c r="A1853" s="1">
        <v>981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"2025-07-04 12:33:07.868"</f>
        <v>2025-07-04 12:33:07.868</v>
      </c>
      <c r="H1853" t="s">
        <v>21</v>
      </c>
    </row>
    <row r="1854" spans="1:10" s="3" customFormat="1" x14ac:dyDescent="0.25">
      <c r="A1854" s="2">
        <v>982</v>
      </c>
      <c r="B1854" s="3" t="s">
        <v>25</v>
      </c>
      <c r="C1854" s="3">
        <v>647</v>
      </c>
      <c r="D1854" s="3">
        <v>1</v>
      </c>
      <c r="E1854" s="3" t="s">
        <v>55</v>
      </c>
      <c r="F1854" s="3" t="s">
        <v>56</v>
      </c>
      <c r="G1854" s="3" t="str">
        <f>"2025-07-03 10:38:03.823"</f>
        <v>2025-07-03 10:38:03.823</v>
      </c>
      <c r="H1854" s="3" t="s">
        <v>21</v>
      </c>
    </row>
    <row r="1855" spans="1:10" s="3" customFormat="1" x14ac:dyDescent="0.25">
      <c r="A1855" s="2">
        <v>983</v>
      </c>
      <c r="B1855" s="3" t="s">
        <v>29</v>
      </c>
      <c r="C1855" s="3">
        <v>647</v>
      </c>
      <c r="D1855" s="3">
        <v>1</v>
      </c>
      <c r="E1855" s="3" t="s">
        <v>55</v>
      </c>
      <c r="F1855" s="3" t="s">
        <v>56</v>
      </c>
      <c r="G1855" s="3" t="str">
        <f>"2025-07-03 10:37:55.323"</f>
        <v>2025-07-03 10:37:55.323</v>
      </c>
      <c r="H1855" s="3" t="s">
        <v>21</v>
      </c>
      <c r="I1855" s="3">
        <v>10.67</v>
      </c>
      <c r="J1855" s="3" t="s">
        <v>54</v>
      </c>
    </row>
    <row r="1856" spans="1:10" x14ac:dyDescent="0.25">
      <c r="A1856" s="1">
        <v>984</v>
      </c>
      <c r="B1856" t="s">
        <v>25</v>
      </c>
      <c r="C1856">
        <v>630</v>
      </c>
      <c r="D1856">
        <v>5</v>
      </c>
      <c r="E1856" t="s">
        <v>51</v>
      </c>
      <c r="F1856" t="s">
        <v>52</v>
      </c>
      <c r="G1856" t="str">
        <f>"2025-07-03 09:36:05.723"</f>
        <v>2025-07-03 09:36:05.723</v>
      </c>
      <c r="H1856" t="s">
        <v>40</v>
      </c>
    </row>
    <row r="1857" spans="1:10" x14ac:dyDescent="0.25">
      <c r="A1857" s="1">
        <v>985</v>
      </c>
      <c r="B1857" t="s">
        <v>19</v>
      </c>
      <c r="C1857">
        <v>706</v>
      </c>
      <c r="D1857">
        <v>2</v>
      </c>
      <c r="E1857" t="s">
        <v>22</v>
      </c>
      <c r="F1857" t="s">
        <v>53</v>
      </c>
      <c r="G1857" t="str">
        <f>"2025-07-03 09:35:35.565"</f>
        <v>2025-07-03 09:35:35.565</v>
      </c>
      <c r="H1857" t="s">
        <v>21</v>
      </c>
      <c r="I1857">
        <v>0</v>
      </c>
      <c r="J1857" t="s">
        <v>24</v>
      </c>
    </row>
    <row r="1858" spans="1:10" x14ac:dyDescent="0.25">
      <c r="A1858" s="1">
        <v>986</v>
      </c>
      <c r="B1858" t="s">
        <v>33</v>
      </c>
      <c r="C1858">
        <v>630</v>
      </c>
      <c r="D1858">
        <v>5</v>
      </c>
      <c r="E1858" t="s">
        <v>51</v>
      </c>
      <c r="F1858" t="s">
        <v>52</v>
      </c>
      <c r="G1858" t="str">
        <f>"2025-07-03 09:30:51.823"</f>
        <v>2025-07-03 09:30:51.823</v>
      </c>
      <c r="H1858" t="s">
        <v>40</v>
      </c>
      <c r="I1858">
        <v>0</v>
      </c>
      <c r="J1858" t="s">
        <v>24</v>
      </c>
    </row>
    <row r="1859" spans="1:10" s="3" customFormat="1" x14ac:dyDescent="0.25">
      <c r="A1859" s="2">
        <v>987</v>
      </c>
      <c r="B1859" s="3" t="s">
        <v>25</v>
      </c>
      <c r="C1859" s="3">
        <v>647</v>
      </c>
      <c r="D1859" s="3">
        <v>1</v>
      </c>
      <c r="E1859" s="3" t="s">
        <v>55</v>
      </c>
      <c r="F1859" s="3" t="s">
        <v>56</v>
      </c>
      <c r="G1859" s="3" t="str">
        <f>"2025-07-02 09:09:25.823"</f>
        <v>2025-07-02 09:09:25.823</v>
      </c>
      <c r="H1859" s="3" t="s">
        <v>21</v>
      </c>
    </row>
    <row r="1860" spans="1:10" s="3" customFormat="1" x14ac:dyDescent="0.25">
      <c r="A1860" s="2">
        <v>988</v>
      </c>
      <c r="B1860" s="3" t="s">
        <v>29</v>
      </c>
      <c r="C1860" s="3">
        <v>647</v>
      </c>
      <c r="D1860" s="3">
        <v>1</v>
      </c>
      <c r="E1860" s="3" t="s">
        <v>55</v>
      </c>
      <c r="F1860" s="3" t="s">
        <v>56</v>
      </c>
      <c r="G1860" s="3" t="str">
        <f>"2025-07-02 09:09:24.323"</f>
        <v>2025-07-02 09:09:24.323</v>
      </c>
      <c r="H1860" s="3" t="s">
        <v>21</v>
      </c>
      <c r="I1860" s="3">
        <v>14.81</v>
      </c>
      <c r="J1860" s="3" t="s">
        <v>54</v>
      </c>
    </row>
    <row r="1861" spans="1:10" s="3" customFormat="1" x14ac:dyDescent="0.25">
      <c r="A1861" s="2">
        <v>989</v>
      </c>
      <c r="B1861" s="3" t="s">
        <v>25</v>
      </c>
      <c r="C1861" s="3">
        <v>647</v>
      </c>
      <c r="D1861" s="3">
        <v>1</v>
      </c>
      <c r="E1861" s="3" t="s">
        <v>55</v>
      </c>
      <c r="F1861" s="3" t="s">
        <v>56</v>
      </c>
      <c r="G1861" s="3" t="str">
        <f>"2025-07-02 04:53:50.323"</f>
        <v>2025-07-02 04:53:50.323</v>
      </c>
      <c r="H1861" s="3" t="s">
        <v>21</v>
      </c>
    </row>
    <row r="1862" spans="1:10" s="3" customFormat="1" x14ac:dyDescent="0.25">
      <c r="A1862" s="2">
        <v>990</v>
      </c>
      <c r="B1862" s="3" t="s">
        <v>29</v>
      </c>
      <c r="C1862" s="3">
        <v>647</v>
      </c>
      <c r="D1862" s="3">
        <v>1</v>
      </c>
      <c r="E1862" s="3" t="s">
        <v>55</v>
      </c>
      <c r="F1862" s="3" t="s">
        <v>56</v>
      </c>
      <c r="G1862" s="3" t="str">
        <f>"2025-07-02 04:53:44.423"</f>
        <v>2025-07-02 04:53:44.423</v>
      </c>
      <c r="H1862" s="3" t="s">
        <v>21</v>
      </c>
      <c r="I1862" s="3">
        <v>10.86</v>
      </c>
      <c r="J1862" s="3" t="s">
        <v>54</v>
      </c>
    </row>
    <row r="1863" spans="1:10" s="3" customFormat="1" x14ac:dyDescent="0.25">
      <c r="A1863" s="2">
        <v>991</v>
      </c>
      <c r="B1863" s="3" t="s">
        <v>25</v>
      </c>
      <c r="C1863" s="3">
        <v>647</v>
      </c>
      <c r="D1863" s="3">
        <v>1</v>
      </c>
      <c r="E1863" s="3" t="s">
        <v>55</v>
      </c>
      <c r="F1863" s="3" t="s">
        <v>56</v>
      </c>
      <c r="G1863" s="3" t="str">
        <f>"2025-07-02 01:36:21.623"</f>
        <v>2025-07-02 01:36:21.623</v>
      </c>
      <c r="H1863" s="3" t="s">
        <v>21</v>
      </c>
    </row>
    <row r="1864" spans="1:10" s="3" customFormat="1" x14ac:dyDescent="0.25">
      <c r="A1864" s="2">
        <v>992</v>
      </c>
      <c r="B1864" s="3" t="s">
        <v>29</v>
      </c>
      <c r="C1864" s="3">
        <v>647</v>
      </c>
      <c r="D1864" s="3">
        <v>1</v>
      </c>
      <c r="E1864" s="3" t="s">
        <v>55</v>
      </c>
      <c r="F1864" s="3" t="s">
        <v>56</v>
      </c>
      <c r="G1864" s="3" t="str">
        <f>"2025-07-02 01:36:17.723"</f>
        <v>2025-07-02 01:36:17.723</v>
      </c>
      <c r="H1864" s="3" t="s">
        <v>21</v>
      </c>
      <c r="I1864" s="3">
        <v>9.06</v>
      </c>
      <c r="J1864" s="3" t="s">
        <v>54</v>
      </c>
    </row>
    <row r="1865" spans="1:10" x14ac:dyDescent="0.25">
      <c r="A1865" s="1">
        <v>993</v>
      </c>
      <c r="B1865" t="s">
        <v>25</v>
      </c>
      <c r="C1865">
        <v>635</v>
      </c>
      <c r="D1865">
        <v>1</v>
      </c>
      <c r="E1865" t="s">
        <v>45</v>
      </c>
      <c r="F1865" t="s">
        <v>27</v>
      </c>
      <c r="G1865" t="str">
        <f>"2025-07-01 18:42:47.275"</f>
        <v>2025-07-01 18:42:47.275</v>
      </c>
      <c r="H1865" t="s">
        <v>21</v>
      </c>
    </row>
    <row r="1866" spans="1:10" x14ac:dyDescent="0.25">
      <c r="A1866" s="1">
        <v>994</v>
      </c>
      <c r="B1866" t="s">
        <v>29</v>
      </c>
      <c r="C1866">
        <v>635</v>
      </c>
      <c r="D1866">
        <v>1</v>
      </c>
      <c r="E1866" t="s">
        <v>45</v>
      </c>
      <c r="F1866" t="s">
        <v>27</v>
      </c>
      <c r="G1866" t="str">
        <f>"2025-07-01 18:40:49.775"</f>
        <v>2025-07-01 18:40:49.775</v>
      </c>
      <c r="H1866" t="s">
        <v>21</v>
      </c>
      <c r="I1866">
        <v>6.91</v>
      </c>
      <c r="J1866" t="s">
        <v>42</v>
      </c>
    </row>
    <row r="1867" spans="1:10" x14ac:dyDescent="0.25">
      <c r="A1867" s="1">
        <v>995</v>
      </c>
      <c r="B1867" t="s">
        <v>25</v>
      </c>
      <c r="C1867">
        <v>635</v>
      </c>
      <c r="D1867">
        <v>1</v>
      </c>
      <c r="E1867" t="s">
        <v>45</v>
      </c>
      <c r="F1867" t="s">
        <v>27</v>
      </c>
      <c r="G1867" t="str">
        <f>"2025-07-01 16:03:12.075"</f>
        <v>2025-07-01 16:03:12.075</v>
      </c>
      <c r="H1867" t="s">
        <v>21</v>
      </c>
    </row>
    <row r="1868" spans="1:10" x14ac:dyDescent="0.25">
      <c r="A1868" s="1">
        <v>996</v>
      </c>
      <c r="B1868" t="s">
        <v>29</v>
      </c>
      <c r="C1868">
        <v>635</v>
      </c>
      <c r="D1868">
        <v>1</v>
      </c>
      <c r="E1868" t="s">
        <v>45</v>
      </c>
      <c r="F1868" t="s">
        <v>27</v>
      </c>
      <c r="G1868" t="str">
        <f>"2025-07-01 16:00:49.575"</f>
        <v>2025-07-01 16:00:49.575</v>
      </c>
      <c r="H1868" t="s">
        <v>21</v>
      </c>
      <c r="I1868">
        <v>5.01</v>
      </c>
      <c r="J1868" t="s">
        <v>54</v>
      </c>
    </row>
    <row r="1869" spans="1:10" s="3" customFormat="1" x14ac:dyDescent="0.25">
      <c r="A1869" s="2">
        <v>997</v>
      </c>
      <c r="B1869" s="3" t="s">
        <v>25</v>
      </c>
      <c r="C1869" s="3">
        <v>647</v>
      </c>
      <c r="D1869" s="3">
        <v>1</v>
      </c>
      <c r="E1869" s="3" t="s">
        <v>55</v>
      </c>
      <c r="F1869" s="3" t="s">
        <v>56</v>
      </c>
      <c r="G1869" s="3" t="str">
        <f>"2025-06-30 10:30:11.123"</f>
        <v>2025-06-30 10:30:11.123</v>
      </c>
      <c r="H1869" s="3" t="s">
        <v>21</v>
      </c>
    </row>
    <row r="1870" spans="1:10" s="3" customFormat="1" x14ac:dyDescent="0.25">
      <c r="A1870" s="2">
        <v>998</v>
      </c>
      <c r="B1870" s="3" t="s">
        <v>29</v>
      </c>
      <c r="C1870" s="3">
        <v>647</v>
      </c>
      <c r="D1870" s="3">
        <v>1</v>
      </c>
      <c r="E1870" s="3" t="s">
        <v>55</v>
      </c>
      <c r="F1870" s="3" t="s">
        <v>56</v>
      </c>
      <c r="G1870" s="3" t="str">
        <f>"2025-06-30 10:30:08.823"</f>
        <v>2025-06-30 10:30:08.823</v>
      </c>
      <c r="H1870" s="3" t="s">
        <v>21</v>
      </c>
      <c r="I1870" s="3">
        <v>9.31</v>
      </c>
      <c r="J1870" s="3" t="s">
        <v>54</v>
      </c>
    </row>
    <row r="1871" spans="1:10" x14ac:dyDescent="0.25">
      <c r="A1871" s="1">
        <v>999</v>
      </c>
      <c r="B1871" t="s">
        <v>25</v>
      </c>
      <c r="C1871">
        <v>635</v>
      </c>
      <c r="D1871">
        <v>1</v>
      </c>
      <c r="E1871" t="s">
        <v>45</v>
      </c>
      <c r="F1871" t="s">
        <v>27</v>
      </c>
      <c r="G1871" t="str">
        <f>"2025-06-29 20:44:01.375"</f>
        <v>2025-06-29 20:44:01.375</v>
      </c>
      <c r="H1871" t="s">
        <v>21</v>
      </c>
    </row>
    <row r="1872" spans="1:10" x14ac:dyDescent="0.25">
      <c r="A1872" s="1">
        <v>0</v>
      </c>
      <c r="B1872" t="s">
        <v>29</v>
      </c>
      <c r="C1872">
        <v>635</v>
      </c>
      <c r="D1872">
        <v>1</v>
      </c>
      <c r="E1872" t="s">
        <v>45</v>
      </c>
      <c r="F1872" t="s">
        <v>27</v>
      </c>
      <c r="G1872" t="str">
        <f>"2025-06-29 20:40:05.875"</f>
        <v>2025-06-29 20:40:05.875</v>
      </c>
      <c r="H1872" t="s">
        <v>21</v>
      </c>
      <c r="I1872">
        <v>0</v>
      </c>
      <c r="J1872" t="s">
        <v>37</v>
      </c>
    </row>
    <row r="1873" spans="1:10" s="3" customFormat="1" x14ac:dyDescent="0.25">
      <c r="A1873" s="2">
        <v>1</v>
      </c>
      <c r="B1873" s="3" t="s">
        <v>25</v>
      </c>
      <c r="C1873" s="3">
        <v>647</v>
      </c>
      <c r="D1873" s="3">
        <v>1</v>
      </c>
      <c r="E1873" s="3" t="s">
        <v>55</v>
      </c>
      <c r="F1873" s="3" t="s">
        <v>56</v>
      </c>
      <c r="G1873" s="3" t="str">
        <f>"2025-06-28 22:16:10.823"</f>
        <v>2025-06-28 22:16:10.823</v>
      </c>
      <c r="H1873" s="3" t="s">
        <v>21</v>
      </c>
    </row>
    <row r="1874" spans="1:10" s="3" customFormat="1" x14ac:dyDescent="0.25">
      <c r="A1874" s="2">
        <v>2</v>
      </c>
      <c r="B1874" s="3" t="s">
        <v>29</v>
      </c>
      <c r="C1874" s="3">
        <v>647</v>
      </c>
      <c r="D1874" s="3">
        <v>1</v>
      </c>
      <c r="E1874" s="3" t="s">
        <v>55</v>
      </c>
      <c r="F1874" s="3" t="s">
        <v>56</v>
      </c>
      <c r="G1874" s="3" t="str">
        <f>"2025-06-28 22:16:06.324"</f>
        <v>2025-06-28 22:16:06.324</v>
      </c>
      <c r="H1874" s="3" t="s">
        <v>21</v>
      </c>
      <c r="I1874" s="3">
        <v>21.81</v>
      </c>
      <c r="J1874" s="3" t="s">
        <v>54</v>
      </c>
    </row>
    <row r="1875" spans="1:10" x14ac:dyDescent="0.25">
      <c r="A1875" s="1">
        <v>3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"2025-06-28 09:23:19.845"</f>
        <v>2025-06-28 09:23:19.845</v>
      </c>
      <c r="H1875" t="s">
        <v>21</v>
      </c>
      <c r="I1875">
        <v>0</v>
      </c>
      <c r="J1875" t="s">
        <v>32</v>
      </c>
    </row>
    <row r="1876" spans="1:10" s="3" customFormat="1" x14ac:dyDescent="0.25">
      <c r="A1876" s="2">
        <v>4</v>
      </c>
      <c r="B1876" s="3" t="s">
        <v>25</v>
      </c>
      <c r="C1876" s="3">
        <v>647</v>
      </c>
      <c r="D1876" s="3">
        <v>1</v>
      </c>
      <c r="E1876" s="3" t="s">
        <v>55</v>
      </c>
      <c r="F1876" s="3" t="s">
        <v>56</v>
      </c>
      <c r="G1876" s="3" t="str">
        <f>"2025-06-28 07:31:17.175"</f>
        <v>2025-06-28 07:31:17.175</v>
      </c>
      <c r="H1876" s="3" t="s">
        <v>21</v>
      </c>
    </row>
    <row r="1877" spans="1:10" s="3" customFormat="1" x14ac:dyDescent="0.25">
      <c r="A1877" s="2">
        <v>5</v>
      </c>
      <c r="B1877" s="3" t="s">
        <v>29</v>
      </c>
      <c r="C1877" s="3">
        <v>647</v>
      </c>
      <c r="D1877" s="3">
        <v>1</v>
      </c>
      <c r="E1877" s="3" t="s">
        <v>55</v>
      </c>
      <c r="F1877" s="3" t="s">
        <v>56</v>
      </c>
      <c r="G1877" s="3" t="str">
        <f>"2025-06-28 07:31:01.675"</f>
        <v>2025-06-28 07:31:01.675</v>
      </c>
      <c r="H1877" s="3" t="s">
        <v>21</v>
      </c>
      <c r="I1877" s="3">
        <v>27.65</v>
      </c>
      <c r="J1877" s="3" t="s">
        <v>54</v>
      </c>
    </row>
    <row r="1878" spans="1:10" s="3" customFormat="1" x14ac:dyDescent="0.25">
      <c r="A1878" s="2">
        <v>6</v>
      </c>
      <c r="B1878" s="3" t="s">
        <v>25</v>
      </c>
      <c r="C1878" s="3">
        <v>647</v>
      </c>
      <c r="D1878" s="3">
        <v>1</v>
      </c>
      <c r="E1878" s="3" t="s">
        <v>55</v>
      </c>
      <c r="F1878" s="3" t="s">
        <v>56</v>
      </c>
      <c r="G1878" s="3" t="str">
        <f>"2025-06-28 07:30:52.375"</f>
        <v>2025-06-28 07:30:52.375</v>
      </c>
      <c r="H1878" s="3" t="s">
        <v>21</v>
      </c>
    </row>
    <row r="1879" spans="1:10" s="3" customFormat="1" x14ac:dyDescent="0.25">
      <c r="A1879" s="2">
        <v>7</v>
      </c>
      <c r="B1879" s="3" t="s">
        <v>29</v>
      </c>
      <c r="C1879" s="3">
        <v>647</v>
      </c>
      <c r="D1879" s="3">
        <v>1</v>
      </c>
      <c r="E1879" s="3" t="s">
        <v>55</v>
      </c>
      <c r="F1879" s="3" t="s">
        <v>56</v>
      </c>
      <c r="G1879" s="3" t="str">
        <f>"2025-06-28 07:30:45.875"</f>
        <v>2025-06-28 07:30:45.875</v>
      </c>
      <c r="H1879" s="3" t="s">
        <v>21</v>
      </c>
      <c r="I1879" s="3">
        <v>29.42</v>
      </c>
      <c r="J1879" s="3" t="s">
        <v>54</v>
      </c>
    </row>
    <row r="1880" spans="1:10" x14ac:dyDescent="0.25">
      <c r="A1880" s="1">
        <v>8</v>
      </c>
      <c r="B1880" t="s">
        <v>25</v>
      </c>
      <c r="C1880">
        <v>635</v>
      </c>
      <c r="D1880">
        <v>1</v>
      </c>
      <c r="E1880" t="s">
        <v>45</v>
      </c>
      <c r="F1880" t="s">
        <v>27</v>
      </c>
      <c r="G1880" t="str">
        <f>"2025-06-27 16:35:42.774"</f>
        <v>2025-06-27 16:35:42.774</v>
      </c>
      <c r="H1880" t="s">
        <v>21</v>
      </c>
    </row>
    <row r="1881" spans="1:10" x14ac:dyDescent="0.25">
      <c r="A1881" s="1">
        <v>9</v>
      </c>
      <c r="B1881" t="s">
        <v>29</v>
      </c>
      <c r="C1881">
        <v>635</v>
      </c>
      <c r="D1881">
        <v>1</v>
      </c>
      <c r="E1881" t="s">
        <v>45</v>
      </c>
      <c r="F1881" t="s">
        <v>27</v>
      </c>
      <c r="G1881" t="str">
        <f>"2025-06-27 16:26:28.774"</f>
        <v>2025-06-27 16:26:28.774</v>
      </c>
      <c r="H1881" t="s">
        <v>21</v>
      </c>
      <c r="I1881">
        <v>7.47</v>
      </c>
      <c r="J1881" t="s">
        <v>42</v>
      </c>
    </row>
    <row r="1882" spans="1:10" s="3" customFormat="1" x14ac:dyDescent="0.25">
      <c r="A1882" s="2">
        <v>10</v>
      </c>
      <c r="B1882" s="3" t="s">
        <v>25</v>
      </c>
      <c r="C1882" s="3">
        <v>647</v>
      </c>
      <c r="D1882" s="3">
        <v>1</v>
      </c>
      <c r="E1882" s="3" t="s">
        <v>55</v>
      </c>
      <c r="F1882" s="3" t="s">
        <v>56</v>
      </c>
      <c r="G1882" s="3" t="str">
        <f>"2025-06-27 05:13:14.075"</f>
        <v>2025-06-27 05:13:14.075</v>
      </c>
      <c r="H1882" s="3" t="s">
        <v>21</v>
      </c>
    </row>
    <row r="1883" spans="1:10" s="3" customFormat="1" x14ac:dyDescent="0.25">
      <c r="A1883" s="2">
        <v>11</v>
      </c>
      <c r="B1883" s="3" t="s">
        <v>29</v>
      </c>
      <c r="C1883" s="3">
        <v>647</v>
      </c>
      <c r="D1883" s="3">
        <v>1</v>
      </c>
      <c r="E1883" s="3" t="s">
        <v>55</v>
      </c>
      <c r="F1883" s="3" t="s">
        <v>56</v>
      </c>
      <c r="G1883" s="3" t="str">
        <f>"2025-06-27 05:13:07.875"</f>
        <v>2025-06-27 05:13:07.875</v>
      </c>
      <c r="H1883" s="3" t="s">
        <v>21</v>
      </c>
      <c r="I1883" s="3">
        <v>14.83</v>
      </c>
      <c r="J1883" s="3" t="s">
        <v>54</v>
      </c>
    </row>
    <row r="1884" spans="1:10" s="3" customFormat="1" x14ac:dyDescent="0.25">
      <c r="A1884" s="2">
        <v>12</v>
      </c>
      <c r="B1884" s="3" t="s">
        <v>25</v>
      </c>
      <c r="C1884" s="3">
        <v>647</v>
      </c>
      <c r="D1884" s="3">
        <v>1</v>
      </c>
      <c r="E1884" s="3" t="s">
        <v>55</v>
      </c>
      <c r="F1884" s="3" t="s">
        <v>56</v>
      </c>
      <c r="G1884" s="3" t="str">
        <f>"2025-06-25 23:58:09.775"</f>
        <v>2025-06-25 23:58:09.775</v>
      </c>
      <c r="H1884" s="3" t="s">
        <v>21</v>
      </c>
    </row>
    <row r="1885" spans="1:10" s="3" customFormat="1" x14ac:dyDescent="0.25">
      <c r="A1885" s="2">
        <v>13</v>
      </c>
      <c r="B1885" s="3" t="s">
        <v>29</v>
      </c>
      <c r="C1885" s="3">
        <v>647</v>
      </c>
      <c r="D1885" s="3">
        <v>1</v>
      </c>
      <c r="E1885" s="3" t="s">
        <v>55</v>
      </c>
      <c r="F1885" s="3" t="s">
        <v>56</v>
      </c>
      <c r="G1885" s="3" t="str">
        <f>"2025-06-25 23:58:05.975"</f>
        <v>2025-06-25 23:58:05.975</v>
      </c>
      <c r="H1885" s="3" t="s">
        <v>21</v>
      </c>
      <c r="I1885" s="3">
        <v>9.2200000000000006</v>
      </c>
      <c r="J1885" s="3" t="s">
        <v>54</v>
      </c>
    </row>
    <row r="1886" spans="1:10" x14ac:dyDescent="0.25">
      <c r="A1886" s="1">
        <v>14</v>
      </c>
      <c r="B1886" t="s">
        <v>25</v>
      </c>
      <c r="C1886">
        <v>630</v>
      </c>
      <c r="D1886">
        <v>5</v>
      </c>
      <c r="E1886" t="s">
        <v>51</v>
      </c>
      <c r="F1886" t="s">
        <v>52</v>
      </c>
      <c r="G1886" t="str">
        <f>"2025-06-25 22:14:34.375"</f>
        <v>2025-06-25 22:14:34.375</v>
      </c>
      <c r="H1886" t="s">
        <v>40</v>
      </c>
    </row>
    <row r="1887" spans="1:10" x14ac:dyDescent="0.25">
      <c r="A1887" s="1">
        <v>15</v>
      </c>
      <c r="B1887" t="s">
        <v>19</v>
      </c>
      <c r="C1887">
        <v>706</v>
      </c>
      <c r="D1887">
        <v>4</v>
      </c>
      <c r="E1887" t="s">
        <v>22</v>
      </c>
      <c r="F1887" t="s">
        <v>31</v>
      </c>
      <c r="G1887" t="str">
        <f>"2025-06-25 22:14:04.269"</f>
        <v>2025-06-25 22:14:04.269</v>
      </c>
      <c r="H1887" t="s">
        <v>21</v>
      </c>
      <c r="I1887">
        <v>0</v>
      </c>
      <c r="J1887" t="s">
        <v>24</v>
      </c>
    </row>
    <row r="1888" spans="1:10" x14ac:dyDescent="0.25">
      <c r="A1888" s="1">
        <v>16</v>
      </c>
      <c r="B1888" t="s">
        <v>33</v>
      </c>
      <c r="C1888">
        <v>630</v>
      </c>
      <c r="D1888">
        <v>5</v>
      </c>
      <c r="E1888" t="s">
        <v>51</v>
      </c>
      <c r="F1888" t="s">
        <v>52</v>
      </c>
      <c r="G1888" t="str">
        <f>"2025-06-25 22:10:11.675"</f>
        <v>2025-06-25 22:10:11.675</v>
      </c>
      <c r="H1888" t="s">
        <v>40</v>
      </c>
      <c r="I1888">
        <v>0</v>
      </c>
      <c r="J1888" t="s">
        <v>24</v>
      </c>
    </row>
    <row r="1889" spans="1:10" x14ac:dyDescent="0.25">
      <c r="A1889" s="1">
        <v>17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"2025-06-25 22:05:08.849"</f>
        <v>2025-06-25 22:05:08.849</v>
      </c>
      <c r="H1889" t="s">
        <v>21</v>
      </c>
      <c r="I1889">
        <v>0</v>
      </c>
      <c r="J1889" t="s">
        <v>32</v>
      </c>
    </row>
    <row r="1890" spans="1:10" x14ac:dyDescent="0.25">
      <c r="A1890" s="1">
        <v>18</v>
      </c>
      <c r="B1890" t="s">
        <v>33</v>
      </c>
      <c r="C1890">
        <v>630</v>
      </c>
      <c r="D1890">
        <v>5</v>
      </c>
      <c r="E1890" t="s">
        <v>51</v>
      </c>
      <c r="F1890" t="s">
        <v>52</v>
      </c>
      <c r="G1890" t="str">
        <f>"2025-06-25 21:12:09.336"</f>
        <v>2025-06-25 21:12:09.336</v>
      </c>
      <c r="H1890" t="s">
        <v>40</v>
      </c>
      <c r="I1890">
        <v>0</v>
      </c>
      <c r="J1890" t="s">
        <v>24</v>
      </c>
    </row>
    <row r="1891" spans="1:10" x14ac:dyDescent="0.25">
      <c r="A1891" s="1">
        <v>19</v>
      </c>
      <c r="B1891" t="s">
        <v>25</v>
      </c>
      <c r="C1891">
        <v>54</v>
      </c>
      <c r="D1891">
        <v>1</v>
      </c>
      <c r="E1891" t="s">
        <v>84</v>
      </c>
      <c r="F1891" t="s">
        <v>85</v>
      </c>
      <c r="G1891" t="str">
        <f>"2025-06-25 21:07:19.235"</f>
        <v>2025-06-25 21:07:19.235</v>
      </c>
      <c r="H1891" t="s">
        <v>21</v>
      </c>
    </row>
    <row r="1892" spans="1:10" x14ac:dyDescent="0.25">
      <c r="A1892" s="1">
        <v>20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"2025-06-25 21:07:06.402"</f>
        <v>2025-06-25 21:07:06.402</v>
      </c>
      <c r="H1892" t="s">
        <v>21</v>
      </c>
      <c r="I1892">
        <v>0</v>
      </c>
      <c r="J1892" t="s">
        <v>32</v>
      </c>
    </row>
    <row r="1893" spans="1:10" x14ac:dyDescent="0.25">
      <c r="A1893" s="1">
        <v>21</v>
      </c>
      <c r="B1893" t="s">
        <v>29</v>
      </c>
      <c r="C1893">
        <v>54</v>
      </c>
      <c r="D1893">
        <v>1</v>
      </c>
      <c r="E1893" t="s">
        <v>84</v>
      </c>
      <c r="F1893" t="s">
        <v>85</v>
      </c>
      <c r="G1893" t="str">
        <f>"2025-06-25 18:34:22.113"</f>
        <v>2025-06-25 18:34:22.113</v>
      </c>
      <c r="H1893" t="s">
        <v>21</v>
      </c>
      <c r="I1893">
        <v>7.93</v>
      </c>
      <c r="J1893" t="s">
        <v>54</v>
      </c>
    </row>
    <row r="1894" spans="1:10" x14ac:dyDescent="0.25">
      <c r="A1894" s="1">
        <v>22</v>
      </c>
      <c r="B1894" t="s">
        <v>25</v>
      </c>
      <c r="C1894">
        <v>54</v>
      </c>
      <c r="D1894">
        <v>1</v>
      </c>
      <c r="E1894" t="s">
        <v>84</v>
      </c>
      <c r="F1894" t="s">
        <v>85</v>
      </c>
      <c r="G1894" t="str">
        <f>"2025-06-25 18:33:29.113"</f>
        <v>2025-06-25 18:33:29.113</v>
      </c>
      <c r="H1894" t="s">
        <v>21</v>
      </c>
    </row>
    <row r="1895" spans="1:10" x14ac:dyDescent="0.25">
      <c r="A1895" s="1">
        <v>23</v>
      </c>
      <c r="B1895" t="s">
        <v>29</v>
      </c>
      <c r="C1895">
        <v>54</v>
      </c>
      <c r="D1895">
        <v>1</v>
      </c>
      <c r="E1895" t="s">
        <v>84</v>
      </c>
      <c r="F1895" t="s">
        <v>85</v>
      </c>
      <c r="G1895" t="str">
        <f>"2025-06-25 17:46:50.613"</f>
        <v>2025-06-25 17:46:50.613</v>
      </c>
      <c r="H1895" t="s">
        <v>21</v>
      </c>
      <c r="I1895">
        <v>20.27</v>
      </c>
      <c r="J1895" t="s">
        <v>42</v>
      </c>
    </row>
    <row r="1896" spans="1:10" x14ac:dyDescent="0.25">
      <c r="A1896" s="1">
        <v>24</v>
      </c>
      <c r="B1896" t="s">
        <v>25</v>
      </c>
      <c r="C1896">
        <v>54</v>
      </c>
      <c r="D1896">
        <v>1</v>
      </c>
      <c r="E1896" t="s">
        <v>84</v>
      </c>
      <c r="F1896" t="s">
        <v>85</v>
      </c>
      <c r="G1896" t="str">
        <f>"2025-06-25 17:45:12.513"</f>
        <v>2025-06-25 17:45:12.513</v>
      </c>
      <c r="H1896" t="s">
        <v>21</v>
      </c>
    </row>
    <row r="1897" spans="1:10" x14ac:dyDescent="0.25">
      <c r="A1897" s="1">
        <v>25</v>
      </c>
      <c r="B1897" t="s">
        <v>29</v>
      </c>
      <c r="C1897">
        <v>54</v>
      </c>
      <c r="D1897">
        <v>1</v>
      </c>
      <c r="E1897" t="s">
        <v>84</v>
      </c>
      <c r="F1897" t="s">
        <v>85</v>
      </c>
      <c r="G1897" t="str">
        <f>"2025-06-25 13:21:16.413"</f>
        <v>2025-06-25 13:21:16.413</v>
      </c>
      <c r="H1897" t="s">
        <v>21</v>
      </c>
      <c r="I1897">
        <v>12.18</v>
      </c>
      <c r="J1897" t="s">
        <v>42</v>
      </c>
    </row>
    <row r="1898" spans="1:10" x14ac:dyDescent="0.25">
      <c r="A1898" s="1">
        <v>26</v>
      </c>
      <c r="B1898" t="s">
        <v>25</v>
      </c>
      <c r="C1898">
        <v>54</v>
      </c>
      <c r="D1898">
        <v>1</v>
      </c>
      <c r="E1898" t="s">
        <v>84</v>
      </c>
      <c r="F1898" t="s">
        <v>85</v>
      </c>
      <c r="G1898" t="str">
        <f>"2025-06-25 13:20:32.513"</f>
        <v>2025-06-25 13:20:32.513</v>
      </c>
      <c r="H1898" t="s">
        <v>21</v>
      </c>
    </row>
    <row r="1899" spans="1:10" x14ac:dyDescent="0.25">
      <c r="A1899" s="1">
        <v>27</v>
      </c>
      <c r="B1899" t="s">
        <v>29</v>
      </c>
      <c r="C1899">
        <v>54</v>
      </c>
      <c r="D1899">
        <v>1</v>
      </c>
      <c r="E1899" t="s">
        <v>84</v>
      </c>
      <c r="F1899" t="s">
        <v>85</v>
      </c>
      <c r="G1899" t="str">
        <f>"2025-06-25 11:52:39.013"</f>
        <v>2025-06-25 11:52:39.013</v>
      </c>
      <c r="H1899" t="s">
        <v>21</v>
      </c>
      <c r="I1899">
        <v>8.59</v>
      </c>
      <c r="J1899" t="s">
        <v>42</v>
      </c>
    </row>
    <row r="1900" spans="1:10" x14ac:dyDescent="0.25">
      <c r="A1900" s="1">
        <v>28</v>
      </c>
      <c r="B1900" t="s">
        <v>25</v>
      </c>
      <c r="C1900">
        <v>54</v>
      </c>
      <c r="D1900">
        <v>1</v>
      </c>
      <c r="E1900" t="s">
        <v>84</v>
      </c>
      <c r="F1900" t="s">
        <v>85</v>
      </c>
      <c r="G1900" t="str">
        <f>"2025-06-25 11:51:35.413"</f>
        <v>2025-06-25 11:51:35.413</v>
      </c>
      <c r="H1900" t="s">
        <v>21</v>
      </c>
    </row>
    <row r="1901" spans="1:10" x14ac:dyDescent="0.25">
      <c r="A1901" s="1">
        <v>29</v>
      </c>
      <c r="B1901" t="s">
        <v>29</v>
      </c>
      <c r="C1901">
        <v>54</v>
      </c>
      <c r="D1901">
        <v>1</v>
      </c>
      <c r="E1901" t="s">
        <v>84</v>
      </c>
      <c r="F1901" t="s">
        <v>85</v>
      </c>
      <c r="G1901" t="str">
        <f>"2025-06-25 11:15:09.013"</f>
        <v>2025-06-25 11:15:09.013</v>
      </c>
      <c r="H1901" t="s">
        <v>21</v>
      </c>
      <c r="I1901">
        <v>23.99</v>
      </c>
      <c r="J1901" t="s">
        <v>54</v>
      </c>
    </row>
    <row r="1902" spans="1:10" x14ac:dyDescent="0.25">
      <c r="A1902" s="1">
        <v>30</v>
      </c>
      <c r="B1902" t="s">
        <v>25</v>
      </c>
      <c r="C1902">
        <v>54</v>
      </c>
      <c r="D1902">
        <v>1</v>
      </c>
      <c r="E1902" t="s">
        <v>84</v>
      </c>
      <c r="F1902" t="s">
        <v>85</v>
      </c>
      <c r="G1902" t="str">
        <f>"2025-06-25 11:13:16.513"</f>
        <v>2025-06-25 11:13:16.513</v>
      </c>
      <c r="H1902" t="s">
        <v>21</v>
      </c>
    </row>
    <row r="1903" spans="1:10" x14ac:dyDescent="0.25">
      <c r="A1903" s="1">
        <v>31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"2025-06-25 11:13:03.822"</f>
        <v>2025-06-25 11:13:03.822</v>
      </c>
      <c r="H1903" t="s">
        <v>21</v>
      </c>
      <c r="I1903">
        <v>0</v>
      </c>
      <c r="J1903" t="s">
        <v>32</v>
      </c>
    </row>
    <row r="1904" spans="1:10" x14ac:dyDescent="0.25">
      <c r="A1904" s="1">
        <v>32</v>
      </c>
      <c r="B1904" t="s">
        <v>29</v>
      </c>
      <c r="C1904">
        <v>54</v>
      </c>
      <c r="D1904">
        <v>1</v>
      </c>
      <c r="E1904" t="s">
        <v>84</v>
      </c>
      <c r="F1904" t="s">
        <v>85</v>
      </c>
      <c r="G1904" t="str">
        <f>"2025-06-25 03:24:49.528"</f>
        <v>2025-06-25 03:24:49.528</v>
      </c>
      <c r="H1904" t="s">
        <v>21</v>
      </c>
      <c r="I1904">
        <v>8.01</v>
      </c>
      <c r="J1904" t="s">
        <v>42</v>
      </c>
    </row>
    <row r="1905" spans="1:10" x14ac:dyDescent="0.25">
      <c r="A1905" s="1">
        <v>33</v>
      </c>
      <c r="B1905" t="s">
        <v>25</v>
      </c>
      <c r="C1905">
        <v>54</v>
      </c>
      <c r="D1905">
        <v>1</v>
      </c>
      <c r="E1905" t="s">
        <v>84</v>
      </c>
      <c r="F1905" t="s">
        <v>85</v>
      </c>
      <c r="G1905" t="str">
        <f>"2025-06-25 03:23:31.328"</f>
        <v>2025-06-25 03:23:31.328</v>
      </c>
      <c r="H1905" t="s">
        <v>21</v>
      </c>
    </row>
    <row r="1906" spans="1:10" x14ac:dyDescent="0.25">
      <c r="A1906" s="1">
        <v>34</v>
      </c>
      <c r="B1906" t="s">
        <v>29</v>
      </c>
      <c r="C1906">
        <v>54</v>
      </c>
      <c r="D1906">
        <v>1</v>
      </c>
      <c r="E1906" t="s">
        <v>84</v>
      </c>
      <c r="F1906" t="s">
        <v>85</v>
      </c>
      <c r="G1906" t="str">
        <f>"2025-06-24 10:01:55.028"</f>
        <v>2025-06-24 10:01:55.028</v>
      </c>
      <c r="H1906" t="s">
        <v>21</v>
      </c>
      <c r="I1906">
        <v>10.87</v>
      </c>
      <c r="J1906" t="s">
        <v>42</v>
      </c>
    </row>
    <row r="1907" spans="1:10" x14ac:dyDescent="0.25">
      <c r="A1907" s="1">
        <v>35</v>
      </c>
      <c r="B1907" t="s">
        <v>25</v>
      </c>
      <c r="C1907">
        <v>54</v>
      </c>
      <c r="D1907">
        <v>1</v>
      </c>
      <c r="E1907" t="s">
        <v>84</v>
      </c>
      <c r="F1907" t="s">
        <v>85</v>
      </c>
      <c r="G1907" t="str">
        <f>"2025-06-24 10:01:05.528"</f>
        <v>2025-06-24 10:01:05.528</v>
      </c>
      <c r="H1907" t="s">
        <v>21</v>
      </c>
    </row>
    <row r="1908" spans="1:10" x14ac:dyDescent="0.25">
      <c r="A1908" s="1">
        <v>36</v>
      </c>
      <c r="B1908" t="s">
        <v>29</v>
      </c>
      <c r="C1908">
        <v>54</v>
      </c>
      <c r="D1908">
        <v>1</v>
      </c>
      <c r="E1908" t="s">
        <v>84</v>
      </c>
      <c r="F1908" t="s">
        <v>85</v>
      </c>
      <c r="G1908" t="str">
        <f>"2025-06-24 03:33:14.028"</f>
        <v>2025-06-24 03:33:14.028</v>
      </c>
      <c r="H1908" t="s">
        <v>21</v>
      </c>
      <c r="I1908">
        <v>6.51</v>
      </c>
      <c r="J1908" t="s">
        <v>42</v>
      </c>
    </row>
    <row r="1909" spans="1:10" x14ac:dyDescent="0.25">
      <c r="A1909" s="1">
        <v>37</v>
      </c>
      <c r="B1909" t="s">
        <v>25</v>
      </c>
      <c r="C1909">
        <v>54</v>
      </c>
      <c r="D1909">
        <v>1</v>
      </c>
      <c r="E1909" t="s">
        <v>84</v>
      </c>
      <c r="F1909" t="s">
        <v>85</v>
      </c>
      <c r="G1909" t="str">
        <f>"2025-06-24 03:32:23.528"</f>
        <v>2025-06-24 03:32:23.528</v>
      </c>
      <c r="H1909" t="s">
        <v>21</v>
      </c>
    </row>
    <row r="1910" spans="1:10" x14ac:dyDescent="0.25">
      <c r="A1910" s="1">
        <v>38</v>
      </c>
      <c r="B1910" t="s">
        <v>29</v>
      </c>
      <c r="C1910">
        <v>54</v>
      </c>
      <c r="D1910">
        <v>1</v>
      </c>
      <c r="E1910" t="s">
        <v>84</v>
      </c>
      <c r="F1910" t="s">
        <v>85</v>
      </c>
      <c r="G1910" t="str">
        <f>"2025-06-24 02:58:34.728"</f>
        <v>2025-06-24 02:58:34.728</v>
      </c>
      <c r="H1910" t="s">
        <v>21</v>
      </c>
      <c r="I1910">
        <v>5.28</v>
      </c>
      <c r="J1910" t="s">
        <v>42</v>
      </c>
    </row>
    <row r="1911" spans="1:10" x14ac:dyDescent="0.25">
      <c r="A1911" s="1">
        <v>39</v>
      </c>
      <c r="B1911" t="s">
        <v>25</v>
      </c>
      <c r="C1911">
        <v>54</v>
      </c>
      <c r="D1911">
        <v>1</v>
      </c>
      <c r="E1911" t="s">
        <v>84</v>
      </c>
      <c r="F1911" t="s">
        <v>85</v>
      </c>
      <c r="G1911" t="str">
        <f>"2025-06-24 02:57:32.728"</f>
        <v>2025-06-24 02:57:32.728</v>
      </c>
      <c r="H1911" t="s">
        <v>21</v>
      </c>
    </row>
    <row r="1912" spans="1:10" x14ac:dyDescent="0.25">
      <c r="A1912" s="1">
        <v>40</v>
      </c>
      <c r="B1912" t="s">
        <v>29</v>
      </c>
      <c r="C1912">
        <v>54</v>
      </c>
      <c r="D1912">
        <v>1</v>
      </c>
      <c r="E1912" t="s">
        <v>84</v>
      </c>
      <c r="F1912" t="s">
        <v>85</v>
      </c>
      <c r="G1912" t="str">
        <f>"2025-06-23 19:43:19.528"</f>
        <v>2025-06-23 19:43:19.528</v>
      </c>
      <c r="H1912" t="s">
        <v>21</v>
      </c>
      <c r="I1912">
        <v>8.69</v>
      </c>
      <c r="J1912" t="s">
        <v>37</v>
      </c>
    </row>
    <row r="1913" spans="1:10" x14ac:dyDescent="0.25">
      <c r="A1913" s="1">
        <v>41</v>
      </c>
      <c r="B1913" t="s">
        <v>25</v>
      </c>
      <c r="C1913">
        <v>54</v>
      </c>
      <c r="D1913">
        <v>1</v>
      </c>
      <c r="E1913" t="s">
        <v>84</v>
      </c>
      <c r="F1913" t="s">
        <v>85</v>
      </c>
      <c r="G1913" t="str">
        <f>"2025-06-23 19:25:34.228"</f>
        <v>2025-06-23 19:25:34.228</v>
      </c>
      <c r="H1913" t="s">
        <v>21</v>
      </c>
    </row>
    <row r="1914" spans="1:10" x14ac:dyDescent="0.25">
      <c r="A1914" s="1">
        <v>43</v>
      </c>
      <c r="B1914" t="s">
        <v>29</v>
      </c>
      <c r="C1914">
        <v>54</v>
      </c>
      <c r="D1914">
        <v>1</v>
      </c>
      <c r="E1914" t="s">
        <v>84</v>
      </c>
      <c r="F1914" t="s">
        <v>85</v>
      </c>
      <c r="G1914" t="str">
        <f>"2025-06-23 07:04:33.228"</f>
        <v>2025-06-23 07:04:33.228</v>
      </c>
      <c r="H1914" t="s">
        <v>21</v>
      </c>
      <c r="I1914">
        <v>10.44</v>
      </c>
      <c r="J1914" t="s">
        <v>42</v>
      </c>
    </row>
    <row r="1915" spans="1:10" x14ac:dyDescent="0.25">
      <c r="A1915" s="1">
        <v>44</v>
      </c>
      <c r="B1915" t="s">
        <v>25</v>
      </c>
      <c r="C1915">
        <v>54</v>
      </c>
      <c r="D1915">
        <v>1</v>
      </c>
      <c r="E1915" t="s">
        <v>84</v>
      </c>
      <c r="F1915" t="s">
        <v>85</v>
      </c>
      <c r="G1915" t="str">
        <f>"2025-06-23 07:04:08.628"</f>
        <v>2025-06-23 07:04:08.628</v>
      </c>
      <c r="H1915" t="s">
        <v>21</v>
      </c>
    </row>
    <row r="1916" spans="1:10" x14ac:dyDescent="0.25">
      <c r="A1916" s="1">
        <v>45</v>
      </c>
      <c r="B1916" t="s">
        <v>29</v>
      </c>
      <c r="C1916">
        <v>54</v>
      </c>
      <c r="D1916">
        <v>1</v>
      </c>
      <c r="E1916" t="s">
        <v>84</v>
      </c>
      <c r="F1916" t="s">
        <v>85</v>
      </c>
      <c r="G1916" t="str">
        <f>"2025-06-23 03:39:13.327"</f>
        <v>2025-06-23 03:39:13.327</v>
      </c>
      <c r="H1916" t="s">
        <v>21</v>
      </c>
      <c r="I1916">
        <v>4.9800000000000004</v>
      </c>
      <c r="J1916" t="s">
        <v>42</v>
      </c>
    </row>
    <row r="1917" spans="1:10" x14ac:dyDescent="0.25">
      <c r="A1917" s="1">
        <v>46</v>
      </c>
      <c r="B1917" t="s">
        <v>25</v>
      </c>
      <c r="C1917">
        <v>54</v>
      </c>
      <c r="D1917">
        <v>1</v>
      </c>
      <c r="E1917" t="s">
        <v>84</v>
      </c>
      <c r="F1917" t="s">
        <v>85</v>
      </c>
      <c r="G1917" t="str">
        <f>"2025-06-23 03:36:59.328"</f>
        <v>2025-06-23 03:36:59.328</v>
      </c>
      <c r="H1917" t="s">
        <v>21</v>
      </c>
    </row>
    <row r="1918" spans="1:10" x14ac:dyDescent="0.25">
      <c r="A1918" s="1">
        <v>47</v>
      </c>
      <c r="B1918" t="s">
        <v>29</v>
      </c>
      <c r="C1918">
        <v>54</v>
      </c>
      <c r="D1918">
        <v>1</v>
      </c>
      <c r="E1918" t="s">
        <v>84</v>
      </c>
      <c r="F1918" t="s">
        <v>85</v>
      </c>
      <c r="G1918" t="str">
        <f>"2025-06-23 03:08:25.928"</f>
        <v>2025-06-23 03:08:25.928</v>
      </c>
      <c r="H1918" t="s">
        <v>21</v>
      </c>
      <c r="I1918">
        <v>6.88</v>
      </c>
      <c r="J1918" t="s">
        <v>42</v>
      </c>
    </row>
    <row r="1919" spans="1:10" x14ac:dyDescent="0.25">
      <c r="A1919" s="1">
        <v>48</v>
      </c>
      <c r="B1919" t="s">
        <v>25</v>
      </c>
      <c r="C1919">
        <v>54</v>
      </c>
      <c r="D1919">
        <v>1</v>
      </c>
      <c r="E1919" t="s">
        <v>84</v>
      </c>
      <c r="F1919" t="s">
        <v>85</v>
      </c>
      <c r="G1919" t="str">
        <f>"2025-06-23 03:07:53.928"</f>
        <v>2025-06-23 03:07:53.928</v>
      </c>
      <c r="H1919" t="s">
        <v>21</v>
      </c>
    </row>
    <row r="1920" spans="1:10" x14ac:dyDescent="0.25">
      <c r="A1920" s="1">
        <v>49</v>
      </c>
      <c r="B1920" t="s">
        <v>29</v>
      </c>
      <c r="C1920">
        <v>54</v>
      </c>
      <c r="D1920">
        <v>1</v>
      </c>
      <c r="E1920" t="s">
        <v>84</v>
      </c>
      <c r="F1920" t="s">
        <v>85</v>
      </c>
      <c r="G1920" t="str">
        <f>"2025-06-22 21:11:09.528"</f>
        <v>2025-06-22 21:11:09.528</v>
      </c>
      <c r="H1920" t="s">
        <v>21</v>
      </c>
      <c r="I1920">
        <v>12.68</v>
      </c>
      <c r="J1920" t="s">
        <v>42</v>
      </c>
    </row>
    <row r="1921" spans="1:10" x14ac:dyDescent="0.25">
      <c r="A1921" s="1">
        <v>50</v>
      </c>
      <c r="B1921" t="s">
        <v>25</v>
      </c>
      <c r="C1921">
        <v>54</v>
      </c>
      <c r="D1921">
        <v>1</v>
      </c>
      <c r="E1921" t="s">
        <v>84</v>
      </c>
      <c r="F1921" t="s">
        <v>85</v>
      </c>
      <c r="G1921" t="str">
        <f>"2025-06-22 21:10:40.528"</f>
        <v>2025-06-22 21:10:40.528</v>
      </c>
      <c r="H1921" t="s">
        <v>21</v>
      </c>
    </row>
    <row r="1922" spans="1:10" x14ac:dyDescent="0.25">
      <c r="A1922" s="1">
        <v>51</v>
      </c>
      <c r="B1922" t="s">
        <v>29</v>
      </c>
      <c r="C1922">
        <v>54</v>
      </c>
      <c r="D1922">
        <v>1</v>
      </c>
      <c r="E1922" t="s">
        <v>84</v>
      </c>
      <c r="F1922" t="s">
        <v>85</v>
      </c>
      <c r="G1922" t="str">
        <f>"2025-06-22 08:22:26.428"</f>
        <v>2025-06-22 08:22:26.428</v>
      </c>
      <c r="H1922" t="s">
        <v>21</v>
      </c>
      <c r="I1922">
        <v>9.8000000000000007</v>
      </c>
      <c r="J1922" t="s">
        <v>42</v>
      </c>
    </row>
    <row r="1923" spans="1:10" x14ac:dyDescent="0.25">
      <c r="A1923" s="1">
        <v>52</v>
      </c>
      <c r="B1923" t="s">
        <v>25</v>
      </c>
      <c r="C1923">
        <v>54</v>
      </c>
      <c r="D1923">
        <v>1</v>
      </c>
      <c r="E1923" t="s">
        <v>84</v>
      </c>
      <c r="F1923" t="s">
        <v>85</v>
      </c>
      <c r="G1923" t="str">
        <f>"2025-06-22 07:56:13.528"</f>
        <v>2025-06-22 07:56:13.528</v>
      </c>
      <c r="H1923" t="s">
        <v>21</v>
      </c>
    </row>
    <row r="1924" spans="1:10" x14ac:dyDescent="0.25">
      <c r="A1924" s="1">
        <v>53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"2025-06-22 07:56:00.825"</f>
        <v>2025-06-22 07:56:00.825</v>
      </c>
      <c r="H1924" t="s">
        <v>21</v>
      </c>
      <c r="I1924">
        <v>0</v>
      </c>
      <c r="J1924" t="s">
        <v>32</v>
      </c>
    </row>
    <row r="1925" spans="1:10" s="3" customFormat="1" x14ac:dyDescent="0.25">
      <c r="A1925" s="2">
        <v>54</v>
      </c>
      <c r="B1925" s="3" t="s">
        <v>25</v>
      </c>
      <c r="C1925" s="3">
        <v>647</v>
      </c>
      <c r="D1925" s="3">
        <v>1</v>
      </c>
      <c r="E1925" s="3" t="s">
        <v>55</v>
      </c>
      <c r="F1925" s="3" t="s">
        <v>56</v>
      </c>
      <c r="G1925" s="3" t="str">
        <f>"2025-06-22 03:16:21.843"</f>
        <v>2025-06-22 03:16:21.843</v>
      </c>
      <c r="H1925" s="3" t="s">
        <v>21</v>
      </c>
    </row>
    <row r="1926" spans="1:10" s="3" customFormat="1" x14ac:dyDescent="0.25">
      <c r="A1926" s="2">
        <v>55</v>
      </c>
      <c r="B1926" s="3" t="s">
        <v>29</v>
      </c>
      <c r="C1926" s="3">
        <v>647</v>
      </c>
      <c r="D1926" s="3">
        <v>1</v>
      </c>
      <c r="E1926" s="3" t="s">
        <v>55</v>
      </c>
      <c r="F1926" s="3" t="s">
        <v>56</v>
      </c>
      <c r="G1926" s="3" t="str">
        <f>"2025-06-22 03:16:17.443"</f>
        <v>2025-06-22 03:16:17.443</v>
      </c>
      <c r="H1926" s="3" t="s">
        <v>21</v>
      </c>
      <c r="I1926" s="3">
        <v>10.199999999999999</v>
      </c>
      <c r="J1926" s="3" t="s">
        <v>54</v>
      </c>
    </row>
    <row r="1927" spans="1:10" x14ac:dyDescent="0.25">
      <c r="A1927" s="1">
        <v>56</v>
      </c>
      <c r="B1927" t="s">
        <v>29</v>
      </c>
      <c r="C1927">
        <v>54</v>
      </c>
      <c r="D1927">
        <v>1</v>
      </c>
      <c r="E1927" t="s">
        <v>84</v>
      </c>
      <c r="F1927" t="s">
        <v>85</v>
      </c>
      <c r="G1927" t="str">
        <f>"2025-06-22 01:12:34.835"</f>
        <v>2025-06-22 01:12:34.835</v>
      </c>
      <c r="H1927" t="s">
        <v>21</v>
      </c>
      <c r="I1927">
        <v>11.89</v>
      </c>
      <c r="J1927" t="s">
        <v>42</v>
      </c>
    </row>
    <row r="1928" spans="1:10" x14ac:dyDescent="0.25">
      <c r="A1928" s="1">
        <v>57</v>
      </c>
      <c r="B1928" t="s">
        <v>25</v>
      </c>
      <c r="C1928">
        <v>54</v>
      </c>
      <c r="D1928">
        <v>1</v>
      </c>
      <c r="E1928" t="s">
        <v>84</v>
      </c>
      <c r="F1928" t="s">
        <v>85</v>
      </c>
      <c r="G1928" t="str">
        <f>"2025-06-22 01:11:53.635"</f>
        <v>2025-06-22 01:11:53.635</v>
      </c>
      <c r="H1928" t="s">
        <v>21</v>
      </c>
    </row>
    <row r="1929" spans="1:10" x14ac:dyDescent="0.25">
      <c r="A1929" s="1">
        <v>58</v>
      </c>
      <c r="B1929" t="s">
        <v>29</v>
      </c>
      <c r="C1929">
        <v>54</v>
      </c>
      <c r="D1929">
        <v>1</v>
      </c>
      <c r="E1929" t="s">
        <v>84</v>
      </c>
      <c r="F1929" t="s">
        <v>85</v>
      </c>
      <c r="G1929" t="str">
        <f>"2025-06-21 23:19:55.535"</f>
        <v>2025-06-21 23:19:55.535</v>
      </c>
      <c r="H1929" t="s">
        <v>21</v>
      </c>
      <c r="I1929">
        <v>11.71</v>
      </c>
      <c r="J1929" t="s">
        <v>42</v>
      </c>
    </row>
    <row r="1930" spans="1:10" x14ac:dyDescent="0.25">
      <c r="A1930" s="1">
        <v>59</v>
      </c>
      <c r="B1930" t="s">
        <v>25</v>
      </c>
      <c r="C1930">
        <v>54</v>
      </c>
      <c r="D1930">
        <v>1</v>
      </c>
      <c r="E1930" t="s">
        <v>84</v>
      </c>
      <c r="F1930" t="s">
        <v>85</v>
      </c>
      <c r="G1930" t="str">
        <f>"2025-06-21 23:19:33.635"</f>
        <v>2025-06-21 23:19:33.635</v>
      </c>
      <c r="H1930" t="s">
        <v>21</v>
      </c>
    </row>
    <row r="1931" spans="1:10" x14ac:dyDescent="0.25">
      <c r="A1931" s="1">
        <v>60</v>
      </c>
      <c r="B1931" t="s">
        <v>29</v>
      </c>
      <c r="C1931">
        <v>54</v>
      </c>
      <c r="D1931">
        <v>1</v>
      </c>
      <c r="E1931" t="s">
        <v>84</v>
      </c>
      <c r="F1931" t="s">
        <v>85</v>
      </c>
      <c r="G1931" t="str">
        <f>"2025-06-21 22:53:48.735"</f>
        <v>2025-06-21 22:53:48.735</v>
      </c>
      <c r="H1931" t="s">
        <v>21</v>
      </c>
      <c r="I1931">
        <v>12.18</v>
      </c>
      <c r="J1931" t="s">
        <v>42</v>
      </c>
    </row>
    <row r="1932" spans="1:10" x14ac:dyDescent="0.25">
      <c r="A1932" s="1">
        <v>61</v>
      </c>
      <c r="B1932" t="s">
        <v>25</v>
      </c>
      <c r="C1932">
        <v>54</v>
      </c>
      <c r="D1932">
        <v>1</v>
      </c>
      <c r="E1932" t="s">
        <v>84</v>
      </c>
      <c r="F1932" t="s">
        <v>85</v>
      </c>
      <c r="G1932" t="str">
        <f>"2025-06-21 22:53:09.035"</f>
        <v>2025-06-21 22:53:09.035</v>
      </c>
      <c r="H1932" t="s">
        <v>21</v>
      </c>
    </row>
    <row r="1933" spans="1:10" x14ac:dyDescent="0.25">
      <c r="A1933" s="1">
        <v>63</v>
      </c>
      <c r="B1933" t="s">
        <v>29</v>
      </c>
      <c r="C1933">
        <v>54</v>
      </c>
      <c r="D1933">
        <v>1</v>
      </c>
      <c r="E1933" t="s">
        <v>84</v>
      </c>
      <c r="F1933" t="s">
        <v>85</v>
      </c>
      <c r="G1933" t="str">
        <f>"2025-06-21 03:56:26.035"</f>
        <v>2025-06-21 03:56:26.035</v>
      </c>
      <c r="H1933" t="s">
        <v>21</v>
      </c>
      <c r="I1933">
        <v>8.7200000000000006</v>
      </c>
      <c r="J1933" t="s">
        <v>37</v>
      </c>
    </row>
    <row r="1934" spans="1:10" x14ac:dyDescent="0.25">
      <c r="A1934" s="1">
        <v>64</v>
      </c>
      <c r="B1934" t="s">
        <v>25</v>
      </c>
      <c r="C1934">
        <v>635</v>
      </c>
      <c r="D1934">
        <v>1</v>
      </c>
      <c r="E1934" t="s">
        <v>45</v>
      </c>
      <c r="F1934" t="s">
        <v>27</v>
      </c>
      <c r="G1934" t="str">
        <f>"2025-06-21 03:55:49.995"</f>
        <v>2025-06-21 03:55:49.995</v>
      </c>
      <c r="H1934" t="s">
        <v>21</v>
      </c>
    </row>
    <row r="1935" spans="1:10" x14ac:dyDescent="0.25">
      <c r="A1935" s="1">
        <v>65</v>
      </c>
      <c r="B1935" t="s">
        <v>29</v>
      </c>
      <c r="C1935">
        <v>635</v>
      </c>
      <c r="D1935">
        <v>1</v>
      </c>
      <c r="E1935" t="s">
        <v>45</v>
      </c>
      <c r="F1935" t="s">
        <v>27</v>
      </c>
      <c r="G1935" t="str">
        <f>"2025-06-21 03:52:26.995"</f>
        <v>2025-06-21 03:52:26.995</v>
      </c>
      <c r="H1935" t="s">
        <v>21</v>
      </c>
      <c r="I1935">
        <v>0</v>
      </c>
      <c r="J1935" t="s">
        <v>37</v>
      </c>
    </row>
    <row r="1936" spans="1:10" x14ac:dyDescent="0.25">
      <c r="A1936" s="1">
        <v>66</v>
      </c>
      <c r="B1936" t="s">
        <v>25</v>
      </c>
      <c r="C1936">
        <v>54</v>
      </c>
      <c r="D1936">
        <v>1</v>
      </c>
      <c r="E1936" t="s">
        <v>84</v>
      </c>
      <c r="F1936" t="s">
        <v>85</v>
      </c>
      <c r="G1936" t="str">
        <f>"2025-06-21 03:52:24.835"</f>
        <v>2025-06-21 03:52:24.835</v>
      </c>
      <c r="H1936" t="s">
        <v>21</v>
      </c>
    </row>
    <row r="1937" spans="1:10" x14ac:dyDescent="0.25">
      <c r="A1937" s="1">
        <v>67</v>
      </c>
      <c r="B1937" t="s">
        <v>29</v>
      </c>
      <c r="C1937">
        <v>54</v>
      </c>
      <c r="D1937">
        <v>1</v>
      </c>
      <c r="E1937" t="s">
        <v>84</v>
      </c>
      <c r="F1937" t="s">
        <v>85</v>
      </c>
      <c r="G1937" t="str">
        <f>"2025-06-20 20:23:11.835"</f>
        <v>2025-06-20 20:23:11.835</v>
      </c>
      <c r="H1937" t="s">
        <v>21</v>
      </c>
      <c r="I1937">
        <v>5.57</v>
      </c>
      <c r="J1937" t="s">
        <v>42</v>
      </c>
    </row>
    <row r="1938" spans="1:10" x14ac:dyDescent="0.25">
      <c r="A1938" s="1">
        <v>68</v>
      </c>
      <c r="B1938" t="s">
        <v>25</v>
      </c>
      <c r="C1938">
        <v>54</v>
      </c>
      <c r="D1938">
        <v>1</v>
      </c>
      <c r="E1938" t="s">
        <v>84</v>
      </c>
      <c r="F1938" t="s">
        <v>85</v>
      </c>
      <c r="G1938" t="str">
        <f>"2025-06-20 20:22:48.735"</f>
        <v>2025-06-20 20:22:48.735</v>
      </c>
      <c r="H1938" t="s">
        <v>21</v>
      </c>
    </row>
    <row r="1939" spans="1:10" x14ac:dyDescent="0.25">
      <c r="A1939" s="1">
        <v>69</v>
      </c>
      <c r="B1939" t="s">
        <v>29</v>
      </c>
      <c r="C1939">
        <v>54</v>
      </c>
      <c r="D1939">
        <v>1</v>
      </c>
      <c r="E1939" t="s">
        <v>84</v>
      </c>
      <c r="F1939" t="s">
        <v>85</v>
      </c>
      <c r="G1939" t="str">
        <f>"2025-06-20 18:30:11.535"</f>
        <v>2025-06-20 18:30:11.535</v>
      </c>
      <c r="H1939" t="s">
        <v>21</v>
      </c>
      <c r="I1939">
        <v>8.24</v>
      </c>
      <c r="J1939" t="s">
        <v>42</v>
      </c>
    </row>
    <row r="1940" spans="1:10" x14ac:dyDescent="0.25">
      <c r="A1940" s="1">
        <v>70</v>
      </c>
      <c r="B1940" t="s">
        <v>25</v>
      </c>
      <c r="C1940">
        <v>54</v>
      </c>
      <c r="D1940">
        <v>1</v>
      </c>
      <c r="E1940" t="s">
        <v>84</v>
      </c>
      <c r="F1940" t="s">
        <v>85</v>
      </c>
      <c r="G1940" t="str">
        <f>"2025-06-20 18:29:49.135"</f>
        <v>2025-06-20 18:29:49.135</v>
      </c>
      <c r="H1940" t="s">
        <v>21</v>
      </c>
    </row>
    <row r="1941" spans="1:10" s="3" customFormat="1" x14ac:dyDescent="0.25">
      <c r="A1941" s="2">
        <v>71</v>
      </c>
      <c r="B1941" s="3" t="s">
        <v>25</v>
      </c>
      <c r="C1941" s="3">
        <v>647</v>
      </c>
      <c r="D1941" s="3">
        <v>1</v>
      </c>
      <c r="E1941" s="3" t="s">
        <v>55</v>
      </c>
      <c r="F1941" s="3" t="s">
        <v>56</v>
      </c>
      <c r="G1941" s="3" t="str">
        <f>"2025-06-20 07:15:30.043"</f>
        <v>2025-06-20 07:15:30.043</v>
      </c>
      <c r="H1941" s="3" t="s">
        <v>21</v>
      </c>
    </row>
    <row r="1942" spans="1:10" s="3" customFormat="1" x14ac:dyDescent="0.25">
      <c r="A1942" s="2">
        <v>72</v>
      </c>
      <c r="B1942" s="3" t="s">
        <v>29</v>
      </c>
      <c r="C1942" s="3">
        <v>647</v>
      </c>
      <c r="D1942" s="3">
        <v>1</v>
      </c>
      <c r="E1942" s="3" t="s">
        <v>55</v>
      </c>
      <c r="F1942" s="3" t="s">
        <v>56</v>
      </c>
      <c r="G1942" s="3" t="str">
        <f>"2025-06-20 07:15:27.743"</f>
        <v>2025-06-20 07:15:27.743</v>
      </c>
      <c r="H1942" s="3" t="s">
        <v>21</v>
      </c>
      <c r="I1942" s="3">
        <v>12.72</v>
      </c>
      <c r="J1942" s="3" t="s">
        <v>54</v>
      </c>
    </row>
    <row r="1943" spans="1:10" x14ac:dyDescent="0.25">
      <c r="A1943" s="1">
        <v>73</v>
      </c>
      <c r="B1943" t="s">
        <v>29</v>
      </c>
      <c r="C1943">
        <v>54</v>
      </c>
      <c r="D1943">
        <v>1</v>
      </c>
      <c r="E1943" t="s">
        <v>84</v>
      </c>
      <c r="F1943" t="s">
        <v>85</v>
      </c>
      <c r="G1943" t="str">
        <f>"2025-06-20 04:22:25.035"</f>
        <v>2025-06-20 04:22:25.035</v>
      </c>
      <c r="H1943" t="s">
        <v>21</v>
      </c>
      <c r="I1943">
        <v>6.84</v>
      </c>
      <c r="J1943" t="s">
        <v>42</v>
      </c>
    </row>
    <row r="1944" spans="1:10" x14ac:dyDescent="0.25">
      <c r="A1944" s="1">
        <v>74</v>
      </c>
      <c r="B1944" t="s">
        <v>25</v>
      </c>
      <c r="C1944">
        <v>54</v>
      </c>
      <c r="D1944">
        <v>1</v>
      </c>
      <c r="E1944" t="s">
        <v>84</v>
      </c>
      <c r="F1944" t="s">
        <v>85</v>
      </c>
      <c r="G1944" t="str">
        <f>"2025-06-20 04:21:55.135"</f>
        <v>2025-06-20 04:21:55.135</v>
      </c>
      <c r="H1944" t="s">
        <v>21</v>
      </c>
    </row>
    <row r="1945" spans="1:10" x14ac:dyDescent="0.25">
      <c r="A1945" s="1">
        <v>75</v>
      </c>
      <c r="B1945" t="s">
        <v>29</v>
      </c>
      <c r="C1945">
        <v>54</v>
      </c>
      <c r="D1945">
        <v>1</v>
      </c>
      <c r="E1945" t="s">
        <v>84</v>
      </c>
      <c r="F1945" t="s">
        <v>85</v>
      </c>
      <c r="G1945" t="str">
        <f>"2025-06-20 01:08:21.735"</f>
        <v>2025-06-20 01:08:21.735</v>
      </c>
      <c r="H1945" t="s">
        <v>21</v>
      </c>
      <c r="I1945">
        <v>8.82</v>
      </c>
      <c r="J1945" t="s">
        <v>42</v>
      </c>
    </row>
    <row r="1946" spans="1:10" x14ac:dyDescent="0.25">
      <c r="A1946" s="1">
        <v>76</v>
      </c>
      <c r="B1946" t="s">
        <v>25</v>
      </c>
      <c r="C1946">
        <v>54</v>
      </c>
      <c r="D1946">
        <v>1</v>
      </c>
      <c r="E1946" t="s">
        <v>84</v>
      </c>
      <c r="F1946" t="s">
        <v>85</v>
      </c>
      <c r="G1946" t="str">
        <f>"2025-06-20 01:05:23.835"</f>
        <v>2025-06-20 01:05:23.835</v>
      </c>
      <c r="H1946" t="s">
        <v>21</v>
      </c>
    </row>
    <row r="1947" spans="1:10" x14ac:dyDescent="0.25">
      <c r="A1947" s="1">
        <v>77</v>
      </c>
      <c r="B1947" t="s">
        <v>29</v>
      </c>
      <c r="C1947">
        <v>54</v>
      </c>
      <c r="D1947">
        <v>1</v>
      </c>
      <c r="E1947" t="s">
        <v>84</v>
      </c>
      <c r="F1947" t="s">
        <v>85</v>
      </c>
      <c r="G1947" t="str">
        <f>"2025-06-19 22:41:50.135"</f>
        <v>2025-06-19 22:41:50.135</v>
      </c>
      <c r="H1947" t="s">
        <v>21</v>
      </c>
      <c r="I1947">
        <v>6.2</v>
      </c>
      <c r="J1947" t="s">
        <v>42</v>
      </c>
    </row>
    <row r="1948" spans="1:10" x14ac:dyDescent="0.25">
      <c r="A1948" s="1">
        <v>78</v>
      </c>
      <c r="B1948" t="s">
        <v>25</v>
      </c>
      <c r="C1948">
        <v>54</v>
      </c>
      <c r="D1948">
        <v>1</v>
      </c>
      <c r="E1948" t="s">
        <v>84</v>
      </c>
      <c r="F1948" t="s">
        <v>85</v>
      </c>
      <c r="G1948" t="str">
        <f>"2025-06-19 22:40:38.535"</f>
        <v>2025-06-19 22:40:38.535</v>
      </c>
      <c r="H1948" t="s">
        <v>21</v>
      </c>
    </row>
    <row r="1949" spans="1:10" x14ac:dyDescent="0.25">
      <c r="A1949" s="1">
        <v>79</v>
      </c>
      <c r="B1949" t="s">
        <v>29</v>
      </c>
      <c r="C1949">
        <v>54</v>
      </c>
      <c r="D1949">
        <v>1</v>
      </c>
      <c r="E1949" t="s">
        <v>84</v>
      </c>
      <c r="F1949" t="s">
        <v>85</v>
      </c>
      <c r="G1949" t="str">
        <f>"2025-06-19 21:06:28.435"</f>
        <v>2025-06-19 21:06:28.435</v>
      </c>
      <c r="H1949" t="s">
        <v>21</v>
      </c>
      <c r="I1949">
        <v>10.67</v>
      </c>
      <c r="J1949" t="s">
        <v>42</v>
      </c>
    </row>
    <row r="1950" spans="1:10" x14ac:dyDescent="0.25">
      <c r="A1950" s="1">
        <v>80</v>
      </c>
      <c r="B1950" t="s">
        <v>25</v>
      </c>
      <c r="C1950">
        <v>54</v>
      </c>
      <c r="D1950">
        <v>1</v>
      </c>
      <c r="E1950" t="s">
        <v>84</v>
      </c>
      <c r="F1950" t="s">
        <v>85</v>
      </c>
      <c r="G1950" t="str">
        <f>"2025-06-19 21:06:04.335"</f>
        <v>2025-06-19 21:06:04.335</v>
      </c>
      <c r="H1950" t="s">
        <v>21</v>
      </c>
    </row>
    <row r="1951" spans="1:10" s="3" customFormat="1" x14ac:dyDescent="0.25">
      <c r="A1951" s="2">
        <v>81</v>
      </c>
      <c r="B1951" s="3" t="s">
        <v>25</v>
      </c>
      <c r="C1951" s="3">
        <v>647</v>
      </c>
      <c r="D1951" s="3">
        <v>1</v>
      </c>
      <c r="E1951" s="3" t="s">
        <v>55</v>
      </c>
      <c r="F1951" s="3" t="s">
        <v>56</v>
      </c>
      <c r="G1951" s="3" t="str">
        <f>"2025-06-19 20:49:22.843"</f>
        <v>2025-06-19 20:49:22.843</v>
      </c>
      <c r="H1951" s="3" t="s">
        <v>21</v>
      </c>
    </row>
    <row r="1952" spans="1:10" s="3" customFormat="1" x14ac:dyDescent="0.25">
      <c r="A1952" s="2">
        <v>82</v>
      </c>
      <c r="B1952" s="3" t="s">
        <v>29</v>
      </c>
      <c r="C1952" s="3">
        <v>647</v>
      </c>
      <c r="D1952" s="3">
        <v>1</v>
      </c>
      <c r="E1952" s="3" t="s">
        <v>55</v>
      </c>
      <c r="F1952" s="3" t="s">
        <v>56</v>
      </c>
      <c r="G1952" s="3" t="str">
        <f>"2025-06-19 20:49:20.143"</f>
        <v>2025-06-19 20:49:20.143</v>
      </c>
      <c r="H1952" s="3" t="s">
        <v>21</v>
      </c>
      <c r="I1952" s="3">
        <v>10.3</v>
      </c>
      <c r="J1952" s="3" t="s">
        <v>54</v>
      </c>
    </row>
    <row r="1953" spans="1:10" x14ac:dyDescent="0.25">
      <c r="A1953" s="1">
        <v>83</v>
      </c>
      <c r="B1953" t="s">
        <v>25</v>
      </c>
      <c r="C1953">
        <v>635</v>
      </c>
      <c r="D1953">
        <v>1</v>
      </c>
      <c r="E1953" t="s">
        <v>45</v>
      </c>
      <c r="F1953" t="s">
        <v>27</v>
      </c>
      <c r="G1953" t="str">
        <f>"2025-06-19 20:41:14.295"</f>
        <v>2025-06-19 20:41:14.295</v>
      </c>
      <c r="H1953" t="s">
        <v>21</v>
      </c>
    </row>
    <row r="1954" spans="1:10" x14ac:dyDescent="0.25">
      <c r="A1954" s="1">
        <v>84</v>
      </c>
      <c r="B1954" t="s">
        <v>29</v>
      </c>
      <c r="C1954">
        <v>635</v>
      </c>
      <c r="D1954">
        <v>1</v>
      </c>
      <c r="E1954" t="s">
        <v>45</v>
      </c>
      <c r="F1954" t="s">
        <v>27</v>
      </c>
      <c r="G1954" t="str">
        <f>"2025-06-19 20:14:06.795"</f>
        <v>2025-06-19 20:14:06.795</v>
      </c>
      <c r="H1954" t="s">
        <v>21</v>
      </c>
      <c r="I1954">
        <v>6.28</v>
      </c>
      <c r="J1954" t="s">
        <v>42</v>
      </c>
    </row>
    <row r="1955" spans="1:10" x14ac:dyDescent="0.25">
      <c r="A1955" s="1">
        <v>85</v>
      </c>
      <c r="B1955" t="s">
        <v>29</v>
      </c>
      <c r="C1955">
        <v>54</v>
      </c>
      <c r="D1955">
        <v>1</v>
      </c>
      <c r="E1955" t="s">
        <v>84</v>
      </c>
      <c r="F1955" t="s">
        <v>85</v>
      </c>
      <c r="G1955" t="str">
        <f>"2025-06-19 14:09:57.135"</f>
        <v>2025-06-19 14:09:57.135</v>
      </c>
      <c r="H1955" t="s">
        <v>21</v>
      </c>
      <c r="I1955">
        <v>19.170000000000002</v>
      </c>
      <c r="J1955" t="s">
        <v>42</v>
      </c>
    </row>
    <row r="1956" spans="1:10" x14ac:dyDescent="0.25">
      <c r="A1956" s="1">
        <v>86</v>
      </c>
      <c r="B1956" t="s">
        <v>25</v>
      </c>
      <c r="C1956">
        <v>54</v>
      </c>
      <c r="D1956">
        <v>1</v>
      </c>
      <c r="E1956" t="s">
        <v>84</v>
      </c>
      <c r="F1956" t="s">
        <v>85</v>
      </c>
      <c r="G1956" t="str">
        <f>"2025-06-19 14:08:33.635"</f>
        <v>2025-06-19 14:08:33.635</v>
      </c>
      <c r="H1956" t="s">
        <v>21</v>
      </c>
    </row>
    <row r="1957" spans="1:10" x14ac:dyDescent="0.25">
      <c r="A1957" s="1">
        <v>87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"2025-06-19 14:08:20.824"</f>
        <v>2025-06-19 14:08:20.824</v>
      </c>
      <c r="H1957" t="s">
        <v>21</v>
      </c>
    </row>
    <row r="1958" spans="1:10" x14ac:dyDescent="0.25">
      <c r="A1958" s="1">
        <v>88</v>
      </c>
      <c r="B1958" t="s">
        <v>29</v>
      </c>
      <c r="C1958">
        <v>54</v>
      </c>
      <c r="D1958">
        <v>1</v>
      </c>
      <c r="E1958" t="s">
        <v>84</v>
      </c>
      <c r="F1958" t="s">
        <v>85</v>
      </c>
      <c r="G1958" t="str">
        <f>"2025-06-19 07:03:09.031"</f>
        <v>2025-06-19 07:03:09.031</v>
      </c>
      <c r="H1958" t="s">
        <v>21</v>
      </c>
      <c r="I1958">
        <v>11.64</v>
      </c>
      <c r="J1958" t="s">
        <v>54</v>
      </c>
    </row>
    <row r="1959" spans="1:10" x14ac:dyDescent="0.25">
      <c r="A1959" s="1">
        <v>89</v>
      </c>
      <c r="B1959" t="s">
        <v>25</v>
      </c>
      <c r="C1959">
        <v>54</v>
      </c>
      <c r="D1959">
        <v>1</v>
      </c>
      <c r="E1959" t="s">
        <v>84</v>
      </c>
      <c r="F1959" t="s">
        <v>85</v>
      </c>
      <c r="G1959" t="str">
        <f>"2025-06-19 07:01:54.531"</f>
        <v>2025-06-19 07:01:54.531</v>
      </c>
      <c r="H1959" t="s">
        <v>21</v>
      </c>
    </row>
    <row r="1960" spans="1:10" x14ac:dyDescent="0.25">
      <c r="A1960" s="1">
        <v>90</v>
      </c>
      <c r="B1960" t="s">
        <v>29</v>
      </c>
      <c r="C1960">
        <v>54</v>
      </c>
      <c r="D1960">
        <v>1</v>
      </c>
      <c r="E1960" t="s">
        <v>84</v>
      </c>
      <c r="F1960" t="s">
        <v>85</v>
      </c>
      <c r="G1960" t="str">
        <f>"2025-06-19 04:25:27.031"</f>
        <v>2025-06-19 04:25:27.031</v>
      </c>
      <c r="H1960" t="s">
        <v>21</v>
      </c>
      <c r="I1960">
        <v>15.1</v>
      </c>
      <c r="J1960" t="s">
        <v>42</v>
      </c>
    </row>
    <row r="1961" spans="1:10" x14ac:dyDescent="0.25">
      <c r="A1961" s="1">
        <v>91</v>
      </c>
      <c r="B1961" t="s">
        <v>25</v>
      </c>
      <c r="C1961">
        <v>54</v>
      </c>
      <c r="D1961">
        <v>1</v>
      </c>
      <c r="E1961" t="s">
        <v>84</v>
      </c>
      <c r="F1961" t="s">
        <v>85</v>
      </c>
      <c r="G1961" t="str">
        <f>"2025-06-19 04:24:00.731"</f>
        <v>2025-06-19 04:24:00.731</v>
      </c>
      <c r="H1961" t="s">
        <v>21</v>
      </c>
    </row>
    <row r="1962" spans="1:10" x14ac:dyDescent="0.25">
      <c r="A1962" s="1">
        <v>92</v>
      </c>
      <c r="B1962" t="s">
        <v>29</v>
      </c>
      <c r="C1962">
        <v>54</v>
      </c>
      <c r="D1962">
        <v>1</v>
      </c>
      <c r="E1962" t="s">
        <v>84</v>
      </c>
      <c r="F1962" t="s">
        <v>85</v>
      </c>
      <c r="G1962" t="str">
        <f>"2025-06-19 04:11:19.531"</f>
        <v>2025-06-19 04:11:19.531</v>
      </c>
      <c r="H1962" t="s">
        <v>21</v>
      </c>
      <c r="I1962">
        <v>7.83</v>
      </c>
      <c r="J1962" t="s">
        <v>42</v>
      </c>
    </row>
    <row r="1963" spans="1:10" x14ac:dyDescent="0.25">
      <c r="A1963" s="1">
        <v>93</v>
      </c>
      <c r="B1963" t="s">
        <v>25</v>
      </c>
      <c r="C1963">
        <v>54</v>
      </c>
      <c r="D1963">
        <v>1</v>
      </c>
      <c r="E1963" t="s">
        <v>84</v>
      </c>
      <c r="F1963" t="s">
        <v>85</v>
      </c>
      <c r="G1963" t="str">
        <f>"2025-06-19 04:10:43.231"</f>
        <v>2025-06-19 04:10:43.231</v>
      </c>
      <c r="H1963" t="s">
        <v>21</v>
      </c>
    </row>
    <row r="1964" spans="1:10" x14ac:dyDescent="0.25">
      <c r="A1964" s="1">
        <v>94</v>
      </c>
      <c r="B1964" t="s">
        <v>29</v>
      </c>
      <c r="C1964">
        <v>54</v>
      </c>
      <c r="D1964">
        <v>1</v>
      </c>
      <c r="E1964" t="s">
        <v>84</v>
      </c>
      <c r="F1964" t="s">
        <v>85</v>
      </c>
      <c r="G1964" t="str">
        <f>"2025-06-19 03:33:07.531"</f>
        <v>2025-06-19 03:33:07.531</v>
      </c>
      <c r="H1964" t="s">
        <v>21</v>
      </c>
      <c r="I1964">
        <v>18.489999999999998</v>
      </c>
      <c r="J1964" t="s">
        <v>42</v>
      </c>
    </row>
    <row r="1965" spans="1:10" s="3" customFormat="1" x14ac:dyDescent="0.25">
      <c r="A1965" s="2">
        <v>95</v>
      </c>
      <c r="B1965" s="3" t="s">
        <v>25</v>
      </c>
      <c r="C1965" s="3">
        <v>647</v>
      </c>
      <c r="D1965" s="3">
        <v>1</v>
      </c>
      <c r="E1965" s="3" t="s">
        <v>55</v>
      </c>
      <c r="F1965" s="3" t="s">
        <v>56</v>
      </c>
      <c r="G1965" s="3" t="str">
        <f>"2025-06-19 03:31:07.300"</f>
        <v>2025-06-19 03:31:07.300</v>
      </c>
      <c r="H1965" s="3" t="s">
        <v>21</v>
      </c>
    </row>
    <row r="1966" spans="1:10" s="3" customFormat="1" x14ac:dyDescent="0.25">
      <c r="A1966" s="2">
        <v>96</v>
      </c>
      <c r="B1966" s="3" t="s">
        <v>29</v>
      </c>
      <c r="C1966" s="3">
        <v>647</v>
      </c>
      <c r="D1966" s="3">
        <v>1</v>
      </c>
      <c r="E1966" s="3" t="s">
        <v>55</v>
      </c>
      <c r="F1966" s="3" t="s">
        <v>56</v>
      </c>
      <c r="G1966" s="3" t="str">
        <f>"2025-06-19 03:31:01.199"</f>
        <v>2025-06-19 03:31:01.199</v>
      </c>
      <c r="H1966" s="3" t="s">
        <v>21</v>
      </c>
      <c r="I1966" s="3">
        <v>14.97</v>
      </c>
      <c r="J1966" s="3" t="s">
        <v>54</v>
      </c>
    </row>
    <row r="1967" spans="1:10" x14ac:dyDescent="0.25">
      <c r="A1967" s="1">
        <v>97</v>
      </c>
      <c r="B1967" t="s">
        <v>25</v>
      </c>
      <c r="C1967">
        <v>54</v>
      </c>
      <c r="D1967">
        <v>1</v>
      </c>
      <c r="E1967" t="s">
        <v>84</v>
      </c>
      <c r="F1967" t="s">
        <v>85</v>
      </c>
      <c r="G1967" t="str">
        <f>"2025-06-19 03:30:51.031"</f>
        <v>2025-06-19 03:30:51.031</v>
      </c>
      <c r="H1967" t="s">
        <v>21</v>
      </c>
    </row>
    <row r="1968" spans="1:10" x14ac:dyDescent="0.25">
      <c r="A1968" s="1">
        <v>98</v>
      </c>
      <c r="B1968" t="s">
        <v>29</v>
      </c>
      <c r="C1968">
        <v>54</v>
      </c>
      <c r="D1968">
        <v>1</v>
      </c>
      <c r="E1968" t="s">
        <v>84</v>
      </c>
      <c r="F1968" t="s">
        <v>85</v>
      </c>
      <c r="G1968" t="str">
        <f>"2025-06-19 03:04:53.831"</f>
        <v>2025-06-19 03:04:53.831</v>
      </c>
      <c r="H1968" t="s">
        <v>21</v>
      </c>
      <c r="I1968">
        <v>13.98</v>
      </c>
      <c r="J1968" t="s">
        <v>54</v>
      </c>
    </row>
    <row r="1969" spans="1:10" x14ac:dyDescent="0.25">
      <c r="A1969" s="1">
        <v>99</v>
      </c>
      <c r="B1969" t="s">
        <v>25</v>
      </c>
      <c r="C1969">
        <v>54</v>
      </c>
      <c r="D1969">
        <v>1</v>
      </c>
      <c r="E1969" t="s">
        <v>84</v>
      </c>
      <c r="F1969" t="s">
        <v>85</v>
      </c>
      <c r="G1969" t="str">
        <f>"2025-06-19 03:04:07.531"</f>
        <v>2025-06-19 03:04:07.531</v>
      </c>
      <c r="H1969" t="s">
        <v>21</v>
      </c>
    </row>
    <row r="1970" spans="1:10" x14ac:dyDescent="0.25">
      <c r="A1970" s="1">
        <v>100</v>
      </c>
      <c r="B1970" t="s">
        <v>29</v>
      </c>
      <c r="C1970">
        <v>54</v>
      </c>
      <c r="D1970">
        <v>1</v>
      </c>
      <c r="E1970" t="s">
        <v>84</v>
      </c>
      <c r="F1970" t="s">
        <v>85</v>
      </c>
      <c r="G1970" t="str">
        <f>"2025-06-19 03:03:02.731"</f>
        <v>2025-06-19 03:03:02.731</v>
      </c>
      <c r="H1970" t="s">
        <v>21</v>
      </c>
      <c r="I1970">
        <v>10.92</v>
      </c>
      <c r="J1970" t="s">
        <v>42</v>
      </c>
    </row>
    <row r="1971" spans="1:10" x14ac:dyDescent="0.25">
      <c r="A1971" s="1">
        <v>101</v>
      </c>
      <c r="B1971" t="s">
        <v>25</v>
      </c>
      <c r="C1971">
        <v>54</v>
      </c>
      <c r="D1971">
        <v>1</v>
      </c>
      <c r="E1971" t="s">
        <v>84</v>
      </c>
      <c r="F1971" t="s">
        <v>85</v>
      </c>
      <c r="G1971" t="str">
        <f>"2025-06-19 03:02:24.431"</f>
        <v>2025-06-19 03:02:24.431</v>
      </c>
      <c r="H1971" t="s">
        <v>21</v>
      </c>
    </row>
    <row r="1972" spans="1:10" x14ac:dyDescent="0.25">
      <c r="A1972" s="1">
        <v>102</v>
      </c>
      <c r="B1972" t="s">
        <v>29</v>
      </c>
      <c r="C1972">
        <v>54</v>
      </c>
      <c r="D1972">
        <v>1</v>
      </c>
      <c r="E1972" t="s">
        <v>84</v>
      </c>
      <c r="F1972" t="s">
        <v>85</v>
      </c>
      <c r="G1972" t="str">
        <f>"2025-06-19 02:37:24.931"</f>
        <v>2025-06-19 02:37:24.931</v>
      </c>
      <c r="H1972" t="s">
        <v>21</v>
      </c>
      <c r="I1972">
        <v>10.23</v>
      </c>
      <c r="J1972" t="s">
        <v>42</v>
      </c>
    </row>
    <row r="1973" spans="1:10" s="3" customFormat="1" x14ac:dyDescent="0.25">
      <c r="A1973" s="2">
        <v>103</v>
      </c>
      <c r="B1973" s="3" t="s">
        <v>25</v>
      </c>
      <c r="C1973" s="3">
        <v>647</v>
      </c>
      <c r="D1973" s="3">
        <v>1</v>
      </c>
      <c r="E1973" s="3" t="s">
        <v>55</v>
      </c>
      <c r="F1973" s="3" t="s">
        <v>56</v>
      </c>
      <c r="G1973" s="3" t="str">
        <f>"2025-06-19 02:35:28.199"</f>
        <v>2025-06-19 02:35:28.199</v>
      </c>
      <c r="H1973" s="3" t="s">
        <v>21</v>
      </c>
    </row>
    <row r="1974" spans="1:10" s="3" customFormat="1" x14ac:dyDescent="0.25">
      <c r="A1974" s="2">
        <v>104</v>
      </c>
      <c r="B1974" s="3" t="s">
        <v>29</v>
      </c>
      <c r="C1974" s="3">
        <v>647</v>
      </c>
      <c r="D1974" s="3">
        <v>1</v>
      </c>
      <c r="E1974" s="3" t="s">
        <v>55</v>
      </c>
      <c r="F1974" s="3" t="s">
        <v>56</v>
      </c>
      <c r="G1974" s="3" t="str">
        <f>"2025-06-19 02:35:21.499"</f>
        <v>2025-06-19 02:35:21.499</v>
      </c>
      <c r="H1974" s="3" t="s">
        <v>21</v>
      </c>
      <c r="I1974" s="3">
        <v>20.55</v>
      </c>
      <c r="J1974" s="3" t="s">
        <v>54</v>
      </c>
    </row>
    <row r="1975" spans="1:10" x14ac:dyDescent="0.25">
      <c r="A1975" s="1">
        <v>105</v>
      </c>
      <c r="B1975" t="s">
        <v>25</v>
      </c>
      <c r="C1975">
        <v>54</v>
      </c>
      <c r="D1975">
        <v>1</v>
      </c>
      <c r="E1975" t="s">
        <v>84</v>
      </c>
      <c r="F1975" t="s">
        <v>85</v>
      </c>
      <c r="G1975" t="str">
        <f>"2025-06-19 02:35:00.831"</f>
        <v>2025-06-19 02:35:00.831</v>
      </c>
      <c r="H1975" t="s">
        <v>21</v>
      </c>
    </row>
    <row r="1976" spans="1:10" s="3" customFormat="1" x14ac:dyDescent="0.25">
      <c r="A1976" s="2">
        <v>106</v>
      </c>
      <c r="B1976" s="3" t="s">
        <v>25</v>
      </c>
      <c r="C1976" s="3">
        <v>647</v>
      </c>
      <c r="D1976" s="3">
        <v>1</v>
      </c>
      <c r="E1976" s="3" t="s">
        <v>55</v>
      </c>
      <c r="F1976" s="3" t="s">
        <v>56</v>
      </c>
      <c r="G1976" s="3" t="str">
        <f>"2025-06-19 00:34:35.799"</f>
        <v>2025-06-19 00:34:35.799</v>
      </c>
      <c r="H1976" s="3" t="s">
        <v>21</v>
      </c>
    </row>
    <row r="1977" spans="1:10" s="3" customFormat="1" x14ac:dyDescent="0.25">
      <c r="A1977" s="2">
        <v>107</v>
      </c>
      <c r="B1977" s="3" t="s">
        <v>29</v>
      </c>
      <c r="C1977" s="3">
        <v>647</v>
      </c>
      <c r="D1977" s="3">
        <v>1</v>
      </c>
      <c r="E1977" s="3" t="s">
        <v>55</v>
      </c>
      <c r="F1977" s="3" t="s">
        <v>56</v>
      </c>
      <c r="G1977" s="3" t="str">
        <f>"2025-06-19 00:34:32.099"</f>
        <v>2025-06-19 00:34:32.099</v>
      </c>
      <c r="H1977" s="3" t="s">
        <v>21</v>
      </c>
      <c r="I1977" s="3">
        <v>20.29</v>
      </c>
      <c r="J1977" s="3" t="s">
        <v>54</v>
      </c>
    </row>
    <row r="1978" spans="1:10" s="3" customFormat="1" x14ac:dyDescent="0.25">
      <c r="A1978" s="2">
        <v>108</v>
      </c>
      <c r="B1978" s="3" t="s">
        <v>25</v>
      </c>
      <c r="C1978" s="3">
        <v>647</v>
      </c>
      <c r="D1978" s="3">
        <v>1</v>
      </c>
      <c r="E1978" s="3" t="s">
        <v>55</v>
      </c>
      <c r="F1978" s="3" t="s">
        <v>56</v>
      </c>
      <c r="G1978" s="3" t="str">
        <f>"2025-06-18 21:08:45.199"</f>
        <v>2025-06-18 21:08:45.199</v>
      </c>
      <c r="H1978" s="3" t="s">
        <v>21</v>
      </c>
    </row>
    <row r="1979" spans="1:10" s="3" customFormat="1" x14ac:dyDescent="0.25">
      <c r="A1979" s="2">
        <v>109</v>
      </c>
      <c r="B1979" s="3" t="s">
        <v>29</v>
      </c>
      <c r="C1979" s="3">
        <v>647</v>
      </c>
      <c r="D1979" s="3">
        <v>1</v>
      </c>
      <c r="E1979" s="3" t="s">
        <v>55</v>
      </c>
      <c r="F1979" s="3" t="s">
        <v>56</v>
      </c>
      <c r="G1979" s="3" t="str">
        <f>"2025-06-18 21:08:41.699"</f>
        <v>2025-06-18 21:08:41.699</v>
      </c>
      <c r="H1979" s="3" t="s">
        <v>21</v>
      </c>
      <c r="I1979" s="3">
        <v>8.15</v>
      </c>
      <c r="J1979" s="3" t="s">
        <v>54</v>
      </c>
    </row>
    <row r="1980" spans="1:10" x14ac:dyDescent="0.25">
      <c r="A1980" s="1">
        <v>110</v>
      </c>
      <c r="B1980" t="s">
        <v>29</v>
      </c>
      <c r="C1980">
        <v>54</v>
      </c>
      <c r="D1980">
        <v>1</v>
      </c>
      <c r="E1980" t="s">
        <v>84</v>
      </c>
      <c r="F1980" t="s">
        <v>85</v>
      </c>
      <c r="G1980" t="str">
        <f>"2025-06-18 20:01:20.431"</f>
        <v>2025-06-18 20:01:20.431</v>
      </c>
      <c r="H1980" t="s">
        <v>21</v>
      </c>
      <c r="I1980">
        <v>6.99</v>
      </c>
      <c r="J1980" t="s">
        <v>42</v>
      </c>
    </row>
    <row r="1981" spans="1:10" x14ac:dyDescent="0.25">
      <c r="A1981" s="1">
        <v>111</v>
      </c>
      <c r="B1981" t="s">
        <v>25</v>
      </c>
      <c r="C1981">
        <v>54</v>
      </c>
      <c r="D1981">
        <v>1</v>
      </c>
      <c r="E1981" t="s">
        <v>84</v>
      </c>
      <c r="F1981" t="s">
        <v>85</v>
      </c>
      <c r="G1981" t="str">
        <f>"2025-06-18 20:00:27.031"</f>
        <v>2025-06-18 20:00:27.031</v>
      </c>
      <c r="H1981" t="s">
        <v>21</v>
      </c>
    </row>
    <row r="1982" spans="1:10" x14ac:dyDescent="0.25">
      <c r="A1982" s="1">
        <v>112</v>
      </c>
      <c r="B1982" t="s">
        <v>29</v>
      </c>
      <c r="C1982">
        <v>54</v>
      </c>
      <c r="D1982">
        <v>1</v>
      </c>
      <c r="E1982" t="s">
        <v>84</v>
      </c>
      <c r="F1982" t="s">
        <v>85</v>
      </c>
      <c r="G1982" t="str">
        <f>"2025-06-18 19:52:42.631"</f>
        <v>2025-06-18 19:52:42.631</v>
      </c>
      <c r="H1982" t="s">
        <v>21</v>
      </c>
      <c r="I1982">
        <v>8.61</v>
      </c>
      <c r="J1982" t="s">
        <v>42</v>
      </c>
    </row>
    <row r="1983" spans="1:10" x14ac:dyDescent="0.25">
      <c r="A1983" s="1">
        <v>113</v>
      </c>
      <c r="B1983" t="s">
        <v>25</v>
      </c>
      <c r="C1983">
        <v>54</v>
      </c>
      <c r="D1983">
        <v>1</v>
      </c>
      <c r="E1983" t="s">
        <v>84</v>
      </c>
      <c r="F1983" t="s">
        <v>85</v>
      </c>
      <c r="G1983" t="str">
        <f>"2025-06-18 19:51:50.831"</f>
        <v>2025-06-18 19:51:50.831</v>
      </c>
      <c r="H1983" t="s">
        <v>21</v>
      </c>
    </row>
    <row r="1984" spans="1:10" x14ac:dyDescent="0.25">
      <c r="A1984" s="1">
        <v>114</v>
      </c>
      <c r="B1984" t="s">
        <v>29</v>
      </c>
      <c r="C1984">
        <v>54</v>
      </c>
      <c r="D1984">
        <v>1</v>
      </c>
      <c r="E1984" t="s">
        <v>84</v>
      </c>
      <c r="F1984" t="s">
        <v>85</v>
      </c>
      <c r="G1984" t="str">
        <f>"2025-06-18 19:00:48.731"</f>
        <v>2025-06-18 19:00:48.731</v>
      </c>
      <c r="H1984" t="s">
        <v>21</v>
      </c>
      <c r="I1984">
        <v>21.07</v>
      </c>
      <c r="J1984" t="s">
        <v>42</v>
      </c>
    </row>
    <row r="1985" spans="1:10" x14ac:dyDescent="0.25">
      <c r="A1985" s="1">
        <v>116</v>
      </c>
      <c r="B1985" t="s">
        <v>25</v>
      </c>
      <c r="C1985">
        <v>635</v>
      </c>
      <c r="D1985">
        <v>1</v>
      </c>
      <c r="E1985" t="s">
        <v>45</v>
      </c>
      <c r="F1985" t="s">
        <v>27</v>
      </c>
      <c r="G1985" t="str">
        <f>"2025-06-18 19:00:21.499"</f>
        <v>2025-06-18 19:00:21.499</v>
      </c>
      <c r="H1985" t="s">
        <v>21</v>
      </c>
    </row>
    <row r="1986" spans="1:10" x14ac:dyDescent="0.25">
      <c r="A1986" s="1">
        <v>117</v>
      </c>
      <c r="B1986" t="s">
        <v>25</v>
      </c>
      <c r="C1986">
        <v>54</v>
      </c>
      <c r="D1986">
        <v>1</v>
      </c>
      <c r="E1986" t="s">
        <v>84</v>
      </c>
      <c r="F1986" t="s">
        <v>85</v>
      </c>
      <c r="G1986" t="str">
        <f>"2025-06-18 18:58:28.431"</f>
        <v>2025-06-18 18:58:28.431</v>
      </c>
      <c r="H1986" t="s">
        <v>21</v>
      </c>
    </row>
    <row r="1987" spans="1:10" x14ac:dyDescent="0.25">
      <c r="A1987" s="1">
        <v>118</v>
      </c>
      <c r="B1987" t="s">
        <v>29</v>
      </c>
      <c r="C1987">
        <v>54</v>
      </c>
      <c r="D1987">
        <v>1</v>
      </c>
      <c r="E1987" t="s">
        <v>84</v>
      </c>
      <c r="F1987" t="s">
        <v>85</v>
      </c>
      <c r="G1987" t="str">
        <f>"2025-06-18 18:48:36.131"</f>
        <v>2025-06-18 18:48:36.131</v>
      </c>
      <c r="H1987" t="s">
        <v>21</v>
      </c>
      <c r="I1987">
        <v>7.64</v>
      </c>
      <c r="J1987" t="s">
        <v>42</v>
      </c>
    </row>
    <row r="1988" spans="1:10" x14ac:dyDescent="0.25">
      <c r="A1988" s="1">
        <v>119</v>
      </c>
      <c r="B1988" t="s">
        <v>25</v>
      </c>
      <c r="C1988">
        <v>54</v>
      </c>
      <c r="D1988">
        <v>1</v>
      </c>
      <c r="E1988" t="s">
        <v>84</v>
      </c>
      <c r="F1988" t="s">
        <v>85</v>
      </c>
      <c r="G1988" t="str">
        <f>"2025-06-18 18:47:55.431"</f>
        <v>2025-06-18 18:47:55.431</v>
      </c>
      <c r="H1988" t="s">
        <v>21</v>
      </c>
    </row>
    <row r="1989" spans="1:10" x14ac:dyDescent="0.25">
      <c r="A1989" s="1">
        <v>120</v>
      </c>
      <c r="B1989" t="s">
        <v>29</v>
      </c>
      <c r="C1989">
        <v>54</v>
      </c>
      <c r="D1989">
        <v>1</v>
      </c>
      <c r="E1989" t="s">
        <v>84</v>
      </c>
      <c r="F1989" t="s">
        <v>85</v>
      </c>
      <c r="G1989" t="str">
        <f>"2025-06-18 18:46:51.031"</f>
        <v>2025-06-18 18:46:51.031</v>
      </c>
      <c r="H1989" t="s">
        <v>21</v>
      </c>
      <c r="I1989">
        <v>6.4</v>
      </c>
      <c r="J1989" t="s">
        <v>42</v>
      </c>
    </row>
    <row r="1990" spans="1:10" x14ac:dyDescent="0.25">
      <c r="A1990" s="1">
        <v>121</v>
      </c>
      <c r="B1990" t="s">
        <v>25</v>
      </c>
      <c r="C1990">
        <v>54</v>
      </c>
      <c r="D1990">
        <v>1</v>
      </c>
      <c r="E1990" t="s">
        <v>84</v>
      </c>
      <c r="F1990" t="s">
        <v>85</v>
      </c>
      <c r="G1990" t="str">
        <f>"2025-06-18 18:46:12.131"</f>
        <v>2025-06-18 18:46:12.131</v>
      </c>
      <c r="H1990" t="s">
        <v>21</v>
      </c>
    </row>
    <row r="1991" spans="1:10" x14ac:dyDescent="0.25">
      <c r="A1991" s="1">
        <v>122</v>
      </c>
      <c r="B1991" t="s">
        <v>29</v>
      </c>
      <c r="C1991">
        <v>635</v>
      </c>
      <c r="D1991">
        <v>1</v>
      </c>
      <c r="E1991" t="s">
        <v>45</v>
      </c>
      <c r="F1991" t="s">
        <v>27</v>
      </c>
      <c r="G1991" t="str">
        <f>"2025-06-18 18:45:52.100"</f>
        <v>2025-06-18 18:45:52.100</v>
      </c>
      <c r="H1991" t="s">
        <v>21</v>
      </c>
      <c r="I1991">
        <v>10.039999999999999</v>
      </c>
      <c r="J1991" t="s">
        <v>54</v>
      </c>
    </row>
    <row r="1992" spans="1:10" x14ac:dyDescent="0.25">
      <c r="A1992" s="1">
        <v>123</v>
      </c>
      <c r="B1992" t="s">
        <v>29</v>
      </c>
      <c r="C1992">
        <v>54</v>
      </c>
      <c r="D1992">
        <v>1</v>
      </c>
      <c r="E1992" t="s">
        <v>84</v>
      </c>
      <c r="F1992" t="s">
        <v>85</v>
      </c>
      <c r="G1992" t="str">
        <f>"2025-06-18 17:43:10.931"</f>
        <v>2025-06-18 17:43:10.931</v>
      </c>
      <c r="H1992" t="s">
        <v>21</v>
      </c>
      <c r="I1992">
        <v>10.93</v>
      </c>
      <c r="J1992" t="s">
        <v>42</v>
      </c>
    </row>
    <row r="1993" spans="1:10" x14ac:dyDescent="0.25">
      <c r="A1993" s="1">
        <v>124</v>
      </c>
      <c r="B1993" t="s">
        <v>25</v>
      </c>
      <c r="C1993">
        <v>54</v>
      </c>
      <c r="D1993">
        <v>1</v>
      </c>
      <c r="E1993" t="s">
        <v>84</v>
      </c>
      <c r="F1993" t="s">
        <v>85</v>
      </c>
      <c r="G1993" t="str">
        <f>"2025-06-18 17:42:36.631"</f>
        <v>2025-06-18 17:42:36.631</v>
      </c>
      <c r="H1993" t="s">
        <v>21</v>
      </c>
    </row>
    <row r="1994" spans="1:10" x14ac:dyDescent="0.25">
      <c r="A1994" s="1">
        <v>125</v>
      </c>
      <c r="B1994" t="s">
        <v>29</v>
      </c>
      <c r="C1994">
        <v>54</v>
      </c>
      <c r="D1994">
        <v>1</v>
      </c>
      <c r="E1994" t="s">
        <v>84</v>
      </c>
      <c r="F1994" t="s">
        <v>85</v>
      </c>
      <c r="G1994" t="str">
        <f>"2025-06-18 16:37:30.631"</f>
        <v>2025-06-18 16:37:30.631</v>
      </c>
      <c r="H1994" t="s">
        <v>21</v>
      </c>
      <c r="I1994">
        <v>6.57</v>
      </c>
      <c r="J1994" t="s">
        <v>42</v>
      </c>
    </row>
    <row r="1995" spans="1:10" x14ac:dyDescent="0.25">
      <c r="A1995" s="1">
        <v>126</v>
      </c>
      <c r="B1995" t="s">
        <v>25</v>
      </c>
      <c r="C1995">
        <v>54</v>
      </c>
      <c r="D1995">
        <v>1</v>
      </c>
      <c r="E1995" t="s">
        <v>84</v>
      </c>
      <c r="F1995" t="s">
        <v>85</v>
      </c>
      <c r="G1995" t="str">
        <f>"2025-06-18 16:35:15.731"</f>
        <v>2025-06-18 16:35:15.731</v>
      </c>
      <c r="H1995" t="s">
        <v>21</v>
      </c>
    </row>
    <row r="1996" spans="1:10" x14ac:dyDescent="0.25">
      <c r="A1996" s="1">
        <v>127</v>
      </c>
      <c r="B1996" t="s">
        <v>29</v>
      </c>
      <c r="C1996">
        <v>54</v>
      </c>
      <c r="D1996">
        <v>1</v>
      </c>
      <c r="E1996" t="s">
        <v>84</v>
      </c>
      <c r="F1996" t="s">
        <v>85</v>
      </c>
      <c r="G1996" t="str">
        <f>"2025-06-18 16:10:51.731"</f>
        <v>2025-06-18 16:10:51.731</v>
      </c>
      <c r="H1996" t="s">
        <v>21</v>
      </c>
      <c r="I1996">
        <v>18.75</v>
      </c>
      <c r="J1996" t="s">
        <v>42</v>
      </c>
    </row>
    <row r="1997" spans="1:10" x14ac:dyDescent="0.25">
      <c r="A1997" s="1">
        <v>128</v>
      </c>
      <c r="B1997" t="s">
        <v>25</v>
      </c>
      <c r="C1997">
        <v>54</v>
      </c>
      <c r="D1997">
        <v>1</v>
      </c>
      <c r="E1997" t="s">
        <v>84</v>
      </c>
      <c r="F1997" t="s">
        <v>85</v>
      </c>
      <c r="G1997" t="str">
        <f>"2025-06-18 16:10:30.830"</f>
        <v>2025-06-18 16:10:30.830</v>
      </c>
      <c r="H1997" t="s">
        <v>21</v>
      </c>
    </row>
    <row r="1998" spans="1:10" x14ac:dyDescent="0.25">
      <c r="A1998" s="1">
        <v>129</v>
      </c>
      <c r="B1998" t="s">
        <v>29</v>
      </c>
      <c r="C1998">
        <v>54</v>
      </c>
      <c r="D1998">
        <v>1</v>
      </c>
      <c r="E1998" t="s">
        <v>84</v>
      </c>
      <c r="F1998" t="s">
        <v>85</v>
      </c>
      <c r="G1998" t="str">
        <f>"2025-06-18 15:46:20.631"</f>
        <v>2025-06-18 15:46:20.631</v>
      </c>
      <c r="H1998" t="s">
        <v>21</v>
      </c>
      <c r="I1998">
        <v>12.44</v>
      </c>
      <c r="J1998" t="s">
        <v>42</v>
      </c>
    </row>
    <row r="1999" spans="1:10" x14ac:dyDescent="0.25">
      <c r="A1999" s="1">
        <v>130</v>
      </c>
      <c r="B1999" t="s">
        <v>25</v>
      </c>
      <c r="C1999">
        <v>54</v>
      </c>
      <c r="D1999">
        <v>1</v>
      </c>
      <c r="E1999" t="s">
        <v>84</v>
      </c>
      <c r="F1999" t="s">
        <v>85</v>
      </c>
      <c r="G1999" t="str">
        <f>"2025-06-18 15:45:40.431"</f>
        <v>2025-06-18 15:45:40.431</v>
      </c>
      <c r="H1999" t="s">
        <v>21</v>
      </c>
    </row>
    <row r="2000" spans="1:10" x14ac:dyDescent="0.25">
      <c r="A2000" s="1">
        <v>131</v>
      </c>
      <c r="B2000" t="s">
        <v>29</v>
      </c>
      <c r="C2000">
        <v>54</v>
      </c>
      <c r="D2000">
        <v>1</v>
      </c>
      <c r="E2000" t="s">
        <v>84</v>
      </c>
      <c r="F2000" t="s">
        <v>85</v>
      </c>
      <c r="G2000" t="str">
        <f>"2025-06-18 13:25:21.231"</f>
        <v>2025-06-18 13:25:21.231</v>
      </c>
      <c r="H2000" t="s">
        <v>21</v>
      </c>
      <c r="I2000">
        <v>11.89</v>
      </c>
      <c r="J2000" t="s">
        <v>42</v>
      </c>
    </row>
    <row r="2001" spans="1:10" x14ac:dyDescent="0.25">
      <c r="A2001" s="1">
        <v>132</v>
      </c>
      <c r="B2001" t="s">
        <v>25</v>
      </c>
      <c r="C2001">
        <v>54</v>
      </c>
      <c r="D2001">
        <v>1</v>
      </c>
      <c r="E2001" t="s">
        <v>84</v>
      </c>
      <c r="F2001" t="s">
        <v>85</v>
      </c>
      <c r="G2001" t="str">
        <f>"2025-06-18 13:24:19.431"</f>
        <v>2025-06-18 13:24:19.431</v>
      </c>
      <c r="H2001" t="s">
        <v>21</v>
      </c>
    </row>
    <row r="2002" spans="1:10" x14ac:dyDescent="0.25">
      <c r="A2002" s="1">
        <v>133</v>
      </c>
      <c r="B2002" t="s">
        <v>29</v>
      </c>
      <c r="C2002">
        <v>54</v>
      </c>
      <c r="D2002">
        <v>1</v>
      </c>
      <c r="E2002" t="s">
        <v>84</v>
      </c>
      <c r="F2002" t="s">
        <v>85</v>
      </c>
      <c r="G2002" t="str">
        <f>"2025-06-17 14:55:54.031"</f>
        <v>2025-06-17 14:55:54.031</v>
      </c>
      <c r="H2002" t="s">
        <v>21</v>
      </c>
      <c r="I2002">
        <v>8</v>
      </c>
      <c r="J2002" t="s">
        <v>42</v>
      </c>
    </row>
    <row r="2003" spans="1:10" x14ac:dyDescent="0.25">
      <c r="A2003" s="1">
        <v>134</v>
      </c>
      <c r="B2003" t="s">
        <v>25</v>
      </c>
      <c r="C2003">
        <v>54</v>
      </c>
      <c r="D2003">
        <v>1</v>
      </c>
      <c r="E2003" t="s">
        <v>84</v>
      </c>
      <c r="F2003" t="s">
        <v>85</v>
      </c>
      <c r="G2003" t="str">
        <f>"2025-06-17 14:54:45.931"</f>
        <v>2025-06-17 14:54:45.931</v>
      </c>
      <c r="H2003" t="s">
        <v>21</v>
      </c>
    </row>
    <row r="2004" spans="1:10" x14ac:dyDescent="0.25">
      <c r="A2004" s="1">
        <v>135</v>
      </c>
      <c r="B2004" t="s">
        <v>29</v>
      </c>
      <c r="C2004">
        <v>54</v>
      </c>
      <c r="D2004">
        <v>1</v>
      </c>
      <c r="E2004" t="s">
        <v>84</v>
      </c>
      <c r="F2004" t="s">
        <v>85</v>
      </c>
      <c r="G2004" t="str">
        <f>"2025-06-17 09:46:01.031"</f>
        <v>2025-06-17 09:46:01.031</v>
      </c>
      <c r="H2004" t="s">
        <v>21</v>
      </c>
      <c r="I2004">
        <v>11.16</v>
      </c>
      <c r="J2004" t="s">
        <v>42</v>
      </c>
    </row>
    <row r="2005" spans="1:10" x14ac:dyDescent="0.25">
      <c r="A2005" s="1">
        <v>136</v>
      </c>
      <c r="B2005" t="s">
        <v>25</v>
      </c>
      <c r="C2005">
        <v>54</v>
      </c>
      <c r="D2005">
        <v>1</v>
      </c>
      <c r="E2005" t="s">
        <v>84</v>
      </c>
      <c r="F2005" t="s">
        <v>85</v>
      </c>
      <c r="G2005" t="str">
        <f>"2025-06-17 09:45:27.031"</f>
        <v>2025-06-17 09:45:27.031</v>
      </c>
      <c r="H2005" t="s">
        <v>21</v>
      </c>
    </row>
    <row r="2006" spans="1:10" x14ac:dyDescent="0.25">
      <c r="A2006" s="1">
        <v>137</v>
      </c>
      <c r="B2006" t="s">
        <v>29</v>
      </c>
      <c r="C2006">
        <v>54</v>
      </c>
      <c r="D2006">
        <v>1</v>
      </c>
      <c r="E2006" t="s">
        <v>84</v>
      </c>
      <c r="F2006" t="s">
        <v>85</v>
      </c>
      <c r="G2006" t="str">
        <f>"2025-06-17 09:09:08.331"</f>
        <v>2025-06-17 09:09:08.331</v>
      </c>
      <c r="H2006" t="s">
        <v>21</v>
      </c>
      <c r="I2006">
        <v>9.9</v>
      </c>
      <c r="J2006" t="s">
        <v>54</v>
      </c>
    </row>
    <row r="2007" spans="1:10" x14ac:dyDescent="0.25">
      <c r="A2007" s="1">
        <v>138</v>
      </c>
      <c r="B2007" t="s">
        <v>25</v>
      </c>
      <c r="C2007">
        <v>54</v>
      </c>
      <c r="D2007">
        <v>1</v>
      </c>
      <c r="E2007" t="s">
        <v>84</v>
      </c>
      <c r="F2007" t="s">
        <v>85</v>
      </c>
      <c r="G2007" t="str">
        <f>"2025-06-17 09:04:12.531"</f>
        <v>2025-06-17 09:04:12.531</v>
      </c>
      <c r="H2007" t="s">
        <v>21</v>
      </c>
    </row>
    <row r="2008" spans="1:10" x14ac:dyDescent="0.25">
      <c r="A2008" s="1">
        <v>139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"2025-06-17 09:03:59.802"</f>
        <v>2025-06-17 09:03:59.802</v>
      </c>
      <c r="H2008" t="s">
        <v>21</v>
      </c>
      <c r="I2008">
        <v>0</v>
      </c>
      <c r="J2008" t="s">
        <v>32</v>
      </c>
    </row>
    <row r="2009" spans="1:10" x14ac:dyDescent="0.25">
      <c r="A2009" s="1">
        <v>140</v>
      </c>
      <c r="B2009" t="s">
        <v>29</v>
      </c>
      <c r="C2009">
        <v>54</v>
      </c>
      <c r="D2009">
        <v>1</v>
      </c>
      <c r="E2009" t="s">
        <v>84</v>
      </c>
      <c r="F2009" t="s">
        <v>85</v>
      </c>
      <c r="G2009" t="str">
        <f>"2025-06-17 08:29:21.324"</f>
        <v>2025-06-17 08:29:21.324</v>
      </c>
      <c r="H2009" t="s">
        <v>21</v>
      </c>
      <c r="I2009">
        <v>9.5500000000000007</v>
      </c>
      <c r="J2009" t="s">
        <v>42</v>
      </c>
    </row>
    <row r="2010" spans="1:10" x14ac:dyDescent="0.25">
      <c r="A2010" s="1">
        <v>141</v>
      </c>
      <c r="B2010" t="s">
        <v>25</v>
      </c>
      <c r="C2010">
        <v>54</v>
      </c>
      <c r="D2010">
        <v>1</v>
      </c>
      <c r="E2010" t="s">
        <v>84</v>
      </c>
      <c r="F2010" t="s">
        <v>85</v>
      </c>
      <c r="G2010" t="str">
        <f>"2025-06-17 08:28:42.824"</f>
        <v>2025-06-17 08:28:42.824</v>
      </c>
      <c r="H2010" t="s">
        <v>21</v>
      </c>
    </row>
    <row r="2011" spans="1:10" x14ac:dyDescent="0.25">
      <c r="A2011" s="1">
        <v>142</v>
      </c>
      <c r="B2011" t="s">
        <v>29</v>
      </c>
      <c r="C2011">
        <v>54</v>
      </c>
      <c r="D2011">
        <v>1</v>
      </c>
      <c r="E2011" t="s">
        <v>84</v>
      </c>
      <c r="F2011" t="s">
        <v>85</v>
      </c>
      <c r="G2011" t="str">
        <f>"2025-06-17 04:38:02.224"</f>
        <v>2025-06-17 04:38:02.224</v>
      </c>
      <c r="H2011" t="s">
        <v>21</v>
      </c>
      <c r="I2011">
        <v>17.600000000000001</v>
      </c>
      <c r="J2011" t="s">
        <v>42</v>
      </c>
    </row>
    <row r="2012" spans="1:10" x14ac:dyDescent="0.25">
      <c r="A2012" s="1">
        <v>143</v>
      </c>
      <c r="B2012" t="s">
        <v>25</v>
      </c>
      <c r="C2012">
        <v>54</v>
      </c>
      <c r="D2012">
        <v>1</v>
      </c>
      <c r="E2012" t="s">
        <v>84</v>
      </c>
      <c r="F2012" t="s">
        <v>85</v>
      </c>
      <c r="G2012" t="str">
        <f>"2025-06-17 04:37:28.824"</f>
        <v>2025-06-17 04:37:28.824</v>
      </c>
      <c r="H2012" t="s">
        <v>21</v>
      </c>
    </row>
    <row r="2013" spans="1:10" x14ac:dyDescent="0.25">
      <c r="A2013" s="1">
        <v>144</v>
      </c>
      <c r="B2013" t="s">
        <v>29</v>
      </c>
      <c r="C2013">
        <v>54</v>
      </c>
      <c r="D2013">
        <v>1</v>
      </c>
      <c r="E2013" t="s">
        <v>84</v>
      </c>
      <c r="F2013" t="s">
        <v>85</v>
      </c>
      <c r="G2013" t="str">
        <f>"2025-06-17 03:11:01.524"</f>
        <v>2025-06-17 03:11:01.524</v>
      </c>
      <c r="H2013" t="s">
        <v>21</v>
      </c>
      <c r="I2013">
        <v>16.29</v>
      </c>
      <c r="J2013" t="s">
        <v>42</v>
      </c>
    </row>
    <row r="2014" spans="1:10" x14ac:dyDescent="0.25">
      <c r="A2014" s="1">
        <v>145</v>
      </c>
      <c r="B2014" t="s">
        <v>25</v>
      </c>
      <c r="C2014">
        <v>54</v>
      </c>
      <c r="D2014">
        <v>1</v>
      </c>
      <c r="E2014" t="s">
        <v>84</v>
      </c>
      <c r="F2014" t="s">
        <v>85</v>
      </c>
      <c r="G2014" t="str">
        <f>"2025-06-17 03:10:27.424"</f>
        <v>2025-06-17 03:10:27.424</v>
      </c>
      <c r="H2014" t="s">
        <v>21</v>
      </c>
    </row>
    <row r="2015" spans="1:10" x14ac:dyDescent="0.25">
      <c r="A2015" s="1">
        <v>146</v>
      </c>
      <c r="B2015" t="s">
        <v>29</v>
      </c>
      <c r="C2015">
        <v>54</v>
      </c>
      <c r="D2015">
        <v>1</v>
      </c>
      <c r="E2015" t="s">
        <v>84</v>
      </c>
      <c r="F2015" t="s">
        <v>85</v>
      </c>
      <c r="G2015" t="str">
        <f>"2025-06-17 02:50:59.724"</f>
        <v>2025-06-17 02:50:59.724</v>
      </c>
      <c r="H2015" t="s">
        <v>21</v>
      </c>
      <c r="I2015">
        <v>18.53</v>
      </c>
      <c r="J2015" t="s">
        <v>42</v>
      </c>
    </row>
    <row r="2016" spans="1:10" x14ac:dyDescent="0.25">
      <c r="A2016" s="1">
        <v>147</v>
      </c>
      <c r="B2016" t="s">
        <v>25</v>
      </c>
      <c r="C2016">
        <v>54</v>
      </c>
      <c r="D2016">
        <v>1</v>
      </c>
      <c r="E2016" t="s">
        <v>84</v>
      </c>
      <c r="F2016" t="s">
        <v>85</v>
      </c>
      <c r="G2016" t="str">
        <f>"2025-06-17 02:50:22.124"</f>
        <v>2025-06-17 02:50:22.124</v>
      </c>
      <c r="H2016" t="s">
        <v>21</v>
      </c>
    </row>
    <row r="2017" spans="1:10" s="3" customFormat="1" x14ac:dyDescent="0.25">
      <c r="A2017" s="2">
        <v>148</v>
      </c>
      <c r="B2017" s="3" t="s">
        <v>25</v>
      </c>
      <c r="C2017" s="3">
        <v>647</v>
      </c>
      <c r="D2017" s="3">
        <v>1</v>
      </c>
      <c r="E2017" s="3" t="s">
        <v>55</v>
      </c>
      <c r="F2017" s="3" t="s">
        <v>56</v>
      </c>
      <c r="G2017" s="3" t="str">
        <f>"2025-06-17 01:05:53.032"</f>
        <v>2025-06-17 01:05:53.032</v>
      </c>
      <c r="H2017" s="3" t="s">
        <v>21</v>
      </c>
    </row>
    <row r="2018" spans="1:10" s="3" customFormat="1" x14ac:dyDescent="0.25">
      <c r="A2018" s="2">
        <v>149</v>
      </c>
      <c r="B2018" s="3" t="s">
        <v>29</v>
      </c>
      <c r="C2018" s="3">
        <v>647</v>
      </c>
      <c r="D2018" s="3">
        <v>1</v>
      </c>
      <c r="E2018" s="3" t="s">
        <v>55</v>
      </c>
      <c r="F2018" s="3" t="s">
        <v>56</v>
      </c>
      <c r="G2018" s="3" t="str">
        <f>"2025-06-17 01:05:50.733"</f>
        <v>2025-06-17 01:05:50.733</v>
      </c>
      <c r="H2018" s="3" t="s">
        <v>21</v>
      </c>
      <c r="I2018" s="3">
        <v>24.62</v>
      </c>
      <c r="J2018" s="3" t="s">
        <v>54</v>
      </c>
    </row>
    <row r="2019" spans="1:10" x14ac:dyDescent="0.25">
      <c r="A2019" s="1">
        <v>150</v>
      </c>
      <c r="B2019" t="s">
        <v>29</v>
      </c>
      <c r="C2019">
        <v>54</v>
      </c>
      <c r="D2019">
        <v>1</v>
      </c>
      <c r="E2019" t="s">
        <v>84</v>
      </c>
      <c r="F2019" t="s">
        <v>85</v>
      </c>
      <c r="G2019" t="str">
        <f>"2025-06-16 23:44:52.124"</f>
        <v>2025-06-16 23:44:52.124</v>
      </c>
      <c r="H2019" t="s">
        <v>21</v>
      </c>
      <c r="I2019">
        <v>17.36</v>
      </c>
      <c r="J2019" t="s">
        <v>54</v>
      </c>
    </row>
    <row r="2020" spans="1:10" x14ac:dyDescent="0.25">
      <c r="A2020" s="1">
        <v>151</v>
      </c>
      <c r="B2020" t="s">
        <v>25</v>
      </c>
      <c r="C2020">
        <v>54</v>
      </c>
      <c r="D2020">
        <v>1</v>
      </c>
      <c r="E2020" t="s">
        <v>84</v>
      </c>
      <c r="F2020" t="s">
        <v>85</v>
      </c>
      <c r="G2020" t="str">
        <f>"2025-06-16 23:44:11.724"</f>
        <v>2025-06-16 23:44:11.724</v>
      </c>
      <c r="H2020" t="s">
        <v>21</v>
      </c>
    </row>
    <row r="2021" spans="1:10" x14ac:dyDescent="0.25">
      <c r="A2021" s="1">
        <v>152</v>
      </c>
      <c r="B2021" t="s">
        <v>29</v>
      </c>
      <c r="C2021">
        <v>54</v>
      </c>
      <c r="D2021">
        <v>1</v>
      </c>
      <c r="E2021" t="s">
        <v>84</v>
      </c>
      <c r="F2021" t="s">
        <v>85</v>
      </c>
      <c r="G2021" t="str">
        <f>"2025-06-16 14:33:05.524"</f>
        <v>2025-06-16 14:33:05.524</v>
      </c>
      <c r="H2021" t="s">
        <v>21</v>
      </c>
      <c r="I2021">
        <v>8.8000000000000007</v>
      </c>
      <c r="J2021" t="s">
        <v>42</v>
      </c>
    </row>
    <row r="2022" spans="1:10" x14ac:dyDescent="0.25">
      <c r="A2022" s="1">
        <v>153</v>
      </c>
      <c r="B2022" t="s">
        <v>25</v>
      </c>
      <c r="C2022">
        <v>54</v>
      </c>
      <c r="D2022">
        <v>1</v>
      </c>
      <c r="E2022" t="s">
        <v>84</v>
      </c>
      <c r="F2022" t="s">
        <v>85</v>
      </c>
      <c r="G2022" t="str">
        <f>"2025-06-16 14:32:03.924"</f>
        <v>2025-06-16 14:32:03.924</v>
      </c>
      <c r="H2022" t="s">
        <v>21</v>
      </c>
    </row>
    <row r="2023" spans="1:10" x14ac:dyDescent="0.25">
      <c r="A2023" s="1">
        <v>154</v>
      </c>
      <c r="B2023" t="s">
        <v>29</v>
      </c>
      <c r="C2023">
        <v>54</v>
      </c>
      <c r="D2023">
        <v>1</v>
      </c>
      <c r="E2023" t="s">
        <v>84</v>
      </c>
      <c r="F2023" t="s">
        <v>85</v>
      </c>
      <c r="G2023" t="str">
        <f>"2025-06-16 14:13:05.524"</f>
        <v>2025-06-16 14:13:05.524</v>
      </c>
      <c r="H2023" t="s">
        <v>21</v>
      </c>
      <c r="I2023">
        <v>13.54</v>
      </c>
      <c r="J2023" t="s">
        <v>42</v>
      </c>
    </row>
    <row r="2024" spans="1:10" x14ac:dyDescent="0.25">
      <c r="A2024" s="1">
        <v>155</v>
      </c>
      <c r="B2024" t="s">
        <v>25</v>
      </c>
      <c r="C2024">
        <v>54</v>
      </c>
      <c r="D2024">
        <v>1</v>
      </c>
      <c r="E2024" t="s">
        <v>84</v>
      </c>
      <c r="F2024" t="s">
        <v>85</v>
      </c>
      <c r="G2024" t="str">
        <f>"2025-06-16 14:11:54.624"</f>
        <v>2025-06-16 14:11:54.624</v>
      </c>
      <c r="H2024" t="s">
        <v>21</v>
      </c>
    </row>
    <row r="2025" spans="1:10" x14ac:dyDescent="0.25">
      <c r="A2025" s="1">
        <v>156</v>
      </c>
      <c r="B2025" t="s">
        <v>29</v>
      </c>
      <c r="C2025">
        <v>54</v>
      </c>
      <c r="D2025">
        <v>1</v>
      </c>
      <c r="E2025" t="s">
        <v>84</v>
      </c>
      <c r="F2025" t="s">
        <v>85</v>
      </c>
      <c r="G2025" t="str">
        <f>"2025-06-16 13:40:58.924"</f>
        <v>2025-06-16 13:40:58.924</v>
      </c>
      <c r="H2025" t="s">
        <v>21</v>
      </c>
      <c r="I2025">
        <v>6.2</v>
      </c>
      <c r="J2025" t="s">
        <v>42</v>
      </c>
    </row>
    <row r="2026" spans="1:10" x14ac:dyDescent="0.25">
      <c r="A2026" s="1">
        <v>157</v>
      </c>
      <c r="B2026" t="s">
        <v>25</v>
      </c>
      <c r="C2026">
        <v>54</v>
      </c>
      <c r="D2026">
        <v>1</v>
      </c>
      <c r="E2026" t="s">
        <v>84</v>
      </c>
      <c r="F2026" t="s">
        <v>85</v>
      </c>
      <c r="G2026" t="str">
        <f>"2025-06-16 13:40:36.824"</f>
        <v>2025-06-16 13:40:36.824</v>
      </c>
      <c r="H2026" t="s">
        <v>21</v>
      </c>
    </row>
    <row r="2027" spans="1:10" x14ac:dyDescent="0.25">
      <c r="A2027" s="1">
        <v>158</v>
      </c>
      <c r="B2027" t="s">
        <v>29</v>
      </c>
      <c r="C2027">
        <v>54</v>
      </c>
      <c r="D2027">
        <v>1</v>
      </c>
      <c r="E2027" t="s">
        <v>84</v>
      </c>
      <c r="F2027" t="s">
        <v>85</v>
      </c>
      <c r="G2027" t="str">
        <f>"2025-06-16 13:09:29.624"</f>
        <v>2025-06-16 13:09:29.624</v>
      </c>
      <c r="H2027" t="s">
        <v>21</v>
      </c>
      <c r="I2027">
        <v>7.41</v>
      </c>
      <c r="J2027" t="s">
        <v>42</v>
      </c>
    </row>
    <row r="2028" spans="1:10" x14ac:dyDescent="0.25">
      <c r="A2028" s="1">
        <v>159</v>
      </c>
      <c r="B2028" t="s">
        <v>25</v>
      </c>
      <c r="C2028">
        <v>54</v>
      </c>
      <c r="D2028">
        <v>1</v>
      </c>
      <c r="E2028" t="s">
        <v>84</v>
      </c>
      <c r="F2028" t="s">
        <v>85</v>
      </c>
      <c r="G2028" t="str">
        <f>"2025-06-16 13:07:09.724"</f>
        <v>2025-06-16 13:07:09.724</v>
      </c>
      <c r="H2028" t="s">
        <v>21</v>
      </c>
    </row>
    <row r="2029" spans="1:10" x14ac:dyDescent="0.25">
      <c r="A2029" s="1">
        <v>160</v>
      </c>
      <c r="B2029" t="s">
        <v>29</v>
      </c>
      <c r="C2029">
        <v>54</v>
      </c>
      <c r="D2029">
        <v>1</v>
      </c>
      <c r="E2029" t="s">
        <v>84</v>
      </c>
      <c r="F2029" t="s">
        <v>85</v>
      </c>
      <c r="G2029" t="str">
        <f>"2025-06-16 13:04:13.624"</f>
        <v>2025-06-16 13:04:13.624</v>
      </c>
      <c r="H2029" t="s">
        <v>21</v>
      </c>
      <c r="I2029">
        <v>9.1199999999999992</v>
      </c>
      <c r="J2029" t="s">
        <v>42</v>
      </c>
    </row>
    <row r="2030" spans="1:10" x14ac:dyDescent="0.25">
      <c r="A2030" s="1">
        <v>161</v>
      </c>
      <c r="B2030" t="s">
        <v>25</v>
      </c>
      <c r="C2030">
        <v>54</v>
      </c>
      <c r="D2030">
        <v>1</v>
      </c>
      <c r="E2030" t="s">
        <v>84</v>
      </c>
      <c r="F2030" t="s">
        <v>85</v>
      </c>
      <c r="G2030" t="str">
        <f>"2025-06-16 13:03:40.024"</f>
        <v>2025-06-16 13:03:40.024</v>
      </c>
      <c r="H2030" t="s">
        <v>21</v>
      </c>
    </row>
    <row r="2031" spans="1:10" x14ac:dyDescent="0.25">
      <c r="A2031" s="1">
        <v>162</v>
      </c>
      <c r="B2031" t="s">
        <v>29</v>
      </c>
      <c r="C2031">
        <v>54</v>
      </c>
      <c r="D2031">
        <v>1</v>
      </c>
      <c r="E2031" t="s">
        <v>84</v>
      </c>
      <c r="F2031" t="s">
        <v>85</v>
      </c>
      <c r="G2031" t="str">
        <f>"2025-06-16 10:07:16.824"</f>
        <v>2025-06-16 10:07:16.824</v>
      </c>
      <c r="H2031" t="s">
        <v>21</v>
      </c>
      <c r="I2031">
        <v>12.55</v>
      </c>
      <c r="J2031" t="s">
        <v>42</v>
      </c>
    </row>
    <row r="2032" spans="1:10" x14ac:dyDescent="0.25">
      <c r="A2032" s="1">
        <v>163</v>
      </c>
      <c r="B2032" t="s">
        <v>25</v>
      </c>
      <c r="C2032">
        <v>54</v>
      </c>
      <c r="D2032">
        <v>1</v>
      </c>
      <c r="E2032" t="s">
        <v>84</v>
      </c>
      <c r="F2032" t="s">
        <v>85</v>
      </c>
      <c r="G2032" t="str">
        <f>"2025-06-16 10:06:32.424"</f>
        <v>2025-06-16 10:06:32.424</v>
      </c>
      <c r="H2032" t="s">
        <v>21</v>
      </c>
    </row>
    <row r="2033" spans="1:10" x14ac:dyDescent="0.25">
      <c r="A2033" s="1">
        <v>164</v>
      </c>
      <c r="B2033" t="s">
        <v>29</v>
      </c>
      <c r="C2033">
        <v>54</v>
      </c>
      <c r="D2033">
        <v>1</v>
      </c>
      <c r="E2033" t="s">
        <v>84</v>
      </c>
      <c r="F2033" t="s">
        <v>85</v>
      </c>
      <c r="G2033" t="str">
        <f>"2025-06-16 08:04:45.624"</f>
        <v>2025-06-16 08:04:45.624</v>
      </c>
      <c r="H2033" t="s">
        <v>21</v>
      </c>
      <c r="I2033">
        <v>12.45</v>
      </c>
      <c r="J2033" t="s">
        <v>42</v>
      </c>
    </row>
    <row r="2034" spans="1:10" x14ac:dyDescent="0.25">
      <c r="A2034" s="1">
        <v>165</v>
      </c>
      <c r="B2034" t="s">
        <v>25</v>
      </c>
      <c r="C2034">
        <v>54</v>
      </c>
      <c r="D2034">
        <v>1</v>
      </c>
      <c r="E2034" t="s">
        <v>84</v>
      </c>
      <c r="F2034" t="s">
        <v>85</v>
      </c>
      <c r="G2034" t="str">
        <f>"2025-06-16 08:04:25.324"</f>
        <v>2025-06-16 08:04:25.324</v>
      </c>
      <c r="H2034" t="s">
        <v>21</v>
      </c>
    </row>
    <row r="2035" spans="1:10" x14ac:dyDescent="0.25">
      <c r="A2035" s="1">
        <v>166</v>
      </c>
      <c r="B2035" t="s">
        <v>29</v>
      </c>
      <c r="C2035">
        <v>54</v>
      </c>
      <c r="D2035">
        <v>1</v>
      </c>
      <c r="E2035" t="s">
        <v>84</v>
      </c>
      <c r="F2035" t="s">
        <v>85</v>
      </c>
      <c r="G2035" t="str">
        <f>"2025-06-15 17:50:32.724"</f>
        <v>2025-06-15 17:50:32.724</v>
      </c>
      <c r="H2035" t="s">
        <v>21</v>
      </c>
      <c r="I2035">
        <v>11.8</v>
      </c>
      <c r="J2035" t="s">
        <v>42</v>
      </c>
    </row>
    <row r="2036" spans="1:10" x14ac:dyDescent="0.25">
      <c r="A2036" s="1">
        <v>167</v>
      </c>
      <c r="B2036" t="s">
        <v>25</v>
      </c>
      <c r="C2036">
        <v>54</v>
      </c>
      <c r="D2036">
        <v>1</v>
      </c>
      <c r="E2036" t="s">
        <v>84</v>
      </c>
      <c r="F2036" t="s">
        <v>85</v>
      </c>
      <c r="G2036" t="str">
        <f>"2025-06-15 17:49:40.424"</f>
        <v>2025-06-15 17:49:40.424</v>
      </c>
      <c r="H2036" t="s">
        <v>21</v>
      </c>
    </row>
    <row r="2037" spans="1:10" x14ac:dyDescent="0.25">
      <c r="A2037" s="1">
        <v>168</v>
      </c>
      <c r="B2037" t="s">
        <v>29</v>
      </c>
      <c r="C2037">
        <v>54</v>
      </c>
      <c r="D2037">
        <v>1</v>
      </c>
      <c r="E2037" t="s">
        <v>84</v>
      </c>
      <c r="F2037" t="s">
        <v>85</v>
      </c>
      <c r="G2037" t="str">
        <f>"2025-06-15 15:09:34.024"</f>
        <v>2025-06-15 15:09:34.024</v>
      </c>
      <c r="H2037" t="s">
        <v>21</v>
      </c>
      <c r="I2037">
        <v>6.97</v>
      </c>
      <c r="J2037" t="s">
        <v>54</v>
      </c>
    </row>
    <row r="2038" spans="1:10" x14ac:dyDescent="0.25">
      <c r="A2038" s="1">
        <v>169</v>
      </c>
      <c r="B2038" t="s">
        <v>25</v>
      </c>
      <c r="C2038">
        <v>54</v>
      </c>
      <c r="D2038">
        <v>1</v>
      </c>
      <c r="E2038" t="s">
        <v>84</v>
      </c>
      <c r="F2038" t="s">
        <v>85</v>
      </c>
      <c r="G2038" t="str">
        <f>"2025-06-15 15:05:49.624"</f>
        <v>2025-06-15 15:05:49.624</v>
      </c>
      <c r="H2038" t="s">
        <v>21</v>
      </c>
    </row>
    <row r="2039" spans="1:10" x14ac:dyDescent="0.25">
      <c r="A2039" s="1">
        <v>170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"2025-06-15 15:05:37.004"</f>
        <v>2025-06-15 15:05:37.004</v>
      </c>
      <c r="H2039" t="s">
        <v>21</v>
      </c>
      <c r="I2039">
        <v>0</v>
      </c>
      <c r="J2039" t="s">
        <v>32</v>
      </c>
    </row>
    <row r="2040" spans="1:10" s="3" customFormat="1" x14ac:dyDescent="0.25">
      <c r="A2040" s="2">
        <v>171</v>
      </c>
      <c r="B2040" s="3" t="s">
        <v>25</v>
      </c>
      <c r="C2040" s="3">
        <v>647</v>
      </c>
      <c r="D2040" s="3">
        <v>1</v>
      </c>
      <c r="E2040" s="3" t="s">
        <v>55</v>
      </c>
      <c r="F2040" s="3" t="s">
        <v>56</v>
      </c>
      <c r="G2040" s="3" t="str">
        <f>"2025-06-15 12:08:07.173"</f>
        <v>2025-06-15 12:08:07.173</v>
      </c>
      <c r="H2040" s="3" t="s">
        <v>21</v>
      </c>
    </row>
    <row r="2041" spans="1:10" s="3" customFormat="1" x14ac:dyDescent="0.25">
      <c r="A2041" s="2">
        <v>172</v>
      </c>
      <c r="B2041" s="3" t="s">
        <v>29</v>
      </c>
      <c r="C2041" s="3">
        <v>647</v>
      </c>
      <c r="D2041" s="3">
        <v>1</v>
      </c>
      <c r="E2041" s="3" t="s">
        <v>55</v>
      </c>
      <c r="F2041" s="3" t="s">
        <v>56</v>
      </c>
      <c r="G2041" s="3" t="str">
        <f>"2025-06-15 12:08:05.074"</f>
        <v>2025-06-15 12:08:05.074</v>
      </c>
      <c r="H2041" s="3" t="s">
        <v>21</v>
      </c>
      <c r="I2041" s="3">
        <v>11.4</v>
      </c>
      <c r="J2041" s="3" t="s">
        <v>54</v>
      </c>
    </row>
    <row r="2042" spans="1:10" x14ac:dyDescent="0.25">
      <c r="A2042" s="1">
        <v>173</v>
      </c>
      <c r="B2042" t="s">
        <v>29</v>
      </c>
      <c r="C2042">
        <v>54</v>
      </c>
      <c r="D2042">
        <v>1</v>
      </c>
      <c r="E2042" t="s">
        <v>84</v>
      </c>
      <c r="F2042" t="s">
        <v>85</v>
      </c>
      <c r="G2042" t="str">
        <f>"2025-06-15 11:52:24.085"</f>
        <v>2025-06-15 11:52:24.085</v>
      </c>
      <c r="H2042" t="s">
        <v>21</v>
      </c>
      <c r="I2042">
        <v>12.47</v>
      </c>
      <c r="J2042" t="s">
        <v>42</v>
      </c>
    </row>
    <row r="2043" spans="1:10" x14ac:dyDescent="0.25">
      <c r="A2043" s="1">
        <v>174</v>
      </c>
      <c r="B2043" t="s">
        <v>25</v>
      </c>
      <c r="C2043">
        <v>54</v>
      </c>
      <c r="D2043">
        <v>1</v>
      </c>
      <c r="E2043" t="s">
        <v>84</v>
      </c>
      <c r="F2043" t="s">
        <v>85</v>
      </c>
      <c r="G2043" t="str">
        <f>"2025-06-15 11:49:32.185"</f>
        <v>2025-06-15 11:49:32.185</v>
      </c>
      <c r="H2043" t="s">
        <v>21</v>
      </c>
    </row>
    <row r="2044" spans="1:10" x14ac:dyDescent="0.25">
      <c r="A2044" s="1">
        <v>175</v>
      </c>
      <c r="B2044" t="s">
        <v>29</v>
      </c>
      <c r="C2044">
        <v>54</v>
      </c>
      <c r="D2044">
        <v>1</v>
      </c>
      <c r="E2044" t="s">
        <v>84</v>
      </c>
      <c r="F2044" t="s">
        <v>85</v>
      </c>
      <c r="G2044" t="str">
        <f>"2025-06-15 09:40:26.985"</f>
        <v>2025-06-15 09:40:26.985</v>
      </c>
      <c r="H2044" t="s">
        <v>21</v>
      </c>
      <c r="I2044">
        <v>8.5500000000000007</v>
      </c>
      <c r="J2044" t="s">
        <v>42</v>
      </c>
    </row>
    <row r="2045" spans="1:10" x14ac:dyDescent="0.25">
      <c r="A2045" s="1">
        <v>176</v>
      </c>
      <c r="B2045" t="s">
        <v>25</v>
      </c>
      <c r="C2045">
        <v>54</v>
      </c>
      <c r="D2045">
        <v>1</v>
      </c>
      <c r="E2045" t="s">
        <v>84</v>
      </c>
      <c r="F2045" t="s">
        <v>85</v>
      </c>
      <c r="G2045" t="str">
        <f>"2025-06-15 09:38:39.685"</f>
        <v>2025-06-15 09:38:39.685</v>
      </c>
      <c r="H2045" t="s">
        <v>21</v>
      </c>
    </row>
    <row r="2046" spans="1:10" x14ac:dyDescent="0.25">
      <c r="A2046" s="1">
        <v>177</v>
      </c>
      <c r="B2046" t="s">
        <v>29</v>
      </c>
      <c r="C2046">
        <v>54</v>
      </c>
      <c r="D2046">
        <v>1</v>
      </c>
      <c r="E2046" t="s">
        <v>84</v>
      </c>
      <c r="F2046" t="s">
        <v>85</v>
      </c>
      <c r="G2046" t="str">
        <f>"2025-06-15 07:01:47.185"</f>
        <v>2025-06-15 07:01:47.185</v>
      </c>
      <c r="H2046" t="s">
        <v>21</v>
      </c>
      <c r="I2046">
        <v>9.8699999999999992</v>
      </c>
      <c r="J2046" t="s">
        <v>42</v>
      </c>
    </row>
    <row r="2047" spans="1:10" x14ac:dyDescent="0.25">
      <c r="A2047" s="1">
        <v>178</v>
      </c>
      <c r="B2047" t="s">
        <v>25</v>
      </c>
      <c r="C2047">
        <v>54</v>
      </c>
      <c r="D2047">
        <v>1</v>
      </c>
      <c r="E2047" t="s">
        <v>84</v>
      </c>
      <c r="F2047" t="s">
        <v>85</v>
      </c>
      <c r="G2047" t="str">
        <f>"2025-06-15 07:01:08.185"</f>
        <v>2025-06-15 07:01:08.185</v>
      </c>
      <c r="H2047" t="s">
        <v>21</v>
      </c>
    </row>
    <row r="2048" spans="1:10" x14ac:dyDescent="0.25">
      <c r="A2048" s="1">
        <v>179</v>
      </c>
      <c r="B2048" t="s">
        <v>29</v>
      </c>
      <c r="C2048">
        <v>54</v>
      </c>
      <c r="D2048">
        <v>1</v>
      </c>
      <c r="E2048" t="s">
        <v>84</v>
      </c>
      <c r="F2048" t="s">
        <v>85</v>
      </c>
      <c r="G2048" t="str">
        <f>"2025-06-15 06:09:53.885"</f>
        <v>2025-06-15 06:09:53.885</v>
      </c>
      <c r="H2048" t="s">
        <v>21</v>
      </c>
      <c r="I2048">
        <v>5.77</v>
      </c>
      <c r="J2048" t="s">
        <v>42</v>
      </c>
    </row>
    <row r="2049" spans="1:10" x14ac:dyDescent="0.25">
      <c r="A2049" s="1">
        <v>180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"2025-06-15 05:30:57.736"</f>
        <v>2025-06-15 05:30:57.736</v>
      </c>
      <c r="H2049" t="s">
        <v>21</v>
      </c>
    </row>
    <row r="2050" spans="1:10" x14ac:dyDescent="0.25">
      <c r="A2050" s="1">
        <v>181</v>
      </c>
      <c r="B2050" t="s">
        <v>25</v>
      </c>
      <c r="C2050">
        <v>630</v>
      </c>
      <c r="D2050">
        <v>5</v>
      </c>
      <c r="E2050" t="s">
        <v>51</v>
      </c>
      <c r="F2050" t="s">
        <v>52</v>
      </c>
      <c r="G2050" t="str">
        <f>"2025-06-15 04:53:49.443"</f>
        <v>2025-06-15 04:53:49.443</v>
      </c>
      <c r="H2050" t="s">
        <v>40</v>
      </c>
    </row>
    <row r="2051" spans="1:10" x14ac:dyDescent="0.25">
      <c r="A2051" s="1">
        <v>182</v>
      </c>
      <c r="B2051" t="s">
        <v>19</v>
      </c>
      <c r="C2051">
        <v>706</v>
      </c>
      <c r="D2051">
        <v>2</v>
      </c>
      <c r="E2051" t="s">
        <v>22</v>
      </c>
      <c r="F2051" t="s">
        <v>53</v>
      </c>
      <c r="G2051" t="str">
        <f>"2025-06-15 04:53:19.311"</f>
        <v>2025-06-15 04:53:19.311</v>
      </c>
      <c r="H2051" t="s">
        <v>21</v>
      </c>
      <c r="I2051">
        <v>0</v>
      </c>
      <c r="J2051" t="s">
        <v>24</v>
      </c>
    </row>
    <row r="2052" spans="1:10" x14ac:dyDescent="0.25">
      <c r="A2052" s="1">
        <v>183</v>
      </c>
      <c r="B2052" t="s">
        <v>33</v>
      </c>
      <c r="C2052">
        <v>630</v>
      </c>
      <c r="D2052">
        <v>5</v>
      </c>
      <c r="E2052" t="s">
        <v>51</v>
      </c>
      <c r="F2052" t="s">
        <v>52</v>
      </c>
      <c r="G2052" t="str">
        <f>"2025-06-15 04:29:51.543"</f>
        <v>2025-06-15 04:29:51.543</v>
      </c>
      <c r="H2052" t="s">
        <v>40</v>
      </c>
      <c r="I2052">
        <v>0</v>
      </c>
      <c r="J2052" t="s">
        <v>24</v>
      </c>
    </row>
    <row r="2053" spans="1:10" x14ac:dyDescent="0.25">
      <c r="A2053" s="1">
        <v>184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"2025-06-15 04:24:48.801"</f>
        <v>2025-06-15 04:24:48.801</v>
      </c>
      <c r="H2053" t="s">
        <v>21</v>
      </c>
    </row>
    <row r="2054" spans="1:10" x14ac:dyDescent="0.25">
      <c r="A2054" s="1">
        <v>185</v>
      </c>
      <c r="B2054" t="s">
        <v>33</v>
      </c>
      <c r="C2054">
        <v>630</v>
      </c>
      <c r="D2054">
        <v>5</v>
      </c>
      <c r="E2054" t="s">
        <v>51</v>
      </c>
      <c r="F2054" t="s">
        <v>52</v>
      </c>
      <c r="G2054" t="str">
        <f>"2025-06-15 03:30:03.718"</f>
        <v>2025-06-15 03:30:03.718</v>
      </c>
      <c r="H2054" t="s">
        <v>40</v>
      </c>
      <c r="I2054">
        <v>0</v>
      </c>
      <c r="J2054" t="s">
        <v>24</v>
      </c>
    </row>
    <row r="2055" spans="1:10" x14ac:dyDescent="0.25">
      <c r="A2055" s="1">
        <v>186</v>
      </c>
      <c r="B2055" t="s">
        <v>25</v>
      </c>
      <c r="C2055">
        <v>54</v>
      </c>
      <c r="D2055">
        <v>1</v>
      </c>
      <c r="E2055" t="s">
        <v>84</v>
      </c>
      <c r="F2055" t="s">
        <v>85</v>
      </c>
      <c r="G2055" t="str">
        <f>"2025-06-15 03:25:13.630"</f>
        <v>2025-06-15 03:25:13.630</v>
      </c>
      <c r="H2055" t="s">
        <v>21</v>
      </c>
    </row>
    <row r="2056" spans="1:10" x14ac:dyDescent="0.25">
      <c r="A2056" s="1">
        <v>187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"2025-06-15 03:25:00.972"</f>
        <v>2025-06-15 03:25:00.972</v>
      </c>
      <c r="H2056" t="s">
        <v>21</v>
      </c>
    </row>
    <row r="2057" spans="1:10" x14ac:dyDescent="0.25">
      <c r="A2057" s="1">
        <v>188</v>
      </c>
      <c r="B2057" t="s">
        <v>29</v>
      </c>
      <c r="C2057">
        <v>54</v>
      </c>
      <c r="D2057">
        <v>1</v>
      </c>
      <c r="E2057" t="s">
        <v>84</v>
      </c>
      <c r="F2057" t="s">
        <v>85</v>
      </c>
      <c r="G2057" t="str">
        <f>"2025-06-14 21:10:17.137"</f>
        <v>2025-06-14 21:10:17.137</v>
      </c>
      <c r="H2057" t="s">
        <v>21</v>
      </c>
      <c r="I2057">
        <v>10.81</v>
      </c>
      <c r="J2057" t="s">
        <v>42</v>
      </c>
    </row>
    <row r="2058" spans="1:10" x14ac:dyDescent="0.25">
      <c r="A2058" s="1">
        <v>189</v>
      </c>
      <c r="B2058" t="s">
        <v>25</v>
      </c>
      <c r="C2058">
        <v>54</v>
      </c>
      <c r="D2058">
        <v>1</v>
      </c>
      <c r="E2058" t="s">
        <v>84</v>
      </c>
      <c r="F2058" t="s">
        <v>85</v>
      </c>
      <c r="G2058" t="str">
        <f>"2025-06-14 21:09:33.637"</f>
        <v>2025-06-14 21:09:33.637</v>
      </c>
      <c r="H2058" t="s">
        <v>21</v>
      </c>
    </row>
    <row r="2059" spans="1:10" x14ac:dyDescent="0.25">
      <c r="A2059" s="1">
        <v>190</v>
      </c>
      <c r="B2059" t="s">
        <v>29</v>
      </c>
      <c r="C2059">
        <v>54</v>
      </c>
      <c r="D2059">
        <v>1</v>
      </c>
      <c r="E2059" t="s">
        <v>84</v>
      </c>
      <c r="F2059" t="s">
        <v>85</v>
      </c>
      <c r="G2059" t="str">
        <f>"2025-06-14 20:26:06.437"</f>
        <v>2025-06-14 20:26:06.437</v>
      </c>
      <c r="H2059" t="s">
        <v>21</v>
      </c>
      <c r="I2059">
        <v>19.84</v>
      </c>
      <c r="J2059" t="s">
        <v>42</v>
      </c>
    </row>
    <row r="2060" spans="1:10" x14ac:dyDescent="0.25">
      <c r="A2060" s="1">
        <v>191</v>
      </c>
      <c r="B2060" t="s">
        <v>25</v>
      </c>
      <c r="C2060">
        <v>54</v>
      </c>
      <c r="D2060">
        <v>1</v>
      </c>
      <c r="E2060" t="s">
        <v>84</v>
      </c>
      <c r="F2060" t="s">
        <v>85</v>
      </c>
      <c r="G2060" t="str">
        <f>"2025-06-14 20:25:38.737"</f>
        <v>2025-06-14 20:25:38.737</v>
      </c>
      <c r="H2060" t="s">
        <v>21</v>
      </c>
    </row>
    <row r="2061" spans="1:10" x14ac:dyDescent="0.25">
      <c r="A2061" s="1">
        <v>192</v>
      </c>
      <c r="B2061" t="s">
        <v>29</v>
      </c>
      <c r="C2061">
        <v>54</v>
      </c>
      <c r="D2061">
        <v>1</v>
      </c>
      <c r="E2061" t="s">
        <v>84</v>
      </c>
      <c r="F2061" t="s">
        <v>85</v>
      </c>
      <c r="G2061" t="str">
        <f>"2025-06-14 20:03:10.337"</f>
        <v>2025-06-14 20:03:10.337</v>
      </c>
      <c r="H2061" t="s">
        <v>21</v>
      </c>
      <c r="I2061">
        <v>16.2</v>
      </c>
      <c r="J2061" t="s">
        <v>42</v>
      </c>
    </row>
    <row r="2062" spans="1:10" x14ac:dyDescent="0.25">
      <c r="A2062" s="1">
        <v>193</v>
      </c>
      <c r="B2062" t="s">
        <v>25</v>
      </c>
      <c r="C2062">
        <v>54</v>
      </c>
      <c r="D2062">
        <v>1</v>
      </c>
      <c r="E2062" t="s">
        <v>84</v>
      </c>
      <c r="F2062" t="s">
        <v>85</v>
      </c>
      <c r="G2062" t="str">
        <f>"2025-06-14 20:02:13.237"</f>
        <v>2025-06-14 20:02:13.237</v>
      </c>
      <c r="H2062" t="s">
        <v>21</v>
      </c>
    </row>
    <row r="2063" spans="1:10" x14ac:dyDescent="0.25">
      <c r="A2063" s="1">
        <v>194</v>
      </c>
      <c r="B2063" t="s">
        <v>29</v>
      </c>
      <c r="C2063">
        <v>54</v>
      </c>
      <c r="D2063">
        <v>1</v>
      </c>
      <c r="E2063" t="s">
        <v>84</v>
      </c>
      <c r="F2063" t="s">
        <v>85</v>
      </c>
      <c r="G2063" t="str">
        <f>"2025-06-14 18:19:53.637"</f>
        <v>2025-06-14 18:19:53.637</v>
      </c>
      <c r="H2063" t="s">
        <v>21</v>
      </c>
      <c r="I2063">
        <v>15.54</v>
      </c>
      <c r="J2063" t="s">
        <v>42</v>
      </c>
    </row>
    <row r="2064" spans="1:10" x14ac:dyDescent="0.25">
      <c r="A2064" s="1">
        <v>195</v>
      </c>
      <c r="B2064" t="s">
        <v>25</v>
      </c>
      <c r="C2064">
        <v>54</v>
      </c>
      <c r="D2064">
        <v>1</v>
      </c>
      <c r="E2064" t="s">
        <v>84</v>
      </c>
      <c r="F2064" t="s">
        <v>85</v>
      </c>
      <c r="G2064" t="str">
        <f>"2025-06-14 18:18:09.337"</f>
        <v>2025-06-14 18:18:09.337</v>
      </c>
      <c r="H2064" t="s">
        <v>21</v>
      </c>
    </row>
    <row r="2065" spans="1:10" x14ac:dyDescent="0.25">
      <c r="A2065" s="1">
        <v>196</v>
      </c>
      <c r="B2065" t="s">
        <v>29</v>
      </c>
      <c r="C2065">
        <v>54</v>
      </c>
      <c r="D2065">
        <v>1</v>
      </c>
      <c r="E2065" t="s">
        <v>84</v>
      </c>
      <c r="F2065" t="s">
        <v>85</v>
      </c>
      <c r="G2065" t="str">
        <f>"2025-06-14 17:39:30.437"</f>
        <v>2025-06-14 17:39:30.437</v>
      </c>
      <c r="H2065" t="s">
        <v>21</v>
      </c>
      <c r="I2065">
        <v>10.83</v>
      </c>
      <c r="J2065" t="s">
        <v>42</v>
      </c>
    </row>
    <row r="2066" spans="1:10" x14ac:dyDescent="0.25">
      <c r="A2066" s="1">
        <v>197</v>
      </c>
      <c r="B2066" t="s">
        <v>25</v>
      </c>
      <c r="C2066">
        <v>54</v>
      </c>
      <c r="D2066">
        <v>1</v>
      </c>
      <c r="E2066" t="s">
        <v>84</v>
      </c>
      <c r="F2066" t="s">
        <v>85</v>
      </c>
      <c r="G2066" t="str">
        <f>"2025-06-14 17:38:18.537"</f>
        <v>2025-06-14 17:38:18.537</v>
      </c>
      <c r="H2066" t="s">
        <v>21</v>
      </c>
    </row>
    <row r="2067" spans="1:10" x14ac:dyDescent="0.25">
      <c r="A2067" s="1">
        <v>198</v>
      </c>
      <c r="B2067" t="s">
        <v>29</v>
      </c>
      <c r="C2067">
        <v>54</v>
      </c>
      <c r="D2067">
        <v>1</v>
      </c>
      <c r="E2067" t="s">
        <v>84</v>
      </c>
      <c r="F2067" t="s">
        <v>85</v>
      </c>
      <c r="G2067" t="str">
        <f>"2025-06-14 17:17:54.737"</f>
        <v>2025-06-14 17:17:54.737</v>
      </c>
      <c r="H2067" t="s">
        <v>21</v>
      </c>
      <c r="I2067">
        <v>15.65</v>
      </c>
      <c r="J2067" t="s">
        <v>42</v>
      </c>
    </row>
    <row r="2068" spans="1:10" x14ac:dyDescent="0.25">
      <c r="A2068" s="1">
        <v>199</v>
      </c>
      <c r="B2068" t="s">
        <v>25</v>
      </c>
      <c r="C2068">
        <v>54</v>
      </c>
      <c r="D2068">
        <v>1</v>
      </c>
      <c r="E2068" t="s">
        <v>84</v>
      </c>
      <c r="F2068" t="s">
        <v>85</v>
      </c>
      <c r="G2068" t="str">
        <f>"2025-06-14 17:16:29.637"</f>
        <v>2025-06-14 17:16:29.637</v>
      </c>
      <c r="H2068" t="s">
        <v>21</v>
      </c>
    </row>
    <row r="2069" spans="1:10" x14ac:dyDescent="0.25">
      <c r="A2069" s="1">
        <v>200</v>
      </c>
      <c r="B2069" t="s">
        <v>29</v>
      </c>
      <c r="C2069">
        <v>54</v>
      </c>
      <c r="D2069">
        <v>1</v>
      </c>
      <c r="E2069" t="s">
        <v>84</v>
      </c>
      <c r="F2069" t="s">
        <v>85</v>
      </c>
      <c r="G2069" t="str">
        <f>"2025-06-14 16:49:04.837"</f>
        <v>2025-06-14 16:49:04.837</v>
      </c>
      <c r="H2069" t="s">
        <v>21</v>
      </c>
      <c r="I2069">
        <v>17.75</v>
      </c>
      <c r="J2069" t="s">
        <v>42</v>
      </c>
    </row>
    <row r="2070" spans="1:10" x14ac:dyDescent="0.25">
      <c r="A2070" s="1">
        <v>201</v>
      </c>
      <c r="B2070" t="s">
        <v>25</v>
      </c>
      <c r="C2070">
        <v>54</v>
      </c>
      <c r="D2070">
        <v>1</v>
      </c>
      <c r="E2070" t="s">
        <v>84</v>
      </c>
      <c r="F2070" t="s">
        <v>85</v>
      </c>
      <c r="G2070" t="str">
        <f>"2025-06-14 16:48:36.737"</f>
        <v>2025-06-14 16:48:36.737</v>
      </c>
      <c r="H2070" t="s">
        <v>21</v>
      </c>
    </row>
    <row r="2071" spans="1:10" x14ac:dyDescent="0.25">
      <c r="A2071" s="1">
        <v>202</v>
      </c>
      <c r="B2071" t="s">
        <v>29</v>
      </c>
      <c r="C2071">
        <v>54</v>
      </c>
      <c r="D2071">
        <v>1</v>
      </c>
      <c r="E2071" t="s">
        <v>84</v>
      </c>
      <c r="F2071" t="s">
        <v>85</v>
      </c>
      <c r="G2071" t="str">
        <f>"2025-06-14 15:28:47.437"</f>
        <v>2025-06-14 15:28:47.437</v>
      </c>
      <c r="H2071" t="s">
        <v>21</v>
      </c>
      <c r="I2071">
        <v>6.22</v>
      </c>
      <c r="J2071" t="s">
        <v>42</v>
      </c>
    </row>
    <row r="2072" spans="1:10" x14ac:dyDescent="0.25">
      <c r="A2072" s="1">
        <v>203</v>
      </c>
      <c r="B2072" t="s">
        <v>25</v>
      </c>
      <c r="C2072">
        <v>54</v>
      </c>
      <c r="D2072">
        <v>1</v>
      </c>
      <c r="E2072" t="s">
        <v>84</v>
      </c>
      <c r="F2072" t="s">
        <v>85</v>
      </c>
      <c r="G2072" t="str">
        <f>"2025-06-14 15:27:44.537"</f>
        <v>2025-06-14 15:27:44.537</v>
      </c>
      <c r="H2072" t="s">
        <v>21</v>
      </c>
    </row>
    <row r="2073" spans="1:10" x14ac:dyDescent="0.25">
      <c r="A2073" s="1">
        <v>204</v>
      </c>
      <c r="B2073" t="s">
        <v>29</v>
      </c>
      <c r="C2073">
        <v>54</v>
      </c>
      <c r="D2073">
        <v>1</v>
      </c>
      <c r="E2073" t="s">
        <v>84</v>
      </c>
      <c r="F2073" t="s">
        <v>85</v>
      </c>
      <c r="G2073" t="str">
        <f>"2025-06-14 13:48:38.736"</f>
        <v>2025-06-14 13:48:38.736</v>
      </c>
      <c r="H2073" t="s">
        <v>21</v>
      </c>
      <c r="I2073">
        <v>5.78</v>
      </c>
      <c r="J2073" t="s">
        <v>42</v>
      </c>
    </row>
    <row r="2074" spans="1:10" x14ac:dyDescent="0.25">
      <c r="A2074" s="1">
        <v>205</v>
      </c>
      <c r="B2074" t="s">
        <v>25</v>
      </c>
      <c r="C2074">
        <v>54</v>
      </c>
      <c r="D2074">
        <v>1</v>
      </c>
      <c r="E2074" t="s">
        <v>84</v>
      </c>
      <c r="F2074" t="s">
        <v>85</v>
      </c>
      <c r="G2074" t="str">
        <f>"2025-06-14 13:48:16.337"</f>
        <v>2025-06-14 13:48:16.337</v>
      </c>
      <c r="H2074" t="s">
        <v>21</v>
      </c>
    </row>
    <row r="2075" spans="1:10" x14ac:dyDescent="0.25">
      <c r="A2075" s="1">
        <v>206</v>
      </c>
      <c r="B2075" t="s">
        <v>29</v>
      </c>
      <c r="C2075">
        <v>54</v>
      </c>
      <c r="D2075">
        <v>1</v>
      </c>
      <c r="E2075" t="s">
        <v>84</v>
      </c>
      <c r="F2075" t="s">
        <v>85</v>
      </c>
      <c r="G2075" t="str">
        <f>"2025-06-14 13:44:08.637"</f>
        <v>2025-06-14 13:44:08.637</v>
      </c>
      <c r="H2075" t="s">
        <v>21</v>
      </c>
      <c r="I2075">
        <v>10.16</v>
      </c>
      <c r="J2075" t="s">
        <v>42</v>
      </c>
    </row>
    <row r="2076" spans="1:10" x14ac:dyDescent="0.25">
      <c r="A2076" s="1">
        <v>207</v>
      </c>
      <c r="B2076" t="s">
        <v>25</v>
      </c>
      <c r="C2076">
        <v>54</v>
      </c>
      <c r="D2076">
        <v>1</v>
      </c>
      <c r="E2076" t="s">
        <v>84</v>
      </c>
      <c r="F2076" t="s">
        <v>85</v>
      </c>
      <c r="G2076" t="str">
        <f>"2025-06-14 13:43:41.137"</f>
        <v>2025-06-14 13:43:41.137</v>
      </c>
      <c r="H2076" t="s">
        <v>21</v>
      </c>
    </row>
    <row r="2077" spans="1:10" x14ac:dyDescent="0.25">
      <c r="A2077" s="1">
        <v>208</v>
      </c>
      <c r="B2077" t="s">
        <v>29</v>
      </c>
      <c r="C2077">
        <v>54</v>
      </c>
      <c r="D2077">
        <v>1</v>
      </c>
      <c r="E2077" t="s">
        <v>84</v>
      </c>
      <c r="F2077" t="s">
        <v>85</v>
      </c>
      <c r="G2077" t="str">
        <f>"2025-06-14 13:34:20.037"</f>
        <v>2025-06-14 13:34:20.037</v>
      </c>
      <c r="H2077" t="s">
        <v>21</v>
      </c>
      <c r="I2077">
        <v>9.35</v>
      </c>
      <c r="J2077" t="s">
        <v>42</v>
      </c>
    </row>
    <row r="2078" spans="1:10" x14ac:dyDescent="0.25">
      <c r="A2078" s="1">
        <v>209</v>
      </c>
      <c r="B2078" t="s">
        <v>25</v>
      </c>
      <c r="C2078">
        <v>54</v>
      </c>
      <c r="D2078">
        <v>1</v>
      </c>
      <c r="E2078" t="s">
        <v>84</v>
      </c>
      <c r="F2078" t="s">
        <v>85</v>
      </c>
      <c r="G2078" t="str">
        <f>"2025-06-14 13:32:28.237"</f>
        <v>2025-06-14 13:32:28.237</v>
      </c>
      <c r="H2078" t="s">
        <v>21</v>
      </c>
    </row>
    <row r="2079" spans="1:10" x14ac:dyDescent="0.25">
      <c r="A2079" s="1">
        <v>210</v>
      </c>
      <c r="B2079" t="s">
        <v>29</v>
      </c>
      <c r="C2079">
        <v>54</v>
      </c>
      <c r="D2079">
        <v>1</v>
      </c>
      <c r="E2079" t="s">
        <v>84</v>
      </c>
      <c r="F2079" t="s">
        <v>85</v>
      </c>
      <c r="G2079" t="str">
        <f>"2025-06-14 13:06:05.737"</f>
        <v>2025-06-14 13:06:05.737</v>
      </c>
      <c r="H2079" t="s">
        <v>21</v>
      </c>
      <c r="I2079">
        <v>5.35</v>
      </c>
      <c r="J2079" t="s">
        <v>42</v>
      </c>
    </row>
    <row r="2080" spans="1:10" x14ac:dyDescent="0.25">
      <c r="A2080" s="1">
        <v>211</v>
      </c>
      <c r="B2080" t="s">
        <v>25</v>
      </c>
      <c r="C2080">
        <v>54</v>
      </c>
      <c r="D2080">
        <v>1</v>
      </c>
      <c r="E2080" t="s">
        <v>84</v>
      </c>
      <c r="F2080" t="s">
        <v>85</v>
      </c>
      <c r="G2080" t="str">
        <f>"2025-06-14 13:05:31.537"</f>
        <v>2025-06-14 13:05:31.537</v>
      </c>
      <c r="H2080" t="s">
        <v>21</v>
      </c>
    </row>
    <row r="2081" spans="1:10" x14ac:dyDescent="0.25">
      <c r="A2081" s="1">
        <v>212</v>
      </c>
      <c r="B2081" t="s">
        <v>29</v>
      </c>
      <c r="C2081">
        <v>54</v>
      </c>
      <c r="D2081">
        <v>1</v>
      </c>
      <c r="E2081" t="s">
        <v>84</v>
      </c>
      <c r="F2081" t="s">
        <v>85</v>
      </c>
      <c r="G2081" t="str">
        <f>"2025-06-14 13:04:04.137"</f>
        <v>2025-06-14 13:04:04.137</v>
      </c>
      <c r="H2081" t="s">
        <v>21</v>
      </c>
      <c r="I2081">
        <v>6.46</v>
      </c>
      <c r="J2081" t="s">
        <v>42</v>
      </c>
    </row>
    <row r="2082" spans="1:10" x14ac:dyDescent="0.25">
      <c r="A2082" s="1">
        <v>213</v>
      </c>
      <c r="B2082" t="s">
        <v>25</v>
      </c>
      <c r="C2082">
        <v>54</v>
      </c>
      <c r="D2082">
        <v>1</v>
      </c>
      <c r="E2082" t="s">
        <v>84</v>
      </c>
      <c r="F2082" t="s">
        <v>85</v>
      </c>
      <c r="G2082" t="str">
        <f>"2025-06-14 13:03:40.537"</f>
        <v>2025-06-14 13:03:40.537</v>
      </c>
      <c r="H2082" t="s">
        <v>21</v>
      </c>
    </row>
    <row r="2083" spans="1:10" x14ac:dyDescent="0.25">
      <c r="A2083" s="1">
        <v>214</v>
      </c>
      <c r="B2083" t="s">
        <v>29</v>
      </c>
      <c r="C2083">
        <v>54</v>
      </c>
      <c r="D2083">
        <v>1</v>
      </c>
      <c r="E2083" t="s">
        <v>84</v>
      </c>
      <c r="F2083" t="s">
        <v>85</v>
      </c>
      <c r="G2083" t="str">
        <f>"2025-06-14 12:54:29.637"</f>
        <v>2025-06-14 12:54:29.637</v>
      </c>
      <c r="H2083" t="s">
        <v>21</v>
      </c>
      <c r="I2083">
        <v>9.5</v>
      </c>
      <c r="J2083" t="s">
        <v>42</v>
      </c>
    </row>
    <row r="2084" spans="1:10" x14ac:dyDescent="0.25">
      <c r="A2084" s="1">
        <v>215</v>
      </c>
      <c r="B2084" t="s">
        <v>25</v>
      </c>
      <c r="C2084">
        <v>54</v>
      </c>
      <c r="D2084">
        <v>1</v>
      </c>
      <c r="E2084" t="s">
        <v>84</v>
      </c>
      <c r="F2084" t="s">
        <v>85</v>
      </c>
      <c r="G2084" t="str">
        <f>"2025-06-14 12:53:46.537"</f>
        <v>2025-06-14 12:53:46.537</v>
      </c>
      <c r="H2084" t="s">
        <v>21</v>
      </c>
    </row>
    <row r="2085" spans="1:10" x14ac:dyDescent="0.25">
      <c r="A2085" s="1">
        <v>216</v>
      </c>
      <c r="B2085" t="s">
        <v>29</v>
      </c>
      <c r="C2085">
        <v>54</v>
      </c>
      <c r="D2085">
        <v>1</v>
      </c>
      <c r="E2085" t="s">
        <v>84</v>
      </c>
      <c r="F2085" t="s">
        <v>85</v>
      </c>
      <c r="G2085" t="str">
        <f>"2025-06-14 09:25:27.038"</f>
        <v>2025-06-14 09:25:27.038</v>
      </c>
      <c r="H2085" t="s">
        <v>21</v>
      </c>
      <c r="I2085">
        <v>8.8699999999999992</v>
      </c>
      <c r="J2085" t="s">
        <v>42</v>
      </c>
    </row>
    <row r="2086" spans="1:10" x14ac:dyDescent="0.25">
      <c r="A2086" s="1">
        <v>217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"2025-06-14 09:22:04.958"</f>
        <v>2025-06-14 09:22:04.958</v>
      </c>
      <c r="H2086" t="s">
        <v>21</v>
      </c>
      <c r="I2086">
        <v>0</v>
      </c>
      <c r="J2086" t="s">
        <v>32</v>
      </c>
    </row>
    <row r="2087" spans="1:10" x14ac:dyDescent="0.25">
      <c r="A2087" s="1">
        <v>218</v>
      </c>
      <c r="B2087" t="s">
        <v>25</v>
      </c>
      <c r="C2087">
        <v>54</v>
      </c>
      <c r="D2087">
        <v>1</v>
      </c>
      <c r="E2087" t="s">
        <v>84</v>
      </c>
      <c r="F2087" t="s">
        <v>85</v>
      </c>
      <c r="G2087" t="str">
        <f>"2025-06-14 09:16:48.618"</f>
        <v>2025-06-14 09:16:48.618</v>
      </c>
      <c r="H2087" t="s">
        <v>21</v>
      </c>
    </row>
    <row r="2088" spans="1:10" x14ac:dyDescent="0.25">
      <c r="A2088" s="1">
        <v>219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"2025-06-14 09:16:35.969"</f>
        <v>2025-06-14 09:16:35.969</v>
      </c>
      <c r="H2088" t="s">
        <v>21</v>
      </c>
      <c r="I2088">
        <v>0</v>
      </c>
      <c r="J2088" t="s">
        <v>32</v>
      </c>
    </row>
    <row r="2089" spans="1:10" x14ac:dyDescent="0.25">
      <c r="A2089" s="1">
        <v>220</v>
      </c>
      <c r="B2089" t="s">
        <v>29</v>
      </c>
      <c r="C2089">
        <v>54</v>
      </c>
      <c r="D2089">
        <v>1</v>
      </c>
      <c r="E2089" t="s">
        <v>84</v>
      </c>
      <c r="F2089" t="s">
        <v>85</v>
      </c>
      <c r="G2089" t="str">
        <f>"2025-06-14 08:42:14.352"</f>
        <v>2025-06-14 08:42:14.352</v>
      </c>
      <c r="H2089" t="s">
        <v>21</v>
      </c>
      <c r="I2089">
        <v>13.15</v>
      </c>
      <c r="J2089" t="s">
        <v>42</v>
      </c>
    </row>
    <row r="2090" spans="1:10" x14ac:dyDescent="0.25">
      <c r="A2090" s="1">
        <v>221</v>
      </c>
      <c r="B2090" t="s">
        <v>25</v>
      </c>
      <c r="C2090">
        <v>54</v>
      </c>
      <c r="D2090">
        <v>1</v>
      </c>
      <c r="E2090" t="s">
        <v>84</v>
      </c>
      <c r="F2090" t="s">
        <v>85</v>
      </c>
      <c r="G2090" t="str">
        <f>"2025-06-14 08:41:10.952"</f>
        <v>2025-06-14 08:41:10.952</v>
      </c>
      <c r="H2090" t="s">
        <v>21</v>
      </c>
    </row>
    <row r="2091" spans="1:10" x14ac:dyDescent="0.25">
      <c r="A2091" s="1">
        <v>222</v>
      </c>
      <c r="B2091" t="s">
        <v>29</v>
      </c>
      <c r="C2091">
        <v>54</v>
      </c>
      <c r="D2091">
        <v>1</v>
      </c>
      <c r="E2091" t="s">
        <v>84</v>
      </c>
      <c r="F2091" t="s">
        <v>85</v>
      </c>
      <c r="G2091" t="str">
        <f>"2025-06-14 08:33:54.452"</f>
        <v>2025-06-14 08:33:54.452</v>
      </c>
      <c r="H2091" t="s">
        <v>21</v>
      </c>
      <c r="I2091">
        <v>12.47</v>
      </c>
      <c r="J2091" t="s">
        <v>42</v>
      </c>
    </row>
    <row r="2092" spans="1:10" x14ac:dyDescent="0.25">
      <c r="A2092" s="1">
        <v>223</v>
      </c>
      <c r="B2092" t="s">
        <v>25</v>
      </c>
      <c r="C2092">
        <v>54</v>
      </c>
      <c r="D2092">
        <v>1</v>
      </c>
      <c r="E2092" t="s">
        <v>84</v>
      </c>
      <c r="F2092" t="s">
        <v>85</v>
      </c>
      <c r="G2092" t="str">
        <f>"2025-06-14 08:32:57.652"</f>
        <v>2025-06-14 08:32:57.652</v>
      </c>
      <c r="H2092" t="s">
        <v>21</v>
      </c>
    </row>
    <row r="2093" spans="1:10" x14ac:dyDescent="0.25">
      <c r="A2093" s="1">
        <v>224</v>
      </c>
      <c r="B2093" t="s">
        <v>29</v>
      </c>
      <c r="C2093">
        <v>54</v>
      </c>
      <c r="D2093">
        <v>1</v>
      </c>
      <c r="E2093" t="s">
        <v>84</v>
      </c>
      <c r="F2093" t="s">
        <v>85</v>
      </c>
      <c r="G2093" t="str">
        <f>"2025-06-14 08:03:48.052"</f>
        <v>2025-06-14 08:03:48.052</v>
      </c>
      <c r="H2093" t="s">
        <v>21</v>
      </c>
      <c r="I2093">
        <v>8.48</v>
      </c>
      <c r="J2093" t="s">
        <v>42</v>
      </c>
    </row>
    <row r="2094" spans="1:10" x14ac:dyDescent="0.25">
      <c r="A2094" s="1">
        <v>225</v>
      </c>
      <c r="B2094" t="s">
        <v>25</v>
      </c>
      <c r="C2094">
        <v>54</v>
      </c>
      <c r="D2094">
        <v>1</v>
      </c>
      <c r="E2094" t="s">
        <v>84</v>
      </c>
      <c r="F2094" t="s">
        <v>85</v>
      </c>
      <c r="G2094" t="str">
        <f>"2025-06-14 08:03:22.352"</f>
        <v>2025-06-14 08:03:22.352</v>
      </c>
      <c r="H2094" t="s">
        <v>21</v>
      </c>
    </row>
    <row r="2095" spans="1:10" x14ac:dyDescent="0.25">
      <c r="A2095" s="1">
        <v>226</v>
      </c>
      <c r="B2095" t="s">
        <v>29</v>
      </c>
      <c r="C2095">
        <v>54</v>
      </c>
      <c r="D2095">
        <v>1</v>
      </c>
      <c r="E2095" t="s">
        <v>84</v>
      </c>
      <c r="F2095" t="s">
        <v>85</v>
      </c>
      <c r="G2095" t="str">
        <f>"2025-06-14 03:49:29.452"</f>
        <v>2025-06-14 03:49:29.452</v>
      </c>
      <c r="H2095" t="s">
        <v>21</v>
      </c>
      <c r="I2095">
        <v>8.1300000000000008</v>
      </c>
      <c r="J2095" t="s">
        <v>42</v>
      </c>
    </row>
    <row r="2096" spans="1:10" x14ac:dyDescent="0.25">
      <c r="A2096" s="1">
        <v>227</v>
      </c>
      <c r="B2096" t="s">
        <v>25</v>
      </c>
      <c r="C2096">
        <v>54</v>
      </c>
      <c r="D2096">
        <v>1</v>
      </c>
      <c r="E2096" t="s">
        <v>84</v>
      </c>
      <c r="F2096" t="s">
        <v>85</v>
      </c>
      <c r="G2096" t="str">
        <f>"2025-06-14 03:49:08.752"</f>
        <v>2025-06-14 03:49:08.752</v>
      </c>
      <c r="H2096" t="s">
        <v>21</v>
      </c>
    </row>
    <row r="2097" spans="1:10" x14ac:dyDescent="0.25">
      <c r="A2097" s="1">
        <v>228</v>
      </c>
      <c r="B2097" t="s">
        <v>29</v>
      </c>
      <c r="C2097">
        <v>54</v>
      </c>
      <c r="D2097">
        <v>1</v>
      </c>
      <c r="E2097" t="s">
        <v>84</v>
      </c>
      <c r="F2097" t="s">
        <v>85</v>
      </c>
      <c r="G2097" t="str">
        <f>"2025-06-14 01:06:08.652"</f>
        <v>2025-06-14 01:06:08.652</v>
      </c>
      <c r="H2097" t="s">
        <v>21</v>
      </c>
      <c r="I2097">
        <v>10.07</v>
      </c>
      <c r="J2097" t="s">
        <v>42</v>
      </c>
    </row>
    <row r="2098" spans="1:10" x14ac:dyDescent="0.25">
      <c r="A2098" s="1">
        <v>229</v>
      </c>
      <c r="B2098" t="s">
        <v>25</v>
      </c>
      <c r="C2098">
        <v>54</v>
      </c>
      <c r="D2098">
        <v>1</v>
      </c>
      <c r="E2098" t="s">
        <v>84</v>
      </c>
      <c r="F2098" t="s">
        <v>85</v>
      </c>
      <c r="G2098" t="str">
        <f>"2025-06-14 01:05:47.652"</f>
        <v>2025-06-14 01:05:47.652</v>
      </c>
      <c r="H2098" t="s">
        <v>21</v>
      </c>
    </row>
    <row r="2099" spans="1:10" s="3" customFormat="1" x14ac:dyDescent="0.25">
      <c r="A2099" s="2">
        <v>230</v>
      </c>
      <c r="B2099" s="3" t="s">
        <v>25</v>
      </c>
      <c r="C2099" s="3">
        <v>647</v>
      </c>
      <c r="D2099" s="3">
        <v>1</v>
      </c>
      <c r="E2099" s="3" t="s">
        <v>55</v>
      </c>
      <c r="F2099" s="3" t="s">
        <v>56</v>
      </c>
      <c r="G2099" s="3" t="str">
        <f>"2025-06-13 22:58:30.660"</f>
        <v>2025-06-13 22:58:30.660</v>
      </c>
      <c r="H2099" s="3" t="s">
        <v>21</v>
      </c>
    </row>
    <row r="2100" spans="1:10" s="3" customFormat="1" x14ac:dyDescent="0.25">
      <c r="A2100" s="2">
        <v>231</v>
      </c>
      <c r="B2100" s="3" t="s">
        <v>29</v>
      </c>
      <c r="C2100" s="3">
        <v>647</v>
      </c>
      <c r="D2100" s="3">
        <v>1</v>
      </c>
      <c r="E2100" s="3" t="s">
        <v>55</v>
      </c>
      <c r="F2100" s="3" t="s">
        <v>56</v>
      </c>
      <c r="G2100" s="3" t="str">
        <f>"2025-06-13 22:58:28.760"</f>
        <v>2025-06-13 22:58:28.760</v>
      </c>
      <c r="H2100" s="3" t="s">
        <v>21</v>
      </c>
      <c r="I2100" s="3">
        <v>10.64</v>
      </c>
      <c r="J2100" s="3" t="s">
        <v>54</v>
      </c>
    </row>
    <row r="2101" spans="1:10" x14ac:dyDescent="0.25">
      <c r="A2101" s="1">
        <v>232</v>
      </c>
      <c r="B2101" t="s">
        <v>29</v>
      </c>
      <c r="C2101">
        <v>54</v>
      </c>
      <c r="D2101">
        <v>1</v>
      </c>
      <c r="E2101" t="s">
        <v>84</v>
      </c>
      <c r="F2101" t="s">
        <v>85</v>
      </c>
      <c r="G2101" t="str">
        <f>"2025-06-13 20:31:29.752"</f>
        <v>2025-06-13 20:31:29.752</v>
      </c>
      <c r="H2101" t="s">
        <v>21</v>
      </c>
      <c r="I2101">
        <v>8.57</v>
      </c>
      <c r="J2101" t="s">
        <v>42</v>
      </c>
    </row>
    <row r="2102" spans="1:10" x14ac:dyDescent="0.25">
      <c r="A2102" s="1">
        <v>233</v>
      </c>
      <c r="B2102" t="s">
        <v>25</v>
      </c>
      <c r="C2102">
        <v>54</v>
      </c>
      <c r="D2102">
        <v>1</v>
      </c>
      <c r="E2102" t="s">
        <v>84</v>
      </c>
      <c r="F2102" t="s">
        <v>85</v>
      </c>
      <c r="G2102" t="str">
        <f>"2025-06-13 20:31:00.552"</f>
        <v>2025-06-13 20:31:00.552</v>
      </c>
      <c r="H2102" t="s">
        <v>21</v>
      </c>
    </row>
    <row r="2103" spans="1:10" x14ac:dyDescent="0.25">
      <c r="A2103" s="1">
        <v>234</v>
      </c>
      <c r="B2103" t="s">
        <v>29</v>
      </c>
      <c r="C2103">
        <v>54</v>
      </c>
      <c r="D2103">
        <v>1</v>
      </c>
      <c r="E2103" t="s">
        <v>84</v>
      </c>
      <c r="F2103" t="s">
        <v>85</v>
      </c>
      <c r="G2103" t="str">
        <f>"2025-06-13 17:24:22.552"</f>
        <v>2025-06-13 17:24:22.552</v>
      </c>
      <c r="H2103" t="s">
        <v>21</v>
      </c>
      <c r="I2103">
        <v>7.95</v>
      </c>
      <c r="J2103" t="s">
        <v>42</v>
      </c>
    </row>
    <row r="2104" spans="1:10" x14ac:dyDescent="0.25">
      <c r="A2104" s="1">
        <v>235</v>
      </c>
      <c r="B2104" t="s">
        <v>25</v>
      </c>
      <c r="C2104">
        <v>54</v>
      </c>
      <c r="D2104">
        <v>1</v>
      </c>
      <c r="E2104" t="s">
        <v>84</v>
      </c>
      <c r="F2104" t="s">
        <v>85</v>
      </c>
      <c r="G2104" t="str">
        <f>"2025-06-13 17:24:02.252"</f>
        <v>2025-06-13 17:24:02.252</v>
      </c>
      <c r="H2104" t="s">
        <v>21</v>
      </c>
    </row>
    <row r="2105" spans="1:10" x14ac:dyDescent="0.25">
      <c r="A2105" s="1">
        <v>236</v>
      </c>
      <c r="B2105" t="s">
        <v>29</v>
      </c>
      <c r="C2105">
        <v>54</v>
      </c>
      <c r="D2105">
        <v>1</v>
      </c>
      <c r="E2105" t="s">
        <v>84</v>
      </c>
      <c r="F2105" t="s">
        <v>85</v>
      </c>
      <c r="G2105" t="str">
        <f>"2025-06-13 16:18:49.452"</f>
        <v>2025-06-13 16:18:49.452</v>
      </c>
      <c r="H2105" t="s">
        <v>21</v>
      </c>
      <c r="I2105">
        <v>3.42</v>
      </c>
      <c r="J2105" t="s">
        <v>42</v>
      </c>
    </row>
    <row r="2106" spans="1:10" x14ac:dyDescent="0.25">
      <c r="A2106" s="1">
        <v>237</v>
      </c>
      <c r="B2106" t="s">
        <v>25</v>
      </c>
      <c r="C2106">
        <v>54</v>
      </c>
      <c r="D2106">
        <v>1</v>
      </c>
      <c r="E2106" t="s">
        <v>84</v>
      </c>
      <c r="F2106" t="s">
        <v>85</v>
      </c>
      <c r="G2106" t="str">
        <f>"2025-06-13 16:18:21.152"</f>
        <v>2025-06-13 16:18:21.152</v>
      </c>
      <c r="H2106" t="s">
        <v>21</v>
      </c>
    </row>
    <row r="2107" spans="1:10" x14ac:dyDescent="0.25">
      <c r="A2107" s="1">
        <v>238</v>
      </c>
      <c r="B2107" t="s">
        <v>29</v>
      </c>
      <c r="C2107">
        <v>54</v>
      </c>
      <c r="D2107">
        <v>1</v>
      </c>
      <c r="E2107" t="s">
        <v>84</v>
      </c>
      <c r="F2107" t="s">
        <v>85</v>
      </c>
      <c r="G2107" t="str">
        <f>"2025-06-13 15:42:01.752"</f>
        <v>2025-06-13 15:42:01.752</v>
      </c>
      <c r="H2107" t="s">
        <v>21</v>
      </c>
      <c r="I2107">
        <v>4.3099999999999996</v>
      </c>
      <c r="J2107" t="s">
        <v>42</v>
      </c>
    </row>
    <row r="2108" spans="1:10" x14ac:dyDescent="0.25">
      <c r="A2108" s="1">
        <v>239</v>
      </c>
      <c r="B2108" t="s">
        <v>25</v>
      </c>
      <c r="C2108">
        <v>54</v>
      </c>
      <c r="D2108">
        <v>1</v>
      </c>
      <c r="E2108" t="s">
        <v>84</v>
      </c>
      <c r="F2108" t="s">
        <v>85</v>
      </c>
      <c r="G2108" t="str">
        <f>"2025-06-13 15:41:40.452"</f>
        <v>2025-06-13 15:41:40.452</v>
      </c>
      <c r="H2108" t="s">
        <v>21</v>
      </c>
    </row>
    <row r="2109" spans="1:10" x14ac:dyDescent="0.25">
      <c r="A2109" s="1">
        <v>240</v>
      </c>
      <c r="B2109" t="s">
        <v>29</v>
      </c>
      <c r="C2109">
        <v>54</v>
      </c>
      <c r="D2109">
        <v>1</v>
      </c>
      <c r="E2109" t="s">
        <v>84</v>
      </c>
      <c r="F2109" t="s">
        <v>85</v>
      </c>
      <c r="G2109" t="str">
        <f>"2025-06-13 14:47:31.152"</f>
        <v>2025-06-13 14:47:31.152</v>
      </c>
      <c r="H2109" t="s">
        <v>21</v>
      </c>
      <c r="I2109">
        <v>5.53</v>
      </c>
      <c r="J2109" t="s">
        <v>42</v>
      </c>
    </row>
    <row r="2110" spans="1:10" x14ac:dyDescent="0.25">
      <c r="A2110" s="1">
        <v>241</v>
      </c>
      <c r="B2110" t="s">
        <v>25</v>
      </c>
      <c r="C2110">
        <v>54</v>
      </c>
      <c r="D2110">
        <v>1</v>
      </c>
      <c r="E2110" t="s">
        <v>84</v>
      </c>
      <c r="F2110" t="s">
        <v>85</v>
      </c>
      <c r="G2110" t="str">
        <f>"2025-06-13 14:45:32.452"</f>
        <v>2025-06-13 14:45:32.452</v>
      </c>
      <c r="H2110" t="s">
        <v>21</v>
      </c>
    </row>
    <row r="2111" spans="1:10" x14ac:dyDescent="0.25">
      <c r="A2111" s="1">
        <v>242</v>
      </c>
      <c r="B2111" t="s">
        <v>29</v>
      </c>
      <c r="C2111">
        <v>54</v>
      </c>
      <c r="D2111">
        <v>1</v>
      </c>
      <c r="E2111" t="s">
        <v>84</v>
      </c>
      <c r="F2111" t="s">
        <v>85</v>
      </c>
      <c r="G2111" t="str">
        <f>"2025-06-13 14:44:50.652"</f>
        <v>2025-06-13 14:44:50.652</v>
      </c>
      <c r="H2111" t="s">
        <v>21</v>
      </c>
      <c r="I2111">
        <v>10.49</v>
      </c>
      <c r="J2111" t="s">
        <v>42</v>
      </c>
    </row>
    <row r="2112" spans="1:10" x14ac:dyDescent="0.25">
      <c r="A2112" s="1">
        <v>243</v>
      </c>
      <c r="B2112" t="s">
        <v>25</v>
      </c>
      <c r="C2112">
        <v>54</v>
      </c>
      <c r="D2112">
        <v>1</v>
      </c>
      <c r="E2112" t="s">
        <v>84</v>
      </c>
      <c r="F2112" t="s">
        <v>85</v>
      </c>
      <c r="G2112" t="str">
        <f>"2025-06-13 14:44:03.452"</f>
        <v>2025-06-13 14:44:03.452</v>
      </c>
      <c r="H2112" t="s">
        <v>21</v>
      </c>
    </row>
    <row r="2113" spans="1:10" x14ac:dyDescent="0.25">
      <c r="A2113" s="1">
        <v>244</v>
      </c>
      <c r="B2113" t="s">
        <v>29</v>
      </c>
      <c r="C2113">
        <v>54</v>
      </c>
      <c r="D2113">
        <v>1</v>
      </c>
      <c r="E2113" t="s">
        <v>84</v>
      </c>
      <c r="F2113" t="s">
        <v>85</v>
      </c>
      <c r="G2113" t="str">
        <f>"2025-06-13 14:42:29.452"</f>
        <v>2025-06-13 14:42:29.452</v>
      </c>
      <c r="H2113" t="s">
        <v>21</v>
      </c>
      <c r="I2113">
        <v>6.47</v>
      </c>
      <c r="J2113" t="s">
        <v>42</v>
      </c>
    </row>
    <row r="2114" spans="1:10" x14ac:dyDescent="0.25">
      <c r="A2114" s="1">
        <v>245</v>
      </c>
      <c r="B2114" t="s">
        <v>25</v>
      </c>
      <c r="C2114">
        <v>54</v>
      </c>
      <c r="D2114">
        <v>1</v>
      </c>
      <c r="E2114" t="s">
        <v>84</v>
      </c>
      <c r="F2114" t="s">
        <v>85</v>
      </c>
      <c r="G2114" t="str">
        <f>"2025-06-13 14:41:56.752"</f>
        <v>2025-06-13 14:41:56.752</v>
      </c>
      <c r="H2114" t="s">
        <v>21</v>
      </c>
    </row>
    <row r="2115" spans="1:10" x14ac:dyDescent="0.25">
      <c r="A2115" s="1">
        <v>246</v>
      </c>
      <c r="B2115" t="s">
        <v>29</v>
      </c>
      <c r="C2115">
        <v>54</v>
      </c>
      <c r="D2115">
        <v>1</v>
      </c>
      <c r="E2115" t="s">
        <v>84</v>
      </c>
      <c r="F2115" t="s">
        <v>85</v>
      </c>
      <c r="G2115" t="str">
        <f>"2025-06-13 14:36:03.252"</f>
        <v>2025-06-13 14:36:03.252</v>
      </c>
      <c r="H2115" t="s">
        <v>21</v>
      </c>
      <c r="I2115">
        <v>6.19</v>
      </c>
      <c r="J2115" t="s">
        <v>42</v>
      </c>
    </row>
    <row r="2116" spans="1:10" x14ac:dyDescent="0.25">
      <c r="A2116" s="1">
        <v>247</v>
      </c>
      <c r="B2116" t="s">
        <v>25</v>
      </c>
      <c r="C2116">
        <v>54</v>
      </c>
      <c r="D2116">
        <v>1</v>
      </c>
      <c r="E2116" t="s">
        <v>84</v>
      </c>
      <c r="F2116" t="s">
        <v>85</v>
      </c>
      <c r="G2116" t="str">
        <f>"2025-06-13 14:35:04.252"</f>
        <v>2025-06-13 14:35:04.252</v>
      </c>
      <c r="H2116" t="s">
        <v>21</v>
      </c>
    </row>
    <row r="2117" spans="1:10" x14ac:dyDescent="0.25">
      <c r="A2117" s="1">
        <v>248</v>
      </c>
      <c r="B2117" t="s">
        <v>29</v>
      </c>
      <c r="C2117">
        <v>54</v>
      </c>
      <c r="D2117">
        <v>1</v>
      </c>
      <c r="E2117" t="s">
        <v>84</v>
      </c>
      <c r="F2117" t="s">
        <v>85</v>
      </c>
      <c r="G2117" t="str">
        <f>"2025-06-13 14:31:11.252"</f>
        <v>2025-06-13 14:31:11.252</v>
      </c>
      <c r="H2117" t="s">
        <v>21</v>
      </c>
      <c r="I2117">
        <v>8.4499999999999993</v>
      </c>
      <c r="J2117" t="s">
        <v>42</v>
      </c>
    </row>
    <row r="2118" spans="1:10" x14ac:dyDescent="0.25">
      <c r="A2118" s="1">
        <v>249</v>
      </c>
      <c r="B2118" t="s">
        <v>25</v>
      </c>
      <c r="C2118">
        <v>54</v>
      </c>
      <c r="D2118">
        <v>1</v>
      </c>
      <c r="E2118" t="s">
        <v>84</v>
      </c>
      <c r="F2118" t="s">
        <v>85</v>
      </c>
      <c r="G2118" t="str">
        <f>"2025-06-13 14:30:41.752"</f>
        <v>2025-06-13 14:30:41.752</v>
      </c>
      <c r="H2118" t="s">
        <v>21</v>
      </c>
    </row>
    <row r="2119" spans="1:10" x14ac:dyDescent="0.25">
      <c r="A2119" s="1">
        <v>250</v>
      </c>
      <c r="B2119" t="s">
        <v>29</v>
      </c>
      <c r="C2119">
        <v>54</v>
      </c>
      <c r="D2119">
        <v>1</v>
      </c>
      <c r="E2119" t="s">
        <v>84</v>
      </c>
      <c r="F2119" t="s">
        <v>85</v>
      </c>
      <c r="G2119" t="str">
        <f>"2025-06-13 13:52:58.752"</f>
        <v>2025-06-13 13:52:58.752</v>
      </c>
      <c r="H2119" t="s">
        <v>21</v>
      </c>
      <c r="I2119">
        <v>5.77</v>
      </c>
      <c r="J2119" t="s">
        <v>42</v>
      </c>
    </row>
    <row r="2120" spans="1:10" x14ac:dyDescent="0.25">
      <c r="A2120" s="1">
        <v>251</v>
      </c>
      <c r="B2120" t="s">
        <v>25</v>
      </c>
      <c r="C2120">
        <v>54</v>
      </c>
      <c r="D2120">
        <v>1</v>
      </c>
      <c r="E2120" t="s">
        <v>84</v>
      </c>
      <c r="F2120" t="s">
        <v>85</v>
      </c>
      <c r="G2120" t="str">
        <f>"2025-06-13 13:51:07.052"</f>
        <v>2025-06-13 13:51:07.052</v>
      </c>
      <c r="H2120" t="s">
        <v>21</v>
      </c>
    </row>
    <row r="2121" spans="1:10" x14ac:dyDescent="0.25">
      <c r="A2121" s="1">
        <v>252</v>
      </c>
      <c r="B2121" t="s">
        <v>29</v>
      </c>
      <c r="C2121">
        <v>54</v>
      </c>
      <c r="D2121">
        <v>1</v>
      </c>
      <c r="E2121" t="s">
        <v>84</v>
      </c>
      <c r="F2121" t="s">
        <v>85</v>
      </c>
      <c r="G2121" t="str">
        <f>"2025-06-13 09:51:56.852"</f>
        <v>2025-06-13 09:51:56.852</v>
      </c>
      <c r="H2121" t="s">
        <v>21</v>
      </c>
      <c r="I2121">
        <v>5.83</v>
      </c>
      <c r="J2121" t="s">
        <v>37</v>
      </c>
    </row>
    <row r="2122" spans="1:10" x14ac:dyDescent="0.25">
      <c r="A2122" s="1">
        <v>253</v>
      </c>
      <c r="B2122" t="s">
        <v>25</v>
      </c>
      <c r="C2122">
        <v>630</v>
      </c>
      <c r="D2122">
        <v>5</v>
      </c>
      <c r="E2122" t="s">
        <v>51</v>
      </c>
      <c r="F2122" t="s">
        <v>52</v>
      </c>
      <c r="G2122" t="str">
        <f>"2025-06-13 09:49:40.360"</f>
        <v>2025-06-13 09:49:40.360</v>
      </c>
      <c r="H2122" t="s">
        <v>40</v>
      </c>
    </row>
    <row r="2123" spans="1:10" x14ac:dyDescent="0.25">
      <c r="A2123" s="1">
        <v>254</v>
      </c>
      <c r="B2123" t="s">
        <v>19</v>
      </c>
      <c r="C2123">
        <v>706</v>
      </c>
      <c r="D2123">
        <v>4</v>
      </c>
      <c r="E2123" t="s">
        <v>22</v>
      </c>
      <c r="F2123" t="s">
        <v>31</v>
      </c>
      <c r="G2123" t="str">
        <f>"2025-06-13 09:49:10.251"</f>
        <v>2025-06-13 09:49:10.251</v>
      </c>
      <c r="H2123" t="s">
        <v>21</v>
      </c>
      <c r="I2123">
        <v>0</v>
      </c>
      <c r="J2123" t="s">
        <v>24</v>
      </c>
    </row>
    <row r="2124" spans="1:10" x14ac:dyDescent="0.25">
      <c r="A2124" s="1">
        <v>255</v>
      </c>
      <c r="B2124" t="s">
        <v>33</v>
      </c>
      <c r="C2124">
        <v>630</v>
      </c>
      <c r="D2124">
        <v>5</v>
      </c>
      <c r="E2124" t="s">
        <v>51</v>
      </c>
      <c r="F2124" t="s">
        <v>52</v>
      </c>
      <c r="G2124" t="str">
        <f>"2025-06-13 09:48:47.461"</f>
        <v>2025-06-13 09:48:47.461</v>
      </c>
      <c r="H2124" t="s">
        <v>40</v>
      </c>
      <c r="I2124">
        <v>0</v>
      </c>
      <c r="J2124" t="s">
        <v>24</v>
      </c>
    </row>
    <row r="2125" spans="1:10" x14ac:dyDescent="0.25">
      <c r="A2125" s="1">
        <v>256</v>
      </c>
      <c r="B2125" t="s">
        <v>19</v>
      </c>
      <c r="C2125">
        <v>700</v>
      </c>
      <c r="D2125">
        <v>0</v>
      </c>
      <c r="E2125" t="s">
        <v>20</v>
      </c>
      <c r="F2125" t="s">
        <v>20</v>
      </c>
      <c r="G2125" t="str">
        <f>"2025-06-13 09:43:44.701"</f>
        <v>2025-06-13 09:43:44.701</v>
      </c>
      <c r="H2125" t="s">
        <v>21</v>
      </c>
    </row>
    <row r="2126" spans="1:10" x14ac:dyDescent="0.25">
      <c r="A2126" s="1">
        <v>257</v>
      </c>
      <c r="B2126" t="s">
        <v>25</v>
      </c>
      <c r="C2126">
        <v>54</v>
      </c>
      <c r="D2126">
        <v>1</v>
      </c>
      <c r="E2126" t="s">
        <v>84</v>
      </c>
      <c r="F2126" t="s">
        <v>85</v>
      </c>
      <c r="G2126" t="str">
        <f>"2025-06-13 09:42:22.309"</f>
        <v>2025-06-13 09:42:22.309</v>
      </c>
      <c r="H2126" t="s">
        <v>21</v>
      </c>
    </row>
    <row r="2127" spans="1:10" x14ac:dyDescent="0.25">
      <c r="A2127" s="1">
        <v>258</v>
      </c>
      <c r="B2127" t="s">
        <v>19</v>
      </c>
      <c r="C2127">
        <v>700</v>
      </c>
      <c r="D2127">
        <v>0</v>
      </c>
      <c r="E2127" t="s">
        <v>20</v>
      </c>
      <c r="F2127" t="s">
        <v>20</v>
      </c>
      <c r="G2127" t="str">
        <f>"2025-06-13 09:42:09.706"</f>
        <v>2025-06-13 09:42:09.706</v>
      </c>
      <c r="H2127" t="s">
        <v>21</v>
      </c>
      <c r="I2127">
        <v>0</v>
      </c>
      <c r="J2127" t="s">
        <v>32</v>
      </c>
    </row>
    <row r="2128" spans="1:10" x14ac:dyDescent="0.25">
      <c r="A2128" s="1">
        <v>259</v>
      </c>
      <c r="B2128" t="s">
        <v>29</v>
      </c>
      <c r="C2128">
        <v>54</v>
      </c>
      <c r="D2128">
        <v>1</v>
      </c>
      <c r="E2128" t="s">
        <v>84</v>
      </c>
      <c r="F2128" t="s">
        <v>85</v>
      </c>
      <c r="G2128" t="str">
        <f>"2025-06-13 08:28:03.934"</f>
        <v>2025-06-13 08:28:03.934</v>
      </c>
      <c r="H2128" t="s">
        <v>21</v>
      </c>
      <c r="I2128">
        <v>11.61</v>
      </c>
      <c r="J2128" t="s">
        <v>42</v>
      </c>
    </row>
    <row r="2129" spans="1:10" x14ac:dyDescent="0.25">
      <c r="A2129" s="1">
        <v>260</v>
      </c>
      <c r="B2129" t="s">
        <v>25</v>
      </c>
      <c r="C2129">
        <v>54</v>
      </c>
      <c r="D2129">
        <v>1</v>
      </c>
      <c r="E2129" t="s">
        <v>84</v>
      </c>
      <c r="F2129" t="s">
        <v>85</v>
      </c>
      <c r="G2129" t="str">
        <f>"2025-06-13 08:27:12.034"</f>
        <v>2025-06-13 08:27:12.034</v>
      </c>
      <c r="H2129" t="s">
        <v>21</v>
      </c>
    </row>
    <row r="2130" spans="1:10" x14ac:dyDescent="0.25">
      <c r="A2130" s="1">
        <v>261</v>
      </c>
      <c r="B2130" t="s">
        <v>29</v>
      </c>
      <c r="C2130">
        <v>54</v>
      </c>
      <c r="D2130">
        <v>1</v>
      </c>
      <c r="E2130" t="s">
        <v>84</v>
      </c>
      <c r="F2130" t="s">
        <v>85</v>
      </c>
      <c r="G2130" t="str">
        <f>"2025-06-13 07:58:04.434"</f>
        <v>2025-06-13 07:58:04.434</v>
      </c>
      <c r="H2130" t="s">
        <v>21</v>
      </c>
      <c r="I2130">
        <v>9.4700000000000006</v>
      </c>
      <c r="J2130" t="s">
        <v>42</v>
      </c>
    </row>
    <row r="2131" spans="1:10" x14ac:dyDescent="0.25">
      <c r="A2131" s="1">
        <v>262</v>
      </c>
      <c r="B2131" t="s">
        <v>25</v>
      </c>
      <c r="C2131">
        <v>54</v>
      </c>
      <c r="D2131">
        <v>1</v>
      </c>
      <c r="E2131" t="s">
        <v>84</v>
      </c>
      <c r="F2131" t="s">
        <v>85</v>
      </c>
      <c r="G2131" t="str">
        <f>"2025-06-13 07:57:10.934"</f>
        <v>2025-06-13 07:57:10.934</v>
      </c>
      <c r="H2131" t="s">
        <v>21</v>
      </c>
    </row>
    <row r="2132" spans="1:10" s="3" customFormat="1" x14ac:dyDescent="0.25">
      <c r="A2132" s="2">
        <v>263</v>
      </c>
      <c r="B2132" s="3" t="s">
        <v>25</v>
      </c>
      <c r="C2132" s="3">
        <v>647</v>
      </c>
      <c r="D2132" s="3">
        <v>1</v>
      </c>
      <c r="E2132" s="3" t="s">
        <v>55</v>
      </c>
      <c r="F2132" s="3" t="s">
        <v>56</v>
      </c>
      <c r="G2132" s="3" t="str">
        <f>"2025-06-13 01:47:24.302"</f>
        <v>2025-06-13 01:47:24.302</v>
      </c>
      <c r="H2132" s="3" t="s">
        <v>21</v>
      </c>
    </row>
    <row r="2133" spans="1:10" s="3" customFormat="1" x14ac:dyDescent="0.25">
      <c r="A2133" s="2">
        <v>264</v>
      </c>
      <c r="B2133" s="3" t="s">
        <v>29</v>
      </c>
      <c r="C2133" s="3">
        <v>647</v>
      </c>
      <c r="D2133" s="3">
        <v>1</v>
      </c>
      <c r="E2133" s="3" t="s">
        <v>55</v>
      </c>
      <c r="F2133" s="3" t="s">
        <v>56</v>
      </c>
      <c r="G2133" s="3" t="str">
        <f>"2025-06-13 01:47:21.403"</f>
        <v>2025-06-13 01:47:21.403</v>
      </c>
      <c r="H2133" s="3" t="s">
        <v>21</v>
      </c>
      <c r="I2133" s="3">
        <v>11.47</v>
      </c>
      <c r="J2133" s="3" t="s">
        <v>54</v>
      </c>
    </row>
    <row r="2134" spans="1:10" x14ac:dyDescent="0.25">
      <c r="A2134" s="1">
        <v>265</v>
      </c>
      <c r="B2134" t="s">
        <v>29</v>
      </c>
      <c r="C2134">
        <v>54</v>
      </c>
      <c r="D2134">
        <v>1</v>
      </c>
      <c r="E2134" t="s">
        <v>84</v>
      </c>
      <c r="F2134" t="s">
        <v>85</v>
      </c>
      <c r="G2134" t="str">
        <f>"2025-06-12 21:41:22.134"</f>
        <v>2025-06-12 21:41:22.134</v>
      </c>
      <c r="H2134" t="s">
        <v>21</v>
      </c>
      <c r="I2134">
        <v>14.77</v>
      </c>
      <c r="J2134" t="s">
        <v>42</v>
      </c>
    </row>
    <row r="2135" spans="1:10" x14ac:dyDescent="0.25">
      <c r="A2135" s="1">
        <v>266</v>
      </c>
      <c r="B2135" t="s">
        <v>25</v>
      </c>
      <c r="C2135">
        <v>54</v>
      </c>
      <c r="D2135">
        <v>1</v>
      </c>
      <c r="E2135" t="s">
        <v>84</v>
      </c>
      <c r="F2135" t="s">
        <v>85</v>
      </c>
      <c r="G2135" t="str">
        <f>"2025-06-12 21:41:01.334"</f>
        <v>2025-06-12 21:41:01.334</v>
      </c>
      <c r="H2135" t="s">
        <v>21</v>
      </c>
    </row>
    <row r="2136" spans="1:10" x14ac:dyDescent="0.25">
      <c r="A2136" s="1">
        <v>267</v>
      </c>
      <c r="B2136" t="s">
        <v>29</v>
      </c>
      <c r="C2136">
        <v>54</v>
      </c>
      <c r="D2136">
        <v>1</v>
      </c>
      <c r="E2136" t="s">
        <v>84</v>
      </c>
      <c r="F2136" t="s">
        <v>85</v>
      </c>
      <c r="G2136" t="str">
        <f>"2025-06-12 19:14:50.434"</f>
        <v>2025-06-12 19:14:50.434</v>
      </c>
      <c r="H2136" t="s">
        <v>21</v>
      </c>
      <c r="I2136">
        <v>6.59</v>
      </c>
      <c r="J2136" t="s">
        <v>42</v>
      </c>
    </row>
    <row r="2137" spans="1:10" x14ac:dyDescent="0.25">
      <c r="A2137" s="1">
        <v>268</v>
      </c>
      <c r="B2137" t="s">
        <v>25</v>
      </c>
      <c r="C2137">
        <v>54</v>
      </c>
      <c r="D2137">
        <v>1</v>
      </c>
      <c r="E2137" t="s">
        <v>84</v>
      </c>
      <c r="F2137" t="s">
        <v>85</v>
      </c>
      <c r="G2137" t="str">
        <f>"2025-06-12 19:14:30.334"</f>
        <v>2025-06-12 19:14:30.334</v>
      </c>
      <c r="H2137" t="s">
        <v>21</v>
      </c>
    </row>
    <row r="2138" spans="1:10" x14ac:dyDescent="0.25">
      <c r="A2138" s="1">
        <v>269</v>
      </c>
      <c r="B2138" t="s">
        <v>29</v>
      </c>
      <c r="C2138">
        <v>54</v>
      </c>
      <c r="D2138">
        <v>1</v>
      </c>
      <c r="E2138" t="s">
        <v>84</v>
      </c>
      <c r="F2138" t="s">
        <v>85</v>
      </c>
      <c r="G2138" t="str">
        <f>"2025-06-12 18:58:33.333"</f>
        <v>2025-06-12 18:58:33.333</v>
      </c>
      <c r="H2138" t="s">
        <v>21</v>
      </c>
      <c r="I2138">
        <v>13.69</v>
      </c>
      <c r="J2138" t="s">
        <v>54</v>
      </c>
    </row>
    <row r="2139" spans="1:10" x14ac:dyDescent="0.25">
      <c r="A2139" s="1">
        <v>270</v>
      </c>
      <c r="B2139" t="s">
        <v>25</v>
      </c>
      <c r="C2139">
        <v>54</v>
      </c>
      <c r="D2139">
        <v>1</v>
      </c>
      <c r="E2139" t="s">
        <v>84</v>
      </c>
      <c r="F2139" t="s">
        <v>85</v>
      </c>
      <c r="G2139" t="str">
        <f>"2025-06-12 18:54:00.534"</f>
        <v>2025-06-12 18:54:00.534</v>
      </c>
      <c r="H2139" t="s">
        <v>21</v>
      </c>
    </row>
    <row r="2140" spans="1:10" x14ac:dyDescent="0.25">
      <c r="A2140" s="1">
        <v>271</v>
      </c>
      <c r="B2140" t="s">
        <v>29</v>
      </c>
      <c r="C2140">
        <v>54</v>
      </c>
      <c r="D2140">
        <v>1</v>
      </c>
      <c r="E2140" t="s">
        <v>84</v>
      </c>
      <c r="F2140" t="s">
        <v>85</v>
      </c>
      <c r="G2140" t="str">
        <f>"2025-06-12 18:51:13.634"</f>
        <v>2025-06-12 18:51:13.634</v>
      </c>
      <c r="H2140" t="s">
        <v>21</v>
      </c>
      <c r="I2140">
        <v>8.0500000000000007</v>
      </c>
      <c r="J2140" t="s">
        <v>42</v>
      </c>
    </row>
    <row r="2141" spans="1:10" x14ac:dyDescent="0.25">
      <c r="A2141" s="1">
        <v>272</v>
      </c>
      <c r="B2141" t="s">
        <v>25</v>
      </c>
      <c r="C2141">
        <v>54</v>
      </c>
      <c r="D2141">
        <v>1</v>
      </c>
      <c r="E2141" t="s">
        <v>84</v>
      </c>
      <c r="F2141" t="s">
        <v>85</v>
      </c>
      <c r="G2141" t="str">
        <f>"2025-06-12 18:45:32.334"</f>
        <v>2025-06-12 18:45:32.334</v>
      </c>
      <c r="H2141" t="s">
        <v>21</v>
      </c>
    </row>
    <row r="2142" spans="1:10" x14ac:dyDescent="0.25">
      <c r="A2142" s="1">
        <v>273</v>
      </c>
      <c r="B2142" t="s">
        <v>29</v>
      </c>
      <c r="C2142">
        <v>54</v>
      </c>
      <c r="D2142">
        <v>1</v>
      </c>
      <c r="E2142" t="s">
        <v>84</v>
      </c>
      <c r="F2142" t="s">
        <v>85</v>
      </c>
      <c r="G2142" t="str">
        <f>"2025-06-12 18:42:27.834"</f>
        <v>2025-06-12 18:42:27.834</v>
      </c>
      <c r="H2142" t="s">
        <v>21</v>
      </c>
      <c r="I2142">
        <v>6.64</v>
      </c>
      <c r="J2142" t="s">
        <v>42</v>
      </c>
    </row>
    <row r="2143" spans="1:10" x14ac:dyDescent="0.25">
      <c r="A2143" s="1">
        <v>274</v>
      </c>
      <c r="B2143" t="s">
        <v>25</v>
      </c>
      <c r="C2143">
        <v>54</v>
      </c>
      <c r="D2143">
        <v>1</v>
      </c>
      <c r="E2143" t="s">
        <v>84</v>
      </c>
      <c r="F2143" t="s">
        <v>85</v>
      </c>
      <c r="G2143" t="str">
        <f>"2025-06-12 18:39:14.734"</f>
        <v>2025-06-12 18:39:14.734</v>
      </c>
      <c r="H2143" t="s">
        <v>21</v>
      </c>
    </row>
    <row r="2144" spans="1:10" x14ac:dyDescent="0.25">
      <c r="A2144" s="1">
        <v>275</v>
      </c>
      <c r="B2144" t="s">
        <v>29</v>
      </c>
      <c r="C2144">
        <v>54</v>
      </c>
      <c r="D2144">
        <v>1</v>
      </c>
      <c r="E2144" t="s">
        <v>84</v>
      </c>
      <c r="F2144" t="s">
        <v>85</v>
      </c>
      <c r="G2144" t="str">
        <f>"2025-06-12 18:19:24.034"</f>
        <v>2025-06-12 18:19:24.034</v>
      </c>
      <c r="H2144" t="s">
        <v>21</v>
      </c>
      <c r="I2144">
        <v>8.81</v>
      </c>
      <c r="J2144" t="s">
        <v>42</v>
      </c>
    </row>
    <row r="2145" spans="1:10" x14ac:dyDescent="0.25">
      <c r="A2145" s="1">
        <v>276</v>
      </c>
      <c r="B2145" t="s">
        <v>25</v>
      </c>
      <c r="C2145">
        <v>54</v>
      </c>
      <c r="D2145">
        <v>1</v>
      </c>
      <c r="E2145" t="s">
        <v>84</v>
      </c>
      <c r="F2145" t="s">
        <v>85</v>
      </c>
      <c r="G2145" t="str">
        <f>"2025-06-12 18:14:54.334"</f>
        <v>2025-06-12 18:14:54.334</v>
      </c>
      <c r="H2145" t="s">
        <v>21</v>
      </c>
    </row>
    <row r="2146" spans="1:10" x14ac:dyDescent="0.25">
      <c r="A2146" s="1">
        <v>277</v>
      </c>
      <c r="B2146" t="s">
        <v>29</v>
      </c>
      <c r="C2146">
        <v>54</v>
      </c>
      <c r="D2146">
        <v>1</v>
      </c>
      <c r="E2146" t="s">
        <v>84</v>
      </c>
      <c r="F2146" t="s">
        <v>85</v>
      </c>
      <c r="G2146" t="str">
        <f>"2025-06-12 18:11:16.334"</f>
        <v>2025-06-12 18:11:16.334</v>
      </c>
      <c r="H2146" t="s">
        <v>21</v>
      </c>
      <c r="I2146">
        <v>10.9</v>
      </c>
      <c r="J2146" t="s">
        <v>42</v>
      </c>
    </row>
    <row r="2147" spans="1:10" x14ac:dyDescent="0.25">
      <c r="A2147" s="1">
        <v>278</v>
      </c>
      <c r="B2147" t="s">
        <v>25</v>
      </c>
      <c r="C2147">
        <v>54</v>
      </c>
      <c r="D2147">
        <v>1</v>
      </c>
      <c r="E2147" t="s">
        <v>84</v>
      </c>
      <c r="F2147" t="s">
        <v>85</v>
      </c>
      <c r="G2147" t="str">
        <f>"2025-06-12 18:09:25.634"</f>
        <v>2025-06-12 18:09:25.634</v>
      </c>
      <c r="H2147" t="s">
        <v>21</v>
      </c>
    </row>
    <row r="2148" spans="1:10" x14ac:dyDescent="0.25">
      <c r="A2148" s="1">
        <v>279</v>
      </c>
      <c r="B2148" t="s">
        <v>29</v>
      </c>
      <c r="C2148">
        <v>54</v>
      </c>
      <c r="D2148">
        <v>1</v>
      </c>
      <c r="E2148" t="s">
        <v>84</v>
      </c>
      <c r="F2148" t="s">
        <v>85</v>
      </c>
      <c r="G2148" t="str">
        <f>"2025-06-12 18:05:04.634"</f>
        <v>2025-06-12 18:05:04.634</v>
      </c>
      <c r="H2148" t="s">
        <v>21</v>
      </c>
      <c r="I2148">
        <v>7.26</v>
      </c>
      <c r="J2148" t="s">
        <v>42</v>
      </c>
    </row>
    <row r="2149" spans="1:10" x14ac:dyDescent="0.25">
      <c r="A2149" s="1">
        <v>280</v>
      </c>
      <c r="B2149" t="s">
        <v>25</v>
      </c>
      <c r="C2149">
        <v>54</v>
      </c>
      <c r="D2149">
        <v>1</v>
      </c>
      <c r="E2149" t="s">
        <v>84</v>
      </c>
      <c r="F2149" t="s">
        <v>85</v>
      </c>
      <c r="G2149" t="str">
        <f>"2025-06-12 17:57:44.334"</f>
        <v>2025-06-12 17:57:44.334</v>
      </c>
      <c r="H2149" t="s">
        <v>21</v>
      </c>
    </row>
    <row r="2150" spans="1:10" x14ac:dyDescent="0.25">
      <c r="A2150" s="1">
        <v>281</v>
      </c>
      <c r="B2150" t="s">
        <v>29</v>
      </c>
      <c r="C2150">
        <v>54</v>
      </c>
      <c r="D2150">
        <v>1</v>
      </c>
      <c r="E2150" t="s">
        <v>84</v>
      </c>
      <c r="F2150" t="s">
        <v>85</v>
      </c>
      <c r="G2150" t="str">
        <f>"2025-06-12 17:35:27.434"</f>
        <v>2025-06-12 17:35:27.434</v>
      </c>
      <c r="H2150" t="s">
        <v>21</v>
      </c>
      <c r="I2150">
        <v>7.66</v>
      </c>
      <c r="J2150" t="s">
        <v>42</v>
      </c>
    </row>
    <row r="2151" spans="1:10" x14ac:dyDescent="0.25">
      <c r="A2151" s="1">
        <v>282</v>
      </c>
      <c r="B2151" t="s">
        <v>25</v>
      </c>
      <c r="C2151">
        <v>54</v>
      </c>
      <c r="D2151">
        <v>1</v>
      </c>
      <c r="E2151" t="s">
        <v>84</v>
      </c>
      <c r="F2151" t="s">
        <v>85</v>
      </c>
      <c r="G2151" t="str">
        <f>"2025-06-12 17:34:06.634"</f>
        <v>2025-06-12 17:34:06.634</v>
      </c>
      <c r="H2151" t="s">
        <v>21</v>
      </c>
    </row>
    <row r="2152" spans="1:10" x14ac:dyDescent="0.25">
      <c r="A2152" s="1">
        <v>283</v>
      </c>
      <c r="B2152" t="s">
        <v>29</v>
      </c>
      <c r="C2152">
        <v>54</v>
      </c>
      <c r="D2152">
        <v>1</v>
      </c>
      <c r="E2152" t="s">
        <v>84</v>
      </c>
      <c r="F2152" t="s">
        <v>85</v>
      </c>
      <c r="G2152" t="str">
        <f>"2025-06-12 17:30:33.334"</f>
        <v>2025-06-12 17:30:33.334</v>
      </c>
      <c r="H2152" t="s">
        <v>21</v>
      </c>
      <c r="I2152">
        <v>11.56</v>
      </c>
      <c r="J2152" t="s">
        <v>42</v>
      </c>
    </row>
    <row r="2153" spans="1:10" x14ac:dyDescent="0.25">
      <c r="A2153" s="1">
        <v>284</v>
      </c>
      <c r="B2153" t="s">
        <v>25</v>
      </c>
      <c r="C2153">
        <v>54</v>
      </c>
      <c r="D2153">
        <v>1</v>
      </c>
      <c r="E2153" t="s">
        <v>84</v>
      </c>
      <c r="F2153" t="s">
        <v>85</v>
      </c>
      <c r="G2153" t="str">
        <f>"2025-06-12 17:24:25.834"</f>
        <v>2025-06-12 17:24:25.834</v>
      </c>
      <c r="H2153" t="s">
        <v>21</v>
      </c>
    </row>
    <row r="2154" spans="1:10" x14ac:dyDescent="0.25">
      <c r="A2154" s="1">
        <v>285</v>
      </c>
      <c r="B2154" t="s">
        <v>29</v>
      </c>
      <c r="C2154">
        <v>54</v>
      </c>
      <c r="D2154">
        <v>1</v>
      </c>
      <c r="E2154" t="s">
        <v>84</v>
      </c>
      <c r="F2154" t="s">
        <v>85</v>
      </c>
      <c r="G2154" t="str">
        <f>"2025-06-12 17:18:28.733"</f>
        <v>2025-06-12 17:18:28.733</v>
      </c>
      <c r="H2154" t="s">
        <v>21</v>
      </c>
      <c r="I2154">
        <v>6.56</v>
      </c>
      <c r="J2154" t="s">
        <v>42</v>
      </c>
    </row>
    <row r="2155" spans="1:10" x14ac:dyDescent="0.25">
      <c r="A2155" s="1">
        <v>286</v>
      </c>
      <c r="B2155" t="s">
        <v>25</v>
      </c>
      <c r="C2155">
        <v>54</v>
      </c>
      <c r="D2155">
        <v>1</v>
      </c>
      <c r="E2155" t="s">
        <v>84</v>
      </c>
      <c r="F2155" t="s">
        <v>85</v>
      </c>
      <c r="G2155" t="str">
        <f>"2025-06-12 17:16:55.634"</f>
        <v>2025-06-12 17:16:55.634</v>
      </c>
      <c r="H2155" t="s">
        <v>21</v>
      </c>
    </row>
    <row r="2156" spans="1:10" x14ac:dyDescent="0.25">
      <c r="A2156" s="1">
        <v>287</v>
      </c>
      <c r="B2156" t="s">
        <v>29</v>
      </c>
      <c r="C2156">
        <v>54</v>
      </c>
      <c r="D2156">
        <v>1</v>
      </c>
      <c r="E2156" t="s">
        <v>84</v>
      </c>
      <c r="F2156" t="s">
        <v>85</v>
      </c>
      <c r="G2156" t="str">
        <f>"2025-06-12 16:59:28.934"</f>
        <v>2025-06-12 16:59:28.934</v>
      </c>
      <c r="H2156" t="s">
        <v>21</v>
      </c>
      <c r="I2156">
        <v>6.55</v>
      </c>
      <c r="J2156" t="s">
        <v>42</v>
      </c>
    </row>
    <row r="2157" spans="1:10" x14ac:dyDescent="0.25">
      <c r="A2157" s="1">
        <v>288</v>
      </c>
      <c r="B2157" t="s">
        <v>25</v>
      </c>
      <c r="C2157">
        <v>54</v>
      </c>
      <c r="D2157">
        <v>1</v>
      </c>
      <c r="E2157" t="s">
        <v>84</v>
      </c>
      <c r="F2157" t="s">
        <v>85</v>
      </c>
      <c r="G2157" t="str">
        <f>"2025-06-12 16:51:56.334"</f>
        <v>2025-06-12 16:51:56.334</v>
      </c>
      <c r="H2157" t="s">
        <v>21</v>
      </c>
    </row>
    <row r="2158" spans="1:10" x14ac:dyDescent="0.25">
      <c r="A2158" s="1">
        <v>289</v>
      </c>
      <c r="B2158" t="s">
        <v>29</v>
      </c>
      <c r="C2158">
        <v>54</v>
      </c>
      <c r="D2158">
        <v>1</v>
      </c>
      <c r="E2158" t="s">
        <v>84</v>
      </c>
      <c r="F2158" t="s">
        <v>85</v>
      </c>
      <c r="G2158" t="str">
        <f>"2025-06-12 16:44:45.634"</f>
        <v>2025-06-12 16:44:45.634</v>
      </c>
      <c r="H2158" t="s">
        <v>21</v>
      </c>
      <c r="I2158">
        <v>8.73</v>
      </c>
      <c r="J2158" t="s">
        <v>42</v>
      </c>
    </row>
    <row r="2159" spans="1:10" x14ac:dyDescent="0.25">
      <c r="A2159" s="1">
        <v>290</v>
      </c>
      <c r="B2159" t="s">
        <v>25</v>
      </c>
      <c r="C2159">
        <v>54</v>
      </c>
      <c r="D2159">
        <v>1</v>
      </c>
      <c r="E2159" t="s">
        <v>84</v>
      </c>
      <c r="F2159" t="s">
        <v>85</v>
      </c>
      <c r="G2159" t="str">
        <f>"2025-06-12 16:44:15.734"</f>
        <v>2025-06-12 16:44:15.734</v>
      </c>
      <c r="H2159" t="s">
        <v>21</v>
      </c>
    </row>
    <row r="2160" spans="1:10" x14ac:dyDescent="0.25">
      <c r="A2160" s="1">
        <v>291</v>
      </c>
      <c r="B2160" t="s">
        <v>29</v>
      </c>
      <c r="C2160">
        <v>54</v>
      </c>
      <c r="D2160">
        <v>1</v>
      </c>
      <c r="E2160" t="s">
        <v>84</v>
      </c>
      <c r="F2160" t="s">
        <v>85</v>
      </c>
      <c r="G2160" t="str">
        <f>"2025-06-12 16:43:06.034"</f>
        <v>2025-06-12 16:43:06.034</v>
      </c>
      <c r="H2160" t="s">
        <v>21</v>
      </c>
      <c r="I2160">
        <v>6.09</v>
      </c>
      <c r="J2160" t="s">
        <v>42</v>
      </c>
    </row>
    <row r="2161" spans="1:10" x14ac:dyDescent="0.25">
      <c r="A2161" s="1">
        <v>292</v>
      </c>
      <c r="B2161" t="s">
        <v>25</v>
      </c>
      <c r="C2161">
        <v>54</v>
      </c>
      <c r="D2161">
        <v>1</v>
      </c>
      <c r="E2161" t="s">
        <v>84</v>
      </c>
      <c r="F2161" t="s">
        <v>85</v>
      </c>
      <c r="G2161" t="str">
        <f>"2025-06-12 16:40:21.734"</f>
        <v>2025-06-12 16:40:21.734</v>
      </c>
      <c r="H2161" t="s">
        <v>21</v>
      </c>
    </row>
    <row r="2162" spans="1:10" x14ac:dyDescent="0.25">
      <c r="A2162" s="1">
        <v>293</v>
      </c>
      <c r="B2162" t="s">
        <v>29</v>
      </c>
      <c r="C2162">
        <v>54</v>
      </c>
      <c r="D2162">
        <v>1</v>
      </c>
      <c r="E2162" t="s">
        <v>84</v>
      </c>
      <c r="F2162" t="s">
        <v>85</v>
      </c>
      <c r="G2162" t="str">
        <f>"2025-06-12 16:23:38.234"</f>
        <v>2025-06-12 16:23:38.234</v>
      </c>
      <c r="H2162" t="s">
        <v>21</v>
      </c>
      <c r="I2162">
        <v>7.69</v>
      </c>
      <c r="J2162" t="s">
        <v>42</v>
      </c>
    </row>
    <row r="2163" spans="1:10" x14ac:dyDescent="0.25">
      <c r="A2163" s="1">
        <v>294</v>
      </c>
      <c r="B2163" t="s">
        <v>25</v>
      </c>
      <c r="C2163">
        <v>54</v>
      </c>
      <c r="D2163">
        <v>1</v>
      </c>
      <c r="E2163" t="s">
        <v>84</v>
      </c>
      <c r="F2163" t="s">
        <v>85</v>
      </c>
      <c r="G2163" t="str">
        <f>"2025-06-12 16:21:50.034"</f>
        <v>2025-06-12 16:21:50.034</v>
      </c>
      <c r="H2163" t="s">
        <v>21</v>
      </c>
    </row>
    <row r="2164" spans="1:10" x14ac:dyDescent="0.25">
      <c r="A2164" s="1">
        <v>295</v>
      </c>
      <c r="B2164" t="s">
        <v>29</v>
      </c>
      <c r="C2164">
        <v>54</v>
      </c>
      <c r="D2164">
        <v>1</v>
      </c>
      <c r="E2164" t="s">
        <v>84</v>
      </c>
      <c r="F2164" t="s">
        <v>85</v>
      </c>
      <c r="G2164" t="str">
        <f>"2025-06-12 16:18:11.234"</f>
        <v>2025-06-12 16:18:11.234</v>
      </c>
      <c r="H2164" t="s">
        <v>21</v>
      </c>
      <c r="I2164">
        <v>11.8</v>
      </c>
      <c r="J2164" t="s">
        <v>42</v>
      </c>
    </row>
    <row r="2165" spans="1:10" x14ac:dyDescent="0.25">
      <c r="A2165" s="1">
        <v>296</v>
      </c>
      <c r="B2165" t="s">
        <v>25</v>
      </c>
      <c r="C2165">
        <v>54</v>
      </c>
      <c r="D2165">
        <v>1</v>
      </c>
      <c r="E2165" t="s">
        <v>84</v>
      </c>
      <c r="F2165" t="s">
        <v>85</v>
      </c>
      <c r="G2165" t="str">
        <f>"2025-06-12 16:17:03.934"</f>
        <v>2025-06-12 16:17:03.934</v>
      </c>
      <c r="H2165" t="s">
        <v>21</v>
      </c>
    </row>
    <row r="2166" spans="1:10" x14ac:dyDescent="0.25">
      <c r="A2166" s="1">
        <v>297</v>
      </c>
      <c r="B2166" t="s">
        <v>29</v>
      </c>
      <c r="C2166">
        <v>54</v>
      </c>
      <c r="D2166">
        <v>1</v>
      </c>
      <c r="E2166" t="s">
        <v>84</v>
      </c>
      <c r="F2166" t="s">
        <v>85</v>
      </c>
      <c r="G2166" t="str">
        <f>"2025-06-12 16:11:30.934"</f>
        <v>2025-06-12 16:11:30.934</v>
      </c>
      <c r="H2166" t="s">
        <v>21</v>
      </c>
      <c r="I2166">
        <v>7.55</v>
      </c>
      <c r="J2166" t="s">
        <v>42</v>
      </c>
    </row>
    <row r="2167" spans="1:10" x14ac:dyDescent="0.25">
      <c r="A2167" s="1">
        <v>298</v>
      </c>
      <c r="B2167" t="s">
        <v>25</v>
      </c>
      <c r="C2167">
        <v>54</v>
      </c>
      <c r="D2167">
        <v>1</v>
      </c>
      <c r="E2167" t="s">
        <v>84</v>
      </c>
      <c r="F2167" t="s">
        <v>85</v>
      </c>
      <c r="G2167" t="str">
        <f>"2025-06-12 16:08:30.634"</f>
        <v>2025-06-12 16:08:30.634</v>
      </c>
      <c r="H2167" t="s">
        <v>21</v>
      </c>
    </row>
    <row r="2168" spans="1:10" x14ac:dyDescent="0.25">
      <c r="A2168" s="1">
        <v>299</v>
      </c>
      <c r="B2168" t="s">
        <v>29</v>
      </c>
      <c r="C2168">
        <v>54</v>
      </c>
      <c r="D2168">
        <v>1</v>
      </c>
      <c r="E2168" t="s">
        <v>84</v>
      </c>
      <c r="F2168" t="s">
        <v>85</v>
      </c>
      <c r="G2168" t="str">
        <f>"2025-06-12 16:06:23.334"</f>
        <v>2025-06-12 16:06:23.334</v>
      </c>
      <c r="H2168" t="s">
        <v>21</v>
      </c>
      <c r="I2168">
        <v>6.97</v>
      </c>
      <c r="J2168" t="s">
        <v>42</v>
      </c>
    </row>
    <row r="2169" spans="1:10" x14ac:dyDescent="0.25">
      <c r="A2169" s="1">
        <v>300</v>
      </c>
      <c r="B2169" t="s">
        <v>25</v>
      </c>
      <c r="C2169">
        <v>54</v>
      </c>
      <c r="D2169">
        <v>1</v>
      </c>
      <c r="E2169" t="s">
        <v>84</v>
      </c>
      <c r="F2169" t="s">
        <v>85</v>
      </c>
      <c r="G2169" t="str">
        <f>"2025-06-12 16:04:23.134"</f>
        <v>2025-06-12 16:04:23.134</v>
      </c>
      <c r="H2169" t="s">
        <v>21</v>
      </c>
    </row>
    <row r="2170" spans="1:10" x14ac:dyDescent="0.25">
      <c r="A2170" s="1">
        <v>301</v>
      </c>
      <c r="B2170" t="s">
        <v>29</v>
      </c>
      <c r="C2170">
        <v>54</v>
      </c>
      <c r="D2170">
        <v>1</v>
      </c>
      <c r="E2170" t="s">
        <v>84</v>
      </c>
      <c r="F2170" t="s">
        <v>85</v>
      </c>
      <c r="G2170" t="str">
        <f>"2025-06-12 15:46:08.334"</f>
        <v>2025-06-12 15:46:08.334</v>
      </c>
      <c r="H2170" t="s">
        <v>21</v>
      </c>
      <c r="I2170">
        <v>8.33</v>
      </c>
      <c r="J2170" t="s">
        <v>42</v>
      </c>
    </row>
    <row r="2171" spans="1:10" x14ac:dyDescent="0.25">
      <c r="A2171" s="1">
        <v>302</v>
      </c>
      <c r="B2171" t="s">
        <v>25</v>
      </c>
      <c r="C2171">
        <v>54</v>
      </c>
      <c r="D2171">
        <v>1</v>
      </c>
      <c r="E2171" t="s">
        <v>84</v>
      </c>
      <c r="F2171" t="s">
        <v>85</v>
      </c>
      <c r="G2171" t="str">
        <f>"2025-06-12 15:45:09.634"</f>
        <v>2025-06-12 15:45:09.634</v>
      </c>
      <c r="H2171" t="s">
        <v>21</v>
      </c>
    </row>
    <row r="2172" spans="1:10" x14ac:dyDescent="0.25">
      <c r="A2172" s="1">
        <v>303</v>
      </c>
      <c r="B2172" t="s">
        <v>29</v>
      </c>
      <c r="C2172">
        <v>54</v>
      </c>
      <c r="D2172">
        <v>1</v>
      </c>
      <c r="E2172" t="s">
        <v>84</v>
      </c>
      <c r="F2172" t="s">
        <v>85</v>
      </c>
      <c r="G2172" t="str">
        <f>"2025-06-12 15:30:23.034"</f>
        <v>2025-06-12 15:30:23.034</v>
      </c>
      <c r="H2172" t="s">
        <v>21</v>
      </c>
      <c r="I2172">
        <v>6.88</v>
      </c>
      <c r="J2172" t="s">
        <v>42</v>
      </c>
    </row>
    <row r="2173" spans="1:10" x14ac:dyDescent="0.25">
      <c r="A2173" s="1">
        <v>304</v>
      </c>
      <c r="B2173" t="s">
        <v>25</v>
      </c>
      <c r="C2173">
        <v>54</v>
      </c>
      <c r="D2173">
        <v>1</v>
      </c>
      <c r="E2173" t="s">
        <v>84</v>
      </c>
      <c r="F2173" t="s">
        <v>85</v>
      </c>
      <c r="G2173" t="str">
        <f>"2025-06-12 15:28:40.234"</f>
        <v>2025-06-12 15:28:40.234</v>
      </c>
      <c r="H2173" t="s">
        <v>21</v>
      </c>
    </row>
    <row r="2174" spans="1:10" x14ac:dyDescent="0.25">
      <c r="A2174" s="1">
        <v>305</v>
      </c>
      <c r="B2174" t="s">
        <v>29</v>
      </c>
      <c r="C2174">
        <v>54</v>
      </c>
      <c r="D2174">
        <v>1</v>
      </c>
      <c r="E2174" t="s">
        <v>84</v>
      </c>
      <c r="F2174" t="s">
        <v>85</v>
      </c>
      <c r="G2174" t="str">
        <f>"2025-06-12 15:09:24.534"</f>
        <v>2025-06-12 15:09:24.534</v>
      </c>
      <c r="H2174" t="s">
        <v>21</v>
      </c>
      <c r="I2174">
        <v>9.75</v>
      </c>
      <c r="J2174" t="s">
        <v>42</v>
      </c>
    </row>
    <row r="2175" spans="1:10" x14ac:dyDescent="0.25">
      <c r="A2175" s="1">
        <v>306</v>
      </c>
      <c r="B2175" t="s">
        <v>25</v>
      </c>
      <c r="C2175">
        <v>54</v>
      </c>
      <c r="D2175">
        <v>1</v>
      </c>
      <c r="E2175" t="s">
        <v>84</v>
      </c>
      <c r="F2175" t="s">
        <v>85</v>
      </c>
      <c r="G2175" t="str">
        <f>"2025-06-12 15:04:57.634"</f>
        <v>2025-06-12 15:04:57.634</v>
      </c>
      <c r="H2175" t="s">
        <v>21</v>
      </c>
    </row>
    <row r="2176" spans="1:10" x14ac:dyDescent="0.25">
      <c r="A2176" s="1">
        <v>307</v>
      </c>
      <c r="B2176" t="s">
        <v>29</v>
      </c>
      <c r="C2176">
        <v>54</v>
      </c>
      <c r="D2176">
        <v>1</v>
      </c>
      <c r="E2176" t="s">
        <v>84</v>
      </c>
      <c r="F2176" t="s">
        <v>85</v>
      </c>
      <c r="G2176" t="str">
        <f>"2025-06-12 15:01:29.634"</f>
        <v>2025-06-12 15:01:29.634</v>
      </c>
      <c r="H2176" t="s">
        <v>21</v>
      </c>
      <c r="I2176">
        <v>11.68</v>
      </c>
      <c r="J2176" t="s">
        <v>42</v>
      </c>
    </row>
    <row r="2177" spans="1:10" x14ac:dyDescent="0.25">
      <c r="A2177" s="1">
        <v>308</v>
      </c>
      <c r="B2177" t="s">
        <v>25</v>
      </c>
      <c r="C2177">
        <v>54</v>
      </c>
      <c r="D2177">
        <v>1</v>
      </c>
      <c r="E2177" t="s">
        <v>84</v>
      </c>
      <c r="F2177" t="s">
        <v>85</v>
      </c>
      <c r="G2177" t="str">
        <f>"2025-06-12 14:56:06.334"</f>
        <v>2025-06-12 14:56:06.334</v>
      </c>
      <c r="H2177" t="s">
        <v>21</v>
      </c>
    </row>
    <row r="2178" spans="1:10" x14ac:dyDescent="0.25">
      <c r="A2178" s="1">
        <v>309</v>
      </c>
      <c r="B2178" t="s">
        <v>29</v>
      </c>
      <c r="C2178">
        <v>54</v>
      </c>
      <c r="D2178">
        <v>1</v>
      </c>
      <c r="E2178" t="s">
        <v>84</v>
      </c>
      <c r="F2178" t="s">
        <v>85</v>
      </c>
      <c r="G2178" t="str">
        <f>"2025-06-12 14:30:06.734"</f>
        <v>2025-06-12 14:30:06.734</v>
      </c>
      <c r="H2178" t="s">
        <v>21</v>
      </c>
      <c r="I2178">
        <v>7.38</v>
      </c>
      <c r="J2178" t="s">
        <v>42</v>
      </c>
    </row>
    <row r="2179" spans="1:10" x14ac:dyDescent="0.25">
      <c r="A2179" s="1">
        <v>310</v>
      </c>
      <c r="B2179" t="s">
        <v>25</v>
      </c>
      <c r="C2179">
        <v>54</v>
      </c>
      <c r="D2179">
        <v>1</v>
      </c>
      <c r="E2179" t="s">
        <v>84</v>
      </c>
      <c r="F2179" t="s">
        <v>85</v>
      </c>
      <c r="G2179" t="str">
        <f>"2025-06-12 14:28:38.534"</f>
        <v>2025-06-12 14:28:38.534</v>
      </c>
      <c r="H2179" t="s">
        <v>21</v>
      </c>
    </row>
    <row r="2180" spans="1:10" x14ac:dyDescent="0.25">
      <c r="A2180" s="1">
        <v>311</v>
      </c>
      <c r="B2180" t="s">
        <v>29</v>
      </c>
      <c r="C2180">
        <v>54</v>
      </c>
      <c r="D2180">
        <v>1</v>
      </c>
      <c r="E2180" t="s">
        <v>84</v>
      </c>
      <c r="F2180" t="s">
        <v>85</v>
      </c>
      <c r="G2180" t="str">
        <f>"2025-06-12 14:14:14.834"</f>
        <v>2025-06-12 14:14:14.834</v>
      </c>
      <c r="H2180" t="s">
        <v>21</v>
      </c>
      <c r="I2180">
        <v>7.13</v>
      </c>
      <c r="J2180" t="s">
        <v>42</v>
      </c>
    </row>
    <row r="2181" spans="1:10" x14ac:dyDescent="0.25">
      <c r="A2181" s="1">
        <v>312</v>
      </c>
      <c r="B2181" t="s">
        <v>25</v>
      </c>
      <c r="C2181">
        <v>54</v>
      </c>
      <c r="D2181">
        <v>1</v>
      </c>
      <c r="E2181" t="s">
        <v>84</v>
      </c>
      <c r="F2181" t="s">
        <v>85</v>
      </c>
      <c r="G2181" t="str">
        <f>"2025-06-12 14:12:42.034"</f>
        <v>2025-06-12 14:12:42.034</v>
      </c>
      <c r="H2181" t="s">
        <v>21</v>
      </c>
    </row>
    <row r="2182" spans="1:10" x14ac:dyDescent="0.25">
      <c r="A2182" s="1">
        <v>313</v>
      </c>
      <c r="B2182" t="s">
        <v>29</v>
      </c>
      <c r="C2182">
        <v>54</v>
      </c>
      <c r="D2182">
        <v>1</v>
      </c>
      <c r="E2182" t="s">
        <v>84</v>
      </c>
      <c r="F2182" t="s">
        <v>85</v>
      </c>
      <c r="G2182" t="str">
        <f>"2025-06-12 13:20:00.134"</f>
        <v>2025-06-12 13:20:00.134</v>
      </c>
      <c r="H2182" t="s">
        <v>21</v>
      </c>
      <c r="I2182">
        <v>11.59</v>
      </c>
      <c r="J2182" t="s">
        <v>42</v>
      </c>
    </row>
    <row r="2183" spans="1:10" x14ac:dyDescent="0.25">
      <c r="A2183" s="1">
        <v>314</v>
      </c>
      <c r="B2183" t="s">
        <v>25</v>
      </c>
      <c r="C2183">
        <v>54</v>
      </c>
      <c r="D2183">
        <v>1</v>
      </c>
      <c r="E2183" t="s">
        <v>84</v>
      </c>
      <c r="F2183" t="s">
        <v>85</v>
      </c>
      <c r="G2183" t="str">
        <f>"2025-06-12 13:19:21.334"</f>
        <v>2025-06-12 13:19:21.334</v>
      </c>
      <c r="H2183" t="s">
        <v>21</v>
      </c>
    </row>
    <row r="2184" spans="1:10" x14ac:dyDescent="0.25">
      <c r="A2184" s="1">
        <v>315</v>
      </c>
      <c r="B2184" t="s">
        <v>29</v>
      </c>
      <c r="C2184">
        <v>54</v>
      </c>
      <c r="D2184">
        <v>1</v>
      </c>
      <c r="E2184" t="s">
        <v>84</v>
      </c>
      <c r="F2184" t="s">
        <v>85</v>
      </c>
      <c r="G2184" t="str">
        <f>"2025-06-12 11:30:04.034"</f>
        <v>2025-06-12 11:30:04.034</v>
      </c>
      <c r="H2184" t="s">
        <v>21</v>
      </c>
      <c r="I2184">
        <v>8.74</v>
      </c>
      <c r="J2184" t="s">
        <v>42</v>
      </c>
    </row>
    <row r="2185" spans="1:10" x14ac:dyDescent="0.25">
      <c r="A2185" s="1">
        <v>316</v>
      </c>
      <c r="B2185" t="s">
        <v>25</v>
      </c>
      <c r="C2185">
        <v>54</v>
      </c>
      <c r="D2185">
        <v>1</v>
      </c>
      <c r="E2185" t="s">
        <v>84</v>
      </c>
      <c r="F2185" t="s">
        <v>85</v>
      </c>
      <c r="G2185" t="str">
        <f>"2025-06-12 11:29:23.034"</f>
        <v>2025-06-12 11:29:23.034</v>
      </c>
      <c r="H2185" t="s">
        <v>21</v>
      </c>
    </row>
    <row r="2186" spans="1:10" x14ac:dyDescent="0.25">
      <c r="A2186" s="1">
        <v>317</v>
      </c>
      <c r="B2186" t="s">
        <v>29</v>
      </c>
      <c r="C2186">
        <v>54</v>
      </c>
      <c r="D2186">
        <v>1</v>
      </c>
      <c r="E2186" t="s">
        <v>84</v>
      </c>
      <c r="F2186" t="s">
        <v>85</v>
      </c>
      <c r="G2186" t="str">
        <f>"2025-06-12 10:54:21.634"</f>
        <v>2025-06-12 10:54:21.634</v>
      </c>
      <c r="H2186" t="s">
        <v>21</v>
      </c>
      <c r="I2186">
        <v>17.670000000000002</v>
      </c>
      <c r="J2186" t="s">
        <v>42</v>
      </c>
    </row>
    <row r="2187" spans="1:10" x14ac:dyDescent="0.25">
      <c r="A2187" s="1">
        <v>318</v>
      </c>
      <c r="B2187" t="s">
        <v>25</v>
      </c>
      <c r="C2187">
        <v>54</v>
      </c>
      <c r="D2187">
        <v>1</v>
      </c>
      <c r="E2187" t="s">
        <v>84</v>
      </c>
      <c r="F2187" t="s">
        <v>85</v>
      </c>
      <c r="G2187" t="str">
        <f>"2025-06-12 10:53:30.434"</f>
        <v>2025-06-12 10:53:30.434</v>
      </c>
      <c r="H2187" t="s">
        <v>21</v>
      </c>
    </row>
    <row r="2188" spans="1:10" x14ac:dyDescent="0.25">
      <c r="A2188" s="1">
        <v>319</v>
      </c>
      <c r="B2188" t="s">
        <v>29</v>
      </c>
      <c r="C2188">
        <v>54</v>
      </c>
      <c r="D2188">
        <v>1</v>
      </c>
      <c r="E2188" t="s">
        <v>84</v>
      </c>
      <c r="F2188" t="s">
        <v>85</v>
      </c>
      <c r="G2188" t="str">
        <f>"2025-06-12 09:46:17.934"</f>
        <v>2025-06-12 09:46:17.934</v>
      </c>
      <c r="H2188" t="s">
        <v>21</v>
      </c>
      <c r="I2188">
        <v>10.44</v>
      </c>
      <c r="J2188" t="s">
        <v>42</v>
      </c>
    </row>
    <row r="2189" spans="1:10" x14ac:dyDescent="0.25">
      <c r="A2189" s="1">
        <v>320</v>
      </c>
      <c r="B2189" t="s">
        <v>25</v>
      </c>
      <c r="C2189">
        <v>54</v>
      </c>
      <c r="D2189">
        <v>1</v>
      </c>
      <c r="E2189" t="s">
        <v>84</v>
      </c>
      <c r="F2189" t="s">
        <v>85</v>
      </c>
      <c r="G2189" t="str">
        <f>"2025-06-12 09:45:27.434"</f>
        <v>2025-06-12 09:45:27.434</v>
      </c>
      <c r="H2189" t="s">
        <v>21</v>
      </c>
    </row>
    <row r="2190" spans="1:10" x14ac:dyDescent="0.25">
      <c r="A2190" s="1">
        <v>321</v>
      </c>
      <c r="B2190" t="s">
        <v>29</v>
      </c>
      <c r="C2190">
        <v>54</v>
      </c>
      <c r="D2190">
        <v>1</v>
      </c>
      <c r="E2190" t="s">
        <v>84</v>
      </c>
      <c r="F2190" t="s">
        <v>85</v>
      </c>
      <c r="G2190" t="str">
        <f>"2025-06-12 09:32:26.834"</f>
        <v>2025-06-12 09:32:26.834</v>
      </c>
      <c r="H2190" t="s">
        <v>21</v>
      </c>
      <c r="I2190">
        <v>11.44</v>
      </c>
      <c r="J2190" t="s">
        <v>42</v>
      </c>
    </row>
    <row r="2191" spans="1:10" x14ac:dyDescent="0.25">
      <c r="A2191" s="1">
        <v>322</v>
      </c>
      <c r="B2191" t="s">
        <v>25</v>
      </c>
      <c r="C2191">
        <v>54</v>
      </c>
      <c r="D2191">
        <v>1</v>
      </c>
      <c r="E2191" t="s">
        <v>84</v>
      </c>
      <c r="F2191" t="s">
        <v>85</v>
      </c>
      <c r="G2191" t="str">
        <f>"2025-06-12 09:31:50.833"</f>
        <v>2025-06-12 09:31:50.833</v>
      </c>
      <c r="H2191" t="s">
        <v>21</v>
      </c>
    </row>
    <row r="2192" spans="1:10" x14ac:dyDescent="0.25">
      <c r="A2192" s="1">
        <v>323</v>
      </c>
      <c r="B2192" t="s">
        <v>29</v>
      </c>
      <c r="C2192">
        <v>54</v>
      </c>
      <c r="D2192">
        <v>1</v>
      </c>
      <c r="E2192" t="s">
        <v>84</v>
      </c>
      <c r="F2192" t="s">
        <v>85</v>
      </c>
      <c r="G2192" t="str">
        <f>"2025-06-12 09:18:13.834"</f>
        <v>2025-06-12 09:18:13.834</v>
      </c>
      <c r="H2192" t="s">
        <v>21</v>
      </c>
      <c r="I2192">
        <v>6.76</v>
      </c>
      <c r="J2192" t="s">
        <v>42</v>
      </c>
    </row>
    <row r="2193" spans="1:10" x14ac:dyDescent="0.25">
      <c r="A2193" s="1">
        <v>324</v>
      </c>
      <c r="B2193" t="s">
        <v>25</v>
      </c>
      <c r="C2193">
        <v>54</v>
      </c>
      <c r="D2193">
        <v>1</v>
      </c>
      <c r="E2193" t="s">
        <v>84</v>
      </c>
      <c r="F2193" t="s">
        <v>85</v>
      </c>
      <c r="G2193" t="str">
        <f>"2025-06-12 09:15:28.635"</f>
        <v>2025-06-12 09:15:28.635</v>
      </c>
      <c r="H2193" t="s">
        <v>21</v>
      </c>
    </row>
    <row r="2194" spans="1:10" x14ac:dyDescent="0.25">
      <c r="A2194" s="1">
        <v>325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"2025-06-12 09:15:15.917"</f>
        <v>2025-06-12 09:15:15.917</v>
      </c>
      <c r="H2194" t="s">
        <v>21</v>
      </c>
    </row>
    <row r="2195" spans="1:10" x14ac:dyDescent="0.25">
      <c r="A2195" s="1">
        <v>326</v>
      </c>
      <c r="B2195" t="s">
        <v>29</v>
      </c>
      <c r="C2195">
        <v>54</v>
      </c>
      <c r="D2195">
        <v>1</v>
      </c>
      <c r="E2195" t="s">
        <v>84</v>
      </c>
      <c r="F2195" t="s">
        <v>85</v>
      </c>
      <c r="G2195" t="str">
        <f>"2025-06-11 19:05:05.851"</f>
        <v>2025-06-11 19:05:05.851</v>
      </c>
      <c r="H2195" t="s">
        <v>21</v>
      </c>
      <c r="I2195">
        <v>11.07</v>
      </c>
      <c r="J2195" t="s">
        <v>42</v>
      </c>
    </row>
    <row r="2196" spans="1:10" x14ac:dyDescent="0.25">
      <c r="A2196" s="1">
        <v>327</v>
      </c>
      <c r="B2196" t="s">
        <v>25</v>
      </c>
      <c r="C2196">
        <v>54</v>
      </c>
      <c r="D2196">
        <v>1</v>
      </c>
      <c r="E2196" t="s">
        <v>84</v>
      </c>
      <c r="F2196" t="s">
        <v>85</v>
      </c>
      <c r="G2196" t="str">
        <f>"2025-06-11 19:04:12.450"</f>
        <v>2025-06-11 19:04:12.450</v>
      </c>
      <c r="H2196" t="s">
        <v>21</v>
      </c>
    </row>
    <row r="2197" spans="1:10" x14ac:dyDescent="0.25">
      <c r="A2197" s="1">
        <v>328</v>
      </c>
      <c r="B2197" t="s">
        <v>29</v>
      </c>
      <c r="C2197">
        <v>54</v>
      </c>
      <c r="D2197">
        <v>1</v>
      </c>
      <c r="E2197" t="s">
        <v>84</v>
      </c>
      <c r="F2197" t="s">
        <v>85</v>
      </c>
      <c r="G2197" t="str">
        <f>"2025-06-11 18:38:43.651"</f>
        <v>2025-06-11 18:38:43.651</v>
      </c>
      <c r="H2197" t="s">
        <v>21</v>
      </c>
      <c r="I2197">
        <v>19.96</v>
      </c>
      <c r="J2197" t="s">
        <v>42</v>
      </c>
    </row>
    <row r="2198" spans="1:10" x14ac:dyDescent="0.25">
      <c r="A2198" s="1">
        <v>329</v>
      </c>
      <c r="B2198" t="s">
        <v>25</v>
      </c>
      <c r="C2198">
        <v>54</v>
      </c>
      <c r="D2198">
        <v>1</v>
      </c>
      <c r="E2198" t="s">
        <v>84</v>
      </c>
      <c r="F2198" t="s">
        <v>85</v>
      </c>
      <c r="G2198" t="str">
        <f>"2025-06-11 18:38:08.551"</f>
        <v>2025-06-11 18:38:08.551</v>
      </c>
      <c r="H2198" t="s">
        <v>21</v>
      </c>
    </row>
    <row r="2199" spans="1:10" x14ac:dyDescent="0.25">
      <c r="A2199" s="1">
        <v>330</v>
      </c>
      <c r="B2199" t="s">
        <v>29</v>
      </c>
      <c r="C2199">
        <v>54</v>
      </c>
      <c r="D2199">
        <v>1</v>
      </c>
      <c r="E2199" t="s">
        <v>84</v>
      </c>
      <c r="F2199" t="s">
        <v>85</v>
      </c>
      <c r="G2199" t="str">
        <f>"2025-06-11 16:41:07.651"</f>
        <v>2025-06-11 16:41:07.651</v>
      </c>
      <c r="H2199" t="s">
        <v>21</v>
      </c>
      <c r="I2199">
        <v>6.14</v>
      </c>
      <c r="J2199" t="s">
        <v>42</v>
      </c>
    </row>
    <row r="2200" spans="1:10" x14ac:dyDescent="0.25">
      <c r="A2200" s="1">
        <v>331</v>
      </c>
      <c r="B2200" t="s">
        <v>25</v>
      </c>
      <c r="C2200">
        <v>54</v>
      </c>
      <c r="D2200">
        <v>1</v>
      </c>
      <c r="E2200" t="s">
        <v>84</v>
      </c>
      <c r="F2200" t="s">
        <v>85</v>
      </c>
      <c r="G2200" t="str">
        <f>"2025-06-11 16:40:47.351"</f>
        <v>2025-06-11 16:40:47.351</v>
      </c>
      <c r="H2200" t="s">
        <v>21</v>
      </c>
    </row>
    <row r="2201" spans="1:10" x14ac:dyDescent="0.25">
      <c r="A2201" s="1">
        <v>332</v>
      </c>
      <c r="B2201" t="s">
        <v>29</v>
      </c>
      <c r="C2201">
        <v>54</v>
      </c>
      <c r="D2201">
        <v>1</v>
      </c>
      <c r="E2201" t="s">
        <v>84</v>
      </c>
      <c r="F2201" t="s">
        <v>85</v>
      </c>
      <c r="G2201" t="str">
        <f>"2025-06-11 16:38:27.851"</f>
        <v>2025-06-11 16:38:27.851</v>
      </c>
      <c r="H2201" t="s">
        <v>21</v>
      </c>
      <c r="I2201">
        <v>7.19</v>
      </c>
      <c r="J2201" t="s">
        <v>42</v>
      </c>
    </row>
    <row r="2202" spans="1:10" x14ac:dyDescent="0.25">
      <c r="A2202" s="1">
        <v>333</v>
      </c>
      <c r="B2202" t="s">
        <v>25</v>
      </c>
      <c r="C2202">
        <v>54</v>
      </c>
      <c r="D2202">
        <v>1</v>
      </c>
      <c r="E2202" t="s">
        <v>84</v>
      </c>
      <c r="F2202" t="s">
        <v>85</v>
      </c>
      <c r="G2202" t="str">
        <f>"2025-06-11 16:37:48.951"</f>
        <v>2025-06-11 16:37:48.951</v>
      </c>
      <c r="H2202" t="s">
        <v>21</v>
      </c>
    </row>
    <row r="2203" spans="1:10" x14ac:dyDescent="0.25">
      <c r="A2203" s="1">
        <v>334</v>
      </c>
      <c r="B2203" t="s">
        <v>29</v>
      </c>
      <c r="C2203">
        <v>54</v>
      </c>
      <c r="D2203">
        <v>1</v>
      </c>
      <c r="E2203" t="s">
        <v>84</v>
      </c>
      <c r="F2203" t="s">
        <v>85</v>
      </c>
      <c r="G2203" t="str">
        <f>"2025-06-11 14:56:43.251"</f>
        <v>2025-06-11 14:56:43.251</v>
      </c>
      <c r="H2203" t="s">
        <v>21</v>
      </c>
      <c r="I2203">
        <v>11.78</v>
      </c>
      <c r="J2203" t="s">
        <v>42</v>
      </c>
    </row>
    <row r="2204" spans="1:10" x14ac:dyDescent="0.25">
      <c r="A2204" s="1">
        <v>335</v>
      </c>
      <c r="B2204" t="s">
        <v>25</v>
      </c>
      <c r="C2204">
        <v>54</v>
      </c>
      <c r="D2204">
        <v>1</v>
      </c>
      <c r="E2204" t="s">
        <v>84</v>
      </c>
      <c r="F2204" t="s">
        <v>85</v>
      </c>
      <c r="G2204" t="str">
        <f>"2025-06-11 14:56:17.651"</f>
        <v>2025-06-11 14:56:17.651</v>
      </c>
      <c r="H2204" t="s">
        <v>21</v>
      </c>
    </row>
    <row r="2205" spans="1:10" x14ac:dyDescent="0.25">
      <c r="A2205" s="1">
        <v>336</v>
      </c>
      <c r="B2205" t="s">
        <v>29</v>
      </c>
      <c r="C2205">
        <v>54</v>
      </c>
      <c r="D2205">
        <v>1</v>
      </c>
      <c r="E2205" t="s">
        <v>84</v>
      </c>
      <c r="F2205" t="s">
        <v>85</v>
      </c>
      <c r="G2205" t="str">
        <f>"2025-06-11 12:16:29.651"</f>
        <v>2025-06-11 12:16:29.651</v>
      </c>
      <c r="H2205" t="s">
        <v>21</v>
      </c>
      <c r="I2205">
        <v>6.45</v>
      </c>
      <c r="J2205" t="s">
        <v>42</v>
      </c>
    </row>
    <row r="2206" spans="1:10" x14ac:dyDescent="0.25">
      <c r="A2206" s="1">
        <v>337</v>
      </c>
      <c r="B2206" t="s">
        <v>25</v>
      </c>
      <c r="C2206">
        <v>54</v>
      </c>
      <c r="D2206">
        <v>1</v>
      </c>
      <c r="E2206" t="s">
        <v>84</v>
      </c>
      <c r="F2206" t="s">
        <v>85</v>
      </c>
      <c r="G2206" t="str">
        <f>"2025-06-11 12:15:59.651"</f>
        <v>2025-06-11 12:15:59.651</v>
      </c>
      <c r="H2206" t="s">
        <v>21</v>
      </c>
    </row>
    <row r="2207" spans="1:10" x14ac:dyDescent="0.25">
      <c r="A2207" s="1">
        <v>338</v>
      </c>
      <c r="B2207" t="s">
        <v>29</v>
      </c>
      <c r="C2207">
        <v>54</v>
      </c>
      <c r="D2207">
        <v>1</v>
      </c>
      <c r="E2207" t="s">
        <v>84</v>
      </c>
      <c r="F2207" t="s">
        <v>85</v>
      </c>
      <c r="G2207" t="str">
        <f>"2025-06-11 11:35:24.551"</f>
        <v>2025-06-11 11:35:24.551</v>
      </c>
      <c r="H2207" t="s">
        <v>21</v>
      </c>
      <c r="I2207">
        <v>18.88</v>
      </c>
      <c r="J2207" t="s">
        <v>42</v>
      </c>
    </row>
    <row r="2208" spans="1:10" x14ac:dyDescent="0.25">
      <c r="A2208" s="1">
        <v>339</v>
      </c>
      <c r="B2208" t="s">
        <v>25</v>
      </c>
      <c r="C2208">
        <v>54</v>
      </c>
      <c r="D2208">
        <v>1</v>
      </c>
      <c r="E2208" t="s">
        <v>84</v>
      </c>
      <c r="F2208" t="s">
        <v>85</v>
      </c>
      <c r="G2208" t="str">
        <f>"2025-06-11 11:34:53.551"</f>
        <v>2025-06-11 11:34:53.551</v>
      </c>
      <c r="H2208" t="s">
        <v>21</v>
      </c>
    </row>
    <row r="2209" spans="1:10" x14ac:dyDescent="0.25">
      <c r="A2209" s="1">
        <v>340</v>
      </c>
      <c r="B2209" t="s">
        <v>29</v>
      </c>
      <c r="C2209">
        <v>54</v>
      </c>
      <c r="D2209">
        <v>1</v>
      </c>
      <c r="E2209" t="s">
        <v>84</v>
      </c>
      <c r="F2209" t="s">
        <v>85</v>
      </c>
      <c r="G2209" t="str">
        <f>"2025-06-11 10:16:42.651"</f>
        <v>2025-06-11 10:16:42.651</v>
      </c>
      <c r="H2209" t="s">
        <v>21</v>
      </c>
      <c r="I2209">
        <v>9.66</v>
      </c>
      <c r="J2209" t="s">
        <v>42</v>
      </c>
    </row>
    <row r="2210" spans="1:10" x14ac:dyDescent="0.25">
      <c r="A2210" s="1">
        <v>341</v>
      </c>
      <c r="B2210" t="s">
        <v>25</v>
      </c>
      <c r="C2210">
        <v>54</v>
      </c>
      <c r="D2210">
        <v>1</v>
      </c>
      <c r="E2210" t="s">
        <v>84</v>
      </c>
      <c r="F2210" t="s">
        <v>85</v>
      </c>
      <c r="G2210" t="str">
        <f>"2025-06-11 10:15:44.651"</f>
        <v>2025-06-11 10:15:44.651</v>
      </c>
      <c r="H2210" t="s">
        <v>21</v>
      </c>
    </row>
    <row r="2211" spans="1:10" x14ac:dyDescent="0.25">
      <c r="A2211" s="1">
        <v>342</v>
      </c>
      <c r="B2211" t="s">
        <v>29</v>
      </c>
      <c r="C2211">
        <v>54</v>
      </c>
      <c r="D2211">
        <v>1</v>
      </c>
      <c r="E2211" t="s">
        <v>84</v>
      </c>
      <c r="F2211" t="s">
        <v>85</v>
      </c>
      <c r="G2211" t="str">
        <f>"2025-06-11 09:07:11.952"</f>
        <v>2025-06-11 09:07:11.952</v>
      </c>
      <c r="H2211" t="s">
        <v>21</v>
      </c>
      <c r="I2211">
        <v>9.2799999999999994</v>
      </c>
      <c r="J2211" t="s">
        <v>54</v>
      </c>
    </row>
    <row r="2212" spans="1:10" x14ac:dyDescent="0.25">
      <c r="A2212" s="1">
        <v>343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"2025-06-11 09:04:16.640"</f>
        <v>2025-06-11 09:04:16.640</v>
      </c>
      <c r="H2212" t="s">
        <v>21</v>
      </c>
    </row>
    <row r="2213" spans="1:10" x14ac:dyDescent="0.25">
      <c r="A2213" s="1">
        <v>344</v>
      </c>
      <c r="B2213" t="s">
        <v>25</v>
      </c>
      <c r="C2213">
        <v>54</v>
      </c>
      <c r="D2213">
        <v>1</v>
      </c>
      <c r="E2213" t="s">
        <v>84</v>
      </c>
      <c r="F2213" t="s">
        <v>85</v>
      </c>
      <c r="G2213" t="str">
        <f>"2025-06-11 08:40:49.663"</f>
        <v>2025-06-11 08:40:49.663</v>
      </c>
      <c r="H2213" t="s">
        <v>21</v>
      </c>
    </row>
    <row r="2214" spans="1:10" x14ac:dyDescent="0.25">
      <c r="A2214" s="1">
        <v>345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"2025-06-11 08:40:36.869"</f>
        <v>2025-06-11 08:40:36.869</v>
      </c>
      <c r="H2214" t="s">
        <v>21</v>
      </c>
      <c r="I2214">
        <v>0</v>
      </c>
      <c r="J2214" t="s">
        <v>32</v>
      </c>
    </row>
    <row r="2215" spans="1:10" x14ac:dyDescent="0.25">
      <c r="A2215" s="1">
        <v>346</v>
      </c>
      <c r="B2215" t="s">
        <v>29</v>
      </c>
      <c r="C2215">
        <v>54</v>
      </c>
      <c r="D2215">
        <v>1</v>
      </c>
      <c r="E2215" t="s">
        <v>84</v>
      </c>
      <c r="F2215" t="s">
        <v>85</v>
      </c>
      <c r="G2215" t="str">
        <f>"2025-06-11 03:20:48.424"</f>
        <v>2025-06-11 03:20:48.424</v>
      </c>
      <c r="H2215" t="s">
        <v>21</v>
      </c>
      <c r="I2215">
        <v>15.17</v>
      </c>
      <c r="J2215" t="s">
        <v>54</v>
      </c>
    </row>
    <row r="2216" spans="1:10" x14ac:dyDescent="0.25">
      <c r="A2216" s="1">
        <v>347</v>
      </c>
      <c r="B2216" t="s">
        <v>25</v>
      </c>
      <c r="C2216">
        <v>54</v>
      </c>
      <c r="D2216">
        <v>1</v>
      </c>
      <c r="E2216" t="s">
        <v>84</v>
      </c>
      <c r="F2216" t="s">
        <v>85</v>
      </c>
      <c r="G2216" t="str">
        <f>"2025-06-11 03:20:22.124"</f>
        <v>2025-06-11 03:20:22.124</v>
      </c>
      <c r="H2216" t="s">
        <v>21</v>
      </c>
    </row>
    <row r="2217" spans="1:10" x14ac:dyDescent="0.25">
      <c r="A2217" s="1">
        <v>348</v>
      </c>
      <c r="B2217" t="s">
        <v>29</v>
      </c>
      <c r="C2217">
        <v>54</v>
      </c>
      <c r="D2217">
        <v>1</v>
      </c>
      <c r="E2217" t="s">
        <v>84</v>
      </c>
      <c r="F2217" t="s">
        <v>85</v>
      </c>
      <c r="G2217" t="str">
        <f>"2025-06-10 18:43:16.024"</f>
        <v>2025-06-10 18:43:16.024</v>
      </c>
      <c r="H2217" t="s">
        <v>21</v>
      </c>
      <c r="I2217">
        <v>6.69</v>
      </c>
      <c r="J2217" t="s">
        <v>42</v>
      </c>
    </row>
    <row r="2218" spans="1:10" x14ac:dyDescent="0.25">
      <c r="A2218" s="1">
        <v>349</v>
      </c>
      <c r="B2218" t="s">
        <v>25</v>
      </c>
      <c r="C2218">
        <v>54</v>
      </c>
      <c r="D2218">
        <v>1</v>
      </c>
      <c r="E2218" t="s">
        <v>84</v>
      </c>
      <c r="F2218" t="s">
        <v>85</v>
      </c>
      <c r="G2218" t="str">
        <f>"2025-06-10 18:42:46.124"</f>
        <v>2025-06-10 18:42:46.124</v>
      </c>
      <c r="H2218" t="s">
        <v>21</v>
      </c>
    </row>
    <row r="2219" spans="1:10" x14ac:dyDescent="0.25">
      <c r="A2219" s="1">
        <v>350</v>
      </c>
      <c r="B2219" t="s">
        <v>29</v>
      </c>
      <c r="C2219">
        <v>54</v>
      </c>
      <c r="D2219">
        <v>1</v>
      </c>
      <c r="E2219" t="s">
        <v>84</v>
      </c>
      <c r="F2219" t="s">
        <v>85</v>
      </c>
      <c r="G2219" t="str">
        <f>"2025-06-10 18:42:08.624"</f>
        <v>2025-06-10 18:42:08.624</v>
      </c>
      <c r="H2219" t="s">
        <v>21</v>
      </c>
      <c r="I2219">
        <v>7.63</v>
      </c>
      <c r="J2219" t="s">
        <v>42</v>
      </c>
    </row>
    <row r="2220" spans="1:10" x14ac:dyDescent="0.25">
      <c r="A2220" s="1">
        <v>351</v>
      </c>
      <c r="B2220" t="s">
        <v>25</v>
      </c>
      <c r="C2220">
        <v>54</v>
      </c>
      <c r="D2220">
        <v>1</v>
      </c>
      <c r="E2220" t="s">
        <v>84</v>
      </c>
      <c r="F2220" t="s">
        <v>85</v>
      </c>
      <c r="G2220" t="str">
        <f>"2025-06-10 18:41:29.424"</f>
        <v>2025-06-10 18:41:29.424</v>
      </c>
      <c r="H2220" t="s">
        <v>21</v>
      </c>
    </row>
    <row r="2221" spans="1:10" x14ac:dyDescent="0.25">
      <c r="A2221" s="1">
        <v>352</v>
      </c>
      <c r="B2221" t="s">
        <v>29</v>
      </c>
      <c r="C2221">
        <v>54</v>
      </c>
      <c r="D2221">
        <v>1</v>
      </c>
      <c r="E2221" t="s">
        <v>84</v>
      </c>
      <c r="F2221" t="s">
        <v>85</v>
      </c>
      <c r="G2221" t="str">
        <f>"2025-06-10 17:42:21.124"</f>
        <v>2025-06-10 17:42:21.124</v>
      </c>
      <c r="H2221" t="s">
        <v>21</v>
      </c>
      <c r="I2221">
        <v>6.89</v>
      </c>
      <c r="J2221" t="s">
        <v>42</v>
      </c>
    </row>
    <row r="2222" spans="1:10" x14ac:dyDescent="0.25">
      <c r="A2222" s="1">
        <v>353</v>
      </c>
      <c r="B2222" t="s">
        <v>25</v>
      </c>
      <c r="C2222">
        <v>54</v>
      </c>
      <c r="D2222">
        <v>1</v>
      </c>
      <c r="E2222" t="s">
        <v>84</v>
      </c>
      <c r="F2222" t="s">
        <v>85</v>
      </c>
      <c r="G2222" t="str">
        <f>"2025-06-10 17:41:33.624"</f>
        <v>2025-06-10 17:41:33.624</v>
      </c>
      <c r="H2222" t="s">
        <v>21</v>
      </c>
    </row>
    <row r="2223" spans="1:10" x14ac:dyDescent="0.25">
      <c r="A2223" s="1">
        <v>354</v>
      </c>
      <c r="B2223" t="s">
        <v>29</v>
      </c>
      <c r="C2223">
        <v>54</v>
      </c>
      <c r="D2223">
        <v>1</v>
      </c>
      <c r="E2223" t="s">
        <v>84</v>
      </c>
      <c r="F2223" t="s">
        <v>85</v>
      </c>
      <c r="G2223" t="str">
        <f>"2025-06-10 17:20:35.824"</f>
        <v>2025-06-10 17:20:35.824</v>
      </c>
      <c r="H2223" t="s">
        <v>21</v>
      </c>
      <c r="I2223">
        <v>9.36</v>
      </c>
      <c r="J2223" t="s">
        <v>37</v>
      </c>
    </row>
    <row r="2224" spans="1:10" x14ac:dyDescent="0.25">
      <c r="A2224" s="1">
        <v>355</v>
      </c>
      <c r="B2224" t="s">
        <v>25</v>
      </c>
      <c r="C2224">
        <v>54</v>
      </c>
      <c r="D2224">
        <v>1</v>
      </c>
      <c r="E2224" t="s">
        <v>84</v>
      </c>
      <c r="F2224" t="s">
        <v>85</v>
      </c>
      <c r="G2224" t="str">
        <f>"2025-06-10 17:17:33.324"</f>
        <v>2025-06-10 17:17:33.324</v>
      </c>
      <c r="H2224" t="s">
        <v>21</v>
      </c>
    </row>
    <row r="2225" spans="1:10" x14ac:dyDescent="0.25">
      <c r="A2225" s="1">
        <v>356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"2025-06-10 17:17:20.632"</f>
        <v>2025-06-10 17:17:20.632</v>
      </c>
      <c r="H2225" t="s">
        <v>21</v>
      </c>
      <c r="I2225">
        <v>0</v>
      </c>
      <c r="J2225" t="s">
        <v>32</v>
      </c>
    </row>
    <row r="2226" spans="1:10" x14ac:dyDescent="0.25">
      <c r="A2226" s="1">
        <v>357</v>
      </c>
      <c r="B2226" t="s">
        <v>29</v>
      </c>
      <c r="C2226">
        <v>54</v>
      </c>
      <c r="D2226">
        <v>1</v>
      </c>
      <c r="E2226" t="s">
        <v>84</v>
      </c>
      <c r="F2226" t="s">
        <v>85</v>
      </c>
      <c r="G2226" t="str">
        <f>"2025-06-10 15:39:50.886"</f>
        <v>2025-06-10 15:39:50.886</v>
      </c>
      <c r="H2226" t="s">
        <v>21</v>
      </c>
      <c r="I2226">
        <v>3.95</v>
      </c>
      <c r="J2226" t="s">
        <v>42</v>
      </c>
    </row>
    <row r="2227" spans="1:10" x14ac:dyDescent="0.25">
      <c r="A2227" s="1">
        <v>358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"2025-06-10 15:35:02.638"</f>
        <v>2025-06-10 15:35:02.638</v>
      </c>
      <c r="H2227" t="s">
        <v>21</v>
      </c>
    </row>
    <row r="2228" spans="1:10" x14ac:dyDescent="0.25">
      <c r="A2228" s="1">
        <v>359</v>
      </c>
      <c r="B2228" t="s">
        <v>25</v>
      </c>
      <c r="C2228">
        <v>54</v>
      </c>
      <c r="D2228">
        <v>1</v>
      </c>
      <c r="E2228" t="s">
        <v>84</v>
      </c>
      <c r="F2228" t="s">
        <v>85</v>
      </c>
      <c r="G2228" t="str">
        <f>"2025-06-10 10:33:02.331"</f>
        <v>2025-06-10 10:33:02.331</v>
      </c>
      <c r="H2228" t="s">
        <v>21</v>
      </c>
    </row>
    <row r="2229" spans="1:10" x14ac:dyDescent="0.25">
      <c r="A2229" s="1">
        <v>360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"2025-06-10 10:32:49.635"</f>
        <v>2025-06-10 10:32:49.635</v>
      </c>
      <c r="H2229" t="s">
        <v>21</v>
      </c>
    </row>
    <row r="2230" spans="1:10" x14ac:dyDescent="0.25">
      <c r="A2230" s="1">
        <v>361</v>
      </c>
      <c r="B2230" t="s">
        <v>29</v>
      </c>
      <c r="C2230">
        <v>54</v>
      </c>
      <c r="D2230">
        <v>1</v>
      </c>
      <c r="E2230" t="s">
        <v>84</v>
      </c>
      <c r="F2230" t="s">
        <v>85</v>
      </c>
      <c r="G2230" t="str">
        <f>"2025-06-10 08:16:48.275"</f>
        <v>2025-06-10 08:16:48.275</v>
      </c>
      <c r="H2230" t="s">
        <v>21</v>
      </c>
      <c r="I2230">
        <v>6.43</v>
      </c>
      <c r="J2230" t="s">
        <v>42</v>
      </c>
    </row>
    <row r="2231" spans="1:10" x14ac:dyDescent="0.25">
      <c r="A2231" s="1">
        <v>362</v>
      </c>
      <c r="B2231" t="s">
        <v>25</v>
      </c>
      <c r="C2231">
        <v>54</v>
      </c>
      <c r="D2231">
        <v>1</v>
      </c>
      <c r="E2231" t="s">
        <v>84</v>
      </c>
      <c r="F2231" t="s">
        <v>85</v>
      </c>
      <c r="G2231" t="str">
        <f>"2025-06-10 08:04:40.575"</f>
        <v>2025-06-10 08:04:40.575</v>
      </c>
      <c r="H2231" t="s">
        <v>21</v>
      </c>
    </row>
    <row r="2232" spans="1:10" x14ac:dyDescent="0.25">
      <c r="A2232" s="1">
        <v>363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"2025-06-10 08:04:27.884"</f>
        <v>2025-06-10 08:04:27.884</v>
      </c>
      <c r="H2232" t="s">
        <v>21</v>
      </c>
    </row>
    <row r="2233" spans="1:10" x14ac:dyDescent="0.25">
      <c r="A2233" s="1">
        <v>364</v>
      </c>
      <c r="B2233" t="s">
        <v>29</v>
      </c>
      <c r="C2233">
        <v>54</v>
      </c>
      <c r="D2233">
        <v>1</v>
      </c>
      <c r="E2233" t="s">
        <v>84</v>
      </c>
      <c r="F2233" t="s">
        <v>85</v>
      </c>
      <c r="G2233" t="str">
        <f>"2025-06-09 17:42:43.653"</f>
        <v>2025-06-09 17:42:43.653</v>
      </c>
      <c r="H2233" t="s">
        <v>21</v>
      </c>
      <c r="I2233">
        <v>11.2</v>
      </c>
      <c r="J2233" t="s">
        <v>42</v>
      </c>
    </row>
    <row r="2234" spans="1:10" x14ac:dyDescent="0.25">
      <c r="A2234" s="1">
        <v>365</v>
      </c>
      <c r="B2234" t="s">
        <v>25</v>
      </c>
      <c r="C2234">
        <v>54</v>
      </c>
      <c r="D2234">
        <v>1</v>
      </c>
      <c r="E2234" t="s">
        <v>84</v>
      </c>
      <c r="F2234" t="s">
        <v>85</v>
      </c>
      <c r="G2234" t="str">
        <f>"2025-06-09 17:41:50.553"</f>
        <v>2025-06-09 17:41:50.553</v>
      </c>
      <c r="H2234" t="s">
        <v>21</v>
      </c>
    </row>
    <row r="2235" spans="1:10" x14ac:dyDescent="0.25">
      <c r="A2235" s="1">
        <v>366</v>
      </c>
      <c r="B2235" t="s">
        <v>29</v>
      </c>
      <c r="C2235">
        <v>54</v>
      </c>
      <c r="D2235">
        <v>1</v>
      </c>
      <c r="E2235" t="s">
        <v>84</v>
      </c>
      <c r="F2235" t="s">
        <v>85</v>
      </c>
      <c r="G2235" t="str">
        <f>"2025-06-09 17:19:18.053"</f>
        <v>2025-06-09 17:19:18.053</v>
      </c>
      <c r="H2235" t="s">
        <v>21</v>
      </c>
      <c r="I2235">
        <v>14.76</v>
      </c>
      <c r="J2235" t="s">
        <v>42</v>
      </c>
    </row>
    <row r="2236" spans="1:10" x14ac:dyDescent="0.25">
      <c r="A2236" s="1">
        <v>367</v>
      </c>
      <c r="B2236" t="s">
        <v>25</v>
      </c>
      <c r="C2236">
        <v>54</v>
      </c>
      <c r="D2236">
        <v>1</v>
      </c>
      <c r="E2236" t="s">
        <v>84</v>
      </c>
      <c r="F2236" t="s">
        <v>85</v>
      </c>
      <c r="G2236" t="str">
        <f>"2025-06-09 17:18:55.053"</f>
        <v>2025-06-09 17:18:55.053</v>
      </c>
      <c r="H2236" t="s">
        <v>21</v>
      </c>
    </row>
    <row r="2237" spans="1:10" x14ac:dyDescent="0.25">
      <c r="A2237" s="1">
        <v>368</v>
      </c>
      <c r="B2237" t="s">
        <v>29</v>
      </c>
      <c r="C2237">
        <v>54</v>
      </c>
      <c r="D2237">
        <v>1</v>
      </c>
      <c r="E2237" t="s">
        <v>84</v>
      </c>
      <c r="F2237" t="s">
        <v>85</v>
      </c>
      <c r="G2237" t="str">
        <f>"2025-06-09 16:27:45.253"</f>
        <v>2025-06-09 16:27:45.253</v>
      </c>
      <c r="H2237" t="s">
        <v>21</v>
      </c>
      <c r="I2237">
        <v>18.88</v>
      </c>
      <c r="J2237" t="s">
        <v>42</v>
      </c>
    </row>
    <row r="2238" spans="1:10" x14ac:dyDescent="0.25">
      <c r="A2238" s="1">
        <v>369</v>
      </c>
      <c r="B2238" t="s">
        <v>25</v>
      </c>
      <c r="C2238">
        <v>54</v>
      </c>
      <c r="D2238">
        <v>1</v>
      </c>
      <c r="E2238" t="s">
        <v>84</v>
      </c>
      <c r="F2238" t="s">
        <v>85</v>
      </c>
      <c r="G2238" t="str">
        <f>"2025-06-09 16:27:24.053"</f>
        <v>2025-06-09 16:27:24.053</v>
      </c>
      <c r="H2238" t="s">
        <v>21</v>
      </c>
    </row>
    <row r="2239" spans="1:10" x14ac:dyDescent="0.25">
      <c r="A2239" s="1">
        <v>370</v>
      </c>
      <c r="B2239" t="s">
        <v>29</v>
      </c>
      <c r="C2239">
        <v>54</v>
      </c>
      <c r="D2239">
        <v>1</v>
      </c>
      <c r="E2239" t="s">
        <v>84</v>
      </c>
      <c r="F2239" t="s">
        <v>85</v>
      </c>
      <c r="G2239" t="str">
        <f>"2025-06-09 15:58:49.053"</f>
        <v>2025-06-09 15:58:49.053</v>
      </c>
      <c r="H2239" t="s">
        <v>21</v>
      </c>
      <c r="I2239">
        <v>13.52</v>
      </c>
      <c r="J2239" t="s">
        <v>42</v>
      </c>
    </row>
    <row r="2240" spans="1:10" x14ac:dyDescent="0.25">
      <c r="A2240" s="1">
        <v>371</v>
      </c>
      <c r="B2240" t="s">
        <v>25</v>
      </c>
      <c r="C2240">
        <v>54</v>
      </c>
      <c r="D2240">
        <v>1</v>
      </c>
      <c r="E2240" t="s">
        <v>84</v>
      </c>
      <c r="F2240" t="s">
        <v>85</v>
      </c>
      <c r="G2240" t="str">
        <f>"2025-06-09 15:58:09.853"</f>
        <v>2025-06-09 15:58:09.853</v>
      </c>
      <c r="H2240" t="s">
        <v>21</v>
      </c>
    </row>
    <row r="2241" spans="1:10" x14ac:dyDescent="0.25">
      <c r="A2241" s="1">
        <v>372</v>
      </c>
      <c r="B2241" t="s">
        <v>29</v>
      </c>
      <c r="C2241">
        <v>54</v>
      </c>
      <c r="D2241">
        <v>1</v>
      </c>
      <c r="E2241" t="s">
        <v>84</v>
      </c>
      <c r="F2241" t="s">
        <v>85</v>
      </c>
      <c r="G2241" t="str">
        <f>"2025-06-09 15:56:08.453"</f>
        <v>2025-06-09 15:56:08.453</v>
      </c>
      <c r="H2241" t="s">
        <v>21</v>
      </c>
      <c r="I2241">
        <v>11.08</v>
      </c>
      <c r="J2241" t="s">
        <v>42</v>
      </c>
    </row>
    <row r="2242" spans="1:10" x14ac:dyDescent="0.25">
      <c r="A2242" s="1">
        <v>373</v>
      </c>
      <c r="B2242" t="s">
        <v>25</v>
      </c>
      <c r="C2242">
        <v>54</v>
      </c>
      <c r="D2242">
        <v>1</v>
      </c>
      <c r="E2242" t="s">
        <v>84</v>
      </c>
      <c r="F2242" t="s">
        <v>85</v>
      </c>
      <c r="G2242" t="str">
        <f>"2025-06-09 15:55:05.053"</f>
        <v>2025-06-09 15:55:05.053</v>
      </c>
      <c r="H2242" t="s">
        <v>21</v>
      </c>
    </row>
    <row r="2243" spans="1:10" x14ac:dyDescent="0.25">
      <c r="A2243" s="1">
        <v>374</v>
      </c>
      <c r="B2243" t="s">
        <v>29</v>
      </c>
      <c r="C2243">
        <v>54</v>
      </c>
      <c r="D2243">
        <v>1</v>
      </c>
      <c r="E2243" t="s">
        <v>84</v>
      </c>
      <c r="F2243" t="s">
        <v>85</v>
      </c>
      <c r="G2243" t="str">
        <f>"2025-06-09 10:08:55.653"</f>
        <v>2025-06-09 10:08:55.653</v>
      </c>
      <c r="H2243" t="s">
        <v>21</v>
      </c>
      <c r="I2243">
        <v>12.65</v>
      </c>
      <c r="J2243" t="s">
        <v>42</v>
      </c>
    </row>
    <row r="2244" spans="1:10" x14ac:dyDescent="0.25">
      <c r="A2244" s="1">
        <v>375</v>
      </c>
      <c r="B2244" t="s">
        <v>25</v>
      </c>
      <c r="C2244">
        <v>54</v>
      </c>
      <c r="D2244">
        <v>1</v>
      </c>
      <c r="E2244" t="s">
        <v>84</v>
      </c>
      <c r="F2244" t="s">
        <v>85</v>
      </c>
      <c r="G2244" t="str">
        <f>"2025-06-09 10:08:22.253"</f>
        <v>2025-06-09 10:08:22.253</v>
      </c>
      <c r="H2244" t="s">
        <v>21</v>
      </c>
    </row>
    <row r="2245" spans="1:10" x14ac:dyDescent="0.25">
      <c r="A2245" s="1">
        <v>376</v>
      </c>
      <c r="B2245" t="s">
        <v>29</v>
      </c>
      <c r="C2245">
        <v>54</v>
      </c>
      <c r="D2245">
        <v>1</v>
      </c>
      <c r="E2245" t="s">
        <v>84</v>
      </c>
      <c r="F2245" t="s">
        <v>85</v>
      </c>
      <c r="G2245" t="str">
        <f>"2025-06-09 05:09:03.453"</f>
        <v>2025-06-09 05:09:03.453</v>
      </c>
      <c r="H2245" t="s">
        <v>21</v>
      </c>
      <c r="I2245">
        <v>5.77</v>
      </c>
      <c r="J2245" t="s">
        <v>42</v>
      </c>
    </row>
    <row r="2246" spans="1:10" x14ac:dyDescent="0.25">
      <c r="A2246" s="1">
        <v>377</v>
      </c>
      <c r="B2246" t="s">
        <v>25</v>
      </c>
      <c r="C2246">
        <v>54</v>
      </c>
      <c r="D2246">
        <v>1</v>
      </c>
      <c r="E2246" t="s">
        <v>84</v>
      </c>
      <c r="F2246" t="s">
        <v>85</v>
      </c>
      <c r="G2246" t="str">
        <f>"2025-06-09 05:07:45.553"</f>
        <v>2025-06-09 05:07:45.553</v>
      </c>
      <c r="H2246" t="s">
        <v>21</v>
      </c>
    </row>
    <row r="2247" spans="1:10" x14ac:dyDescent="0.25">
      <c r="A2247" s="1">
        <v>378</v>
      </c>
      <c r="B2247" t="s">
        <v>29</v>
      </c>
      <c r="C2247">
        <v>54</v>
      </c>
      <c r="D2247">
        <v>1</v>
      </c>
      <c r="E2247" t="s">
        <v>84</v>
      </c>
      <c r="F2247" t="s">
        <v>85</v>
      </c>
      <c r="G2247" t="str">
        <f>"2025-06-09 00:26:03.853"</f>
        <v>2025-06-09 00:26:03.853</v>
      </c>
      <c r="H2247" t="s">
        <v>21</v>
      </c>
      <c r="I2247">
        <v>16.95</v>
      </c>
      <c r="J2247" t="s">
        <v>42</v>
      </c>
    </row>
    <row r="2248" spans="1:10" x14ac:dyDescent="0.25">
      <c r="A2248" s="1">
        <v>379</v>
      </c>
      <c r="B2248" t="s">
        <v>25</v>
      </c>
      <c r="C2248">
        <v>54</v>
      </c>
      <c r="D2248">
        <v>1</v>
      </c>
      <c r="E2248" t="s">
        <v>84</v>
      </c>
      <c r="F2248" t="s">
        <v>85</v>
      </c>
      <c r="G2248" t="str">
        <f>"2025-06-09 00:24:06.453"</f>
        <v>2025-06-09 00:24:06.453</v>
      </c>
      <c r="H2248" t="s">
        <v>21</v>
      </c>
    </row>
    <row r="2249" spans="1:10" x14ac:dyDescent="0.25">
      <c r="A2249" s="1">
        <v>380</v>
      </c>
      <c r="B2249" t="s">
        <v>29</v>
      </c>
      <c r="C2249">
        <v>54</v>
      </c>
      <c r="D2249">
        <v>1</v>
      </c>
      <c r="E2249" t="s">
        <v>84</v>
      </c>
      <c r="F2249" t="s">
        <v>85</v>
      </c>
      <c r="G2249" t="str">
        <f>"2025-06-09 00:07:08.053"</f>
        <v>2025-06-09 00:07:08.053</v>
      </c>
      <c r="H2249" t="s">
        <v>21</v>
      </c>
      <c r="I2249">
        <v>13.81</v>
      </c>
      <c r="J2249" t="s">
        <v>54</v>
      </c>
    </row>
    <row r="2250" spans="1:10" x14ac:dyDescent="0.25">
      <c r="A2250" s="1">
        <v>381</v>
      </c>
      <c r="B2250" t="s">
        <v>25</v>
      </c>
      <c r="C2250">
        <v>54</v>
      </c>
      <c r="D2250">
        <v>1</v>
      </c>
      <c r="E2250" t="s">
        <v>84</v>
      </c>
      <c r="F2250" t="s">
        <v>85</v>
      </c>
      <c r="G2250" t="str">
        <f>"2025-06-09 00:06:43.753"</f>
        <v>2025-06-09 00:06:43.753</v>
      </c>
      <c r="H2250" t="s">
        <v>21</v>
      </c>
    </row>
    <row r="2251" spans="1:10" x14ac:dyDescent="0.25">
      <c r="A2251" s="1">
        <v>382</v>
      </c>
      <c r="B2251" t="s">
        <v>29</v>
      </c>
      <c r="C2251">
        <v>54</v>
      </c>
      <c r="D2251">
        <v>1</v>
      </c>
      <c r="E2251" t="s">
        <v>84</v>
      </c>
      <c r="F2251" t="s">
        <v>85</v>
      </c>
      <c r="G2251" t="str">
        <f>"2025-06-08 23:19:25.853"</f>
        <v>2025-06-08 23:19:25.853</v>
      </c>
      <c r="H2251" t="s">
        <v>21</v>
      </c>
      <c r="I2251">
        <v>13.91</v>
      </c>
      <c r="J2251" t="s">
        <v>54</v>
      </c>
    </row>
    <row r="2252" spans="1:10" x14ac:dyDescent="0.25">
      <c r="A2252" s="1">
        <v>383</v>
      </c>
      <c r="B2252" t="s">
        <v>25</v>
      </c>
      <c r="C2252">
        <v>54</v>
      </c>
      <c r="D2252">
        <v>1</v>
      </c>
      <c r="E2252" t="s">
        <v>84</v>
      </c>
      <c r="F2252" t="s">
        <v>85</v>
      </c>
      <c r="G2252" t="str">
        <f>"2025-06-08 23:19:00.253"</f>
        <v>2025-06-08 23:19:00.253</v>
      </c>
      <c r="H2252" t="s">
        <v>21</v>
      </c>
    </row>
    <row r="2253" spans="1:10" x14ac:dyDescent="0.25">
      <c r="A2253" s="1">
        <v>384</v>
      </c>
      <c r="B2253" t="s">
        <v>29</v>
      </c>
      <c r="C2253">
        <v>54</v>
      </c>
      <c r="D2253">
        <v>1</v>
      </c>
      <c r="E2253" t="s">
        <v>84</v>
      </c>
      <c r="F2253" t="s">
        <v>85</v>
      </c>
      <c r="G2253" t="str">
        <f>"2025-06-08 18:26:23.053"</f>
        <v>2025-06-08 18:26:23.053</v>
      </c>
      <c r="H2253" t="s">
        <v>21</v>
      </c>
      <c r="I2253">
        <v>6.13</v>
      </c>
      <c r="J2253" t="s">
        <v>42</v>
      </c>
    </row>
    <row r="2254" spans="1:10" x14ac:dyDescent="0.25">
      <c r="A2254" s="1">
        <v>385</v>
      </c>
      <c r="B2254" t="s">
        <v>25</v>
      </c>
      <c r="C2254">
        <v>54</v>
      </c>
      <c r="D2254">
        <v>1</v>
      </c>
      <c r="E2254" t="s">
        <v>84</v>
      </c>
      <c r="F2254" t="s">
        <v>85</v>
      </c>
      <c r="G2254" t="str">
        <f>"2025-06-08 18:25:57.753"</f>
        <v>2025-06-08 18:25:57.753</v>
      </c>
      <c r="H2254" t="s">
        <v>21</v>
      </c>
    </row>
    <row r="2255" spans="1:10" x14ac:dyDescent="0.25">
      <c r="A2255" s="1">
        <v>386</v>
      </c>
      <c r="B2255" t="s">
        <v>29</v>
      </c>
      <c r="C2255">
        <v>54</v>
      </c>
      <c r="D2255">
        <v>1</v>
      </c>
      <c r="E2255" t="s">
        <v>84</v>
      </c>
      <c r="F2255" t="s">
        <v>85</v>
      </c>
      <c r="G2255" t="str">
        <f>"2025-06-08 18:08:07.853"</f>
        <v>2025-06-08 18:08:07.853</v>
      </c>
      <c r="H2255" t="s">
        <v>21</v>
      </c>
      <c r="I2255">
        <v>12.61</v>
      </c>
      <c r="J2255" t="s">
        <v>42</v>
      </c>
    </row>
    <row r="2256" spans="1:10" x14ac:dyDescent="0.25">
      <c r="A2256" s="1">
        <v>387</v>
      </c>
      <c r="B2256" t="s">
        <v>25</v>
      </c>
      <c r="C2256">
        <v>635</v>
      </c>
      <c r="D2256">
        <v>1</v>
      </c>
      <c r="E2256" t="s">
        <v>45</v>
      </c>
      <c r="F2256" t="s">
        <v>27</v>
      </c>
      <c r="G2256" t="str">
        <f>"2025-06-08 18:08:02.493"</f>
        <v>2025-06-08 18:08:02.493</v>
      </c>
      <c r="H2256" t="s">
        <v>21</v>
      </c>
    </row>
    <row r="2257" spans="1:10" x14ac:dyDescent="0.25">
      <c r="A2257" s="1">
        <v>388</v>
      </c>
      <c r="B2257" t="s">
        <v>25</v>
      </c>
      <c r="C2257">
        <v>54</v>
      </c>
      <c r="D2257">
        <v>1</v>
      </c>
      <c r="E2257" t="s">
        <v>84</v>
      </c>
      <c r="F2257" t="s">
        <v>85</v>
      </c>
      <c r="G2257" t="str">
        <f>"2025-06-08 18:04:44.553"</f>
        <v>2025-06-08 18:04:44.553</v>
      </c>
      <c r="H2257" t="s">
        <v>21</v>
      </c>
    </row>
    <row r="2258" spans="1:10" x14ac:dyDescent="0.25">
      <c r="A2258" s="1">
        <v>389</v>
      </c>
      <c r="B2258" t="s">
        <v>29</v>
      </c>
      <c r="C2258">
        <v>54</v>
      </c>
      <c r="D2258">
        <v>1</v>
      </c>
      <c r="E2258" t="s">
        <v>84</v>
      </c>
      <c r="F2258" t="s">
        <v>85</v>
      </c>
      <c r="G2258" t="str">
        <f>"2025-06-08 17:56:50.253"</f>
        <v>2025-06-08 17:56:50.253</v>
      </c>
      <c r="H2258" t="s">
        <v>21</v>
      </c>
      <c r="I2258">
        <v>5.84</v>
      </c>
      <c r="J2258" t="s">
        <v>42</v>
      </c>
    </row>
    <row r="2259" spans="1:10" x14ac:dyDescent="0.25">
      <c r="A2259" s="1">
        <v>390</v>
      </c>
      <c r="B2259" t="s">
        <v>25</v>
      </c>
      <c r="C2259">
        <v>54</v>
      </c>
      <c r="D2259">
        <v>1</v>
      </c>
      <c r="E2259" t="s">
        <v>84</v>
      </c>
      <c r="F2259" t="s">
        <v>85</v>
      </c>
      <c r="G2259" t="str">
        <f>"2025-06-08 17:52:23.453"</f>
        <v>2025-06-08 17:52:23.453</v>
      </c>
      <c r="H2259" t="s">
        <v>21</v>
      </c>
    </row>
    <row r="2260" spans="1:10" x14ac:dyDescent="0.25">
      <c r="A2260" s="1">
        <v>391</v>
      </c>
      <c r="B2260" t="s">
        <v>29</v>
      </c>
      <c r="C2260">
        <v>635</v>
      </c>
      <c r="D2260">
        <v>1</v>
      </c>
      <c r="E2260" t="s">
        <v>45</v>
      </c>
      <c r="F2260" t="s">
        <v>27</v>
      </c>
      <c r="G2260" t="str">
        <f>"2025-06-08 17:50:27.093"</f>
        <v>2025-06-08 17:50:27.093</v>
      </c>
      <c r="H2260" t="s">
        <v>21</v>
      </c>
      <c r="I2260">
        <v>7.57</v>
      </c>
      <c r="J2260" t="s">
        <v>42</v>
      </c>
    </row>
    <row r="2261" spans="1:10" x14ac:dyDescent="0.25">
      <c r="A2261" s="1">
        <v>392</v>
      </c>
      <c r="B2261" t="s">
        <v>29</v>
      </c>
      <c r="C2261">
        <v>54</v>
      </c>
      <c r="D2261">
        <v>1</v>
      </c>
      <c r="E2261" t="s">
        <v>84</v>
      </c>
      <c r="F2261" t="s">
        <v>85</v>
      </c>
      <c r="G2261" t="str">
        <f>"2025-06-08 17:32:12.853"</f>
        <v>2025-06-08 17:32:12.853</v>
      </c>
      <c r="H2261" t="s">
        <v>21</v>
      </c>
      <c r="I2261">
        <v>9.48</v>
      </c>
      <c r="J2261" t="s">
        <v>42</v>
      </c>
    </row>
    <row r="2262" spans="1:10" x14ac:dyDescent="0.25">
      <c r="A2262" s="1">
        <v>393</v>
      </c>
      <c r="B2262" t="s">
        <v>25</v>
      </c>
      <c r="C2262">
        <v>54</v>
      </c>
      <c r="D2262">
        <v>1</v>
      </c>
      <c r="E2262" t="s">
        <v>84</v>
      </c>
      <c r="F2262" t="s">
        <v>85</v>
      </c>
      <c r="G2262" t="str">
        <f>"2025-06-08 17:31:13.353"</f>
        <v>2025-06-08 17:31:13.353</v>
      </c>
      <c r="H2262" t="s">
        <v>21</v>
      </c>
    </row>
    <row r="2263" spans="1:10" x14ac:dyDescent="0.25">
      <c r="A2263" s="1">
        <v>394</v>
      </c>
      <c r="B2263" t="s">
        <v>29</v>
      </c>
      <c r="C2263">
        <v>54</v>
      </c>
      <c r="D2263">
        <v>1</v>
      </c>
      <c r="E2263" t="s">
        <v>84</v>
      </c>
      <c r="F2263" t="s">
        <v>85</v>
      </c>
      <c r="G2263" t="str">
        <f>"2025-06-08 17:01:29.253"</f>
        <v>2025-06-08 17:01:29.253</v>
      </c>
      <c r="H2263" t="s">
        <v>21</v>
      </c>
      <c r="I2263">
        <v>8.7200000000000006</v>
      </c>
      <c r="J2263" t="s">
        <v>42</v>
      </c>
    </row>
    <row r="2264" spans="1:10" x14ac:dyDescent="0.25">
      <c r="A2264" s="1">
        <v>395</v>
      </c>
      <c r="B2264" t="s">
        <v>25</v>
      </c>
      <c r="C2264">
        <v>54</v>
      </c>
      <c r="D2264">
        <v>1</v>
      </c>
      <c r="E2264" t="s">
        <v>84</v>
      </c>
      <c r="F2264" t="s">
        <v>85</v>
      </c>
      <c r="G2264" t="str">
        <f>"2025-06-08 17:01:07.853"</f>
        <v>2025-06-08 17:01:07.853</v>
      </c>
      <c r="H2264" t="s">
        <v>21</v>
      </c>
    </row>
    <row r="2265" spans="1:10" x14ac:dyDescent="0.25">
      <c r="A2265" s="1">
        <v>396</v>
      </c>
      <c r="B2265" t="s">
        <v>29</v>
      </c>
      <c r="C2265">
        <v>54</v>
      </c>
      <c r="D2265">
        <v>1</v>
      </c>
      <c r="E2265" t="s">
        <v>84</v>
      </c>
      <c r="F2265" t="s">
        <v>85</v>
      </c>
      <c r="G2265" t="str">
        <f>"2025-06-08 13:54:26.253"</f>
        <v>2025-06-08 13:54:26.253</v>
      </c>
      <c r="H2265" t="s">
        <v>21</v>
      </c>
      <c r="I2265">
        <v>7.55</v>
      </c>
      <c r="J2265" t="s">
        <v>54</v>
      </c>
    </row>
    <row r="2266" spans="1:10" x14ac:dyDescent="0.25">
      <c r="A2266" s="1">
        <v>397</v>
      </c>
      <c r="B2266" t="s">
        <v>25</v>
      </c>
      <c r="C2266">
        <v>54</v>
      </c>
      <c r="D2266">
        <v>1</v>
      </c>
      <c r="E2266" t="s">
        <v>84</v>
      </c>
      <c r="F2266" t="s">
        <v>85</v>
      </c>
      <c r="G2266" t="str">
        <f>"2025-06-08 13:48:30.353"</f>
        <v>2025-06-08 13:48:30.353</v>
      </c>
      <c r="H2266" t="s">
        <v>21</v>
      </c>
    </row>
    <row r="2267" spans="1:10" x14ac:dyDescent="0.25">
      <c r="A2267" s="1">
        <v>398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"2025-06-08 13:48:17.640"</f>
        <v>2025-06-08 13:48:17.640</v>
      </c>
      <c r="H2267" t="s">
        <v>21</v>
      </c>
    </row>
    <row r="2268" spans="1:10" x14ac:dyDescent="0.25">
      <c r="A2268" s="1">
        <v>399</v>
      </c>
      <c r="B2268" t="s">
        <v>29</v>
      </c>
      <c r="C2268">
        <v>54</v>
      </c>
      <c r="D2268">
        <v>1</v>
      </c>
      <c r="E2268" t="s">
        <v>84</v>
      </c>
      <c r="F2268" t="s">
        <v>85</v>
      </c>
      <c r="G2268" t="str">
        <f>"2025-06-08 12:30:02.190"</f>
        <v>2025-06-08 12:30:02.190</v>
      </c>
      <c r="H2268" t="s">
        <v>21</v>
      </c>
      <c r="I2268">
        <v>21.5</v>
      </c>
      <c r="J2268" t="s">
        <v>42</v>
      </c>
    </row>
    <row r="2269" spans="1:10" x14ac:dyDescent="0.25">
      <c r="A2269" s="1">
        <v>400</v>
      </c>
      <c r="B2269" t="s">
        <v>25</v>
      </c>
      <c r="C2269">
        <v>54</v>
      </c>
      <c r="D2269">
        <v>1</v>
      </c>
      <c r="E2269" t="s">
        <v>84</v>
      </c>
      <c r="F2269" t="s">
        <v>85</v>
      </c>
      <c r="G2269" t="str">
        <f>"2025-06-08 12:28:26.290"</f>
        <v>2025-06-08 12:28:26.290</v>
      </c>
      <c r="H2269" t="s">
        <v>21</v>
      </c>
    </row>
    <row r="2270" spans="1:10" x14ac:dyDescent="0.25">
      <c r="A2270" s="1">
        <v>401</v>
      </c>
      <c r="B2270" t="s">
        <v>29</v>
      </c>
      <c r="C2270">
        <v>54</v>
      </c>
      <c r="D2270">
        <v>1</v>
      </c>
      <c r="E2270" t="s">
        <v>84</v>
      </c>
      <c r="F2270" t="s">
        <v>85</v>
      </c>
      <c r="G2270" t="str">
        <f>"2025-06-08 12:14:48.890"</f>
        <v>2025-06-08 12:14:48.890</v>
      </c>
      <c r="H2270" t="s">
        <v>21</v>
      </c>
      <c r="I2270">
        <v>9.48</v>
      </c>
      <c r="J2270" t="s">
        <v>42</v>
      </c>
    </row>
    <row r="2271" spans="1:10" x14ac:dyDescent="0.25">
      <c r="A2271" s="1">
        <v>402</v>
      </c>
      <c r="B2271" t="s">
        <v>25</v>
      </c>
      <c r="C2271">
        <v>54</v>
      </c>
      <c r="D2271">
        <v>1</v>
      </c>
      <c r="E2271" t="s">
        <v>84</v>
      </c>
      <c r="F2271" t="s">
        <v>85</v>
      </c>
      <c r="G2271" t="str">
        <f>"2025-06-08 12:12:37.090"</f>
        <v>2025-06-08 12:12:37.090</v>
      </c>
      <c r="H2271" t="s">
        <v>21</v>
      </c>
    </row>
    <row r="2272" spans="1:10" x14ac:dyDescent="0.25">
      <c r="A2272" s="1">
        <v>403</v>
      </c>
      <c r="B2272" t="s">
        <v>29</v>
      </c>
      <c r="C2272">
        <v>54</v>
      </c>
      <c r="D2272">
        <v>1</v>
      </c>
      <c r="E2272" t="s">
        <v>84</v>
      </c>
      <c r="F2272" t="s">
        <v>85</v>
      </c>
      <c r="G2272" t="str">
        <f>"2025-06-08 11:59:36.790"</f>
        <v>2025-06-08 11:59:36.790</v>
      </c>
      <c r="H2272" t="s">
        <v>21</v>
      </c>
      <c r="I2272">
        <v>13.68</v>
      </c>
      <c r="J2272" t="s">
        <v>42</v>
      </c>
    </row>
    <row r="2273" spans="1:10" x14ac:dyDescent="0.25">
      <c r="A2273" s="1">
        <v>404</v>
      </c>
      <c r="B2273" t="s">
        <v>25</v>
      </c>
      <c r="C2273">
        <v>54</v>
      </c>
      <c r="D2273">
        <v>1</v>
      </c>
      <c r="E2273" t="s">
        <v>84</v>
      </c>
      <c r="F2273" t="s">
        <v>85</v>
      </c>
      <c r="G2273" t="str">
        <f>"2025-06-08 11:58:48.490"</f>
        <v>2025-06-08 11:58:48.490</v>
      </c>
      <c r="H2273" t="s">
        <v>21</v>
      </c>
    </row>
    <row r="2274" spans="1:10" x14ac:dyDescent="0.25">
      <c r="A2274" s="1">
        <v>405</v>
      </c>
      <c r="B2274" t="s">
        <v>29</v>
      </c>
      <c r="C2274">
        <v>54</v>
      </c>
      <c r="D2274">
        <v>1</v>
      </c>
      <c r="E2274" t="s">
        <v>84</v>
      </c>
      <c r="F2274" t="s">
        <v>85</v>
      </c>
      <c r="G2274" t="str">
        <f>"2025-06-08 11:31:16.690"</f>
        <v>2025-06-08 11:31:16.690</v>
      </c>
      <c r="H2274" t="s">
        <v>21</v>
      </c>
      <c r="I2274">
        <v>18.420000000000002</v>
      </c>
      <c r="J2274" t="s">
        <v>42</v>
      </c>
    </row>
    <row r="2275" spans="1:10" x14ac:dyDescent="0.25">
      <c r="A2275" s="1">
        <v>406</v>
      </c>
      <c r="B2275" t="s">
        <v>25</v>
      </c>
      <c r="C2275">
        <v>54</v>
      </c>
      <c r="D2275">
        <v>1</v>
      </c>
      <c r="E2275" t="s">
        <v>84</v>
      </c>
      <c r="F2275" t="s">
        <v>85</v>
      </c>
      <c r="G2275" t="str">
        <f>"2025-06-08 11:30:15.290"</f>
        <v>2025-06-08 11:30:15.290</v>
      </c>
      <c r="H2275" t="s">
        <v>21</v>
      </c>
    </row>
    <row r="2276" spans="1:10" x14ac:dyDescent="0.25">
      <c r="A2276" s="1">
        <v>407</v>
      </c>
      <c r="B2276" t="s">
        <v>29</v>
      </c>
      <c r="C2276">
        <v>54</v>
      </c>
      <c r="D2276">
        <v>1</v>
      </c>
      <c r="E2276" t="s">
        <v>84</v>
      </c>
      <c r="F2276" t="s">
        <v>85</v>
      </c>
      <c r="G2276" t="str">
        <f>"2025-06-08 11:03:14.990"</f>
        <v>2025-06-08 11:03:14.990</v>
      </c>
      <c r="H2276" t="s">
        <v>21</v>
      </c>
      <c r="I2276">
        <v>9.74</v>
      </c>
      <c r="J2276" t="s">
        <v>42</v>
      </c>
    </row>
    <row r="2277" spans="1:10" x14ac:dyDescent="0.25">
      <c r="A2277" s="1">
        <v>408</v>
      </c>
      <c r="B2277" t="s">
        <v>25</v>
      </c>
      <c r="C2277">
        <v>54</v>
      </c>
      <c r="D2277">
        <v>1</v>
      </c>
      <c r="E2277" t="s">
        <v>84</v>
      </c>
      <c r="F2277" t="s">
        <v>85</v>
      </c>
      <c r="G2277" t="str">
        <f>"2025-06-08 11:01:19.090"</f>
        <v>2025-06-08 11:01:19.090</v>
      </c>
      <c r="H2277" t="s">
        <v>21</v>
      </c>
    </row>
    <row r="2278" spans="1:10" x14ac:dyDescent="0.25">
      <c r="A2278" s="1">
        <v>409</v>
      </c>
      <c r="B2278" t="s">
        <v>29</v>
      </c>
      <c r="C2278">
        <v>54</v>
      </c>
      <c r="D2278">
        <v>1</v>
      </c>
      <c r="E2278" t="s">
        <v>84</v>
      </c>
      <c r="F2278" t="s">
        <v>85</v>
      </c>
      <c r="G2278" t="str">
        <f>"2025-06-08 10:41:06.490"</f>
        <v>2025-06-08 10:41:06.490</v>
      </c>
      <c r="H2278" t="s">
        <v>21</v>
      </c>
      <c r="I2278">
        <v>6.55</v>
      </c>
      <c r="J2278" t="s">
        <v>42</v>
      </c>
    </row>
    <row r="2279" spans="1:10" x14ac:dyDescent="0.25">
      <c r="A2279" s="1">
        <v>410</v>
      </c>
      <c r="B2279" t="s">
        <v>25</v>
      </c>
      <c r="C2279">
        <v>54</v>
      </c>
      <c r="D2279">
        <v>1</v>
      </c>
      <c r="E2279" t="s">
        <v>84</v>
      </c>
      <c r="F2279" t="s">
        <v>85</v>
      </c>
      <c r="G2279" t="str">
        <f>"2025-06-08 10:40:44.790"</f>
        <v>2025-06-08 10:40:44.790</v>
      </c>
      <c r="H2279" t="s">
        <v>21</v>
      </c>
    </row>
    <row r="2280" spans="1:10" x14ac:dyDescent="0.25">
      <c r="A2280" s="1">
        <v>411</v>
      </c>
      <c r="B2280" t="s">
        <v>29</v>
      </c>
      <c r="C2280">
        <v>54</v>
      </c>
      <c r="D2280">
        <v>1</v>
      </c>
      <c r="E2280" t="s">
        <v>84</v>
      </c>
      <c r="F2280" t="s">
        <v>85</v>
      </c>
      <c r="G2280" t="str">
        <f>"2025-06-08 10:37:21.890"</f>
        <v>2025-06-08 10:37:21.890</v>
      </c>
      <c r="H2280" t="s">
        <v>21</v>
      </c>
      <c r="I2280">
        <v>10.77</v>
      </c>
      <c r="J2280" t="s">
        <v>42</v>
      </c>
    </row>
    <row r="2281" spans="1:10" x14ac:dyDescent="0.25">
      <c r="A2281" s="1">
        <v>412</v>
      </c>
      <c r="B2281" t="s">
        <v>25</v>
      </c>
      <c r="C2281">
        <v>54</v>
      </c>
      <c r="D2281">
        <v>1</v>
      </c>
      <c r="E2281" t="s">
        <v>84</v>
      </c>
      <c r="F2281" t="s">
        <v>85</v>
      </c>
      <c r="G2281" t="str">
        <f>"2025-06-08 10:36:34.090"</f>
        <v>2025-06-08 10:36:34.090</v>
      </c>
      <c r="H2281" t="s">
        <v>21</v>
      </c>
    </row>
    <row r="2282" spans="1:10" x14ac:dyDescent="0.25">
      <c r="A2282" s="1">
        <v>413</v>
      </c>
      <c r="B2282" t="s">
        <v>29</v>
      </c>
      <c r="C2282">
        <v>54</v>
      </c>
      <c r="D2282">
        <v>1</v>
      </c>
      <c r="E2282" t="s">
        <v>84</v>
      </c>
      <c r="F2282" t="s">
        <v>85</v>
      </c>
      <c r="G2282" t="str">
        <f>"2025-06-08 10:23:25.790"</f>
        <v>2025-06-08 10:23:25.790</v>
      </c>
      <c r="H2282" t="s">
        <v>21</v>
      </c>
      <c r="I2282">
        <v>4.74</v>
      </c>
      <c r="J2282" t="s">
        <v>42</v>
      </c>
    </row>
    <row r="2283" spans="1:10" x14ac:dyDescent="0.25">
      <c r="A2283" s="1">
        <v>414</v>
      </c>
      <c r="B2283" t="s">
        <v>25</v>
      </c>
      <c r="C2283">
        <v>54</v>
      </c>
      <c r="D2283">
        <v>1</v>
      </c>
      <c r="E2283" t="s">
        <v>84</v>
      </c>
      <c r="F2283" t="s">
        <v>85</v>
      </c>
      <c r="G2283" t="str">
        <f>"2025-06-08 10:22:01.090"</f>
        <v>2025-06-08 10:22:01.090</v>
      </c>
      <c r="H2283" t="s">
        <v>21</v>
      </c>
    </row>
    <row r="2284" spans="1:10" x14ac:dyDescent="0.25">
      <c r="A2284" s="1">
        <v>415</v>
      </c>
      <c r="B2284" t="s">
        <v>29</v>
      </c>
      <c r="C2284">
        <v>54</v>
      </c>
      <c r="D2284">
        <v>1</v>
      </c>
      <c r="E2284" t="s">
        <v>84</v>
      </c>
      <c r="F2284" t="s">
        <v>85</v>
      </c>
      <c r="G2284" t="str">
        <f>"2025-06-08 10:16:27.690"</f>
        <v>2025-06-08 10:16:27.690</v>
      </c>
      <c r="H2284" t="s">
        <v>21</v>
      </c>
      <c r="I2284">
        <v>13.13</v>
      </c>
      <c r="J2284" t="s">
        <v>42</v>
      </c>
    </row>
    <row r="2285" spans="1:10" x14ac:dyDescent="0.25">
      <c r="A2285" s="1">
        <v>416</v>
      </c>
      <c r="B2285" t="s">
        <v>25</v>
      </c>
      <c r="C2285">
        <v>54</v>
      </c>
      <c r="D2285">
        <v>1</v>
      </c>
      <c r="E2285" t="s">
        <v>84</v>
      </c>
      <c r="F2285" t="s">
        <v>85</v>
      </c>
      <c r="G2285" t="str">
        <f>"2025-06-08 10:09:33.390"</f>
        <v>2025-06-08 10:09:33.390</v>
      </c>
      <c r="H2285" t="s">
        <v>21</v>
      </c>
    </row>
    <row r="2286" spans="1:10" x14ac:dyDescent="0.25">
      <c r="A2286" s="1">
        <v>417</v>
      </c>
      <c r="B2286" t="s">
        <v>29</v>
      </c>
      <c r="C2286">
        <v>54</v>
      </c>
      <c r="D2286">
        <v>1</v>
      </c>
      <c r="E2286" t="s">
        <v>84</v>
      </c>
      <c r="F2286" t="s">
        <v>85</v>
      </c>
      <c r="G2286" t="str">
        <f>"2025-06-08 09:58:20.690"</f>
        <v>2025-06-08 09:58:20.690</v>
      </c>
      <c r="H2286" t="s">
        <v>21</v>
      </c>
      <c r="I2286">
        <v>12.18</v>
      </c>
      <c r="J2286" t="s">
        <v>42</v>
      </c>
    </row>
    <row r="2287" spans="1:10" x14ac:dyDescent="0.25">
      <c r="A2287" s="1">
        <v>418</v>
      </c>
      <c r="B2287" t="s">
        <v>25</v>
      </c>
      <c r="C2287">
        <v>54</v>
      </c>
      <c r="D2287">
        <v>1</v>
      </c>
      <c r="E2287" t="s">
        <v>84</v>
      </c>
      <c r="F2287" t="s">
        <v>85</v>
      </c>
      <c r="G2287" t="str">
        <f>"2025-06-08 09:55:59.490"</f>
        <v>2025-06-08 09:55:59.490</v>
      </c>
      <c r="H2287" t="s">
        <v>21</v>
      </c>
    </row>
    <row r="2288" spans="1:10" x14ac:dyDescent="0.25">
      <c r="A2288" s="1">
        <v>419</v>
      </c>
      <c r="B2288" t="s">
        <v>29</v>
      </c>
      <c r="C2288">
        <v>54</v>
      </c>
      <c r="D2288">
        <v>1</v>
      </c>
      <c r="E2288" t="s">
        <v>84</v>
      </c>
      <c r="F2288" t="s">
        <v>85</v>
      </c>
      <c r="G2288" t="str">
        <f>"2025-06-08 09:51:26.190"</f>
        <v>2025-06-08 09:51:26.190</v>
      </c>
      <c r="H2288" t="s">
        <v>21</v>
      </c>
      <c r="I2288">
        <v>10.67</v>
      </c>
      <c r="J2288" t="s">
        <v>42</v>
      </c>
    </row>
    <row r="2289" spans="1:10" x14ac:dyDescent="0.25">
      <c r="A2289" s="1">
        <v>420</v>
      </c>
      <c r="B2289" t="s">
        <v>25</v>
      </c>
      <c r="C2289">
        <v>54</v>
      </c>
      <c r="D2289">
        <v>1</v>
      </c>
      <c r="E2289" t="s">
        <v>84</v>
      </c>
      <c r="F2289" t="s">
        <v>85</v>
      </c>
      <c r="G2289" t="str">
        <f>"2025-06-08 09:46:45.490"</f>
        <v>2025-06-08 09:46:45.490</v>
      </c>
      <c r="H2289" t="s">
        <v>21</v>
      </c>
    </row>
    <row r="2290" spans="1:10" x14ac:dyDescent="0.25">
      <c r="A2290" s="1">
        <v>421</v>
      </c>
      <c r="B2290" t="s">
        <v>29</v>
      </c>
      <c r="C2290">
        <v>54</v>
      </c>
      <c r="D2290">
        <v>1</v>
      </c>
      <c r="E2290" t="s">
        <v>84</v>
      </c>
      <c r="F2290" t="s">
        <v>85</v>
      </c>
      <c r="G2290" t="str">
        <f>"2025-06-08 09:45:18.290"</f>
        <v>2025-06-08 09:45:18.290</v>
      </c>
      <c r="H2290" t="s">
        <v>21</v>
      </c>
      <c r="I2290">
        <v>11.99</v>
      </c>
      <c r="J2290" t="s">
        <v>42</v>
      </c>
    </row>
    <row r="2291" spans="1:10" x14ac:dyDescent="0.25">
      <c r="A2291" s="1">
        <v>422</v>
      </c>
      <c r="B2291" t="s">
        <v>25</v>
      </c>
      <c r="C2291">
        <v>54</v>
      </c>
      <c r="D2291">
        <v>1</v>
      </c>
      <c r="E2291" t="s">
        <v>84</v>
      </c>
      <c r="F2291" t="s">
        <v>85</v>
      </c>
      <c r="G2291" t="str">
        <f>"2025-06-08 09:42:44.590"</f>
        <v>2025-06-08 09:42:44.590</v>
      </c>
      <c r="H2291" t="s">
        <v>21</v>
      </c>
    </row>
    <row r="2292" spans="1:10" x14ac:dyDescent="0.25">
      <c r="A2292" s="1">
        <v>423</v>
      </c>
      <c r="B2292" t="s">
        <v>29</v>
      </c>
      <c r="C2292">
        <v>54</v>
      </c>
      <c r="D2292">
        <v>1</v>
      </c>
      <c r="E2292" t="s">
        <v>84</v>
      </c>
      <c r="F2292" t="s">
        <v>85</v>
      </c>
      <c r="G2292" t="str">
        <f>"2025-06-08 09:27:03.989"</f>
        <v>2025-06-08 09:27:03.989</v>
      </c>
      <c r="H2292" t="s">
        <v>21</v>
      </c>
      <c r="I2292">
        <v>20.51</v>
      </c>
      <c r="J2292" t="s">
        <v>42</v>
      </c>
    </row>
    <row r="2293" spans="1:10" x14ac:dyDescent="0.25">
      <c r="A2293" s="1">
        <v>424</v>
      </c>
      <c r="B2293" t="s">
        <v>25</v>
      </c>
      <c r="C2293">
        <v>54</v>
      </c>
      <c r="D2293">
        <v>1</v>
      </c>
      <c r="E2293" t="s">
        <v>84</v>
      </c>
      <c r="F2293" t="s">
        <v>85</v>
      </c>
      <c r="G2293" t="str">
        <f>"2025-06-08 09:23:15.990"</f>
        <v>2025-06-08 09:23:15.990</v>
      </c>
      <c r="H2293" t="s">
        <v>21</v>
      </c>
    </row>
    <row r="2294" spans="1:10" x14ac:dyDescent="0.25">
      <c r="A2294" s="1">
        <v>425</v>
      </c>
      <c r="B2294" t="s">
        <v>29</v>
      </c>
      <c r="C2294">
        <v>54</v>
      </c>
      <c r="D2294">
        <v>1</v>
      </c>
      <c r="E2294" t="s">
        <v>84</v>
      </c>
      <c r="F2294" t="s">
        <v>85</v>
      </c>
      <c r="G2294" t="str">
        <f>"2025-06-08 09:17:24.690"</f>
        <v>2025-06-08 09:17:24.690</v>
      </c>
      <c r="H2294" t="s">
        <v>21</v>
      </c>
      <c r="I2294">
        <v>8.94</v>
      </c>
      <c r="J2294" t="s">
        <v>42</v>
      </c>
    </row>
    <row r="2295" spans="1:10" x14ac:dyDescent="0.25">
      <c r="A2295" s="1">
        <v>426</v>
      </c>
      <c r="B2295" t="s">
        <v>25</v>
      </c>
      <c r="C2295">
        <v>54</v>
      </c>
      <c r="D2295">
        <v>3</v>
      </c>
      <c r="E2295" t="s">
        <v>84</v>
      </c>
      <c r="F2295" t="s">
        <v>86</v>
      </c>
      <c r="G2295" t="str">
        <f>"2025-06-08 09:15:34.492"</f>
        <v>2025-06-08 09:15:34.492</v>
      </c>
      <c r="H2295" t="s">
        <v>21</v>
      </c>
    </row>
    <row r="2296" spans="1:10" x14ac:dyDescent="0.25">
      <c r="A2296" s="1">
        <v>427</v>
      </c>
      <c r="B2296" t="s">
        <v>25</v>
      </c>
      <c r="C2296">
        <v>54</v>
      </c>
      <c r="D2296">
        <v>1</v>
      </c>
      <c r="E2296" t="s">
        <v>84</v>
      </c>
      <c r="F2296" t="s">
        <v>85</v>
      </c>
      <c r="G2296" t="str">
        <f>"2025-06-08 09:15:34.490"</f>
        <v>2025-06-08 09:15:34.490</v>
      </c>
      <c r="H2296" t="s">
        <v>21</v>
      </c>
    </row>
    <row r="2297" spans="1:10" x14ac:dyDescent="0.25">
      <c r="A2297" s="1">
        <v>428</v>
      </c>
      <c r="B2297" t="s">
        <v>29</v>
      </c>
      <c r="C2297">
        <v>54</v>
      </c>
      <c r="D2297">
        <v>3</v>
      </c>
      <c r="E2297" t="s">
        <v>84</v>
      </c>
      <c r="F2297" t="s">
        <v>86</v>
      </c>
      <c r="G2297" t="str">
        <f>"2025-06-08 09:01:57.590"</f>
        <v>2025-06-08 09:01:57.590</v>
      </c>
      <c r="H2297" t="s">
        <v>21</v>
      </c>
      <c r="I2297">
        <v>9.41</v>
      </c>
      <c r="J2297" t="s">
        <v>42</v>
      </c>
    </row>
    <row r="2298" spans="1:10" x14ac:dyDescent="0.25">
      <c r="A2298" s="1">
        <v>429</v>
      </c>
      <c r="B2298" t="s">
        <v>29</v>
      </c>
      <c r="C2298">
        <v>54</v>
      </c>
      <c r="D2298">
        <v>1</v>
      </c>
      <c r="E2298" t="s">
        <v>84</v>
      </c>
      <c r="F2298" t="s">
        <v>85</v>
      </c>
      <c r="G2298" t="str">
        <f>"2025-06-08 08:57:18.690"</f>
        <v>2025-06-08 08:57:18.690</v>
      </c>
      <c r="H2298" t="s">
        <v>21</v>
      </c>
      <c r="I2298">
        <v>10.26</v>
      </c>
      <c r="J2298" t="s">
        <v>42</v>
      </c>
    </row>
    <row r="2299" spans="1:10" x14ac:dyDescent="0.25">
      <c r="A2299" s="1">
        <v>430</v>
      </c>
      <c r="B2299" t="s">
        <v>25</v>
      </c>
      <c r="C2299">
        <v>54</v>
      </c>
      <c r="D2299">
        <v>1</v>
      </c>
      <c r="E2299" t="s">
        <v>84</v>
      </c>
      <c r="F2299" t="s">
        <v>85</v>
      </c>
      <c r="G2299" t="str">
        <f>"2025-06-08 08:49:13.890"</f>
        <v>2025-06-08 08:49:13.890</v>
      </c>
      <c r="H2299" t="s">
        <v>21</v>
      </c>
    </row>
    <row r="2300" spans="1:10" x14ac:dyDescent="0.25">
      <c r="A2300" s="1">
        <v>431</v>
      </c>
      <c r="B2300" t="s">
        <v>29</v>
      </c>
      <c r="C2300">
        <v>54</v>
      </c>
      <c r="D2300">
        <v>1</v>
      </c>
      <c r="E2300" t="s">
        <v>84</v>
      </c>
      <c r="F2300" t="s">
        <v>85</v>
      </c>
      <c r="G2300" t="str">
        <f>"2025-06-08 08:37:32.690"</f>
        <v>2025-06-08 08:37:32.690</v>
      </c>
      <c r="H2300" t="s">
        <v>21</v>
      </c>
      <c r="I2300">
        <v>12.4</v>
      </c>
      <c r="J2300" t="s">
        <v>42</v>
      </c>
    </row>
    <row r="2301" spans="1:10" x14ac:dyDescent="0.25">
      <c r="A2301" s="1">
        <v>432</v>
      </c>
      <c r="B2301" t="s">
        <v>25</v>
      </c>
      <c r="C2301">
        <v>54</v>
      </c>
      <c r="D2301">
        <v>1</v>
      </c>
      <c r="E2301" t="s">
        <v>84</v>
      </c>
      <c r="F2301" t="s">
        <v>85</v>
      </c>
      <c r="G2301" t="str">
        <f>"2025-06-08 08:31:51.390"</f>
        <v>2025-06-08 08:31:51.390</v>
      </c>
      <c r="H2301" t="s">
        <v>21</v>
      </c>
    </row>
    <row r="2302" spans="1:10" x14ac:dyDescent="0.25">
      <c r="A2302" s="1">
        <v>433</v>
      </c>
      <c r="B2302" t="s">
        <v>29</v>
      </c>
      <c r="C2302">
        <v>54</v>
      </c>
      <c r="D2302">
        <v>1</v>
      </c>
      <c r="E2302" t="s">
        <v>84</v>
      </c>
      <c r="F2302" t="s">
        <v>85</v>
      </c>
      <c r="G2302" t="str">
        <f>"2025-06-08 08:28:37.590"</f>
        <v>2025-06-08 08:28:37.590</v>
      </c>
      <c r="H2302" t="s">
        <v>21</v>
      </c>
      <c r="I2302">
        <v>7.17</v>
      </c>
      <c r="J2302" t="s">
        <v>42</v>
      </c>
    </row>
    <row r="2303" spans="1:10" x14ac:dyDescent="0.25">
      <c r="A2303" s="1">
        <v>434</v>
      </c>
      <c r="B2303" t="s">
        <v>25</v>
      </c>
      <c r="C2303">
        <v>54</v>
      </c>
      <c r="D2303">
        <v>1</v>
      </c>
      <c r="E2303" t="s">
        <v>84</v>
      </c>
      <c r="F2303" t="s">
        <v>85</v>
      </c>
      <c r="G2303" t="str">
        <f>"2025-06-08 08:21:29.690"</f>
        <v>2025-06-08 08:21:29.690</v>
      </c>
      <c r="H2303" t="s">
        <v>21</v>
      </c>
    </row>
    <row r="2304" spans="1:10" x14ac:dyDescent="0.25">
      <c r="A2304" s="1">
        <v>435</v>
      </c>
      <c r="B2304" t="s">
        <v>29</v>
      </c>
      <c r="C2304">
        <v>54</v>
      </c>
      <c r="D2304">
        <v>1</v>
      </c>
      <c r="E2304" t="s">
        <v>84</v>
      </c>
      <c r="F2304" t="s">
        <v>85</v>
      </c>
      <c r="G2304" t="str">
        <f>"2025-06-08 08:07:08.190"</f>
        <v>2025-06-08 08:07:08.190</v>
      </c>
      <c r="H2304" t="s">
        <v>21</v>
      </c>
      <c r="I2304">
        <v>11.62</v>
      </c>
      <c r="J2304" t="s">
        <v>42</v>
      </c>
    </row>
    <row r="2305" spans="1:10" x14ac:dyDescent="0.25">
      <c r="A2305" s="1">
        <v>436</v>
      </c>
      <c r="B2305" t="s">
        <v>25</v>
      </c>
      <c r="C2305">
        <v>54</v>
      </c>
      <c r="D2305">
        <v>1</v>
      </c>
      <c r="E2305" t="s">
        <v>84</v>
      </c>
      <c r="F2305" t="s">
        <v>85</v>
      </c>
      <c r="G2305" t="str">
        <f>"2025-06-08 08:04:49.591"</f>
        <v>2025-06-08 08:04:49.591</v>
      </c>
      <c r="H2305" t="s">
        <v>21</v>
      </c>
    </row>
    <row r="2306" spans="1:10" x14ac:dyDescent="0.25">
      <c r="A2306" s="1">
        <v>437</v>
      </c>
      <c r="B2306" t="s">
        <v>29</v>
      </c>
      <c r="C2306">
        <v>54</v>
      </c>
      <c r="D2306">
        <v>1</v>
      </c>
      <c r="E2306" t="s">
        <v>84</v>
      </c>
      <c r="F2306" t="s">
        <v>85</v>
      </c>
      <c r="G2306" t="str">
        <f>"2025-06-08 07:03:01.990"</f>
        <v>2025-06-08 07:03:01.990</v>
      </c>
      <c r="H2306" t="s">
        <v>21</v>
      </c>
      <c r="I2306">
        <v>13.08</v>
      </c>
      <c r="J2306" t="s">
        <v>42</v>
      </c>
    </row>
    <row r="2307" spans="1:10" x14ac:dyDescent="0.25">
      <c r="A2307" s="1">
        <v>438</v>
      </c>
      <c r="B2307" t="s">
        <v>25</v>
      </c>
      <c r="C2307">
        <v>54</v>
      </c>
      <c r="D2307">
        <v>1</v>
      </c>
      <c r="E2307" t="s">
        <v>84</v>
      </c>
      <c r="F2307" t="s">
        <v>85</v>
      </c>
      <c r="G2307" t="str">
        <f>"2025-06-08 07:02:26.090"</f>
        <v>2025-06-08 07:02:26.090</v>
      </c>
      <c r="H2307" t="s">
        <v>21</v>
      </c>
    </row>
    <row r="2308" spans="1:10" x14ac:dyDescent="0.25">
      <c r="A2308" s="1">
        <v>439</v>
      </c>
      <c r="B2308" t="s">
        <v>29</v>
      </c>
      <c r="C2308">
        <v>54</v>
      </c>
      <c r="D2308">
        <v>1</v>
      </c>
      <c r="E2308" t="s">
        <v>84</v>
      </c>
      <c r="F2308" t="s">
        <v>85</v>
      </c>
      <c r="G2308" t="str">
        <f>"2025-06-08 05:56:47.290"</f>
        <v>2025-06-08 05:56:47.290</v>
      </c>
      <c r="H2308" t="s">
        <v>21</v>
      </c>
      <c r="I2308">
        <v>7.36</v>
      </c>
      <c r="J2308" t="s">
        <v>42</v>
      </c>
    </row>
    <row r="2309" spans="1:10" x14ac:dyDescent="0.25">
      <c r="A2309" s="1">
        <v>440</v>
      </c>
      <c r="B2309" t="s">
        <v>25</v>
      </c>
      <c r="C2309">
        <v>54</v>
      </c>
      <c r="D2309">
        <v>1</v>
      </c>
      <c r="E2309" t="s">
        <v>84</v>
      </c>
      <c r="F2309" t="s">
        <v>85</v>
      </c>
      <c r="G2309" t="str">
        <f>"2025-06-08 05:50:02.790"</f>
        <v>2025-06-08 05:50:02.790</v>
      </c>
      <c r="H2309" t="s">
        <v>21</v>
      </c>
    </row>
    <row r="2310" spans="1:10" x14ac:dyDescent="0.25">
      <c r="A2310" s="1">
        <v>441</v>
      </c>
      <c r="B2310" t="s">
        <v>29</v>
      </c>
      <c r="C2310">
        <v>54</v>
      </c>
      <c r="D2310">
        <v>1</v>
      </c>
      <c r="E2310" t="s">
        <v>84</v>
      </c>
      <c r="F2310" t="s">
        <v>85</v>
      </c>
      <c r="G2310" t="str">
        <f>"2025-06-08 05:34:30.590"</f>
        <v>2025-06-08 05:34:30.590</v>
      </c>
      <c r="H2310" t="s">
        <v>21</v>
      </c>
      <c r="I2310">
        <v>16.739999999999998</v>
      </c>
      <c r="J2310" t="s">
        <v>42</v>
      </c>
    </row>
    <row r="2311" spans="1:10" x14ac:dyDescent="0.25">
      <c r="A2311" s="1">
        <v>442</v>
      </c>
      <c r="B2311" t="s">
        <v>25</v>
      </c>
      <c r="C2311">
        <v>54</v>
      </c>
      <c r="D2311">
        <v>1</v>
      </c>
      <c r="E2311" t="s">
        <v>84</v>
      </c>
      <c r="F2311" t="s">
        <v>85</v>
      </c>
      <c r="G2311" t="str">
        <f>"2025-06-08 05:23:18.890"</f>
        <v>2025-06-08 05:23:18.890</v>
      </c>
      <c r="H2311" t="s">
        <v>21</v>
      </c>
    </row>
    <row r="2312" spans="1:10" x14ac:dyDescent="0.25">
      <c r="A2312" s="1">
        <v>443</v>
      </c>
      <c r="B2312" t="s">
        <v>29</v>
      </c>
      <c r="C2312">
        <v>54</v>
      </c>
      <c r="D2312">
        <v>1</v>
      </c>
      <c r="E2312" t="s">
        <v>84</v>
      </c>
      <c r="F2312" t="s">
        <v>85</v>
      </c>
      <c r="G2312" t="str">
        <f>"2025-06-08 05:21:35.890"</f>
        <v>2025-06-08 05:21:35.890</v>
      </c>
      <c r="H2312" t="s">
        <v>21</v>
      </c>
      <c r="I2312">
        <v>12.72</v>
      </c>
      <c r="J2312" t="s">
        <v>42</v>
      </c>
    </row>
    <row r="2313" spans="1:10" x14ac:dyDescent="0.25">
      <c r="A2313" s="1">
        <v>444</v>
      </c>
      <c r="B2313" t="s">
        <v>25</v>
      </c>
      <c r="C2313">
        <v>54</v>
      </c>
      <c r="D2313">
        <v>1</v>
      </c>
      <c r="E2313" t="s">
        <v>84</v>
      </c>
      <c r="F2313" t="s">
        <v>85</v>
      </c>
      <c r="G2313" t="str">
        <f>"2025-06-08 05:19:59.790"</f>
        <v>2025-06-08 05:19:59.790</v>
      </c>
      <c r="H2313" t="s">
        <v>21</v>
      </c>
    </row>
    <row r="2314" spans="1:10" x14ac:dyDescent="0.25">
      <c r="A2314" s="1">
        <v>445</v>
      </c>
      <c r="B2314" t="s">
        <v>29</v>
      </c>
      <c r="C2314">
        <v>54</v>
      </c>
      <c r="D2314">
        <v>1</v>
      </c>
      <c r="E2314" t="s">
        <v>84</v>
      </c>
      <c r="F2314" t="s">
        <v>85</v>
      </c>
      <c r="G2314" t="str">
        <f>"2025-06-08 05:07:35.590"</f>
        <v>2025-06-08 05:07:35.590</v>
      </c>
      <c r="H2314" t="s">
        <v>21</v>
      </c>
      <c r="I2314">
        <v>18.59</v>
      </c>
      <c r="J2314" t="s">
        <v>42</v>
      </c>
    </row>
    <row r="2315" spans="1:10" x14ac:dyDescent="0.25">
      <c r="A2315" s="1">
        <v>446</v>
      </c>
      <c r="B2315" t="s">
        <v>25</v>
      </c>
      <c r="C2315">
        <v>54</v>
      </c>
      <c r="D2315">
        <v>1</v>
      </c>
      <c r="E2315" t="s">
        <v>84</v>
      </c>
      <c r="F2315" t="s">
        <v>85</v>
      </c>
      <c r="G2315" t="str">
        <f>"2025-06-08 05:05:09.190"</f>
        <v>2025-06-08 05:05:09.190</v>
      </c>
      <c r="H2315" t="s">
        <v>21</v>
      </c>
    </row>
    <row r="2316" spans="1:10" x14ac:dyDescent="0.25">
      <c r="A2316" s="1">
        <v>447</v>
      </c>
      <c r="B2316" t="s">
        <v>29</v>
      </c>
      <c r="C2316">
        <v>54</v>
      </c>
      <c r="D2316">
        <v>1</v>
      </c>
      <c r="E2316" t="s">
        <v>84</v>
      </c>
      <c r="F2316" t="s">
        <v>85</v>
      </c>
      <c r="G2316" t="str">
        <f>"2025-06-08 04:59:21.690"</f>
        <v>2025-06-08 04:59:21.690</v>
      </c>
      <c r="H2316" t="s">
        <v>21</v>
      </c>
      <c r="I2316">
        <v>7.15</v>
      </c>
      <c r="J2316" t="s">
        <v>42</v>
      </c>
    </row>
    <row r="2317" spans="1:10" x14ac:dyDescent="0.25">
      <c r="A2317" s="1">
        <v>448</v>
      </c>
      <c r="B2317" t="s">
        <v>25</v>
      </c>
      <c r="C2317">
        <v>54</v>
      </c>
      <c r="D2317">
        <v>1</v>
      </c>
      <c r="E2317" t="s">
        <v>84</v>
      </c>
      <c r="F2317" t="s">
        <v>85</v>
      </c>
      <c r="G2317" t="str">
        <f>"2025-06-08 04:52:36.990"</f>
        <v>2025-06-08 04:52:36.990</v>
      </c>
      <c r="H2317" t="s">
        <v>21</v>
      </c>
    </row>
    <row r="2318" spans="1:10" x14ac:dyDescent="0.25">
      <c r="A2318" s="1">
        <v>449</v>
      </c>
      <c r="B2318" t="s">
        <v>29</v>
      </c>
      <c r="C2318">
        <v>54</v>
      </c>
      <c r="D2318">
        <v>1</v>
      </c>
      <c r="E2318" t="s">
        <v>84</v>
      </c>
      <c r="F2318" t="s">
        <v>85</v>
      </c>
      <c r="G2318" t="str">
        <f>"2025-06-08 04:21:32.890"</f>
        <v>2025-06-08 04:21:32.890</v>
      </c>
      <c r="H2318" t="s">
        <v>21</v>
      </c>
      <c r="I2318">
        <v>17.489999999999998</v>
      </c>
      <c r="J2318" t="s">
        <v>42</v>
      </c>
    </row>
    <row r="2319" spans="1:10" x14ac:dyDescent="0.25">
      <c r="A2319" s="1">
        <v>450</v>
      </c>
      <c r="B2319" t="s">
        <v>25</v>
      </c>
      <c r="C2319">
        <v>54</v>
      </c>
      <c r="D2319">
        <v>1</v>
      </c>
      <c r="E2319" t="s">
        <v>84</v>
      </c>
      <c r="F2319" t="s">
        <v>85</v>
      </c>
      <c r="G2319" t="str">
        <f>"2025-06-08 04:20:51.490"</f>
        <v>2025-06-08 04:20:51.490</v>
      </c>
      <c r="H2319" t="s">
        <v>21</v>
      </c>
    </row>
    <row r="2320" spans="1:10" x14ac:dyDescent="0.25">
      <c r="A2320" s="1">
        <v>451</v>
      </c>
      <c r="B2320" t="s">
        <v>29</v>
      </c>
      <c r="C2320">
        <v>54</v>
      </c>
      <c r="D2320">
        <v>1</v>
      </c>
      <c r="E2320" t="s">
        <v>84</v>
      </c>
      <c r="F2320" t="s">
        <v>85</v>
      </c>
      <c r="G2320" t="str">
        <f>"2025-06-08 01:45:59.391"</f>
        <v>2025-06-08 01:45:59.391</v>
      </c>
      <c r="H2320" t="s">
        <v>21</v>
      </c>
      <c r="I2320">
        <v>7.25</v>
      </c>
      <c r="J2320" t="s">
        <v>54</v>
      </c>
    </row>
    <row r="2321" spans="1:10" x14ac:dyDescent="0.25">
      <c r="A2321" s="1">
        <v>452</v>
      </c>
      <c r="B2321" t="s">
        <v>25</v>
      </c>
      <c r="C2321">
        <v>630</v>
      </c>
      <c r="D2321">
        <v>5</v>
      </c>
      <c r="E2321" t="s">
        <v>51</v>
      </c>
      <c r="F2321" t="s">
        <v>52</v>
      </c>
      <c r="G2321" t="str">
        <f>"2025-06-08 01:44:35.891"</f>
        <v>2025-06-08 01:44:35.891</v>
      </c>
      <c r="H2321" t="s">
        <v>40</v>
      </c>
    </row>
    <row r="2322" spans="1:10" x14ac:dyDescent="0.25">
      <c r="A2322" s="1">
        <v>453</v>
      </c>
      <c r="B2322" t="s">
        <v>19</v>
      </c>
      <c r="C2322">
        <v>706</v>
      </c>
      <c r="D2322">
        <v>4</v>
      </c>
      <c r="E2322" t="s">
        <v>22</v>
      </c>
      <c r="F2322" t="s">
        <v>31</v>
      </c>
      <c r="G2322" t="str">
        <f>"2025-06-08 01:44:05.748"</f>
        <v>2025-06-08 01:44:05.748</v>
      </c>
      <c r="H2322" t="s">
        <v>21</v>
      </c>
      <c r="I2322">
        <v>0</v>
      </c>
      <c r="J2322" t="s">
        <v>24</v>
      </c>
    </row>
    <row r="2323" spans="1:10" x14ac:dyDescent="0.25">
      <c r="A2323" s="1">
        <v>455</v>
      </c>
      <c r="B2323" t="s">
        <v>33</v>
      </c>
      <c r="C2323">
        <v>630</v>
      </c>
      <c r="D2323">
        <v>5</v>
      </c>
      <c r="E2323" t="s">
        <v>51</v>
      </c>
      <c r="F2323" t="s">
        <v>52</v>
      </c>
      <c r="G2323" t="str">
        <f>"2025-06-08 00:38:58.391"</f>
        <v>2025-06-08 00:38:58.391</v>
      </c>
      <c r="H2323" t="s">
        <v>40</v>
      </c>
      <c r="I2323">
        <v>0</v>
      </c>
      <c r="J2323" t="s">
        <v>24</v>
      </c>
    </row>
    <row r="2324" spans="1:10" x14ac:dyDescent="0.25">
      <c r="A2324" s="1">
        <v>456</v>
      </c>
      <c r="B2324" t="s">
        <v>19</v>
      </c>
      <c r="C2324">
        <v>700</v>
      </c>
      <c r="D2324">
        <v>0</v>
      </c>
      <c r="E2324" t="s">
        <v>20</v>
      </c>
      <c r="F2324" t="s">
        <v>20</v>
      </c>
      <c r="G2324" t="str">
        <f>"2025-06-08 00:33:55.568"</f>
        <v>2025-06-08 00:33:55.568</v>
      </c>
      <c r="H2324" t="s">
        <v>21</v>
      </c>
    </row>
    <row r="2325" spans="1:10" x14ac:dyDescent="0.25">
      <c r="A2325" s="1">
        <v>457</v>
      </c>
      <c r="B2325" t="s">
        <v>33</v>
      </c>
      <c r="C2325">
        <v>630</v>
      </c>
      <c r="D2325">
        <v>5</v>
      </c>
      <c r="E2325" t="s">
        <v>51</v>
      </c>
      <c r="F2325" t="s">
        <v>52</v>
      </c>
      <c r="G2325" t="str">
        <f>"2025-06-08 00:33:11.500"</f>
        <v>2025-06-08 00:33:11.500</v>
      </c>
      <c r="H2325" t="s">
        <v>40</v>
      </c>
      <c r="I2325">
        <v>0</v>
      </c>
      <c r="J2325" t="s">
        <v>24</v>
      </c>
    </row>
    <row r="2326" spans="1:10" x14ac:dyDescent="0.25">
      <c r="A2326" s="1">
        <v>458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"2025-06-08 00:28:08.678"</f>
        <v>2025-06-08 00:28:08.678</v>
      </c>
      <c r="H2326" t="s">
        <v>21</v>
      </c>
    </row>
    <row r="2327" spans="1:10" x14ac:dyDescent="0.25">
      <c r="A2327" s="1">
        <v>459</v>
      </c>
      <c r="B2327" t="s">
        <v>33</v>
      </c>
      <c r="C2327">
        <v>630</v>
      </c>
      <c r="D2327">
        <v>5</v>
      </c>
      <c r="E2327" t="s">
        <v>51</v>
      </c>
      <c r="F2327" t="s">
        <v>52</v>
      </c>
      <c r="G2327" t="str">
        <f>"2025-06-08 00:23:52.495"</f>
        <v>2025-06-08 00:23:52.495</v>
      </c>
      <c r="H2327" t="s">
        <v>40</v>
      </c>
      <c r="I2327">
        <v>0</v>
      </c>
      <c r="J2327" t="s">
        <v>24</v>
      </c>
    </row>
    <row r="2328" spans="1:10" x14ac:dyDescent="0.25">
      <c r="A2328" s="1">
        <v>460</v>
      </c>
      <c r="B2328" t="s">
        <v>25</v>
      </c>
      <c r="C2328">
        <v>54</v>
      </c>
      <c r="D2328">
        <v>1</v>
      </c>
      <c r="E2328" t="s">
        <v>84</v>
      </c>
      <c r="F2328" t="s">
        <v>85</v>
      </c>
      <c r="G2328" t="str">
        <f>"2025-06-08 00:19:02.307"</f>
        <v>2025-06-08 00:19:02.307</v>
      </c>
      <c r="H2328" t="s">
        <v>21</v>
      </c>
    </row>
    <row r="2329" spans="1:10" x14ac:dyDescent="0.25">
      <c r="A2329" s="1">
        <v>461</v>
      </c>
      <c r="B2329" t="s">
        <v>19</v>
      </c>
      <c r="C2329">
        <v>700</v>
      </c>
      <c r="D2329">
        <v>0</v>
      </c>
      <c r="E2329" t="s">
        <v>20</v>
      </c>
      <c r="F2329" t="s">
        <v>20</v>
      </c>
      <c r="G2329" t="str">
        <f>"2025-06-08 00:18:49.576"</f>
        <v>2025-06-08 00:18:49.576</v>
      </c>
      <c r="H2329" t="s">
        <v>21</v>
      </c>
      <c r="I2329">
        <v>0</v>
      </c>
      <c r="J2329" t="s">
        <v>32</v>
      </c>
    </row>
    <row r="2330" spans="1:10" x14ac:dyDescent="0.25">
      <c r="A2330" s="1">
        <v>462</v>
      </c>
      <c r="B2330" t="s">
        <v>29</v>
      </c>
      <c r="C2330">
        <v>54</v>
      </c>
      <c r="D2330">
        <v>1</v>
      </c>
      <c r="E2330" t="s">
        <v>84</v>
      </c>
      <c r="F2330" t="s">
        <v>85</v>
      </c>
      <c r="G2330" t="str">
        <f>"2025-06-07 19:56:56.867"</f>
        <v>2025-06-07 19:56:56.867</v>
      </c>
      <c r="H2330" t="s">
        <v>21</v>
      </c>
      <c r="I2330">
        <v>9.25</v>
      </c>
      <c r="J2330" t="s">
        <v>42</v>
      </c>
    </row>
    <row r="2331" spans="1:10" x14ac:dyDescent="0.25">
      <c r="A2331" s="1">
        <v>463</v>
      </c>
      <c r="B2331" t="s">
        <v>25</v>
      </c>
      <c r="C2331">
        <v>54</v>
      </c>
      <c r="D2331">
        <v>1</v>
      </c>
      <c r="E2331" t="s">
        <v>84</v>
      </c>
      <c r="F2331" t="s">
        <v>85</v>
      </c>
      <c r="G2331" t="str">
        <f>"2025-06-07 19:55:38.767"</f>
        <v>2025-06-07 19:55:38.767</v>
      </c>
      <c r="H2331" t="s">
        <v>21</v>
      </c>
    </row>
    <row r="2332" spans="1:10" x14ac:dyDescent="0.25">
      <c r="A2332" s="1">
        <v>464</v>
      </c>
      <c r="B2332" t="s">
        <v>29</v>
      </c>
      <c r="C2332">
        <v>54</v>
      </c>
      <c r="D2332">
        <v>1</v>
      </c>
      <c r="E2332" t="s">
        <v>84</v>
      </c>
      <c r="F2332" t="s">
        <v>85</v>
      </c>
      <c r="G2332" t="str">
        <f>"2025-06-07 18:30:40.767"</f>
        <v>2025-06-07 18:30:40.767</v>
      </c>
      <c r="H2332" t="s">
        <v>21</v>
      </c>
      <c r="I2332">
        <v>4.45</v>
      </c>
      <c r="J2332" t="s">
        <v>42</v>
      </c>
    </row>
    <row r="2333" spans="1:10" x14ac:dyDescent="0.25">
      <c r="A2333" s="1">
        <v>465</v>
      </c>
      <c r="B2333" t="s">
        <v>25</v>
      </c>
      <c r="C2333">
        <v>54</v>
      </c>
      <c r="D2333">
        <v>1</v>
      </c>
      <c r="E2333" t="s">
        <v>84</v>
      </c>
      <c r="F2333" t="s">
        <v>85</v>
      </c>
      <c r="G2333" t="str">
        <f>"2025-06-07 18:30:02.667"</f>
        <v>2025-06-07 18:30:02.667</v>
      </c>
      <c r="H2333" t="s">
        <v>21</v>
      </c>
    </row>
    <row r="2334" spans="1:10" x14ac:dyDescent="0.25">
      <c r="A2334" s="1">
        <v>466</v>
      </c>
      <c r="B2334" t="s">
        <v>29</v>
      </c>
      <c r="C2334">
        <v>54</v>
      </c>
      <c r="D2334">
        <v>1</v>
      </c>
      <c r="E2334" t="s">
        <v>84</v>
      </c>
      <c r="F2334" t="s">
        <v>85</v>
      </c>
      <c r="G2334" t="str">
        <f>"2025-06-07 16:42:12.367"</f>
        <v>2025-06-07 16:42:12.367</v>
      </c>
      <c r="H2334" t="s">
        <v>21</v>
      </c>
      <c r="I2334">
        <v>9.4</v>
      </c>
      <c r="J2334" t="s">
        <v>42</v>
      </c>
    </row>
    <row r="2335" spans="1:10" x14ac:dyDescent="0.25">
      <c r="A2335" s="1">
        <v>467</v>
      </c>
      <c r="B2335" t="s">
        <v>25</v>
      </c>
      <c r="C2335">
        <v>635</v>
      </c>
      <c r="D2335">
        <v>1</v>
      </c>
      <c r="E2335" t="s">
        <v>45</v>
      </c>
      <c r="F2335" t="s">
        <v>27</v>
      </c>
      <c r="G2335" t="str">
        <f>"2025-06-07 16:42:04.814"</f>
        <v>2025-06-07 16:42:04.814</v>
      </c>
      <c r="H2335" t="s">
        <v>21</v>
      </c>
    </row>
    <row r="2336" spans="1:10" x14ac:dyDescent="0.25">
      <c r="A2336" s="1">
        <v>468</v>
      </c>
      <c r="B2336" t="s">
        <v>25</v>
      </c>
      <c r="C2336">
        <v>54</v>
      </c>
      <c r="D2336">
        <v>1</v>
      </c>
      <c r="E2336" t="s">
        <v>84</v>
      </c>
      <c r="F2336" t="s">
        <v>85</v>
      </c>
      <c r="G2336" t="str">
        <f>"2025-06-07 16:39:19.767"</f>
        <v>2025-06-07 16:39:19.767</v>
      </c>
      <c r="H2336" t="s">
        <v>21</v>
      </c>
    </row>
    <row r="2337" spans="1:10" x14ac:dyDescent="0.25">
      <c r="A2337" s="1">
        <v>469</v>
      </c>
      <c r="B2337" t="s">
        <v>29</v>
      </c>
      <c r="C2337">
        <v>54</v>
      </c>
      <c r="D2337">
        <v>1</v>
      </c>
      <c r="E2337" t="s">
        <v>84</v>
      </c>
      <c r="F2337" t="s">
        <v>85</v>
      </c>
      <c r="G2337" t="str">
        <f>"2025-06-07 16:24:32.967"</f>
        <v>2025-06-07 16:24:32.967</v>
      </c>
      <c r="H2337" t="s">
        <v>21</v>
      </c>
      <c r="I2337">
        <v>7.65</v>
      </c>
      <c r="J2337" t="s">
        <v>42</v>
      </c>
    </row>
    <row r="2338" spans="1:10" x14ac:dyDescent="0.25">
      <c r="A2338" s="1">
        <v>470</v>
      </c>
      <c r="B2338" t="s">
        <v>25</v>
      </c>
      <c r="C2338">
        <v>54</v>
      </c>
      <c r="D2338">
        <v>1</v>
      </c>
      <c r="E2338" t="s">
        <v>84</v>
      </c>
      <c r="F2338" t="s">
        <v>85</v>
      </c>
      <c r="G2338" t="str">
        <f>"2025-06-07 16:23:44.867"</f>
        <v>2025-06-07 16:23:44.867</v>
      </c>
      <c r="H2338" t="s">
        <v>21</v>
      </c>
    </row>
    <row r="2339" spans="1:10" x14ac:dyDescent="0.25">
      <c r="A2339" s="1">
        <v>471</v>
      </c>
      <c r="B2339" t="s">
        <v>29</v>
      </c>
      <c r="C2339">
        <v>635</v>
      </c>
      <c r="D2339">
        <v>1</v>
      </c>
      <c r="E2339" t="s">
        <v>45</v>
      </c>
      <c r="F2339" t="s">
        <v>27</v>
      </c>
      <c r="G2339" t="str">
        <f>"2025-06-07 16:23:43.814"</f>
        <v>2025-06-07 16:23:43.814</v>
      </c>
      <c r="H2339" t="s">
        <v>21</v>
      </c>
      <c r="I2339">
        <v>9.06</v>
      </c>
      <c r="J2339" t="s">
        <v>42</v>
      </c>
    </row>
    <row r="2340" spans="1:10" x14ac:dyDescent="0.25">
      <c r="A2340" s="1">
        <v>472</v>
      </c>
      <c r="B2340" t="s">
        <v>29</v>
      </c>
      <c r="C2340">
        <v>54</v>
      </c>
      <c r="D2340">
        <v>1</v>
      </c>
      <c r="E2340" t="s">
        <v>84</v>
      </c>
      <c r="F2340" t="s">
        <v>85</v>
      </c>
      <c r="G2340" t="str">
        <f>"2025-06-07 15:27:07.567"</f>
        <v>2025-06-07 15:27:07.567</v>
      </c>
      <c r="H2340" t="s">
        <v>21</v>
      </c>
      <c r="I2340">
        <v>16.02</v>
      </c>
      <c r="J2340" t="s">
        <v>42</v>
      </c>
    </row>
    <row r="2341" spans="1:10" x14ac:dyDescent="0.25">
      <c r="A2341" s="1">
        <v>473</v>
      </c>
      <c r="B2341" t="s">
        <v>25</v>
      </c>
      <c r="C2341">
        <v>54</v>
      </c>
      <c r="D2341">
        <v>1</v>
      </c>
      <c r="E2341" t="s">
        <v>84</v>
      </c>
      <c r="F2341" t="s">
        <v>85</v>
      </c>
      <c r="G2341" t="str">
        <f>"2025-06-07 15:26:46.567"</f>
        <v>2025-06-07 15:26:46.567</v>
      </c>
      <c r="H2341" t="s">
        <v>21</v>
      </c>
    </row>
    <row r="2342" spans="1:10" x14ac:dyDescent="0.25">
      <c r="A2342" s="1">
        <v>474</v>
      </c>
      <c r="B2342" t="s">
        <v>29</v>
      </c>
      <c r="C2342">
        <v>54</v>
      </c>
      <c r="D2342">
        <v>1</v>
      </c>
      <c r="E2342" t="s">
        <v>84</v>
      </c>
      <c r="F2342" t="s">
        <v>85</v>
      </c>
      <c r="G2342" t="str">
        <f>"2025-06-07 12:08:36.467"</f>
        <v>2025-06-07 12:08:36.467</v>
      </c>
      <c r="H2342" t="s">
        <v>21</v>
      </c>
      <c r="I2342">
        <v>13.62</v>
      </c>
      <c r="J2342" t="s">
        <v>42</v>
      </c>
    </row>
    <row r="2343" spans="1:10" x14ac:dyDescent="0.25">
      <c r="A2343" s="1">
        <v>475</v>
      </c>
      <c r="B2343" t="s">
        <v>25</v>
      </c>
      <c r="C2343">
        <v>54</v>
      </c>
      <c r="D2343">
        <v>1</v>
      </c>
      <c r="E2343" t="s">
        <v>84</v>
      </c>
      <c r="F2343" t="s">
        <v>85</v>
      </c>
      <c r="G2343" t="str">
        <f>"2025-06-07 12:08:13.567"</f>
        <v>2025-06-07 12:08:13.567</v>
      </c>
      <c r="H2343" t="s">
        <v>21</v>
      </c>
    </row>
    <row r="2344" spans="1:10" x14ac:dyDescent="0.25">
      <c r="A2344" s="1">
        <v>476</v>
      </c>
      <c r="B2344" t="s">
        <v>29</v>
      </c>
      <c r="C2344">
        <v>54</v>
      </c>
      <c r="D2344">
        <v>1</v>
      </c>
      <c r="E2344" t="s">
        <v>84</v>
      </c>
      <c r="F2344" t="s">
        <v>85</v>
      </c>
      <c r="G2344" t="str">
        <f>"2025-06-07 11:47:09.367"</f>
        <v>2025-06-07 11:47:09.367</v>
      </c>
      <c r="H2344" t="s">
        <v>21</v>
      </c>
      <c r="I2344">
        <v>10.210000000000001</v>
      </c>
      <c r="J2344" t="s">
        <v>42</v>
      </c>
    </row>
    <row r="2345" spans="1:10" x14ac:dyDescent="0.25">
      <c r="A2345" s="1">
        <v>477</v>
      </c>
      <c r="B2345" t="s">
        <v>25</v>
      </c>
      <c r="C2345">
        <v>54</v>
      </c>
      <c r="D2345">
        <v>1</v>
      </c>
      <c r="E2345" t="s">
        <v>84</v>
      </c>
      <c r="F2345" t="s">
        <v>85</v>
      </c>
      <c r="G2345" t="str">
        <f>"2025-06-07 11:46:40.067"</f>
        <v>2025-06-07 11:46:40.067</v>
      </c>
      <c r="H2345" t="s">
        <v>21</v>
      </c>
    </row>
    <row r="2346" spans="1:10" x14ac:dyDescent="0.25">
      <c r="A2346" s="1">
        <v>478</v>
      </c>
      <c r="B2346" t="s">
        <v>29</v>
      </c>
      <c r="C2346">
        <v>54</v>
      </c>
      <c r="D2346">
        <v>1</v>
      </c>
      <c r="E2346" t="s">
        <v>84</v>
      </c>
      <c r="F2346" t="s">
        <v>85</v>
      </c>
      <c r="G2346" t="str">
        <f>"2025-06-07 11:38:18.367"</f>
        <v>2025-06-07 11:38:18.367</v>
      </c>
      <c r="H2346" t="s">
        <v>21</v>
      </c>
      <c r="I2346">
        <v>7.32</v>
      </c>
      <c r="J2346" t="s">
        <v>42</v>
      </c>
    </row>
    <row r="2347" spans="1:10" x14ac:dyDescent="0.25">
      <c r="A2347" s="1">
        <v>479</v>
      </c>
      <c r="B2347" t="s">
        <v>25</v>
      </c>
      <c r="C2347">
        <v>54</v>
      </c>
      <c r="D2347">
        <v>1</v>
      </c>
      <c r="E2347" t="s">
        <v>84</v>
      </c>
      <c r="F2347" t="s">
        <v>85</v>
      </c>
      <c r="G2347" t="str">
        <f>"2025-06-07 11:36:58.667"</f>
        <v>2025-06-07 11:36:58.667</v>
      </c>
      <c r="H2347" t="s">
        <v>21</v>
      </c>
    </row>
    <row r="2348" spans="1:10" x14ac:dyDescent="0.25">
      <c r="A2348" s="1">
        <v>480</v>
      </c>
      <c r="B2348" t="s">
        <v>29</v>
      </c>
      <c r="C2348">
        <v>54</v>
      </c>
      <c r="D2348">
        <v>1</v>
      </c>
      <c r="E2348" t="s">
        <v>84</v>
      </c>
      <c r="F2348" t="s">
        <v>85</v>
      </c>
      <c r="G2348" t="str">
        <f>"2025-06-07 11:32:12.667"</f>
        <v>2025-06-07 11:32:12.667</v>
      </c>
      <c r="H2348" t="s">
        <v>21</v>
      </c>
      <c r="I2348">
        <v>7.34</v>
      </c>
      <c r="J2348" t="s">
        <v>42</v>
      </c>
    </row>
    <row r="2349" spans="1:10" x14ac:dyDescent="0.25">
      <c r="A2349" s="1">
        <v>481</v>
      </c>
      <c r="B2349" t="s">
        <v>25</v>
      </c>
      <c r="C2349">
        <v>54</v>
      </c>
      <c r="D2349">
        <v>1</v>
      </c>
      <c r="E2349" t="s">
        <v>84</v>
      </c>
      <c r="F2349" t="s">
        <v>85</v>
      </c>
      <c r="G2349" t="str">
        <f>"2025-06-07 11:31:17.867"</f>
        <v>2025-06-07 11:31:17.867</v>
      </c>
      <c r="H2349" t="s">
        <v>21</v>
      </c>
    </row>
    <row r="2350" spans="1:10" x14ac:dyDescent="0.25">
      <c r="A2350" s="1">
        <v>482</v>
      </c>
      <c r="B2350" t="s">
        <v>29</v>
      </c>
      <c r="C2350">
        <v>54</v>
      </c>
      <c r="D2350">
        <v>1</v>
      </c>
      <c r="E2350" t="s">
        <v>84</v>
      </c>
      <c r="F2350" t="s">
        <v>85</v>
      </c>
      <c r="G2350" t="str">
        <f>"2025-06-07 07:26:40.467"</f>
        <v>2025-06-07 07:26:40.467</v>
      </c>
      <c r="H2350" t="s">
        <v>21</v>
      </c>
      <c r="I2350">
        <v>17.72</v>
      </c>
      <c r="J2350" t="s">
        <v>54</v>
      </c>
    </row>
    <row r="2351" spans="1:10" x14ac:dyDescent="0.25">
      <c r="A2351" s="1">
        <v>483</v>
      </c>
      <c r="B2351" t="s">
        <v>25</v>
      </c>
      <c r="C2351">
        <v>54</v>
      </c>
      <c r="D2351">
        <v>1</v>
      </c>
      <c r="E2351" t="s">
        <v>84</v>
      </c>
      <c r="F2351" t="s">
        <v>85</v>
      </c>
      <c r="G2351" t="str">
        <f>"2025-06-07 07:23:53.268"</f>
        <v>2025-06-07 07:23:53.268</v>
      </c>
      <c r="H2351" t="s">
        <v>21</v>
      </c>
    </row>
    <row r="2352" spans="1:10" x14ac:dyDescent="0.25">
      <c r="A2352" s="1">
        <v>484</v>
      </c>
      <c r="B2352" t="s">
        <v>29</v>
      </c>
      <c r="C2352">
        <v>54</v>
      </c>
      <c r="D2352">
        <v>1</v>
      </c>
      <c r="E2352" t="s">
        <v>84</v>
      </c>
      <c r="F2352" t="s">
        <v>85</v>
      </c>
      <c r="G2352" t="str">
        <f>"2025-06-07 07:17:49.367"</f>
        <v>2025-06-07 07:17:49.367</v>
      </c>
      <c r="H2352" t="s">
        <v>21</v>
      </c>
      <c r="I2352">
        <v>9.3699999999999992</v>
      </c>
      <c r="J2352" t="s">
        <v>42</v>
      </c>
    </row>
    <row r="2353" spans="1:10" x14ac:dyDescent="0.25">
      <c r="A2353" s="1">
        <v>485</v>
      </c>
      <c r="B2353" t="s">
        <v>25</v>
      </c>
      <c r="C2353">
        <v>54</v>
      </c>
      <c r="D2353">
        <v>1</v>
      </c>
      <c r="E2353" t="s">
        <v>84</v>
      </c>
      <c r="F2353" t="s">
        <v>85</v>
      </c>
      <c r="G2353" t="str">
        <f>"2025-06-07 07:17:20.167"</f>
        <v>2025-06-07 07:17:20.167</v>
      </c>
      <c r="H2353" t="s">
        <v>21</v>
      </c>
    </row>
    <row r="2354" spans="1:10" x14ac:dyDescent="0.25">
      <c r="A2354" s="1">
        <v>486</v>
      </c>
      <c r="B2354" t="s">
        <v>29</v>
      </c>
      <c r="C2354">
        <v>54</v>
      </c>
      <c r="D2354">
        <v>1</v>
      </c>
      <c r="E2354" t="s">
        <v>84</v>
      </c>
      <c r="F2354" t="s">
        <v>85</v>
      </c>
      <c r="G2354" t="str">
        <f>"2025-06-07 04:40:00.767"</f>
        <v>2025-06-07 04:40:00.767</v>
      </c>
      <c r="H2354" t="s">
        <v>21</v>
      </c>
      <c r="I2354">
        <v>7.72</v>
      </c>
      <c r="J2354" t="s">
        <v>42</v>
      </c>
    </row>
    <row r="2355" spans="1:10" x14ac:dyDescent="0.25">
      <c r="A2355" s="1">
        <v>487</v>
      </c>
      <c r="B2355" t="s">
        <v>25</v>
      </c>
      <c r="C2355">
        <v>54</v>
      </c>
      <c r="D2355">
        <v>1</v>
      </c>
      <c r="E2355" t="s">
        <v>84</v>
      </c>
      <c r="F2355" t="s">
        <v>85</v>
      </c>
      <c r="G2355" t="str">
        <f>"2025-06-07 04:38:48.767"</f>
        <v>2025-06-07 04:38:48.767</v>
      </c>
      <c r="H2355" t="s">
        <v>21</v>
      </c>
    </row>
    <row r="2356" spans="1:10" x14ac:dyDescent="0.25">
      <c r="A2356" s="1">
        <v>488</v>
      </c>
      <c r="B2356" t="s">
        <v>29</v>
      </c>
      <c r="C2356">
        <v>54</v>
      </c>
      <c r="D2356">
        <v>1</v>
      </c>
      <c r="E2356" t="s">
        <v>84</v>
      </c>
      <c r="F2356" t="s">
        <v>85</v>
      </c>
      <c r="G2356" t="str">
        <f>"2025-06-06 19:49:42.567"</f>
        <v>2025-06-06 19:49:42.567</v>
      </c>
      <c r="H2356" t="s">
        <v>21</v>
      </c>
      <c r="I2356">
        <v>10.38</v>
      </c>
      <c r="J2356" t="s">
        <v>42</v>
      </c>
    </row>
    <row r="2357" spans="1:10" x14ac:dyDescent="0.25">
      <c r="A2357" s="1">
        <v>489</v>
      </c>
      <c r="B2357" t="s">
        <v>25</v>
      </c>
      <c r="C2357">
        <v>54</v>
      </c>
      <c r="D2357">
        <v>1</v>
      </c>
      <c r="E2357" t="s">
        <v>84</v>
      </c>
      <c r="F2357" t="s">
        <v>85</v>
      </c>
      <c r="G2357" t="str">
        <f>"2025-06-06 19:49:22.467"</f>
        <v>2025-06-06 19:49:22.467</v>
      </c>
      <c r="H2357" t="s">
        <v>21</v>
      </c>
    </row>
    <row r="2358" spans="1:10" x14ac:dyDescent="0.25">
      <c r="A2358" s="1">
        <v>490</v>
      </c>
      <c r="B2358" t="s">
        <v>29</v>
      </c>
      <c r="C2358">
        <v>54</v>
      </c>
      <c r="D2358">
        <v>1</v>
      </c>
      <c r="E2358" t="s">
        <v>84</v>
      </c>
      <c r="F2358" t="s">
        <v>85</v>
      </c>
      <c r="G2358" t="str">
        <f>"2025-06-06 19:15:56.067"</f>
        <v>2025-06-06 19:15:56.067</v>
      </c>
      <c r="H2358" t="s">
        <v>21</v>
      </c>
      <c r="I2358">
        <v>17.87</v>
      </c>
      <c r="J2358" t="s">
        <v>42</v>
      </c>
    </row>
    <row r="2359" spans="1:10" x14ac:dyDescent="0.25">
      <c r="A2359" s="1">
        <v>491</v>
      </c>
      <c r="B2359" t="s">
        <v>25</v>
      </c>
      <c r="C2359">
        <v>54</v>
      </c>
      <c r="D2359">
        <v>1</v>
      </c>
      <c r="E2359" t="s">
        <v>84</v>
      </c>
      <c r="F2359" t="s">
        <v>85</v>
      </c>
      <c r="G2359" t="str">
        <f>"2025-06-06 19:15:26.367"</f>
        <v>2025-06-06 19:15:26.367</v>
      </c>
      <c r="H2359" t="s">
        <v>21</v>
      </c>
    </row>
    <row r="2360" spans="1:10" x14ac:dyDescent="0.25">
      <c r="A2360" s="1">
        <v>492</v>
      </c>
      <c r="B2360" t="s">
        <v>29</v>
      </c>
      <c r="C2360">
        <v>54</v>
      </c>
      <c r="D2360">
        <v>1</v>
      </c>
      <c r="E2360" t="s">
        <v>84</v>
      </c>
      <c r="F2360" t="s">
        <v>85</v>
      </c>
      <c r="G2360" t="str">
        <f>"2025-06-06 18:21:39.667"</f>
        <v>2025-06-06 18:21:39.667</v>
      </c>
      <c r="H2360" t="s">
        <v>21</v>
      </c>
      <c r="I2360">
        <v>16.39</v>
      </c>
      <c r="J2360" t="s">
        <v>42</v>
      </c>
    </row>
    <row r="2361" spans="1:10" x14ac:dyDescent="0.25">
      <c r="A2361" s="1">
        <v>493</v>
      </c>
      <c r="B2361" t="s">
        <v>25</v>
      </c>
      <c r="C2361">
        <v>54</v>
      </c>
      <c r="D2361">
        <v>1</v>
      </c>
      <c r="E2361" t="s">
        <v>84</v>
      </c>
      <c r="F2361" t="s">
        <v>85</v>
      </c>
      <c r="G2361" t="str">
        <f>"2025-06-06 18:20:57.367"</f>
        <v>2025-06-06 18:20:57.367</v>
      </c>
      <c r="H2361" t="s">
        <v>21</v>
      </c>
    </row>
    <row r="2362" spans="1:10" x14ac:dyDescent="0.25">
      <c r="A2362" s="1">
        <v>494</v>
      </c>
      <c r="B2362" t="s">
        <v>29</v>
      </c>
      <c r="C2362">
        <v>54</v>
      </c>
      <c r="D2362">
        <v>1</v>
      </c>
      <c r="E2362" t="s">
        <v>84</v>
      </c>
      <c r="F2362" t="s">
        <v>85</v>
      </c>
      <c r="G2362" t="str">
        <f>"2025-06-06 18:18:52.167"</f>
        <v>2025-06-06 18:18:52.167</v>
      </c>
      <c r="H2362" t="s">
        <v>21</v>
      </c>
      <c r="I2362">
        <v>5.16</v>
      </c>
      <c r="J2362" t="s">
        <v>42</v>
      </c>
    </row>
    <row r="2363" spans="1:10" x14ac:dyDescent="0.25">
      <c r="A2363" s="1">
        <v>495</v>
      </c>
      <c r="B2363" t="s">
        <v>25</v>
      </c>
      <c r="C2363">
        <v>54</v>
      </c>
      <c r="D2363">
        <v>1</v>
      </c>
      <c r="E2363" t="s">
        <v>84</v>
      </c>
      <c r="F2363" t="s">
        <v>85</v>
      </c>
      <c r="G2363" t="str">
        <f>"2025-06-06 18:18:28.667"</f>
        <v>2025-06-06 18:18:28.667</v>
      </c>
      <c r="H2363" t="s">
        <v>21</v>
      </c>
    </row>
    <row r="2364" spans="1:10" x14ac:dyDescent="0.25">
      <c r="A2364" s="1">
        <v>496</v>
      </c>
      <c r="B2364" t="s">
        <v>29</v>
      </c>
      <c r="C2364">
        <v>54</v>
      </c>
      <c r="D2364">
        <v>1</v>
      </c>
      <c r="E2364" t="s">
        <v>84</v>
      </c>
      <c r="F2364" t="s">
        <v>85</v>
      </c>
      <c r="G2364" t="str">
        <f>"2025-06-06 15:11:14.367"</f>
        <v>2025-06-06 15:11:14.367</v>
      </c>
      <c r="H2364" t="s">
        <v>21</v>
      </c>
      <c r="I2364">
        <v>4.92</v>
      </c>
      <c r="J2364" t="s">
        <v>42</v>
      </c>
    </row>
    <row r="2365" spans="1:10" x14ac:dyDescent="0.25">
      <c r="A2365" s="1">
        <v>497</v>
      </c>
      <c r="B2365" t="s">
        <v>25</v>
      </c>
      <c r="C2365">
        <v>54</v>
      </c>
      <c r="D2365">
        <v>1</v>
      </c>
      <c r="E2365" t="s">
        <v>84</v>
      </c>
      <c r="F2365" t="s">
        <v>85</v>
      </c>
      <c r="G2365" t="str">
        <f>"2025-06-06 15:10:22.967"</f>
        <v>2025-06-06 15:10:22.967</v>
      </c>
      <c r="H2365" t="s">
        <v>21</v>
      </c>
    </row>
    <row r="2366" spans="1:10" x14ac:dyDescent="0.25">
      <c r="A2366" s="1">
        <v>498</v>
      </c>
      <c r="B2366" t="s">
        <v>29</v>
      </c>
      <c r="C2366">
        <v>54</v>
      </c>
      <c r="D2366">
        <v>1</v>
      </c>
      <c r="E2366" t="s">
        <v>84</v>
      </c>
      <c r="F2366" t="s">
        <v>85</v>
      </c>
      <c r="G2366" t="str">
        <f>"2025-06-06 14:29:49.467"</f>
        <v>2025-06-06 14:29:49.467</v>
      </c>
      <c r="H2366" t="s">
        <v>21</v>
      </c>
      <c r="I2366">
        <v>18.41</v>
      </c>
      <c r="J2366" t="s">
        <v>37</v>
      </c>
    </row>
    <row r="2367" spans="1:10" x14ac:dyDescent="0.25">
      <c r="A2367" s="1">
        <v>499</v>
      </c>
      <c r="B2367" t="s">
        <v>25</v>
      </c>
      <c r="C2367">
        <v>54</v>
      </c>
      <c r="D2367">
        <v>1</v>
      </c>
      <c r="E2367" t="s">
        <v>84</v>
      </c>
      <c r="F2367" t="s">
        <v>85</v>
      </c>
      <c r="G2367" t="str">
        <f>"2025-06-06 14:29:08.467"</f>
        <v>2025-06-06 14:29:08.467</v>
      </c>
      <c r="H2367" t="s">
        <v>21</v>
      </c>
    </row>
    <row r="2368" spans="1:10" x14ac:dyDescent="0.25">
      <c r="A2368" s="1">
        <v>500</v>
      </c>
      <c r="B2368" t="s">
        <v>29</v>
      </c>
      <c r="C2368">
        <v>54</v>
      </c>
      <c r="D2368">
        <v>1</v>
      </c>
      <c r="E2368" t="s">
        <v>84</v>
      </c>
      <c r="F2368" t="s">
        <v>85</v>
      </c>
      <c r="G2368" t="str">
        <f>"2025-06-06 14:26:28.467"</f>
        <v>2025-06-06 14:26:28.467</v>
      </c>
      <c r="H2368" t="s">
        <v>21</v>
      </c>
      <c r="I2368">
        <v>17.760000000000002</v>
      </c>
      <c r="J2368" t="s">
        <v>54</v>
      </c>
    </row>
    <row r="2369" spans="1:10" x14ac:dyDescent="0.25">
      <c r="A2369" s="1">
        <v>501</v>
      </c>
      <c r="B2369" t="s">
        <v>25</v>
      </c>
      <c r="C2369">
        <v>54</v>
      </c>
      <c r="D2369">
        <v>1</v>
      </c>
      <c r="E2369" t="s">
        <v>84</v>
      </c>
      <c r="F2369" t="s">
        <v>85</v>
      </c>
      <c r="G2369" t="str">
        <f>"2025-06-06 14:24:03.767"</f>
        <v>2025-06-06 14:24:03.767</v>
      </c>
      <c r="H2369" t="s">
        <v>21</v>
      </c>
    </row>
    <row r="2370" spans="1:10" x14ac:dyDescent="0.25">
      <c r="A2370" s="1">
        <v>502</v>
      </c>
      <c r="B2370" t="s">
        <v>29</v>
      </c>
      <c r="C2370">
        <v>54</v>
      </c>
      <c r="D2370">
        <v>1</v>
      </c>
      <c r="E2370" t="s">
        <v>84</v>
      </c>
      <c r="F2370" t="s">
        <v>85</v>
      </c>
      <c r="G2370" t="str">
        <f>"2025-06-06 14:23:23.267"</f>
        <v>2025-06-06 14:23:23.267</v>
      </c>
      <c r="H2370" t="s">
        <v>21</v>
      </c>
      <c r="I2370">
        <v>12.36</v>
      </c>
      <c r="J2370" t="s">
        <v>54</v>
      </c>
    </row>
    <row r="2371" spans="1:10" x14ac:dyDescent="0.25">
      <c r="A2371" s="1">
        <v>503</v>
      </c>
      <c r="B2371" t="s">
        <v>25</v>
      </c>
      <c r="C2371">
        <v>54</v>
      </c>
      <c r="D2371">
        <v>1</v>
      </c>
      <c r="E2371" t="s">
        <v>84</v>
      </c>
      <c r="F2371" t="s">
        <v>85</v>
      </c>
      <c r="G2371" t="str">
        <f>"2025-06-06 14:21:24.566"</f>
        <v>2025-06-06 14:21:24.566</v>
      </c>
      <c r="H2371" t="s">
        <v>21</v>
      </c>
    </row>
    <row r="2372" spans="1:10" x14ac:dyDescent="0.25">
      <c r="A2372" s="1">
        <v>504</v>
      </c>
      <c r="B2372" t="s">
        <v>29</v>
      </c>
      <c r="C2372">
        <v>54</v>
      </c>
      <c r="D2372">
        <v>1</v>
      </c>
      <c r="E2372" t="s">
        <v>84</v>
      </c>
      <c r="F2372" t="s">
        <v>85</v>
      </c>
      <c r="G2372" t="str">
        <f>"2025-06-06 12:24:53.667"</f>
        <v>2025-06-06 12:24:53.667</v>
      </c>
      <c r="H2372" t="s">
        <v>21</v>
      </c>
      <c r="I2372">
        <v>5.48</v>
      </c>
      <c r="J2372" t="s">
        <v>42</v>
      </c>
    </row>
    <row r="2373" spans="1:10" x14ac:dyDescent="0.25">
      <c r="A2373" s="1">
        <v>505</v>
      </c>
      <c r="B2373" t="s">
        <v>25</v>
      </c>
      <c r="C2373">
        <v>54</v>
      </c>
      <c r="D2373">
        <v>1</v>
      </c>
      <c r="E2373" t="s">
        <v>84</v>
      </c>
      <c r="F2373" t="s">
        <v>85</v>
      </c>
      <c r="G2373" t="str">
        <f>"2025-06-06 12:24:33.067"</f>
        <v>2025-06-06 12:24:33.067</v>
      </c>
      <c r="H2373" t="s">
        <v>21</v>
      </c>
    </row>
    <row r="2374" spans="1:10" x14ac:dyDescent="0.25">
      <c r="A2374" s="1">
        <v>506</v>
      </c>
      <c r="B2374" t="s">
        <v>29</v>
      </c>
      <c r="C2374">
        <v>54</v>
      </c>
      <c r="D2374">
        <v>1</v>
      </c>
      <c r="E2374" t="s">
        <v>84</v>
      </c>
      <c r="F2374" t="s">
        <v>85</v>
      </c>
      <c r="G2374" t="str">
        <f>"2025-06-06 12:22:25.867"</f>
        <v>2025-06-06 12:22:25.867</v>
      </c>
      <c r="H2374" t="s">
        <v>21</v>
      </c>
      <c r="I2374">
        <v>5.6</v>
      </c>
      <c r="J2374" t="s">
        <v>42</v>
      </c>
    </row>
    <row r="2375" spans="1:10" x14ac:dyDescent="0.25">
      <c r="A2375" s="1">
        <v>507</v>
      </c>
      <c r="B2375" t="s">
        <v>25</v>
      </c>
      <c r="C2375">
        <v>54</v>
      </c>
      <c r="D2375">
        <v>1</v>
      </c>
      <c r="E2375" t="s">
        <v>84</v>
      </c>
      <c r="F2375" t="s">
        <v>85</v>
      </c>
      <c r="G2375" t="str">
        <f>"2025-06-06 12:20:12.367"</f>
        <v>2025-06-06 12:20:12.367</v>
      </c>
      <c r="H2375" t="s">
        <v>21</v>
      </c>
    </row>
    <row r="2376" spans="1:10" x14ac:dyDescent="0.25">
      <c r="A2376" s="1">
        <v>508</v>
      </c>
      <c r="B2376" t="s">
        <v>29</v>
      </c>
      <c r="C2376">
        <v>54</v>
      </c>
      <c r="D2376">
        <v>1</v>
      </c>
      <c r="E2376" t="s">
        <v>84</v>
      </c>
      <c r="F2376" t="s">
        <v>85</v>
      </c>
      <c r="G2376" t="str">
        <f>"2025-06-06 12:08:07.866"</f>
        <v>2025-06-06 12:08:07.866</v>
      </c>
      <c r="H2376" t="s">
        <v>21</v>
      </c>
      <c r="I2376">
        <v>12.97</v>
      </c>
      <c r="J2376" t="s">
        <v>54</v>
      </c>
    </row>
    <row r="2377" spans="1:10" x14ac:dyDescent="0.25">
      <c r="A2377" s="1">
        <v>509</v>
      </c>
      <c r="B2377" t="s">
        <v>25</v>
      </c>
      <c r="C2377">
        <v>54</v>
      </c>
      <c r="D2377">
        <v>1</v>
      </c>
      <c r="E2377" t="s">
        <v>84</v>
      </c>
      <c r="F2377" t="s">
        <v>85</v>
      </c>
      <c r="G2377" t="str">
        <f>"2025-06-06 12:05:25.367"</f>
        <v>2025-06-06 12:05:25.367</v>
      </c>
      <c r="H2377" t="s">
        <v>21</v>
      </c>
    </row>
    <row r="2378" spans="1:10" x14ac:dyDescent="0.25">
      <c r="A2378" s="1">
        <v>510</v>
      </c>
      <c r="B2378" t="s">
        <v>29</v>
      </c>
      <c r="C2378">
        <v>54</v>
      </c>
      <c r="D2378">
        <v>1</v>
      </c>
      <c r="E2378" t="s">
        <v>84</v>
      </c>
      <c r="F2378" t="s">
        <v>85</v>
      </c>
      <c r="G2378" t="str">
        <f>"2025-06-06 11:54:13.567"</f>
        <v>2025-06-06 11:54:13.567</v>
      </c>
      <c r="H2378" t="s">
        <v>21</v>
      </c>
      <c r="I2378">
        <v>10.220000000000001</v>
      </c>
      <c r="J2378" t="s">
        <v>42</v>
      </c>
    </row>
    <row r="2379" spans="1:10" x14ac:dyDescent="0.25">
      <c r="A2379" s="1">
        <v>511</v>
      </c>
      <c r="B2379" t="s">
        <v>25</v>
      </c>
      <c r="C2379">
        <v>54</v>
      </c>
      <c r="D2379">
        <v>1</v>
      </c>
      <c r="E2379" t="s">
        <v>84</v>
      </c>
      <c r="F2379" t="s">
        <v>85</v>
      </c>
      <c r="G2379" t="str">
        <f>"2025-06-06 11:52:34.967"</f>
        <v>2025-06-06 11:52:34.967</v>
      </c>
      <c r="H2379" t="s">
        <v>21</v>
      </c>
    </row>
    <row r="2380" spans="1:10" x14ac:dyDescent="0.25">
      <c r="A2380" s="1">
        <v>512</v>
      </c>
      <c r="B2380" t="s">
        <v>29</v>
      </c>
      <c r="C2380">
        <v>54</v>
      </c>
      <c r="D2380">
        <v>1</v>
      </c>
      <c r="E2380" t="s">
        <v>84</v>
      </c>
      <c r="F2380" t="s">
        <v>85</v>
      </c>
      <c r="G2380" t="str">
        <f>"2025-06-06 11:27:36.967"</f>
        <v>2025-06-06 11:27:36.967</v>
      </c>
      <c r="H2380" t="s">
        <v>21</v>
      </c>
      <c r="I2380">
        <v>13.25</v>
      </c>
      <c r="J2380" t="s">
        <v>54</v>
      </c>
    </row>
    <row r="2381" spans="1:10" x14ac:dyDescent="0.25">
      <c r="A2381" s="1">
        <v>513</v>
      </c>
      <c r="B2381" t="s">
        <v>25</v>
      </c>
      <c r="C2381">
        <v>54</v>
      </c>
      <c r="D2381">
        <v>1</v>
      </c>
      <c r="E2381" t="s">
        <v>84</v>
      </c>
      <c r="F2381" t="s">
        <v>85</v>
      </c>
      <c r="G2381" t="str">
        <f>"2025-06-06 11:26:46.467"</f>
        <v>2025-06-06 11:26:46.467</v>
      </c>
      <c r="H2381" t="s">
        <v>21</v>
      </c>
    </row>
    <row r="2382" spans="1:10" x14ac:dyDescent="0.25">
      <c r="A2382" s="1">
        <v>514</v>
      </c>
      <c r="B2382" t="s">
        <v>29</v>
      </c>
      <c r="C2382">
        <v>54</v>
      </c>
      <c r="D2382">
        <v>1</v>
      </c>
      <c r="E2382" t="s">
        <v>84</v>
      </c>
      <c r="F2382" t="s">
        <v>85</v>
      </c>
      <c r="G2382" t="str">
        <f>"2025-06-06 10:40:55.967"</f>
        <v>2025-06-06 10:40:55.967</v>
      </c>
      <c r="H2382" t="s">
        <v>21</v>
      </c>
      <c r="I2382">
        <v>18.07</v>
      </c>
      <c r="J2382" t="s">
        <v>42</v>
      </c>
    </row>
    <row r="2383" spans="1:10" x14ac:dyDescent="0.25">
      <c r="A2383" s="1">
        <v>515</v>
      </c>
      <c r="B2383" t="s">
        <v>25</v>
      </c>
      <c r="C2383">
        <v>54</v>
      </c>
      <c r="D2383">
        <v>1</v>
      </c>
      <c r="E2383" t="s">
        <v>84</v>
      </c>
      <c r="F2383" t="s">
        <v>85</v>
      </c>
      <c r="G2383" t="str">
        <f>"2025-06-06 10:38:19.268"</f>
        <v>2025-06-06 10:38:19.268</v>
      </c>
      <c r="H2383" t="s">
        <v>21</v>
      </c>
    </row>
    <row r="2384" spans="1:10" x14ac:dyDescent="0.25">
      <c r="A2384" s="1">
        <v>516</v>
      </c>
      <c r="B2384" t="s">
        <v>29</v>
      </c>
      <c r="C2384">
        <v>54</v>
      </c>
      <c r="D2384">
        <v>1</v>
      </c>
      <c r="E2384" t="s">
        <v>84</v>
      </c>
      <c r="F2384" t="s">
        <v>85</v>
      </c>
      <c r="G2384" t="str">
        <f>"2025-06-06 09:39:59.967"</f>
        <v>2025-06-06 09:39:59.967</v>
      </c>
      <c r="H2384" t="s">
        <v>21</v>
      </c>
      <c r="I2384">
        <v>5.83</v>
      </c>
      <c r="J2384" t="s">
        <v>42</v>
      </c>
    </row>
    <row r="2385" spans="1:10" x14ac:dyDescent="0.25">
      <c r="A2385" s="1">
        <v>517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"2025-06-06 09:38:12.537"</f>
        <v>2025-06-06 09:38:12.537</v>
      </c>
      <c r="H2385" t="s">
        <v>21</v>
      </c>
      <c r="I2385">
        <v>0</v>
      </c>
      <c r="J2385" t="s">
        <v>32</v>
      </c>
    </row>
    <row r="2386" spans="1:10" x14ac:dyDescent="0.25">
      <c r="A2386" s="1">
        <v>518</v>
      </c>
      <c r="B2386" t="s">
        <v>25</v>
      </c>
      <c r="C2386">
        <v>54</v>
      </c>
      <c r="D2386">
        <v>1</v>
      </c>
      <c r="E2386" t="s">
        <v>84</v>
      </c>
      <c r="F2386" t="s">
        <v>85</v>
      </c>
      <c r="G2386" t="str">
        <f>"2025-06-06 08:21:46.573"</f>
        <v>2025-06-06 08:21:46.573</v>
      </c>
      <c r="H2386" t="s">
        <v>21</v>
      </c>
    </row>
    <row r="2387" spans="1:10" x14ac:dyDescent="0.25">
      <c r="A2387" s="1">
        <v>519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"2025-06-06 08:21:33.813"</f>
        <v>2025-06-06 08:21:33.813</v>
      </c>
      <c r="H2387" t="s">
        <v>21</v>
      </c>
      <c r="I2387">
        <v>0</v>
      </c>
      <c r="J2387" t="s">
        <v>32</v>
      </c>
    </row>
    <row r="2388" spans="1:10" x14ac:dyDescent="0.25">
      <c r="A2388" s="1">
        <v>520</v>
      </c>
      <c r="B2388" t="s">
        <v>29</v>
      </c>
      <c r="C2388">
        <v>54</v>
      </c>
      <c r="D2388">
        <v>1</v>
      </c>
      <c r="E2388" t="s">
        <v>84</v>
      </c>
      <c r="F2388" t="s">
        <v>85</v>
      </c>
      <c r="G2388" t="str">
        <f>"2025-06-06 07:57:53.040"</f>
        <v>2025-06-06 07:57:53.040</v>
      </c>
      <c r="H2388" t="s">
        <v>21</v>
      </c>
      <c r="I2388">
        <v>9.7200000000000006</v>
      </c>
      <c r="J2388" t="s">
        <v>42</v>
      </c>
    </row>
    <row r="2389" spans="1:10" x14ac:dyDescent="0.25">
      <c r="A2389" s="1">
        <v>521</v>
      </c>
      <c r="B2389" t="s">
        <v>25</v>
      </c>
      <c r="C2389">
        <v>54</v>
      </c>
      <c r="D2389">
        <v>1</v>
      </c>
      <c r="E2389" t="s">
        <v>84</v>
      </c>
      <c r="F2389" t="s">
        <v>85</v>
      </c>
      <c r="G2389" t="str">
        <f>"2025-06-06 07:56:00.340"</f>
        <v>2025-06-06 07:56:00.340</v>
      </c>
      <c r="H2389" t="s">
        <v>21</v>
      </c>
    </row>
    <row r="2390" spans="1:10" x14ac:dyDescent="0.25">
      <c r="A2390" s="1">
        <v>522</v>
      </c>
      <c r="B2390" t="s">
        <v>29</v>
      </c>
      <c r="C2390">
        <v>54</v>
      </c>
      <c r="D2390">
        <v>1</v>
      </c>
      <c r="E2390" t="s">
        <v>84</v>
      </c>
      <c r="F2390" t="s">
        <v>85</v>
      </c>
      <c r="G2390" t="str">
        <f>"2025-06-06 05:58:06.840"</f>
        <v>2025-06-06 05:58:06.840</v>
      </c>
      <c r="H2390" t="s">
        <v>21</v>
      </c>
      <c r="I2390">
        <v>9</v>
      </c>
      <c r="J2390" t="s">
        <v>42</v>
      </c>
    </row>
    <row r="2391" spans="1:10" x14ac:dyDescent="0.25">
      <c r="A2391" s="1">
        <v>523</v>
      </c>
      <c r="B2391" t="s">
        <v>25</v>
      </c>
      <c r="C2391">
        <v>54</v>
      </c>
      <c r="D2391">
        <v>1</v>
      </c>
      <c r="E2391" t="s">
        <v>84</v>
      </c>
      <c r="F2391" t="s">
        <v>85</v>
      </c>
      <c r="G2391" t="str">
        <f>"2025-06-06 05:56:07.340"</f>
        <v>2025-06-06 05:56:07.340</v>
      </c>
      <c r="H2391" t="s">
        <v>21</v>
      </c>
    </row>
    <row r="2392" spans="1:10" x14ac:dyDescent="0.25">
      <c r="A2392" s="1">
        <v>524</v>
      </c>
      <c r="B2392" t="s">
        <v>29</v>
      </c>
      <c r="C2392">
        <v>54</v>
      </c>
      <c r="D2392">
        <v>1</v>
      </c>
      <c r="E2392" t="s">
        <v>84</v>
      </c>
      <c r="F2392" t="s">
        <v>85</v>
      </c>
      <c r="G2392" t="str">
        <f>"2025-06-06 03:26:50.540"</f>
        <v>2025-06-06 03:26:50.540</v>
      </c>
      <c r="H2392" t="s">
        <v>21</v>
      </c>
      <c r="I2392">
        <v>5.72</v>
      </c>
      <c r="J2392" t="s">
        <v>42</v>
      </c>
    </row>
    <row r="2393" spans="1:10" x14ac:dyDescent="0.25">
      <c r="A2393" s="1">
        <v>525</v>
      </c>
      <c r="B2393" t="s">
        <v>25</v>
      </c>
      <c r="C2393">
        <v>54</v>
      </c>
      <c r="D2393">
        <v>1</v>
      </c>
      <c r="E2393" t="s">
        <v>84</v>
      </c>
      <c r="F2393" t="s">
        <v>85</v>
      </c>
      <c r="G2393" t="str">
        <f>"2025-06-06 03:23:32.140"</f>
        <v>2025-06-06 03:23:32.140</v>
      </c>
      <c r="H2393" t="s">
        <v>21</v>
      </c>
    </row>
    <row r="2394" spans="1:10" x14ac:dyDescent="0.25">
      <c r="A2394" s="1">
        <v>526</v>
      </c>
      <c r="B2394" t="s">
        <v>29</v>
      </c>
      <c r="C2394">
        <v>54</v>
      </c>
      <c r="D2394">
        <v>1</v>
      </c>
      <c r="E2394" t="s">
        <v>84</v>
      </c>
      <c r="F2394" t="s">
        <v>85</v>
      </c>
      <c r="G2394" t="str">
        <f>"2025-06-06 03:11:44.940"</f>
        <v>2025-06-06 03:11:44.940</v>
      </c>
      <c r="H2394" t="s">
        <v>21</v>
      </c>
      <c r="I2394">
        <v>6.54</v>
      </c>
      <c r="J2394" t="s">
        <v>42</v>
      </c>
    </row>
    <row r="2395" spans="1:10" x14ac:dyDescent="0.25">
      <c r="A2395" s="1">
        <v>527</v>
      </c>
      <c r="B2395" t="s">
        <v>25</v>
      </c>
      <c r="C2395">
        <v>54</v>
      </c>
      <c r="D2395">
        <v>1</v>
      </c>
      <c r="E2395" t="s">
        <v>84</v>
      </c>
      <c r="F2395" t="s">
        <v>85</v>
      </c>
      <c r="G2395" t="str">
        <f>"2025-06-06 03:11:03.640"</f>
        <v>2025-06-06 03:11:03.640</v>
      </c>
      <c r="H2395" t="s">
        <v>21</v>
      </c>
    </row>
    <row r="2396" spans="1:10" x14ac:dyDescent="0.25">
      <c r="A2396" s="1">
        <v>528</v>
      </c>
      <c r="B2396" t="s">
        <v>29</v>
      </c>
      <c r="C2396">
        <v>54</v>
      </c>
      <c r="D2396">
        <v>1</v>
      </c>
      <c r="E2396" t="s">
        <v>84</v>
      </c>
      <c r="F2396" t="s">
        <v>85</v>
      </c>
      <c r="G2396" t="str">
        <f>"2025-06-05 19:25:08.341"</f>
        <v>2025-06-05 19:25:08.341</v>
      </c>
      <c r="H2396" t="s">
        <v>21</v>
      </c>
      <c r="I2396">
        <v>8.31</v>
      </c>
      <c r="J2396" t="s">
        <v>54</v>
      </c>
    </row>
    <row r="2397" spans="1:10" x14ac:dyDescent="0.25">
      <c r="A2397" s="1">
        <v>529</v>
      </c>
      <c r="B2397" t="s">
        <v>25</v>
      </c>
      <c r="C2397">
        <v>54</v>
      </c>
      <c r="D2397">
        <v>1</v>
      </c>
      <c r="E2397" t="s">
        <v>84</v>
      </c>
      <c r="F2397" t="s">
        <v>85</v>
      </c>
      <c r="G2397" t="str">
        <f>"2025-06-05 19:24:35.940"</f>
        <v>2025-06-05 19:24:35.940</v>
      </c>
      <c r="H2397" t="s">
        <v>21</v>
      </c>
    </row>
    <row r="2398" spans="1:10" x14ac:dyDescent="0.25">
      <c r="A2398" s="1">
        <v>530</v>
      </c>
      <c r="B2398" t="s">
        <v>29</v>
      </c>
      <c r="C2398">
        <v>54</v>
      </c>
      <c r="D2398">
        <v>1</v>
      </c>
      <c r="E2398" t="s">
        <v>84</v>
      </c>
      <c r="F2398" t="s">
        <v>85</v>
      </c>
      <c r="G2398" t="str">
        <f>"2025-06-05 18:16:24.540"</f>
        <v>2025-06-05 18:16:24.540</v>
      </c>
      <c r="H2398" t="s">
        <v>21</v>
      </c>
      <c r="I2398">
        <v>11.66</v>
      </c>
      <c r="J2398" t="s">
        <v>42</v>
      </c>
    </row>
    <row r="2399" spans="1:10" x14ac:dyDescent="0.25">
      <c r="A2399" s="1">
        <v>531</v>
      </c>
      <c r="B2399" t="s">
        <v>25</v>
      </c>
      <c r="C2399">
        <v>54</v>
      </c>
      <c r="D2399">
        <v>1</v>
      </c>
      <c r="E2399" t="s">
        <v>84</v>
      </c>
      <c r="F2399" t="s">
        <v>85</v>
      </c>
      <c r="G2399" t="str">
        <f>"2025-06-05 18:14:39.040"</f>
        <v>2025-06-05 18:14:39.040</v>
      </c>
      <c r="H2399" t="s">
        <v>21</v>
      </c>
    </row>
    <row r="2400" spans="1:10" x14ac:dyDescent="0.25">
      <c r="A2400" s="1">
        <v>532</v>
      </c>
      <c r="B2400" t="s">
        <v>29</v>
      </c>
      <c r="C2400">
        <v>54</v>
      </c>
      <c r="D2400">
        <v>1</v>
      </c>
      <c r="E2400" t="s">
        <v>84</v>
      </c>
      <c r="F2400" t="s">
        <v>85</v>
      </c>
      <c r="G2400" t="str">
        <f>"2025-06-05 14:04:46.940"</f>
        <v>2025-06-05 14:04:46.940</v>
      </c>
      <c r="H2400" t="s">
        <v>21</v>
      </c>
      <c r="I2400">
        <v>13.87</v>
      </c>
      <c r="J2400" t="s">
        <v>37</v>
      </c>
    </row>
    <row r="2401" spans="1:10" x14ac:dyDescent="0.25">
      <c r="A2401" s="1">
        <v>533</v>
      </c>
      <c r="B2401" t="s">
        <v>25</v>
      </c>
      <c r="C2401">
        <v>54</v>
      </c>
      <c r="D2401">
        <v>1</v>
      </c>
      <c r="E2401" t="s">
        <v>84</v>
      </c>
      <c r="F2401" t="s">
        <v>85</v>
      </c>
      <c r="G2401" t="str">
        <f>"2025-06-05 13:31:28.141"</f>
        <v>2025-06-05 13:31:28.141</v>
      </c>
      <c r="H2401" t="s">
        <v>21</v>
      </c>
    </row>
    <row r="2402" spans="1:10" x14ac:dyDescent="0.25">
      <c r="A2402" s="1">
        <v>534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"2025-06-05 13:31:15.550"</f>
        <v>2025-06-05 13:31:15.550</v>
      </c>
      <c r="H2402" t="s">
        <v>21</v>
      </c>
    </row>
    <row r="2403" spans="1:10" x14ac:dyDescent="0.25">
      <c r="A2403" s="1">
        <v>535</v>
      </c>
      <c r="B2403" t="s">
        <v>29</v>
      </c>
      <c r="C2403">
        <v>54</v>
      </c>
      <c r="D2403">
        <v>1</v>
      </c>
      <c r="E2403" t="s">
        <v>84</v>
      </c>
      <c r="F2403" t="s">
        <v>85</v>
      </c>
      <c r="G2403" t="str">
        <f>"2025-06-05 07:38:46.648"</f>
        <v>2025-06-05 07:38:46.648</v>
      </c>
      <c r="H2403" t="s">
        <v>21</v>
      </c>
      <c r="I2403">
        <v>19.25</v>
      </c>
      <c r="J2403" t="s">
        <v>42</v>
      </c>
    </row>
    <row r="2404" spans="1:10" x14ac:dyDescent="0.25">
      <c r="A2404" s="1">
        <v>536</v>
      </c>
      <c r="B2404" t="s">
        <v>25</v>
      </c>
      <c r="C2404">
        <v>54</v>
      </c>
      <c r="D2404">
        <v>1</v>
      </c>
      <c r="E2404" t="s">
        <v>84</v>
      </c>
      <c r="F2404" t="s">
        <v>85</v>
      </c>
      <c r="G2404" t="str">
        <f>"2025-06-05 07:38:26.448"</f>
        <v>2025-06-05 07:38:26.448</v>
      </c>
      <c r="H2404" t="s">
        <v>21</v>
      </c>
    </row>
    <row r="2405" spans="1:10" x14ac:dyDescent="0.25">
      <c r="A2405" s="1">
        <v>537</v>
      </c>
      <c r="B2405" t="s">
        <v>41</v>
      </c>
      <c r="C2405">
        <v>33</v>
      </c>
      <c r="D2405">
        <v>1</v>
      </c>
      <c r="E2405" t="s">
        <v>61</v>
      </c>
      <c r="F2405" t="s">
        <v>62</v>
      </c>
      <c r="G2405" t="str">
        <f>"2025-06-05 01:59:59.395"</f>
        <v>2025-06-05 01:59:59.395</v>
      </c>
      <c r="H2405" t="s">
        <v>63</v>
      </c>
    </row>
    <row r="2406" spans="1:10" x14ac:dyDescent="0.25">
      <c r="A2406" s="1">
        <v>538</v>
      </c>
      <c r="B2406" t="s">
        <v>33</v>
      </c>
      <c r="C2406">
        <v>33</v>
      </c>
      <c r="D2406">
        <v>1</v>
      </c>
      <c r="E2406" t="s">
        <v>61</v>
      </c>
      <c r="F2406" t="s">
        <v>62</v>
      </c>
      <c r="G2406" t="str">
        <f>"2025-06-05 01:59:02.266"</f>
        <v>2025-06-05 01:59:02.266</v>
      </c>
      <c r="H2406" t="s">
        <v>63</v>
      </c>
      <c r="I2406">
        <v>8.49</v>
      </c>
      <c r="J2406" t="s">
        <v>42</v>
      </c>
    </row>
    <row r="2407" spans="1:10" x14ac:dyDescent="0.25">
      <c r="A2407" s="1">
        <v>539</v>
      </c>
      <c r="B2407" t="s">
        <v>29</v>
      </c>
      <c r="C2407">
        <v>54</v>
      </c>
      <c r="D2407">
        <v>1</v>
      </c>
      <c r="E2407" t="s">
        <v>84</v>
      </c>
      <c r="F2407" t="s">
        <v>85</v>
      </c>
      <c r="G2407" t="str">
        <f>"2025-06-04 11:03:54.448"</f>
        <v>2025-06-04 11:03:54.448</v>
      </c>
      <c r="H2407" t="s">
        <v>21</v>
      </c>
      <c r="I2407">
        <v>13.36</v>
      </c>
      <c r="J2407" t="s">
        <v>42</v>
      </c>
    </row>
    <row r="2408" spans="1:10" x14ac:dyDescent="0.25">
      <c r="A2408" s="1">
        <v>540</v>
      </c>
      <c r="B2408" t="s">
        <v>25</v>
      </c>
      <c r="C2408">
        <v>54</v>
      </c>
      <c r="D2408">
        <v>1</v>
      </c>
      <c r="E2408" t="s">
        <v>84</v>
      </c>
      <c r="F2408" t="s">
        <v>85</v>
      </c>
      <c r="G2408" t="str">
        <f>"2025-06-04 11:03:10.648"</f>
        <v>2025-06-04 11:03:10.648</v>
      </c>
      <c r="H2408" t="s">
        <v>21</v>
      </c>
    </row>
    <row r="2409" spans="1:10" x14ac:dyDescent="0.25">
      <c r="A2409" s="1">
        <v>541</v>
      </c>
      <c r="B2409" t="s">
        <v>29</v>
      </c>
      <c r="C2409">
        <v>54</v>
      </c>
      <c r="D2409">
        <v>1</v>
      </c>
      <c r="E2409" t="s">
        <v>84</v>
      </c>
      <c r="F2409" t="s">
        <v>85</v>
      </c>
      <c r="G2409" t="str">
        <f>"2025-06-04 10:13:07.148"</f>
        <v>2025-06-04 10:13:07.148</v>
      </c>
      <c r="H2409" t="s">
        <v>21</v>
      </c>
      <c r="I2409">
        <v>10.82</v>
      </c>
      <c r="J2409" t="s">
        <v>42</v>
      </c>
    </row>
    <row r="2410" spans="1:10" x14ac:dyDescent="0.25">
      <c r="A2410" s="1">
        <v>542</v>
      </c>
      <c r="B2410" t="s">
        <v>25</v>
      </c>
      <c r="C2410">
        <v>54</v>
      </c>
      <c r="D2410">
        <v>1</v>
      </c>
      <c r="E2410" t="s">
        <v>84</v>
      </c>
      <c r="F2410" t="s">
        <v>85</v>
      </c>
      <c r="G2410" t="str">
        <f>"2025-06-04 10:12:34.848"</f>
        <v>2025-06-04 10:12:34.848</v>
      </c>
      <c r="H2410" t="s">
        <v>21</v>
      </c>
    </row>
    <row r="2411" spans="1:10" x14ac:dyDescent="0.25">
      <c r="A2411" s="1">
        <v>543</v>
      </c>
      <c r="B2411" t="s">
        <v>29</v>
      </c>
      <c r="C2411">
        <v>54</v>
      </c>
      <c r="D2411">
        <v>1</v>
      </c>
      <c r="E2411" t="s">
        <v>84</v>
      </c>
      <c r="F2411" t="s">
        <v>85</v>
      </c>
      <c r="G2411" t="str">
        <f>"2025-06-04 09:47:12.548"</f>
        <v>2025-06-04 09:47:12.548</v>
      </c>
      <c r="H2411" t="s">
        <v>21</v>
      </c>
      <c r="I2411">
        <v>11.13</v>
      </c>
      <c r="J2411" t="s">
        <v>42</v>
      </c>
    </row>
    <row r="2412" spans="1:10" x14ac:dyDescent="0.25">
      <c r="A2412" s="1">
        <v>544</v>
      </c>
      <c r="B2412" t="s">
        <v>25</v>
      </c>
      <c r="C2412">
        <v>54</v>
      </c>
      <c r="D2412">
        <v>1</v>
      </c>
      <c r="E2412" t="s">
        <v>84</v>
      </c>
      <c r="F2412" t="s">
        <v>85</v>
      </c>
      <c r="G2412" t="str">
        <f>"2025-06-04 09:45:07.448"</f>
        <v>2025-06-04 09:45:07.448</v>
      </c>
      <c r="H2412" t="s">
        <v>21</v>
      </c>
    </row>
    <row r="2413" spans="1:10" x14ac:dyDescent="0.25">
      <c r="A2413" s="1">
        <v>545</v>
      </c>
      <c r="B2413" t="s">
        <v>29</v>
      </c>
      <c r="C2413">
        <v>54</v>
      </c>
      <c r="D2413">
        <v>1</v>
      </c>
      <c r="E2413" t="s">
        <v>84</v>
      </c>
      <c r="F2413" t="s">
        <v>85</v>
      </c>
      <c r="G2413" t="str">
        <f>"2025-06-04 08:11:03.548"</f>
        <v>2025-06-04 08:11:03.548</v>
      </c>
      <c r="H2413" t="s">
        <v>21</v>
      </c>
      <c r="I2413">
        <v>9.74</v>
      </c>
      <c r="J2413" t="s">
        <v>42</v>
      </c>
    </row>
    <row r="2414" spans="1:10" x14ac:dyDescent="0.25">
      <c r="A2414" s="1">
        <v>546</v>
      </c>
      <c r="B2414" t="s">
        <v>25</v>
      </c>
      <c r="C2414">
        <v>54</v>
      </c>
      <c r="D2414">
        <v>1</v>
      </c>
      <c r="E2414" t="s">
        <v>84</v>
      </c>
      <c r="F2414" t="s">
        <v>85</v>
      </c>
      <c r="G2414" t="str">
        <f>"2025-06-04 08:10:34.748"</f>
        <v>2025-06-04 08:10:34.748</v>
      </c>
      <c r="H2414" t="s">
        <v>21</v>
      </c>
    </row>
    <row r="2415" spans="1:10" x14ac:dyDescent="0.25">
      <c r="A2415" s="1">
        <v>547</v>
      </c>
      <c r="B2415" t="s">
        <v>29</v>
      </c>
      <c r="C2415">
        <v>54</v>
      </c>
      <c r="D2415">
        <v>1</v>
      </c>
      <c r="E2415" t="s">
        <v>84</v>
      </c>
      <c r="F2415" t="s">
        <v>85</v>
      </c>
      <c r="G2415" t="str">
        <f>"2025-06-03 23:24:47.648"</f>
        <v>2025-06-03 23:24:47.648</v>
      </c>
      <c r="H2415" t="s">
        <v>21</v>
      </c>
      <c r="I2415">
        <v>7.99</v>
      </c>
      <c r="J2415" t="s">
        <v>54</v>
      </c>
    </row>
    <row r="2416" spans="1:10" x14ac:dyDescent="0.25">
      <c r="A2416" s="1">
        <v>548</v>
      </c>
      <c r="B2416" t="s">
        <v>19</v>
      </c>
      <c r="C2416">
        <v>700</v>
      </c>
      <c r="D2416">
        <v>0</v>
      </c>
      <c r="E2416" t="s">
        <v>20</v>
      </c>
      <c r="F2416" t="s">
        <v>20</v>
      </c>
      <c r="G2416" t="str">
        <f>"2025-06-03 23:20:38.687"</f>
        <v>2025-06-03 23:20:38.687</v>
      </c>
      <c r="H2416" t="s">
        <v>21</v>
      </c>
    </row>
    <row r="2417" spans="1:10" x14ac:dyDescent="0.25">
      <c r="A2417" s="1">
        <v>549</v>
      </c>
      <c r="B2417" t="s">
        <v>19</v>
      </c>
      <c r="C2417">
        <v>706</v>
      </c>
      <c r="D2417">
        <v>4</v>
      </c>
      <c r="E2417" t="s">
        <v>22</v>
      </c>
      <c r="F2417" t="s">
        <v>31</v>
      </c>
      <c r="G2417" t="str">
        <f>"2025-06-03 23:08:11.470"</f>
        <v>2025-06-03 23:08:11.470</v>
      </c>
      <c r="H2417" t="s">
        <v>21</v>
      </c>
      <c r="I2417">
        <v>0</v>
      </c>
      <c r="J2417" t="s">
        <v>24</v>
      </c>
    </row>
    <row r="2418" spans="1:10" x14ac:dyDescent="0.25">
      <c r="A2418" s="1">
        <v>550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"2025-06-03 23:07:56.590"</f>
        <v>2025-06-03 23:07:56.590</v>
      </c>
      <c r="H2418" t="s">
        <v>21</v>
      </c>
      <c r="I2418">
        <v>0</v>
      </c>
      <c r="J2418" t="s">
        <v>32</v>
      </c>
    </row>
    <row r="2419" spans="1:10" x14ac:dyDescent="0.25">
      <c r="A2419" s="1">
        <v>553</v>
      </c>
      <c r="B2419" t="s">
        <v>19</v>
      </c>
      <c r="C2419">
        <v>782</v>
      </c>
      <c r="D2419">
        <v>7</v>
      </c>
      <c r="E2419" t="s">
        <v>43</v>
      </c>
      <c r="F2419" t="s">
        <v>44</v>
      </c>
      <c r="G2419" t="str">
        <f>"2025-06-03 22:15:57.388"</f>
        <v>2025-06-03 22:15:57.388</v>
      </c>
      <c r="H2419" t="s">
        <v>21</v>
      </c>
      <c r="I2419">
        <v>0</v>
      </c>
      <c r="J2419" t="s">
        <v>24</v>
      </c>
    </row>
    <row r="2420" spans="1:10" x14ac:dyDescent="0.25">
      <c r="A2420" s="1">
        <v>556</v>
      </c>
      <c r="B2420" t="s">
        <v>25</v>
      </c>
      <c r="C2420">
        <v>55</v>
      </c>
      <c r="D2420">
        <v>1</v>
      </c>
      <c r="E2420" t="s">
        <v>87</v>
      </c>
      <c r="F2420" t="s">
        <v>88</v>
      </c>
      <c r="G2420" t="str">
        <f>"2025-06-03 22:15:57.382"</f>
        <v>2025-06-03 22:15:57.382</v>
      </c>
      <c r="H2420" t="s">
        <v>21</v>
      </c>
    </row>
    <row r="2421" spans="1:10" x14ac:dyDescent="0.25">
      <c r="A2421" s="1">
        <v>557</v>
      </c>
      <c r="B2421" t="s">
        <v>19</v>
      </c>
      <c r="C2421">
        <v>782</v>
      </c>
      <c r="D2421">
        <v>7</v>
      </c>
      <c r="E2421" t="s">
        <v>43</v>
      </c>
      <c r="F2421" t="s">
        <v>44</v>
      </c>
      <c r="G2421" t="str">
        <f>"2025-06-03 22:15:57.380"</f>
        <v>2025-06-03 22:15:57.380</v>
      </c>
      <c r="H2421" t="s">
        <v>21</v>
      </c>
      <c r="I2421">
        <v>0</v>
      </c>
      <c r="J2421" t="s">
        <v>24</v>
      </c>
    </row>
    <row r="2422" spans="1:10" x14ac:dyDescent="0.25">
      <c r="A2422" s="1">
        <v>558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"2025-06-03 22:14:57.520"</f>
        <v>2025-06-03 22:14:57.520</v>
      </c>
      <c r="H2422" t="s">
        <v>21</v>
      </c>
      <c r="I2422">
        <v>0</v>
      </c>
      <c r="J2422" t="s">
        <v>32</v>
      </c>
    </row>
    <row r="2423" spans="1:10" x14ac:dyDescent="0.25">
      <c r="A2423" s="1">
        <v>559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"2025-06-03 22:12:49.821"</f>
        <v>2025-06-03 22:12:49.821</v>
      </c>
      <c r="H2423" t="s">
        <v>21</v>
      </c>
      <c r="I2423">
        <v>0</v>
      </c>
      <c r="J2423" t="s">
        <v>32</v>
      </c>
    </row>
    <row r="2424" spans="1:10" x14ac:dyDescent="0.25">
      <c r="A2424" s="1">
        <v>560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"2025-06-03 22:09:14.523"</f>
        <v>2025-06-03 22:09:14.523</v>
      </c>
      <c r="H2424" t="s">
        <v>21</v>
      </c>
      <c r="I2424">
        <v>0</v>
      </c>
      <c r="J2424" t="s">
        <v>32</v>
      </c>
    </row>
    <row r="2425" spans="1:10" x14ac:dyDescent="0.25">
      <c r="A2425" s="1">
        <v>561</v>
      </c>
      <c r="B2425" t="s">
        <v>25</v>
      </c>
      <c r="C2425">
        <v>630</v>
      </c>
      <c r="D2425">
        <v>5</v>
      </c>
      <c r="E2425" t="s">
        <v>51</v>
      </c>
      <c r="F2425" t="s">
        <v>52</v>
      </c>
      <c r="G2425" t="str">
        <f>"2025-06-03 22:06:58.021"</f>
        <v>2025-06-03 22:06:58.021</v>
      </c>
      <c r="H2425" t="s">
        <v>40</v>
      </c>
    </row>
    <row r="2426" spans="1:10" x14ac:dyDescent="0.25">
      <c r="A2426" s="1">
        <v>562</v>
      </c>
      <c r="B2426" t="s">
        <v>19</v>
      </c>
      <c r="C2426">
        <v>706</v>
      </c>
      <c r="D2426">
        <v>4</v>
      </c>
      <c r="E2426" t="s">
        <v>22</v>
      </c>
      <c r="F2426" t="s">
        <v>31</v>
      </c>
      <c r="G2426" t="str">
        <f>"2025-06-03 22:06:27.944"</f>
        <v>2025-06-03 22:06:27.944</v>
      </c>
      <c r="H2426" t="s">
        <v>21</v>
      </c>
      <c r="I2426">
        <v>0</v>
      </c>
      <c r="J2426" t="s">
        <v>24</v>
      </c>
    </row>
    <row r="2427" spans="1:10" x14ac:dyDescent="0.25">
      <c r="A2427" s="1">
        <v>563</v>
      </c>
      <c r="B2427" t="s">
        <v>33</v>
      </c>
      <c r="C2427">
        <v>630</v>
      </c>
      <c r="D2427">
        <v>5</v>
      </c>
      <c r="E2427" t="s">
        <v>51</v>
      </c>
      <c r="F2427" t="s">
        <v>52</v>
      </c>
      <c r="G2427" t="str">
        <f>"2025-06-03 21:58:17.422"</f>
        <v>2025-06-03 21:58:17.422</v>
      </c>
      <c r="H2427" t="s">
        <v>40</v>
      </c>
      <c r="I2427">
        <v>0</v>
      </c>
      <c r="J2427" t="s">
        <v>24</v>
      </c>
    </row>
    <row r="2428" spans="1:10" x14ac:dyDescent="0.25">
      <c r="A2428" s="1">
        <v>564</v>
      </c>
      <c r="B2428" t="s">
        <v>19</v>
      </c>
      <c r="C2428">
        <v>700</v>
      </c>
      <c r="D2428">
        <v>0</v>
      </c>
      <c r="E2428" t="s">
        <v>20</v>
      </c>
      <c r="F2428" t="s">
        <v>20</v>
      </c>
      <c r="G2428" t="str">
        <f>"2025-06-03 21:53:14.644"</f>
        <v>2025-06-03 21:53:14.644</v>
      </c>
      <c r="H2428" t="s">
        <v>21</v>
      </c>
      <c r="I2428">
        <v>0</v>
      </c>
      <c r="J2428" t="s">
        <v>32</v>
      </c>
    </row>
    <row r="2429" spans="1:10" x14ac:dyDescent="0.25">
      <c r="A2429" s="1">
        <v>565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"2025-06-03 14:00:02.676"</f>
        <v>2025-06-03 14:00:02.676</v>
      </c>
      <c r="H2429" t="s">
        <v>21</v>
      </c>
      <c r="I2429">
        <v>0</v>
      </c>
      <c r="J2429" t="s">
        <v>32</v>
      </c>
    </row>
    <row r="2430" spans="1:10" x14ac:dyDescent="0.25">
      <c r="A2430" s="1">
        <v>566</v>
      </c>
      <c r="B2430" t="s">
        <v>19</v>
      </c>
      <c r="C2430">
        <v>700</v>
      </c>
      <c r="D2430">
        <v>0</v>
      </c>
      <c r="E2430" t="s">
        <v>20</v>
      </c>
      <c r="F2430" t="s">
        <v>20</v>
      </c>
      <c r="G2430" t="str">
        <f>"2025-06-02 14:57:23.510"</f>
        <v>2025-06-02 14:57:23.510</v>
      </c>
      <c r="H2430" t="s">
        <v>21</v>
      </c>
    </row>
    <row r="2431" spans="1:10" x14ac:dyDescent="0.25">
      <c r="A2431" s="1">
        <v>567</v>
      </c>
      <c r="B2431" t="s">
        <v>25</v>
      </c>
      <c r="C2431">
        <v>619</v>
      </c>
      <c r="D2431">
        <v>1</v>
      </c>
      <c r="E2431" t="s">
        <v>26</v>
      </c>
      <c r="F2431" t="s">
        <v>27</v>
      </c>
      <c r="G2431" t="str">
        <f>"2025-06-01 16:21:04.162"</f>
        <v>2025-06-01 16:21:04.162</v>
      </c>
      <c r="H2431" t="s">
        <v>28</v>
      </c>
    </row>
    <row r="2432" spans="1:10" x14ac:dyDescent="0.25">
      <c r="A2432" s="1">
        <v>568</v>
      </c>
      <c r="B2432" t="s">
        <v>29</v>
      </c>
      <c r="C2432">
        <v>619</v>
      </c>
      <c r="D2432">
        <v>1</v>
      </c>
      <c r="E2432" t="s">
        <v>26</v>
      </c>
      <c r="F2432" t="s">
        <v>27</v>
      </c>
      <c r="G2432" t="str">
        <f>"2025-06-01 16:20:16.962"</f>
        <v>2025-06-01 16:20:16.962</v>
      </c>
      <c r="H2432" t="s">
        <v>28</v>
      </c>
      <c r="I2432">
        <v>0</v>
      </c>
      <c r="J2432" t="s">
        <v>24</v>
      </c>
    </row>
    <row r="2433" spans="1:10" x14ac:dyDescent="0.25">
      <c r="A2433" s="1">
        <v>569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"2025-06-01 16:19:46.510"</f>
        <v>2025-06-01 16:19:46.510</v>
      </c>
      <c r="H2433" t="s">
        <v>21</v>
      </c>
      <c r="I2433">
        <v>0</v>
      </c>
      <c r="J2433" t="s">
        <v>32</v>
      </c>
    </row>
    <row r="2434" spans="1:10" x14ac:dyDescent="0.25">
      <c r="A2434" s="1">
        <v>570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"2025-06-01 14:07:44.530"</f>
        <v>2025-06-01 14:07:44.530</v>
      </c>
      <c r="H2434" t="s">
        <v>21</v>
      </c>
      <c r="I2434">
        <v>0</v>
      </c>
      <c r="J2434" t="s">
        <v>32</v>
      </c>
    </row>
    <row r="2435" spans="1:10" x14ac:dyDescent="0.25">
      <c r="A2435" s="1">
        <v>572</v>
      </c>
      <c r="B2435" t="s">
        <v>25</v>
      </c>
      <c r="C2435">
        <v>635</v>
      </c>
      <c r="D2435">
        <v>1</v>
      </c>
      <c r="E2435" t="s">
        <v>45</v>
      </c>
      <c r="F2435" t="s">
        <v>27</v>
      </c>
      <c r="G2435" t="str">
        <f>"2025-05-30 15:28:57.175"</f>
        <v>2025-05-30 15:28:57.175</v>
      </c>
      <c r="H2435" t="s">
        <v>21</v>
      </c>
    </row>
    <row r="2436" spans="1:10" x14ac:dyDescent="0.25">
      <c r="A2436" s="1">
        <v>573</v>
      </c>
      <c r="B2436" t="s">
        <v>29</v>
      </c>
      <c r="C2436">
        <v>635</v>
      </c>
      <c r="D2436">
        <v>1</v>
      </c>
      <c r="E2436" t="s">
        <v>45</v>
      </c>
      <c r="F2436" t="s">
        <v>27</v>
      </c>
      <c r="G2436" t="str">
        <f>"2025-05-30 15:09:23.675"</f>
        <v>2025-05-30 15:09:23.675</v>
      </c>
      <c r="H2436" t="s">
        <v>21</v>
      </c>
      <c r="I2436">
        <v>7.88</v>
      </c>
      <c r="J2436" t="s">
        <v>42</v>
      </c>
    </row>
    <row r="2437" spans="1:10" x14ac:dyDescent="0.25">
      <c r="A2437" s="1">
        <v>574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"2025-05-29 08:16:29.772"</f>
        <v>2025-05-29 08:16:29.772</v>
      </c>
      <c r="H2437" t="s">
        <v>21</v>
      </c>
      <c r="I2437">
        <v>0</v>
      </c>
      <c r="J2437" t="s">
        <v>32</v>
      </c>
    </row>
    <row r="2438" spans="1:10" x14ac:dyDescent="0.25">
      <c r="A2438" s="1">
        <v>575</v>
      </c>
      <c r="B2438" t="s">
        <v>25</v>
      </c>
      <c r="C2438">
        <v>635</v>
      </c>
      <c r="D2438">
        <v>1</v>
      </c>
      <c r="E2438" t="s">
        <v>45</v>
      </c>
      <c r="F2438" t="s">
        <v>27</v>
      </c>
      <c r="G2438" t="str">
        <f>"2025-05-27 22:50:37.238"</f>
        <v>2025-05-27 22:50:37.238</v>
      </c>
      <c r="H2438" t="s">
        <v>21</v>
      </c>
    </row>
    <row r="2439" spans="1:10" x14ac:dyDescent="0.25">
      <c r="A2439" s="1">
        <v>576</v>
      </c>
      <c r="B2439" t="s">
        <v>29</v>
      </c>
      <c r="C2439">
        <v>635</v>
      </c>
      <c r="D2439">
        <v>1</v>
      </c>
      <c r="E2439" t="s">
        <v>45</v>
      </c>
      <c r="F2439" t="s">
        <v>27</v>
      </c>
      <c r="G2439" t="str">
        <f>"2025-05-27 22:48:22.238"</f>
        <v>2025-05-27 22:48:22.238</v>
      </c>
      <c r="H2439" t="s">
        <v>21</v>
      </c>
      <c r="I2439">
        <v>8.3000000000000007</v>
      </c>
      <c r="J2439" t="s">
        <v>42</v>
      </c>
    </row>
    <row r="2440" spans="1:10" x14ac:dyDescent="0.25">
      <c r="A2440" s="1">
        <v>577</v>
      </c>
      <c r="B2440" t="s">
        <v>25</v>
      </c>
      <c r="C2440">
        <v>619</v>
      </c>
      <c r="D2440">
        <v>1</v>
      </c>
      <c r="E2440" t="s">
        <v>26</v>
      </c>
      <c r="F2440" t="s">
        <v>27</v>
      </c>
      <c r="G2440" t="str">
        <f>"2025-05-27 15:37:37.938"</f>
        <v>2025-05-27 15:37:37.938</v>
      </c>
      <c r="H2440" t="s">
        <v>28</v>
      </c>
    </row>
    <row r="2441" spans="1:10" x14ac:dyDescent="0.25">
      <c r="A2441" s="1">
        <v>578</v>
      </c>
      <c r="B2441" t="s">
        <v>29</v>
      </c>
      <c r="C2441">
        <v>619</v>
      </c>
      <c r="D2441">
        <v>1</v>
      </c>
      <c r="E2441" t="s">
        <v>26</v>
      </c>
      <c r="F2441" t="s">
        <v>27</v>
      </c>
      <c r="G2441" t="str">
        <f>"2025-05-27 15:36:56.991"</f>
        <v>2025-05-27 15:36:56.991</v>
      </c>
      <c r="H2441" t="s">
        <v>28</v>
      </c>
      <c r="I2441">
        <v>0</v>
      </c>
      <c r="J2441" t="s">
        <v>37</v>
      </c>
    </row>
    <row r="2442" spans="1:10" x14ac:dyDescent="0.25">
      <c r="A2442" s="1">
        <v>579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"2025-05-27 15:36:27.530"</f>
        <v>2025-05-27 15:36:27.530</v>
      </c>
      <c r="H2442" t="s">
        <v>21</v>
      </c>
    </row>
    <row r="2443" spans="1:10" x14ac:dyDescent="0.25">
      <c r="A2443" s="1">
        <v>580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"2025-05-27 12:13:14.535"</f>
        <v>2025-05-27 12:13:14.535</v>
      </c>
      <c r="H2443" t="s">
        <v>21</v>
      </c>
      <c r="I2443">
        <v>0</v>
      </c>
      <c r="J2443" t="s">
        <v>32</v>
      </c>
    </row>
    <row r="2444" spans="1:10" x14ac:dyDescent="0.25">
      <c r="A2444" s="1">
        <v>581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"2025-05-27 12:06:37.534"</f>
        <v>2025-05-27 12:06:37.534</v>
      </c>
      <c r="H2444" t="s">
        <v>21</v>
      </c>
      <c r="I2444">
        <v>0</v>
      </c>
      <c r="J2444" t="s">
        <v>32</v>
      </c>
    </row>
    <row r="2445" spans="1:10" x14ac:dyDescent="0.25">
      <c r="A2445" s="1">
        <v>582</v>
      </c>
      <c r="B2445" t="s">
        <v>19</v>
      </c>
      <c r="C2445">
        <v>706</v>
      </c>
      <c r="D2445">
        <v>4</v>
      </c>
      <c r="E2445" t="s">
        <v>22</v>
      </c>
      <c r="F2445" t="s">
        <v>31</v>
      </c>
      <c r="G2445" t="str">
        <f>"2025-05-27 12:02:34.546"</f>
        <v>2025-05-27 12:02:34.546</v>
      </c>
      <c r="H2445" t="s">
        <v>21</v>
      </c>
      <c r="I2445">
        <v>0</v>
      </c>
      <c r="J2445" t="s">
        <v>24</v>
      </c>
    </row>
    <row r="2446" spans="1:10" x14ac:dyDescent="0.25">
      <c r="A2446" s="1">
        <v>583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"2025-05-27 11:50:16.516"</f>
        <v>2025-05-27 11:50:16.516</v>
      </c>
      <c r="H2446" t="s">
        <v>21</v>
      </c>
      <c r="I2446">
        <v>0</v>
      </c>
      <c r="J2446" t="s">
        <v>32</v>
      </c>
    </row>
    <row r="2447" spans="1:10" x14ac:dyDescent="0.25">
      <c r="A2447" s="1">
        <v>584</v>
      </c>
      <c r="B2447" t="s">
        <v>25</v>
      </c>
      <c r="C2447">
        <v>635</v>
      </c>
      <c r="D2447">
        <v>1</v>
      </c>
      <c r="E2447" t="s">
        <v>45</v>
      </c>
      <c r="F2447" t="s">
        <v>27</v>
      </c>
      <c r="G2447" t="str">
        <f>"2025-05-27 04:09:59.517"</f>
        <v>2025-05-27 04:09:59.517</v>
      </c>
      <c r="H2447" t="s">
        <v>21</v>
      </c>
    </row>
    <row r="2448" spans="1:10" x14ac:dyDescent="0.25">
      <c r="A2448" s="1">
        <v>585</v>
      </c>
      <c r="B2448" t="s">
        <v>29</v>
      </c>
      <c r="C2448">
        <v>635</v>
      </c>
      <c r="D2448">
        <v>1</v>
      </c>
      <c r="E2448" t="s">
        <v>45</v>
      </c>
      <c r="F2448" t="s">
        <v>27</v>
      </c>
      <c r="G2448" t="str">
        <f>"2025-05-27 04:07:12.517"</f>
        <v>2025-05-27 04:07:12.517</v>
      </c>
      <c r="H2448" t="s">
        <v>21</v>
      </c>
      <c r="I2448">
        <v>6.65</v>
      </c>
      <c r="J2448" t="s">
        <v>54</v>
      </c>
    </row>
    <row r="2449" spans="1:10" x14ac:dyDescent="0.25">
      <c r="A2449" s="1">
        <v>586</v>
      </c>
      <c r="B2449" t="s">
        <v>25</v>
      </c>
      <c r="C2449">
        <v>635</v>
      </c>
      <c r="D2449">
        <v>1</v>
      </c>
      <c r="E2449" t="s">
        <v>45</v>
      </c>
      <c r="F2449" t="s">
        <v>27</v>
      </c>
      <c r="G2449" t="str">
        <f>"2025-05-26 11:24:56.217"</f>
        <v>2025-05-26 11:24:56.217</v>
      </c>
      <c r="H2449" t="s">
        <v>21</v>
      </c>
    </row>
    <row r="2450" spans="1:10" x14ac:dyDescent="0.25">
      <c r="A2450" s="1">
        <v>587</v>
      </c>
      <c r="B2450" t="s">
        <v>29</v>
      </c>
      <c r="C2450">
        <v>635</v>
      </c>
      <c r="D2450">
        <v>1</v>
      </c>
      <c r="E2450" t="s">
        <v>45</v>
      </c>
      <c r="F2450" t="s">
        <v>27</v>
      </c>
      <c r="G2450" t="str">
        <f>"2025-05-26 11:02:31.218"</f>
        <v>2025-05-26 11:02:31.218</v>
      </c>
      <c r="H2450" t="s">
        <v>21</v>
      </c>
      <c r="I2450">
        <v>8.39</v>
      </c>
      <c r="J2450" t="s">
        <v>54</v>
      </c>
    </row>
    <row r="2451" spans="1:10" x14ac:dyDescent="0.25">
      <c r="A2451" s="1">
        <v>588</v>
      </c>
      <c r="B2451" t="s">
        <v>19</v>
      </c>
      <c r="C2451">
        <v>700</v>
      </c>
      <c r="D2451">
        <v>0</v>
      </c>
      <c r="E2451" t="s">
        <v>20</v>
      </c>
      <c r="F2451" t="s">
        <v>20</v>
      </c>
      <c r="G2451" t="str">
        <f>"2025-05-25 13:18:25.507"</f>
        <v>2025-05-25 13:18:25.507</v>
      </c>
      <c r="H2451" t="s">
        <v>21</v>
      </c>
    </row>
    <row r="2452" spans="1:10" s="3" customFormat="1" x14ac:dyDescent="0.25">
      <c r="A2452" s="2">
        <v>589</v>
      </c>
      <c r="B2452" s="3" t="s">
        <v>25</v>
      </c>
      <c r="C2452" s="3">
        <v>647</v>
      </c>
      <c r="D2452" s="3">
        <v>1</v>
      </c>
      <c r="E2452" s="3" t="s">
        <v>55</v>
      </c>
      <c r="F2452" s="3" t="s">
        <v>56</v>
      </c>
      <c r="G2452" s="3" t="str">
        <f>"2025-05-24 23:43:40.718"</f>
        <v>2025-05-24 23:43:40.718</v>
      </c>
      <c r="H2452" s="3" t="s">
        <v>21</v>
      </c>
    </row>
    <row r="2453" spans="1:10" s="3" customFormat="1" x14ac:dyDescent="0.25">
      <c r="A2453" s="2">
        <v>590</v>
      </c>
      <c r="B2453" s="3" t="s">
        <v>29</v>
      </c>
      <c r="C2453" s="3">
        <v>647</v>
      </c>
      <c r="D2453" s="3">
        <v>1</v>
      </c>
      <c r="E2453" s="3" t="s">
        <v>55</v>
      </c>
      <c r="F2453" s="3" t="s">
        <v>56</v>
      </c>
      <c r="G2453" s="3" t="str">
        <f>"2025-05-24 23:43:38.018"</f>
        <v>2025-05-24 23:43:38.018</v>
      </c>
      <c r="H2453" s="3" t="s">
        <v>21</v>
      </c>
      <c r="I2453" s="3">
        <v>18.61</v>
      </c>
      <c r="J2453" s="3" t="s">
        <v>54</v>
      </c>
    </row>
    <row r="2454" spans="1:10" x14ac:dyDescent="0.25">
      <c r="A2454" s="1">
        <v>591</v>
      </c>
      <c r="B2454" t="s">
        <v>29</v>
      </c>
      <c r="C2454">
        <v>55</v>
      </c>
      <c r="D2454">
        <v>1</v>
      </c>
      <c r="E2454" t="s">
        <v>87</v>
      </c>
      <c r="F2454" t="s">
        <v>88</v>
      </c>
      <c r="G2454" t="str">
        <f>"2025-05-24 12:10:14.517"</f>
        <v>2025-05-24 12:10:14.517</v>
      </c>
      <c r="H2454" t="s">
        <v>21</v>
      </c>
      <c r="I2454">
        <v>12.85</v>
      </c>
      <c r="J2454" t="s">
        <v>54</v>
      </c>
    </row>
    <row r="2455" spans="1:10" x14ac:dyDescent="0.25">
      <c r="A2455" s="1">
        <v>592</v>
      </c>
      <c r="B2455" t="s">
        <v>25</v>
      </c>
      <c r="C2455">
        <v>630</v>
      </c>
      <c r="D2455">
        <v>5</v>
      </c>
      <c r="E2455" t="s">
        <v>51</v>
      </c>
      <c r="F2455" t="s">
        <v>52</v>
      </c>
      <c r="G2455" t="str">
        <f>"2025-05-24 12:04:13.118"</f>
        <v>2025-05-24 12:04:13.118</v>
      </c>
      <c r="H2455" t="s">
        <v>40</v>
      </c>
    </row>
    <row r="2456" spans="1:10" x14ac:dyDescent="0.25">
      <c r="A2456" s="1">
        <v>593</v>
      </c>
      <c r="B2456" t="s">
        <v>19</v>
      </c>
      <c r="C2456">
        <v>706</v>
      </c>
      <c r="D2456">
        <v>4</v>
      </c>
      <c r="E2456" t="s">
        <v>22</v>
      </c>
      <c r="F2456" t="s">
        <v>31</v>
      </c>
      <c r="G2456" t="str">
        <f>"2025-05-24 12:03:43.066"</f>
        <v>2025-05-24 12:03:43.066</v>
      </c>
      <c r="H2456" t="s">
        <v>21</v>
      </c>
      <c r="I2456">
        <v>0</v>
      </c>
      <c r="J2456" t="s">
        <v>24</v>
      </c>
    </row>
    <row r="2457" spans="1:10" x14ac:dyDescent="0.25">
      <c r="A2457" s="1">
        <v>594</v>
      </c>
      <c r="B2457" t="s">
        <v>33</v>
      </c>
      <c r="C2457">
        <v>630</v>
      </c>
      <c r="D2457">
        <v>5</v>
      </c>
      <c r="E2457" t="s">
        <v>51</v>
      </c>
      <c r="F2457" t="s">
        <v>52</v>
      </c>
      <c r="G2457" t="str">
        <f>"2025-05-24 12:02:10.218"</f>
        <v>2025-05-24 12:02:10.218</v>
      </c>
      <c r="H2457" t="s">
        <v>40</v>
      </c>
      <c r="I2457">
        <v>0</v>
      </c>
      <c r="J2457" t="s">
        <v>24</v>
      </c>
    </row>
    <row r="2458" spans="1:10" x14ac:dyDescent="0.25">
      <c r="A2458" s="1">
        <v>597</v>
      </c>
      <c r="B2458" t="s">
        <v>19</v>
      </c>
      <c r="C2458">
        <v>782</v>
      </c>
      <c r="D2458">
        <v>7</v>
      </c>
      <c r="E2458" t="s">
        <v>43</v>
      </c>
      <c r="F2458" t="s">
        <v>44</v>
      </c>
      <c r="G2458" t="str">
        <f>"2025-05-24 11:58:07.524"</f>
        <v>2025-05-24 11:58:07.524</v>
      </c>
      <c r="H2458" t="s">
        <v>21</v>
      </c>
      <c r="I2458">
        <v>0</v>
      </c>
      <c r="J2458" t="s">
        <v>24</v>
      </c>
    </row>
    <row r="2459" spans="1:10" x14ac:dyDescent="0.25">
      <c r="A2459" s="1">
        <v>600</v>
      </c>
      <c r="B2459" t="s">
        <v>25</v>
      </c>
      <c r="C2459">
        <v>55</v>
      </c>
      <c r="D2459">
        <v>1</v>
      </c>
      <c r="E2459" t="s">
        <v>87</v>
      </c>
      <c r="F2459" t="s">
        <v>88</v>
      </c>
      <c r="G2459" t="str">
        <f>"2025-05-24 11:58:07.518"</f>
        <v>2025-05-24 11:58:07.518</v>
      </c>
      <c r="H2459" t="s">
        <v>21</v>
      </c>
    </row>
    <row r="2460" spans="1:10" x14ac:dyDescent="0.25">
      <c r="A2460" s="1">
        <v>601</v>
      </c>
      <c r="B2460" t="s">
        <v>19</v>
      </c>
      <c r="C2460">
        <v>782</v>
      </c>
      <c r="D2460">
        <v>7</v>
      </c>
      <c r="E2460" t="s">
        <v>43</v>
      </c>
      <c r="F2460" t="s">
        <v>44</v>
      </c>
      <c r="G2460" t="str">
        <f>"2025-05-24 11:58:07.517"</f>
        <v>2025-05-24 11:58:07.517</v>
      </c>
      <c r="H2460" t="s">
        <v>21</v>
      </c>
      <c r="I2460">
        <v>0</v>
      </c>
      <c r="J2460" t="s">
        <v>24</v>
      </c>
    </row>
    <row r="2461" spans="1:10" x14ac:dyDescent="0.25">
      <c r="A2461" s="1">
        <v>602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"2025-05-24 11:57:07.506"</f>
        <v>2025-05-24 11:57:07.506</v>
      </c>
      <c r="H2461" t="s">
        <v>21</v>
      </c>
      <c r="I2461">
        <v>0</v>
      </c>
      <c r="J2461" t="s">
        <v>32</v>
      </c>
    </row>
    <row r="2462" spans="1:10" x14ac:dyDescent="0.25">
      <c r="A2462" s="1">
        <v>603</v>
      </c>
      <c r="B2462" t="s">
        <v>25</v>
      </c>
      <c r="C2462">
        <v>619</v>
      </c>
      <c r="D2462">
        <v>1</v>
      </c>
      <c r="E2462" t="s">
        <v>26</v>
      </c>
      <c r="F2462" t="s">
        <v>27</v>
      </c>
      <c r="G2462" t="str">
        <f>"2025-05-23 21:32:26.779"</f>
        <v>2025-05-23 21:32:26.779</v>
      </c>
      <c r="H2462" t="s">
        <v>28</v>
      </c>
    </row>
    <row r="2463" spans="1:10" x14ac:dyDescent="0.25">
      <c r="A2463" s="1">
        <v>604</v>
      </c>
      <c r="B2463" t="s">
        <v>29</v>
      </c>
      <c r="C2463">
        <v>619</v>
      </c>
      <c r="D2463">
        <v>1</v>
      </c>
      <c r="E2463" t="s">
        <v>26</v>
      </c>
      <c r="F2463" t="s">
        <v>27</v>
      </c>
      <c r="G2463" t="str">
        <f>"2025-05-23 21:31:49.979"</f>
        <v>2025-05-23 21:31:49.979</v>
      </c>
      <c r="H2463" t="s">
        <v>28</v>
      </c>
      <c r="I2463">
        <v>0</v>
      </c>
      <c r="J2463" t="s">
        <v>37</v>
      </c>
    </row>
    <row r="2464" spans="1:10" x14ac:dyDescent="0.25">
      <c r="A2464" s="1">
        <v>605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"2025-05-23 21:31:20.571"</f>
        <v>2025-05-23 21:31:20.571</v>
      </c>
      <c r="H2464" t="s">
        <v>21</v>
      </c>
      <c r="I2464">
        <v>0</v>
      </c>
      <c r="J2464" t="s">
        <v>32</v>
      </c>
    </row>
    <row r="2465" spans="1:10" x14ac:dyDescent="0.25">
      <c r="A2465" s="1">
        <v>606</v>
      </c>
      <c r="B2465" t="s">
        <v>25</v>
      </c>
      <c r="C2465">
        <v>619</v>
      </c>
      <c r="D2465">
        <v>1</v>
      </c>
      <c r="E2465" t="s">
        <v>26</v>
      </c>
      <c r="F2465" t="s">
        <v>27</v>
      </c>
      <c r="G2465" t="str">
        <f>"2025-05-23 21:12:49.087"</f>
        <v>2025-05-23 21:12:49.087</v>
      </c>
      <c r="H2465" t="s">
        <v>28</v>
      </c>
    </row>
    <row r="2466" spans="1:10" x14ac:dyDescent="0.25">
      <c r="A2466" s="1">
        <v>607</v>
      </c>
      <c r="B2466" t="s">
        <v>29</v>
      </c>
      <c r="C2466">
        <v>619</v>
      </c>
      <c r="D2466">
        <v>1</v>
      </c>
      <c r="E2466" t="s">
        <v>26</v>
      </c>
      <c r="F2466" t="s">
        <v>27</v>
      </c>
      <c r="G2466" t="str">
        <f>"2025-05-23 21:11:44.187"</f>
        <v>2025-05-23 21:11:44.187</v>
      </c>
      <c r="H2466" t="s">
        <v>28</v>
      </c>
      <c r="I2466">
        <v>0</v>
      </c>
      <c r="J2466" t="s">
        <v>24</v>
      </c>
    </row>
    <row r="2467" spans="1:10" x14ac:dyDescent="0.25">
      <c r="A2467" s="1">
        <v>608</v>
      </c>
      <c r="B2467" t="s">
        <v>19</v>
      </c>
      <c r="C2467">
        <v>706</v>
      </c>
      <c r="D2467">
        <v>2</v>
      </c>
      <c r="E2467" t="s">
        <v>22</v>
      </c>
      <c r="F2467" t="s">
        <v>53</v>
      </c>
      <c r="G2467" t="str">
        <f>"2025-05-23 21:11:38.348"</f>
        <v>2025-05-23 21:11:38.348</v>
      </c>
      <c r="H2467" t="s">
        <v>21</v>
      </c>
      <c r="I2467">
        <v>0</v>
      </c>
      <c r="J2467" t="s">
        <v>24</v>
      </c>
    </row>
    <row r="2468" spans="1:10" x14ac:dyDescent="0.25">
      <c r="A2468" s="1">
        <v>609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"2025-05-23 21:08:58.538"</f>
        <v>2025-05-23 21:08:58.538</v>
      </c>
      <c r="H2468" t="s">
        <v>21</v>
      </c>
      <c r="I2468">
        <v>0</v>
      </c>
      <c r="J2468" t="s">
        <v>32</v>
      </c>
    </row>
    <row r="2469" spans="1:10" x14ac:dyDescent="0.25">
      <c r="A2469" s="1">
        <v>610</v>
      </c>
      <c r="B2469" t="s">
        <v>33</v>
      </c>
      <c r="C2469">
        <v>630</v>
      </c>
      <c r="D2469">
        <v>5</v>
      </c>
      <c r="E2469" t="s">
        <v>51</v>
      </c>
      <c r="F2469" t="s">
        <v>52</v>
      </c>
      <c r="G2469" t="str">
        <f>"2025-05-23 17:01:24.995"</f>
        <v>2025-05-23 17:01:24.995</v>
      </c>
      <c r="H2469" t="s">
        <v>40</v>
      </c>
      <c r="I2469">
        <v>0</v>
      </c>
      <c r="J2469" t="s">
        <v>24</v>
      </c>
    </row>
    <row r="2470" spans="1:10" x14ac:dyDescent="0.25">
      <c r="A2470" s="1">
        <v>611</v>
      </c>
      <c r="B2470" t="s">
        <v>25</v>
      </c>
      <c r="C2470">
        <v>98</v>
      </c>
      <c r="D2470">
        <v>1</v>
      </c>
      <c r="E2470" t="s">
        <v>64</v>
      </c>
      <c r="F2470" t="s">
        <v>65</v>
      </c>
      <c r="G2470" t="str">
        <f>"2025-05-21 02:01:00.207"</f>
        <v>2025-05-21 02:01:00.207</v>
      </c>
      <c r="H2470" t="s">
        <v>21</v>
      </c>
    </row>
    <row r="2471" spans="1:10" x14ac:dyDescent="0.25">
      <c r="A2471" s="1">
        <v>612</v>
      </c>
      <c r="B2471" t="s">
        <v>29</v>
      </c>
      <c r="C2471">
        <v>98</v>
      </c>
      <c r="D2471">
        <v>1</v>
      </c>
      <c r="E2471" t="s">
        <v>64</v>
      </c>
      <c r="F2471" t="s">
        <v>65</v>
      </c>
      <c r="G2471" t="str">
        <f>"2025-05-21 02:00:59.208"</f>
        <v>2025-05-21 02:00:59.208</v>
      </c>
      <c r="H2471" t="s">
        <v>21</v>
      </c>
      <c r="I2471">
        <v>0</v>
      </c>
      <c r="J2471" t="s">
        <v>37</v>
      </c>
    </row>
    <row r="2472" spans="1:10" s="3" customFormat="1" x14ac:dyDescent="0.25">
      <c r="A2472" s="2">
        <v>613</v>
      </c>
      <c r="B2472" s="3" t="s">
        <v>25</v>
      </c>
      <c r="C2472" s="3">
        <v>647</v>
      </c>
      <c r="D2472" s="3">
        <v>1</v>
      </c>
      <c r="E2472" s="3" t="s">
        <v>55</v>
      </c>
      <c r="F2472" s="3" t="s">
        <v>56</v>
      </c>
      <c r="G2472" s="3" t="str">
        <f>"2025-05-20 13:30:50.895"</f>
        <v>2025-05-20 13:30:50.895</v>
      </c>
      <c r="H2472" s="3" t="s">
        <v>21</v>
      </c>
    </row>
    <row r="2473" spans="1:10" s="3" customFormat="1" x14ac:dyDescent="0.25">
      <c r="A2473" s="2">
        <v>614</v>
      </c>
      <c r="B2473" s="3" t="s">
        <v>29</v>
      </c>
      <c r="C2473" s="3">
        <v>647</v>
      </c>
      <c r="D2473" s="3">
        <v>1</v>
      </c>
      <c r="E2473" s="3" t="s">
        <v>55</v>
      </c>
      <c r="F2473" s="3" t="s">
        <v>56</v>
      </c>
      <c r="G2473" s="3" t="str">
        <f>"2025-05-20 13:30:41.796"</f>
        <v>2025-05-20 13:30:41.796</v>
      </c>
      <c r="H2473" s="3" t="s">
        <v>21</v>
      </c>
      <c r="I2473" s="3">
        <v>10.81</v>
      </c>
      <c r="J2473" s="3" t="s">
        <v>54</v>
      </c>
    </row>
    <row r="2474" spans="1:10" x14ac:dyDescent="0.25">
      <c r="A2474" s="1">
        <v>615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"2025-05-19 08:25:58.527"</f>
        <v>2025-05-19 08:25:58.527</v>
      </c>
      <c r="H2474" t="s">
        <v>21</v>
      </c>
    </row>
    <row r="2475" spans="1:10" x14ac:dyDescent="0.25">
      <c r="A2475" s="1">
        <v>616</v>
      </c>
      <c r="B2475" t="s">
        <v>19</v>
      </c>
      <c r="C2475">
        <v>700</v>
      </c>
      <c r="D2475">
        <v>0</v>
      </c>
      <c r="E2475" t="s">
        <v>20</v>
      </c>
      <c r="F2475" t="s">
        <v>20</v>
      </c>
      <c r="G2475" t="str">
        <f>"2025-05-19 01:46:49.511"</f>
        <v>2025-05-19 01:46:49.511</v>
      </c>
      <c r="H2475" t="s">
        <v>21</v>
      </c>
    </row>
    <row r="2476" spans="1:10" x14ac:dyDescent="0.25">
      <c r="A2476" s="1">
        <v>617</v>
      </c>
      <c r="B2476" t="s">
        <v>19</v>
      </c>
      <c r="C2476">
        <v>700</v>
      </c>
      <c r="D2476">
        <v>0</v>
      </c>
      <c r="E2476" t="s">
        <v>20</v>
      </c>
      <c r="F2476" t="s">
        <v>20</v>
      </c>
      <c r="G2476" t="str">
        <f>"2025-05-18 09:47:14.501"</f>
        <v>2025-05-18 09:47:14.501</v>
      </c>
      <c r="H2476" t="s">
        <v>21</v>
      </c>
      <c r="I2476">
        <v>0</v>
      </c>
      <c r="J2476" t="s">
        <v>32</v>
      </c>
    </row>
    <row r="2477" spans="1:10" x14ac:dyDescent="0.25">
      <c r="A2477" s="1">
        <v>618</v>
      </c>
      <c r="B2477" t="s">
        <v>25</v>
      </c>
      <c r="C2477">
        <v>98</v>
      </c>
      <c r="D2477">
        <v>1</v>
      </c>
      <c r="E2477" t="s">
        <v>64</v>
      </c>
      <c r="F2477" t="s">
        <v>65</v>
      </c>
      <c r="G2477" t="str">
        <f>"2025-05-16 19:15:57.721"</f>
        <v>2025-05-16 19:15:57.721</v>
      </c>
      <c r="H2477" t="s">
        <v>21</v>
      </c>
    </row>
    <row r="2478" spans="1:10" x14ac:dyDescent="0.25">
      <c r="A2478" s="1">
        <v>619</v>
      </c>
      <c r="B2478" t="s">
        <v>29</v>
      </c>
      <c r="C2478">
        <v>98</v>
      </c>
      <c r="D2478">
        <v>1</v>
      </c>
      <c r="E2478" t="s">
        <v>64</v>
      </c>
      <c r="F2478" t="s">
        <v>65</v>
      </c>
      <c r="G2478" t="str">
        <f>"2025-05-16 19:15:56.622"</f>
        <v>2025-05-16 19:15:56.622</v>
      </c>
      <c r="H2478" t="s">
        <v>21</v>
      </c>
      <c r="I2478">
        <v>0</v>
      </c>
      <c r="J2478" t="s">
        <v>37</v>
      </c>
    </row>
    <row r="2479" spans="1:10" x14ac:dyDescent="0.25">
      <c r="A2479" s="1">
        <v>620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"2025-05-16 15:35:27.551"</f>
        <v>2025-05-16 15:35:27.551</v>
      </c>
      <c r="H2479" t="s">
        <v>21</v>
      </c>
    </row>
    <row r="2480" spans="1:10" x14ac:dyDescent="0.25">
      <c r="A2480" s="1">
        <v>621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"2025-05-16 15:20:25.526"</f>
        <v>2025-05-16 15:20:25.526</v>
      </c>
      <c r="H2480" t="s">
        <v>21</v>
      </c>
    </row>
    <row r="2481" spans="1:10" x14ac:dyDescent="0.25">
      <c r="A2481" s="1">
        <v>622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"2025-05-16 08:16:03.521"</f>
        <v>2025-05-16 08:16:03.521</v>
      </c>
      <c r="H2481" t="s">
        <v>21</v>
      </c>
      <c r="I2481">
        <v>0</v>
      </c>
      <c r="J2481" t="s">
        <v>32</v>
      </c>
    </row>
    <row r="2482" spans="1:10" x14ac:dyDescent="0.25">
      <c r="A2482" s="1">
        <v>623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"2025-05-15 21:11:14.523"</f>
        <v>2025-05-15 21:11:14.523</v>
      </c>
      <c r="H2482" t="s">
        <v>21</v>
      </c>
      <c r="I2482">
        <v>0</v>
      </c>
      <c r="J2482" t="s">
        <v>32</v>
      </c>
    </row>
    <row r="2483" spans="1:10" x14ac:dyDescent="0.25">
      <c r="A2483" s="1">
        <v>624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"2025-05-15 08:04:24.645"</f>
        <v>2025-05-15 08:04:24.645</v>
      </c>
      <c r="H2483" t="s">
        <v>21</v>
      </c>
      <c r="I2483">
        <v>0</v>
      </c>
      <c r="J2483" t="s">
        <v>32</v>
      </c>
    </row>
    <row r="2484" spans="1:10" x14ac:dyDescent="0.25">
      <c r="A2484" s="1">
        <v>625</v>
      </c>
      <c r="B2484" t="s">
        <v>25</v>
      </c>
      <c r="C2484">
        <v>635</v>
      </c>
      <c r="D2484">
        <v>1</v>
      </c>
      <c r="E2484" t="s">
        <v>45</v>
      </c>
      <c r="F2484" t="s">
        <v>27</v>
      </c>
      <c r="G2484" t="str">
        <f>"2025-05-15 03:11:22.370"</f>
        <v>2025-05-15 03:11:22.370</v>
      </c>
      <c r="H2484" t="s">
        <v>21</v>
      </c>
    </row>
    <row r="2485" spans="1:10" x14ac:dyDescent="0.25">
      <c r="A2485" s="1">
        <v>626</v>
      </c>
      <c r="B2485" t="s">
        <v>29</v>
      </c>
      <c r="C2485">
        <v>635</v>
      </c>
      <c r="D2485">
        <v>1</v>
      </c>
      <c r="E2485" t="s">
        <v>45</v>
      </c>
      <c r="F2485" t="s">
        <v>27</v>
      </c>
      <c r="G2485" t="str">
        <f>"2025-05-15 02:47:26.370"</f>
        <v>2025-05-15 02:47:26.370</v>
      </c>
      <c r="H2485" t="s">
        <v>21</v>
      </c>
      <c r="I2485">
        <v>7.46</v>
      </c>
      <c r="J2485" t="s">
        <v>42</v>
      </c>
    </row>
    <row r="2486" spans="1:10" x14ac:dyDescent="0.25">
      <c r="A2486" s="1">
        <v>627</v>
      </c>
      <c r="B2486" t="s">
        <v>29</v>
      </c>
      <c r="C2486">
        <v>55</v>
      </c>
      <c r="D2486">
        <v>1</v>
      </c>
      <c r="E2486" t="s">
        <v>87</v>
      </c>
      <c r="F2486" t="s">
        <v>88</v>
      </c>
      <c r="G2486" t="str">
        <f>"2025-05-14 21:29:42.870"</f>
        <v>2025-05-14 21:29:42.870</v>
      </c>
      <c r="H2486" t="s">
        <v>21</v>
      </c>
      <c r="I2486">
        <v>6.19</v>
      </c>
      <c r="J2486" t="s">
        <v>42</v>
      </c>
    </row>
    <row r="2487" spans="1:10" x14ac:dyDescent="0.25">
      <c r="A2487" s="1">
        <v>628</v>
      </c>
      <c r="B2487" t="s">
        <v>25</v>
      </c>
      <c r="C2487">
        <v>619</v>
      </c>
      <c r="D2487">
        <v>1</v>
      </c>
      <c r="E2487" t="s">
        <v>26</v>
      </c>
      <c r="F2487" t="s">
        <v>27</v>
      </c>
      <c r="G2487" t="str">
        <f>"2025-05-14 21:04:58.070"</f>
        <v>2025-05-14 21:04:58.070</v>
      </c>
      <c r="H2487" t="s">
        <v>28</v>
      </c>
    </row>
    <row r="2488" spans="1:10" x14ac:dyDescent="0.25">
      <c r="A2488" s="1">
        <v>629</v>
      </c>
      <c r="B2488" t="s">
        <v>29</v>
      </c>
      <c r="C2488">
        <v>619</v>
      </c>
      <c r="D2488">
        <v>1</v>
      </c>
      <c r="E2488" t="s">
        <v>26</v>
      </c>
      <c r="F2488" t="s">
        <v>27</v>
      </c>
      <c r="G2488" t="str">
        <f>"2025-05-14 21:04:15.017"</f>
        <v>2025-05-14 21:04:15.017</v>
      </c>
      <c r="H2488" t="s">
        <v>28</v>
      </c>
      <c r="I2488">
        <v>0</v>
      </c>
      <c r="J2488" t="s">
        <v>37</v>
      </c>
    </row>
    <row r="2489" spans="1:10" x14ac:dyDescent="0.25">
      <c r="A2489" s="1">
        <v>630</v>
      </c>
      <c r="B2489" t="s">
        <v>25</v>
      </c>
      <c r="C2489">
        <v>619</v>
      </c>
      <c r="D2489">
        <v>1</v>
      </c>
      <c r="E2489" t="s">
        <v>26</v>
      </c>
      <c r="F2489" t="s">
        <v>27</v>
      </c>
      <c r="G2489" t="str">
        <f>"2025-05-14 21:03:20.317"</f>
        <v>2025-05-14 21:03:20.317</v>
      </c>
      <c r="H2489" t="s">
        <v>28</v>
      </c>
    </row>
    <row r="2490" spans="1:10" x14ac:dyDescent="0.25">
      <c r="A2490" s="1">
        <v>631</v>
      </c>
      <c r="B2490" t="s">
        <v>29</v>
      </c>
      <c r="C2490">
        <v>619</v>
      </c>
      <c r="D2490">
        <v>1</v>
      </c>
      <c r="E2490" t="s">
        <v>26</v>
      </c>
      <c r="F2490" t="s">
        <v>27</v>
      </c>
      <c r="G2490" t="str">
        <f>"2025-05-14 21:02:57.017"</f>
        <v>2025-05-14 21:02:57.017</v>
      </c>
      <c r="H2490" t="s">
        <v>28</v>
      </c>
      <c r="I2490">
        <v>0</v>
      </c>
      <c r="J2490" t="s">
        <v>24</v>
      </c>
    </row>
    <row r="2491" spans="1:10" x14ac:dyDescent="0.25">
      <c r="A2491" s="1">
        <v>632</v>
      </c>
      <c r="B2491" t="s">
        <v>19</v>
      </c>
      <c r="C2491">
        <v>700</v>
      </c>
      <c r="D2491">
        <v>0</v>
      </c>
      <c r="E2491" t="s">
        <v>20</v>
      </c>
      <c r="F2491" t="s">
        <v>20</v>
      </c>
      <c r="G2491" t="str">
        <f>"2025-05-14 21:02:50.499"</f>
        <v>2025-05-14 21:02:50.499</v>
      </c>
      <c r="H2491" t="s">
        <v>21</v>
      </c>
      <c r="I2491">
        <v>0</v>
      </c>
      <c r="J2491" t="s">
        <v>32</v>
      </c>
    </row>
    <row r="2492" spans="1:10" x14ac:dyDescent="0.25">
      <c r="A2492" s="1">
        <v>633</v>
      </c>
      <c r="B2492" t="s">
        <v>25</v>
      </c>
      <c r="C2492">
        <v>619</v>
      </c>
      <c r="D2492">
        <v>1</v>
      </c>
      <c r="E2492" t="s">
        <v>26</v>
      </c>
      <c r="F2492" t="s">
        <v>27</v>
      </c>
      <c r="G2492" t="str">
        <f>"2025-05-14 20:46:59.363"</f>
        <v>2025-05-14 20:46:59.363</v>
      </c>
      <c r="H2492" t="s">
        <v>28</v>
      </c>
    </row>
    <row r="2493" spans="1:10" x14ac:dyDescent="0.25">
      <c r="A2493" s="1">
        <v>636</v>
      </c>
      <c r="B2493" t="s">
        <v>29</v>
      </c>
      <c r="C2493">
        <v>619</v>
      </c>
      <c r="D2493">
        <v>1</v>
      </c>
      <c r="E2493" t="s">
        <v>26</v>
      </c>
      <c r="F2493" t="s">
        <v>27</v>
      </c>
      <c r="G2493" t="str">
        <f>"2025-05-14 20:46:01.032"</f>
        <v>2025-05-14 20:46:01.032</v>
      </c>
      <c r="H2493" t="s">
        <v>28</v>
      </c>
      <c r="I2493">
        <v>0</v>
      </c>
      <c r="J2493" t="s">
        <v>37</v>
      </c>
    </row>
    <row r="2494" spans="1:10" x14ac:dyDescent="0.25">
      <c r="A2494" s="1">
        <v>637</v>
      </c>
      <c r="B2494" t="s">
        <v>19</v>
      </c>
      <c r="C2494">
        <v>782</v>
      </c>
      <c r="D2494">
        <v>7</v>
      </c>
      <c r="E2494" t="s">
        <v>43</v>
      </c>
      <c r="F2494" t="s">
        <v>44</v>
      </c>
      <c r="G2494" t="str">
        <f>"2025-05-14 20:46:01.031"</f>
        <v>2025-05-14 20:46:01.031</v>
      </c>
      <c r="H2494" t="s">
        <v>21</v>
      </c>
      <c r="I2494">
        <v>0</v>
      </c>
      <c r="J2494" t="s">
        <v>37</v>
      </c>
    </row>
    <row r="2495" spans="1:10" x14ac:dyDescent="0.25">
      <c r="A2495" s="1">
        <v>640</v>
      </c>
      <c r="B2495" t="s">
        <v>25</v>
      </c>
      <c r="C2495">
        <v>619</v>
      </c>
      <c r="D2495">
        <v>1</v>
      </c>
      <c r="E2495" t="s">
        <v>26</v>
      </c>
      <c r="F2495" t="s">
        <v>27</v>
      </c>
      <c r="G2495" t="str">
        <f>"2025-05-14 20:46:01.023"</f>
        <v>2025-05-14 20:46:01.023</v>
      </c>
      <c r="H2495" t="s">
        <v>28</v>
      </c>
    </row>
    <row r="2496" spans="1:10" x14ac:dyDescent="0.25">
      <c r="A2496" s="1">
        <v>641</v>
      </c>
      <c r="B2496" t="s">
        <v>25</v>
      </c>
      <c r="C2496">
        <v>55</v>
      </c>
      <c r="D2496">
        <v>1</v>
      </c>
      <c r="E2496" t="s">
        <v>87</v>
      </c>
      <c r="F2496" t="s">
        <v>88</v>
      </c>
      <c r="G2496" t="str">
        <f>"2025-05-14 20:46:01.016"</f>
        <v>2025-05-14 20:46:01.016</v>
      </c>
      <c r="H2496" t="s">
        <v>21</v>
      </c>
    </row>
    <row r="2497" spans="1:10" x14ac:dyDescent="0.25">
      <c r="A2497" s="1">
        <v>642</v>
      </c>
      <c r="B2497" t="s">
        <v>19</v>
      </c>
      <c r="C2497">
        <v>782</v>
      </c>
      <c r="D2497">
        <v>7</v>
      </c>
      <c r="E2497" t="s">
        <v>43</v>
      </c>
      <c r="F2497" t="s">
        <v>44</v>
      </c>
      <c r="G2497" t="str">
        <f>"2025-05-14 20:46:01.011"</f>
        <v>2025-05-14 20:46:01.011</v>
      </c>
      <c r="H2497" t="s">
        <v>21</v>
      </c>
      <c r="I2497">
        <v>0</v>
      </c>
      <c r="J2497" t="s">
        <v>37</v>
      </c>
    </row>
    <row r="2498" spans="1:10" x14ac:dyDescent="0.25">
      <c r="A2498" s="1">
        <v>643</v>
      </c>
      <c r="B2498" t="s">
        <v>29</v>
      </c>
      <c r="C2498">
        <v>619</v>
      </c>
      <c r="D2498">
        <v>1</v>
      </c>
      <c r="E2498" t="s">
        <v>26</v>
      </c>
      <c r="F2498" t="s">
        <v>27</v>
      </c>
      <c r="G2498" t="str">
        <f>"2025-05-14 20:41:30.111"</f>
        <v>2025-05-14 20:41:30.111</v>
      </c>
      <c r="H2498" t="s">
        <v>28</v>
      </c>
      <c r="I2498">
        <v>0</v>
      </c>
      <c r="J2498" t="s">
        <v>24</v>
      </c>
    </row>
    <row r="2499" spans="1:10" x14ac:dyDescent="0.25">
      <c r="A2499" s="1">
        <v>644</v>
      </c>
      <c r="B2499" t="s">
        <v>19</v>
      </c>
      <c r="C2499">
        <v>706</v>
      </c>
      <c r="D2499">
        <v>2</v>
      </c>
      <c r="E2499" t="s">
        <v>22</v>
      </c>
      <c r="F2499" t="s">
        <v>53</v>
      </c>
      <c r="G2499" t="str">
        <f>"2025-05-14 20:41:23.558"</f>
        <v>2025-05-14 20:41:23.558</v>
      </c>
      <c r="H2499" t="s">
        <v>21</v>
      </c>
      <c r="I2499">
        <v>0</v>
      </c>
      <c r="J2499" t="s">
        <v>24</v>
      </c>
    </row>
    <row r="2500" spans="1:10" x14ac:dyDescent="0.25">
      <c r="A2500" s="1">
        <v>645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"2025-05-14 20:40:40.488"</f>
        <v>2025-05-14 20:40:40.488</v>
      </c>
      <c r="H2500" t="s">
        <v>21</v>
      </c>
    </row>
    <row r="2501" spans="1:10" x14ac:dyDescent="0.25">
      <c r="A2501" s="1">
        <v>646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"2025-05-14 20:16:51.486"</f>
        <v>2025-05-14 20:16:51.486</v>
      </c>
      <c r="H2501" t="s">
        <v>21</v>
      </c>
    </row>
    <row r="2502" spans="1:10" x14ac:dyDescent="0.25">
      <c r="A2502" s="1">
        <v>647</v>
      </c>
      <c r="B2502" t="s">
        <v>19</v>
      </c>
      <c r="C2502">
        <v>706</v>
      </c>
      <c r="D2502">
        <v>4</v>
      </c>
      <c r="E2502" t="s">
        <v>22</v>
      </c>
      <c r="F2502" t="s">
        <v>31</v>
      </c>
      <c r="G2502" t="str">
        <f>"2025-05-14 20:11:10.048"</f>
        <v>2025-05-14 20:11:10.048</v>
      </c>
      <c r="H2502" t="s">
        <v>21</v>
      </c>
      <c r="I2502">
        <v>0</v>
      </c>
      <c r="J2502" t="s">
        <v>24</v>
      </c>
    </row>
    <row r="2503" spans="1:10" x14ac:dyDescent="0.25">
      <c r="A2503" s="1">
        <v>648</v>
      </c>
      <c r="B2503" t="s">
        <v>19</v>
      </c>
      <c r="C2503">
        <v>700</v>
      </c>
      <c r="D2503">
        <v>0</v>
      </c>
      <c r="E2503" t="s">
        <v>20</v>
      </c>
      <c r="F2503" t="s">
        <v>20</v>
      </c>
      <c r="G2503" t="str">
        <f>"2025-05-14 20:10:16.488"</f>
        <v>2025-05-14 20:10:16.488</v>
      </c>
      <c r="H2503" t="s">
        <v>21</v>
      </c>
      <c r="I2503">
        <v>0</v>
      </c>
      <c r="J2503" t="s">
        <v>32</v>
      </c>
    </row>
    <row r="2504" spans="1:10" x14ac:dyDescent="0.25">
      <c r="A2504" s="1">
        <v>649</v>
      </c>
      <c r="B2504" t="s">
        <v>19</v>
      </c>
      <c r="C2504">
        <v>706</v>
      </c>
      <c r="D2504">
        <v>4</v>
      </c>
      <c r="E2504" t="s">
        <v>22</v>
      </c>
      <c r="F2504" t="s">
        <v>31</v>
      </c>
      <c r="G2504" t="str">
        <f>"2025-05-14 20:08:24.650"</f>
        <v>2025-05-14 20:08:24.650</v>
      </c>
      <c r="H2504" t="s">
        <v>21</v>
      </c>
      <c r="I2504">
        <v>0</v>
      </c>
      <c r="J2504" t="s">
        <v>24</v>
      </c>
    </row>
    <row r="2505" spans="1:10" x14ac:dyDescent="0.25">
      <c r="A2505" s="1">
        <v>650</v>
      </c>
      <c r="B2505" t="s">
        <v>19</v>
      </c>
      <c r="C2505">
        <v>700</v>
      </c>
      <c r="D2505">
        <v>0</v>
      </c>
      <c r="E2505" t="s">
        <v>20</v>
      </c>
      <c r="F2505" t="s">
        <v>20</v>
      </c>
      <c r="G2505" t="str">
        <f>"2025-05-14 20:07:48.480"</f>
        <v>2025-05-14 20:07:48.480</v>
      </c>
      <c r="H2505" t="s">
        <v>21</v>
      </c>
      <c r="I2505">
        <v>0</v>
      </c>
      <c r="J2505" t="s">
        <v>32</v>
      </c>
    </row>
    <row r="2506" spans="1:10" x14ac:dyDescent="0.25">
      <c r="A2506" s="1">
        <v>651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"2025-05-14 20:06:02.483"</f>
        <v>2025-05-14 20:06:02.483</v>
      </c>
      <c r="H2506" t="s">
        <v>21</v>
      </c>
    </row>
    <row r="2507" spans="1:10" x14ac:dyDescent="0.25">
      <c r="A2507" s="1">
        <v>652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"2025-05-13 15:34:06.484"</f>
        <v>2025-05-13 15:34:06.484</v>
      </c>
      <c r="H2507" t="s">
        <v>21</v>
      </c>
    </row>
    <row r="2508" spans="1:10" x14ac:dyDescent="0.25">
      <c r="A2508" s="1">
        <v>653</v>
      </c>
      <c r="B2508" t="s">
        <v>25</v>
      </c>
      <c r="C2508">
        <v>619</v>
      </c>
      <c r="D2508">
        <v>1</v>
      </c>
      <c r="E2508" t="s">
        <v>26</v>
      </c>
      <c r="F2508" t="s">
        <v>27</v>
      </c>
      <c r="G2508" t="str">
        <f>"2025-05-13 13:54:43.166"</f>
        <v>2025-05-13 13:54:43.166</v>
      </c>
      <c r="H2508" t="s">
        <v>28</v>
      </c>
    </row>
    <row r="2509" spans="1:10" x14ac:dyDescent="0.25">
      <c r="A2509" s="1">
        <v>654</v>
      </c>
      <c r="B2509" t="s">
        <v>29</v>
      </c>
      <c r="C2509">
        <v>619</v>
      </c>
      <c r="D2509">
        <v>1</v>
      </c>
      <c r="E2509" t="s">
        <v>26</v>
      </c>
      <c r="F2509" t="s">
        <v>27</v>
      </c>
      <c r="G2509" t="str">
        <f>"2025-05-13 13:54:05.313"</f>
        <v>2025-05-13 13:54:05.313</v>
      </c>
      <c r="H2509" t="s">
        <v>28</v>
      </c>
      <c r="I2509">
        <v>0</v>
      </c>
      <c r="J2509" t="s">
        <v>37</v>
      </c>
    </row>
    <row r="2510" spans="1:10" x14ac:dyDescent="0.25">
      <c r="A2510" s="1">
        <v>655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"2025-05-13 13:53:24.483"</f>
        <v>2025-05-13 13:53:24.483</v>
      </c>
      <c r="H2510" t="s">
        <v>21</v>
      </c>
      <c r="I2510">
        <v>0</v>
      </c>
      <c r="J2510" t="s">
        <v>32</v>
      </c>
    </row>
    <row r="2511" spans="1:10" x14ac:dyDescent="0.25">
      <c r="A2511" s="1">
        <v>656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"2025-05-12 09:54:05.485"</f>
        <v>2025-05-12 09:54:05.485</v>
      </c>
      <c r="H2511" t="s">
        <v>21</v>
      </c>
    </row>
    <row r="2512" spans="1:10" x14ac:dyDescent="0.25">
      <c r="A2512" s="1">
        <v>657</v>
      </c>
      <c r="B2512" t="s">
        <v>25</v>
      </c>
      <c r="C2512">
        <v>619</v>
      </c>
      <c r="D2512">
        <v>1</v>
      </c>
      <c r="E2512" t="s">
        <v>26</v>
      </c>
      <c r="F2512" t="s">
        <v>27</v>
      </c>
      <c r="G2512" t="str">
        <f>"2025-05-12 09:45:31.491"</f>
        <v>2025-05-12 09:45:31.491</v>
      </c>
      <c r="H2512" t="s">
        <v>28</v>
      </c>
    </row>
    <row r="2513" spans="1:10" x14ac:dyDescent="0.25">
      <c r="A2513" s="1">
        <v>658</v>
      </c>
      <c r="B2513" t="s">
        <v>25</v>
      </c>
      <c r="C2513">
        <v>630</v>
      </c>
      <c r="D2513">
        <v>5</v>
      </c>
      <c r="E2513" t="s">
        <v>51</v>
      </c>
      <c r="F2513" t="s">
        <v>52</v>
      </c>
      <c r="G2513" t="str">
        <f>"2025-05-12 09:44:48.192"</f>
        <v>2025-05-12 09:44:48.192</v>
      </c>
      <c r="H2513" t="s">
        <v>40</v>
      </c>
    </row>
    <row r="2514" spans="1:10" x14ac:dyDescent="0.25">
      <c r="A2514" s="1">
        <v>659</v>
      </c>
      <c r="B2514" t="s">
        <v>29</v>
      </c>
      <c r="C2514">
        <v>619</v>
      </c>
      <c r="D2514">
        <v>1</v>
      </c>
      <c r="E2514" t="s">
        <v>26</v>
      </c>
      <c r="F2514" t="s">
        <v>27</v>
      </c>
      <c r="G2514" t="str">
        <f>"2025-05-12 09:44:23.043"</f>
        <v>2025-05-12 09:44:23.043</v>
      </c>
      <c r="H2514" t="s">
        <v>28</v>
      </c>
      <c r="I2514">
        <v>0</v>
      </c>
      <c r="J2514" t="s">
        <v>24</v>
      </c>
    </row>
    <row r="2515" spans="1:10" x14ac:dyDescent="0.25">
      <c r="A2515" s="1">
        <v>660</v>
      </c>
      <c r="B2515" t="s">
        <v>19</v>
      </c>
      <c r="C2515">
        <v>706</v>
      </c>
      <c r="D2515">
        <v>2</v>
      </c>
      <c r="E2515" t="s">
        <v>22</v>
      </c>
      <c r="F2515" t="s">
        <v>53</v>
      </c>
      <c r="G2515" t="str">
        <f>"2025-05-12 09:44:18.081"</f>
        <v>2025-05-12 09:44:18.081</v>
      </c>
      <c r="H2515" t="s">
        <v>21</v>
      </c>
      <c r="I2515">
        <v>0</v>
      </c>
      <c r="J2515" t="s">
        <v>24</v>
      </c>
    </row>
    <row r="2516" spans="1:10" x14ac:dyDescent="0.25">
      <c r="A2516" s="1">
        <v>661</v>
      </c>
      <c r="B2516" t="s">
        <v>33</v>
      </c>
      <c r="C2516">
        <v>630</v>
      </c>
      <c r="D2516">
        <v>5</v>
      </c>
      <c r="E2516" t="s">
        <v>51</v>
      </c>
      <c r="F2516" t="s">
        <v>52</v>
      </c>
      <c r="G2516" t="str">
        <f>"2025-05-12 09:27:18.292"</f>
        <v>2025-05-12 09:27:18.292</v>
      </c>
      <c r="H2516" t="s">
        <v>40</v>
      </c>
      <c r="I2516">
        <v>0</v>
      </c>
      <c r="J2516" t="s">
        <v>24</v>
      </c>
    </row>
    <row r="2517" spans="1:10" x14ac:dyDescent="0.25">
      <c r="A2517" s="1">
        <v>662</v>
      </c>
      <c r="B2517" t="s">
        <v>19</v>
      </c>
      <c r="C2517">
        <v>700</v>
      </c>
      <c r="D2517">
        <v>0</v>
      </c>
      <c r="E2517" t="s">
        <v>20</v>
      </c>
      <c r="F2517" t="s">
        <v>20</v>
      </c>
      <c r="G2517" t="str">
        <f>"2025-05-12 09:22:15.481"</f>
        <v>2025-05-12 09:22:15.481</v>
      </c>
      <c r="H2517" t="s">
        <v>21</v>
      </c>
      <c r="I2517">
        <v>0</v>
      </c>
      <c r="J2517" t="s">
        <v>32</v>
      </c>
    </row>
    <row r="2518" spans="1:10" x14ac:dyDescent="0.25">
      <c r="A2518" s="1">
        <v>663</v>
      </c>
      <c r="B2518" t="s">
        <v>33</v>
      </c>
      <c r="C2518">
        <v>630</v>
      </c>
      <c r="D2518">
        <v>5</v>
      </c>
      <c r="E2518" t="s">
        <v>51</v>
      </c>
      <c r="F2518" t="s">
        <v>52</v>
      </c>
      <c r="G2518" t="str">
        <f>"2025-05-12 09:06:51.818"</f>
        <v>2025-05-12 09:06:51.818</v>
      </c>
      <c r="H2518" t="s">
        <v>40</v>
      </c>
      <c r="I2518">
        <v>0</v>
      </c>
      <c r="J2518" t="s">
        <v>24</v>
      </c>
    </row>
    <row r="2519" spans="1:10" x14ac:dyDescent="0.25">
      <c r="A2519" s="1">
        <v>664</v>
      </c>
      <c r="B2519" t="s">
        <v>19</v>
      </c>
      <c r="C2519">
        <v>700</v>
      </c>
      <c r="D2519">
        <v>0</v>
      </c>
      <c r="E2519" t="s">
        <v>20</v>
      </c>
      <c r="F2519" t="s">
        <v>20</v>
      </c>
      <c r="G2519" t="str">
        <f>"2025-05-12 09:01:48.975"</f>
        <v>2025-05-12 09:01:48.975</v>
      </c>
      <c r="H2519" t="s">
        <v>21</v>
      </c>
    </row>
    <row r="2520" spans="1:10" x14ac:dyDescent="0.25">
      <c r="A2520" s="1">
        <v>665</v>
      </c>
      <c r="B2520" t="s">
        <v>25</v>
      </c>
      <c r="C2520">
        <v>635</v>
      </c>
      <c r="D2520">
        <v>1</v>
      </c>
      <c r="E2520" t="s">
        <v>45</v>
      </c>
      <c r="F2520" t="s">
        <v>27</v>
      </c>
      <c r="G2520" t="str">
        <f>"2025-05-12 05:34:42.558"</f>
        <v>2025-05-12 05:34:42.558</v>
      </c>
      <c r="H2520" t="s">
        <v>21</v>
      </c>
    </row>
    <row r="2521" spans="1:10" x14ac:dyDescent="0.25">
      <c r="A2521" s="1">
        <v>666</v>
      </c>
      <c r="B2521" t="s">
        <v>29</v>
      </c>
      <c r="C2521">
        <v>635</v>
      </c>
      <c r="D2521">
        <v>1</v>
      </c>
      <c r="E2521" t="s">
        <v>45</v>
      </c>
      <c r="F2521" t="s">
        <v>27</v>
      </c>
      <c r="G2521" t="str">
        <f>"2025-05-12 05:16:54.058"</f>
        <v>2025-05-12 05:16:54.058</v>
      </c>
      <c r="H2521" t="s">
        <v>21</v>
      </c>
      <c r="I2521">
        <v>7.97</v>
      </c>
      <c r="J2521" t="s">
        <v>42</v>
      </c>
    </row>
    <row r="2522" spans="1:10" x14ac:dyDescent="0.25">
      <c r="A2522" s="1">
        <v>667</v>
      </c>
      <c r="B2522" t="s">
        <v>25</v>
      </c>
      <c r="C2522">
        <v>635</v>
      </c>
      <c r="D2522">
        <v>1</v>
      </c>
      <c r="E2522" t="s">
        <v>45</v>
      </c>
      <c r="F2522" t="s">
        <v>27</v>
      </c>
      <c r="G2522" t="str">
        <f>"2025-05-11 20:27:57.958"</f>
        <v>2025-05-11 20:27:57.958</v>
      </c>
      <c r="H2522" t="s">
        <v>21</v>
      </c>
    </row>
    <row r="2523" spans="1:10" x14ac:dyDescent="0.25">
      <c r="A2523" s="1">
        <v>668</v>
      </c>
      <c r="B2523" t="s">
        <v>29</v>
      </c>
      <c r="C2523">
        <v>635</v>
      </c>
      <c r="D2523">
        <v>1</v>
      </c>
      <c r="E2523" t="s">
        <v>45</v>
      </c>
      <c r="F2523" t="s">
        <v>27</v>
      </c>
      <c r="G2523" t="str">
        <f>"2025-05-11 20:13:16.458"</f>
        <v>2025-05-11 20:13:16.458</v>
      </c>
      <c r="H2523" t="s">
        <v>21</v>
      </c>
      <c r="I2523">
        <v>9.5299999999999994</v>
      </c>
      <c r="J2523" t="s">
        <v>42</v>
      </c>
    </row>
    <row r="2524" spans="1:10" x14ac:dyDescent="0.25">
      <c r="A2524" s="1">
        <v>669</v>
      </c>
      <c r="B2524" t="s">
        <v>25</v>
      </c>
      <c r="C2524">
        <v>635</v>
      </c>
      <c r="D2524">
        <v>1</v>
      </c>
      <c r="E2524" t="s">
        <v>45</v>
      </c>
      <c r="F2524" t="s">
        <v>27</v>
      </c>
      <c r="G2524" t="str">
        <f>"2025-05-11 00:23:28.358"</f>
        <v>2025-05-11 00:23:28.358</v>
      </c>
      <c r="H2524" t="s">
        <v>21</v>
      </c>
    </row>
    <row r="2525" spans="1:10" x14ac:dyDescent="0.25">
      <c r="A2525" s="1">
        <v>670</v>
      </c>
      <c r="B2525" t="s">
        <v>29</v>
      </c>
      <c r="C2525">
        <v>635</v>
      </c>
      <c r="D2525">
        <v>1</v>
      </c>
      <c r="E2525" t="s">
        <v>45</v>
      </c>
      <c r="F2525" t="s">
        <v>27</v>
      </c>
      <c r="G2525" t="str">
        <f>"2025-05-10 23:51:44.959"</f>
        <v>2025-05-10 23:51:44.959</v>
      </c>
      <c r="H2525" t="s">
        <v>21</v>
      </c>
      <c r="I2525">
        <v>7.8</v>
      </c>
      <c r="J2525" t="s">
        <v>42</v>
      </c>
    </row>
    <row r="2526" spans="1:10" x14ac:dyDescent="0.25">
      <c r="A2526" s="1">
        <v>671</v>
      </c>
      <c r="B2526" t="s">
        <v>19</v>
      </c>
      <c r="C2526">
        <v>700</v>
      </c>
      <c r="D2526">
        <v>0</v>
      </c>
      <c r="E2526" t="s">
        <v>20</v>
      </c>
      <c r="F2526" t="s">
        <v>20</v>
      </c>
      <c r="G2526" t="str">
        <f>"2025-05-10 23:19:57.477"</f>
        <v>2025-05-10 23:19:57.477</v>
      </c>
      <c r="H2526" t="s">
        <v>21</v>
      </c>
      <c r="I2526">
        <v>0</v>
      </c>
      <c r="J2526" t="s">
        <v>32</v>
      </c>
    </row>
    <row r="2527" spans="1:10" s="3" customFormat="1" x14ac:dyDescent="0.25">
      <c r="A2527" s="2">
        <v>672</v>
      </c>
      <c r="B2527" s="3" t="s">
        <v>25</v>
      </c>
      <c r="C2527" s="3">
        <v>647</v>
      </c>
      <c r="D2527" s="3">
        <v>1</v>
      </c>
      <c r="E2527" s="3" t="s">
        <v>55</v>
      </c>
      <c r="F2527" s="3" t="s">
        <v>56</v>
      </c>
      <c r="G2527" s="3" t="str">
        <f>"2025-05-10 11:16:19.364"</f>
        <v>2025-05-10 11:16:19.364</v>
      </c>
      <c r="H2527" s="3" t="s">
        <v>21</v>
      </c>
    </row>
    <row r="2528" spans="1:10" s="3" customFormat="1" x14ac:dyDescent="0.25">
      <c r="A2528" s="2">
        <v>673</v>
      </c>
      <c r="B2528" s="3" t="s">
        <v>29</v>
      </c>
      <c r="C2528" s="3">
        <v>647</v>
      </c>
      <c r="D2528" s="3">
        <v>1</v>
      </c>
      <c r="E2528" s="3" t="s">
        <v>55</v>
      </c>
      <c r="F2528" s="3" t="s">
        <v>56</v>
      </c>
      <c r="G2528" s="3" t="str">
        <f>"2025-05-10 11:16:15.464"</f>
        <v>2025-05-10 11:16:15.464</v>
      </c>
      <c r="H2528" s="3" t="s">
        <v>21</v>
      </c>
      <c r="I2528" s="3">
        <v>13.93</v>
      </c>
      <c r="J2528" s="3" t="s">
        <v>54</v>
      </c>
    </row>
    <row r="2529" spans="1:10" s="3" customFormat="1" x14ac:dyDescent="0.25">
      <c r="A2529" s="2">
        <v>674</v>
      </c>
      <c r="B2529" s="3" t="s">
        <v>25</v>
      </c>
      <c r="C2529" s="3">
        <v>647</v>
      </c>
      <c r="D2529" s="3">
        <v>1</v>
      </c>
      <c r="E2529" s="3" t="s">
        <v>55</v>
      </c>
      <c r="F2529" s="3" t="s">
        <v>56</v>
      </c>
      <c r="G2529" s="3" t="str">
        <f>"2025-05-10 10:56:26.164"</f>
        <v>2025-05-10 10:56:26.164</v>
      </c>
      <c r="H2529" s="3" t="s">
        <v>21</v>
      </c>
    </row>
    <row r="2530" spans="1:10" s="3" customFormat="1" x14ac:dyDescent="0.25">
      <c r="A2530" s="2">
        <v>675</v>
      </c>
      <c r="B2530" s="3" t="s">
        <v>29</v>
      </c>
      <c r="C2530" s="3">
        <v>647</v>
      </c>
      <c r="D2530" s="3">
        <v>1</v>
      </c>
      <c r="E2530" s="3" t="s">
        <v>55</v>
      </c>
      <c r="F2530" s="3" t="s">
        <v>56</v>
      </c>
      <c r="G2530" s="3" t="str">
        <f>"2025-05-10 10:56:21.664"</f>
        <v>2025-05-10 10:56:21.664</v>
      </c>
      <c r="H2530" s="3" t="s">
        <v>21</v>
      </c>
      <c r="I2530" s="3">
        <v>8.34</v>
      </c>
      <c r="J2530" s="3" t="s">
        <v>37</v>
      </c>
    </row>
    <row r="2531" spans="1:10" x14ac:dyDescent="0.25">
      <c r="A2531" s="1">
        <v>676</v>
      </c>
      <c r="B2531" t="s">
        <v>25</v>
      </c>
      <c r="C2531">
        <v>619</v>
      </c>
      <c r="D2531">
        <v>1</v>
      </c>
      <c r="E2531" t="s">
        <v>26</v>
      </c>
      <c r="F2531" t="s">
        <v>27</v>
      </c>
      <c r="G2531" t="str">
        <f>"2025-05-09 02:23:42.863"</f>
        <v>2025-05-09 02:23:42.863</v>
      </c>
      <c r="H2531" t="s">
        <v>28</v>
      </c>
    </row>
    <row r="2532" spans="1:10" x14ac:dyDescent="0.25">
      <c r="A2532" s="1">
        <v>677</v>
      </c>
      <c r="B2532" t="s">
        <v>29</v>
      </c>
      <c r="C2532">
        <v>619</v>
      </c>
      <c r="D2532">
        <v>1</v>
      </c>
      <c r="E2532" t="s">
        <v>26</v>
      </c>
      <c r="F2532" t="s">
        <v>27</v>
      </c>
      <c r="G2532" t="str">
        <f>"2025-05-09 02:22:51.510"</f>
        <v>2025-05-09 02:22:51.510</v>
      </c>
      <c r="H2532" t="s">
        <v>28</v>
      </c>
      <c r="I2532">
        <v>0</v>
      </c>
      <c r="J2532" t="s">
        <v>24</v>
      </c>
    </row>
    <row r="2533" spans="1:10" x14ac:dyDescent="0.25">
      <c r="A2533" s="1">
        <v>678</v>
      </c>
      <c r="B2533" t="s">
        <v>19</v>
      </c>
      <c r="C2533">
        <v>700</v>
      </c>
      <c r="D2533">
        <v>0</v>
      </c>
      <c r="E2533" t="s">
        <v>20</v>
      </c>
      <c r="F2533" t="s">
        <v>20</v>
      </c>
      <c r="G2533" t="str">
        <f>"2025-05-09 02:22:32.469"</f>
        <v>2025-05-09 02:22:32.469</v>
      </c>
      <c r="H2533" t="s">
        <v>21</v>
      </c>
      <c r="I2533">
        <v>0</v>
      </c>
      <c r="J2533" t="s">
        <v>32</v>
      </c>
    </row>
    <row r="2534" spans="1:10" x14ac:dyDescent="0.25">
      <c r="A2534" s="1">
        <v>679</v>
      </c>
      <c r="B2534" t="s">
        <v>19</v>
      </c>
      <c r="C2534">
        <v>700</v>
      </c>
      <c r="D2534">
        <v>0</v>
      </c>
      <c r="E2534" t="s">
        <v>20</v>
      </c>
      <c r="F2534" t="s">
        <v>20</v>
      </c>
      <c r="G2534" t="str">
        <f>"2025-05-09 00:08:47.719"</f>
        <v>2025-05-09 00:08:47.719</v>
      </c>
      <c r="H2534" t="s">
        <v>21</v>
      </c>
    </row>
    <row r="2535" spans="1:10" s="3" customFormat="1" x14ac:dyDescent="0.25">
      <c r="A2535" s="2">
        <v>680</v>
      </c>
      <c r="B2535" s="3" t="s">
        <v>25</v>
      </c>
      <c r="C2535" s="3">
        <v>647</v>
      </c>
      <c r="D2535" s="3">
        <v>1</v>
      </c>
      <c r="E2535" s="3" t="s">
        <v>55</v>
      </c>
      <c r="F2535" s="3" t="s">
        <v>56</v>
      </c>
      <c r="G2535" s="3" t="str">
        <f>"2025-05-08 08:52:31.868"</f>
        <v>2025-05-08 08:52:31.868</v>
      </c>
      <c r="H2535" s="3" t="s">
        <v>21</v>
      </c>
    </row>
    <row r="2536" spans="1:10" s="3" customFormat="1" x14ac:dyDescent="0.25">
      <c r="A2536" s="2">
        <v>681</v>
      </c>
      <c r="B2536" s="3" t="s">
        <v>29</v>
      </c>
      <c r="C2536" s="3">
        <v>647</v>
      </c>
      <c r="D2536" s="3">
        <v>1</v>
      </c>
      <c r="E2536" s="3" t="s">
        <v>55</v>
      </c>
      <c r="F2536" s="3" t="s">
        <v>56</v>
      </c>
      <c r="G2536" s="3" t="str">
        <f>"2025-05-08 08:52:29.168"</f>
        <v>2025-05-08 08:52:29.168</v>
      </c>
      <c r="H2536" s="3" t="s">
        <v>21</v>
      </c>
      <c r="I2536" s="3">
        <v>21.55</v>
      </c>
      <c r="J2536" s="3" t="s">
        <v>54</v>
      </c>
    </row>
    <row r="2537" spans="1:10" x14ac:dyDescent="0.25">
      <c r="A2537" s="1">
        <v>682</v>
      </c>
      <c r="B2537" t="s">
        <v>25</v>
      </c>
      <c r="C2537">
        <v>635</v>
      </c>
      <c r="D2537">
        <v>1</v>
      </c>
      <c r="E2537" t="s">
        <v>45</v>
      </c>
      <c r="F2537" t="s">
        <v>27</v>
      </c>
      <c r="G2537" t="str">
        <f>"2025-05-08 06:05:40.767"</f>
        <v>2025-05-08 06:05:40.767</v>
      </c>
      <c r="H2537" t="s">
        <v>21</v>
      </c>
    </row>
    <row r="2538" spans="1:10" x14ac:dyDescent="0.25">
      <c r="A2538" s="1">
        <v>683</v>
      </c>
      <c r="B2538" t="s">
        <v>29</v>
      </c>
      <c r="C2538">
        <v>635</v>
      </c>
      <c r="D2538">
        <v>1</v>
      </c>
      <c r="E2538" t="s">
        <v>45</v>
      </c>
      <c r="F2538" t="s">
        <v>27</v>
      </c>
      <c r="G2538" t="str">
        <f>"2025-05-08 05:58:26.267"</f>
        <v>2025-05-08 05:58:26.267</v>
      </c>
      <c r="H2538" t="s">
        <v>21</v>
      </c>
      <c r="I2538">
        <v>6.39</v>
      </c>
      <c r="J2538" t="s">
        <v>42</v>
      </c>
    </row>
    <row r="2539" spans="1:10" x14ac:dyDescent="0.25">
      <c r="A2539" s="1">
        <v>685</v>
      </c>
      <c r="B2539" t="s">
        <v>25</v>
      </c>
      <c r="C2539">
        <v>635</v>
      </c>
      <c r="D2539">
        <v>1</v>
      </c>
      <c r="E2539" t="s">
        <v>45</v>
      </c>
      <c r="F2539" t="s">
        <v>27</v>
      </c>
      <c r="G2539" t="str">
        <f>"2025-05-06 17:06:42.667"</f>
        <v>2025-05-06 17:06:42.667</v>
      </c>
      <c r="H2539" t="s">
        <v>21</v>
      </c>
    </row>
    <row r="2540" spans="1:10" x14ac:dyDescent="0.25">
      <c r="A2540" s="1">
        <v>686</v>
      </c>
      <c r="B2540" t="s">
        <v>29</v>
      </c>
      <c r="C2540">
        <v>635</v>
      </c>
      <c r="D2540">
        <v>1</v>
      </c>
      <c r="E2540" t="s">
        <v>45</v>
      </c>
      <c r="F2540" t="s">
        <v>27</v>
      </c>
      <c r="G2540" t="str">
        <f>"2025-05-06 16:59:07.167"</f>
        <v>2025-05-06 16:59:07.167</v>
      </c>
      <c r="H2540" t="s">
        <v>21</v>
      </c>
      <c r="I2540">
        <v>1.1599999999999999</v>
      </c>
      <c r="J2540" t="s">
        <v>42</v>
      </c>
    </row>
    <row r="2541" spans="1:10" x14ac:dyDescent="0.25">
      <c r="A2541" s="1">
        <v>687</v>
      </c>
      <c r="B2541" t="s">
        <v>25</v>
      </c>
      <c r="C2541">
        <v>635</v>
      </c>
      <c r="D2541">
        <v>1</v>
      </c>
      <c r="E2541" t="s">
        <v>45</v>
      </c>
      <c r="F2541" t="s">
        <v>27</v>
      </c>
      <c r="G2541" t="str">
        <f>"2025-05-06 08:22:12.967"</f>
        <v>2025-05-06 08:22:12.967</v>
      </c>
      <c r="H2541" t="s">
        <v>21</v>
      </c>
    </row>
    <row r="2542" spans="1:10" x14ac:dyDescent="0.25">
      <c r="A2542" s="1">
        <v>688</v>
      </c>
      <c r="B2542" t="s">
        <v>29</v>
      </c>
      <c r="C2542">
        <v>635</v>
      </c>
      <c r="D2542">
        <v>1</v>
      </c>
      <c r="E2542" t="s">
        <v>45</v>
      </c>
      <c r="F2542" t="s">
        <v>27</v>
      </c>
      <c r="G2542" t="str">
        <f>"2025-05-06 08:18:38.967"</f>
        <v>2025-05-06 08:18:38.967</v>
      </c>
      <c r="H2542" t="s">
        <v>21</v>
      </c>
      <c r="I2542">
        <v>0.65</v>
      </c>
      <c r="J2542" t="s">
        <v>54</v>
      </c>
    </row>
    <row r="2543" spans="1:10" x14ac:dyDescent="0.25">
      <c r="A2543" s="1">
        <v>689</v>
      </c>
      <c r="B2543" t="s">
        <v>25</v>
      </c>
      <c r="C2543">
        <v>619</v>
      </c>
      <c r="D2543">
        <v>1</v>
      </c>
      <c r="E2543" t="s">
        <v>26</v>
      </c>
      <c r="F2543" t="s">
        <v>27</v>
      </c>
      <c r="G2543" t="str">
        <f>"2025-05-05 21:53:43.514"</f>
        <v>2025-05-05 21:53:43.514</v>
      </c>
      <c r="H2543" t="s">
        <v>28</v>
      </c>
    </row>
    <row r="2544" spans="1:10" x14ac:dyDescent="0.25">
      <c r="A2544" s="1">
        <v>690</v>
      </c>
      <c r="B2544" t="s">
        <v>29</v>
      </c>
      <c r="C2544">
        <v>619</v>
      </c>
      <c r="D2544">
        <v>1</v>
      </c>
      <c r="E2544" t="s">
        <v>26</v>
      </c>
      <c r="F2544" t="s">
        <v>27</v>
      </c>
      <c r="G2544" t="str">
        <f>"2025-05-05 21:53:11.914"</f>
        <v>2025-05-05 21:53:11.914</v>
      </c>
      <c r="H2544" t="s">
        <v>28</v>
      </c>
      <c r="I2544">
        <v>0</v>
      </c>
      <c r="J2544" t="s">
        <v>37</v>
      </c>
    </row>
    <row r="2545" spans="1:10" x14ac:dyDescent="0.25">
      <c r="A2545" s="1">
        <v>691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"2025-05-05 21:52:41.472"</f>
        <v>2025-05-05 21:52:41.472</v>
      </c>
      <c r="H2545" t="s">
        <v>21</v>
      </c>
    </row>
    <row r="2546" spans="1:10" x14ac:dyDescent="0.25">
      <c r="A2546" s="1">
        <v>692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"2025-05-04 20:35:06.469"</f>
        <v>2025-05-04 20:35:06.469</v>
      </c>
      <c r="H2546" t="s">
        <v>21</v>
      </c>
      <c r="I2546">
        <v>0</v>
      </c>
      <c r="J2546" t="s">
        <v>32</v>
      </c>
    </row>
    <row r="2547" spans="1:10" x14ac:dyDescent="0.25">
      <c r="A2547" s="1">
        <v>693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"2025-05-04 20:32:12.567"</f>
        <v>2025-05-04 20:32:12.567</v>
      </c>
      <c r="H2547" t="s">
        <v>21</v>
      </c>
      <c r="I2547">
        <v>0</v>
      </c>
      <c r="J2547" t="s">
        <v>32</v>
      </c>
    </row>
    <row r="2548" spans="1:10" x14ac:dyDescent="0.25">
      <c r="A2548" s="1">
        <v>694</v>
      </c>
      <c r="B2548" t="s">
        <v>25</v>
      </c>
      <c r="C2548">
        <v>635</v>
      </c>
      <c r="D2548">
        <v>1</v>
      </c>
      <c r="E2548" t="s">
        <v>45</v>
      </c>
      <c r="F2548" t="s">
        <v>27</v>
      </c>
      <c r="G2548" t="str">
        <f>"2025-05-03 00:37:26.141"</f>
        <v>2025-05-03 00:37:26.141</v>
      </c>
      <c r="H2548" t="s">
        <v>21</v>
      </c>
    </row>
    <row r="2549" spans="1:10" x14ac:dyDescent="0.25">
      <c r="A2549" s="1">
        <v>695</v>
      </c>
      <c r="B2549" t="s">
        <v>29</v>
      </c>
      <c r="C2549">
        <v>635</v>
      </c>
      <c r="D2549">
        <v>1</v>
      </c>
      <c r="E2549" t="s">
        <v>45</v>
      </c>
      <c r="F2549" t="s">
        <v>27</v>
      </c>
      <c r="G2549" t="str">
        <f>"2025-05-03 00:21:16.641"</f>
        <v>2025-05-03 00:21:16.641</v>
      </c>
      <c r="H2549" t="s">
        <v>21</v>
      </c>
      <c r="I2549">
        <v>6.88</v>
      </c>
      <c r="J2549" t="s">
        <v>42</v>
      </c>
    </row>
    <row r="2550" spans="1:10" x14ac:dyDescent="0.25">
      <c r="A2550" s="1">
        <v>696</v>
      </c>
      <c r="B2550" t="s">
        <v>25</v>
      </c>
      <c r="C2550">
        <v>635</v>
      </c>
      <c r="D2550">
        <v>1</v>
      </c>
      <c r="E2550" t="s">
        <v>45</v>
      </c>
      <c r="F2550" t="s">
        <v>27</v>
      </c>
      <c r="G2550" t="str">
        <f>"2025-05-01 23:09:06.841"</f>
        <v>2025-05-01 23:09:06.841</v>
      </c>
      <c r="H2550" t="s">
        <v>21</v>
      </c>
    </row>
    <row r="2551" spans="1:10" x14ac:dyDescent="0.25">
      <c r="A2551" s="1">
        <v>697</v>
      </c>
      <c r="B2551" t="s">
        <v>29</v>
      </c>
      <c r="C2551">
        <v>635</v>
      </c>
      <c r="D2551">
        <v>1</v>
      </c>
      <c r="E2551" t="s">
        <v>45</v>
      </c>
      <c r="F2551" t="s">
        <v>27</v>
      </c>
      <c r="G2551" t="str">
        <f>"2025-05-01 22:53:01.341"</f>
        <v>2025-05-01 22:53:01.341</v>
      </c>
      <c r="H2551" t="s">
        <v>21</v>
      </c>
      <c r="I2551">
        <v>6.88</v>
      </c>
      <c r="J2551" t="s">
        <v>42</v>
      </c>
    </row>
    <row r="2552" spans="1:10" x14ac:dyDescent="0.25">
      <c r="A2552" s="1">
        <v>698</v>
      </c>
      <c r="B2552" t="s">
        <v>19</v>
      </c>
      <c r="C2552">
        <v>700</v>
      </c>
      <c r="D2552">
        <v>0</v>
      </c>
      <c r="E2552" t="s">
        <v>20</v>
      </c>
      <c r="F2552" t="s">
        <v>20</v>
      </c>
      <c r="G2552" t="str">
        <f>"2025-05-01 21:34:43.626"</f>
        <v>2025-05-01 21:34:43.626</v>
      </c>
      <c r="H2552" t="s">
        <v>21</v>
      </c>
    </row>
    <row r="2553" spans="1:10" x14ac:dyDescent="0.25">
      <c r="A2553" s="1">
        <v>699</v>
      </c>
      <c r="B2553" t="s">
        <v>19</v>
      </c>
      <c r="C2553">
        <v>700</v>
      </c>
      <c r="D2553">
        <v>0</v>
      </c>
      <c r="E2553" t="s">
        <v>20</v>
      </c>
      <c r="F2553" t="s">
        <v>20</v>
      </c>
      <c r="G2553" t="str">
        <f>"2025-05-01 18:02:26.475"</f>
        <v>2025-05-01 18:02:26.475</v>
      </c>
      <c r="H2553" t="s">
        <v>21</v>
      </c>
    </row>
    <row r="2554" spans="1:10" x14ac:dyDescent="0.25">
      <c r="A2554" s="1">
        <v>700</v>
      </c>
      <c r="B2554" t="s">
        <v>25</v>
      </c>
      <c r="C2554">
        <v>619</v>
      </c>
      <c r="D2554">
        <v>1</v>
      </c>
      <c r="E2554" t="s">
        <v>26</v>
      </c>
      <c r="F2554" t="s">
        <v>27</v>
      </c>
      <c r="G2554" t="str">
        <f>"2025-05-01 17:37:23.797"</f>
        <v>2025-05-01 17:37:23.797</v>
      </c>
      <c r="H2554" t="s">
        <v>28</v>
      </c>
    </row>
    <row r="2555" spans="1:10" x14ac:dyDescent="0.25">
      <c r="A2555" s="1">
        <v>701</v>
      </c>
      <c r="B2555" t="s">
        <v>25</v>
      </c>
      <c r="C2555">
        <v>630</v>
      </c>
      <c r="D2555">
        <v>5</v>
      </c>
      <c r="E2555" t="s">
        <v>51</v>
      </c>
      <c r="F2555" t="s">
        <v>52</v>
      </c>
      <c r="G2555" t="str">
        <f>"2025-05-01 17:36:34.597"</f>
        <v>2025-05-01 17:36:34.597</v>
      </c>
      <c r="H2555" t="s">
        <v>40</v>
      </c>
    </row>
    <row r="2556" spans="1:10" x14ac:dyDescent="0.25">
      <c r="A2556" s="1">
        <v>702</v>
      </c>
      <c r="B2556" t="s">
        <v>29</v>
      </c>
      <c r="C2556">
        <v>619</v>
      </c>
      <c r="D2556">
        <v>1</v>
      </c>
      <c r="E2556" t="s">
        <v>26</v>
      </c>
      <c r="F2556" t="s">
        <v>27</v>
      </c>
      <c r="G2556" t="str">
        <f>"2025-05-01 17:36:14.049"</f>
        <v>2025-05-01 17:36:14.049</v>
      </c>
      <c r="H2556" t="s">
        <v>28</v>
      </c>
      <c r="I2556">
        <v>0</v>
      </c>
      <c r="J2556" t="s">
        <v>24</v>
      </c>
    </row>
    <row r="2557" spans="1:10" x14ac:dyDescent="0.25">
      <c r="A2557" s="1">
        <v>703</v>
      </c>
      <c r="B2557" t="s">
        <v>19</v>
      </c>
      <c r="C2557">
        <v>706</v>
      </c>
      <c r="D2557">
        <v>2</v>
      </c>
      <c r="E2557" t="s">
        <v>22</v>
      </c>
      <c r="F2557" t="s">
        <v>53</v>
      </c>
      <c r="G2557" t="str">
        <f>"2025-05-01 17:36:04.458"</f>
        <v>2025-05-01 17:36:04.458</v>
      </c>
      <c r="H2557" t="s">
        <v>21</v>
      </c>
      <c r="I2557">
        <v>0</v>
      </c>
      <c r="J2557" t="s">
        <v>24</v>
      </c>
    </row>
    <row r="2558" spans="1:10" x14ac:dyDescent="0.25">
      <c r="A2558" s="1">
        <v>704</v>
      </c>
      <c r="B2558" t="s">
        <v>25</v>
      </c>
      <c r="C2558">
        <v>619</v>
      </c>
      <c r="D2558">
        <v>1</v>
      </c>
      <c r="E2558" t="s">
        <v>26</v>
      </c>
      <c r="F2558" t="s">
        <v>27</v>
      </c>
      <c r="G2558" t="str">
        <f>"2025-05-01 17:36:02.649"</f>
        <v>2025-05-01 17:36:02.649</v>
      </c>
      <c r="H2558" t="s">
        <v>28</v>
      </c>
    </row>
    <row r="2559" spans="1:10" x14ac:dyDescent="0.25">
      <c r="A2559" s="1">
        <v>705</v>
      </c>
      <c r="B2559" t="s">
        <v>29</v>
      </c>
      <c r="C2559">
        <v>619</v>
      </c>
      <c r="D2559">
        <v>1</v>
      </c>
      <c r="E2559" t="s">
        <v>26</v>
      </c>
      <c r="F2559" t="s">
        <v>27</v>
      </c>
      <c r="G2559" t="str">
        <f>"2025-05-01 17:35:56.297"</f>
        <v>2025-05-01 17:35:56.297</v>
      </c>
      <c r="H2559" t="s">
        <v>28</v>
      </c>
      <c r="I2559">
        <v>0</v>
      </c>
      <c r="J2559" t="s">
        <v>24</v>
      </c>
    </row>
    <row r="2560" spans="1:10" x14ac:dyDescent="0.25">
      <c r="A2560" s="1">
        <v>706</v>
      </c>
      <c r="B2560" t="s">
        <v>19</v>
      </c>
      <c r="C2560">
        <v>706</v>
      </c>
      <c r="D2560">
        <v>4</v>
      </c>
      <c r="E2560" t="s">
        <v>22</v>
      </c>
      <c r="F2560" t="s">
        <v>31</v>
      </c>
      <c r="G2560" t="str">
        <f>"2025-05-01 17:35:51.418"</f>
        <v>2025-05-01 17:35:51.418</v>
      </c>
      <c r="H2560" t="s">
        <v>21</v>
      </c>
      <c r="I2560">
        <v>0</v>
      </c>
      <c r="J2560" t="s">
        <v>24</v>
      </c>
    </row>
    <row r="2561" spans="1:10" x14ac:dyDescent="0.25">
      <c r="A2561" s="1">
        <v>707</v>
      </c>
      <c r="B2561" t="s">
        <v>33</v>
      </c>
      <c r="C2561">
        <v>630</v>
      </c>
      <c r="D2561">
        <v>5</v>
      </c>
      <c r="E2561" t="s">
        <v>51</v>
      </c>
      <c r="F2561" t="s">
        <v>52</v>
      </c>
      <c r="G2561" t="str">
        <f>"2025-05-01 17:14:28.298"</f>
        <v>2025-05-01 17:14:28.298</v>
      </c>
      <c r="H2561" t="s">
        <v>40</v>
      </c>
      <c r="I2561">
        <v>0</v>
      </c>
      <c r="J2561" t="s">
        <v>24</v>
      </c>
    </row>
    <row r="2562" spans="1:10" x14ac:dyDescent="0.25">
      <c r="A2562" s="1">
        <v>708</v>
      </c>
      <c r="B2562" t="s">
        <v>19</v>
      </c>
      <c r="C2562">
        <v>700</v>
      </c>
      <c r="D2562">
        <v>0</v>
      </c>
      <c r="E2562" t="s">
        <v>20</v>
      </c>
      <c r="F2562" t="s">
        <v>20</v>
      </c>
      <c r="G2562" t="str">
        <f>"2025-05-01 17:09:25.458"</f>
        <v>2025-05-01 17:09:25.458</v>
      </c>
      <c r="H2562" t="s">
        <v>21</v>
      </c>
      <c r="I2562">
        <v>0</v>
      </c>
      <c r="J2562" t="s">
        <v>32</v>
      </c>
    </row>
    <row r="2563" spans="1:10" x14ac:dyDescent="0.25">
      <c r="A2563" s="1">
        <v>709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"2025-05-01 16:15:21.705"</f>
        <v>2025-05-01 16:15:21.705</v>
      </c>
      <c r="H2563" t="s">
        <v>21</v>
      </c>
      <c r="I2563">
        <v>0</v>
      </c>
      <c r="J2563" t="s">
        <v>32</v>
      </c>
    </row>
    <row r="2564" spans="1:10" x14ac:dyDescent="0.25">
      <c r="A2564" s="1">
        <v>710</v>
      </c>
      <c r="B2564" t="s">
        <v>25</v>
      </c>
      <c r="C2564">
        <v>630</v>
      </c>
      <c r="D2564">
        <v>5</v>
      </c>
      <c r="E2564" t="s">
        <v>51</v>
      </c>
      <c r="F2564" t="s">
        <v>52</v>
      </c>
      <c r="G2564" t="str">
        <f>"2025-05-01 04:16:09.465"</f>
        <v>2025-05-01 04:16:09.465</v>
      </c>
      <c r="H2564" t="s">
        <v>40</v>
      </c>
    </row>
    <row r="2565" spans="1:10" x14ac:dyDescent="0.25">
      <c r="A2565" s="1">
        <v>711</v>
      </c>
      <c r="B2565" t="s">
        <v>19</v>
      </c>
      <c r="C2565">
        <v>706</v>
      </c>
      <c r="D2565">
        <v>4</v>
      </c>
      <c r="E2565" t="s">
        <v>22</v>
      </c>
      <c r="F2565" t="s">
        <v>31</v>
      </c>
      <c r="G2565" t="str">
        <f>"2025-05-01 04:15:39.440"</f>
        <v>2025-05-01 04:15:39.440</v>
      </c>
      <c r="H2565" t="s">
        <v>21</v>
      </c>
      <c r="I2565">
        <v>0</v>
      </c>
      <c r="J2565" t="s">
        <v>24</v>
      </c>
    </row>
    <row r="2566" spans="1:10" x14ac:dyDescent="0.25">
      <c r="A2566" s="1">
        <v>712</v>
      </c>
      <c r="B2566" t="s">
        <v>33</v>
      </c>
      <c r="C2566">
        <v>630</v>
      </c>
      <c r="D2566">
        <v>5</v>
      </c>
      <c r="E2566" t="s">
        <v>51</v>
      </c>
      <c r="F2566" t="s">
        <v>52</v>
      </c>
      <c r="G2566" t="str">
        <f>"2025-05-01 04:13:34.165"</f>
        <v>2025-05-01 04:13:34.165</v>
      </c>
      <c r="H2566" t="s">
        <v>40</v>
      </c>
      <c r="I2566">
        <v>0</v>
      </c>
      <c r="J2566" t="s">
        <v>24</v>
      </c>
    </row>
    <row r="2567" spans="1:10" x14ac:dyDescent="0.25">
      <c r="A2567" s="1">
        <v>713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"2025-05-01 04:08:31.450"</f>
        <v>2025-05-01 04:08:31.450</v>
      </c>
      <c r="H2567" t="s">
        <v>21</v>
      </c>
    </row>
    <row r="2568" spans="1:10" x14ac:dyDescent="0.25">
      <c r="A2568" s="1">
        <v>714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"2025-05-01 04:05:15.453"</f>
        <v>2025-05-01 04:05:15.453</v>
      </c>
      <c r="H2568" t="s">
        <v>21</v>
      </c>
      <c r="I2568">
        <v>0</v>
      </c>
      <c r="J2568" t="s">
        <v>32</v>
      </c>
    </row>
    <row r="2569" spans="1:10" x14ac:dyDescent="0.25">
      <c r="A2569" s="1">
        <v>715</v>
      </c>
      <c r="B2569" t="s">
        <v>25</v>
      </c>
      <c r="C2569">
        <v>619</v>
      </c>
      <c r="D2569">
        <v>1</v>
      </c>
      <c r="E2569" t="s">
        <v>26</v>
      </c>
      <c r="F2569" t="s">
        <v>27</v>
      </c>
      <c r="G2569" t="str">
        <f>"2025-04-30 10:35:01.487"</f>
        <v>2025-04-30 10:35:01.487</v>
      </c>
      <c r="H2569" t="s">
        <v>28</v>
      </c>
    </row>
    <row r="2570" spans="1:10" x14ac:dyDescent="0.25">
      <c r="A2570" s="1">
        <v>716</v>
      </c>
      <c r="B2570" t="s">
        <v>29</v>
      </c>
      <c r="C2570">
        <v>619</v>
      </c>
      <c r="D2570">
        <v>1</v>
      </c>
      <c r="E2570" t="s">
        <v>26</v>
      </c>
      <c r="F2570" t="s">
        <v>27</v>
      </c>
      <c r="G2570" t="str">
        <f>"2025-04-30 10:34:30.934"</f>
        <v>2025-04-30 10:34:30.934</v>
      </c>
      <c r="H2570" t="s">
        <v>28</v>
      </c>
      <c r="I2570">
        <v>0</v>
      </c>
      <c r="J2570" t="s">
        <v>37</v>
      </c>
    </row>
    <row r="2571" spans="1:10" x14ac:dyDescent="0.25">
      <c r="A2571" s="1">
        <v>717</v>
      </c>
      <c r="B2571" t="s">
        <v>19</v>
      </c>
      <c r="C2571">
        <v>700</v>
      </c>
      <c r="D2571">
        <v>0</v>
      </c>
      <c r="E2571" t="s">
        <v>20</v>
      </c>
      <c r="F2571" t="s">
        <v>20</v>
      </c>
      <c r="G2571" t="str">
        <f>"2025-04-30 10:34:00.491"</f>
        <v>2025-04-30 10:34:00.491</v>
      </c>
      <c r="H2571" t="s">
        <v>21</v>
      </c>
      <c r="I2571">
        <v>0</v>
      </c>
      <c r="J2571" t="s">
        <v>32</v>
      </c>
    </row>
    <row r="2572" spans="1:10" s="3" customFormat="1" x14ac:dyDescent="0.25">
      <c r="A2572" s="2">
        <v>718</v>
      </c>
      <c r="B2572" s="3" t="s">
        <v>25</v>
      </c>
      <c r="C2572" s="3">
        <v>647</v>
      </c>
      <c r="D2572" s="3">
        <v>1</v>
      </c>
      <c r="E2572" s="3" t="s">
        <v>55</v>
      </c>
      <c r="F2572" s="3" t="s">
        <v>56</v>
      </c>
      <c r="G2572" s="3" t="str">
        <f>"2025-04-30 07:32:31.161"</f>
        <v>2025-04-30 07:32:31.161</v>
      </c>
      <c r="H2572" s="3" t="s">
        <v>21</v>
      </c>
    </row>
    <row r="2573" spans="1:10" s="3" customFormat="1" x14ac:dyDescent="0.25">
      <c r="A2573" s="2">
        <v>719</v>
      </c>
      <c r="B2573" s="3" t="s">
        <v>29</v>
      </c>
      <c r="C2573" s="3">
        <v>647</v>
      </c>
      <c r="D2573" s="3">
        <v>1</v>
      </c>
      <c r="E2573" s="3" t="s">
        <v>55</v>
      </c>
      <c r="F2573" s="3" t="s">
        <v>56</v>
      </c>
      <c r="G2573" s="3" t="str">
        <f>"2025-04-30 07:32:28.861"</f>
        <v>2025-04-30 07:32:28.861</v>
      </c>
      <c r="H2573" s="3" t="s">
        <v>21</v>
      </c>
      <c r="I2573" s="3">
        <v>18.21</v>
      </c>
      <c r="J2573" s="3" t="s">
        <v>54</v>
      </c>
    </row>
    <row r="2574" spans="1:10" x14ac:dyDescent="0.25">
      <c r="A2574" s="1">
        <v>720</v>
      </c>
      <c r="B2574" t="s">
        <v>19</v>
      </c>
      <c r="C2574">
        <v>700</v>
      </c>
      <c r="D2574">
        <v>0</v>
      </c>
      <c r="E2574" t="s">
        <v>20</v>
      </c>
      <c r="F2574" t="s">
        <v>20</v>
      </c>
      <c r="G2574" t="str">
        <f>"2025-04-29 14:25:18.464"</f>
        <v>2025-04-29 14:25:18.464</v>
      </c>
      <c r="H2574" t="s">
        <v>21</v>
      </c>
      <c r="I2574">
        <v>0</v>
      </c>
      <c r="J2574" t="s">
        <v>32</v>
      </c>
    </row>
    <row r="2575" spans="1:10" x14ac:dyDescent="0.25">
      <c r="A2575" s="1">
        <v>721</v>
      </c>
      <c r="B2575" t="s">
        <v>25</v>
      </c>
      <c r="C2575">
        <v>619</v>
      </c>
      <c r="D2575">
        <v>1</v>
      </c>
      <c r="E2575" t="s">
        <v>26</v>
      </c>
      <c r="F2575" t="s">
        <v>27</v>
      </c>
      <c r="G2575" t="str">
        <f>"2025-04-29 13:46:20.213"</f>
        <v>2025-04-29 13:46:20.213</v>
      </c>
      <c r="H2575" t="s">
        <v>28</v>
      </c>
    </row>
    <row r="2576" spans="1:10" x14ac:dyDescent="0.25">
      <c r="A2576" s="1">
        <v>722</v>
      </c>
      <c r="B2576" t="s">
        <v>29</v>
      </c>
      <c r="C2576">
        <v>619</v>
      </c>
      <c r="D2576">
        <v>1</v>
      </c>
      <c r="E2576" t="s">
        <v>26</v>
      </c>
      <c r="F2576" t="s">
        <v>27</v>
      </c>
      <c r="G2576" t="str">
        <f>"2025-04-29 13:45:36.166"</f>
        <v>2025-04-29 13:45:36.166</v>
      </c>
      <c r="H2576" t="s">
        <v>28</v>
      </c>
      <c r="I2576">
        <v>0</v>
      </c>
      <c r="J2576" t="s">
        <v>37</v>
      </c>
    </row>
    <row r="2577" spans="1:10" x14ac:dyDescent="0.25">
      <c r="A2577" s="1">
        <v>723</v>
      </c>
      <c r="B2577" t="s">
        <v>19</v>
      </c>
      <c r="C2577">
        <v>700</v>
      </c>
      <c r="D2577">
        <v>0</v>
      </c>
      <c r="E2577" t="s">
        <v>20</v>
      </c>
      <c r="F2577" t="s">
        <v>20</v>
      </c>
      <c r="G2577" t="str">
        <f>"2025-04-29 13:45:06.673"</f>
        <v>2025-04-29 13:45:06.673</v>
      </c>
      <c r="H2577" t="s">
        <v>21</v>
      </c>
      <c r="I2577">
        <v>0</v>
      </c>
      <c r="J2577" t="s">
        <v>32</v>
      </c>
    </row>
    <row r="2578" spans="1:10" x14ac:dyDescent="0.25">
      <c r="A2578" s="1">
        <v>724</v>
      </c>
      <c r="B2578" t="s">
        <v>19</v>
      </c>
      <c r="C2578">
        <v>700</v>
      </c>
      <c r="D2578">
        <v>0</v>
      </c>
      <c r="E2578" t="s">
        <v>20</v>
      </c>
      <c r="F2578" t="s">
        <v>20</v>
      </c>
      <c r="G2578" t="str">
        <f>"2025-04-29 13:30:33.646"</f>
        <v>2025-04-29 13:30:33.646</v>
      </c>
      <c r="H2578" t="s">
        <v>21</v>
      </c>
    </row>
    <row r="2579" spans="1:10" x14ac:dyDescent="0.25">
      <c r="A2579" s="1">
        <v>725</v>
      </c>
      <c r="B2579" t="s">
        <v>25</v>
      </c>
      <c r="C2579">
        <v>635</v>
      </c>
      <c r="D2579">
        <v>1</v>
      </c>
      <c r="E2579" t="s">
        <v>45</v>
      </c>
      <c r="F2579" t="s">
        <v>27</v>
      </c>
      <c r="G2579" t="str">
        <f>"2025-04-29 10:59:36.664"</f>
        <v>2025-04-29 10:59:36.664</v>
      </c>
      <c r="H2579" t="s">
        <v>21</v>
      </c>
    </row>
    <row r="2580" spans="1:10" x14ac:dyDescent="0.25">
      <c r="A2580" s="1">
        <v>726</v>
      </c>
      <c r="B2580" t="s">
        <v>29</v>
      </c>
      <c r="C2580">
        <v>635</v>
      </c>
      <c r="D2580">
        <v>1</v>
      </c>
      <c r="E2580" t="s">
        <v>45</v>
      </c>
      <c r="F2580" t="s">
        <v>27</v>
      </c>
      <c r="G2580" t="str">
        <f>"2025-04-29 10:55:18.664"</f>
        <v>2025-04-29 10:55:18.664</v>
      </c>
      <c r="H2580" t="s">
        <v>21</v>
      </c>
      <c r="I2580">
        <v>5.66</v>
      </c>
      <c r="J2580" t="s">
        <v>54</v>
      </c>
    </row>
    <row r="2581" spans="1:10" x14ac:dyDescent="0.25">
      <c r="A2581" s="1">
        <v>727</v>
      </c>
      <c r="B2581" t="s">
        <v>19</v>
      </c>
      <c r="C2581">
        <v>706</v>
      </c>
      <c r="D2581">
        <v>4</v>
      </c>
      <c r="E2581" t="s">
        <v>22</v>
      </c>
      <c r="F2581" t="s">
        <v>31</v>
      </c>
      <c r="G2581" t="str">
        <f>"2025-04-28 19:58:40.772"</f>
        <v>2025-04-28 19:58:40.772</v>
      </c>
      <c r="H2581" t="s">
        <v>21</v>
      </c>
      <c r="I2581">
        <v>0</v>
      </c>
      <c r="J2581" t="s">
        <v>24</v>
      </c>
    </row>
    <row r="2582" spans="1:10" x14ac:dyDescent="0.25">
      <c r="A2582" s="1">
        <v>728</v>
      </c>
      <c r="B2582" t="s">
        <v>19</v>
      </c>
      <c r="C2582">
        <v>706</v>
      </c>
      <c r="D2582">
        <v>3</v>
      </c>
      <c r="E2582" t="s">
        <v>22</v>
      </c>
      <c r="F2582" t="s">
        <v>23</v>
      </c>
      <c r="G2582" t="str">
        <f>"2025-04-28 19:58:29.372"</f>
        <v>2025-04-28 19:58:29.372</v>
      </c>
      <c r="H2582" t="s">
        <v>21</v>
      </c>
      <c r="I2582">
        <v>0</v>
      </c>
      <c r="J2582" t="s">
        <v>24</v>
      </c>
    </row>
    <row r="2583" spans="1:10" x14ac:dyDescent="0.25">
      <c r="A2583" s="1">
        <v>729</v>
      </c>
      <c r="B2583" t="s">
        <v>25</v>
      </c>
      <c r="C2583">
        <v>619</v>
      </c>
      <c r="D2583">
        <v>1</v>
      </c>
      <c r="E2583" t="s">
        <v>26</v>
      </c>
      <c r="F2583" t="s">
        <v>27</v>
      </c>
      <c r="G2583" t="str">
        <f>"2025-04-28 19:58:04.311"</f>
        <v>2025-04-28 19:58:04.311</v>
      </c>
      <c r="H2583" t="s">
        <v>28</v>
      </c>
    </row>
    <row r="2584" spans="1:10" x14ac:dyDescent="0.25">
      <c r="A2584" s="1">
        <v>730</v>
      </c>
      <c r="B2584" t="s">
        <v>29</v>
      </c>
      <c r="C2584">
        <v>619</v>
      </c>
      <c r="D2584">
        <v>1</v>
      </c>
      <c r="E2584" t="s">
        <v>26</v>
      </c>
      <c r="F2584" t="s">
        <v>27</v>
      </c>
      <c r="G2584" t="str">
        <f>"2025-04-28 19:57:28.964"</f>
        <v>2025-04-28 19:57:28.964</v>
      </c>
      <c r="H2584" t="s">
        <v>28</v>
      </c>
      <c r="I2584">
        <v>0</v>
      </c>
      <c r="J2584" t="s">
        <v>24</v>
      </c>
    </row>
    <row r="2585" spans="1:10" x14ac:dyDescent="0.25">
      <c r="A2585" s="1">
        <v>731</v>
      </c>
      <c r="B2585" t="s">
        <v>19</v>
      </c>
      <c r="C2585">
        <v>706</v>
      </c>
      <c r="D2585">
        <v>4</v>
      </c>
      <c r="E2585" t="s">
        <v>22</v>
      </c>
      <c r="F2585" t="s">
        <v>31</v>
      </c>
      <c r="G2585" t="str">
        <f>"2025-04-28 19:57:18.672"</f>
        <v>2025-04-28 19:57:18.672</v>
      </c>
      <c r="H2585" t="s">
        <v>21</v>
      </c>
      <c r="I2585">
        <v>0</v>
      </c>
      <c r="J2585" t="s">
        <v>24</v>
      </c>
    </row>
    <row r="2586" spans="1:10" x14ac:dyDescent="0.25">
      <c r="A2586" s="1">
        <v>732</v>
      </c>
      <c r="B2586" t="s">
        <v>19</v>
      </c>
      <c r="C2586">
        <v>700</v>
      </c>
      <c r="D2586">
        <v>0</v>
      </c>
      <c r="E2586" t="s">
        <v>20</v>
      </c>
      <c r="F2586" t="s">
        <v>20</v>
      </c>
      <c r="G2586" t="str">
        <f>"2025-04-28 19:56:59.452"</f>
        <v>2025-04-28 19:56:59.452</v>
      </c>
      <c r="H2586" t="s">
        <v>21</v>
      </c>
    </row>
    <row r="2587" spans="1:10" x14ac:dyDescent="0.25">
      <c r="A2587" s="1">
        <v>733</v>
      </c>
      <c r="B2587" t="s">
        <v>19</v>
      </c>
      <c r="C2587">
        <v>700</v>
      </c>
      <c r="D2587">
        <v>0</v>
      </c>
      <c r="E2587" t="s">
        <v>20</v>
      </c>
      <c r="F2587" t="s">
        <v>20</v>
      </c>
      <c r="G2587" t="str">
        <f>"2025-04-28 19:02:14.482"</f>
        <v>2025-04-28 19:02:14.482</v>
      </c>
      <c r="H2587" t="s">
        <v>21</v>
      </c>
      <c r="I2587">
        <v>0</v>
      </c>
      <c r="J2587" t="s">
        <v>32</v>
      </c>
    </row>
    <row r="2588" spans="1:10" x14ac:dyDescent="0.25">
      <c r="A2588" s="1">
        <v>734</v>
      </c>
      <c r="B2588" t="s">
        <v>25</v>
      </c>
      <c r="C2588">
        <v>619</v>
      </c>
      <c r="D2588">
        <v>1</v>
      </c>
      <c r="E2588" t="s">
        <v>26</v>
      </c>
      <c r="F2588" t="s">
        <v>27</v>
      </c>
      <c r="G2588" t="str">
        <f>"2025-04-28 15:52:54.568"</f>
        <v>2025-04-28 15:52:54.568</v>
      </c>
      <c r="H2588" t="s">
        <v>28</v>
      </c>
    </row>
    <row r="2589" spans="1:10" x14ac:dyDescent="0.25">
      <c r="A2589" s="1">
        <v>735</v>
      </c>
      <c r="B2589" t="s">
        <v>29</v>
      </c>
      <c r="C2589">
        <v>619</v>
      </c>
      <c r="D2589">
        <v>1</v>
      </c>
      <c r="E2589" t="s">
        <v>26</v>
      </c>
      <c r="F2589" t="s">
        <v>27</v>
      </c>
      <c r="G2589" t="str">
        <f>"2025-04-28 15:52:22.968"</f>
        <v>2025-04-28 15:52:22.968</v>
      </c>
      <c r="H2589" t="s">
        <v>28</v>
      </c>
      <c r="I2589">
        <v>0</v>
      </c>
      <c r="J2589" t="s">
        <v>24</v>
      </c>
    </row>
    <row r="2590" spans="1:10" x14ac:dyDescent="0.25">
      <c r="A2590" s="1">
        <v>736</v>
      </c>
      <c r="B2590" t="s">
        <v>19</v>
      </c>
      <c r="C2590">
        <v>700</v>
      </c>
      <c r="D2590">
        <v>0</v>
      </c>
      <c r="E2590" t="s">
        <v>20</v>
      </c>
      <c r="F2590" t="s">
        <v>20</v>
      </c>
      <c r="G2590" t="str">
        <f>"2025-04-28 15:51:53.572"</f>
        <v>2025-04-28 15:51:53.572</v>
      </c>
      <c r="H2590" t="s">
        <v>21</v>
      </c>
      <c r="I2590">
        <v>0</v>
      </c>
      <c r="J2590" t="s">
        <v>32</v>
      </c>
    </row>
    <row r="2591" spans="1:10" x14ac:dyDescent="0.25">
      <c r="A2591" s="1">
        <v>737</v>
      </c>
      <c r="B2591" t="s">
        <v>25</v>
      </c>
      <c r="C2591">
        <v>630</v>
      </c>
      <c r="D2591">
        <v>5</v>
      </c>
      <c r="E2591" t="s">
        <v>51</v>
      </c>
      <c r="F2591" t="s">
        <v>52</v>
      </c>
      <c r="G2591" t="str">
        <f>"2025-04-28 14:51:06.174"</f>
        <v>2025-04-28 14:51:06.174</v>
      </c>
      <c r="H2591" t="s">
        <v>40</v>
      </c>
    </row>
    <row r="2592" spans="1:10" x14ac:dyDescent="0.25">
      <c r="A2592" s="1">
        <v>738</v>
      </c>
      <c r="B2592" t="s">
        <v>19</v>
      </c>
      <c r="C2592">
        <v>706</v>
      </c>
      <c r="D2592">
        <v>4</v>
      </c>
      <c r="E2592" t="s">
        <v>22</v>
      </c>
      <c r="F2592" t="s">
        <v>31</v>
      </c>
      <c r="G2592" t="str">
        <f>"2025-04-28 14:50:36.101"</f>
        <v>2025-04-28 14:50:36.101</v>
      </c>
      <c r="H2592" t="s">
        <v>21</v>
      </c>
      <c r="I2592">
        <v>0</v>
      </c>
      <c r="J2592" t="s">
        <v>24</v>
      </c>
    </row>
    <row r="2593" spans="1:10" x14ac:dyDescent="0.25">
      <c r="A2593" s="1">
        <v>739</v>
      </c>
      <c r="B2593" t="s">
        <v>33</v>
      </c>
      <c r="C2593">
        <v>630</v>
      </c>
      <c r="D2593">
        <v>5</v>
      </c>
      <c r="E2593" t="s">
        <v>51</v>
      </c>
      <c r="F2593" t="s">
        <v>52</v>
      </c>
      <c r="G2593" t="str">
        <f>"2025-04-28 14:43:22.774"</f>
        <v>2025-04-28 14:43:22.774</v>
      </c>
      <c r="H2593" t="s">
        <v>40</v>
      </c>
      <c r="I2593">
        <v>0</v>
      </c>
      <c r="J2593" t="s">
        <v>24</v>
      </c>
    </row>
    <row r="2594" spans="1:10" x14ac:dyDescent="0.25">
      <c r="A2594" s="1">
        <v>740</v>
      </c>
      <c r="B2594" t="s">
        <v>25</v>
      </c>
      <c r="C2594">
        <v>630</v>
      </c>
      <c r="D2594">
        <v>5</v>
      </c>
      <c r="E2594" t="s">
        <v>51</v>
      </c>
      <c r="F2594" t="s">
        <v>52</v>
      </c>
      <c r="G2594" t="str">
        <f>"2025-04-28 12:44:15.674"</f>
        <v>2025-04-28 12:44:15.674</v>
      </c>
      <c r="H2594" t="s">
        <v>40</v>
      </c>
    </row>
    <row r="2595" spans="1:10" x14ac:dyDescent="0.25">
      <c r="A2595" s="1">
        <v>741</v>
      </c>
      <c r="B2595" t="s">
        <v>19</v>
      </c>
      <c r="C2595">
        <v>706</v>
      </c>
      <c r="D2595">
        <v>4</v>
      </c>
      <c r="E2595" t="s">
        <v>22</v>
      </c>
      <c r="F2595" t="s">
        <v>31</v>
      </c>
      <c r="G2595" t="str">
        <f>"2025-04-28 12:43:45.602"</f>
        <v>2025-04-28 12:43:45.602</v>
      </c>
      <c r="H2595" t="s">
        <v>21</v>
      </c>
      <c r="I2595">
        <v>0</v>
      </c>
      <c r="J2595" t="s">
        <v>24</v>
      </c>
    </row>
    <row r="2596" spans="1:10" x14ac:dyDescent="0.25">
      <c r="A2596" s="1">
        <v>742</v>
      </c>
      <c r="B2596" t="s">
        <v>33</v>
      </c>
      <c r="C2596">
        <v>630</v>
      </c>
      <c r="D2596">
        <v>5</v>
      </c>
      <c r="E2596" t="s">
        <v>51</v>
      </c>
      <c r="F2596" t="s">
        <v>52</v>
      </c>
      <c r="G2596" t="str">
        <f>"2025-04-28 12:30:05.974"</f>
        <v>2025-04-28 12:30:05.974</v>
      </c>
      <c r="H2596" t="s">
        <v>40</v>
      </c>
      <c r="I2596">
        <v>0</v>
      </c>
      <c r="J2596" t="s">
        <v>24</v>
      </c>
    </row>
    <row r="2597" spans="1:10" x14ac:dyDescent="0.25">
      <c r="A2597" s="1">
        <v>743</v>
      </c>
      <c r="B2597" t="s">
        <v>25</v>
      </c>
      <c r="C2597">
        <v>619</v>
      </c>
      <c r="D2597">
        <v>1</v>
      </c>
      <c r="E2597" t="s">
        <v>26</v>
      </c>
      <c r="F2597" t="s">
        <v>27</v>
      </c>
      <c r="G2597" t="str">
        <f>"2025-04-28 09:52:04.320"</f>
        <v>2025-04-28 09:52:04.320</v>
      </c>
      <c r="H2597" t="s">
        <v>28</v>
      </c>
    </row>
    <row r="2598" spans="1:10" x14ac:dyDescent="0.25">
      <c r="A2598" s="1">
        <v>744</v>
      </c>
      <c r="B2598" t="s">
        <v>29</v>
      </c>
      <c r="C2598">
        <v>619</v>
      </c>
      <c r="D2598">
        <v>1</v>
      </c>
      <c r="E2598" t="s">
        <v>26</v>
      </c>
      <c r="F2598" t="s">
        <v>27</v>
      </c>
      <c r="G2598" t="str">
        <f>"2025-04-28 09:51:13.973"</f>
        <v>2025-04-28 09:51:13.973</v>
      </c>
      <c r="H2598" t="s">
        <v>28</v>
      </c>
      <c r="I2598">
        <v>0</v>
      </c>
      <c r="J2598" t="s">
        <v>24</v>
      </c>
    </row>
    <row r="2599" spans="1:10" x14ac:dyDescent="0.25">
      <c r="A2599" s="1">
        <v>745</v>
      </c>
      <c r="B2599" t="s">
        <v>19</v>
      </c>
      <c r="C2599">
        <v>706</v>
      </c>
      <c r="D2599">
        <v>4</v>
      </c>
      <c r="E2599" t="s">
        <v>22</v>
      </c>
      <c r="F2599" t="s">
        <v>31</v>
      </c>
      <c r="G2599" t="str">
        <f>"2025-04-28 09:51:04.862"</f>
        <v>2025-04-28 09:51:04.862</v>
      </c>
      <c r="H2599" t="s">
        <v>21</v>
      </c>
      <c r="I2599">
        <v>0</v>
      </c>
      <c r="J2599" t="s">
        <v>24</v>
      </c>
    </row>
    <row r="2600" spans="1:10" x14ac:dyDescent="0.25">
      <c r="A2600" s="1">
        <v>746</v>
      </c>
      <c r="B2600" t="s">
        <v>19</v>
      </c>
      <c r="C2600">
        <v>700</v>
      </c>
      <c r="D2600">
        <v>0</v>
      </c>
      <c r="E2600" t="s">
        <v>20</v>
      </c>
      <c r="F2600" t="s">
        <v>20</v>
      </c>
      <c r="G2600" t="str">
        <f>"2025-04-28 09:50:43.462"</f>
        <v>2025-04-28 09:50:43.462</v>
      </c>
      <c r="H2600" t="s">
        <v>21</v>
      </c>
    </row>
    <row r="2601" spans="1:10" x14ac:dyDescent="0.25">
      <c r="A2601" s="1">
        <v>747</v>
      </c>
      <c r="B2601" t="s">
        <v>29</v>
      </c>
      <c r="C2601">
        <v>55</v>
      </c>
      <c r="D2601">
        <v>1</v>
      </c>
      <c r="E2601" t="s">
        <v>87</v>
      </c>
      <c r="F2601" t="s">
        <v>88</v>
      </c>
      <c r="G2601" t="str">
        <f>"2025-04-28 09:20:17.274"</f>
        <v>2025-04-28 09:20:17.274</v>
      </c>
      <c r="H2601" t="s">
        <v>21</v>
      </c>
      <c r="I2601">
        <v>8.82</v>
      </c>
      <c r="J2601" t="s">
        <v>42</v>
      </c>
    </row>
    <row r="2602" spans="1:10" x14ac:dyDescent="0.25">
      <c r="A2602" s="1">
        <v>750</v>
      </c>
      <c r="B2602" t="s">
        <v>19</v>
      </c>
      <c r="C2602">
        <v>782</v>
      </c>
      <c r="D2602">
        <v>7</v>
      </c>
      <c r="E2602" t="s">
        <v>43</v>
      </c>
      <c r="F2602" t="s">
        <v>44</v>
      </c>
      <c r="G2602" t="str">
        <f>"2025-04-28 09:11:37.222"</f>
        <v>2025-04-28 09:11:37.222</v>
      </c>
      <c r="H2602" t="s">
        <v>21</v>
      </c>
      <c r="I2602">
        <v>0</v>
      </c>
      <c r="J2602" t="s">
        <v>37</v>
      </c>
    </row>
    <row r="2603" spans="1:10" x14ac:dyDescent="0.25">
      <c r="A2603" s="1">
        <v>753</v>
      </c>
      <c r="B2603" t="s">
        <v>25</v>
      </c>
      <c r="C2603">
        <v>53</v>
      </c>
      <c r="D2603">
        <v>1</v>
      </c>
      <c r="E2603" t="s">
        <v>89</v>
      </c>
      <c r="F2603" t="s">
        <v>85</v>
      </c>
      <c r="G2603" t="str">
        <f>"2025-04-28 09:11:37.215"</f>
        <v>2025-04-28 09:11:37.215</v>
      </c>
      <c r="H2603" t="s">
        <v>21</v>
      </c>
    </row>
    <row r="2604" spans="1:10" x14ac:dyDescent="0.25">
      <c r="A2604" s="1">
        <v>754</v>
      </c>
      <c r="B2604" t="s">
        <v>19</v>
      </c>
      <c r="C2604">
        <v>782</v>
      </c>
      <c r="D2604">
        <v>7</v>
      </c>
      <c r="E2604" t="s">
        <v>43</v>
      </c>
      <c r="F2604" t="s">
        <v>44</v>
      </c>
      <c r="G2604" t="str">
        <f>"2025-04-28 09:11:37.214"</f>
        <v>2025-04-28 09:11:37.214</v>
      </c>
      <c r="H2604" t="s">
        <v>21</v>
      </c>
      <c r="I2604">
        <v>0</v>
      </c>
      <c r="J2604" t="s">
        <v>37</v>
      </c>
    </row>
    <row r="2605" spans="1:10" x14ac:dyDescent="0.25">
      <c r="A2605" s="1">
        <v>755</v>
      </c>
      <c r="B2605" t="s">
        <v>25</v>
      </c>
      <c r="C2605">
        <v>635</v>
      </c>
      <c r="D2605">
        <v>1</v>
      </c>
      <c r="E2605" t="s">
        <v>45</v>
      </c>
      <c r="F2605" t="s">
        <v>27</v>
      </c>
      <c r="G2605" t="str">
        <f>"2025-04-28 04:53:46.462"</f>
        <v>2025-04-28 04:53:46.462</v>
      </c>
      <c r="H2605" t="s">
        <v>21</v>
      </c>
    </row>
    <row r="2606" spans="1:10" x14ac:dyDescent="0.25">
      <c r="A2606" s="1">
        <v>756</v>
      </c>
      <c r="B2606" t="s">
        <v>29</v>
      </c>
      <c r="C2606">
        <v>635</v>
      </c>
      <c r="D2606">
        <v>1</v>
      </c>
      <c r="E2606" t="s">
        <v>45</v>
      </c>
      <c r="F2606" t="s">
        <v>27</v>
      </c>
      <c r="G2606" t="str">
        <f>"2025-04-28 04:23:38.462"</f>
        <v>2025-04-28 04:23:38.462</v>
      </c>
      <c r="H2606" t="s">
        <v>21</v>
      </c>
      <c r="I2606">
        <v>7.09</v>
      </c>
      <c r="J2606" t="s">
        <v>42</v>
      </c>
    </row>
    <row r="2607" spans="1:10" x14ac:dyDescent="0.25">
      <c r="A2607" s="1">
        <v>757</v>
      </c>
      <c r="B2607" t="s">
        <v>25</v>
      </c>
      <c r="C2607">
        <v>98</v>
      </c>
      <c r="D2607">
        <v>1</v>
      </c>
      <c r="E2607" t="s">
        <v>64</v>
      </c>
      <c r="F2607" t="s">
        <v>65</v>
      </c>
      <c r="G2607" t="str">
        <f>"2025-04-27 14:01:58.474"</f>
        <v>2025-04-27 14:01:58.474</v>
      </c>
      <c r="H2607" t="s">
        <v>21</v>
      </c>
    </row>
    <row r="2608" spans="1:10" x14ac:dyDescent="0.25">
      <c r="A2608" s="1">
        <v>758</v>
      </c>
      <c r="B2608" t="s">
        <v>29</v>
      </c>
      <c r="C2608">
        <v>98</v>
      </c>
      <c r="D2608">
        <v>1</v>
      </c>
      <c r="E2608" t="s">
        <v>64</v>
      </c>
      <c r="F2608" t="s">
        <v>65</v>
      </c>
      <c r="G2608" t="str">
        <f>"2025-04-27 14:01:57.474"</f>
        <v>2025-04-27 14:01:57.474</v>
      </c>
      <c r="H2608" t="s">
        <v>21</v>
      </c>
      <c r="I2608">
        <v>0</v>
      </c>
      <c r="J2608" t="s">
        <v>37</v>
      </c>
    </row>
    <row r="2609" spans="1:10" x14ac:dyDescent="0.25">
      <c r="A2609" s="1">
        <v>759</v>
      </c>
      <c r="B2609" t="s">
        <v>29</v>
      </c>
      <c r="C2609">
        <v>53</v>
      </c>
      <c r="D2609">
        <v>1</v>
      </c>
      <c r="E2609" t="s">
        <v>89</v>
      </c>
      <c r="F2609" t="s">
        <v>85</v>
      </c>
      <c r="G2609" t="str">
        <f>"2025-04-27 13:43:16.474"</f>
        <v>2025-04-27 13:43:16.474</v>
      </c>
      <c r="H2609" t="s">
        <v>21</v>
      </c>
      <c r="I2609">
        <v>1.97</v>
      </c>
      <c r="J2609" t="s">
        <v>37</v>
      </c>
    </row>
    <row r="2610" spans="1:10" x14ac:dyDescent="0.25">
      <c r="A2610" s="1">
        <v>760</v>
      </c>
      <c r="B2610" t="s">
        <v>25</v>
      </c>
      <c r="C2610">
        <v>53</v>
      </c>
      <c r="D2610">
        <v>1</v>
      </c>
      <c r="E2610" t="s">
        <v>89</v>
      </c>
      <c r="F2610" t="s">
        <v>85</v>
      </c>
      <c r="G2610" t="str">
        <f>"2025-04-27 13:12:57.174"</f>
        <v>2025-04-27 13:12:57.174</v>
      </c>
      <c r="H2610" t="s">
        <v>21</v>
      </c>
    </row>
    <row r="2611" spans="1:10" x14ac:dyDescent="0.25">
      <c r="A2611" s="1">
        <v>761</v>
      </c>
      <c r="B2611" t="s">
        <v>19</v>
      </c>
      <c r="C2611">
        <v>700</v>
      </c>
      <c r="D2611">
        <v>0</v>
      </c>
      <c r="E2611" t="s">
        <v>20</v>
      </c>
      <c r="F2611" t="s">
        <v>20</v>
      </c>
      <c r="G2611" t="str">
        <f>"2025-04-27 13:12:44.468"</f>
        <v>2025-04-27 13:12:44.468</v>
      </c>
      <c r="H2611" t="s">
        <v>21</v>
      </c>
      <c r="I2611">
        <v>0</v>
      </c>
      <c r="J2611" t="s">
        <v>32</v>
      </c>
    </row>
    <row r="2612" spans="1:10" x14ac:dyDescent="0.25">
      <c r="A2612" s="1">
        <v>762</v>
      </c>
      <c r="B2612" t="s">
        <v>25</v>
      </c>
      <c r="C2612">
        <v>98</v>
      </c>
      <c r="D2612">
        <v>1</v>
      </c>
      <c r="E2612" t="s">
        <v>64</v>
      </c>
      <c r="F2612" t="s">
        <v>65</v>
      </c>
      <c r="G2612" t="str">
        <f>"2025-04-25 21:30:00.275"</f>
        <v>2025-04-25 21:30:00.275</v>
      </c>
      <c r="H2612" t="s">
        <v>21</v>
      </c>
    </row>
    <row r="2613" spans="1:10" x14ac:dyDescent="0.25">
      <c r="A2613" s="1">
        <v>763</v>
      </c>
      <c r="B2613" t="s">
        <v>29</v>
      </c>
      <c r="C2613">
        <v>98</v>
      </c>
      <c r="D2613">
        <v>1</v>
      </c>
      <c r="E2613" t="s">
        <v>64</v>
      </c>
      <c r="F2613" t="s">
        <v>65</v>
      </c>
      <c r="G2613" t="str">
        <f>"2025-04-25 21:29:59.275"</f>
        <v>2025-04-25 21:29:59.275</v>
      </c>
      <c r="H2613" t="s">
        <v>21</v>
      </c>
      <c r="I2613">
        <v>0</v>
      </c>
      <c r="J2613" t="s">
        <v>37</v>
      </c>
    </row>
    <row r="2614" spans="1:10" x14ac:dyDescent="0.25">
      <c r="A2614" s="1">
        <v>764</v>
      </c>
      <c r="B2614" t="s">
        <v>25</v>
      </c>
      <c r="C2614">
        <v>635</v>
      </c>
      <c r="D2614">
        <v>1</v>
      </c>
      <c r="E2614" t="s">
        <v>45</v>
      </c>
      <c r="F2614" t="s">
        <v>27</v>
      </c>
      <c r="G2614" t="str">
        <f>"2025-04-25 17:27:21.715"</f>
        <v>2025-04-25 17:27:21.715</v>
      </c>
      <c r="H2614" t="s">
        <v>21</v>
      </c>
    </row>
    <row r="2615" spans="1:10" x14ac:dyDescent="0.25">
      <c r="A2615" s="1">
        <v>765</v>
      </c>
      <c r="B2615" t="s">
        <v>29</v>
      </c>
      <c r="C2615">
        <v>635</v>
      </c>
      <c r="D2615">
        <v>1</v>
      </c>
      <c r="E2615" t="s">
        <v>45</v>
      </c>
      <c r="F2615" t="s">
        <v>27</v>
      </c>
      <c r="G2615" t="str">
        <f>"2025-04-25 17:23:57.215"</f>
        <v>2025-04-25 17:23:57.215</v>
      </c>
      <c r="H2615" t="s">
        <v>21</v>
      </c>
      <c r="I2615">
        <v>0</v>
      </c>
      <c r="J2615" t="s">
        <v>37</v>
      </c>
    </row>
    <row r="2616" spans="1:10" x14ac:dyDescent="0.25">
      <c r="A2616" s="1">
        <v>766</v>
      </c>
      <c r="B2616" t="s">
        <v>29</v>
      </c>
      <c r="C2616">
        <v>53</v>
      </c>
      <c r="D2616">
        <v>1</v>
      </c>
      <c r="E2616" t="s">
        <v>89</v>
      </c>
      <c r="F2616" t="s">
        <v>85</v>
      </c>
      <c r="G2616" t="str">
        <f>"2025-04-25 09:25:12.675"</f>
        <v>2025-04-25 09:25:12.675</v>
      </c>
      <c r="H2616" t="s">
        <v>21</v>
      </c>
      <c r="I2616">
        <v>5.05</v>
      </c>
      <c r="J2616" t="s">
        <v>42</v>
      </c>
    </row>
    <row r="2617" spans="1:10" x14ac:dyDescent="0.25">
      <c r="A2617" s="1">
        <v>767</v>
      </c>
      <c r="B2617" t="s">
        <v>19</v>
      </c>
      <c r="C2617">
        <v>706</v>
      </c>
      <c r="D2617">
        <v>2</v>
      </c>
      <c r="E2617" t="s">
        <v>22</v>
      </c>
      <c r="F2617" t="s">
        <v>53</v>
      </c>
      <c r="G2617" t="str">
        <f>"2025-04-25 09:23:42.695"</f>
        <v>2025-04-25 09:23:42.695</v>
      </c>
      <c r="H2617" t="s">
        <v>21</v>
      </c>
      <c r="I2617">
        <v>0</v>
      </c>
      <c r="J2617" t="s">
        <v>24</v>
      </c>
    </row>
    <row r="2618" spans="1:10" x14ac:dyDescent="0.25">
      <c r="A2618" s="1">
        <v>768</v>
      </c>
      <c r="B2618" t="s">
        <v>25</v>
      </c>
      <c r="C2618">
        <v>619</v>
      </c>
      <c r="D2618">
        <v>1</v>
      </c>
      <c r="E2618" t="s">
        <v>26</v>
      </c>
      <c r="F2618" t="s">
        <v>27</v>
      </c>
      <c r="G2618" t="str">
        <f>"2025-04-25 09:23:12.715"</f>
        <v>2025-04-25 09:23:12.715</v>
      </c>
      <c r="H2618" t="s">
        <v>28</v>
      </c>
    </row>
    <row r="2619" spans="1:10" x14ac:dyDescent="0.25">
      <c r="A2619" s="1">
        <v>769</v>
      </c>
      <c r="B2619" t="s">
        <v>29</v>
      </c>
      <c r="C2619">
        <v>619</v>
      </c>
      <c r="D2619">
        <v>1</v>
      </c>
      <c r="E2619" t="s">
        <v>26</v>
      </c>
      <c r="F2619" t="s">
        <v>27</v>
      </c>
      <c r="G2619" t="str">
        <f>"2025-04-25 09:22:31.915"</f>
        <v>2025-04-25 09:22:31.915</v>
      </c>
      <c r="H2619" t="s">
        <v>28</v>
      </c>
      <c r="I2619">
        <v>0</v>
      </c>
      <c r="J2619" t="s">
        <v>24</v>
      </c>
    </row>
    <row r="2620" spans="1:10" x14ac:dyDescent="0.25">
      <c r="A2620" s="1">
        <v>770</v>
      </c>
      <c r="B2620" t="s">
        <v>19</v>
      </c>
      <c r="C2620">
        <v>706</v>
      </c>
      <c r="D2620">
        <v>4</v>
      </c>
      <c r="E2620" t="s">
        <v>22</v>
      </c>
      <c r="F2620" t="s">
        <v>31</v>
      </c>
      <c r="G2620" t="str">
        <f>"2025-04-25 09:22:19.055"</f>
        <v>2025-04-25 09:22:19.055</v>
      </c>
      <c r="H2620" t="s">
        <v>21</v>
      </c>
      <c r="I2620">
        <v>0</v>
      </c>
      <c r="J2620" t="s">
        <v>24</v>
      </c>
    </row>
    <row r="2621" spans="1:10" x14ac:dyDescent="0.25">
      <c r="A2621" s="1">
        <v>771</v>
      </c>
      <c r="B2621" t="s">
        <v>25</v>
      </c>
      <c r="C2621">
        <v>53</v>
      </c>
      <c r="D2621">
        <v>1</v>
      </c>
      <c r="E2621" t="s">
        <v>89</v>
      </c>
      <c r="F2621" t="s">
        <v>85</v>
      </c>
      <c r="G2621" t="str">
        <f>"2025-04-25 09:22:14.175"</f>
        <v>2025-04-25 09:22:14.175</v>
      </c>
      <c r="H2621" t="s">
        <v>21</v>
      </c>
    </row>
    <row r="2622" spans="1:10" x14ac:dyDescent="0.25">
      <c r="A2622" s="1">
        <v>772</v>
      </c>
      <c r="B2622" t="s">
        <v>19</v>
      </c>
      <c r="C2622">
        <v>700</v>
      </c>
      <c r="D2622">
        <v>0</v>
      </c>
      <c r="E2622" t="s">
        <v>20</v>
      </c>
      <c r="F2622" t="s">
        <v>20</v>
      </c>
      <c r="G2622" t="str">
        <f>"2025-04-25 09:22:01.455"</f>
        <v>2025-04-25 09:22:01.455</v>
      </c>
      <c r="H2622" t="s">
        <v>21</v>
      </c>
      <c r="I2622">
        <v>0</v>
      </c>
      <c r="J2622" t="s">
        <v>32</v>
      </c>
    </row>
    <row r="2623" spans="1:10" x14ac:dyDescent="0.25">
      <c r="A2623" s="1">
        <v>773</v>
      </c>
      <c r="B2623" t="s">
        <v>29</v>
      </c>
      <c r="C2623">
        <v>53</v>
      </c>
      <c r="D2623">
        <v>1</v>
      </c>
      <c r="E2623" t="s">
        <v>89</v>
      </c>
      <c r="F2623" t="s">
        <v>85</v>
      </c>
      <c r="G2623" t="str">
        <f>"2025-04-25 06:00:09.945"</f>
        <v>2025-04-25 06:00:09.945</v>
      </c>
      <c r="H2623" t="s">
        <v>21</v>
      </c>
      <c r="I2623">
        <v>5.3</v>
      </c>
      <c r="J2623" t="s">
        <v>42</v>
      </c>
    </row>
    <row r="2624" spans="1:10" x14ac:dyDescent="0.25">
      <c r="A2624" s="1">
        <v>774</v>
      </c>
      <c r="B2624" t="s">
        <v>25</v>
      </c>
      <c r="C2624">
        <v>630</v>
      </c>
      <c r="D2624">
        <v>5</v>
      </c>
      <c r="E2624" t="s">
        <v>51</v>
      </c>
      <c r="F2624" t="s">
        <v>52</v>
      </c>
      <c r="G2624" t="str">
        <f>"2025-04-25 05:59:11.146"</f>
        <v>2025-04-25 05:59:11.146</v>
      </c>
      <c r="H2624" t="s">
        <v>40</v>
      </c>
    </row>
    <row r="2625" spans="1:10" x14ac:dyDescent="0.25">
      <c r="A2625" s="1">
        <v>775</v>
      </c>
      <c r="B2625" t="s">
        <v>19</v>
      </c>
      <c r="C2625">
        <v>706</v>
      </c>
      <c r="D2625">
        <v>4</v>
      </c>
      <c r="E2625" t="s">
        <v>22</v>
      </c>
      <c r="F2625" t="s">
        <v>31</v>
      </c>
      <c r="G2625" t="str">
        <f>"2025-04-25 05:58:41.024"</f>
        <v>2025-04-25 05:58:41.024</v>
      </c>
      <c r="H2625" t="s">
        <v>21</v>
      </c>
      <c r="I2625">
        <v>0</v>
      </c>
      <c r="J2625" t="s">
        <v>24</v>
      </c>
    </row>
    <row r="2626" spans="1:10" x14ac:dyDescent="0.25">
      <c r="A2626" s="1">
        <v>776</v>
      </c>
      <c r="B2626" t="s">
        <v>19</v>
      </c>
      <c r="C2626">
        <v>706</v>
      </c>
      <c r="D2626">
        <v>3</v>
      </c>
      <c r="E2626" t="s">
        <v>22</v>
      </c>
      <c r="F2626" t="s">
        <v>23</v>
      </c>
      <c r="G2626" t="str">
        <f>"2025-04-25 05:58:24.214"</f>
        <v>2025-04-25 05:58:24.214</v>
      </c>
      <c r="H2626" t="s">
        <v>21</v>
      </c>
      <c r="I2626">
        <v>0</v>
      </c>
      <c r="J2626" t="s">
        <v>24</v>
      </c>
    </row>
    <row r="2627" spans="1:10" x14ac:dyDescent="0.25">
      <c r="A2627" s="1">
        <v>777</v>
      </c>
      <c r="B2627" t="s">
        <v>33</v>
      </c>
      <c r="C2627">
        <v>630</v>
      </c>
      <c r="D2627">
        <v>5</v>
      </c>
      <c r="E2627" t="s">
        <v>51</v>
      </c>
      <c r="F2627" t="s">
        <v>52</v>
      </c>
      <c r="G2627" t="str">
        <f>"2025-04-25 05:51:31.146"</f>
        <v>2025-04-25 05:51:31.146</v>
      </c>
      <c r="H2627" t="s">
        <v>40</v>
      </c>
      <c r="I2627">
        <v>0</v>
      </c>
      <c r="J2627" t="s">
        <v>24</v>
      </c>
    </row>
    <row r="2628" spans="1:10" x14ac:dyDescent="0.25">
      <c r="A2628" s="1">
        <v>778</v>
      </c>
      <c r="B2628" t="s">
        <v>25</v>
      </c>
      <c r="C2628">
        <v>53</v>
      </c>
      <c r="D2628">
        <v>1</v>
      </c>
      <c r="E2628" t="s">
        <v>89</v>
      </c>
      <c r="F2628" t="s">
        <v>85</v>
      </c>
      <c r="G2628" t="str">
        <f>"2025-04-25 05:46:41.145"</f>
        <v>2025-04-25 05:46:41.145</v>
      </c>
      <c r="H2628" t="s">
        <v>21</v>
      </c>
    </row>
    <row r="2629" spans="1:10" x14ac:dyDescent="0.25">
      <c r="A2629" s="1">
        <v>779</v>
      </c>
      <c r="B2629" t="s">
        <v>19</v>
      </c>
      <c r="C2629">
        <v>700</v>
      </c>
      <c r="D2629">
        <v>0</v>
      </c>
      <c r="E2629" t="s">
        <v>20</v>
      </c>
      <c r="F2629" t="s">
        <v>20</v>
      </c>
      <c r="G2629" t="str">
        <f>"2025-04-25 05:46:28.434"</f>
        <v>2025-04-25 05:46:28.434</v>
      </c>
      <c r="H2629" t="s">
        <v>21</v>
      </c>
      <c r="I2629">
        <v>0</v>
      </c>
      <c r="J2629" t="s">
        <v>32</v>
      </c>
    </row>
    <row r="2630" spans="1:10" x14ac:dyDescent="0.25">
      <c r="A2630" s="1">
        <v>780</v>
      </c>
      <c r="B2630" t="s">
        <v>29</v>
      </c>
      <c r="C2630">
        <v>53</v>
      </c>
      <c r="D2630">
        <v>1</v>
      </c>
      <c r="E2630" t="s">
        <v>89</v>
      </c>
      <c r="F2630" t="s">
        <v>85</v>
      </c>
      <c r="G2630" t="str">
        <f>"2025-04-24 21:55:35.587"</f>
        <v>2025-04-24 21:55:35.587</v>
      </c>
      <c r="H2630" t="s">
        <v>21</v>
      </c>
      <c r="I2630">
        <v>2.0299999999999998</v>
      </c>
      <c r="J2630" t="s">
        <v>37</v>
      </c>
    </row>
    <row r="2631" spans="1:10" x14ac:dyDescent="0.25">
      <c r="A2631" s="1">
        <v>781</v>
      </c>
      <c r="B2631" t="s">
        <v>19</v>
      </c>
      <c r="C2631">
        <v>700</v>
      </c>
      <c r="D2631">
        <v>0</v>
      </c>
      <c r="E2631" t="s">
        <v>20</v>
      </c>
      <c r="F2631" t="s">
        <v>20</v>
      </c>
      <c r="G2631" t="str">
        <f>"2025-04-24 21:48:01.452"</f>
        <v>2025-04-24 21:48:01.452</v>
      </c>
      <c r="H2631" t="s">
        <v>21</v>
      </c>
    </row>
    <row r="2632" spans="1:10" x14ac:dyDescent="0.25">
      <c r="A2632" s="1">
        <v>782</v>
      </c>
      <c r="B2632" t="s">
        <v>25</v>
      </c>
      <c r="C2632">
        <v>619</v>
      </c>
      <c r="D2632">
        <v>1</v>
      </c>
      <c r="E2632" t="s">
        <v>26</v>
      </c>
      <c r="F2632" t="s">
        <v>27</v>
      </c>
      <c r="G2632" t="str">
        <f>"2025-04-23 19:42:09.775"</f>
        <v>2025-04-23 19:42:09.775</v>
      </c>
      <c r="H2632" t="s">
        <v>28</v>
      </c>
    </row>
    <row r="2633" spans="1:10" x14ac:dyDescent="0.25">
      <c r="A2633" s="1">
        <v>783</v>
      </c>
      <c r="B2633" t="s">
        <v>25</v>
      </c>
      <c r="C2633">
        <v>630</v>
      </c>
      <c r="D2633">
        <v>5</v>
      </c>
      <c r="E2633" t="s">
        <v>51</v>
      </c>
      <c r="F2633" t="s">
        <v>52</v>
      </c>
      <c r="G2633" t="str">
        <f>"2025-04-23 19:41:20.023"</f>
        <v>2025-04-23 19:41:20.023</v>
      </c>
      <c r="H2633" t="s">
        <v>40</v>
      </c>
    </row>
    <row r="2634" spans="1:10" x14ac:dyDescent="0.25">
      <c r="A2634" s="1">
        <v>784</v>
      </c>
      <c r="B2634" t="s">
        <v>29</v>
      </c>
      <c r="C2634">
        <v>619</v>
      </c>
      <c r="D2634">
        <v>1</v>
      </c>
      <c r="E2634" t="s">
        <v>26</v>
      </c>
      <c r="F2634" t="s">
        <v>27</v>
      </c>
      <c r="G2634" t="str">
        <f>"2025-04-23 19:40:54.923"</f>
        <v>2025-04-23 19:40:54.923</v>
      </c>
      <c r="H2634" t="s">
        <v>28</v>
      </c>
      <c r="I2634">
        <v>0</v>
      </c>
      <c r="J2634" t="s">
        <v>24</v>
      </c>
    </row>
    <row r="2635" spans="1:10" x14ac:dyDescent="0.25">
      <c r="A2635" s="1">
        <v>785</v>
      </c>
      <c r="B2635" t="s">
        <v>19</v>
      </c>
      <c r="C2635">
        <v>706</v>
      </c>
      <c r="D2635">
        <v>4</v>
      </c>
      <c r="E2635" t="s">
        <v>22</v>
      </c>
      <c r="F2635" t="s">
        <v>31</v>
      </c>
      <c r="G2635" t="str">
        <f>"2025-04-23 19:40:49.931"</f>
        <v>2025-04-23 19:40:49.931</v>
      </c>
      <c r="H2635" t="s">
        <v>21</v>
      </c>
      <c r="I2635">
        <v>0</v>
      </c>
      <c r="J2635" t="s">
        <v>24</v>
      </c>
    </row>
    <row r="2636" spans="1:10" x14ac:dyDescent="0.25">
      <c r="A2636" s="1">
        <v>786</v>
      </c>
      <c r="B2636" t="s">
        <v>33</v>
      </c>
      <c r="C2636">
        <v>630</v>
      </c>
      <c r="D2636">
        <v>5</v>
      </c>
      <c r="E2636" t="s">
        <v>51</v>
      </c>
      <c r="F2636" t="s">
        <v>52</v>
      </c>
      <c r="G2636" t="str">
        <f>"2025-04-23 19:34:13.023"</f>
        <v>2025-04-23 19:34:13.023</v>
      </c>
      <c r="H2636" t="s">
        <v>40</v>
      </c>
      <c r="I2636">
        <v>0</v>
      </c>
      <c r="J2636" t="s">
        <v>24</v>
      </c>
    </row>
    <row r="2637" spans="1:10" x14ac:dyDescent="0.25">
      <c r="A2637" s="1">
        <v>787</v>
      </c>
      <c r="B2637" t="s">
        <v>25</v>
      </c>
      <c r="C2637">
        <v>619</v>
      </c>
      <c r="D2637">
        <v>1</v>
      </c>
      <c r="E2637" t="s">
        <v>26</v>
      </c>
      <c r="F2637" t="s">
        <v>27</v>
      </c>
      <c r="G2637" t="str">
        <f>"2025-04-23 19:06:05.523"</f>
        <v>2025-04-23 19:06:05.523</v>
      </c>
      <c r="H2637" t="s">
        <v>28</v>
      </c>
    </row>
    <row r="2638" spans="1:10" x14ac:dyDescent="0.25">
      <c r="A2638" s="1">
        <v>788</v>
      </c>
      <c r="B2638" t="s">
        <v>25</v>
      </c>
      <c r="C2638">
        <v>630</v>
      </c>
      <c r="D2638">
        <v>5</v>
      </c>
      <c r="E2638" t="s">
        <v>51</v>
      </c>
      <c r="F2638" t="s">
        <v>52</v>
      </c>
      <c r="G2638" t="str">
        <f>"2025-04-23 19:04:54.223"</f>
        <v>2025-04-23 19:04:54.223</v>
      </c>
      <c r="H2638" t="s">
        <v>40</v>
      </c>
    </row>
    <row r="2639" spans="1:10" x14ac:dyDescent="0.25">
      <c r="A2639" s="1">
        <v>789</v>
      </c>
      <c r="B2639" t="s">
        <v>29</v>
      </c>
      <c r="C2639">
        <v>619</v>
      </c>
      <c r="D2639">
        <v>1</v>
      </c>
      <c r="E2639" t="s">
        <v>26</v>
      </c>
      <c r="F2639" t="s">
        <v>27</v>
      </c>
      <c r="G2639" t="str">
        <f>"2025-04-23 19:04:28.775"</f>
        <v>2025-04-23 19:04:28.775</v>
      </c>
      <c r="H2639" t="s">
        <v>28</v>
      </c>
      <c r="I2639">
        <v>0</v>
      </c>
      <c r="J2639" t="s">
        <v>24</v>
      </c>
    </row>
    <row r="2640" spans="1:10" x14ac:dyDescent="0.25">
      <c r="A2640" s="1">
        <v>790</v>
      </c>
      <c r="B2640" t="s">
        <v>19</v>
      </c>
      <c r="C2640">
        <v>706</v>
      </c>
      <c r="D2640">
        <v>2</v>
      </c>
      <c r="E2640" t="s">
        <v>22</v>
      </c>
      <c r="F2640" t="s">
        <v>53</v>
      </c>
      <c r="G2640" t="str">
        <f>"2025-04-23 19:04:24.081"</f>
        <v>2025-04-23 19:04:24.081</v>
      </c>
      <c r="H2640" t="s">
        <v>21</v>
      </c>
      <c r="I2640">
        <v>0</v>
      </c>
      <c r="J2640" t="s">
        <v>24</v>
      </c>
    </row>
    <row r="2641" spans="1:10" x14ac:dyDescent="0.25">
      <c r="A2641" s="1">
        <v>791</v>
      </c>
      <c r="B2641" t="s">
        <v>33</v>
      </c>
      <c r="C2641">
        <v>630</v>
      </c>
      <c r="D2641">
        <v>5</v>
      </c>
      <c r="E2641" t="s">
        <v>51</v>
      </c>
      <c r="F2641" t="s">
        <v>52</v>
      </c>
      <c r="G2641" t="str">
        <f>"2025-04-23 18:37:51.623"</f>
        <v>2025-04-23 18:37:51.623</v>
      </c>
      <c r="H2641" t="s">
        <v>40</v>
      </c>
      <c r="I2641">
        <v>0</v>
      </c>
      <c r="J2641" t="s">
        <v>24</v>
      </c>
    </row>
    <row r="2642" spans="1:10" x14ac:dyDescent="0.25">
      <c r="A2642" s="1">
        <v>792</v>
      </c>
      <c r="B2642" t="s">
        <v>25</v>
      </c>
      <c r="C2642">
        <v>619</v>
      </c>
      <c r="D2642">
        <v>1</v>
      </c>
      <c r="E2642" t="s">
        <v>26</v>
      </c>
      <c r="F2642" t="s">
        <v>27</v>
      </c>
      <c r="G2642" t="str">
        <f>"2025-04-23 18:31:49.475"</f>
        <v>2025-04-23 18:31:49.475</v>
      </c>
      <c r="H2642" t="s">
        <v>28</v>
      </c>
    </row>
    <row r="2643" spans="1:10" x14ac:dyDescent="0.25">
      <c r="A2643" s="1">
        <v>793</v>
      </c>
      <c r="B2643" t="s">
        <v>29</v>
      </c>
      <c r="C2643">
        <v>619</v>
      </c>
      <c r="D2643">
        <v>1</v>
      </c>
      <c r="E2643" t="s">
        <v>26</v>
      </c>
      <c r="F2643" t="s">
        <v>27</v>
      </c>
      <c r="G2643" t="str">
        <f>"2025-04-23 18:30:01.924"</f>
        <v>2025-04-23 18:30:01.924</v>
      </c>
      <c r="H2643" t="s">
        <v>28</v>
      </c>
      <c r="I2643">
        <v>0</v>
      </c>
      <c r="J2643" t="s">
        <v>24</v>
      </c>
    </row>
    <row r="2644" spans="1:10" x14ac:dyDescent="0.25">
      <c r="A2644" s="1">
        <v>794</v>
      </c>
      <c r="B2644" t="s">
        <v>19</v>
      </c>
      <c r="C2644">
        <v>700</v>
      </c>
      <c r="D2644">
        <v>0</v>
      </c>
      <c r="E2644" t="s">
        <v>20</v>
      </c>
      <c r="F2644" t="s">
        <v>20</v>
      </c>
      <c r="G2644" t="str">
        <f>"2025-04-23 18:29:55.491"</f>
        <v>2025-04-23 18:29:55.491</v>
      </c>
      <c r="H2644" t="s">
        <v>21</v>
      </c>
    </row>
    <row r="2645" spans="1:10" x14ac:dyDescent="0.25">
      <c r="A2645" s="1">
        <v>795</v>
      </c>
      <c r="B2645" t="s">
        <v>25</v>
      </c>
      <c r="C2645">
        <v>619</v>
      </c>
      <c r="D2645">
        <v>1</v>
      </c>
      <c r="E2645" t="s">
        <v>26</v>
      </c>
      <c r="F2645" t="s">
        <v>27</v>
      </c>
      <c r="G2645" t="str">
        <f>"2025-04-23 17:13:03.276"</f>
        <v>2025-04-23 17:13:03.276</v>
      </c>
      <c r="H2645" t="s">
        <v>28</v>
      </c>
    </row>
    <row r="2646" spans="1:10" x14ac:dyDescent="0.25">
      <c r="A2646" s="1">
        <v>796</v>
      </c>
      <c r="B2646" t="s">
        <v>29</v>
      </c>
      <c r="C2646">
        <v>619</v>
      </c>
      <c r="D2646">
        <v>1</v>
      </c>
      <c r="E2646" t="s">
        <v>26</v>
      </c>
      <c r="F2646" t="s">
        <v>27</v>
      </c>
      <c r="G2646" t="str">
        <f>"2025-04-23 17:11:54.976"</f>
        <v>2025-04-23 17:11:54.976</v>
      </c>
      <c r="H2646" t="s">
        <v>28</v>
      </c>
      <c r="I2646">
        <v>0</v>
      </c>
      <c r="J2646" t="s">
        <v>24</v>
      </c>
    </row>
    <row r="2647" spans="1:10" x14ac:dyDescent="0.25">
      <c r="A2647" s="1">
        <v>797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"2025-04-23 17:11:48.409"</f>
        <v>2025-04-23 17:11:48.409</v>
      </c>
      <c r="H2647" t="s">
        <v>21</v>
      </c>
      <c r="I2647">
        <v>0</v>
      </c>
      <c r="J2647" t="s">
        <v>32</v>
      </c>
    </row>
    <row r="2648" spans="1:10" x14ac:dyDescent="0.25">
      <c r="A2648" s="1">
        <v>798</v>
      </c>
      <c r="B2648" t="s">
        <v>19</v>
      </c>
      <c r="C2648">
        <v>700</v>
      </c>
      <c r="D2648">
        <v>0</v>
      </c>
      <c r="E2648" t="s">
        <v>20</v>
      </c>
      <c r="F2648" t="s">
        <v>20</v>
      </c>
      <c r="G2648" t="str">
        <f>"2025-04-23 14:21:52.416"</f>
        <v>2025-04-23 14:21:52.416</v>
      </c>
      <c r="H2648" t="s">
        <v>21</v>
      </c>
      <c r="I2648">
        <v>0</v>
      </c>
      <c r="J2648" t="s">
        <v>32</v>
      </c>
    </row>
    <row r="2649" spans="1:10" x14ac:dyDescent="0.25">
      <c r="A2649" s="1">
        <v>799</v>
      </c>
      <c r="B2649" t="s">
        <v>25</v>
      </c>
      <c r="C2649">
        <v>619</v>
      </c>
      <c r="D2649">
        <v>1</v>
      </c>
      <c r="E2649" t="s">
        <v>26</v>
      </c>
      <c r="F2649" t="s">
        <v>27</v>
      </c>
      <c r="G2649" t="str">
        <f>"2025-04-23 09:13:16.897"</f>
        <v>2025-04-23 09:13:16.897</v>
      </c>
      <c r="H2649" t="s">
        <v>28</v>
      </c>
    </row>
    <row r="2650" spans="1:10" x14ac:dyDescent="0.25">
      <c r="A2650" s="1">
        <v>800</v>
      </c>
      <c r="B2650" t="s">
        <v>29</v>
      </c>
      <c r="C2650">
        <v>619</v>
      </c>
      <c r="D2650">
        <v>1</v>
      </c>
      <c r="E2650" t="s">
        <v>26</v>
      </c>
      <c r="F2650" t="s">
        <v>27</v>
      </c>
      <c r="G2650" t="str">
        <f>"2025-04-23 09:12:11.945"</f>
        <v>2025-04-23 09:12:11.945</v>
      </c>
      <c r="H2650" t="s">
        <v>28</v>
      </c>
      <c r="I2650">
        <v>0</v>
      </c>
      <c r="J2650" t="s">
        <v>37</v>
      </c>
    </row>
    <row r="2651" spans="1:10" x14ac:dyDescent="0.25">
      <c r="A2651" s="1">
        <v>801</v>
      </c>
      <c r="B2651" t="s">
        <v>19</v>
      </c>
      <c r="C2651">
        <v>700</v>
      </c>
      <c r="D2651">
        <v>0</v>
      </c>
      <c r="E2651" t="s">
        <v>20</v>
      </c>
      <c r="F2651" t="s">
        <v>20</v>
      </c>
      <c r="G2651" t="str">
        <f>"2025-04-23 09:11:41.417"</f>
        <v>2025-04-23 09:11:41.417</v>
      </c>
      <c r="H2651" t="s">
        <v>21</v>
      </c>
    </row>
    <row r="2652" spans="1:10" x14ac:dyDescent="0.25">
      <c r="A2652" s="1">
        <v>802</v>
      </c>
      <c r="B2652" t="s">
        <v>25</v>
      </c>
      <c r="C2652">
        <v>53</v>
      </c>
      <c r="D2652">
        <v>1</v>
      </c>
      <c r="E2652" t="s">
        <v>89</v>
      </c>
      <c r="F2652" t="s">
        <v>85</v>
      </c>
      <c r="G2652" t="str">
        <f>"2025-04-22 23:14:35.152"</f>
        <v>2025-04-22 23:14:35.152</v>
      </c>
      <c r="H2652" t="s">
        <v>21</v>
      </c>
    </row>
    <row r="2653" spans="1:10" x14ac:dyDescent="0.25">
      <c r="A2653" s="1">
        <v>803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"2025-04-22 23:14:22.547"</f>
        <v>2025-04-22 23:14:22.547</v>
      </c>
      <c r="H2653" t="s">
        <v>21</v>
      </c>
    </row>
    <row r="2654" spans="1:10" x14ac:dyDescent="0.25">
      <c r="A2654" s="1">
        <v>804</v>
      </c>
      <c r="B2654" t="s">
        <v>29</v>
      </c>
      <c r="C2654">
        <v>53</v>
      </c>
      <c r="D2654">
        <v>1</v>
      </c>
      <c r="E2654" t="s">
        <v>89</v>
      </c>
      <c r="F2654" t="s">
        <v>85</v>
      </c>
      <c r="G2654" t="str">
        <f>"2025-04-22 10:14:49.762"</f>
        <v>2025-04-22 10:14:49.762</v>
      </c>
      <c r="H2654" t="s">
        <v>21</v>
      </c>
      <c r="I2654">
        <v>4.21</v>
      </c>
      <c r="J2654" t="s">
        <v>37</v>
      </c>
    </row>
    <row r="2655" spans="1:10" x14ac:dyDescent="0.25">
      <c r="A2655" s="1">
        <v>805</v>
      </c>
      <c r="B2655" t="s">
        <v>25</v>
      </c>
      <c r="C2655">
        <v>619</v>
      </c>
      <c r="D2655">
        <v>1</v>
      </c>
      <c r="E2655" t="s">
        <v>26</v>
      </c>
      <c r="F2655" t="s">
        <v>27</v>
      </c>
      <c r="G2655" t="str">
        <f>"2025-04-22 10:00:16.050"</f>
        <v>2025-04-22 10:00:16.050</v>
      </c>
      <c r="H2655" t="s">
        <v>28</v>
      </c>
    </row>
    <row r="2656" spans="1:10" x14ac:dyDescent="0.25">
      <c r="A2656" s="1">
        <v>806</v>
      </c>
      <c r="B2656" t="s">
        <v>29</v>
      </c>
      <c r="C2656">
        <v>619</v>
      </c>
      <c r="D2656">
        <v>1</v>
      </c>
      <c r="E2656" t="s">
        <v>26</v>
      </c>
      <c r="F2656" t="s">
        <v>27</v>
      </c>
      <c r="G2656" t="str">
        <f>"2025-04-22 09:59:04.903"</f>
        <v>2025-04-22 09:59:04.903</v>
      </c>
      <c r="H2656" t="s">
        <v>28</v>
      </c>
      <c r="I2656">
        <v>0</v>
      </c>
      <c r="J2656" t="s">
        <v>24</v>
      </c>
    </row>
    <row r="2657" spans="1:10" x14ac:dyDescent="0.25">
      <c r="A2657" s="1">
        <v>807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"2025-04-22 09:58:58.419"</f>
        <v>2025-04-22 09:58:58.419</v>
      </c>
      <c r="H2657" t="s">
        <v>21</v>
      </c>
    </row>
    <row r="2658" spans="1:10" x14ac:dyDescent="0.25">
      <c r="A2658" s="1">
        <v>808</v>
      </c>
      <c r="B2658" t="s">
        <v>25</v>
      </c>
      <c r="C2658">
        <v>619</v>
      </c>
      <c r="D2658">
        <v>1</v>
      </c>
      <c r="E2658" t="s">
        <v>26</v>
      </c>
      <c r="F2658" t="s">
        <v>27</v>
      </c>
      <c r="G2658" t="str">
        <f>"2025-04-22 09:57:37.341"</f>
        <v>2025-04-22 09:57:37.341</v>
      </c>
      <c r="H2658" t="s">
        <v>28</v>
      </c>
    </row>
    <row r="2659" spans="1:10" x14ac:dyDescent="0.25">
      <c r="A2659" s="1">
        <v>809</v>
      </c>
      <c r="B2659" t="s">
        <v>25</v>
      </c>
      <c r="C2659">
        <v>89</v>
      </c>
      <c r="D2659">
        <v>3</v>
      </c>
      <c r="E2659" t="s">
        <v>59</v>
      </c>
      <c r="F2659" t="s">
        <v>60</v>
      </c>
      <c r="G2659" t="str">
        <f>"2025-04-22 09:57:20.633"</f>
        <v>2025-04-22 09:57:20.633</v>
      </c>
      <c r="H2659" t="s">
        <v>21</v>
      </c>
    </row>
    <row r="2660" spans="1:10" x14ac:dyDescent="0.25">
      <c r="A2660" s="1">
        <v>810</v>
      </c>
      <c r="B2660" t="s">
        <v>29</v>
      </c>
      <c r="C2660">
        <v>619</v>
      </c>
      <c r="D2660">
        <v>1</v>
      </c>
      <c r="E2660" t="s">
        <v>26</v>
      </c>
      <c r="F2660" t="s">
        <v>27</v>
      </c>
      <c r="G2660" t="str">
        <f>"2025-04-22 09:56:42.993"</f>
        <v>2025-04-22 09:56:42.993</v>
      </c>
      <c r="H2660" t="s">
        <v>28</v>
      </c>
      <c r="I2660">
        <v>0</v>
      </c>
      <c r="J2660" t="s">
        <v>24</v>
      </c>
    </row>
    <row r="2661" spans="1:10" x14ac:dyDescent="0.25">
      <c r="A2661" s="1">
        <v>811</v>
      </c>
      <c r="B2661" t="s">
        <v>33</v>
      </c>
      <c r="C2661">
        <v>89</v>
      </c>
      <c r="D2661">
        <v>3</v>
      </c>
      <c r="E2661" t="s">
        <v>59</v>
      </c>
      <c r="F2661" t="s">
        <v>60</v>
      </c>
      <c r="G2661" t="str">
        <f>"2025-04-22 09:56:41.634"</f>
        <v>2025-04-22 09:56:41.634</v>
      </c>
      <c r="H2661" t="s">
        <v>21</v>
      </c>
      <c r="I2661">
        <v>0</v>
      </c>
      <c r="J2661" t="s">
        <v>24</v>
      </c>
    </row>
    <row r="2662" spans="1:10" x14ac:dyDescent="0.25">
      <c r="A2662" s="1">
        <v>812</v>
      </c>
      <c r="B2662" t="s">
        <v>19</v>
      </c>
      <c r="C2662">
        <v>706</v>
      </c>
      <c r="D2662">
        <v>4</v>
      </c>
      <c r="E2662" t="s">
        <v>22</v>
      </c>
      <c r="F2662" t="s">
        <v>31</v>
      </c>
      <c r="G2662" t="str">
        <f>"2025-04-22 09:56:37.852"</f>
        <v>2025-04-22 09:56:37.852</v>
      </c>
      <c r="H2662" t="s">
        <v>21</v>
      </c>
      <c r="I2662">
        <v>0</v>
      </c>
      <c r="J2662" t="s">
        <v>24</v>
      </c>
    </row>
    <row r="2663" spans="1:10" x14ac:dyDescent="0.25">
      <c r="A2663" s="1">
        <v>813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"2025-04-22 09:56:06.422"</f>
        <v>2025-04-22 09:56:06.422</v>
      </c>
      <c r="H2663" t="s">
        <v>21</v>
      </c>
      <c r="I2663">
        <v>0</v>
      </c>
      <c r="J2663" t="s">
        <v>32</v>
      </c>
    </row>
    <row r="2664" spans="1:10" x14ac:dyDescent="0.25">
      <c r="A2664" s="1">
        <v>814</v>
      </c>
      <c r="B2664" t="s">
        <v>25</v>
      </c>
      <c r="C2664">
        <v>53</v>
      </c>
      <c r="D2664">
        <v>1</v>
      </c>
      <c r="E2664" t="s">
        <v>89</v>
      </c>
      <c r="F2664" t="s">
        <v>85</v>
      </c>
      <c r="G2664" t="str">
        <f>"2025-04-22 08:57:44.131"</f>
        <v>2025-04-22 08:57:44.131</v>
      </c>
      <c r="H2664" t="s">
        <v>21</v>
      </c>
    </row>
    <row r="2665" spans="1:10" x14ac:dyDescent="0.25">
      <c r="A2665" s="1">
        <v>815</v>
      </c>
      <c r="B2665" t="s">
        <v>19</v>
      </c>
      <c r="C2665">
        <v>700</v>
      </c>
      <c r="D2665">
        <v>0</v>
      </c>
      <c r="E2665" t="s">
        <v>20</v>
      </c>
      <c r="F2665" t="s">
        <v>20</v>
      </c>
      <c r="G2665" t="str">
        <f>"2025-04-22 08:57:31.410"</f>
        <v>2025-04-22 08:57:31.410</v>
      </c>
      <c r="H2665" t="s">
        <v>21</v>
      </c>
      <c r="I2665">
        <v>0</v>
      </c>
      <c r="J2665" t="s">
        <v>32</v>
      </c>
    </row>
    <row r="2666" spans="1:10" x14ac:dyDescent="0.25">
      <c r="A2666" s="1">
        <v>816</v>
      </c>
      <c r="B2666" t="s">
        <v>25</v>
      </c>
      <c r="C2666">
        <v>630</v>
      </c>
      <c r="D2666">
        <v>5</v>
      </c>
      <c r="E2666" t="s">
        <v>51</v>
      </c>
      <c r="F2666" t="s">
        <v>52</v>
      </c>
      <c r="G2666" t="str">
        <f>"2025-04-21 07:46:43.145"</f>
        <v>2025-04-21 07:46:43.145</v>
      </c>
      <c r="H2666" t="s">
        <v>40</v>
      </c>
    </row>
    <row r="2667" spans="1:10" x14ac:dyDescent="0.25">
      <c r="A2667" s="1">
        <v>817</v>
      </c>
      <c r="B2667" t="s">
        <v>19</v>
      </c>
      <c r="C2667">
        <v>706</v>
      </c>
      <c r="D2667">
        <v>4</v>
      </c>
      <c r="E2667" t="s">
        <v>22</v>
      </c>
      <c r="F2667" t="s">
        <v>31</v>
      </c>
      <c r="G2667" t="str">
        <f>"2025-04-21 07:46:13.094"</f>
        <v>2025-04-21 07:46:13.094</v>
      </c>
      <c r="H2667" t="s">
        <v>21</v>
      </c>
      <c r="I2667">
        <v>0</v>
      </c>
      <c r="J2667" t="s">
        <v>24</v>
      </c>
    </row>
    <row r="2668" spans="1:10" x14ac:dyDescent="0.25">
      <c r="A2668" s="1">
        <v>818</v>
      </c>
      <c r="B2668" t="s">
        <v>33</v>
      </c>
      <c r="C2668">
        <v>630</v>
      </c>
      <c r="D2668">
        <v>5</v>
      </c>
      <c r="E2668" t="s">
        <v>51</v>
      </c>
      <c r="F2668" t="s">
        <v>52</v>
      </c>
      <c r="G2668" t="str">
        <f>"2025-04-21 07:40:43.745"</f>
        <v>2025-04-21 07:40:43.745</v>
      </c>
      <c r="H2668" t="s">
        <v>40</v>
      </c>
      <c r="I2668">
        <v>0</v>
      </c>
      <c r="J2668" t="s">
        <v>24</v>
      </c>
    </row>
    <row r="2669" spans="1:10" x14ac:dyDescent="0.25">
      <c r="A2669" s="1">
        <v>819</v>
      </c>
      <c r="B2669" t="s">
        <v>41</v>
      </c>
      <c r="C2669">
        <v>33</v>
      </c>
      <c r="D2669">
        <v>1</v>
      </c>
      <c r="E2669" t="s">
        <v>61</v>
      </c>
      <c r="F2669" t="s">
        <v>62</v>
      </c>
      <c r="G2669" t="str">
        <f>"2025-04-20 23:34:42.891"</f>
        <v>2025-04-20 23:34:42.891</v>
      </c>
      <c r="H2669" t="s">
        <v>63</v>
      </c>
    </row>
    <row r="2670" spans="1:10" x14ac:dyDescent="0.25">
      <c r="A2670" s="1">
        <v>820</v>
      </c>
      <c r="B2670" t="s">
        <v>33</v>
      </c>
      <c r="C2670">
        <v>33</v>
      </c>
      <c r="D2670">
        <v>1</v>
      </c>
      <c r="E2670" t="s">
        <v>61</v>
      </c>
      <c r="F2670" t="s">
        <v>62</v>
      </c>
      <c r="G2670" t="str">
        <f>"2025-04-20 23:34:14.402"</f>
        <v>2025-04-20 23:34:14.402</v>
      </c>
      <c r="H2670" t="s">
        <v>63</v>
      </c>
      <c r="I2670">
        <v>16.71</v>
      </c>
      <c r="J2670" t="s">
        <v>42</v>
      </c>
    </row>
    <row r="2671" spans="1:10" x14ac:dyDescent="0.25">
      <c r="A2671" s="1">
        <v>821</v>
      </c>
      <c r="B2671" t="s">
        <v>29</v>
      </c>
      <c r="C2671">
        <v>53</v>
      </c>
      <c r="D2671">
        <v>1</v>
      </c>
      <c r="E2671" t="s">
        <v>89</v>
      </c>
      <c r="F2671" t="s">
        <v>85</v>
      </c>
      <c r="G2671" t="str">
        <f>"2025-04-19 21:07:27.545"</f>
        <v>2025-04-19 21:07:27.545</v>
      </c>
      <c r="H2671" t="s">
        <v>21</v>
      </c>
      <c r="I2671">
        <v>5.5</v>
      </c>
      <c r="J2671" t="s">
        <v>54</v>
      </c>
    </row>
    <row r="2672" spans="1:10" x14ac:dyDescent="0.25">
      <c r="A2672" s="1">
        <v>822</v>
      </c>
      <c r="B2672" t="s">
        <v>25</v>
      </c>
      <c r="C2672">
        <v>619</v>
      </c>
      <c r="D2672">
        <v>1</v>
      </c>
      <c r="E2672" t="s">
        <v>26</v>
      </c>
      <c r="F2672" t="s">
        <v>27</v>
      </c>
      <c r="G2672" t="str">
        <f>"2025-04-19 21:05:02.144"</f>
        <v>2025-04-19 21:05:02.144</v>
      </c>
      <c r="H2672" t="s">
        <v>28</v>
      </c>
    </row>
    <row r="2673" spans="1:10" x14ac:dyDescent="0.25">
      <c r="A2673" s="1">
        <v>823</v>
      </c>
      <c r="B2673" t="s">
        <v>29</v>
      </c>
      <c r="C2673">
        <v>619</v>
      </c>
      <c r="D2673">
        <v>1</v>
      </c>
      <c r="E2673" t="s">
        <v>26</v>
      </c>
      <c r="F2673" t="s">
        <v>27</v>
      </c>
      <c r="G2673" t="str">
        <f>"2025-04-19 21:03:48.944"</f>
        <v>2025-04-19 21:03:48.944</v>
      </c>
      <c r="H2673" t="s">
        <v>28</v>
      </c>
      <c r="I2673">
        <v>0</v>
      </c>
      <c r="J2673" t="s">
        <v>24</v>
      </c>
    </row>
    <row r="2674" spans="1:10" x14ac:dyDescent="0.25">
      <c r="A2674" s="1">
        <v>824</v>
      </c>
      <c r="B2674" t="s">
        <v>19</v>
      </c>
      <c r="C2674">
        <v>706</v>
      </c>
      <c r="D2674">
        <v>4</v>
      </c>
      <c r="E2674" t="s">
        <v>22</v>
      </c>
      <c r="F2674" t="s">
        <v>31</v>
      </c>
      <c r="G2674" t="str">
        <f>"2025-04-19 21:03:42.264"</f>
        <v>2025-04-19 21:03:42.264</v>
      </c>
      <c r="H2674" t="s">
        <v>21</v>
      </c>
      <c r="I2674">
        <v>0</v>
      </c>
      <c r="J2674" t="s">
        <v>24</v>
      </c>
    </row>
    <row r="2675" spans="1:10" x14ac:dyDescent="0.25">
      <c r="A2675" s="1">
        <v>825</v>
      </c>
      <c r="B2675" t="s">
        <v>19</v>
      </c>
      <c r="C2675">
        <v>700</v>
      </c>
      <c r="D2675">
        <v>0</v>
      </c>
      <c r="E2675" t="s">
        <v>20</v>
      </c>
      <c r="F2675" t="s">
        <v>20</v>
      </c>
      <c r="G2675" t="str">
        <f>"2025-04-19 21:03:18.424"</f>
        <v>2025-04-19 21:03:18.424</v>
      </c>
      <c r="H2675" t="s">
        <v>21</v>
      </c>
      <c r="I2675">
        <v>0</v>
      </c>
      <c r="J2675" t="s">
        <v>32</v>
      </c>
    </row>
    <row r="2676" spans="1:10" x14ac:dyDescent="0.25">
      <c r="A2676" s="1">
        <v>826</v>
      </c>
      <c r="B2676" t="s">
        <v>25</v>
      </c>
      <c r="C2676">
        <v>53</v>
      </c>
      <c r="D2676">
        <v>1</v>
      </c>
      <c r="E2676" t="s">
        <v>89</v>
      </c>
      <c r="F2676" t="s">
        <v>85</v>
      </c>
      <c r="G2676" t="str">
        <f>"2025-04-19 19:20:51.329"</f>
        <v>2025-04-19 19:20:51.329</v>
      </c>
      <c r="H2676" t="s">
        <v>21</v>
      </c>
    </row>
    <row r="2677" spans="1:10" x14ac:dyDescent="0.25">
      <c r="A2677" s="1">
        <v>827</v>
      </c>
      <c r="B2677" t="s">
        <v>19</v>
      </c>
      <c r="C2677">
        <v>700</v>
      </c>
      <c r="D2677">
        <v>0</v>
      </c>
      <c r="E2677" t="s">
        <v>20</v>
      </c>
      <c r="F2677" t="s">
        <v>20</v>
      </c>
      <c r="G2677" t="str">
        <f>"2025-04-19 19:20:38.588"</f>
        <v>2025-04-19 19:20:38.588</v>
      </c>
      <c r="H2677" t="s">
        <v>21</v>
      </c>
    </row>
    <row r="2678" spans="1:10" x14ac:dyDescent="0.25">
      <c r="A2678" s="1">
        <v>828</v>
      </c>
      <c r="B2678" t="s">
        <v>29</v>
      </c>
      <c r="C2678">
        <v>53</v>
      </c>
      <c r="D2678">
        <v>1</v>
      </c>
      <c r="E2678" t="s">
        <v>89</v>
      </c>
      <c r="F2678" t="s">
        <v>85</v>
      </c>
      <c r="G2678" t="str">
        <f>"2025-04-19 07:57:22.243"</f>
        <v>2025-04-19 07:57:22.243</v>
      </c>
      <c r="H2678" t="s">
        <v>21</v>
      </c>
      <c r="I2678">
        <v>8.08</v>
      </c>
      <c r="J2678" t="s">
        <v>37</v>
      </c>
    </row>
    <row r="2679" spans="1:10" x14ac:dyDescent="0.25">
      <c r="A2679" s="1">
        <v>829</v>
      </c>
      <c r="B2679" t="s">
        <v>25</v>
      </c>
      <c r="C2679">
        <v>53</v>
      </c>
      <c r="D2679">
        <v>1</v>
      </c>
      <c r="E2679" t="s">
        <v>89</v>
      </c>
      <c r="F2679" t="s">
        <v>85</v>
      </c>
      <c r="G2679" t="str">
        <f>"2025-04-19 07:51:11.043"</f>
        <v>2025-04-19 07:51:11.043</v>
      </c>
      <c r="H2679" t="s">
        <v>21</v>
      </c>
    </row>
    <row r="2680" spans="1:10" x14ac:dyDescent="0.25">
      <c r="A2680" s="1">
        <v>830</v>
      </c>
      <c r="B2680" t="s">
        <v>19</v>
      </c>
      <c r="C2680">
        <v>700</v>
      </c>
      <c r="D2680">
        <v>0</v>
      </c>
      <c r="E2680" t="s">
        <v>20</v>
      </c>
      <c r="F2680" t="s">
        <v>20</v>
      </c>
      <c r="G2680" t="str">
        <f>"2025-04-19 07:50:58.412"</f>
        <v>2025-04-19 07:50:58.412</v>
      </c>
      <c r="H2680" t="s">
        <v>21</v>
      </c>
      <c r="I2680">
        <v>0</v>
      </c>
      <c r="J2680" t="s">
        <v>32</v>
      </c>
    </row>
    <row r="2681" spans="1:10" x14ac:dyDescent="0.25">
      <c r="A2681" s="1">
        <v>831</v>
      </c>
      <c r="B2681" t="s">
        <v>29</v>
      </c>
      <c r="C2681">
        <v>53</v>
      </c>
      <c r="D2681">
        <v>1</v>
      </c>
      <c r="E2681" t="s">
        <v>89</v>
      </c>
      <c r="F2681" t="s">
        <v>85</v>
      </c>
      <c r="G2681" t="str">
        <f>"2025-04-18 00:59:27.944"</f>
        <v>2025-04-18 00:59:27.944</v>
      </c>
      <c r="H2681" t="s">
        <v>21</v>
      </c>
      <c r="I2681">
        <v>5.78</v>
      </c>
      <c r="J2681" t="s">
        <v>37</v>
      </c>
    </row>
    <row r="2682" spans="1:10" x14ac:dyDescent="0.25">
      <c r="A2682" s="1">
        <v>832</v>
      </c>
      <c r="B2682" t="s">
        <v>19</v>
      </c>
      <c r="C2682">
        <v>700</v>
      </c>
      <c r="D2682">
        <v>0</v>
      </c>
      <c r="E2682" t="s">
        <v>20</v>
      </c>
      <c r="F2682" t="s">
        <v>20</v>
      </c>
      <c r="G2682" t="str">
        <f>"2025-04-18 00:36:57.413"</f>
        <v>2025-04-18 00:36:57.413</v>
      </c>
      <c r="H2682" t="s">
        <v>21</v>
      </c>
      <c r="I2682">
        <v>0</v>
      </c>
      <c r="J2682" t="s">
        <v>32</v>
      </c>
    </row>
    <row r="2683" spans="1:10" x14ac:dyDescent="0.25">
      <c r="A2683" s="1">
        <v>833</v>
      </c>
      <c r="B2683" t="s">
        <v>25</v>
      </c>
      <c r="C2683">
        <v>619</v>
      </c>
      <c r="D2683">
        <v>1</v>
      </c>
      <c r="E2683" t="s">
        <v>26</v>
      </c>
      <c r="F2683" t="s">
        <v>27</v>
      </c>
      <c r="G2683" t="str">
        <f>"2025-04-18 00:35:27.951"</f>
        <v>2025-04-18 00:35:27.951</v>
      </c>
      <c r="H2683" t="s">
        <v>28</v>
      </c>
    </row>
    <row r="2684" spans="1:10" x14ac:dyDescent="0.25">
      <c r="A2684" s="1">
        <v>834</v>
      </c>
      <c r="B2684" t="s">
        <v>29</v>
      </c>
      <c r="C2684">
        <v>619</v>
      </c>
      <c r="D2684">
        <v>1</v>
      </c>
      <c r="E2684" t="s">
        <v>26</v>
      </c>
      <c r="F2684" t="s">
        <v>27</v>
      </c>
      <c r="G2684" t="str">
        <f>"2025-04-18 00:34:52.904"</f>
        <v>2025-04-18 00:34:52.904</v>
      </c>
      <c r="H2684" t="s">
        <v>28</v>
      </c>
      <c r="I2684">
        <v>0</v>
      </c>
      <c r="J2684" t="s">
        <v>24</v>
      </c>
    </row>
    <row r="2685" spans="1:10" x14ac:dyDescent="0.25">
      <c r="A2685" s="1">
        <v>835</v>
      </c>
      <c r="B2685" t="s">
        <v>19</v>
      </c>
      <c r="C2685">
        <v>700</v>
      </c>
      <c r="D2685">
        <v>0</v>
      </c>
      <c r="E2685" t="s">
        <v>20</v>
      </c>
      <c r="F2685" t="s">
        <v>20</v>
      </c>
      <c r="G2685" t="str">
        <f>"2025-04-18 00:34:22.473"</f>
        <v>2025-04-18 00:34:22.473</v>
      </c>
      <c r="H2685" t="s">
        <v>21</v>
      </c>
      <c r="I2685">
        <v>0</v>
      </c>
      <c r="J2685" t="s">
        <v>32</v>
      </c>
    </row>
    <row r="2686" spans="1:10" x14ac:dyDescent="0.25">
      <c r="A2686" s="1">
        <v>836</v>
      </c>
      <c r="B2686" t="s">
        <v>25</v>
      </c>
      <c r="C2686">
        <v>619</v>
      </c>
      <c r="D2686">
        <v>1</v>
      </c>
      <c r="E2686" t="s">
        <v>26</v>
      </c>
      <c r="F2686" t="s">
        <v>27</v>
      </c>
      <c r="G2686" t="str">
        <f>"2025-04-18 00:27:26.189"</f>
        <v>2025-04-18 00:27:26.189</v>
      </c>
      <c r="H2686" t="s">
        <v>28</v>
      </c>
    </row>
    <row r="2687" spans="1:10" x14ac:dyDescent="0.25">
      <c r="A2687" s="1">
        <v>837</v>
      </c>
      <c r="B2687" t="s">
        <v>25</v>
      </c>
      <c r="C2687">
        <v>630</v>
      </c>
      <c r="D2687">
        <v>5</v>
      </c>
      <c r="E2687" t="s">
        <v>51</v>
      </c>
      <c r="F2687" t="s">
        <v>52</v>
      </c>
      <c r="G2687" t="str">
        <f>"2025-04-18 00:26:46.990"</f>
        <v>2025-04-18 00:26:46.990</v>
      </c>
      <c r="H2687" t="s">
        <v>40</v>
      </c>
    </row>
    <row r="2688" spans="1:10" x14ac:dyDescent="0.25">
      <c r="A2688" s="1">
        <v>838</v>
      </c>
      <c r="B2688" t="s">
        <v>29</v>
      </c>
      <c r="C2688">
        <v>619</v>
      </c>
      <c r="D2688">
        <v>1</v>
      </c>
      <c r="E2688" t="s">
        <v>26</v>
      </c>
      <c r="F2688" t="s">
        <v>27</v>
      </c>
      <c r="G2688" t="str">
        <f>"2025-04-18 00:26:21.689"</f>
        <v>2025-04-18 00:26:21.689</v>
      </c>
      <c r="H2688" t="s">
        <v>28</v>
      </c>
      <c r="I2688">
        <v>0</v>
      </c>
      <c r="J2688" t="s">
        <v>24</v>
      </c>
    </row>
    <row r="2689" spans="1:10" x14ac:dyDescent="0.25">
      <c r="A2689" s="1">
        <v>839</v>
      </c>
      <c r="B2689" t="s">
        <v>19</v>
      </c>
      <c r="C2689">
        <v>706</v>
      </c>
      <c r="D2689">
        <v>2</v>
      </c>
      <c r="E2689" t="s">
        <v>22</v>
      </c>
      <c r="F2689" t="s">
        <v>53</v>
      </c>
      <c r="G2689" t="str">
        <f>"2025-04-18 00:26:16.917"</f>
        <v>2025-04-18 00:26:16.917</v>
      </c>
      <c r="H2689" t="s">
        <v>21</v>
      </c>
      <c r="I2689">
        <v>0</v>
      </c>
      <c r="J2689" t="s">
        <v>24</v>
      </c>
    </row>
    <row r="2690" spans="1:10" x14ac:dyDescent="0.25">
      <c r="A2690" s="1">
        <v>840</v>
      </c>
      <c r="B2690" t="s">
        <v>33</v>
      </c>
      <c r="C2690">
        <v>630</v>
      </c>
      <c r="D2690">
        <v>5</v>
      </c>
      <c r="E2690" t="s">
        <v>51</v>
      </c>
      <c r="F2690" t="s">
        <v>52</v>
      </c>
      <c r="G2690" t="str">
        <f>"2025-04-18 00:08:11.190"</f>
        <v>2025-04-18 00:08:11.190</v>
      </c>
      <c r="H2690" t="s">
        <v>40</v>
      </c>
      <c r="I2690">
        <v>0</v>
      </c>
      <c r="J2690" t="s">
        <v>24</v>
      </c>
    </row>
    <row r="2691" spans="1:10" x14ac:dyDescent="0.25">
      <c r="A2691" s="1">
        <v>841</v>
      </c>
      <c r="B2691" t="s">
        <v>25</v>
      </c>
      <c r="C2691">
        <v>53</v>
      </c>
      <c r="D2691">
        <v>1</v>
      </c>
      <c r="E2691" t="s">
        <v>89</v>
      </c>
      <c r="F2691" t="s">
        <v>85</v>
      </c>
      <c r="G2691" t="str">
        <f>"2025-04-18 00:03:21.089"</f>
        <v>2025-04-18 00:03:21.089</v>
      </c>
      <c r="H2691" t="s">
        <v>21</v>
      </c>
    </row>
    <row r="2692" spans="1:10" x14ac:dyDescent="0.25">
      <c r="A2692" s="1">
        <v>842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"2025-04-18 00:03:08.427"</f>
        <v>2025-04-18 00:03:08.427</v>
      </c>
      <c r="H2692" t="s">
        <v>21</v>
      </c>
      <c r="I2692">
        <v>0</v>
      </c>
      <c r="J2692" t="s">
        <v>32</v>
      </c>
    </row>
    <row r="2693" spans="1:10" x14ac:dyDescent="0.25">
      <c r="A2693" s="1">
        <v>843</v>
      </c>
      <c r="B2693" t="s">
        <v>33</v>
      </c>
      <c r="C2693">
        <v>630</v>
      </c>
      <c r="D2693">
        <v>5</v>
      </c>
      <c r="E2693" t="s">
        <v>51</v>
      </c>
      <c r="F2693" t="s">
        <v>52</v>
      </c>
      <c r="G2693" t="str">
        <f>"2025-04-17 23:41:54.941"</f>
        <v>2025-04-17 23:41:54.941</v>
      </c>
      <c r="H2693" t="s">
        <v>40</v>
      </c>
      <c r="I2693">
        <v>0</v>
      </c>
      <c r="J2693" t="s">
        <v>24</v>
      </c>
    </row>
    <row r="2694" spans="1:10" x14ac:dyDescent="0.25">
      <c r="A2694" s="1">
        <v>844</v>
      </c>
      <c r="B2694" t="s">
        <v>19</v>
      </c>
      <c r="C2694">
        <v>706</v>
      </c>
      <c r="D2694">
        <v>3</v>
      </c>
      <c r="E2694" t="s">
        <v>22</v>
      </c>
      <c r="F2694" t="s">
        <v>23</v>
      </c>
      <c r="G2694" t="str">
        <f>"2025-04-17 23:36:51.603"</f>
        <v>2025-04-17 23:36:51.603</v>
      </c>
      <c r="H2694" t="s">
        <v>21</v>
      </c>
      <c r="I2694">
        <v>0</v>
      </c>
      <c r="J2694" t="s">
        <v>24</v>
      </c>
    </row>
    <row r="2695" spans="1:10" s="3" customFormat="1" x14ac:dyDescent="0.25">
      <c r="A2695" s="2">
        <v>845</v>
      </c>
      <c r="B2695" s="3" t="s">
        <v>25</v>
      </c>
      <c r="C2695" s="3">
        <v>647</v>
      </c>
      <c r="D2695" s="3">
        <v>1</v>
      </c>
      <c r="E2695" s="3" t="s">
        <v>55</v>
      </c>
      <c r="F2695" s="3" t="s">
        <v>56</v>
      </c>
      <c r="G2695" s="3" t="str">
        <f>"2025-04-17 02:24:00.841"</f>
        <v>2025-04-17 02:24:00.841</v>
      </c>
      <c r="H2695" s="3" t="s">
        <v>21</v>
      </c>
    </row>
    <row r="2696" spans="1:10" s="3" customFormat="1" x14ac:dyDescent="0.25">
      <c r="A2696" s="2">
        <v>846</v>
      </c>
      <c r="B2696" s="3" t="s">
        <v>29</v>
      </c>
      <c r="C2696" s="3">
        <v>647</v>
      </c>
      <c r="D2696" s="3">
        <v>1</v>
      </c>
      <c r="E2696" s="3" t="s">
        <v>55</v>
      </c>
      <c r="F2696" s="3" t="s">
        <v>56</v>
      </c>
      <c r="G2696" s="3" t="str">
        <f>"2025-04-17 02:23:44.141"</f>
        <v>2025-04-17 02:23:44.141</v>
      </c>
      <c r="H2696" s="3" t="s">
        <v>21</v>
      </c>
      <c r="I2696" s="3">
        <v>9.1199999999999992</v>
      </c>
      <c r="J2696" s="3" t="s">
        <v>54</v>
      </c>
    </row>
    <row r="2697" spans="1:10" s="3" customFormat="1" x14ac:dyDescent="0.25">
      <c r="A2697" s="2">
        <v>847</v>
      </c>
      <c r="B2697" s="3" t="s">
        <v>25</v>
      </c>
      <c r="C2697" s="3">
        <v>647</v>
      </c>
      <c r="D2697" s="3">
        <v>1</v>
      </c>
      <c r="E2697" s="3" t="s">
        <v>55</v>
      </c>
      <c r="F2697" s="3" t="s">
        <v>56</v>
      </c>
      <c r="G2697" s="3" t="str">
        <f>"2025-04-17 02:19:25.241"</f>
        <v>2025-04-17 02:19:25.241</v>
      </c>
      <c r="H2697" s="3" t="s">
        <v>21</v>
      </c>
    </row>
    <row r="2698" spans="1:10" s="3" customFormat="1" x14ac:dyDescent="0.25">
      <c r="A2698" s="2">
        <v>848</v>
      </c>
      <c r="B2698" s="3" t="s">
        <v>29</v>
      </c>
      <c r="C2698" s="3">
        <v>647</v>
      </c>
      <c r="D2698" s="3">
        <v>1</v>
      </c>
      <c r="E2698" s="3" t="s">
        <v>55</v>
      </c>
      <c r="F2698" s="3" t="s">
        <v>56</v>
      </c>
      <c r="G2698" s="3" t="str">
        <f>"2025-04-17 02:19:12.942"</f>
        <v>2025-04-17 02:19:12.942</v>
      </c>
      <c r="H2698" s="3" t="s">
        <v>21</v>
      </c>
      <c r="I2698" s="3">
        <v>9.5</v>
      </c>
      <c r="J2698" s="3" t="s">
        <v>54</v>
      </c>
    </row>
    <row r="2699" spans="1:10" x14ac:dyDescent="0.25">
      <c r="A2699" s="1">
        <v>849</v>
      </c>
      <c r="B2699" t="s">
        <v>29</v>
      </c>
      <c r="C2699">
        <v>53</v>
      </c>
      <c r="D2699">
        <v>1</v>
      </c>
      <c r="E2699" t="s">
        <v>89</v>
      </c>
      <c r="F2699" t="s">
        <v>85</v>
      </c>
      <c r="G2699" t="str">
        <f>"2025-04-17 01:51:02.453"</f>
        <v>2025-04-17 01:51:02.453</v>
      </c>
      <c r="H2699" t="s">
        <v>21</v>
      </c>
      <c r="I2699">
        <v>7.13</v>
      </c>
      <c r="J2699" t="s">
        <v>42</v>
      </c>
    </row>
    <row r="2700" spans="1:10" x14ac:dyDescent="0.25">
      <c r="A2700" s="1">
        <v>850</v>
      </c>
      <c r="B2700" t="s">
        <v>25</v>
      </c>
      <c r="C2700">
        <v>53</v>
      </c>
      <c r="D2700">
        <v>1</v>
      </c>
      <c r="E2700" t="s">
        <v>89</v>
      </c>
      <c r="F2700" t="s">
        <v>85</v>
      </c>
      <c r="G2700" t="str">
        <f>"2025-04-17 01:47:58.253"</f>
        <v>2025-04-17 01:47:58.253</v>
      </c>
      <c r="H2700" t="s">
        <v>21</v>
      </c>
    </row>
    <row r="2701" spans="1:10" x14ac:dyDescent="0.25">
      <c r="A2701" s="1">
        <v>851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"2025-04-17 01:47:45.613"</f>
        <v>2025-04-17 01:47:45.613</v>
      </c>
      <c r="H2701" t="s">
        <v>21</v>
      </c>
      <c r="I2701">
        <v>0</v>
      </c>
      <c r="J2701" t="s">
        <v>32</v>
      </c>
    </row>
    <row r="2702" spans="1:10" s="3" customFormat="1" x14ac:dyDescent="0.25">
      <c r="A2702" s="2">
        <v>852</v>
      </c>
      <c r="B2702" s="3" t="s">
        <v>25</v>
      </c>
      <c r="C2702" s="3">
        <v>647</v>
      </c>
      <c r="D2702" s="3">
        <v>1</v>
      </c>
      <c r="E2702" s="3" t="s">
        <v>55</v>
      </c>
      <c r="F2702" s="3" t="s">
        <v>56</v>
      </c>
      <c r="G2702" s="3" t="str">
        <f>"2025-04-16 22:29:40.540"</f>
        <v>2025-04-16 22:29:40.540</v>
      </c>
      <c r="H2702" s="3" t="s">
        <v>21</v>
      </c>
    </row>
    <row r="2703" spans="1:10" s="3" customFormat="1" x14ac:dyDescent="0.25">
      <c r="A2703" s="2">
        <v>853</v>
      </c>
      <c r="B2703" s="3" t="s">
        <v>29</v>
      </c>
      <c r="C2703" s="3">
        <v>647</v>
      </c>
      <c r="D2703" s="3">
        <v>1</v>
      </c>
      <c r="E2703" s="3" t="s">
        <v>55</v>
      </c>
      <c r="F2703" s="3" t="s">
        <v>56</v>
      </c>
      <c r="G2703" s="3" t="str">
        <f>"2025-04-16 22:29:22.640"</f>
        <v>2025-04-16 22:29:22.640</v>
      </c>
      <c r="H2703" s="3" t="s">
        <v>21</v>
      </c>
      <c r="I2703" s="3">
        <v>24.49</v>
      </c>
      <c r="J2703" s="3" t="s">
        <v>54</v>
      </c>
    </row>
    <row r="2704" spans="1:10" s="3" customFormat="1" x14ac:dyDescent="0.25">
      <c r="A2704" s="2">
        <v>854</v>
      </c>
      <c r="B2704" s="3" t="s">
        <v>25</v>
      </c>
      <c r="C2704" s="3">
        <v>647</v>
      </c>
      <c r="D2704" s="3">
        <v>1</v>
      </c>
      <c r="E2704" s="3" t="s">
        <v>55</v>
      </c>
      <c r="F2704" s="3" t="s">
        <v>56</v>
      </c>
      <c r="G2704" s="3" t="str">
        <f>"2025-04-15 10:29:00.040"</f>
        <v>2025-04-15 10:29:00.040</v>
      </c>
      <c r="H2704" s="3" t="s">
        <v>21</v>
      </c>
    </row>
    <row r="2705" spans="1:10" s="3" customFormat="1" x14ac:dyDescent="0.25">
      <c r="A2705" s="2">
        <v>855</v>
      </c>
      <c r="B2705" s="3" t="s">
        <v>29</v>
      </c>
      <c r="C2705" s="3">
        <v>647</v>
      </c>
      <c r="D2705" s="3">
        <v>1</v>
      </c>
      <c r="E2705" s="3" t="s">
        <v>55</v>
      </c>
      <c r="F2705" s="3" t="s">
        <v>56</v>
      </c>
      <c r="G2705" s="3" t="str">
        <f>"2025-04-15 10:28:54.240"</f>
        <v>2025-04-15 10:28:54.240</v>
      </c>
      <c r="H2705" s="3" t="s">
        <v>21</v>
      </c>
      <c r="I2705" s="3">
        <v>10.4</v>
      </c>
      <c r="J2705" s="3" t="s">
        <v>54</v>
      </c>
    </row>
    <row r="2706" spans="1:10" s="3" customFormat="1" x14ac:dyDescent="0.25">
      <c r="A2706" s="2">
        <v>856</v>
      </c>
      <c r="B2706" s="3" t="s">
        <v>25</v>
      </c>
      <c r="C2706" s="3">
        <v>647</v>
      </c>
      <c r="D2706" s="3">
        <v>1</v>
      </c>
      <c r="E2706" s="3" t="s">
        <v>55</v>
      </c>
      <c r="F2706" s="3" t="s">
        <v>56</v>
      </c>
      <c r="G2706" s="3" t="str">
        <f>"2025-04-15 03:37:10.540"</f>
        <v>2025-04-15 03:37:10.540</v>
      </c>
      <c r="H2706" s="3" t="s">
        <v>21</v>
      </c>
    </row>
    <row r="2707" spans="1:10" s="3" customFormat="1" x14ac:dyDescent="0.25">
      <c r="A2707" s="2">
        <v>857</v>
      </c>
      <c r="B2707" s="3" t="s">
        <v>29</v>
      </c>
      <c r="C2707" s="3">
        <v>647</v>
      </c>
      <c r="D2707" s="3">
        <v>1</v>
      </c>
      <c r="E2707" s="3" t="s">
        <v>55</v>
      </c>
      <c r="F2707" s="3" t="s">
        <v>56</v>
      </c>
      <c r="G2707" s="3" t="str">
        <f>"2025-04-15 03:37:07.040"</f>
        <v>2025-04-15 03:37:07.040</v>
      </c>
      <c r="H2707" s="3" t="s">
        <v>21</v>
      </c>
      <c r="I2707" s="3">
        <v>24.4</v>
      </c>
      <c r="J2707" s="3" t="s">
        <v>54</v>
      </c>
    </row>
    <row r="2708" spans="1:10" s="3" customFormat="1" x14ac:dyDescent="0.25">
      <c r="A2708" s="2">
        <v>858</v>
      </c>
      <c r="B2708" s="3" t="s">
        <v>25</v>
      </c>
      <c r="C2708" s="3">
        <v>647</v>
      </c>
      <c r="D2708" s="3">
        <v>1</v>
      </c>
      <c r="E2708" s="3" t="s">
        <v>55</v>
      </c>
      <c r="F2708" s="3" t="s">
        <v>56</v>
      </c>
      <c r="G2708" s="3" t="str">
        <f>"2025-04-15 02:44:56.540"</f>
        <v>2025-04-15 02:44:56.540</v>
      </c>
      <c r="H2708" s="3" t="s">
        <v>21</v>
      </c>
    </row>
    <row r="2709" spans="1:10" s="3" customFormat="1" x14ac:dyDescent="0.25">
      <c r="A2709" s="2">
        <v>859</v>
      </c>
      <c r="B2709" s="3" t="s">
        <v>29</v>
      </c>
      <c r="C2709" s="3">
        <v>647</v>
      </c>
      <c r="D2709" s="3">
        <v>1</v>
      </c>
      <c r="E2709" s="3" t="s">
        <v>55</v>
      </c>
      <c r="F2709" s="3" t="s">
        <v>56</v>
      </c>
      <c r="G2709" s="3" t="str">
        <f>"2025-04-15 02:44:54.840"</f>
        <v>2025-04-15 02:44:54.840</v>
      </c>
      <c r="H2709" s="3" t="s">
        <v>21</v>
      </c>
      <c r="I2709" s="3">
        <v>14.38</v>
      </c>
      <c r="J2709" s="3" t="s">
        <v>54</v>
      </c>
    </row>
    <row r="2710" spans="1:10" s="3" customFormat="1" x14ac:dyDescent="0.25">
      <c r="A2710" s="2">
        <v>860</v>
      </c>
      <c r="B2710" s="3" t="s">
        <v>25</v>
      </c>
      <c r="C2710" s="3">
        <v>647</v>
      </c>
      <c r="D2710" s="3">
        <v>1</v>
      </c>
      <c r="E2710" s="3" t="s">
        <v>55</v>
      </c>
      <c r="F2710" s="3" t="s">
        <v>56</v>
      </c>
      <c r="G2710" s="3" t="str">
        <f>"2025-04-14 22:43:53.740"</f>
        <v>2025-04-14 22:43:53.740</v>
      </c>
      <c r="H2710" s="3" t="s">
        <v>21</v>
      </c>
    </row>
    <row r="2711" spans="1:10" s="3" customFormat="1" x14ac:dyDescent="0.25">
      <c r="A2711" s="2">
        <v>861</v>
      </c>
      <c r="B2711" s="3" t="s">
        <v>29</v>
      </c>
      <c r="C2711" s="3">
        <v>647</v>
      </c>
      <c r="D2711" s="3">
        <v>1</v>
      </c>
      <c r="E2711" s="3" t="s">
        <v>55</v>
      </c>
      <c r="F2711" s="3" t="s">
        <v>56</v>
      </c>
      <c r="G2711" s="3" t="str">
        <f>"2025-04-14 22:43:47.740"</f>
        <v>2025-04-14 22:43:47.740</v>
      </c>
      <c r="H2711" s="3" t="s">
        <v>21</v>
      </c>
      <c r="I2711" s="3">
        <v>8.93</v>
      </c>
      <c r="J2711" s="3" t="s">
        <v>54</v>
      </c>
    </row>
    <row r="2712" spans="1:10" x14ac:dyDescent="0.25">
      <c r="A2712" s="1">
        <v>862</v>
      </c>
      <c r="B2712" t="s">
        <v>29</v>
      </c>
      <c r="C2712">
        <v>53</v>
      </c>
      <c r="D2712">
        <v>1</v>
      </c>
      <c r="E2712" t="s">
        <v>89</v>
      </c>
      <c r="F2712" t="s">
        <v>85</v>
      </c>
      <c r="G2712" t="str">
        <f>"2025-04-14 08:03:37.152"</f>
        <v>2025-04-14 08:03:37.152</v>
      </c>
      <c r="H2712" t="s">
        <v>21</v>
      </c>
      <c r="I2712">
        <v>16.32</v>
      </c>
      <c r="J2712" t="s">
        <v>42</v>
      </c>
    </row>
    <row r="2713" spans="1:10" x14ac:dyDescent="0.25">
      <c r="A2713" s="1">
        <v>864</v>
      </c>
      <c r="B2713" t="s">
        <v>25</v>
      </c>
      <c r="C2713">
        <v>635</v>
      </c>
      <c r="D2713">
        <v>1</v>
      </c>
      <c r="E2713" t="s">
        <v>45</v>
      </c>
      <c r="F2713" t="s">
        <v>27</v>
      </c>
      <c r="G2713" t="str">
        <f>"2025-04-13 14:33:16.940"</f>
        <v>2025-04-13 14:33:16.940</v>
      </c>
      <c r="H2713" t="s">
        <v>21</v>
      </c>
    </row>
    <row r="2714" spans="1:10" x14ac:dyDescent="0.25">
      <c r="A2714" s="1">
        <v>865</v>
      </c>
      <c r="B2714" t="s">
        <v>29</v>
      </c>
      <c r="C2714">
        <v>635</v>
      </c>
      <c r="D2714">
        <v>1</v>
      </c>
      <c r="E2714" t="s">
        <v>45</v>
      </c>
      <c r="F2714" t="s">
        <v>27</v>
      </c>
      <c r="G2714" t="str">
        <f>"2025-04-13 14:17:06.940"</f>
        <v>2025-04-13 14:17:06.940</v>
      </c>
      <c r="H2714" t="s">
        <v>21</v>
      </c>
      <c r="I2714">
        <v>6.77</v>
      </c>
      <c r="J2714" t="s">
        <v>42</v>
      </c>
    </row>
    <row r="2715" spans="1:10" x14ac:dyDescent="0.25">
      <c r="A2715" s="1">
        <v>866</v>
      </c>
      <c r="B2715" t="s">
        <v>19</v>
      </c>
      <c r="C2715">
        <v>700</v>
      </c>
      <c r="D2715">
        <v>0</v>
      </c>
      <c r="E2715" t="s">
        <v>20</v>
      </c>
      <c r="F2715" t="s">
        <v>20</v>
      </c>
      <c r="G2715" t="str">
        <f>"2025-04-13 07:59:35.403"</f>
        <v>2025-04-13 07:59:35.403</v>
      </c>
      <c r="H2715" t="s">
        <v>21</v>
      </c>
      <c r="I2715">
        <v>0</v>
      </c>
      <c r="J2715" t="s">
        <v>32</v>
      </c>
    </row>
    <row r="2716" spans="1:10" x14ac:dyDescent="0.25">
      <c r="A2716" s="1">
        <v>867</v>
      </c>
      <c r="B2716" t="s">
        <v>19</v>
      </c>
      <c r="C2716">
        <v>700</v>
      </c>
      <c r="D2716">
        <v>0</v>
      </c>
      <c r="E2716" t="s">
        <v>20</v>
      </c>
      <c r="F2716" t="s">
        <v>20</v>
      </c>
      <c r="G2716" t="str">
        <f>"2025-04-13 07:46:58.399"</f>
        <v>2025-04-13 07:46:58.399</v>
      </c>
      <c r="H2716" t="s">
        <v>21</v>
      </c>
      <c r="I2716">
        <v>0</v>
      </c>
      <c r="J2716" t="s">
        <v>32</v>
      </c>
    </row>
    <row r="2717" spans="1:10" s="3" customFormat="1" x14ac:dyDescent="0.25">
      <c r="A2717" s="2">
        <v>868</v>
      </c>
      <c r="B2717" s="3" t="s">
        <v>25</v>
      </c>
      <c r="C2717" s="3">
        <v>647</v>
      </c>
      <c r="D2717" s="3">
        <v>1</v>
      </c>
      <c r="E2717" s="3" t="s">
        <v>55</v>
      </c>
      <c r="F2717" s="3" t="s">
        <v>56</v>
      </c>
      <c r="G2717" s="3" t="str">
        <f>"2025-04-12 03:10:21.203"</f>
        <v>2025-04-12 03:10:21.203</v>
      </c>
      <c r="H2717" s="3" t="s">
        <v>21</v>
      </c>
    </row>
    <row r="2718" spans="1:10" s="3" customFormat="1" x14ac:dyDescent="0.25">
      <c r="A2718" s="2">
        <v>869</v>
      </c>
      <c r="B2718" s="3" t="s">
        <v>29</v>
      </c>
      <c r="C2718" s="3">
        <v>647</v>
      </c>
      <c r="D2718" s="3">
        <v>1</v>
      </c>
      <c r="E2718" s="3" t="s">
        <v>55</v>
      </c>
      <c r="F2718" s="3" t="s">
        <v>56</v>
      </c>
      <c r="G2718" s="3" t="str">
        <f>"2025-04-12 03:10:15.903"</f>
        <v>2025-04-12 03:10:15.903</v>
      </c>
      <c r="H2718" s="3" t="s">
        <v>21</v>
      </c>
      <c r="I2718" s="3">
        <v>10.1</v>
      </c>
      <c r="J2718" s="3" t="s">
        <v>54</v>
      </c>
    </row>
    <row r="2719" spans="1:10" x14ac:dyDescent="0.25">
      <c r="A2719" s="1">
        <v>870</v>
      </c>
      <c r="B2719" t="s">
        <v>25</v>
      </c>
      <c r="C2719">
        <v>619</v>
      </c>
      <c r="D2719">
        <v>1</v>
      </c>
      <c r="E2719" t="s">
        <v>26</v>
      </c>
      <c r="F2719" t="s">
        <v>27</v>
      </c>
      <c r="G2719" t="str">
        <f>"2025-04-07 20:36:39.202"</f>
        <v>2025-04-07 20:36:39.202</v>
      </c>
      <c r="H2719" t="s">
        <v>28</v>
      </c>
    </row>
    <row r="2720" spans="1:10" x14ac:dyDescent="0.25">
      <c r="A2720" s="1">
        <v>871</v>
      </c>
      <c r="B2720" t="s">
        <v>29</v>
      </c>
      <c r="C2720">
        <v>619</v>
      </c>
      <c r="D2720">
        <v>1</v>
      </c>
      <c r="E2720" t="s">
        <v>26</v>
      </c>
      <c r="F2720" t="s">
        <v>27</v>
      </c>
      <c r="G2720" t="str">
        <f>"2025-04-07 20:35:37.449"</f>
        <v>2025-04-07 20:35:37.449</v>
      </c>
      <c r="H2720" t="s">
        <v>28</v>
      </c>
      <c r="I2720">
        <v>0</v>
      </c>
      <c r="J2720" t="s">
        <v>37</v>
      </c>
    </row>
    <row r="2721" spans="1:10" x14ac:dyDescent="0.25">
      <c r="A2721" s="1">
        <v>872</v>
      </c>
      <c r="B2721" t="s">
        <v>19</v>
      </c>
      <c r="C2721">
        <v>706</v>
      </c>
      <c r="D2721">
        <v>4</v>
      </c>
      <c r="E2721" t="s">
        <v>22</v>
      </c>
      <c r="F2721" t="s">
        <v>31</v>
      </c>
      <c r="G2721" t="str">
        <f>"2025-04-07 20:35:14.271"</f>
        <v>2025-04-07 20:35:14.271</v>
      </c>
      <c r="H2721" t="s">
        <v>21</v>
      </c>
      <c r="I2721">
        <v>0</v>
      </c>
      <c r="J2721" t="s">
        <v>24</v>
      </c>
    </row>
    <row r="2722" spans="1:10" x14ac:dyDescent="0.25">
      <c r="A2722" s="1">
        <v>873</v>
      </c>
      <c r="B2722" t="s">
        <v>19</v>
      </c>
      <c r="C2722">
        <v>700</v>
      </c>
      <c r="D2722">
        <v>0</v>
      </c>
      <c r="E2722" t="s">
        <v>20</v>
      </c>
      <c r="F2722" t="s">
        <v>20</v>
      </c>
      <c r="G2722" t="str">
        <f>"2025-04-07 20:34:50.471"</f>
        <v>2025-04-07 20:34:50.471</v>
      </c>
      <c r="H2722" t="s">
        <v>21</v>
      </c>
    </row>
    <row r="2723" spans="1:10" x14ac:dyDescent="0.25">
      <c r="A2723" s="1">
        <v>874</v>
      </c>
      <c r="B2723" t="s">
        <v>25</v>
      </c>
      <c r="C2723">
        <v>619</v>
      </c>
      <c r="D2723">
        <v>1</v>
      </c>
      <c r="E2723" t="s">
        <v>26</v>
      </c>
      <c r="F2723" t="s">
        <v>27</v>
      </c>
      <c r="G2723" t="str">
        <f>"2025-04-07 17:13:53.252"</f>
        <v>2025-04-07 17:13:53.252</v>
      </c>
      <c r="H2723" t="s">
        <v>28</v>
      </c>
    </row>
    <row r="2724" spans="1:10" x14ac:dyDescent="0.25">
      <c r="A2724" s="1">
        <v>875</v>
      </c>
      <c r="B2724" t="s">
        <v>29</v>
      </c>
      <c r="C2724">
        <v>619</v>
      </c>
      <c r="D2724">
        <v>1</v>
      </c>
      <c r="E2724" t="s">
        <v>26</v>
      </c>
      <c r="F2724" t="s">
        <v>27</v>
      </c>
      <c r="G2724" t="str">
        <f>"2025-04-07 17:13:43.099"</f>
        <v>2025-04-07 17:13:43.099</v>
      </c>
      <c r="H2724" t="s">
        <v>28</v>
      </c>
      <c r="I2724">
        <v>0</v>
      </c>
      <c r="J2724" t="s">
        <v>24</v>
      </c>
    </row>
    <row r="2725" spans="1:10" x14ac:dyDescent="0.25">
      <c r="A2725" s="1">
        <v>876</v>
      </c>
      <c r="B2725" t="s">
        <v>19</v>
      </c>
      <c r="C2725">
        <v>706</v>
      </c>
      <c r="D2725">
        <v>2</v>
      </c>
      <c r="E2725" t="s">
        <v>22</v>
      </c>
      <c r="F2725" t="s">
        <v>53</v>
      </c>
      <c r="G2725" t="str">
        <f>"2025-04-07 17:13:37.092"</f>
        <v>2025-04-07 17:13:37.092</v>
      </c>
      <c r="H2725" t="s">
        <v>21</v>
      </c>
      <c r="I2725">
        <v>0</v>
      </c>
      <c r="J2725" t="s">
        <v>24</v>
      </c>
    </row>
    <row r="2726" spans="1:10" x14ac:dyDescent="0.25">
      <c r="A2726" s="1">
        <v>877</v>
      </c>
      <c r="B2726" t="s">
        <v>19</v>
      </c>
      <c r="C2726">
        <v>700</v>
      </c>
      <c r="D2726">
        <v>0</v>
      </c>
      <c r="E2726" t="s">
        <v>20</v>
      </c>
      <c r="F2726" t="s">
        <v>20</v>
      </c>
      <c r="G2726" t="str">
        <f>"2025-04-07 17:13:22.412"</f>
        <v>2025-04-07 17:13:22.412</v>
      </c>
      <c r="H2726" t="s">
        <v>21</v>
      </c>
      <c r="I2726">
        <v>0</v>
      </c>
      <c r="J2726" t="s">
        <v>32</v>
      </c>
    </row>
    <row r="2727" spans="1:10" x14ac:dyDescent="0.25">
      <c r="A2727" s="1">
        <v>878</v>
      </c>
      <c r="B2727" t="s">
        <v>19</v>
      </c>
      <c r="C2727">
        <v>700</v>
      </c>
      <c r="D2727">
        <v>0</v>
      </c>
      <c r="E2727" t="s">
        <v>20</v>
      </c>
      <c r="F2727" t="s">
        <v>20</v>
      </c>
      <c r="G2727" t="str">
        <f>"2025-04-07 17:12:20.539"</f>
        <v>2025-04-07 17:12:20.539</v>
      </c>
      <c r="H2727" t="s">
        <v>21</v>
      </c>
    </row>
    <row r="2728" spans="1:10" x14ac:dyDescent="0.25">
      <c r="A2728" s="1">
        <v>879</v>
      </c>
      <c r="B2728" t="s">
        <v>25</v>
      </c>
      <c r="C2728">
        <v>619</v>
      </c>
      <c r="D2728">
        <v>1</v>
      </c>
      <c r="E2728" t="s">
        <v>26</v>
      </c>
      <c r="F2728" t="s">
        <v>27</v>
      </c>
      <c r="G2728" t="str">
        <f>"2025-04-07 17:11:32.499"</f>
        <v>2025-04-07 17:11:32.499</v>
      </c>
      <c r="H2728" t="s">
        <v>28</v>
      </c>
    </row>
    <row r="2729" spans="1:10" x14ac:dyDescent="0.25">
      <c r="A2729" s="1">
        <v>880</v>
      </c>
      <c r="B2729" t="s">
        <v>29</v>
      </c>
      <c r="C2729">
        <v>619</v>
      </c>
      <c r="D2729">
        <v>1</v>
      </c>
      <c r="E2729" t="s">
        <v>26</v>
      </c>
      <c r="F2729" t="s">
        <v>27</v>
      </c>
      <c r="G2729" t="str">
        <f>"2025-04-07 17:11:25.599"</f>
        <v>2025-04-07 17:11:25.599</v>
      </c>
      <c r="H2729" t="s">
        <v>28</v>
      </c>
      <c r="I2729">
        <v>0</v>
      </c>
      <c r="J2729" t="s">
        <v>24</v>
      </c>
    </row>
    <row r="2730" spans="1:10" x14ac:dyDescent="0.25">
      <c r="A2730" s="1">
        <v>881</v>
      </c>
      <c r="B2730" t="s">
        <v>19</v>
      </c>
      <c r="C2730">
        <v>706</v>
      </c>
      <c r="D2730">
        <v>2</v>
      </c>
      <c r="E2730" t="s">
        <v>22</v>
      </c>
      <c r="F2730" t="s">
        <v>53</v>
      </c>
      <c r="G2730" t="str">
        <f>"2025-04-07 17:11:20.892"</f>
        <v>2025-04-07 17:11:20.892</v>
      </c>
      <c r="H2730" t="s">
        <v>21</v>
      </c>
      <c r="I2730">
        <v>0</v>
      </c>
      <c r="J2730" t="s">
        <v>24</v>
      </c>
    </row>
    <row r="2731" spans="1:10" x14ac:dyDescent="0.25">
      <c r="A2731" s="1">
        <v>882</v>
      </c>
      <c r="B2731" t="s">
        <v>19</v>
      </c>
      <c r="C2731">
        <v>706</v>
      </c>
      <c r="D2731">
        <v>2</v>
      </c>
      <c r="E2731" t="s">
        <v>22</v>
      </c>
      <c r="F2731" t="s">
        <v>53</v>
      </c>
      <c r="G2731" t="str">
        <f>"2025-04-07 17:11:02.892"</f>
        <v>2025-04-07 17:11:02.892</v>
      </c>
      <c r="H2731" t="s">
        <v>21</v>
      </c>
      <c r="I2731">
        <v>0</v>
      </c>
      <c r="J2731" t="s">
        <v>24</v>
      </c>
    </row>
    <row r="2732" spans="1:10" x14ac:dyDescent="0.25">
      <c r="A2732" s="1">
        <v>883</v>
      </c>
      <c r="B2732" t="s">
        <v>33</v>
      </c>
      <c r="C2732">
        <v>630</v>
      </c>
      <c r="D2732">
        <v>5</v>
      </c>
      <c r="E2732" t="s">
        <v>51</v>
      </c>
      <c r="F2732" t="s">
        <v>52</v>
      </c>
      <c r="G2732" t="str">
        <f>"2025-04-07 17:08:44.600"</f>
        <v>2025-04-07 17:08:44.600</v>
      </c>
      <c r="H2732" t="s">
        <v>40</v>
      </c>
      <c r="I2732">
        <v>0</v>
      </c>
      <c r="J2732" t="s">
        <v>24</v>
      </c>
    </row>
    <row r="2733" spans="1:10" x14ac:dyDescent="0.25">
      <c r="A2733" s="1">
        <v>884</v>
      </c>
      <c r="B2733" t="s">
        <v>19</v>
      </c>
      <c r="C2733">
        <v>700</v>
      </c>
      <c r="D2733">
        <v>0</v>
      </c>
      <c r="E2733" t="s">
        <v>20</v>
      </c>
      <c r="F2733" t="s">
        <v>20</v>
      </c>
      <c r="G2733" t="str">
        <f>"2025-04-07 17:03:41.902"</f>
        <v>2025-04-07 17:03:41.902</v>
      </c>
      <c r="H2733" t="s">
        <v>21</v>
      </c>
    </row>
    <row r="2734" spans="1:10" s="3" customFormat="1" x14ac:dyDescent="0.25">
      <c r="A2734" s="2">
        <v>885</v>
      </c>
      <c r="B2734" s="3" t="s">
        <v>25</v>
      </c>
      <c r="C2734" s="3">
        <v>647</v>
      </c>
      <c r="D2734" s="3">
        <v>1</v>
      </c>
      <c r="E2734" s="3" t="s">
        <v>55</v>
      </c>
      <c r="F2734" s="3" t="s">
        <v>56</v>
      </c>
      <c r="G2734" s="3" t="str">
        <f>"2025-04-07 03:40:33.448"</f>
        <v>2025-04-07 03:40:33.448</v>
      </c>
      <c r="H2734" s="3" t="s">
        <v>21</v>
      </c>
    </row>
    <row r="2735" spans="1:10" s="3" customFormat="1" x14ac:dyDescent="0.25">
      <c r="A2735" s="2">
        <v>886</v>
      </c>
      <c r="B2735" s="3" t="s">
        <v>29</v>
      </c>
      <c r="C2735" s="3">
        <v>647</v>
      </c>
      <c r="D2735" s="3">
        <v>1</v>
      </c>
      <c r="E2735" s="3" t="s">
        <v>55</v>
      </c>
      <c r="F2735" s="3" t="s">
        <v>56</v>
      </c>
      <c r="G2735" s="3" t="str">
        <f>"2025-04-07 03:40:29.348"</f>
        <v>2025-04-07 03:40:29.348</v>
      </c>
      <c r="H2735" s="3" t="s">
        <v>21</v>
      </c>
      <c r="I2735" s="3">
        <v>25.26</v>
      </c>
      <c r="J2735" s="3" t="s">
        <v>54</v>
      </c>
    </row>
    <row r="2736" spans="1:10" x14ac:dyDescent="0.25">
      <c r="A2736" s="1">
        <v>887</v>
      </c>
      <c r="B2736" t="s">
        <v>25</v>
      </c>
      <c r="C2736">
        <v>635</v>
      </c>
      <c r="D2736">
        <v>1</v>
      </c>
      <c r="E2736" t="s">
        <v>45</v>
      </c>
      <c r="F2736" t="s">
        <v>27</v>
      </c>
      <c r="G2736" t="str">
        <f>"2025-04-07 01:45:27.294"</f>
        <v>2025-04-07 01:45:27.294</v>
      </c>
      <c r="H2736" t="s">
        <v>21</v>
      </c>
    </row>
    <row r="2737" spans="1:10" x14ac:dyDescent="0.25">
      <c r="A2737" s="1">
        <v>888</v>
      </c>
      <c r="B2737" t="s">
        <v>29</v>
      </c>
      <c r="C2737">
        <v>635</v>
      </c>
      <c r="D2737">
        <v>1</v>
      </c>
      <c r="E2737" t="s">
        <v>45</v>
      </c>
      <c r="F2737" t="s">
        <v>27</v>
      </c>
      <c r="G2737" t="str">
        <f>"2025-04-07 01:38:56.794"</f>
        <v>2025-04-07 01:38:56.794</v>
      </c>
      <c r="H2737" t="s">
        <v>21</v>
      </c>
      <c r="I2737">
        <v>5.34</v>
      </c>
      <c r="J2737" t="s">
        <v>42</v>
      </c>
    </row>
    <row r="2738" spans="1:10" x14ac:dyDescent="0.25">
      <c r="A2738" s="1">
        <v>889</v>
      </c>
      <c r="B2738" t="s">
        <v>19</v>
      </c>
      <c r="C2738">
        <v>700</v>
      </c>
      <c r="D2738">
        <v>0</v>
      </c>
      <c r="E2738" t="s">
        <v>20</v>
      </c>
      <c r="F2738" t="s">
        <v>20</v>
      </c>
      <c r="G2738" t="str">
        <f>"2025-04-06 17:44:53.395"</f>
        <v>2025-04-06 17:44:53.395</v>
      </c>
      <c r="H2738" t="s">
        <v>21</v>
      </c>
      <c r="I2738">
        <v>0</v>
      </c>
      <c r="J2738" t="s">
        <v>32</v>
      </c>
    </row>
    <row r="2739" spans="1:10" s="3" customFormat="1" x14ac:dyDescent="0.25">
      <c r="A2739" s="2">
        <v>890</v>
      </c>
      <c r="B2739" s="3" t="s">
        <v>25</v>
      </c>
      <c r="C2739" s="3">
        <v>647</v>
      </c>
      <c r="D2739" s="3">
        <v>1</v>
      </c>
      <c r="E2739" s="3" t="s">
        <v>55</v>
      </c>
      <c r="F2739" s="3" t="s">
        <v>56</v>
      </c>
      <c r="G2739" s="3" t="str">
        <f>"2025-04-04 07:55:03.649"</f>
        <v>2025-04-04 07:55:03.649</v>
      </c>
      <c r="H2739" s="3" t="s">
        <v>21</v>
      </c>
    </row>
    <row r="2740" spans="1:10" s="3" customFormat="1" x14ac:dyDescent="0.25">
      <c r="A2740" s="2">
        <v>891</v>
      </c>
      <c r="B2740" s="3" t="s">
        <v>29</v>
      </c>
      <c r="C2740" s="3">
        <v>647</v>
      </c>
      <c r="D2740" s="3">
        <v>1</v>
      </c>
      <c r="E2740" s="3" t="s">
        <v>55</v>
      </c>
      <c r="F2740" s="3" t="s">
        <v>56</v>
      </c>
      <c r="G2740" s="3" t="str">
        <f>"2025-04-04 07:54:58.249"</f>
        <v>2025-04-04 07:54:58.249</v>
      </c>
      <c r="H2740" s="3" t="s">
        <v>21</v>
      </c>
      <c r="I2740" s="3">
        <v>8.92</v>
      </c>
      <c r="J2740" s="3" t="s">
        <v>54</v>
      </c>
    </row>
    <row r="2741" spans="1:10" x14ac:dyDescent="0.25">
      <c r="A2741" s="1">
        <v>892</v>
      </c>
      <c r="B2741" t="s">
        <v>25</v>
      </c>
      <c r="C2741">
        <v>619</v>
      </c>
      <c r="D2741">
        <v>1</v>
      </c>
      <c r="E2741" t="s">
        <v>26</v>
      </c>
      <c r="F2741" t="s">
        <v>27</v>
      </c>
      <c r="G2741" t="str">
        <f>"2025-04-04 01:22:17.749"</f>
        <v>2025-04-04 01:22:17.749</v>
      </c>
      <c r="H2741" t="s">
        <v>28</v>
      </c>
    </row>
    <row r="2742" spans="1:10" x14ac:dyDescent="0.25">
      <c r="A2742" s="1">
        <v>893</v>
      </c>
      <c r="B2742" t="s">
        <v>29</v>
      </c>
      <c r="C2742">
        <v>619</v>
      </c>
      <c r="D2742">
        <v>1</v>
      </c>
      <c r="E2742" t="s">
        <v>26</v>
      </c>
      <c r="F2742" t="s">
        <v>27</v>
      </c>
      <c r="G2742" t="str">
        <f>"2025-04-04 01:21:37.801"</f>
        <v>2025-04-04 01:21:37.801</v>
      </c>
      <c r="H2742" t="s">
        <v>28</v>
      </c>
      <c r="I2742">
        <v>0</v>
      </c>
      <c r="J2742" t="s">
        <v>24</v>
      </c>
    </row>
    <row r="2743" spans="1:10" x14ac:dyDescent="0.25">
      <c r="A2743" s="1">
        <v>894</v>
      </c>
      <c r="B2743" t="s">
        <v>19</v>
      </c>
      <c r="C2743">
        <v>700</v>
      </c>
      <c r="D2743">
        <v>0</v>
      </c>
      <c r="E2743" t="s">
        <v>20</v>
      </c>
      <c r="F2743" t="s">
        <v>20</v>
      </c>
      <c r="G2743" t="str">
        <f>"2025-04-04 01:21:07.401"</f>
        <v>2025-04-04 01:21:07.401</v>
      </c>
      <c r="H2743" t="s">
        <v>21</v>
      </c>
    </row>
    <row r="2744" spans="1:10" s="3" customFormat="1" x14ac:dyDescent="0.25">
      <c r="A2744" s="2">
        <v>895</v>
      </c>
      <c r="B2744" s="3" t="s">
        <v>25</v>
      </c>
      <c r="C2744" s="3">
        <v>647</v>
      </c>
      <c r="D2744" s="3">
        <v>1</v>
      </c>
      <c r="E2744" s="3" t="s">
        <v>55</v>
      </c>
      <c r="F2744" s="3" t="s">
        <v>56</v>
      </c>
      <c r="G2744" s="3" t="str">
        <f>"2025-04-02 15:38:38.934"</f>
        <v>2025-04-02 15:38:38.934</v>
      </c>
      <c r="H2744" s="3" t="s">
        <v>21</v>
      </c>
    </row>
    <row r="2745" spans="1:10" s="3" customFormat="1" x14ac:dyDescent="0.25">
      <c r="A2745" s="2">
        <v>896</v>
      </c>
      <c r="B2745" s="3" t="s">
        <v>29</v>
      </c>
      <c r="C2745" s="3">
        <v>647</v>
      </c>
      <c r="D2745" s="3">
        <v>1</v>
      </c>
      <c r="E2745" s="3" t="s">
        <v>55</v>
      </c>
      <c r="F2745" s="3" t="s">
        <v>56</v>
      </c>
      <c r="G2745" s="3" t="str">
        <f>"2025-04-02 15:38:22.634"</f>
        <v>2025-04-02 15:38:22.634</v>
      </c>
      <c r="H2745" s="3" t="s">
        <v>21</v>
      </c>
      <c r="I2745" s="3">
        <v>15.51</v>
      </c>
      <c r="J2745" s="3" t="s">
        <v>54</v>
      </c>
    </row>
    <row r="2746" spans="1:10" s="3" customFormat="1" x14ac:dyDescent="0.25">
      <c r="A2746" s="2">
        <v>897</v>
      </c>
      <c r="B2746" s="3" t="s">
        <v>25</v>
      </c>
      <c r="C2746" s="3">
        <v>647</v>
      </c>
      <c r="D2746" s="3">
        <v>1</v>
      </c>
      <c r="E2746" s="3" t="s">
        <v>55</v>
      </c>
      <c r="F2746" s="3" t="s">
        <v>56</v>
      </c>
      <c r="G2746" s="3" t="str">
        <f>"2025-04-02 02:36:40.834"</f>
        <v>2025-04-02 02:36:40.834</v>
      </c>
      <c r="H2746" s="3" t="s">
        <v>21</v>
      </c>
    </row>
    <row r="2747" spans="1:10" s="3" customFormat="1" x14ac:dyDescent="0.25">
      <c r="A2747" s="2">
        <v>898</v>
      </c>
      <c r="B2747" s="3" t="s">
        <v>29</v>
      </c>
      <c r="C2747" s="3">
        <v>647</v>
      </c>
      <c r="D2747" s="3">
        <v>1</v>
      </c>
      <c r="E2747" s="3" t="s">
        <v>55</v>
      </c>
      <c r="F2747" s="3" t="s">
        <v>56</v>
      </c>
      <c r="G2747" s="3" t="str">
        <f>"2025-04-02 02:36:33.534"</f>
        <v>2025-04-02 02:36:33.534</v>
      </c>
      <c r="H2747" s="3" t="s">
        <v>21</v>
      </c>
      <c r="I2747" s="3">
        <v>9.81</v>
      </c>
      <c r="J2747" s="3" t="s">
        <v>54</v>
      </c>
    </row>
    <row r="2748" spans="1:10" s="3" customFormat="1" x14ac:dyDescent="0.25">
      <c r="A2748" s="2">
        <v>899</v>
      </c>
      <c r="B2748" s="3" t="s">
        <v>25</v>
      </c>
      <c r="C2748" s="3">
        <v>647</v>
      </c>
      <c r="D2748" s="3">
        <v>1</v>
      </c>
      <c r="E2748" s="3" t="s">
        <v>55</v>
      </c>
      <c r="F2748" s="3" t="s">
        <v>56</v>
      </c>
      <c r="G2748" s="3" t="str">
        <f>"2025-04-01 20:22:40.934"</f>
        <v>2025-04-01 20:22:40.934</v>
      </c>
      <c r="H2748" s="3" t="s">
        <v>21</v>
      </c>
    </row>
    <row r="2749" spans="1:10" s="3" customFormat="1" x14ac:dyDescent="0.25">
      <c r="A2749" s="2">
        <v>900</v>
      </c>
      <c r="B2749" s="3" t="s">
        <v>29</v>
      </c>
      <c r="C2749" s="3">
        <v>647</v>
      </c>
      <c r="D2749" s="3">
        <v>1</v>
      </c>
      <c r="E2749" s="3" t="s">
        <v>55</v>
      </c>
      <c r="F2749" s="3" t="s">
        <v>56</v>
      </c>
      <c r="G2749" s="3" t="str">
        <f>"2025-04-01 20:22:30.434"</f>
        <v>2025-04-01 20:22:30.434</v>
      </c>
      <c r="H2749" s="3" t="s">
        <v>21</v>
      </c>
      <c r="I2749" s="3">
        <v>18.440000000000001</v>
      </c>
      <c r="J2749" s="3" t="s">
        <v>54</v>
      </c>
    </row>
    <row r="2750" spans="1:10" s="3" customFormat="1" x14ac:dyDescent="0.25">
      <c r="A2750" s="2">
        <v>901</v>
      </c>
      <c r="B2750" s="3" t="s">
        <v>25</v>
      </c>
      <c r="C2750" s="3">
        <v>647</v>
      </c>
      <c r="D2750" s="3">
        <v>1</v>
      </c>
      <c r="E2750" s="3" t="s">
        <v>55</v>
      </c>
      <c r="F2750" s="3" t="s">
        <v>56</v>
      </c>
      <c r="G2750" s="3" t="str">
        <f>"2025-04-01 17:31:30.734"</f>
        <v>2025-04-01 17:31:30.734</v>
      </c>
      <c r="H2750" s="3" t="s">
        <v>21</v>
      </c>
    </row>
    <row r="2751" spans="1:10" s="3" customFormat="1" x14ac:dyDescent="0.25">
      <c r="A2751" s="2">
        <v>902</v>
      </c>
      <c r="B2751" s="3" t="s">
        <v>29</v>
      </c>
      <c r="C2751" s="3">
        <v>647</v>
      </c>
      <c r="D2751" s="3">
        <v>1</v>
      </c>
      <c r="E2751" s="3" t="s">
        <v>55</v>
      </c>
      <c r="F2751" s="3" t="s">
        <v>56</v>
      </c>
      <c r="G2751" s="3" t="str">
        <f>"2025-04-01 17:31:27.434"</f>
        <v>2025-04-01 17:31:27.434</v>
      </c>
      <c r="H2751" s="3" t="s">
        <v>21</v>
      </c>
      <c r="I2751" s="3">
        <v>10.01</v>
      </c>
      <c r="J2751" s="3" t="s">
        <v>54</v>
      </c>
    </row>
    <row r="2752" spans="1:10" x14ac:dyDescent="0.25">
      <c r="A2752" s="1">
        <v>903</v>
      </c>
      <c r="B2752" t="s">
        <v>19</v>
      </c>
      <c r="C2752">
        <v>706</v>
      </c>
      <c r="D2752">
        <v>4</v>
      </c>
      <c r="E2752" t="s">
        <v>22</v>
      </c>
      <c r="F2752" t="s">
        <v>31</v>
      </c>
      <c r="G2752" t="str">
        <f>"2025-04-01 16:32:17.853"</f>
        <v>2025-04-01 16:32:17.853</v>
      </c>
      <c r="H2752" t="s">
        <v>21</v>
      </c>
      <c r="I2752">
        <v>0</v>
      </c>
      <c r="J2752" t="s">
        <v>24</v>
      </c>
    </row>
    <row r="2753" spans="1:10" x14ac:dyDescent="0.25">
      <c r="A2753" s="1">
        <v>904</v>
      </c>
      <c r="B2753" t="s">
        <v>19</v>
      </c>
      <c r="C2753">
        <v>700</v>
      </c>
      <c r="D2753">
        <v>0</v>
      </c>
      <c r="E2753" t="s">
        <v>20</v>
      </c>
      <c r="F2753" t="s">
        <v>20</v>
      </c>
      <c r="G2753" t="str">
        <f>"2025-04-01 16:31:50.373"</f>
        <v>2025-04-01 16:31:50.373</v>
      </c>
      <c r="H2753" t="s">
        <v>21</v>
      </c>
      <c r="I2753">
        <v>0</v>
      </c>
      <c r="J2753" t="s">
        <v>32</v>
      </c>
    </row>
    <row r="2754" spans="1:10" s="3" customFormat="1" x14ac:dyDescent="0.25">
      <c r="A2754" s="2">
        <v>905</v>
      </c>
      <c r="B2754" s="3" t="s">
        <v>25</v>
      </c>
      <c r="C2754" s="3">
        <v>647</v>
      </c>
      <c r="D2754" s="3">
        <v>1</v>
      </c>
      <c r="E2754" s="3" t="s">
        <v>55</v>
      </c>
      <c r="F2754" s="3" t="s">
        <v>56</v>
      </c>
      <c r="G2754" s="3" t="str">
        <f>"2025-04-01 10:27:00.680"</f>
        <v>2025-04-01 10:27:00.680</v>
      </c>
      <c r="H2754" s="3" t="s">
        <v>21</v>
      </c>
    </row>
    <row r="2755" spans="1:10" s="3" customFormat="1" x14ac:dyDescent="0.25">
      <c r="A2755" s="2">
        <v>906</v>
      </c>
      <c r="B2755" s="3" t="s">
        <v>29</v>
      </c>
      <c r="C2755" s="3">
        <v>647</v>
      </c>
      <c r="D2755" s="3">
        <v>1</v>
      </c>
      <c r="E2755" s="3" t="s">
        <v>55</v>
      </c>
      <c r="F2755" s="3" t="s">
        <v>56</v>
      </c>
      <c r="G2755" s="3" t="str">
        <f>"2025-04-01 10:26:51.780"</f>
        <v>2025-04-01 10:26:51.780</v>
      </c>
      <c r="H2755" s="3" t="s">
        <v>21</v>
      </c>
      <c r="I2755" s="3">
        <v>21.86</v>
      </c>
      <c r="J2755" s="3" t="s">
        <v>37</v>
      </c>
    </row>
    <row r="2756" spans="1:10" x14ac:dyDescent="0.25">
      <c r="A2756" s="1">
        <v>907</v>
      </c>
      <c r="B2756" t="s">
        <v>19</v>
      </c>
      <c r="C2756">
        <v>706</v>
      </c>
      <c r="D2756">
        <v>4</v>
      </c>
      <c r="E2756" t="s">
        <v>22</v>
      </c>
      <c r="F2756" t="s">
        <v>31</v>
      </c>
      <c r="G2756" t="str">
        <f>"2025-04-01 07:35:14.665"</f>
        <v>2025-04-01 07:35:14.665</v>
      </c>
      <c r="H2756" t="s">
        <v>21</v>
      </c>
      <c r="I2756">
        <v>0</v>
      </c>
      <c r="J2756" t="s">
        <v>24</v>
      </c>
    </row>
    <row r="2757" spans="1:10" x14ac:dyDescent="0.25">
      <c r="A2757" s="1">
        <v>908</v>
      </c>
      <c r="B2757" t="s">
        <v>25</v>
      </c>
      <c r="C2757">
        <v>619</v>
      </c>
      <c r="D2757">
        <v>1</v>
      </c>
      <c r="E2757" t="s">
        <v>26</v>
      </c>
      <c r="F2757" t="s">
        <v>27</v>
      </c>
      <c r="G2757" t="str">
        <f>"2025-03-31 11:37:46.679"</f>
        <v>2025-03-31 11:37:46.679</v>
      </c>
      <c r="H2757" t="s">
        <v>28</v>
      </c>
    </row>
    <row r="2758" spans="1:10" x14ac:dyDescent="0.25">
      <c r="A2758" s="1">
        <v>909</v>
      </c>
      <c r="B2758" t="s">
        <v>25</v>
      </c>
      <c r="C2758">
        <v>630</v>
      </c>
      <c r="D2758">
        <v>5</v>
      </c>
      <c r="E2758" t="s">
        <v>51</v>
      </c>
      <c r="F2758" t="s">
        <v>52</v>
      </c>
      <c r="G2758" t="str">
        <f>"2025-03-31 11:37:23.380"</f>
        <v>2025-03-31 11:37:23.380</v>
      </c>
      <c r="H2758" t="s">
        <v>40</v>
      </c>
    </row>
    <row r="2759" spans="1:10" x14ac:dyDescent="0.25">
      <c r="A2759" s="1">
        <v>910</v>
      </c>
      <c r="B2759" t="s">
        <v>29</v>
      </c>
      <c r="C2759">
        <v>619</v>
      </c>
      <c r="D2759">
        <v>1</v>
      </c>
      <c r="E2759" t="s">
        <v>26</v>
      </c>
      <c r="F2759" t="s">
        <v>27</v>
      </c>
      <c r="G2759" t="str">
        <f>"2025-03-31 11:36:59.226"</f>
        <v>2025-03-31 11:36:59.226</v>
      </c>
      <c r="H2759" t="s">
        <v>28</v>
      </c>
      <c r="I2759">
        <v>0</v>
      </c>
      <c r="J2759" t="s">
        <v>24</v>
      </c>
    </row>
    <row r="2760" spans="1:10" x14ac:dyDescent="0.25">
      <c r="A2760" s="1">
        <v>911</v>
      </c>
      <c r="B2760" t="s">
        <v>19</v>
      </c>
      <c r="C2760">
        <v>706</v>
      </c>
      <c r="D2760">
        <v>2</v>
      </c>
      <c r="E2760" t="s">
        <v>22</v>
      </c>
      <c r="F2760" t="s">
        <v>53</v>
      </c>
      <c r="G2760" t="str">
        <f>"2025-03-31 11:36:53.295"</f>
        <v>2025-03-31 11:36:53.295</v>
      </c>
      <c r="H2760" t="s">
        <v>21</v>
      </c>
      <c r="I2760">
        <v>0</v>
      </c>
      <c r="J2760" t="s">
        <v>24</v>
      </c>
    </row>
    <row r="2761" spans="1:10" x14ac:dyDescent="0.25">
      <c r="A2761" s="1">
        <v>912</v>
      </c>
      <c r="B2761" t="s">
        <v>33</v>
      </c>
      <c r="C2761">
        <v>630</v>
      </c>
      <c r="D2761">
        <v>5</v>
      </c>
      <c r="E2761" t="s">
        <v>51</v>
      </c>
      <c r="F2761" t="s">
        <v>52</v>
      </c>
      <c r="G2761" t="str">
        <f>"2025-03-31 11:27:50.180"</f>
        <v>2025-03-31 11:27:50.180</v>
      </c>
      <c r="H2761" t="s">
        <v>40</v>
      </c>
      <c r="I2761">
        <v>0</v>
      </c>
      <c r="J2761" t="s">
        <v>24</v>
      </c>
    </row>
    <row r="2762" spans="1:10" x14ac:dyDescent="0.25">
      <c r="A2762" s="1">
        <v>913</v>
      </c>
      <c r="B2762" t="s">
        <v>19</v>
      </c>
      <c r="C2762">
        <v>700</v>
      </c>
      <c r="D2762">
        <v>0</v>
      </c>
      <c r="E2762" t="s">
        <v>20</v>
      </c>
      <c r="F2762" t="s">
        <v>20</v>
      </c>
      <c r="G2762" t="str">
        <f>"2025-03-31 11:22:47.405"</f>
        <v>2025-03-31 11:22:47.405</v>
      </c>
      <c r="H2762" t="s">
        <v>21</v>
      </c>
    </row>
    <row r="2763" spans="1:10" x14ac:dyDescent="0.25">
      <c r="A2763" s="1">
        <v>914</v>
      </c>
      <c r="B2763" t="s">
        <v>19</v>
      </c>
      <c r="C2763">
        <v>700</v>
      </c>
      <c r="D2763">
        <v>0</v>
      </c>
      <c r="E2763" t="s">
        <v>20</v>
      </c>
      <c r="F2763" t="s">
        <v>20</v>
      </c>
      <c r="G2763" t="str">
        <f>"2025-03-31 07:33:00.402"</f>
        <v>2025-03-31 07:33:00.402</v>
      </c>
      <c r="H2763" t="s">
        <v>21</v>
      </c>
      <c r="I2763">
        <v>0</v>
      </c>
      <c r="J2763" t="s">
        <v>32</v>
      </c>
    </row>
    <row r="2764" spans="1:10" x14ac:dyDescent="0.25">
      <c r="A2764" s="1">
        <v>915</v>
      </c>
      <c r="B2764" t="s">
        <v>19</v>
      </c>
      <c r="C2764">
        <v>700</v>
      </c>
      <c r="D2764">
        <v>0</v>
      </c>
      <c r="E2764" t="s">
        <v>20</v>
      </c>
      <c r="F2764" t="s">
        <v>20</v>
      </c>
      <c r="G2764" t="str">
        <f>"2025-03-30 07:31:17.403"</f>
        <v>2025-03-30 07:31:17.403</v>
      </c>
      <c r="H2764" t="s">
        <v>21</v>
      </c>
      <c r="I2764">
        <v>0</v>
      </c>
      <c r="J2764" t="s">
        <v>32</v>
      </c>
    </row>
    <row r="2765" spans="1:10" x14ac:dyDescent="0.25">
      <c r="A2765" s="1">
        <v>916</v>
      </c>
      <c r="B2765" t="s">
        <v>25</v>
      </c>
      <c r="C2765">
        <v>635</v>
      </c>
      <c r="D2765">
        <v>1</v>
      </c>
      <c r="E2765" t="s">
        <v>45</v>
      </c>
      <c r="F2765" t="s">
        <v>27</v>
      </c>
      <c r="G2765" t="str">
        <f>"2025-03-30 05:59:40.143"</f>
        <v>2025-03-30 05:59:40.143</v>
      </c>
      <c r="H2765" t="s">
        <v>21</v>
      </c>
    </row>
    <row r="2766" spans="1:10" x14ac:dyDescent="0.25">
      <c r="A2766" s="1">
        <v>917</v>
      </c>
      <c r="B2766" t="s">
        <v>29</v>
      </c>
      <c r="C2766">
        <v>635</v>
      </c>
      <c r="D2766">
        <v>1</v>
      </c>
      <c r="E2766" t="s">
        <v>45</v>
      </c>
      <c r="F2766" t="s">
        <v>27</v>
      </c>
      <c r="G2766" t="str">
        <f>"2025-03-30 05:51:38.143"</f>
        <v>2025-03-30 05:51:38.143</v>
      </c>
      <c r="H2766" t="s">
        <v>21</v>
      </c>
      <c r="I2766">
        <v>1.19</v>
      </c>
      <c r="J2766" t="s">
        <v>54</v>
      </c>
    </row>
    <row r="2767" spans="1:10" x14ac:dyDescent="0.25">
      <c r="A2767" s="1">
        <v>918</v>
      </c>
      <c r="B2767" t="s">
        <v>19</v>
      </c>
      <c r="C2767">
        <v>700</v>
      </c>
      <c r="D2767">
        <v>0</v>
      </c>
      <c r="E2767" t="s">
        <v>20</v>
      </c>
      <c r="F2767" t="s">
        <v>20</v>
      </c>
      <c r="G2767" t="str">
        <f>"2025-03-29 19:38:06.523"</f>
        <v>2025-03-29 19:38:06.523</v>
      </c>
      <c r="H2767" t="s">
        <v>21</v>
      </c>
    </row>
    <row r="2768" spans="1:10" x14ac:dyDescent="0.25">
      <c r="A2768" s="1">
        <v>919</v>
      </c>
      <c r="B2768" t="s">
        <v>25</v>
      </c>
      <c r="C2768">
        <v>619</v>
      </c>
      <c r="D2768">
        <v>1</v>
      </c>
      <c r="E2768" t="s">
        <v>26</v>
      </c>
      <c r="F2768" t="s">
        <v>27</v>
      </c>
      <c r="G2768" t="str">
        <f>"2025-03-26 20:07:23.599"</f>
        <v>2025-03-26 20:07:23.599</v>
      </c>
      <c r="H2768" t="s">
        <v>28</v>
      </c>
    </row>
    <row r="2769" spans="1:10" x14ac:dyDescent="0.25">
      <c r="A2769" s="1">
        <v>920</v>
      </c>
      <c r="B2769" t="s">
        <v>29</v>
      </c>
      <c r="C2769">
        <v>619</v>
      </c>
      <c r="D2769">
        <v>1</v>
      </c>
      <c r="E2769" t="s">
        <v>26</v>
      </c>
      <c r="F2769" t="s">
        <v>27</v>
      </c>
      <c r="G2769" t="str">
        <f>"2025-03-26 20:06:06.647"</f>
        <v>2025-03-26 20:06:06.647</v>
      </c>
      <c r="H2769" t="s">
        <v>28</v>
      </c>
      <c r="I2769">
        <v>0</v>
      </c>
      <c r="J2769" t="s">
        <v>24</v>
      </c>
    </row>
    <row r="2770" spans="1:10" x14ac:dyDescent="0.25">
      <c r="A2770" s="1">
        <v>921</v>
      </c>
      <c r="B2770" t="s">
        <v>19</v>
      </c>
      <c r="C2770">
        <v>700</v>
      </c>
      <c r="D2770">
        <v>0</v>
      </c>
      <c r="E2770" t="s">
        <v>20</v>
      </c>
      <c r="F2770" t="s">
        <v>20</v>
      </c>
      <c r="G2770" t="str">
        <f>"2025-03-26 20:05:51.380"</f>
        <v>2025-03-26 20:05:51.380</v>
      </c>
      <c r="H2770" t="s">
        <v>21</v>
      </c>
      <c r="I2770">
        <v>0</v>
      </c>
      <c r="J2770" t="s">
        <v>32</v>
      </c>
    </row>
    <row r="2771" spans="1:10" x14ac:dyDescent="0.25">
      <c r="A2771" s="1">
        <v>922</v>
      </c>
      <c r="B2771" t="s">
        <v>33</v>
      </c>
      <c r="C2771">
        <v>630</v>
      </c>
      <c r="D2771">
        <v>5</v>
      </c>
      <c r="E2771" t="s">
        <v>51</v>
      </c>
      <c r="F2771" t="s">
        <v>52</v>
      </c>
      <c r="G2771" t="str">
        <f>"2025-03-26 17:54:26.093"</f>
        <v>2025-03-26 17:54:26.093</v>
      </c>
      <c r="H2771" t="s">
        <v>40</v>
      </c>
      <c r="I2771">
        <v>0</v>
      </c>
      <c r="J2771" t="s">
        <v>24</v>
      </c>
    </row>
    <row r="2772" spans="1:10" x14ac:dyDescent="0.25">
      <c r="A2772" s="1">
        <v>923</v>
      </c>
      <c r="B2772" t="s">
        <v>19</v>
      </c>
      <c r="C2772">
        <v>700</v>
      </c>
      <c r="D2772">
        <v>0</v>
      </c>
      <c r="E2772" t="s">
        <v>20</v>
      </c>
      <c r="F2772" t="s">
        <v>20</v>
      </c>
      <c r="G2772" t="str">
        <f>"2025-03-26 17:49:23.375"</f>
        <v>2025-03-26 17:49:23.375</v>
      </c>
      <c r="H2772" t="s">
        <v>21</v>
      </c>
    </row>
    <row r="2773" spans="1:10" x14ac:dyDescent="0.25">
      <c r="A2773" s="1">
        <v>924</v>
      </c>
      <c r="B2773" t="s">
        <v>33</v>
      </c>
      <c r="C2773">
        <v>630</v>
      </c>
      <c r="D2773">
        <v>5</v>
      </c>
      <c r="E2773" t="s">
        <v>51</v>
      </c>
      <c r="F2773" t="s">
        <v>52</v>
      </c>
      <c r="G2773" t="str">
        <f>"2025-03-26 17:20:30.971"</f>
        <v>2025-03-26 17:20:30.971</v>
      </c>
      <c r="H2773" t="s">
        <v>40</v>
      </c>
      <c r="I2773">
        <v>0</v>
      </c>
      <c r="J2773" t="s">
        <v>24</v>
      </c>
    </row>
    <row r="2774" spans="1:10" x14ac:dyDescent="0.25">
      <c r="A2774" s="1">
        <v>925</v>
      </c>
      <c r="B2774" t="s">
        <v>19</v>
      </c>
      <c r="C2774">
        <v>700</v>
      </c>
      <c r="D2774">
        <v>0</v>
      </c>
      <c r="E2774" t="s">
        <v>20</v>
      </c>
      <c r="F2774" t="s">
        <v>20</v>
      </c>
      <c r="G2774" t="str">
        <f>"2025-03-26 17:12:13.373"</f>
        <v>2025-03-26 17:12:13.373</v>
      </c>
      <c r="H2774" t="s">
        <v>21</v>
      </c>
      <c r="I2774">
        <v>0</v>
      </c>
      <c r="J2774" t="s">
        <v>32</v>
      </c>
    </row>
    <row r="2775" spans="1:10" x14ac:dyDescent="0.25">
      <c r="A2775" s="1">
        <v>926</v>
      </c>
      <c r="B2775" t="s">
        <v>33</v>
      </c>
      <c r="C2775">
        <v>630</v>
      </c>
      <c r="D2775">
        <v>5</v>
      </c>
      <c r="E2775" t="s">
        <v>51</v>
      </c>
      <c r="F2775" t="s">
        <v>52</v>
      </c>
      <c r="G2775" t="str">
        <f>"2025-03-26 16:08:01.355"</f>
        <v>2025-03-26 16:08:01.355</v>
      </c>
      <c r="H2775" t="s">
        <v>40</v>
      </c>
      <c r="I2775">
        <v>0</v>
      </c>
      <c r="J2775" t="s">
        <v>24</v>
      </c>
    </row>
    <row r="2776" spans="1:10" x14ac:dyDescent="0.25">
      <c r="A2776" s="1">
        <v>927</v>
      </c>
      <c r="B2776" t="s">
        <v>19</v>
      </c>
      <c r="C2776">
        <v>700</v>
      </c>
      <c r="D2776">
        <v>0</v>
      </c>
      <c r="E2776" t="s">
        <v>20</v>
      </c>
      <c r="F2776" t="s">
        <v>20</v>
      </c>
      <c r="G2776" t="str">
        <f>"2025-03-26 16:02:58.648"</f>
        <v>2025-03-26 16:02:58.648</v>
      </c>
      <c r="H2776" t="s">
        <v>21</v>
      </c>
      <c r="I2776">
        <v>0</v>
      </c>
      <c r="J2776" t="s">
        <v>32</v>
      </c>
    </row>
    <row r="2777" spans="1:10" x14ac:dyDescent="0.25">
      <c r="A2777" s="1">
        <v>928</v>
      </c>
      <c r="B2777" t="s">
        <v>19</v>
      </c>
      <c r="C2777">
        <v>700</v>
      </c>
      <c r="D2777">
        <v>0</v>
      </c>
      <c r="E2777" t="s">
        <v>20</v>
      </c>
      <c r="F2777" t="s">
        <v>20</v>
      </c>
      <c r="G2777" t="str">
        <f>"2025-03-25 19:34:19.365"</f>
        <v>2025-03-25 19:34:19.365</v>
      </c>
      <c r="H2777" t="s">
        <v>21</v>
      </c>
    </row>
    <row r="2778" spans="1:10" s="3" customFormat="1" x14ac:dyDescent="0.25">
      <c r="A2778" s="2">
        <v>929</v>
      </c>
      <c r="B2778" s="3" t="s">
        <v>25</v>
      </c>
      <c r="C2778" s="3">
        <v>647</v>
      </c>
      <c r="D2778" s="3">
        <v>1</v>
      </c>
      <c r="E2778" s="3" t="s">
        <v>55</v>
      </c>
      <c r="F2778" s="3" t="s">
        <v>56</v>
      </c>
      <c r="G2778" s="3" t="str">
        <f>"2025-03-25 02:22:05.470"</f>
        <v>2025-03-25 02:22:05.470</v>
      </c>
      <c r="H2778" s="3" t="s">
        <v>21</v>
      </c>
    </row>
    <row r="2779" spans="1:10" s="3" customFormat="1" x14ac:dyDescent="0.25">
      <c r="A2779" s="2">
        <v>930</v>
      </c>
      <c r="B2779" s="3" t="s">
        <v>29</v>
      </c>
      <c r="C2779" s="3">
        <v>647</v>
      </c>
      <c r="D2779" s="3">
        <v>1</v>
      </c>
      <c r="E2779" s="3" t="s">
        <v>55</v>
      </c>
      <c r="F2779" s="3" t="s">
        <v>56</v>
      </c>
      <c r="G2779" s="3" t="str">
        <f>"2025-03-25 02:22:01.370"</f>
        <v>2025-03-25 02:22:01.370</v>
      </c>
      <c r="H2779" s="3" t="s">
        <v>21</v>
      </c>
      <c r="I2779" s="3">
        <v>9.8000000000000007</v>
      </c>
      <c r="J2779" s="3" t="s">
        <v>54</v>
      </c>
    </row>
    <row r="2780" spans="1:10" x14ac:dyDescent="0.25">
      <c r="A2780" s="1">
        <v>931</v>
      </c>
      <c r="B2780" t="s">
        <v>19</v>
      </c>
      <c r="C2780">
        <v>700</v>
      </c>
      <c r="D2780">
        <v>0</v>
      </c>
      <c r="E2780" t="s">
        <v>20</v>
      </c>
      <c r="F2780" t="s">
        <v>20</v>
      </c>
      <c r="G2780" t="str">
        <f>"2025-03-24 07:31:24.385"</f>
        <v>2025-03-24 07:31:24.385</v>
      </c>
      <c r="H2780" t="s">
        <v>21</v>
      </c>
    </row>
    <row r="2781" spans="1:10" x14ac:dyDescent="0.25">
      <c r="A2781" s="1">
        <v>932</v>
      </c>
      <c r="B2781" t="s">
        <v>19</v>
      </c>
      <c r="C2781">
        <v>706</v>
      </c>
      <c r="D2781">
        <v>4</v>
      </c>
      <c r="E2781" t="s">
        <v>22</v>
      </c>
      <c r="F2781" t="s">
        <v>31</v>
      </c>
      <c r="G2781" t="str">
        <f>"2025-03-23 18:59:50.853"</f>
        <v>2025-03-23 18:59:50.853</v>
      </c>
      <c r="H2781" t="s">
        <v>21</v>
      </c>
      <c r="I2781">
        <v>0</v>
      </c>
      <c r="J2781" t="s">
        <v>24</v>
      </c>
    </row>
    <row r="2782" spans="1:10" x14ac:dyDescent="0.25">
      <c r="A2782" s="1">
        <v>933</v>
      </c>
      <c r="B2782" t="s">
        <v>19</v>
      </c>
      <c r="C2782">
        <v>700</v>
      </c>
      <c r="D2782">
        <v>0</v>
      </c>
      <c r="E2782" t="s">
        <v>20</v>
      </c>
      <c r="F2782" t="s">
        <v>20</v>
      </c>
      <c r="G2782" t="str">
        <f>"2025-03-23 18:59:11.403"</f>
        <v>2025-03-23 18:59:11.403</v>
      </c>
      <c r="H2782" t="s">
        <v>21</v>
      </c>
      <c r="I2782">
        <v>0</v>
      </c>
      <c r="J2782" t="s">
        <v>32</v>
      </c>
    </row>
    <row r="2783" spans="1:10" x14ac:dyDescent="0.25">
      <c r="A2783" s="1">
        <v>934</v>
      </c>
      <c r="B2783" t="s">
        <v>19</v>
      </c>
      <c r="C2783">
        <v>700</v>
      </c>
      <c r="D2783">
        <v>0</v>
      </c>
      <c r="E2783" t="s">
        <v>20</v>
      </c>
      <c r="F2783" t="s">
        <v>20</v>
      </c>
      <c r="G2783" t="str">
        <f>"2025-03-22 19:34:31.385"</f>
        <v>2025-03-22 19:34:31.385</v>
      </c>
      <c r="H2783" t="s">
        <v>21</v>
      </c>
      <c r="I2783">
        <v>0</v>
      </c>
      <c r="J2783" t="s">
        <v>32</v>
      </c>
    </row>
    <row r="2784" spans="1:10" x14ac:dyDescent="0.25">
      <c r="A2784" s="1">
        <v>935</v>
      </c>
      <c r="B2784" t="s">
        <v>19</v>
      </c>
      <c r="C2784">
        <v>700</v>
      </c>
      <c r="D2784">
        <v>0</v>
      </c>
      <c r="E2784" t="s">
        <v>20</v>
      </c>
      <c r="F2784" t="s">
        <v>20</v>
      </c>
      <c r="G2784" t="str">
        <f>"2025-03-22 13:53:30.391"</f>
        <v>2025-03-22 13:53:30.391</v>
      </c>
      <c r="H2784" t="s">
        <v>21</v>
      </c>
    </row>
    <row r="2785" spans="1:10" x14ac:dyDescent="0.25">
      <c r="A2785" s="1">
        <v>936</v>
      </c>
      <c r="B2785" t="s">
        <v>19</v>
      </c>
      <c r="C2785">
        <v>700</v>
      </c>
      <c r="D2785">
        <v>0</v>
      </c>
      <c r="E2785" t="s">
        <v>20</v>
      </c>
      <c r="F2785" t="s">
        <v>20</v>
      </c>
      <c r="G2785" t="str">
        <f>"2025-03-21 12:23:55.393"</f>
        <v>2025-03-21 12:23:55.393</v>
      </c>
      <c r="H2785" t="s">
        <v>21</v>
      </c>
      <c r="I2785">
        <v>0</v>
      </c>
      <c r="J2785" t="s">
        <v>32</v>
      </c>
    </row>
    <row r="2786" spans="1:10" x14ac:dyDescent="0.25">
      <c r="A2786" s="1">
        <v>937</v>
      </c>
      <c r="B2786" t="s">
        <v>25</v>
      </c>
      <c r="C2786">
        <v>619</v>
      </c>
      <c r="D2786">
        <v>1</v>
      </c>
      <c r="E2786" t="s">
        <v>26</v>
      </c>
      <c r="F2786" t="s">
        <v>27</v>
      </c>
      <c r="G2786" t="str">
        <f>"2025-03-20 07:51:16.641"</f>
        <v>2025-03-20 07:51:16.641</v>
      </c>
      <c r="H2786" t="s">
        <v>28</v>
      </c>
    </row>
    <row r="2787" spans="1:10" x14ac:dyDescent="0.25">
      <c r="A2787" s="1">
        <v>938</v>
      </c>
      <c r="B2787" t="s">
        <v>29</v>
      </c>
      <c r="C2787">
        <v>619</v>
      </c>
      <c r="D2787">
        <v>1</v>
      </c>
      <c r="E2787" t="s">
        <v>26</v>
      </c>
      <c r="F2787" t="s">
        <v>27</v>
      </c>
      <c r="G2787" t="str">
        <f>"2025-03-20 07:49:51.441"</f>
        <v>2025-03-20 07:49:51.441</v>
      </c>
      <c r="H2787" t="s">
        <v>28</v>
      </c>
      <c r="I2787">
        <v>0</v>
      </c>
      <c r="J2787" t="s">
        <v>24</v>
      </c>
    </row>
    <row r="2788" spans="1:10" x14ac:dyDescent="0.25">
      <c r="A2788" s="1">
        <v>939</v>
      </c>
      <c r="B2788" t="s">
        <v>19</v>
      </c>
      <c r="C2788">
        <v>700</v>
      </c>
      <c r="D2788">
        <v>0</v>
      </c>
      <c r="E2788" t="s">
        <v>20</v>
      </c>
      <c r="F2788" t="s">
        <v>20</v>
      </c>
      <c r="G2788" t="str">
        <f>"2025-03-20 07:49:44.359"</f>
        <v>2025-03-20 07:49:44.359</v>
      </c>
      <c r="H2788" t="s">
        <v>21</v>
      </c>
      <c r="I2788">
        <v>0</v>
      </c>
      <c r="J2788" t="s">
        <v>32</v>
      </c>
    </row>
    <row r="2789" spans="1:10" x14ac:dyDescent="0.25">
      <c r="A2789" s="1">
        <v>940</v>
      </c>
      <c r="B2789" t="s">
        <v>33</v>
      </c>
      <c r="C2789">
        <v>630</v>
      </c>
      <c r="D2789">
        <v>5</v>
      </c>
      <c r="E2789" t="s">
        <v>51</v>
      </c>
      <c r="F2789" t="s">
        <v>52</v>
      </c>
      <c r="G2789" t="str">
        <f>"2025-03-20 04:10:16.149"</f>
        <v>2025-03-20 04:10:16.149</v>
      </c>
      <c r="H2789" t="s">
        <v>40</v>
      </c>
      <c r="I2789">
        <v>0</v>
      </c>
      <c r="J2789" t="s">
        <v>24</v>
      </c>
    </row>
    <row r="2790" spans="1:10" x14ac:dyDescent="0.25">
      <c r="A2790" s="1">
        <v>941</v>
      </c>
      <c r="B2790" t="s">
        <v>19</v>
      </c>
      <c r="C2790">
        <v>700</v>
      </c>
      <c r="D2790">
        <v>0</v>
      </c>
      <c r="E2790" t="s">
        <v>20</v>
      </c>
      <c r="F2790" t="s">
        <v>20</v>
      </c>
      <c r="G2790" t="str">
        <f>"2025-03-20 04:05:13.364"</f>
        <v>2025-03-20 04:05:13.364</v>
      </c>
      <c r="H2790" t="s">
        <v>21</v>
      </c>
      <c r="I2790">
        <v>0</v>
      </c>
      <c r="J2790" t="s">
        <v>32</v>
      </c>
    </row>
    <row r="2791" spans="1:10" x14ac:dyDescent="0.25">
      <c r="A2791" s="1">
        <v>942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"2025-03-20 03:48:43.361"</f>
        <v>2025-03-20 03:48:43.361</v>
      </c>
      <c r="H2791" t="s">
        <v>21</v>
      </c>
    </row>
    <row r="2792" spans="1:10" x14ac:dyDescent="0.25">
      <c r="A2792" s="1">
        <v>943</v>
      </c>
      <c r="B2792" t="s">
        <v>25</v>
      </c>
      <c r="C2792">
        <v>619</v>
      </c>
      <c r="D2792">
        <v>1</v>
      </c>
      <c r="E2792" t="s">
        <v>26</v>
      </c>
      <c r="F2792" t="s">
        <v>27</v>
      </c>
      <c r="G2792" t="str">
        <f>"2025-03-19 16:01:34.838"</f>
        <v>2025-03-19 16:01:34.838</v>
      </c>
      <c r="H2792" t="s">
        <v>28</v>
      </c>
    </row>
    <row r="2793" spans="1:10" x14ac:dyDescent="0.25">
      <c r="A2793" s="1">
        <v>944</v>
      </c>
      <c r="B2793" t="s">
        <v>25</v>
      </c>
      <c r="C2793">
        <v>630</v>
      </c>
      <c r="D2793">
        <v>5</v>
      </c>
      <c r="E2793" t="s">
        <v>51</v>
      </c>
      <c r="F2793" t="s">
        <v>52</v>
      </c>
      <c r="G2793" t="str">
        <f>"2025-03-19 16:00:42.939"</f>
        <v>2025-03-19 16:00:42.939</v>
      </c>
      <c r="H2793" t="s">
        <v>40</v>
      </c>
    </row>
    <row r="2794" spans="1:10" x14ac:dyDescent="0.25">
      <c r="A2794" s="1">
        <v>945</v>
      </c>
      <c r="B2794" t="s">
        <v>29</v>
      </c>
      <c r="C2794">
        <v>619</v>
      </c>
      <c r="D2794">
        <v>1</v>
      </c>
      <c r="E2794" t="s">
        <v>26</v>
      </c>
      <c r="F2794" t="s">
        <v>27</v>
      </c>
      <c r="G2794" t="str">
        <f>"2025-03-19 16:00:19.390"</f>
        <v>2025-03-19 16:00:19.390</v>
      </c>
      <c r="H2794" t="s">
        <v>28</v>
      </c>
      <c r="I2794">
        <v>0</v>
      </c>
      <c r="J2794" t="s">
        <v>24</v>
      </c>
    </row>
    <row r="2795" spans="1:10" x14ac:dyDescent="0.25">
      <c r="A2795" s="1">
        <v>946</v>
      </c>
      <c r="B2795" t="s">
        <v>19</v>
      </c>
      <c r="C2795">
        <v>706</v>
      </c>
      <c r="D2795">
        <v>2</v>
      </c>
      <c r="E2795" t="s">
        <v>22</v>
      </c>
      <c r="F2795" t="s">
        <v>53</v>
      </c>
      <c r="G2795" t="str">
        <f>"2025-03-19 16:00:12.817"</f>
        <v>2025-03-19 16:00:12.817</v>
      </c>
      <c r="H2795" t="s">
        <v>21</v>
      </c>
      <c r="I2795">
        <v>0</v>
      </c>
      <c r="J2795" t="s">
        <v>24</v>
      </c>
    </row>
    <row r="2796" spans="1:10" x14ac:dyDescent="0.25">
      <c r="A2796" s="1">
        <v>947</v>
      </c>
      <c r="B2796" t="s">
        <v>33</v>
      </c>
      <c r="C2796">
        <v>630</v>
      </c>
      <c r="D2796">
        <v>5</v>
      </c>
      <c r="E2796" t="s">
        <v>51</v>
      </c>
      <c r="F2796" t="s">
        <v>52</v>
      </c>
      <c r="G2796" t="str">
        <f>"2025-03-19 14:46:10.139"</f>
        <v>2025-03-19 14:46:10.139</v>
      </c>
      <c r="H2796" t="s">
        <v>40</v>
      </c>
      <c r="I2796">
        <v>0</v>
      </c>
      <c r="J2796" t="s">
        <v>24</v>
      </c>
    </row>
    <row r="2797" spans="1:10" x14ac:dyDescent="0.25">
      <c r="A2797" s="1">
        <v>948</v>
      </c>
      <c r="B2797" t="s">
        <v>19</v>
      </c>
      <c r="C2797">
        <v>700</v>
      </c>
      <c r="D2797">
        <v>0</v>
      </c>
      <c r="E2797" t="s">
        <v>20</v>
      </c>
      <c r="F2797" t="s">
        <v>20</v>
      </c>
      <c r="G2797" t="str">
        <f>"2025-03-19 14:41:07.517"</f>
        <v>2025-03-19 14:41:07.517</v>
      </c>
      <c r="H2797" t="s">
        <v>21</v>
      </c>
      <c r="I2797">
        <v>0</v>
      </c>
      <c r="J2797" t="s">
        <v>32</v>
      </c>
    </row>
    <row r="2798" spans="1:10" x14ac:dyDescent="0.25">
      <c r="A2798" s="1">
        <v>949</v>
      </c>
      <c r="B2798" t="s">
        <v>19</v>
      </c>
      <c r="C2798">
        <v>700</v>
      </c>
      <c r="D2798">
        <v>0</v>
      </c>
      <c r="E2798" t="s">
        <v>20</v>
      </c>
      <c r="F2798" t="s">
        <v>20</v>
      </c>
      <c r="G2798" t="str">
        <f>"2025-03-19 14:03:17.348"</f>
        <v>2025-03-19 14:03:17.348</v>
      </c>
      <c r="H2798" t="s">
        <v>21</v>
      </c>
      <c r="I2798">
        <v>0</v>
      </c>
      <c r="J2798" t="s">
        <v>32</v>
      </c>
    </row>
    <row r="2799" spans="1:10" x14ac:dyDescent="0.25">
      <c r="A2799" s="1">
        <v>950</v>
      </c>
      <c r="B2799" t="s">
        <v>19</v>
      </c>
      <c r="C2799">
        <v>700</v>
      </c>
      <c r="D2799">
        <v>0</v>
      </c>
      <c r="E2799" t="s">
        <v>20</v>
      </c>
      <c r="F2799" t="s">
        <v>20</v>
      </c>
      <c r="G2799" t="str">
        <f>"2025-03-19 10:16:55.358"</f>
        <v>2025-03-19 10:16:55.358</v>
      </c>
      <c r="H2799" t="s">
        <v>21</v>
      </c>
      <c r="I2799">
        <v>0</v>
      </c>
      <c r="J2799" t="s">
        <v>32</v>
      </c>
    </row>
    <row r="2800" spans="1:10" x14ac:dyDescent="0.25">
      <c r="A2800" s="1">
        <v>951</v>
      </c>
      <c r="B2800" t="s">
        <v>19</v>
      </c>
      <c r="C2800">
        <v>700</v>
      </c>
      <c r="D2800">
        <v>0</v>
      </c>
      <c r="E2800" t="s">
        <v>20</v>
      </c>
      <c r="F2800" t="s">
        <v>20</v>
      </c>
      <c r="G2800" t="str">
        <f>"2025-03-19 10:14:21.354"</f>
        <v>2025-03-19 10:14:21.354</v>
      </c>
      <c r="H2800" t="s">
        <v>21</v>
      </c>
    </row>
    <row r="2801" spans="1:10" x14ac:dyDescent="0.25">
      <c r="A2801" s="1">
        <v>952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"2025-03-19 10:10:15.541"</f>
        <v>2025-03-19 10:10:15.541</v>
      </c>
      <c r="H2801" t="s">
        <v>21</v>
      </c>
      <c r="I2801">
        <v>0</v>
      </c>
      <c r="J2801" t="s">
        <v>32</v>
      </c>
    </row>
    <row r="2802" spans="1:10" x14ac:dyDescent="0.25">
      <c r="A2802" s="1">
        <v>953</v>
      </c>
      <c r="B2802" t="s">
        <v>19</v>
      </c>
      <c r="C2802">
        <v>700</v>
      </c>
      <c r="D2802">
        <v>0</v>
      </c>
      <c r="E2802" t="s">
        <v>20</v>
      </c>
      <c r="F2802" t="s">
        <v>20</v>
      </c>
      <c r="G2802" t="str">
        <f>"2025-03-19 10:08:46.356"</f>
        <v>2025-03-19 10:08:46.356</v>
      </c>
      <c r="H2802" t="s">
        <v>21</v>
      </c>
      <c r="I2802">
        <v>0</v>
      </c>
      <c r="J2802" t="s">
        <v>32</v>
      </c>
    </row>
    <row r="2803" spans="1:10" x14ac:dyDescent="0.25">
      <c r="A2803" s="1">
        <v>954</v>
      </c>
      <c r="B2803" t="s">
        <v>19</v>
      </c>
      <c r="C2803">
        <v>700</v>
      </c>
      <c r="D2803">
        <v>0</v>
      </c>
      <c r="E2803" t="s">
        <v>20</v>
      </c>
      <c r="F2803" t="s">
        <v>20</v>
      </c>
      <c r="G2803" t="str">
        <f>"2025-03-19 10:06:01.421"</f>
        <v>2025-03-19 10:06:01.421</v>
      </c>
      <c r="H2803" t="s">
        <v>21</v>
      </c>
    </row>
    <row r="2804" spans="1:10" x14ac:dyDescent="0.25">
      <c r="A2804" s="1">
        <v>955</v>
      </c>
      <c r="B2804" t="s">
        <v>19</v>
      </c>
      <c r="C2804">
        <v>700</v>
      </c>
      <c r="D2804">
        <v>0</v>
      </c>
      <c r="E2804" t="s">
        <v>20</v>
      </c>
      <c r="F2804" t="s">
        <v>20</v>
      </c>
      <c r="G2804" t="str">
        <f>"2025-03-19 09:32:38.345"</f>
        <v>2025-03-19 09:32:38.345</v>
      </c>
      <c r="H2804" t="s">
        <v>21</v>
      </c>
      <c r="I2804">
        <v>0</v>
      </c>
      <c r="J2804" t="s">
        <v>32</v>
      </c>
    </row>
    <row r="2805" spans="1:10" x14ac:dyDescent="0.25">
      <c r="A2805" s="1">
        <v>956</v>
      </c>
      <c r="B2805" t="s">
        <v>25</v>
      </c>
      <c r="C2805">
        <v>619</v>
      </c>
      <c r="D2805">
        <v>1</v>
      </c>
      <c r="E2805" t="s">
        <v>26</v>
      </c>
      <c r="F2805" t="s">
        <v>27</v>
      </c>
      <c r="G2805" t="str">
        <f>"2025-03-18 01:18:21.186"</f>
        <v>2025-03-18 01:18:21.186</v>
      </c>
      <c r="H2805" t="s">
        <v>28</v>
      </c>
    </row>
    <row r="2806" spans="1:10" x14ac:dyDescent="0.25">
      <c r="A2806" s="1">
        <v>957</v>
      </c>
      <c r="B2806" t="s">
        <v>25</v>
      </c>
      <c r="C2806">
        <v>630</v>
      </c>
      <c r="D2806">
        <v>5</v>
      </c>
      <c r="E2806" t="s">
        <v>51</v>
      </c>
      <c r="F2806" t="s">
        <v>52</v>
      </c>
      <c r="G2806" t="str">
        <f>"2025-03-18 01:17:58.340"</f>
        <v>2025-03-18 01:17:58.340</v>
      </c>
      <c r="H2806" t="s">
        <v>40</v>
      </c>
    </row>
    <row r="2807" spans="1:10" x14ac:dyDescent="0.25">
      <c r="A2807" s="1">
        <v>958</v>
      </c>
      <c r="B2807" t="s">
        <v>29</v>
      </c>
      <c r="C2807">
        <v>619</v>
      </c>
      <c r="D2807">
        <v>1</v>
      </c>
      <c r="E2807" t="s">
        <v>26</v>
      </c>
      <c r="F2807" t="s">
        <v>27</v>
      </c>
      <c r="G2807" t="str">
        <f>"2025-03-18 01:17:34.886"</f>
        <v>2025-03-18 01:17:34.886</v>
      </c>
      <c r="H2807" t="s">
        <v>28</v>
      </c>
      <c r="I2807">
        <v>0</v>
      </c>
      <c r="J2807" t="s">
        <v>24</v>
      </c>
    </row>
    <row r="2808" spans="1:10" x14ac:dyDescent="0.25">
      <c r="A2808" s="1">
        <v>959</v>
      </c>
      <c r="B2808" t="s">
        <v>19</v>
      </c>
      <c r="C2808">
        <v>706</v>
      </c>
      <c r="D2808">
        <v>2</v>
      </c>
      <c r="E2808" t="s">
        <v>22</v>
      </c>
      <c r="F2808" t="s">
        <v>53</v>
      </c>
      <c r="G2808" t="str">
        <f>"2025-03-18 01:17:28.223"</f>
        <v>2025-03-18 01:17:28.223</v>
      </c>
      <c r="H2808" t="s">
        <v>21</v>
      </c>
      <c r="I2808">
        <v>0</v>
      </c>
      <c r="J2808" t="s">
        <v>24</v>
      </c>
    </row>
    <row r="2809" spans="1:10" x14ac:dyDescent="0.25">
      <c r="A2809" s="1">
        <v>960</v>
      </c>
      <c r="B2809" t="s">
        <v>33</v>
      </c>
      <c r="C2809">
        <v>630</v>
      </c>
      <c r="D2809">
        <v>5</v>
      </c>
      <c r="E2809" t="s">
        <v>51</v>
      </c>
      <c r="F2809" t="s">
        <v>52</v>
      </c>
      <c r="G2809" t="str">
        <f>"2025-03-18 00:57:32.540"</f>
        <v>2025-03-18 00:57:32.540</v>
      </c>
      <c r="H2809" t="s">
        <v>40</v>
      </c>
      <c r="I2809">
        <v>0</v>
      </c>
      <c r="J2809" t="s">
        <v>24</v>
      </c>
    </row>
    <row r="2810" spans="1:10" x14ac:dyDescent="0.25">
      <c r="A2810" s="1">
        <v>961</v>
      </c>
      <c r="B2810" t="s">
        <v>25</v>
      </c>
      <c r="C2810">
        <v>635</v>
      </c>
      <c r="D2810">
        <v>1</v>
      </c>
      <c r="E2810" t="s">
        <v>45</v>
      </c>
      <c r="F2810" t="s">
        <v>27</v>
      </c>
      <c r="G2810" t="str">
        <f>"2025-03-17 06:29:49.039"</f>
        <v>2025-03-17 06:29:49.039</v>
      </c>
      <c r="H2810" t="s">
        <v>21</v>
      </c>
    </row>
    <row r="2811" spans="1:10" x14ac:dyDescent="0.25">
      <c r="A2811" s="1">
        <v>962</v>
      </c>
      <c r="B2811" t="s">
        <v>29</v>
      </c>
      <c r="C2811">
        <v>635</v>
      </c>
      <c r="D2811">
        <v>1</v>
      </c>
      <c r="E2811" t="s">
        <v>45</v>
      </c>
      <c r="F2811" t="s">
        <v>27</v>
      </c>
      <c r="G2811" t="str">
        <f>"2025-03-17 06:24:25.539"</f>
        <v>2025-03-17 06:24:25.539</v>
      </c>
      <c r="H2811" t="s">
        <v>21</v>
      </c>
      <c r="I2811">
        <v>7.74</v>
      </c>
      <c r="J2811" t="s">
        <v>42</v>
      </c>
    </row>
    <row r="2812" spans="1:10" x14ac:dyDescent="0.25">
      <c r="A2812" s="1">
        <v>963</v>
      </c>
      <c r="B2812" t="s">
        <v>25</v>
      </c>
      <c r="C2812">
        <v>619</v>
      </c>
      <c r="D2812">
        <v>1</v>
      </c>
      <c r="E2812" t="s">
        <v>26</v>
      </c>
      <c r="F2812" t="s">
        <v>27</v>
      </c>
      <c r="G2812" t="str">
        <f>"2025-03-16 11:52:22.139"</f>
        <v>2025-03-16 11:52:22.139</v>
      </c>
      <c r="H2812" t="s">
        <v>28</v>
      </c>
    </row>
    <row r="2813" spans="1:10" x14ac:dyDescent="0.25">
      <c r="A2813" s="1">
        <v>964</v>
      </c>
      <c r="B2813" t="s">
        <v>29</v>
      </c>
      <c r="C2813">
        <v>619</v>
      </c>
      <c r="D2813">
        <v>1</v>
      </c>
      <c r="E2813" t="s">
        <v>26</v>
      </c>
      <c r="F2813" t="s">
        <v>27</v>
      </c>
      <c r="G2813" t="str">
        <f>"2025-03-16 11:51:31.786"</f>
        <v>2025-03-16 11:51:31.786</v>
      </c>
      <c r="H2813" t="s">
        <v>28</v>
      </c>
      <c r="I2813">
        <v>0</v>
      </c>
      <c r="J2813" t="s">
        <v>37</v>
      </c>
    </row>
    <row r="2814" spans="1:10" x14ac:dyDescent="0.25">
      <c r="A2814" s="1">
        <v>965</v>
      </c>
      <c r="B2814" t="s">
        <v>19</v>
      </c>
      <c r="C2814">
        <v>700</v>
      </c>
      <c r="D2814">
        <v>0</v>
      </c>
      <c r="E2814" t="s">
        <v>20</v>
      </c>
      <c r="F2814" t="s">
        <v>20</v>
      </c>
      <c r="G2814" t="str">
        <f>"2025-03-16 11:51:01.343"</f>
        <v>2025-03-16 11:51:01.343</v>
      </c>
      <c r="H2814" t="s">
        <v>21</v>
      </c>
      <c r="I2814">
        <v>0</v>
      </c>
      <c r="J2814" t="s">
        <v>32</v>
      </c>
    </row>
    <row r="2815" spans="1:10" x14ac:dyDescent="0.25">
      <c r="A2815" s="1">
        <v>966</v>
      </c>
      <c r="B2815" t="s">
        <v>25</v>
      </c>
      <c r="C2815">
        <v>619</v>
      </c>
      <c r="D2815">
        <v>1</v>
      </c>
      <c r="E2815" t="s">
        <v>26</v>
      </c>
      <c r="F2815" t="s">
        <v>27</v>
      </c>
      <c r="G2815" t="str">
        <f>"2025-03-16 10:34:34.779"</f>
        <v>2025-03-16 10:34:34.779</v>
      </c>
      <c r="H2815" t="s">
        <v>28</v>
      </c>
    </row>
    <row r="2816" spans="1:10" x14ac:dyDescent="0.25">
      <c r="A2816" s="1">
        <v>967</v>
      </c>
      <c r="B2816" t="s">
        <v>25</v>
      </c>
      <c r="C2816">
        <v>630</v>
      </c>
      <c r="D2816">
        <v>5</v>
      </c>
      <c r="E2816" t="s">
        <v>51</v>
      </c>
      <c r="F2816" t="s">
        <v>52</v>
      </c>
      <c r="G2816" t="str">
        <f>"2025-03-16 10:33:58.433"</f>
        <v>2025-03-16 10:33:58.433</v>
      </c>
      <c r="H2816" t="s">
        <v>40</v>
      </c>
    </row>
    <row r="2817" spans="1:10" x14ac:dyDescent="0.25">
      <c r="A2817" s="1">
        <v>968</v>
      </c>
      <c r="B2817" t="s">
        <v>29</v>
      </c>
      <c r="C2817">
        <v>619</v>
      </c>
      <c r="D2817">
        <v>1</v>
      </c>
      <c r="E2817" t="s">
        <v>26</v>
      </c>
      <c r="F2817" t="s">
        <v>27</v>
      </c>
      <c r="G2817" t="str">
        <f>"2025-03-16 10:33:33.132"</f>
        <v>2025-03-16 10:33:33.132</v>
      </c>
      <c r="H2817" t="s">
        <v>28</v>
      </c>
      <c r="I2817">
        <v>0</v>
      </c>
      <c r="J2817" t="s">
        <v>24</v>
      </c>
    </row>
    <row r="2818" spans="1:10" x14ac:dyDescent="0.25">
      <c r="A2818" s="1">
        <v>969</v>
      </c>
      <c r="B2818" t="s">
        <v>19</v>
      </c>
      <c r="C2818">
        <v>706</v>
      </c>
      <c r="D2818">
        <v>2</v>
      </c>
      <c r="E2818" t="s">
        <v>22</v>
      </c>
      <c r="F2818" t="s">
        <v>53</v>
      </c>
      <c r="G2818" t="str">
        <f>"2025-03-16 10:33:28.337"</f>
        <v>2025-03-16 10:33:28.337</v>
      </c>
      <c r="H2818" t="s">
        <v>21</v>
      </c>
      <c r="I2818">
        <v>0</v>
      </c>
      <c r="J2818" t="s">
        <v>24</v>
      </c>
    </row>
    <row r="2819" spans="1:10" x14ac:dyDescent="0.25">
      <c r="A2819" s="1">
        <v>970</v>
      </c>
      <c r="B2819" t="s">
        <v>33</v>
      </c>
      <c r="C2819">
        <v>630</v>
      </c>
      <c r="D2819">
        <v>5</v>
      </c>
      <c r="E2819" t="s">
        <v>51</v>
      </c>
      <c r="F2819" t="s">
        <v>52</v>
      </c>
      <c r="G2819" t="str">
        <f>"2025-03-16 10:28:55.133"</f>
        <v>2025-03-16 10:28:55.133</v>
      </c>
      <c r="H2819" t="s">
        <v>40</v>
      </c>
      <c r="I2819">
        <v>0</v>
      </c>
      <c r="J2819" t="s">
        <v>24</v>
      </c>
    </row>
    <row r="2820" spans="1:10" x14ac:dyDescent="0.25">
      <c r="A2820" s="1">
        <v>971</v>
      </c>
      <c r="B2820" t="s">
        <v>19</v>
      </c>
      <c r="C2820">
        <v>700</v>
      </c>
      <c r="D2820">
        <v>0</v>
      </c>
      <c r="E2820" t="s">
        <v>20</v>
      </c>
      <c r="F2820" t="s">
        <v>20</v>
      </c>
      <c r="G2820" t="str">
        <f>"2025-03-16 10:23:52.337"</f>
        <v>2025-03-16 10:23:52.337</v>
      </c>
      <c r="H2820" t="s">
        <v>21</v>
      </c>
      <c r="I2820">
        <v>0</v>
      </c>
      <c r="J2820" t="s">
        <v>32</v>
      </c>
    </row>
    <row r="2821" spans="1:10" x14ac:dyDescent="0.25">
      <c r="A2821" s="1">
        <v>972</v>
      </c>
      <c r="B2821" t="s">
        <v>19</v>
      </c>
      <c r="C2821">
        <v>700</v>
      </c>
      <c r="D2821">
        <v>0</v>
      </c>
      <c r="E2821" t="s">
        <v>20</v>
      </c>
      <c r="F2821" t="s">
        <v>20</v>
      </c>
      <c r="G2821" t="str">
        <f>"2025-03-16 10:11:38.343"</f>
        <v>2025-03-16 10:11:38.343</v>
      </c>
      <c r="H2821" t="s">
        <v>21</v>
      </c>
      <c r="I2821">
        <v>0</v>
      </c>
      <c r="J2821" t="s">
        <v>32</v>
      </c>
    </row>
    <row r="2822" spans="1:10" x14ac:dyDescent="0.25">
      <c r="A2822" s="1">
        <v>973</v>
      </c>
      <c r="B2822" t="s">
        <v>19</v>
      </c>
      <c r="C2822">
        <v>700</v>
      </c>
      <c r="D2822">
        <v>0</v>
      </c>
      <c r="E2822" t="s">
        <v>20</v>
      </c>
      <c r="F2822" t="s">
        <v>20</v>
      </c>
      <c r="G2822" t="str">
        <f>"2025-03-16 10:07:36.507"</f>
        <v>2025-03-16 10:07:36.507</v>
      </c>
      <c r="H2822" t="s">
        <v>21</v>
      </c>
      <c r="I2822">
        <v>0</v>
      </c>
      <c r="J2822" t="s">
        <v>32</v>
      </c>
    </row>
    <row r="2823" spans="1:10" x14ac:dyDescent="0.25">
      <c r="A2823" s="1">
        <v>974</v>
      </c>
      <c r="B2823" t="s">
        <v>33</v>
      </c>
      <c r="C2823">
        <v>630</v>
      </c>
      <c r="D2823">
        <v>5</v>
      </c>
      <c r="E2823" t="s">
        <v>51</v>
      </c>
      <c r="F2823" t="s">
        <v>52</v>
      </c>
      <c r="G2823" t="str">
        <f>"2025-03-16 08:02:02.214"</f>
        <v>2025-03-16 08:02:02.214</v>
      </c>
      <c r="H2823" t="s">
        <v>40</v>
      </c>
      <c r="I2823">
        <v>0</v>
      </c>
      <c r="J2823" t="s">
        <v>24</v>
      </c>
    </row>
    <row r="2824" spans="1:10" x14ac:dyDescent="0.25">
      <c r="A2824" s="1">
        <v>975</v>
      </c>
      <c r="B2824" t="s">
        <v>19</v>
      </c>
      <c r="C2824">
        <v>700</v>
      </c>
      <c r="D2824">
        <v>0</v>
      </c>
      <c r="E2824" t="s">
        <v>20</v>
      </c>
      <c r="F2824" t="s">
        <v>20</v>
      </c>
      <c r="G2824" t="str">
        <f>"2025-03-16 07:56:59.577"</f>
        <v>2025-03-16 07:56:59.577</v>
      </c>
      <c r="H2824" t="s">
        <v>21</v>
      </c>
    </row>
    <row r="2825" spans="1:10" x14ac:dyDescent="0.25">
      <c r="A2825" s="1">
        <v>977</v>
      </c>
      <c r="B2825" t="s">
        <v>25</v>
      </c>
      <c r="C2825">
        <v>619</v>
      </c>
      <c r="D2825">
        <v>1</v>
      </c>
      <c r="E2825" t="s">
        <v>26</v>
      </c>
      <c r="F2825" t="s">
        <v>27</v>
      </c>
      <c r="G2825" t="str">
        <f>"2025-03-15 01:13:08.232"</f>
        <v>2025-03-15 01:13:08.232</v>
      </c>
      <c r="H2825" t="s">
        <v>28</v>
      </c>
    </row>
    <row r="2826" spans="1:10" x14ac:dyDescent="0.25">
      <c r="A2826" s="1">
        <v>978</v>
      </c>
      <c r="B2826" t="s">
        <v>25</v>
      </c>
      <c r="C2826">
        <v>630</v>
      </c>
      <c r="D2826">
        <v>5</v>
      </c>
      <c r="E2826" t="s">
        <v>51</v>
      </c>
      <c r="F2826" t="s">
        <v>52</v>
      </c>
      <c r="G2826" t="str">
        <f>"2025-03-15 01:13:03.786"</f>
        <v>2025-03-15 01:13:03.786</v>
      </c>
      <c r="H2826" t="s">
        <v>40</v>
      </c>
    </row>
    <row r="2827" spans="1:10" x14ac:dyDescent="0.25">
      <c r="A2827" s="1">
        <v>979</v>
      </c>
      <c r="B2827" t="s">
        <v>29</v>
      </c>
      <c r="C2827">
        <v>619</v>
      </c>
      <c r="D2827">
        <v>1</v>
      </c>
      <c r="E2827" t="s">
        <v>26</v>
      </c>
      <c r="F2827" t="s">
        <v>27</v>
      </c>
      <c r="G2827" t="str">
        <f>"2025-03-15 01:12:39.785"</f>
        <v>2025-03-15 01:12:39.785</v>
      </c>
      <c r="H2827" t="s">
        <v>28</v>
      </c>
      <c r="I2827">
        <v>0</v>
      </c>
      <c r="J2827" t="s">
        <v>24</v>
      </c>
    </row>
    <row r="2828" spans="1:10" x14ac:dyDescent="0.25">
      <c r="A2828" s="1">
        <v>980</v>
      </c>
      <c r="B2828" t="s">
        <v>19</v>
      </c>
      <c r="C2828">
        <v>706</v>
      </c>
      <c r="D2828">
        <v>2</v>
      </c>
      <c r="E2828" t="s">
        <v>22</v>
      </c>
      <c r="F2828" t="s">
        <v>53</v>
      </c>
      <c r="G2828" t="str">
        <f>"2025-03-15 01:12:33.680"</f>
        <v>2025-03-15 01:12:33.680</v>
      </c>
      <c r="H2828" t="s">
        <v>21</v>
      </c>
      <c r="I2828">
        <v>0</v>
      </c>
      <c r="J2828" t="s">
        <v>24</v>
      </c>
    </row>
    <row r="2829" spans="1:10" x14ac:dyDescent="0.25">
      <c r="A2829" s="1">
        <v>981</v>
      </c>
      <c r="B2829" t="s">
        <v>25</v>
      </c>
      <c r="C2829">
        <v>619</v>
      </c>
      <c r="D2829">
        <v>1</v>
      </c>
      <c r="E2829" t="s">
        <v>26</v>
      </c>
      <c r="F2829" t="s">
        <v>27</v>
      </c>
      <c r="G2829" t="str">
        <f>"2025-03-15 01:12:28.485"</f>
        <v>2025-03-15 01:12:28.485</v>
      </c>
      <c r="H2829" t="s">
        <v>28</v>
      </c>
    </row>
    <row r="2830" spans="1:10" x14ac:dyDescent="0.25">
      <c r="A2830" s="1">
        <v>982</v>
      </c>
      <c r="B2830" t="s">
        <v>29</v>
      </c>
      <c r="C2830">
        <v>619</v>
      </c>
      <c r="D2830">
        <v>1</v>
      </c>
      <c r="E2830" t="s">
        <v>26</v>
      </c>
      <c r="F2830" t="s">
        <v>27</v>
      </c>
      <c r="G2830" t="str">
        <f>"2025-03-15 01:12:09.232"</f>
        <v>2025-03-15 01:12:09.232</v>
      </c>
      <c r="H2830" t="s">
        <v>28</v>
      </c>
      <c r="I2830">
        <v>0</v>
      </c>
      <c r="J2830" t="s">
        <v>24</v>
      </c>
    </row>
    <row r="2831" spans="1:10" x14ac:dyDescent="0.25">
      <c r="A2831" s="1">
        <v>983</v>
      </c>
      <c r="B2831" t="s">
        <v>19</v>
      </c>
      <c r="C2831">
        <v>706</v>
      </c>
      <c r="D2831">
        <v>2</v>
      </c>
      <c r="E2831" t="s">
        <v>22</v>
      </c>
      <c r="F2831" t="s">
        <v>53</v>
      </c>
      <c r="G2831" t="str">
        <f>"2025-03-15 01:12:02.680"</f>
        <v>2025-03-15 01:12:02.680</v>
      </c>
      <c r="H2831" t="s">
        <v>21</v>
      </c>
      <c r="I2831">
        <v>0</v>
      </c>
      <c r="J2831" t="s">
        <v>24</v>
      </c>
    </row>
    <row r="2832" spans="1:10" x14ac:dyDescent="0.25">
      <c r="A2832" s="1">
        <v>984</v>
      </c>
      <c r="B2832" t="s">
        <v>33</v>
      </c>
      <c r="C2832">
        <v>630</v>
      </c>
      <c r="D2832">
        <v>5</v>
      </c>
      <c r="E2832" t="s">
        <v>51</v>
      </c>
      <c r="F2832" t="s">
        <v>52</v>
      </c>
      <c r="G2832" t="str">
        <f>"2025-03-15 00:50:20.686"</f>
        <v>2025-03-15 00:50:20.686</v>
      </c>
      <c r="H2832" t="s">
        <v>40</v>
      </c>
      <c r="I2832">
        <v>0</v>
      </c>
      <c r="J2832" t="s">
        <v>24</v>
      </c>
    </row>
    <row r="2833" spans="1:10" x14ac:dyDescent="0.25">
      <c r="A2833" s="1">
        <v>985</v>
      </c>
      <c r="B2833" t="s">
        <v>25</v>
      </c>
      <c r="C2833">
        <v>635</v>
      </c>
      <c r="D2833">
        <v>1</v>
      </c>
      <c r="E2833" t="s">
        <v>45</v>
      </c>
      <c r="F2833" t="s">
        <v>27</v>
      </c>
      <c r="G2833" t="str">
        <f>"2025-03-14 22:59:49.485"</f>
        <v>2025-03-14 22:59:49.485</v>
      </c>
      <c r="H2833" t="s">
        <v>21</v>
      </c>
    </row>
    <row r="2834" spans="1:10" x14ac:dyDescent="0.25">
      <c r="A2834" s="1">
        <v>986</v>
      </c>
      <c r="B2834" t="s">
        <v>29</v>
      </c>
      <c r="C2834">
        <v>635</v>
      </c>
      <c r="D2834">
        <v>1</v>
      </c>
      <c r="E2834" t="s">
        <v>45</v>
      </c>
      <c r="F2834" t="s">
        <v>27</v>
      </c>
      <c r="G2834" t="str">
        <f>"2025-03-14 22:56:01.985"</f>
        <v>2025-03-14 22:56:01.985</v>
      </c>
      <c r="H2834" t="s">
        <v>21</v>
      </c>
      <c r="I2834">
        <v>0.31</v>
      </c>
      <c r="J2834" t="s">
        <v>37</v>
      </c>
    </row>
    <row r="2835" spans="1:10" x14ac:dyDescent="0.25">
      <c r="A2835" s="1">
        <v>987</v>
      </c>
      <c r="B2835" t="s">
        <v>19</v>
      </c>
      <c r="C2835">
        <v>700</v>
      </c>
      <c r="D2835">
        <v>0</v>
      </c>
      <c r="E2835" t="s">
        <v>20</v>
      </c>
      <c r="F2835" t="s">
        <v>20</v>
      </c>
      <c r="G2835" t="str">
        <f>"2025-03-12 18:07:38.480"</f>
        <v>2025-03-12 18:07:38.480</v>
      </c>
      <c r="H2835" t="s">
        <v>21</v>
      </c>
    </row>
    <row r="2836" spans="1:10" x14ac:dyDescent="0.25">
      <c r="A2836" s="1">
        <v>989</v>
      </c>
      <c r="B2836" t="s">
        <v>75</v>
      </c>
      <c r="C2836">
        <v>135</v>
      </c>
      <c r="D2836">
        <v>7</v>
      </c>
      <c r="E2836" t="s">
        <v>90</v>
      </c>
      <c r="F2836" t="s">
        <v>91</v>
      </c>
      <c r="G2836" t="str">
        <f>"2025-03-12 04:31:15.433"</f>
        <v>2025-03-12 04:31:15.433</v>
      </c>
      <c r="H2836" t="s">
        <v>92</v>
      </c>
    </row>
    <row r="2837" spans="1:10" x14ac:dyDescent="0.25">
      <c r="A2837" s="1">
        <v>990</v>
      </c>
      <c r="B2837" t="s">
        <v>33</v>
      </c>
      <c r="C2837">
        <v>135</v>
      </c>
      <c r="D2837">
        <v>7</v>
      </c>
      <c r="E2837" t="s">
        <v>90</v>
      </c>
      <c r="F2837" t="s">
        <v>91</v>
      </c>
      <c r="G2837" t="str">
        <f>"2025-03-12 04:31:10.404"</f>
        <v>2025-03-12 04:31:10.404</v>
      </c>
      <c r="H2837" t="s">
        <v>92</v>
      </c>
      <c r="I2837">
        <v>16.96</v>
      </c>
      <c r="J2837" t="s">
        <v>42</v>
      </c>
    </row>
    <row r="2838" spans="1:10" x14ac:dyDescent="0.25">
      <c r="A2838" s="1">
        <v>991</v>
      </c>
      <c r="B2838" t="s">
        <v>19</v>
      </c>
      <c r="C2838">
        <v>700</v>
      </c>
      <c r="D2838">
        <v>0</v>
      </c>
      <c r="E2838" t="s">
        <v>20</v>
      </c>
      <c r="F2838" t="s">
        <v>20</v>
      </c>
      <c r="G2838" t="str">
        <f>"2025-03-10 17:40:06.357"</f>
        <v>2025-03-10 17:40:06.357</v>
      </c>
      <c r="H2838" t="s">
        <v>21</v>
      </c>
    </row>
    <row r="2839" spans="1:10" s="3" customFormat="1" x14ac:dyDescent="0.25">
      <c r="A2839" s="2">
        <v>992</v>
      </c>
      <c r="B2839" s="3" t="s">
        <v>25</v>
      </c>
      <c r="C2839" s="3">
        <v>647</v>
      </c>
      <c r="D2839" s="3">
        <v>1</v>
      </c>
      <c r="E2839" s="3" t="s">
        <v>55</v>
      </c>
      <c r="F2839" s="3" t="s">
        <v>56</v>
      </c>
      <c r="G2839" s="3" t="str">
        <f>"2025-03-10 13:23:26.729"</f>
        <v>2025-03-10 13:23:26.729</v>
      </c>
      <c r="H2839" s="3" t="s">
        <v>21</v>
      </c>
    </row>
    <row r="2840" spans="1:10" s="3" customFormat="1" x14ac:dyDescent="0.25">
      <c r="A2840" s="2">
        <v>993</v>
      </c>
      <c r="B2840" s="3" t="s">
        <v>29</v>
      </c>
      <c r="C2840" s="3">
        <v>647</v>
      </c>
      <c r="D2840" s="3">
        <v>1</v>
      </c>
      <c r="E2840" s="3" t="s">
        <v>55</v>
      </c>
      <c r="F2840" s="3" t="s">
        <v>56</v>
      </c>
      <c r="G2840" s="3" t="str">
        <f>"2025-03-10 13:23:25.429"</f>
        <v>2025-03-10 13:23:25.429</v>
      </c>
      <c r="H2840" s="3" t="s">
        <v>21</v>
      </c>
      <c r="I2840" s="3">
        <v>18.52</v>
      </c>
      <c r="J2840" s="3" t="s">
        <v>54</v>
      </c>
    </row>
    <row r="2841" spans="1:10" x14ac:dyDescent="0.25">
      <c r="A2841" s="1">
        <v>994</v>
      </c>
      <c r="B2841" t="s">
        <v>25</v>
      </c>
      <c r="C2841">
        <v>635</v>
      </c>
      <c r="D2841">
        <v>1</v>
      </c>
      <c r="E2841" t="s">
        <v>45</v>
      </c>
      <c r="F2841" t="s">
        <v>27</v>
      </c>
      <c r="G2841" t="str">
        <f>"2025-03-09 07:12:52.775"</f>
        <v>2025-03-09 07:12:52.775</v>
      </c>
      <c r="H2841" t="s">
        <v>21</v>
      </c>
    </row>
    <row r="2842" spans="1:10" x14ac:dyDescent="0.25">
      <c r="A2842" s="1">
        <v>995</v>
      </c>
      <c r="B2842" t="s">
        <v>29</v>
      </c>
      <c r="C2842">
        <v>635</v>
      </c>
      <c r="D2842">
        <v>1</v>
      </c>
      <c r="E2842" t="s">
        <v>45</v>
      </c>
      <c r="F2842" t="s">
        <v>27</v>
      </c>
      <c r="G2842" t="str">
        <f>"2025-03-09 07:10:33.275"</f>
        <v>2025-03-09 07:10:33.275</v>
      </c>
      <c r="H2842" t="s">
        <v>21</v>
      </c>
      <c r="I2842">
        <v>3.09</v>
      </c>
      <c r="J2842" t="s">
        <v>42</v>
      </c>
    </row>
    <row r="2843" spans="1:10" x14ac:dyDescent="0.25">
      <c r="A2843" s="1">
        <v>996</v>
      </c>
      <c r="B2843" t="s">
        <v>25</v>
      </c>
      <c r="C2843">
        <v>635</v>
      </c>
      <c r="D2843">
        <v>1</v>
      </c>
      <c r="E2843" t="s">
        <v>45</v>
      </c>
      <c r="F2843" t="s">
        <v>27</v>
      </c>
      <c r="G2843" t="str">
        <f>"2025-03-09 07:01:30.275"</f>
        <v>2025-03-09 07:01:30.275</v>
      </c>
      <c r="H2843" t="s">
        <v>21</v>
      </c>
    </row>
    <row r="2844" spans="1:10" x14ac:dyDescent="0.25">
      <c r="A2844" s="1">
        <v>997</v>
      </c>
      <c r="B2844" t="s">
        <v>29</v>
      </c>
      <c r="C2844">
        <v>635</v>
      </c>
      <c r="D2844">
        <v>1</v>
      </c>
      <c r="E2844" t="s">
        <v>45</v>
      </c>
      <c r="F2844" t="s">
        <v>27</v>
      </c>
      <c r="G2844" t="str">
        <f>"2025-03-09 06:58:31.775"</f>
        <v>2025-03-09 06:58:31.775</v>
      </c>
      <c r="H2844" t="s">
        <v>21</v>
      </c>
      <c r="I2844">
        <v>5.65</v>
      </c>
      <c r="J2844" t="s">
        <v>42</v>
      </c>
    </row>
    <row r="2845" spans="1:10" x14ac:dyDescent="0.25">
      <c r="A2845" s="1">
        <v>998</v>
      </c>
      <c r="B2845" t="s">
        <v>25</v>
      </c>
      <c r="C2845">
        <v>635</v>
      </c>
      <c r="D2845">
        <v>1</v>
      </c>
      <c r="E2845" t="s">
        <v>45</v>
      </c>
      <c r="F2845" t="s">
        <v>27</v>
      </c>
      <c r="G2845" t="str">
        <f>"2025-03-09 02:18:23.074"</f>
        <v>2025-03-09 02:18:23.074</v>
      </c>
      <c r="H2845" t="s">
        <v>21</v>
      </c>
    </row>
    <row r="2846" spans="1:10" x14ac:dyDescent="0.25">
      <c r="A2846" s="1">
        <v>999</v>
      </c>
      <c r="B2846" t="s">
        <v>29</v>
      </c>
      <c r="C2846">
        <v>635</v>
      </c>
      <c r="D2846">
        <v>1</v>
      </c>
      <c r="E2846" t="s">
        <v>45</v>
      </c>
      <c r="F2846" t="s">
        <v>27</v>
      </c>
      <c r="G2846" t="str">
        <f>"2025-03-09 02:15:55.075"</f>
        <v>2025-03-09 02:15:55.075</v>
      </c>
      <c r="H2846" t="s">
        <v>21</v>
      </c>
      <c r="I2846">
        <v>6.76</v>
      </c>
      <c r="J2846" t="s">
        <v>42</v>
      </c>
    </row>
    <row r="2847" spans="1:10" x14ac:dyDescent="0.25">
      <c r="A2847" s="1">
        <v>0</v>
      </c>
      <c r="B2847" t="s">
        <v>25</v>
      </c>
      <c r="C2847">
        <v>619</v>
      </c>
      <c r="D2847">
        <v>1</v>
      </c>
      <c r="E2847" t="s">
        <v>26</v>
      </c>
      <c r="F2847" t="s">
        <v>27</v>
      </c>
      <c r="G2847" t="str">
        <f>"2025-03-09 00:36:14.728"</f>
        <v>2025-03-09 00:36:14.728</v>
      </c>
      <c r="H2847" t="s">
        <v>28</v>
      </c>
    </row>
    <row r="2848" spans="1:10" x14ac:dyDescent="0.25">
      <c r="A2848" s="1">
        <v>1</v>
      </c>
      <c r="B2848" t="s">
        <v>25</v>
      </c>
      <c r="C2848">
        <v>630</v>
      </c>
      <c r="D2848">
        <v>5</v>
      </c>
      <c r="E2848" t="s">
        <v>51</v>
      </c>
      <c r="F2848" t="s">
        <v>52</v>
      </c>
      <c r="G2848" t="str">
        <f>"2025-03-09 00:35:48.929"</f>
        <v>2025-03-09 00:35:48.929</v>
      </c>
      <c r="H2848" t="s">
        <v>40</v>
      </c>
    </row>
    <row r="2849" spans="1:10" x14ac:dyDescent="0.25">
      <c r="A2849" s="1">
        <v>2</v>
      </c>
      <c r="B2849" t="s">
        <v>29</v>
      </c>
      <c r="C2849">
        <v>619</v>
      </c>
      <c r="D2849">
        <v>1</v>
      </c>
      <c r="E2849" t="s">
        <v>26</v>
      </c>
      <c r="F2849" t="s">
        <v>27</v>
      </c>
      <c r="G2849" t="str">
        <f>"2025-03-09 00:35:25.328"</f>
        <v>2025-03-09 00:35:25.328</v>
      </c>
      <c r="H2849" t="s">
        <v>28</v>
      </c>
      <c r="I2849">
        <v>0</v>
      </c>
      <c r="J2849" t="s">
        <v>24</v>
      </c>
    </row>
    <row r="2850" spans="1:10" x14ac:dyDescent="0.25">
      <c r="A2850" s="1">
        <v>3</v>
      </c>
      <c r="B2850" t="s">
        <v>19</v>
      </c>
      <c r="C2850">
        <v>706</v>
      </c>
      <c r="D2850">
        <v>4</v>
      </c>
      <c r="E2850" t="s">
        <v>22</v>
      </c>
      <c r="F2850" t="s">
        <v>31</v>
      </c>
      <c r="G2850" t="str">
        <f>"2025-03-09 00:35:18.827"</f>
        <v>2025-03-09 00:35:18.827</v>
      </c>
      <c r="H2850" t="s">
        <v>21</v>
      </c>
      <c r="I2850">
        <v>0</v>
      </c>
      <c r="J2850" t="s">
        <v>24</v>
      </c>
    </row>
    <row r="2851" spans="1:10" x14ac:dyDescent="0.25">
      <c r="A2851" s="1">
        <v>4</v>
      </c>
      <c r="B2851" t="s">
        <v>33</v>
      </c>
      <c r="C2851">
        <v>630</v>
      </c>
      <c r="D2851">
        <v>5</v>
      </c>
      <c r="E2851" t="s">
        <v>51</v>
      </c>
      <c r="F2851" t="s">
        <v>52</v>
      </c>
      <c r="G2851" t="str">
        <f>"2025-03-09 00:10:25.929"</f>
        <v>2025-03-09 00:10:25.929</v>
      </c>
      <c r="H2851" t="s">
        <v>40</v>
      </c>
      <c r="I2851">
        <v>0</v>
      </c>
      <c r="J2851" t="s">
        <v>24</v>
      </c>
    </row>
    <row r="2852" spans="1:10" x14ac:dyDescent="0.25">
      <c r="A2852" s="1">
        <v>5</v>
      </c>
      <c r="B2852" t="s">
        <v>25</v>
      </c>
      <c r="C2852">
        <v>635</v>
      </c>
      <c r="D2852">
        <v>1</v>
      </c>
      <c r="E2852" t="s">
        <v>45</v>
      </c>
      <c r="F2852" t="s">
        <v>27</v>
      </c>
      <c r="G2852" t="str">
        <f>"2025-03-08 22:27:52.375"</f>
        <v>2025-03-08 22:27:52.375</v>
      </c>
      <c r="H2852" t="s">
        <v>21</v>
      </c>
    </row>
    <row r="2853" spans="1:10" x14ac:dyDescent="0.25">
      <c r="A2853" s="1">
        <v>6</v>
      </c>
      <c r="B2853" t="s">
        <v>29</v>
      </c>
      <c r="C2853">
        <v>635</v>
      </c>
      <c r="D2853">
        <v>1</v>
      </c>
      <c r="E2853" t="s">
        <v>45</v>
      </c>
      <c r="F2853" t="s">
        <v>27</v>
      </c>
      <c r="G2853" t="str">
        <f>"2025-03-08 22:22:16.875"</f>
        <v>2025-03-08 22:22:16.875</v>
      </c>
      <c r="H2853" t="s">
        <v>21</v>
      </c>
      <c r="I2853">
        <v>9.39</v>
      </c>
      <c r="J2853" t="s">
        <v>42</v>
      </c>
    </row>
    <row r="2854" spans="1:10" x14ac:dyDescent="0.25">
      <c r="A2854" s="1">
        <v>7</v>
      </c>
      <c r="B2854" t="s">
        <v>25</v>
      </c>
      <c r="C2854">
        <v>635</v>
      </c>
      <c r="D2854">
        <v>1</v>
      </c>
      <c r="E2854" t="s">
        <v>45</v>
      </c>
      <c r="F2854" t="s">
        <v>27</v>
      </c>
      <c r="G2854" t="str">
        <f>"2025-03-06 11:57:42.275"</f>
        <v>2025-03-06 11:57:42.275</v>
      </c>
      <c r="H2854" t="s">
        <v>21</v>
      </c>
    </row>
    <row r="2855" spans="1:10" x14ac:dyDescent="0.25">
      <c r="A2855" s="1">
        <v>8</v>
      </c>
      <c r="B2855" t="s">
        <v>29</v>
      </c>
      <c r="C2855">
        <v>635</v>
      </c>
      <c r="D2855">
        <v>1</v>
      </c>
      <c r="E2855" t="s">
        <v>45</v>
      </c>
      <c r="F2855" t="s">
        <v>27</v>
      </c>
      <c r="G2855" t="str">
        <f>"2025-03-06 11:40:09.775"</f>
        <v>2025-03-06 11:40:09.775</v>
      </c>
      <c r="H2855" t="s">
        <v>21</v>
      </c>
      <c r="I2855">
        <v>6.93</v>
      </c>
      <c r="J2855" t="s">
        <v>42</v>
      </c>
    </row>
    <row r="2856" spans="1:10" x14ac:dyDescent="0.25">
      <c r="A2856" s="1">
        <v>9</v>
      </c>
      <c r="B2856" t="s">
        <v>25</v>
      </c>
      <c r="C2856">
        <v>635</v>
      </c>
      <c r="D2856">
        <v>1</v>
      </c>
      <c r="E2856" t="s">
        <v>45</v>
      </c>
      <c r="F2856" t="s">
        <v>27</v>
      </c>
      <c r="G2856" t="str">
        <f>"2025-03-05 23:41:09.675"</f>
        <v>2025-03-05 23:41:09.675</v>
      </c>
      <c r="H2856" t="s">
        <v>21</v>
      </c>
    </row>
    <row r="2857" spans="1:10" x14ac:dyDescent="0.25">
      <c r="A2857" s="1">
        <v>10</v>
      </c>
      <c r="B2857" t="s">
        <v>29</v>
      </c>
      <c r="C2857">
        <v>635</v>
      </c>
      <c r="D2857">
        <v>1</v>
      </c>
      <c r="E2857" t="s">
        <v>45</v>
      </c>
      <c r="F2857" t="s">
        <v>27</v>
      </c>
      <c r="G2857" t="str">
        <f>"2025-03-05 23:34:48.675"</f>
        <v>2025-03-05 23:34:48.675</v>
      </c>
      <c r="H2857" t="s">
        <v>21</v>
      </c>
      <c r="I2857">
        <v>5.37</v>
      </c>
      <c r="J2857" t="s">
        <v>42</v>
      </c>
    </row>
    <row r="2858" spans="1:10" x14ac:dyDescent="0.25">
      <c r="A2858" s="1">
        <v>11</v>
      </c>
      <c r="B2858" t="s">
        <v>25</v>
      </c>
      <c r="C2858">
        <v>61</v>
      </c>
      <c r="D2858">
        <v>2</v>
      </c>
      <c r="E2858" t="s">
        <v>57</v>
      </c>
      <c r="F2858" t="s">
        <v>58</v>
      </c>
      <c r="G2858" t="str">
        <f>"2025-03-05 15:06:42.929"</f>
        <v>2025-03-05 15:06:42.929</v>
      </c>
      <c r="H2858" t="s">
        <v>21</v>
      </c>
    </row>
    <row r="2859" spans="1:10" x14ac:dyDescent="0.25">
      <c r="A2859" s="1">
        <v>12</v>
      </c>
      <c r="B2859" t="s">
        <v>33</v>
      </c>
      <c r="C2859">
        <v>61</v>
      </c>
      <c r="D2859">
        <v>2</v>
      </c>
      <c r="E2859" t="s">
        <v>57</v>
      </c>
      <c r="F2859" t="s">
        <v>58</v>
      </c>
      <c r="G2859" t="str">
        <f>"2025-03-05 15:06:28.929"</f>
        <v>2025-03-05 15:06:28.929</v>
      </c>
      <c r="H2859" t="s">
        <v>21</v>
      </c>
      <c r="I2859">
        <v>29.87</v>
      </c>
      <c r="J2859" t="s">
        <v>54</v>
      </c>
    </row>
    <row r="2860" spans="1:10" x14ac:dyDescent="0.25">
      <c r="A2860" s="1">
        <v>13</v>
      </c>
      <c r="B2860" t="s">
        <v>25</v>
      </c>
      <c r="C2860">
        <v>619</v>
      </c>
      <c r="D2860">
        <v>1</v>
      </c>
      <c r="E2860" t="s">
        <v>26</v>
      </c>
      <c r="F2860" t="s">
        <v>27</v>
      </c>
      <c r="G2860" t="str">
        <f>"2025-03-05 13:36:17.528"</f>
        <v>2025-03-05 13:36:17.528</v>
      </c>
      <c r="H2860" t="s">
        <v>28</v>
      </c>
    </row>
    <row r="2861" spans="1:10" x14ac:dyDescent="0.25">
      <c r="A2861" s="1">
        <v>14</v>
      </c>
      <c r="B2861" t="s">
        <v>29</v>
      </c>
      <c r="C2861">
        <v>619</v>
      </c>
      <c r="D2861">
        <v>1</v>
      </c>
      <c r="E2861" t="s">
        <v>26</v>
      </c>
      <c r="F2861" t="s">
        <v>27</v>
      </c>
      <c r="G2861" t="str">
        <f>"2025-03-05 13:35:19.928"</f>
        <v>2025-03-05 13:35:19.928</v>
      </c>
      <c r="H2861" t="s">
        <v>28</v>
      </c>
      <c r="I2861">
        <v>0</v>
      </c>
      <c r="J2861" t="s">
        <v>24</v>
      </c>
    </row>
    <row r="2862" spans="1:10" x14ac:dyDescent="0.25">
      <c r="A2862" s="1">
        <v>15</v>
      </c>
      <c r="B2862" t="s">
        <v>19</v>
      </c>
      <c r="C2862">
        <v>700</v>
      </c>
      <c r="D2862">
        <v>0</v>
      </c>
      <c r="E2862" t="s">
        <v>20</v>
      </c>
      <c r="F2862" t="s">
        <v>20</v>
      </c>
      <c r="G2862" t="str">
        <f>"2025-03-05 13:35:13.317"</f>
        <v>2025-03-05 13:35:13.317</v>
      </c>
      <c r="H2862" t="s">
        <v>21</v>
      </c>
      <c r="I2862">
        <v>0</v>
      </c>
      <c r="J2862" t="s">
        <v>32</v>
      </c>
    </row>
    <row r="2863" spans="1:10" x14ac:dyDescent="0.25">
      <c r="A2863" s="1">
        <v>16</v>
      </c>
      <c r="B2863" t="s">
        <v>19</v>
      </c>
      <c r="C2863">
        <v>700</v>
      </c>
      <c r="D2863">
        <v>0</v>
      </c>
      <c r="E2863" t="s">
        <v>20</v>
      </c>
      <c r="F2863" t="s">
        <v>20</v>
      </c>
      <c r="G2863" t="str">
        <f>"2025-03-05 12:11:25.312"</f>
        <v>2025-03-05 12:11:25.312</v>
      </c>
      <c r="H2863" t="s">
        <v>21</v>
      </c>
      <c r="I2863">
        <v>0</v>
      </c>
      <c r="J2863" t="s">
        <v>32</v>
      </c>
    </row>
    <row r="2864" spans="1:10" x14ac:dyDescent="0.25">
      <c r="A2864" s="1">
        <v>17</v>
      </c>
      <c r="B2864" t="s">
        <v>25</v>
      </c>
      <c r="C2864">
        <v>619</v>
      </c>
      <c r="D2864">
        <v>1</v>
      </c>
      <c r="E2864" t="s">
        <v>26</v>
      </c>
      <c r="F2864" t="s">
        <v>27</v>
      </c>
      <c r="G2864" t="str">
        <f>"2025-03-05 12:05:41.748"</f>
        <v>2025-03-05 12:05:41.748</v>
      </c>
      <c r="H2864" t="s">
        <v>28</v>
      </c>
    </row>
    <row r="2865" spans="1:10" x14ac:dyDescent="0.25">
      <c r="A2865" s="1">
        <v>18</v>
      </c>
      <c r="B2865" t="s">
        <v>29</v>
      </c>
      <c r="C2865">
        <v>619</v>
      </c>
      <c r="D2865">
        <v>1</v>
      </c>
      <c r="E2865" t="s">
        <v>26</v>
      </c>
      <c r="F2865" t="s">
        <v>27</v>
      </c>
      <c r="G2865" t="str">
        <f>"2025-03-05 12:04:43.696"</f>
        <v>2025-03-05 12:04:43.696</v>
      </c>
      <c r="H2865" t="s">
        <v>28</v>
      </c>
      <c r="I2865">
        <v>0</v>
      </c>
      <c r="J2865" t="s">
        <v>24</v>
      </c>
    </row>
    <row r="2866" spans="1:10" x14ac:dyDescent="0.25">
      <c r="A2866" s="1">
        <v>19</v>
      </c>
      <c r="B2866" t="s">
        <v>19</v>
      </c>
      <c r="C2866">
        <v>706</v>
      </c>
      <c r="D2866">
        <v>2</v>
      </c>
      <c r="E2866" t="s">
        <v>22</v>
      </c>
      <c r="F2866" t="s">
        <v>53</v>
      </c>
      <c r="G2866" t="str">
        <f>"2025-03-05 12:04:35.538"</f>
        <v>2025-03-05 12:04:35.538</v>
      </c>
      <c r="H2866" t="s">
        <v>21</v>
      </c>
      <c r="I2866">
        <v>0</v>
      </c>
      <c r="J2866" t="s">
        <v>24</v>
      </c>
    </row>
    <row r="2867" spans="1:10" x14ac:dyDescent="0.25">
      <c r="A2867" s="1">
        <v>20</v>
      </c>
      <c r="B2867" t="s">
        <v>19</v>
      </c>
      <c r="C2867">
        <v>706</v>
      </c>
      <c r="D2867">
        <v>2</v>
      </c>
      <c r="E2867" t="s">
        <v>22</v>
      </c>
      <c r="F2867" t="s">
        <v>53</v>
      </c>
      <c r="G2867" t="str">
        <f>"2025-03-05 12:02:29.538"</f>
        <v>2025-03-05 12:02:29.538</v>
      </c>
      <c r="H2867" t="s">
        <v>21</v>
      </c>
      <c r="I2867">
        <v>0</v>
      </c>
      <c r="J2867" t="s">
        <v>24</v>
      </c>
    </row>
    <row r="2868" spans="1:10" x14ac:dyDescent="0.25">
      <c r="A2868" s="1">
        <v>21</v>
      </c>
      <c r="B2868" t="s">
        <v>19</v>
      </c>
      <c r="C2868">
        <v>700</v>
      </c>
      <c r="D2868">
        <v>0</v>
      </c>
      <c r="E2868" t="s">
        <v>20</v>
      </c>
      <c r="F2868" t="s">
        <v>20</v>
      </c>
      <c r="G2868" t="str">
        <f>"2025-03-05 11:59:46.338"</f>
        <v>2025-03-05 11:59:46.338</v>
      </c>
      <c r="H2868" t="s">
        <v>21</v>
      </c>
    </row>
    <row r="2869" spans="1:10" x14ac:dyDescent="0.25">
      <c r="A2869" s="1">
        <v>22</v>
      </c>
      <c r="B2869" t="s">
        <v>19</v>
      </c>
      <c r="C2869">
        <v>700</v>
      </c>
      <c r="D2869">
        <v>0</v>
      </c>
      <c r="E2869" t="s">
        <v>20</v>
      </c>
      <c r="F2869" t="s">
        <v>20</v>
      </c>
      <c r="G2869" t="str">
        <f>"2025-03-05 11:57:03.314"</f>
        <v>2025-03-05 11:57:03.314</v>
      </c>
      <c r="H2869" t="s">
        <v>21</v>
      </c>
      <c r="I2869">
        <v>0</v>
      </c>
      <c r="J2869" t="s">
        <v>32</v>
      </c>
    </row>
    <row r="2870" spans="1:10" x14ac:dyDescent="0.25">
      <c r="A2870" s="1">
        <v>23</v>
      </c>
      <c r="B2870" t="s">
        <v>19</v>
      </c>
      <c r="C2870">
        <v>700</v>
      </c>
      <c r="D2870">
        <v>0</v>
      </c>
      <c r="E2870" t="s">
        <v>20</v>
      </c>
      <c r="F2870" t="s">
        <v>20</v>
      </c>
      <c r="G2870" t="str">
        <f>"2025-03-05 11:50:34.311"</f>
        <v>2025-03-05 11:50:34.311</v>
      </c>
      <c r="H2870" t="s">
        <v>21</v>
      </c>
    </row>
    <row r="2871" spans="1:10" x14ac:dyDescent="0.25">
      <c r="A2871" s="1">
        <v>24</v>
      </c>
      <c r="B2871" t="s">
        <v>19</v>
      </c>
      <c r="C2871">
        <v>700</v>
      </c>
      <c r="D2871">
        <v>0</v>
      </c>
      <c r="E2871" t="s">
        <v>20</v>
      </c>
      <c r="F2871" t="s">
        <v>20</v>
      </c>
      <c r="G2871" t="str">
        <f>"2025-03-05 11:46:41.308"</f>
        <v>2025-03-05 11:46:41.308</v>
      </c>
      <c r="H2871" t="s">
        <v>21</v>
      </c>
      <c r="I2871">
        <v>0</v>
      </c>
      <c r="J2871" t="s">
        <v>32</v>
      </c>
    </row>
    <row r="2872" spans="1:10" x14ac:dyDescent="0.25">
      <c r="A2872" s="1">
        <v>25</v>
      </c>
      <c r="B2872" t="s">
        <v>19</v>
      </c>
      <c r="C2872">
        <v>700</v>
      </c>
      <c r="D2872">
        <v>0</v>
      </c>
      <c r="E2872" t="s">
        <v>20</v>
      </c>
      <c r="F2872" t="s">
        <v>20</v>
      </c>
      <c r="G2872" t="str">
        <f>"2025-03-05 11:13:20.319"</f>
        <v>2025-03-05 11:13:20.319</v>
      </c>
      <c r="H2872" t="s">
        <v>21</v>
      </c>
      <c r="I2872">
        <v>0</v>
      </c>
      <c r="J2872" t="s">
        <v>32</v>
      </c>
    </row>
    <row r="2873" spans="1:10" x14ac:dyDescent="0.25">
      <c r="A2873" s="1">
        <v>26</v>
      </c>
      <c r="B2873" t="s">
        <v>33</v>
      </c>
      <c r="C2873">
        <v>630</v>
      </c>
      <c r="D2873">
        <v>5</v>
      </c>
      <c r="E2873" t="s">
        <v>51</v>
      </c>
      <c r="F2873" t="s">
        <v>52</v>
      </c>
      <c r="G2873" t="str">
        <f>"2025-03-05 10:46:40.338"</f>
        <v>2025-03-05 10:46:40.338</v>
      </c>
      <c r="H2873" t="s">
        <v>40</v>
      </c>
      <c r="I2873">
        <v>0</v>
      </c>
      <c r="J2873" t="s">
        <v>24</v>
      </c>
    </row>
    <row r="2874" spans="1:10" x14ac:dyDescent="0.25">
      <c r="A2874" s="1">
        <v>27</v>
      </c>
      <c r="B2874" t="s">
        <v>25</v>
      </c>
      <c r="C2874">
        <v>635</v>
      </c>
      <c r="D2874">
        <v>1</v>
      </c>
      <c r="E2874" t="s">
        <v>45</v>
      </c>
      <c r="F2874" t="s">
        <v>27</v>
      </c>
      <c r="G2874" t="str">
        <f>"2025-03-05 05:49:48.790"</f>
        <v>2025-03-05 05:49:48.790</v>
      </c>
      <c r="H2874" t="s">
        <v>21</v>
      </c>
    </row>
    <row r="2875" spans="1:10" x14ac:dyDescent="0.25">
      <c r="A2875" s="1">
        <v>28</v>
      </c>
      <c r="B2875" t="s">
        <v>29</v>
      </c>
      <c r="C2875">
        <v>635</v>
      </c>
      <c r="D2875">
        <v>1</v>
      </c>
      <c r="E2875" t="s">
        <v>45</v>
      </c>
      <c r="F2875" t="s">
        <v>27</v>
      </c>
      <c r="G2875" t="str">
        <f>"2025-03-05 05:44:29.790"</f>
        <v>2025-03-05 05:44:29.790</v>
      </c>
      <c r="H2875" t="s">
        <v>21</v>
      </c>
      <c r="I2875">
        <v>9.9</v>
      </c>
      <c r="J2875" t="s">
        <v>54</v>
      </c>
    </row>
    <row r="2876" spans="1:10" x14ac:dyDescent="0.25">
      <c r="A2876" s="1">
        <v>29</v>
      </c>
      <c r="B2876" t="s">
        <v>41</v>
      </c>
      <c r="C2876">
        <v>625</v>
      </c>
      <c r="D2876">
        <v>1</v>
      </c>
      <c r="E2876" t="s">
        <v>93</v>
      </c>
      <c r="F2876" t="s">
        <v>27</v>
      </c>
      <c r="G2876" t="str">
        <f>"2025-03-04 09:47:44.691"</f>
        <v>2025-03-04 09:47:44.691</v>
      </c>
      <c r="H2876" t="s">
        <v>21</v>
      </c>
    </row>
    <row r="2877" spans="1:10" x14ac:dyDescent="0.25">
      <c r="A2877" s="1">
        <v>30</v>
      </c>
      <c r="B2877" t="s">
        <v>33</v>
      </c>
      <c r="C2877">
        <v>625</v>
      </c>
      <c r="D2877">
        <v>1</v>
      </c>
      <c r="E2877" t="s">
        <v>93</v>
      </c>
      <c r="F2877" t="s">
        <v>27</v>
      </c>
      <c r="G2877" t="str">
        <f>"2025-03-04 09:46:51.458"</f>
        <v>2025-03-04 09:46:51.458</v>
      </c>
      <c r="H2877" t="s">
        <v>21</v>
      </c>
      <c r="I2877">
        <v>16.600000000000001</v>
      </c>
      <c r="J2877" t="s">
        <v>42</v>
      </c>
    </row>
    <row r="2878" spans="1:10" x14ac:dyDescent="0.25">
      <c r="A2878" s="1">
        <v>31</v>
      </c>
      <c r="B2878" t="s">
        <v>25</v>
      </c>
      <c r="C2878">
        <v>635</v>
      </c>
      <c r="D2878">
        <v>1</v>
      </c>
      <c r="E2878" t="s">
        <v>45</v>
      </c>
      <c r="F2878" t="s">
        <v>27</v>
      </c>
      <c r="G2878" t="str">
        <f>"2025-03-02 16:05:35.490"</f>
        <v>2025-03-02 16:05:35.490</v>
      </c>
      <c r="H2878" t="s">
        <v>21</v>
      </c>
    </row>
    <row r="2879" spans="1:10" x14ac:dyDescent="0.25">
      <c r="A2879" s="1">
        <v>32</v>
      </c>
      <c r="B2879" t="s">
        <v>29</v>
      </c>
      <c r="C2879">
        <v>635</v>
      </c>
      <c r="D2879">
        <v>1</v>
      </c>
      <c r="E2879" t="s">
        <v>45</v>
      </c>
      <c r="F2879" t="s">
        <v>27</v>
      </c>
      <c r="G2879" t="str">
        <f>"2025-03-02 15:53:06.490"</f>
        <v>2025-03-02 15:53:06.490</v>
      </c>
      <c r="H2879" t="s">
        <v>21</v>
      </c>
      <c r="I2879">
        <v>11.68</v>
      </c>
      <c r="J2879" t="s">
        <v>54</v>
      </c>
    </row>
    <row r="2880" spans="1:10" x14ac:dyDescent="0.25">
      <c r="A2880" s="1">
        <v>33</v>
      </c>
      <c r="B2880" t="s">
        <v>19</v>
      </c>
      <c r="C2880">
        <v>706</v>
      </c>
      <c r="D2880">
        <v>4</v>
      </c>
      <c r="E2880" t="s">
        <v>22</v>
      </c>
      <c r="F2880" t="s">
        <v>31</v>
      </c>
      <c r="G2880" t="str">
        <f>"2025-03-01 10:59:11.421"</f>
        <v>2025-03-01 10:59:11.421</v>
      </c>
      <c r="H2880" t="s">
        <v>21</v>
      </c>
      <c r="I2880">
        <v>0</v>
      </c>
      <c r="J2880" t="s">
        <v>24</v>
      </c>
    </row>
    <row r="2881" spans="1:10" x14ac:dyDescent="0.25">
      <c r="A2881" s="1">
        <v>34</v>
      </c>
      <c r="B2881" t="s">
        <v>19</v>
      </c>
      <c r="C2881">
        <v>706</v>
      </c>
      <c r="D2881">
        <v>3</v>
      </c>
      <c r="E2881" t="s">
        <v>22</v>
      </c>
      <c r="F2881" t="s">
        <v>23</v>
      </c>
      <c r="G2881" t="str">
        <f>"2025-03-01 10:58:58.101"</f>
        <v>2025-03-01 10:58:58.101</v>
      </c>
      <c r="H2881" t="s">
        <v>21</v>
      </c>
      <c r="I2881">
        <v>0</v>
      </c>
      <c r="J2881" t="s">
        <v>24</v>
      </c>
    </row>
    <row r="2882" spans="1:10" x14ac:dyDescent="0.25">
      <c r="A2882" s="1">
        <v>35</v>
      </c>
      <c r="B2882" t="s">
        <v>25</v>
      </c>
      <c r="C2882">
        <v>619</v>
      </c>
      <c r="D2882">
        <v>1</v>
      </c>
      <c r="E2882" t="s">
        <v>26</v>
      </c>
      <c r="F2882" t="s">
        <v>27</v>
      </c>
      <c r="G2882" t="str">
        <f>"2025-02-28 22:09:53.390"</f>
        <v>2025-02-28 22:09:53.390</v>
      </c>
      <c r="H2882" t="s">
        <v>28</v>
      </c>
    </row>
    <row r="2883" spans="1:10" x14ac:dyDescent="0.25">
      <c r="A2883" s="1">
        <v>36</v>
      </c>
      <c r="B2883" t="s">
        <v>25</v>
      </c>
      <c r="C2883">
        <v>630</v>
      </c>
      <c r="D2883">
        <v>5</v>
      </c>
      <c r="E2883" t="s">
        <v>51</v>
      </c>
      <c r="F2883" t="s">
        <v>52</v>
      </c>
      <c r="G2883" t="str">
        <f>"2025-02-28 22:09:23.538"</f>
        <v>2025-02-28 22:09:23.538</v>
      </c>
      <c r="H2883" t="s">
        <v>40</v>
      </c>
    </row>
    <row r="2884" spans="1:10" x14ac:dyDescent="0.25">
      <c r="A2884" s="1">
        <v>37</v>
      </c>
      <c r="B2884" t="s">
        <v>29</v>
      </c>
      <c r="C2884">
        <v>619</v>
      </c>
      <c r="D2884">
        <v>1</v>
      </c>
      <c r="E2884" t="s">
        <v>26</v>
      </c>
      <c r="F2884" t="s">
        <v>27</v>
      </c>
      <c r="G2884" t="str">
        <f>"2025-02-28 22:08:59.838"</f>
        <v>2025-02-28 22:08:59.838</v>
      </c>
      <c r="H2884" t="s">
        <v>28</v>
      </c>
      <c r="I2884">
        <v>0</v>
      </c>
      <c r="J2884" t="s">
        <v>24</v>
      </c>
    </row>
    <row r="2885" spans="1:10" x14ac:dyDescent="0.25">
      <c r="A2885" s="1">
        <v>38</v>
      </c>
      <c r="B2885" t="s">
        <v>19</v>
      </c>
      <c r="C2885">
        <v>706</v>
      </c>
      <c r="D2885">
        <v>4</v>
      </c>
      <c r="E2885" t="s">
        <v>22</v>
      </c>
      <c r="F2885" t="s">
        <v>31</v>
      </c>
      <c r="G2885" t="str">
        <f>"2025-02-28 22:08:53.411"</f>
        <v>2025-02-28 22:08:53.411</v>
      </c>
      <c r="H2885" t="s">
        <v>21</v>
      </c>
      <c r="I2885">
        <v>0</v>
      </c>
      <c r="J2885" t="s">
        <v>24</v>
      </c>
    </row>
    <row r="2886" spans="1:10" x14ac:dyDescent="0.25">
      <c r="A2886" s="1">
        <v>39</v>
      </c>
      <c r="B2886" t="s">
        <v>33</v>
      </c>
      <c r="C2886">
        <v>630</v>
      </c>
      <c r="D2886">
        <v>5</v>
      </c>
      <c r="E2886" t="s">
        <v>51</v>
      </c>
      <c r="F2886" t="s">
        <v>52</v>
      </c>
      <c r="G2886" t="str">
        <f>"2025-02-28 19:55:45.739"</f>
        <v>2025-02-28 19:55:45.739</v>
      </c>
      <c r="H2886" t="s">
        <v>40</v>
      </c>
      <c r="I2886">
        <v>0</v>
      </c>
      <c r="J2886" t="s">
        <v>24</v>
      </c>
    </row>
    <row r="2887" spans="1:10" x14ac:dyDescent="0.25">
      <c r="A2887" s="1">
        <v>40</v>
      </c>
      <c r="B2887" t="s">
        <v>19</v>
      </c>
      <c r="C2887">
        <v>706</v>
      </c>
      <c r="D2887">
        <v>3</v>
      </c>
      <c r="E2887" t="s">
        <v>22</v>
      </c>
      <c r="F2887" t="s">
        <v>23</v>
      </c>
      <c r="G2887" t="str">
        <f>"2025-02-28 19:50:42.811"</f>
        <v>2025-02-28 19:50:42.811</v>
      </c>
      <c r="H2887" t="s">
        <v>21</v>
      </c>
      <c r="I2887">
        <v>0</v>
      </c>
      <c r="J2887" t="s">
        <v>24</v>
      </c>
    </row>
    <row r="2888" spans="1:10" x14ac:dyDescent="0.25">
      <c r="A2888" s="1">
        <v>41</v>
      </c>
      <c r="B2888" t="s">
        <v>19</v>
      </c>
      <c r="C2888">
        <v>700</v>
      </c>
      <c r="D2888">
        <v>0</v>
      </c>
      <c r="E2888" t="s">
        <v>20</v>
      </c>
      <c r="F2888" t="s">
        <v>20</v>
      </c>
      <c r="G2888" t="str">
        <f>"2025-02-25 02:33:43.281"</f>
        <v>2025-02-25 02:33:43.281</v>
      </c>
      <c r="H2888" t="s">
        <v>21</v>
      </c>
    </row>
    <row r="2889" spans="1:10" x14ac:dyDescent="0.25">
      <c r="A2889" s="1">
        <v>42</v>
      </c>
      <c r="B2889" t="s">
        <v>41</v>
      </c>
      <c r="C2889">
        <v>33</v>
      </c>
      <c r="D2889">
        <v>1</v>
      </c>
      <c r="E2889" t="s">
        <v>61</v>
      </c>
      <c r="F2889" t="s">
        <v>62</v>
      </c>
      <c r="G2889" t="str">
        <f>"2025-02-25 01:49:23.865"</f>
        <v>2025-02-25 01:49:23.865</v>
      </c>
      <c r="H2889" t="s">
        <v>63</v>
      </c>
    </row>
    <row r="2890" spans="1:10" x14ac:dyDescent="0.25">
      <c r="A2890" s="1">
        <v>43</v>
      </c>
      <c r="B2890" t="s">
        <v>33</v>
      </c>
      <c r="C2890">
        <v>33</v>
      </c>
      <c r="D2890">
        <v>1</v>
      </c>
      <c r="E2890" t="s">
        <v>61</v>
      </c>
      <c r="F2890" t="s">
        <v>62</v>
      </c>
      <c r="G2890" t="str">
        <f>"2025-02-25 01:44:59.057"</f>
        <v>2025-02-25 01:44:59.057</v>
      </c>
      <c r="H2890" t="s">
        <v>63</v>
      </c>
      <c r="I2890">
        <v>8.64</v>
      </c>
      <c r="J2890" t="s">
        <v>42</v>
      </c>
    </row>
    <row r="2891" spans="1:10" x14ac:dyDescent="0.25">
      <c r="A2891" s="1">
        <v>45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"2025-02-23 15:55:11.287"</f>
        <v>2025-02-23 15:55:11.287</v>
      </c>
      <c r="H2891" t="s">
        <v>21</v>
      </c>
    </row>
    <row r="2892" spans="1:10" x14ac:dyDescent="0.25">
      <c r="A2892" s="1">
        <v>46</v>
      </c>
      <c r="B2892" t="s">
        <v>75</v>
      </c>
      <c r="C2892">
        <v>219</v>
      </c>
      <c r="D2892">
        <v>4</v>
      </c>
      <c r="E2892" t="s">
        <v>94</v>
      </c>
      <c r="F2892" t="s">
        <v>95</v>
      </c>
      <c r="G2892" t="str">
        <f>"2025-02-23 05:12:33.990"</f>
        <v>2025-02-23 05:12:33.990</v>
      </c>
      <c r="H2892" t="s">
        <v>70</v>
      </c>
    </row>
    <row r="2893" spans="1:10" x14ac:dyDescent="0.25">
      <c r="A2893" s="1">
        <v>47</v>
      </c>
      <c r="B2893" t="s">
        <v>33</v>
      </c>
      <c r="C2893">
        <v>219</v>
      </c>
      <c r="D2893">
        <v>4</v>
      </c>
      <c r="E2893" t="s">
        <v>94</v>
      </c>
      <c r="F2893" t="s">
        <v>95</v>
      </c>
      <c r="G2893" t="str">
        <f>"2025-02-23 05:12:28.934"</f>
        <v>2025-02-23 05:12:28.934</v>
      </c>
      <c r="H2893" t="s">
        <v>70</v>
      </c>
      <c r="I2893">
        <v>9.0500000000000007</v>
      </c>
      <c r="J2893" t="s">
        <v>42</v>
      </c>
    </row>
    <row r="2894" spans="1:10" x14ac:dyDescent="0.25">
      <c r="A2894" s="1">
        <v>48</v>
      </c>
      <c r="B2894" t="s">
        <v>19</v>
      </c>
      <c r="C2894">
        <v>700</v>
      </c>
      <c r="D2894">
        <v>0</v>
      </c>
      <c r="E2894" t="s">
        <v>20</v>
      </c>
      <c r="F2894" t="s">
        <v>20</v>
      </c>
      <c r="G2894" t="str">
        <f>"2025-02-23 00:55:54.280"</f>
        <v>2025-02-23 00:55:54.280</v>
      </c>
      <c r="H2894" t="s">
        <v>21</v>
      </c>
      <c r="I2894">
        <v>0</v>
      </c>
      <c r="J2894" t="s">
        <v>32</v>
      </c>
    </row>
    <row r="2895" spans="1:10" x14ac:dyDescent="0.25">
      <c r="A2895" s="1">
        <v>49</v>
      </c>
      <c r="B2895" t="s">
        <v>25</v>
      </c>
      <c r="C2895">
        <v>630</v>
      </c>
      <c r="D2895">
        <v>5</v>
      </c>
      <c r="E2895" t="s">
        <v>51</v>
      </c>
      <c r="F2895" t="s">
        <v>52</v>
      </c>
      <c r="G2895" t="str">
        <f>"2025-02-23 00:46:43.516"</f>
        <v>2025-02-23 00:46:43.516</v>
      </c>
      <c r="H2895" t="s">
        <v>40</v>
      </c>
    </row>
    <row r="2896" spans="1:10" x14ac:dyDescent="0.25">
      <c r="A2896" s="1">
        <v>50</v>
      </c>
      <c r="B2896" t="s">
        <v>19</v>
      </c>
      <c r="C2896">
        <v>706</v>
      </c>
      <c r="D2896">
        <v>4</v>
      </c>
      <c r="E2896" t="s">
        <v>22</v>
      </c>
      <c r="F2896" t="s">
        <v>31</v>
      </c>
      <c r="G2896" t="str">
        <f>"2025-02-23 00:46:13.433"</f>
        <v>2025-02-23 00:46:13.433</v>
      </c>
      <c r="H2896" t="s">
        <v>21</v>
      </c>
      <c r="I2896">
        <v>0</v>
      </c>
      <c r="J2896" t="s">
        <v>24</v>
      </c>
    </row>
    <row r="2897" spans="1:10" x14ac:dyDescent="0.25">
      <c r="A2897" s="1">
        <v>51</v>
      </c>
      <c r="B2897" t="s">
        <v>33</v>
      </c>
      <c r="C2897">
        <v>630</v>
      </c>
      <c r="D2897">
        <v>5</v>
      </c>
      <c r="E2897" t="s">
        <v>51</v>
      </c>
      <c r="F2897" t="s">
        <v>52</v>
      </c>
      <c r="G2897" t="str">
        <f>"2025-02-23 00:31:57.016"</f>
        <v>2025-02-23 00:31:57.016</v>
      </c>
      <c r="H2897" t="s">
        <v>40</v>
      </c>
      <c r="I2897">
        <v>0</v>
      </c>
      <c r="J2897" t="s">
        <v>24</v>
      </c>
    </row>
    <row r="2898" spans="1:10" x14ac:dyDescent="0.25">
      <c r="A2898" s="1">
        <v>52</v>
      </c>
      <c r="B2898" t="s">
        <v>19</v>
      </c>
      <c r="C2898">
        <v>700</v>
      </c>
      <c r="D2898">
        <v>0</v>
      </c>
      <c r="E2898" t="s">
        <v>20</v>
      </c>
      <c r="F2898" t="s">
        <v>20</v>
      </c>
      <c r="G2898" t="str">
        <f>"2025-02-23 00:26:54.273"</f>
        <v>2025-02-23 00:26:54.273</v>
      </c>
      <c r="H2898" t="s">
        <v>21</v>
      </c>
      <c r="I2898">
        <v>0</v>
      </c>
      <c r="J2898" t="s">
        <v>32</v>
      </c>
    </row>
    <row r="2899" spans="1:10" x14ac:dyDescent="0.25">
      <c r="A2899" s="1">
        <v>54</v>
      </c>
      <c r="B2899" t="s">
        <v>33</v>
      </c>
      <c r="C2899">
        <v>630</v>
      </c>
      <c r="D2899">
        <v>5</v>
      </c>
      <c r="E2899" t="s">
        <v>51</v>
      </c>
      <c r="F2899" t="s">
        <v>52</v>
      </c>
      <c r="G2899" t="str">
        <f>"2025-02-23 00:06:13.044"</f>
        <v>2025-02-23 00:06:13.044</v>
      </c>
      <c r="H2899" t="s">
        <v>40</v>
      </c>
      <c r="I2899">
        <v>0</v>
      </c>
      <c r="J2899" t="s">
        <v>24</v>
      </c>
    </row>
    <row r="2900" spans="1:10" x14ac:dyDescent="0.25">
      <c r="A2900" s="1">
        <v>55</v>
      </c>
      <c r="B2900" t="s">
        <v>19</v>
      </c>
      <c r="C2900">
        <v>700</v>
      </c>
      <c r="D2900">
        <v>0</v>
      </c>
      <c r="E2900" t="s">
        <v>20</v>
      </c>
      <c r="F2900" t="s">
        <v>20</v>
      </c>
      <c r="G2900" t="str">
        <f>"2025-02-23 00:01:10.281"</f>
        <v>2025-02-23 00:01:10.281</v>
      </c>
      <c r="H2900" t="s">
        <v>21</v>
      </c>
      <c r="I2900">
        <v>0</v>
      </c>
      <c r="J2900" t="s">
        <v>32</v>
      </c>
    </row>
    <row r="2901" spans="1:10" s="3" customFormat="1" x14ac:dyDescent="0.25">
      <c r="A2901" s="2">
        <v>56</v>
      </c>
      <c r="B2901" s="3" t="s">
        <v>25</v>
      </c>
      <c r="C2901" s="3">
        <v>647</v>
      </c>
      <c r="D2901" s="3">
        <v>1</v>
      </c>
      <c r="E2901" s="3" t="s">
        <v>55</v>
      </c>
      <c r="F2901" s="3" t="s">
        <v>56</v>
      </c>
      <c r="G2901" s="3" t="str">
        <f>"2025-02-22 17:40:14.824"</f>
        <v>2025-02-22 17:40:14.824</v>
      </c>
      <c r="H2901" s="3" t="s">
        <v>21</v>
      </c>
    </row>
    <row r="2902" spans="1:10" s="3" customFormat="1" x14ac:dyDescent="0.25">
      <c r="A2902" s="2">
        <v>57</v>
      </c>
      <c r="B2902" s="3" t="s">
        <v>29</v>
      </c>
      <c r="C2902" s="3">
        <v>647</v>
      </c>
      <c r="D2902" s="3">
        <v>1</v>
      </c>
      <c r="E2902" s="3" t="s">
        <v>55</v>
      </c>
      <c r="F2902" s="3" t="s">
        <v>56</v>
      </c>
      <c r="G2902" s="3" t="str">
        <f>"2025-02-22 17:40:10.524"</f>
        <v>2025-02-22 17:40:10.524</v>
      </c>
      <c r="H2902" s="3" t="s">
        <v>21</v>
      </c>
      <c r="I2902" s="3">
        <v>14.54</v>
      </c>
      <c r="J2902" s="3" t="s">
        <v>54</v>
      </c>
    </row>
    <row r="2903" spans="1:10" x14ac:dyDescent="0.25">
      <c r="A2903" s="1">
        <v>58</v>
      </c>
      <c r="B2903" t="s">
        <v>25</v>
      </c>
      <c r="C2903">
        <v>61</v>
      </c>
      <c r="D2903">
        <v>2</v>
      </c>
      <c r="E2903" t="s">
        <v>57</v>
      </c>
      <c r="F2903" t="s">
        <v>58</v>
      </c>
      <c r="G2903" t="str">
        <f>"2025-02-20 15:46:46.037"</f>
        <v>2025-02-20 15:46:46.037</v>
      </c>
      <c r="H2903" t="s">
        <v>21</v>
      </c>
    </row>
    <row r="2904" spans="1:10" x14ac:dyDescent="0.25">
      <c r="A2904" s="1">
        <v>59</v>
      </c>
      <c r="B2904" t="s">
        <v>33</v>
      </c>
      <c r="C2904">
        <v>61</v>
      </c>
      <c r="D2904">
        <v>2</v>
      </c>
      <c r="E2904" t="s">
        <v>57</v>
      </c>
      <c r="F2904" t="s">
        <v>58</v>
      </c>
      <c r="G2904" t="str">
        <f>"2025-02-20 15:46:32.837"</f>
        <v>2025-02-20 15:46:32.837</v>
      </c>
      <c r="H2904" t="s">
        <v>21</v>
      </c>
      <c r="I2904">
        <v>30.33</v>
      </c>
      <c r="J2904" t="s">
        <v>54</v>
      </c>
    </row>
    <row r="2905" spans="1:10" s="3" customFormat="1" x14ac:dyDescent="0.25">
      <c r="A2905" s="2">
        <v>60</v>
      </c>
      <c r="B2905" s="3" t="s">
        <v>25</v>
      </c>
      <c r="C2905" s="3">
        <v>647</v>
      </c>
      <c r="D2905" s="3">
        <v>1</v>
      </c>
      <c r="E2905" s="3" t="s">
        <v>55</v>
      </c>
      <c r="F2905" s="3" t="s">
        <v>56</v>
      </c>
      <c r="G2905" s="3" t="str">
        <f>"2025-02-20 12:31:45.324"</f>
        <v>2025-02-20 12:31:45.324</v>
      </c>
      <c r="H2905" s="3" t="s">
        <v>21</v>
      </c>
    </row>
    <row r="2906" spans="1:10" s="3" customFormat="1" x14ac:dyDescent="0.25">
      <c r="A2906" s="2">
        <v>61</v>
      </c>
      <c r="B2906" s="3" t="s">
        <v>29</v>
      </c>
      <c r="C2906" s="3">
        <v>647</v>
      </c>
      <c r="D2906" s="3">
        <v>1</v>
      </c>
      <c r="E2906" s="3" t="s">
        <v>55</v>
      </c>
      <c r="F2906" s="3" t="s">
        <v>56</v>
      </c>
      <c r="G2906" s="3" t="str">
        <f>"2025-02-20 12:31:41.225"</f>
        <v>2025-02-20 12:31:41.225</v>
      </c>
      <c r="H2906" s="3" t="s">
        <v>21</v>
      </c>
      <c r="I2906" s="3">
        <v>15.83</v>
      </c>
      <c r="J2906" s="3" t="s">
        <v>54</v>
      </c>
    </row>
    <row r="2907" spans="1:10" x14ac:dyDescent="0.25">
      <c r="A2907" s="1">
        <v>62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"2025-02-20 11:21:08.285"</f>
        <v>2025-02-20 11:21:08.285</v>
      </c>
      <c r="H2907" t="s">
        <v>21</v>
      </c>
    </row>
    <row r="2908" spans="1:10" x14ac:dyDescent="0.25">
      <c r="A2908" s="1">
        <v>63</v>
      </c>
      <c r="B2908" t="s">
        <v>25</v>
      </c>
      <c r="C2908">
        <v>635</v>
      </c>
      <c r="D2908">
        <v>1</v>
      </c>
      <c r="E2908" t="s">
        <v>45</v>
      </c>
      <c r="F2908" t="s">
        <v>27</v>
      </c>
      <c r="G2908" t="str">
        <f>"2025-02-19 19:33:22.010"</f>
        <v>2025-02-19 19:33:22.010</v>
      </c>
      <c r="H2908" t="s">
        <v>21</v>
      </c>
    </row>
    <row r="2909" spans="1:10" x14ac:dyDescent="0.25">
      <c r="A2909" s="1">
        <v>64</v>
      </c>
      <c r="B2909" t="s">
        <v>29</v>
      </c>
      <c r="C2909">
        <v>635</v>
      </c>
      <c r="D2909">
        <v>1</v>
      </c>
      <c r="E2909" t="s">
        <v>45</v>
      </c>
      <c r="F2909" t="s">
        <v>27</v>
      </c>
      <c r="G2909" t="str">
        <f>"2025-02-19 18:58:01.610"</f>
        <v>2025-02-19 18:58:01.610</v>
      </c>
      <c r="H2909" t="s">
        <v>21</v>
      </c>
      <c r="I2909">
        <v>7.91</v>
      </c>
      <c r="J2909" t="s">
        <v>42</v>
      </c>
    </row>
    <row r="2910" spans="1:10" s="3" customFormat="1" x14ac:dyDescent="0.25">
      <c r="A2910" s="2">
        <v>65</v>
      </c>
      <c r="B2910" s="3" t="s">
        <v>25</v>
      </c>
      <c r="C2910" s="3">
        <v>647</v>
      </c>
      <c r="D2910" s="3">
        <v>1</v>
      </c>
      <c r="E2910" s="3" t="s">
        <v>55</v>
      </c>
      <c r="F2910" s="3" t="s">
        <v>56</v>
      </c>
      <c r="G2910" s="3" t="str">
        <f>"2025-02-19 17:50:04.111"</f>
        <v>2025-02-19 17:50:04.111</v>
      </c>
      <c r="H2910" s="3" t="s">
        <v>21</v>
      </c>
    </row>
    <row r="2911" spans="1:10" s="3" customFormat="1" x14ac:dyDescent="0.25">
      <c r="A2911" s="2">
        <v>66</v>
      </c>
      <c r="B2911" s="3" t="s">
        <v>29</v>
      </c>
      <c r="C2911" s="3">
        <v>647</v>
      </c>
      <c r="D2911" s="3">
        <v>1</v>
      </c>
      <c r="E2911" s="3" t="s">
        <v>55</v>
      </c>
      <c r="F2911" s="3" t="s">
        <v>56</v>
      </c>
      <c r="G2911" s="3" t="str">
        <f>"2025-02-19 17:50:02.411"</f>
        <v>2025-02-19 17:50:02.411</v>
      </c>
      <c r="H2911" s="3" t="s">
        <v>21</v>
      </c>
      <c r="I2911" s="3">
        <v>15.28</v>
      </c>
      <c r="J2911" s="3" t="s">
        <v>54</v>
      </c>
    </row>
    <row r="2912" spans="1:10" x14ac:dyDescent="0.25">
      <c r="A2912" s="1">
        <v>68</v>
      </c>
      <c r="B2912" t="s">
        <v>19</v>
      </c>
      <c r="C2912">
        <v>700</v>
      </c>
      <c r="D2912">
        <v>0</v>
      </c>
      <c r="E2912" t="s">
        <v>20</v>
      </c>
      <c r="F2912" t="s">
        <v>20</v>
      </c>
      <c r="G2912" t="str">
        <f>"2025-02-17 21:46:23.249"</f>
        <v>2025-02-17 21:46:23.249</v>
      </c>
      <c r="H2912" t="s">
        <v>21</v>
      </c>
    </row>
    <row r="2913" spans="1:10" s="3" customFormat="1" x14ac:dyDescent="0.25">
      <c r="A2913" s="2">
        <v>69</v>
      </c>
      <c r="B2913" s="3" t="s">
        <v>25</v>
      </c>
      <c r="C2913" s="3">
        <v>647</v>
      </c>
      <c r="D2913" s="3">
        <v>1</v>
      </c>
      <c r="E2913" s="3" t="s">
        <v>55</v>
      </c>
      <c r="F2913" s="3" t="s">
        <v>56</v>
      </c>
      <c r="G2913" s="3" t="str">
        <f>"2025-02-16 23:54:17.229"</f>
        <v>2025-02-16 23:54:17.229</v>
      </c>
      <c r="H2913" s="3" t="s">
        <v>21</v>
      </c>
    </row>
    <row r="2914" spans="1:10" s="3" customFormat="1" x14ac:dyDescent="0.25">
      <c r="A2914" s="2">
        <v>70</v>
      </c>
      <c r="B2914" s="3" t="s">
        <v>29</v>
      </c>
      <c r="C2914" s="3">
        <v>647</v>
      </c>
      <c r="D2914" s="3">
        <v>1</v>
      </c>
      <c r="E2914" s="3" t="s">
        <v>55</v>
      </c>
      <c r="F2914" s="3" t="s">
        <v>56</v>
      </c>
      <c r="G2914" s="3" t="str">
        <f>"2025-02-16 23:54:11.529"</f>
        <v>2025-02-16 23:54:11.529</v>
      </c>
      <c r="H2914" s="3" t="s">
        <v>21</v>
      </c>
      <c r="I2914" s="3">
        <v>26.28</v>
      </c>
      <c r="J2914" s="3" t="s">
        <v>54</v>
      </c>
    </row>
    <row r="2915" spans="1:10" x14ac:dyDescent="0.25">
      <c r="A2915" s="1">
        <v>71</v>
      </c>
      <c r="B2915" t="s">
        <v>25</v>
      </c>
      <c r="C2915">
        <v>635</v>
      </c>
      <c r="D2915">
        <v>1</v>
      </c>
      <c r="E2915" t="s">
        <v>45</v>
      </c>
      <c r="F2915" t="s">
        <v>27</v>
      </c>
      <c r="G2915" t="str">
        <f>"2025-02-15 16:01:19.281"</f>
        <v>2025-02-15 16:01:19.281</v>
      </c>
      <c r="H2915" t="s">
        <v>21</v>
      </c>
    </row>
    <row r="2916" spans="1:10" x14ac:dyDescent="0.25">
      <c r="A2916" s="1">
        <v>72</v>
      </c>
      <c r="B2916" t="s">
        <v>29</v>
      </c>
      <c r="C2916">
        <v>635</v>
      </c>
      <c r="D2916">
        <v>1</v>
      </c>
      <c r="E2916" t="s">
        <v>45</v>
      </c>
      <c r="F2916" t="s">
        <v>27</v>
      </c>
      <c r="G2916" t="str">
        <f>"2025-02-15 15:53:49.781"</f>
        <v>2025-02-15 15:53:49.781</v>
      </c>
      <c r="H2916" t="s">
        <v>21</v>
      </c>
      <c r="I2916">
        <v>7.16</v>
      </c>
      <c r="J2916" t="s">
        <v>42</v>
      </c>
    </row>
    <row r="2917" spans="1:10" s="3" customFormat="1" x14ac:dyDescent="0.25">
      <c r="A2917" s="2">
        <v>73</v>
      </c>
      <c r="B2917" s="3" t="s">
        <v>25</v>
      </c>
      <c r="C2917" s="3">
        <v>647</v>
      </c>
      <c r="D2917" s="3">
        <v>1</v>
      </c>
      <c r="E2917" s="3" t="s">
        <v>55</v>
      </c>
      <c r="F2917" s="3" t="s">
        <v>56</v>
      </c>
      <c r="G2917" s="3" t="str">
        <f>"2025-02-15 07:57:31.729"</f>
        <v>2025-02-15 07:57:31.729</v>
      </c>
      <c r="H2917" s="3" t="s">
        <v>21</v>
      </c>
    </row>
    <row r="2918" spans="1:10" s="3" customFormat="1" x14ac:dyDescent="0.25">
      <c r="A2918" s="2">
        <v>74</v>
      </c>
      <c r="B2918" s="3" t="s">
        <v>29</v>
      </c>
      <c r="C2918" s="3">
        <v>647</v>
      </c>
      <c r="D2918" s="3">
        <v>1</v>
      </c>
      <c r="E2918" s="3" t="s">
        <v>55</v>
      </c>
      <c r="F2918" s="3" t="s">
        <v>56</v>
      </c>
      <c r="G2918" s="3" t="str">
        <f>"2025-02-15 07:57:30.629"</f>
        <v>2025-02-15 07:57:30.629</v>
      </c>
      <c r="H2918" s="3" t="s">
        <v>21</v>
      </c>
      <c r="I2918" s="3">
        <v>15.82</v>
      </c>
      <c r="J2918" s="3" t="s">
        <v>54</v>
      </c>
    </row>
    <row r="2919" spans="1:10" s="3" customFormat="1" x14ac:dyDescent="0.25">
      <c r="A2919" s="2">
        <v>75</v>
      </c>
      <c r="B2919" s="3" t="s">
        <v>25</v>
      </c>
      <c r="C2919" s="3">
        <v>647</v>
      </c>
      <c r="D2919" s="3">
        <v>1</v>
      </c>
      <c r="E2919" s="3" t="s">
        <v>55</v>
      </c>
      <c r="F2919" s="3" t="s">
        <v>56</v>
      </c>
      <c r="G2919" s="3" t="str">
        <f>"2025-02-14 23:51:57.729"</f>
        <v>2025-02-14 23:51:57.729</v>
      </c>
      <c r="H2919" s="3" t="s">
        <v>21</v>
      </c>
    </row>
    <row r="2920" spans="1:10" s="3" customFormat="1" x14ac:dyDescent="0.25">
      <c r="A2920" s="2">
        <v>76</v>
      </c>
      <c r="B2920" s="3" t="s">
        <v>29</v>
      </c>
      <c r="C2920" s="3">
        <v>647</v>
      </c>
      <c r="D2920" s="3">
        <v>1</v>
      </c>
      <c r="E2920" s="3" t="s">
        <v>55</v>
      </c>
      <c r="F2920" s="3" t="s">
        <v>56</v>
      </c>
      <c r="G2920" s="3" t="str">
        <f>"2025-02-14 23:51:55.829"</f>
        <v>2025-02-14 23:51:55.829</v>
      </c>
      <c r="H2920" s="3" t="s">
        <v>21</v>
      </c>
      <c r="I2920" s="3">
        <v>11.96</v>
      </c>
      <c r="J2920" s="3" t="s">
        <v>37</v>
      </c>
    </row>
    <row r="2921" spans="1:10" s="3" customFormat="1" x14ac:dyDescent="0.25">
      <c r="A2921" s="2">
        <v>77</v>
      </c>
      <c r="B2921" s="3" t="s">
        <v>25</v>
      </c>
      <c r="C2921" s="3">
        <v>647</v>
      </c>
      <c r="D2921" s="3">
        <v>1</v>
      </c>
      <c r="E2921" s="3" t="s">
        <v>55</v>
      </c>
      <c r="F2921" s="3" t="s">
        <v>56</v>
      </c>
      <c r="G2921" s="3" t="str">
        <f>"2025-02-14 08:56:55.430"</f>
        <v>2025-02-14 08:56:55.430</v>
      </c>
      <c r="H2921" s="3" t="s">
        <v>21</v>
      </c>
    </row>
    <row r="2922" spans="1:10" s="3" customFormat="1" x14ac:dyDescent="0.25">
      <c r="A2922" s="2">
        <v>78</v>
      </c>
      <c r="B2922" s="3" t="s">
        <v>29</v>
      </c>
      <c r="C2922" s="3">
        <v>647</v>
      </c>
      <c r="D2922" s="3">
        <v>1</v>
      </c>
      <c r="E2922" s="3" t="s">
        <v>55</v>
      </c>
      <c r="F2922" s="3" t="s">
        <v>56</v>
      </c>
      <c r="G2922" s="3" t="str">
        <f>"2025-02-14 08:56:51.929"</f>
        <v>2025-02-14 08:56:51.929</v>
      </c>
      <c r="H2922" s="3" t="s">
        <v>21</v>
      </c>
      <c r="I2922" s="3">
        <v>10.91</v>
      </c>
      <c r="J2922" s="3" t="s">
        <v>54</v>
      </c>
    </row>
    <row r="2923" spans="1:10" s="3" customFormat="1" x14ac:dyDescent="0.25">
      <c r="A2923" s="2">
        <v>79</v>
      </c>
      <c r="B2923" s="3" t="s">
        <v>25</v>
      </c>
      <c r="C2923" s="3">
        <v>647</v>
      </c>
      <c r="D2923" s="3">
        <v>1</v>
      </c>
      <c r="E2923" s="3" t="s">
        <v>55</v>
      </c>
      <c r="F2923" s="3" t="s">
        <v>56</v>
      </c>
      <c r="G2923" s="3" t="str">
        <f>"2025-02-13 06:09:17.529"</f>
        <v>2025-02-13 06:09:17.529</v>
      </c>
      <c r="H2923" s="3" t="s">
        <v>21</v>
      </c>
    </row>
    <row r="2924" spans="1:10" s="3" customFormat="1" x14ac:dyDescent="0.25">
      <c r="A2924" s="2">
        <v>80</v>
      </c>
      <c r="B2924" s="3" t="s">
        <v>29</v>
      </c>
      <c r="C2924" s="3">
        <v>647</v>
      </c>
      <c r="D2924" s="3">
        <v>1</v>
      </c>
      <c r="E2924" s="3" t="s">
        <v>55</v>
      </c>
      <c r="F2924" s="3" t="s">
        <v>56</v>
      </c>
      <c r="G2924" s="3" t="str">
        <f>"2025-02-13 06:09:15.629"</f>
        <v>2025-02-13 06:09:15.629</v>
      </c>
      <c r="H2924" s="3" t="s">
        <v>21</v>
      </c>
      <c r="I2924" s="3">
        <v>12.69</v>
      </c>
      <c r="J2924" s="3" t="s">
        <v>37</v>
      </c>
    </row>
    <row r="2925" spans="1:10" s="3" customFormat="1" x14ac:dyDescent="0.25">
      <c r="A2925" s="2">
        <v>81</v>
      </c>
      <c r="B2925" s="3" t="s">
        <v>25</v>
      </c>
      <c r="C2925" s="3">
        <v>647</v>
      </c>
      <c r="D2925" s="3">
        <v>1</v>
      </c>
      <c r="E2925" s="3" t="s">
        <v>55</v>
      </c>
      <c r="F2925" s="3" t="s">
        <v>56</v>
      </c>
      <c r="G2925" s="3" t="str">
        <f>"2025-02-13 04:20:14.929"</f>
        <v>2025-02-13 04:20:14.929</v>
      </c>
      <c r="H2925" s="3" t="s">
        <v>21</v>
      </c>
    </row>
    <row r="2926" spans="1:10" s="3" customFormat="1" x14ac:dyDescent="0.25">
      <c r="A2926" s="2">
        <v>82</v>
      </c>
      <c r="B2926" s="3" t="s">
        <v>29</v>
      </c>
      <c r="C2926" s="3">
        <v>647</v>
      </c>
      <c r="D2926" s="3">
        <v>1</v>
      </c>
      <c r="E2926" s="3" t="s">
        <v>55</v>
      </c>
      <c r="F2926" s="3" t="s">
        <v>56</v>
      </c>
      <c r="G2926" s="3" t="str">
        <f>"2025-02-13 04:20:13.229"</f>
        <v>2025-02-13 04:20:13.229</v>
      </c>
      <c r="H2926" s="3" t="s">
        <v>21</v>
      </c>
      <c r="I2926" s="3">
        <v>16.75</v>
      </c>
      <c r="J2926" s="3" t="s">
        <v>37</v>
      </c>
    </row>
    <row r="2927" spans="1:10" x14ac:dyDescent="0.25">
      <c r="A2927" s="1">
        <v>83</v>
      </c>
      <c r="B2927" t="s">
        <v>25</v>
      </c>
      <c r="C2927">
        <v>619</v>
      </c>
      <c r="D2927">
        <v>1</v>
      </c>
      <c r="E2927" t="s">
        <v>26</v>
      </c>
      <c r="F2927" t="s">
        <v>27</v>
      </c>
      <c r="G2927" t="str">
        <f>"2025-02-13 03:08:27.381"</f>
        <v>2025-02-13 03:08:27.381</v>
      </c>
      <c r="H2927" t="s">
        <v>28</v>
      </c>
    </row>
    <row r="2928" spans="1:10" x14ac:dyDescent="0.25">
      <c r="A2928" s="1">
        <v>84</v>
      </c>
      <c r="B2928" t="s">
        <v>29</v>
      </c>
      <c r="C2928">
        <v>619</v>
      </c>
      <c r="D2928">
        <v>1</v>
      </c>
      <c r="E2928" t="s">
        <v>26</v>
      </c>
      <c r="F2928" t="s">
        <v>27</v>
      </c>
      <c r="G2928" t="str">
        <f>"2025-02-13 03:07:34.281"</f>
        <v>2025-02-13 03:07:34.281</v>
      </c>
      <c r="H2928" t="s">
        <v>28</v>
      </c>
      <c r="I2928">
        <v>0</v>
      </c>
      <c r="J2928" t="s">
        <v>24</v>
      </c>
    </row>
    <row r="2929" spans="1:10" x14ac:dyDescent="0.25">
      <c r="A2929" s="1">
        <v>85</v>
      </c>
      <c r="B2929" t="s">
        <v>19</v>
      </c>
      <c r="C2929">
        <v>706</v>
      </c>
      <c r="D2929">
        <v>4</v>
      </c>
      <c r="E2929" t="s">
        <v>22</v>
      </c>
      <c r="F2929" t="s">
        <v>31</v>
      </c>
      <c r="G2929" t="str">
        <f>"2025-02-13 03:07:29.341"</f>
        <v>2025-02-13 03:07:29.341</v>
      </c>
      <c r="H2929" t="s">
        <v>21</v>
      </c>
      <c r="I2929">
        <v>0</v>
      </c>
      <c r="J2929" t="s">
        <v>24</v>
      </c>
    </row>
    <row r="2930" spans="1:10" x14ac:dyDescent="0.25">
      <c r="A2930" s="1">
        <v>86</v>
      </c>
      <c r="B2930" t="s">
        <v>19</v>
      </c>
      <c r="C2930">
        <v>700</v>
      </c>
      <c r="D2930">
        <v>0</v>
      </c>
      <c r="E2930" t="s">
        <v>20</v>
      </c>
      <c r="F2930" t="s">
        <v>20</v>
      </c>
      <c r="G2930" t="str">
        <f>"2025-02-13 03:04:22.241"</f>
        <v>2025-02-13 03:04:22.241</v>
      </c>
      <c r="H2930" t="s">
        <v>21</v>
      </c>
    </row>
    <row r="2931" spans="1:10" x14ac:dyDescent="0.25">
      <c r="A2931" s="1">
        <v>87</v>
      </c>
      <c r="B2931" t="s">
        <v>19</v>
      </c>
      <c r="C2931">
        <v>700</v>
      </c>
      <c r="D2931">
        <v>0</v>
      </c>
      <c r="E2931" t="s">
        <v>20</v>
      </c>
      <c r="F2931" t="s">
        <v>20</v>
      </c>
      <c r="G2931" t="str">
        <f>"2025-02-13 01:49:35.283"</f>
        <v>2025-02-13 01:49:35.283</v>
      </c>
      <c r="H2931" t="s">
        <v>21</v>
      </c>
      <c r="I2931">
        <v>0</v>
      </c>
      <c r="J2931" t="s">
        <v>32</v>
      </c>
    </row>
    <row r="2932" spans="1:10" s="3" customFormat="1" x14ac:dyDescent="0.25">
      <c r="A2932" s="2">
        <v>88</v>
      </c>
      <c r="B2932" s="3" t="s">
        <v>25</v>
      </c>
      <c r="C2932" s="3">
        <v>647</v>
      </c>
      <c r="D2932" s="3">
        <v>1</v>
      </c>
      <c r="E2932" s="3" t="s">
        <v>55</v>
      </c>
      <c r="F2932" s="3" t="s">
        <v>56</v>
      </c>
      <c r="G2932" s="3" t="str">
        <f>"2025-02-12 08:16:36.726"</f>
        <v>2025-02-12 08:16:36.726</v>
      </c>
      <c r="H2932" s="3" t="s">
        <v>21</v>
      </c>
    </row>
    <row r="2933" spans="1:10" s="3" customFormat="1" x14ac:dyDescent="0.25">
      <c r="A2933" s="2">
        <v>89</v>
      </c>
      <c r="B2933" s="3" t="s">
        <v>29</v>
      </c>
      <c r="C2933" s="3">
        <v>647</v>
      </c>
      <c r="D2933" s="3">
        <v>1</v>
      </c>
      <c r="E2933" s="3" t="s">
        <v>55</v>
      </c>
      <c r="F2933" s="3" t="s">
        <v>56</v>
      </c>
      <c r="G2933" s="3" t="str">
        <f>"2025-02-12 08:16:35.026"</f>
        <v>2025-02-12 08:16:35.026</v>
      </c>
      <c r="H2933" s="3" t="s">
        <v>21</v>
      </c>
      <c r="I2933" s="3">
        <v>13.42</v>
      </c>
      <c r="J2933" s="3" t="s">
        <v>54</v>
      </c>
    </row>
    <row r="2934" spans="1:10" s="3" customFormat="1" x14ac:dyDescent="0.25">
      <c r="A2934" s="2">
        <v>90</v>
      </c>
      <c r="B2934" s="3" t="s">
        <v>25</v>
      </c>
      <c r="C2934" s="3">
        <v>647</v>
      </c>
      <c r="D2934" s="3">
        <v>1</v>
      </c>
      <c r="E2934" s="3" t="s">
        <v>55</v>
      </c>
      <c r="F2934" s="3" t="s">
        <v>56</v>
      </c>
      <c r="G2934" s="3" t="str">
        <f>"2025-02-12 08:16:33.526"</f>
        <v>2025-02-12 08:16:33.526</v>
      </c>
      <c r="H2934" s="3" t="s">
        <v>21</v>
      </c>
    </row>
    <row r="2935" spans="1:10" s="3" customFormat="1" x14ac:dyDescent="0.25">
      <c r="A2935" s="2">
        <v>91</v>
      </c>
      <c r="B2935" s="3" t="s">
        <v>29</v>
      </c>
      <c r="C2935" s="3">
        <v>647</v>
      </c>
      <c r="D2935" s="3">
        <v>1</v>
      </c>
      <c r="E2935" s="3" t="s">
        <v>55</v>
      </c>
      <c r="F2935" s="3" t="s">
        <v>56</v>
      </c>
      <c r="G2935" s="3" t="str">
        <f>"2025-02-12 08:16:29.826"</f>
        <v>2025-02-12 08:16:29.826</v>
      </c>
      <c r="H2935" s="3" t="s">
        <v>21</v>
      </c>
      <c r="I2935" s="3">
        <v>10.7</v>
      </c>
      <c r="J2935" s="3" t="s">
        <v>54</v>
      </c>
    </row>
    <row r="2936" spans="1:10" x14ac:dyDescent="0.25">
      <c r="A2936" s="1">
        <v>92</v>
      </c>
      <c r="B2936" t="s">
        <v>25</v>
      </c>
      <c r="C2936">
        <v>61</v>
      </c>
      <c r="D2936">
        <v>2</v>
      </c>
      <c r="E2936" t="s">
        <v>57</v>
      </c>
      <c r="F2936" t="s">
        <v>58</v>
      </c>
      <c r="G2936" t="str">
        <f>"2025-02-11 18:25:57.246"</f>
        <v>2025-02-11 18:25:57.246</v>
      </c>
      <c r="H2936" t="s">
        <v>21</v>
      </c>
    </row>
    <row r="2937" spans="1:10" x14ac:dyDescent="0.25">
      <c r="A2937" s="1">
        <v>93</v>
      </c>
      <c r="B2937" t="s">
        <v>33</v>
      </c>
      <c r="C2937">
        <v>61</v>
      </c>
      <c r="D2937">
        <v>2</v>
      </c>
      <c r="E2937" t="s">
        <v>57</v>
      </c>
      <c r="F2937" t="s">
        <v>58</v>
      </c>
      <c r="G2937" t="str">
        <f>"2025-02-11 18:25:40.246"</f>
        <v>2025-02-11 18:25:40.246</v>
      </c>
      <c r="H2937" t="s">
        <v>21</v>
      </c>
      <c r="I2937">
        <v>29.95</v>
      </c>
      <c r="J2937" t="s">
        <v>54</v>
      </c>
    </row>
    <row r="2938" spans="1:10" s="3" customFormat="1" x14ac:dyDescent="0.25">
      <c r="A2938" s="2">
        <v>94</v>
      </c>
      <c r="B2938" s="3" t="s">
        <v>25</v>
      </c>
      <c r="C2938" s="3">
        <v>647</v>
      </c>
      <c r="D2938" s="3">
        <v>1</v>
      </c>
      <c r="E2938" s="3" t="s">
        <v>55</v>
      </c>
      <c r="F2938" s="3" t="s">
        <v>56</v>
      </c>
      <c r="G2938" s="3" t="str">
        <f>"2025-02-11 15:22:20.426"</f>
        <v>2025-02-11 15:22:20.426</v>
      </c>
      <c r="H2938" s="3" t="s">
        <v>21</v>
      </c>
    </row>
    <row r="2939" spans="1:10" s="3" customFormat="1" x14ac:dyDescent="0.25">
      <c r="A2939" s="2">
        <v>95</v>
      </c>
      <c r="B2939" s="3" t="s">
        <v>29</v>
      </c>
      <c r="C2939" s="3">
        <v>647</v>
      </c>
      <c r="D2939" s="3">
        <v>1</v>
      </c>
      <c r="E2939" s="3" t="s">
        <v>55</v>
      </c>
      <c r="F2939" s="3" t="s">
        <v>56</v>
      </c>
      <c r="G2939" s="3" t="str">
        <f>"2025-02-11 15:22:16.326"</f>
        <v>2025-02-11 15:22:16.326</v>
      </c>
      <c r="H2939" s="3" t="s">
        <v>21</v>
      </c>
      <c r="I2939" s="3">
        <v>9.5</v>
      </c>
      <c r="J2939" s="3" t="s">
        <v>54</v>
      </c>
    </row>
    <row r="2940" spans="1:10" s="3" customFormat="1" x14ac:dyDescent="0.25">
      <c r="A2940" s="2">
        <v>96</v>
      </c>
      <c r="B2940" s="3" t="s">
        <v>25</v>
      </c>
      <c r="C2940" s="3">
        <v>647</v>
      </c>
      <c r="D2940" s="3">
        <v>1</v>
      </c>
      <c r="E2940" s="3" t="s">
        <v>55</v>
      </c>
      <c r="F2940" s="3" t="s">
        <v>56</v>
      </c>
      <c r="G2940" s="3" t="str">
        <f>"2025-02-11 09:51:37.426"</f>
        <v>2025-02-11 09:51:37.426</v>
      </c>
      <c r="H2940" s="3" t="s">
        <v>21</v>
      </c>
    </row>
    <row r="2941" spans="1:10" s="3" customFormat="1" x14ac:dyDescent="0.25">
      <c r="A2941" s="2">
        <v>97</v>
      </c>
      <c r="B2941" s="3" t="s">
        <v>29</v>
      </c>
      <c r="C2941" s="3">
        <v>647</v>
      </c>
      <c r="D2941" s="3">
        <v>1</v>
      </c>
      <c r="E2941" s="3" t="s">
        <v>55</v>
      </c>
      <c r="F2941" s="3" t="s">
        <v>56</v>
      </c>
      <c r="G2941" s="3" t="str">
        <f>"2025-02-11 09:51:36.426"</f>
        <v>2025-02-11 09:51:36.426</v>
      </c>
      <c r="H2941" s="3" t="s">
        <v>21</v>
      </c>
      <c r="I2941" s="3">
        <v>12.21</v>
      </c>
      <c r="J2941" s="3" t="s">
        <v>54</v>
      </c>
    </row>
    <row r="2942" spans="1:10" s="3" customFormat="1" x14ac:dyDescent="0.25">
      <c r="A2942" s="2">
        <v>98</v>
      </c>
      <c r="B2942" s="3" t="s">
        <v>25</v>
      </c>
      <c r="C2942" s="3">
        <v>647</v>
      </c>
      <c r="D2942" s="3">
        <v>1</v>
      </c>
      <c r="E2942" s="3" t="s">
        <v>55</v>
      </c>
      <c r="F2942" s="3" t="s">
        <v>56</v>
      </c>
      <c r="G2942" s="3" t="str">
        <f>"2025-02-11 05:22:33.826"</f>
        <v>2025-02-11 05:22:33.826</v>
      </c>
      <c r="H2942" s="3" t="s">
        <v>21</v>
      </c>
    </row>
    <row r="2943" spans="1:10" s="3" customFormat="1" x14ac:dyDescent="0.25">
      <c r="A2943" s="2">
        <v>99</v>
      </c>
      <c r="B2943" s="3" t="s">
        <v>29</v>
      </c>
      <c r="C2943" s="3">
        <v>647</v>
      </c>
      <c r="D2943" s="3">
        <v>1</v>
      </c>
      <c r="E2943" s="3" t="s">
        <v>55</v>
      </c>
      <c r="F2943" s="3" t="s">
        <v>56</v>
      </c>
      <c r="G2943" s="3" t="str">
        <f>"2025-02-11 05:22:32.326"</f>
        <v>2025-02-11 05:22:32.326</v>
      </c>
      <c r="H2943" s="3" t="s">
        <v>21</v>
      </c>
      <c r="I2943" s="3">
        <v>14.11</v>
      </c>
      <c r="J2943" s="3" t="s">
        <v>37</v>
      </c>
    </row>
    <row r="2944" spans="1:10" s="3" customFormat="1" x14ac:dyDescent="0.25">
      <c r="A2944" s="2">
        <v>100</v>
      </c>
      <c r="B2944" s="3" t="s">
        <v>25</v>
      </c>
      <c r="C2944" s="3">
        <v>647</v>
      </c>
      <c r="D2944" s="3">
        <v>1</v>
      </c>
      <c r="E2944" s="3" t="s">
        <v>55</v>
      </c>
      <c r="F2944" s="3" t="s">
        <v>56</v>
      </c>
      <c r="G2944" s="3" t="str">
        <f>"2025-02-11 03:35:52.326"</f>
        <v>2025-02-11 03:35:52.326</v>
      </c>
      <c r="H2944" s="3" t="s">
        <v>21</v>
      </c>
    </row>
    <row r="2945" spans="1:10" s="3" customFormat="1" x14ac:dyDescent="0.25">
      <c r="A2945" s="2">
        <v>101</v>
      </c>
      <c r="B2945" s="3" t="s">
        <v>29</v>
      </c>
      <c r="C2945" s="3">
        <v>647</v>
      </c>
      <c r="D2945" s="3">
        <v>1</v>
      </c>
      <c r="E2945" s="3" t="s">
        <v>55</v>
      </c>
      <c r="F2945" s="3" t="s">
        <v>56</v>
      </c>
      <c r="G2945" s="3" t="str">
        <f>"2025-02-11 03:35:50.626"</f>
        <v>2025-02-11 03:35:50.626</v>
      </c>
      <c r="H2945" s="3" t="s">
        <v>21</v>
      </c>
      <c r="I2945" s="3">
        <v>12.02</v>
      </c>
      <c r="J2945" s="3" t="s">
        <v>37</v>
      </c>
    </row>
    <row r="2946" spans="1:10" s="3" customFormat="1" x14ac:dyDescent="0.25">
      <c r="A2946" s="2">
        <v>102</v>
      </c>
      <c r="B2946" s="3" t="s">
        <v>25</v>
      </c>
      <c r="C2946" s="3">
        <v>647</v>
      </c>
      <c r="D2946" s="3">
        <v>1</v>
      </c>
      <c r="E2946" s="3" t="s">
        <v>55</v>
      </c>
      <c r="F2946" s="3" t="s">
        <v>56</v>
      </c>
      <c r="G2946" s="3" t="str">
        <f>"2025-02-10 05:44:53.626"</f>
        <v>2025-02-10 05:44:53.626</v>
      </c>
      <c r="H2946" s="3" t="s">
        <v>21</v>
      </c>
    </row>
    <row r="2947" spans="1:10" s="3" customFormat="1" x14ac:dyDescent="0.25">
      <c r="A2947" s="2">
        <v>103</v>
      </c>
      <c r="B2947" s="3" t="s">
        <v>29</v>
      </c>
      <c r="C2947" s="3">
        <v>647</v>
      </c>
      <c r="D2947" s="3">
        <v>1</v>
      </c>
      <c r="E2947" s="3" t="s">
        <v>55</v>
      </c>
      <c r="F2947" s="3" t="s">
        <v>56</v>
      </c>
      <c r="G2947" s="3" t="str">
        <f>"2025-02-10 05:44:49.926"</f>
        <v>2025-02-10 05:44:49.926</v>
      </c>
      <c r="H2947" s="3" t="s">
        <v>21</v>
      </c>
      <c r="I2947" s="3">
        <v>10.91</v>
      </c>
      <c r="J2947" s="3" t="s">
        <v>37</v>
      </c>
    </row>
    <row r="2948" spans="1:10" x14ac:dyDescent="0.25">
      <c r="A2948" s="1">
        <v>104</v>
      </c>
      <c r="B2948" t="s">
        <v>19</v>
      </c>
      <c r="C2948">
        <v>706</v>
      </c>
      <c r="D2948">
        <v>2</v>
      </c>
      <c r="E2948" t="s">
        <v>22</v>
      </c>
      <c r="F2948" t="s">
        <v>53</v>
      </c>
      <c r="G2948" t="str">
        <f>"2025-02-09 18:29:52.712"</f>
        <v>2025-02-09 18:29:52.712</v>
      </c>
      <c r="H2948" t="s">
        <v>21</v>
      </c>
      <c r="I2948">
        <v>0</v>
      </c>
      <c r="J2948" t="s">
        <v>24</v>
      </c>
    </row>
    <row r="2949" spans="1:10" x14ac:dyDescent="0.25">
      <c r="A2949" s="1">
        <v>105</v>
      </c>
      <c r="B2949" t="s">
        <v>19</v>
      </c>
      <c r="C2949">
        <v>700</v>
      </c>
      <c r="D2949">
        <v>0</v>
      </c>
      <c r="E2949" t="s">
        <v>20</v>
      </c>
      <c r="F2949" t="s">
        <v>20</v>
      </c>
      <c r="G2949" t="str">
        <f>"2025-02-09 18:19:12.302"</f>
        <v>2025-02-09 18:19:12.302</v>
      </c>
      <c r="H2949" t="s">
        <v>21</v>
      </c>
    </row>
    <row r="2950" spans="1:10" x14ac:dyDescent="0.25">
      <c r="A2950" s="1">
        <v>106</v>
      </c>
      <c r="B2950" t="s">
        <v>25</v>
      </c>
      <c r="C2950">
        <v>630</v>
      </c>
      <c r="D2950">
        <v>5</v>
      </c>
      <c r="E2950" t="s">
        <v>51</v>
      </c>
      <c r="F2950" t="s">
        <v>52</v>
      </c>
      <c r="G2950" t="str">
        <f>"2025-02-09 18:02:51.150"</f>
        <v>2025-02-09 18:02:51.150</v>
      </c>
      <c r="H2950" t="s">
        <v>40</v>
      </c>
    </row>
    <row r="2951" spans="1:10" x14ac:dyDescent="0.25">
      <c r="A2951" s="1">
        <v>107</v>
      </c>
      <c r="B2951" t="s">
        <v>19</v>
      </c>
      <c r="C2951">
        <v>706</v>
      </c>
      <c r="D2951">
        <v>4</v>
      </c>
      <c r="E2951" t="s">
        <v>22</v>
      </c>
      <c r="F2951" t="s">
        <v>31</v>
      </c>
      <c r="G2951" t="str">
        <f>"2025-02-09 18:02:21.052"</f>
        <v>2025-02-09 18:02:21.052</v>
      </c>
      <c r="H2951" t="s">
        <v>21</v>
      </c>
      <c r="I2951">
        <v>0</v>
      </c>
      <c r="J2951" t="s">
        <v>24</v>
      </c>
    </row>
    <row r="2952" spans="1:10" x14ac:dyDescent="0.25">
      <c r="A2952" s="1">
        <v>108</v>
      </c>
      <c r="B2952" t="s">
        <v>33</v>
      </c>
      <c r="C2952">
        <v>630</v>
      </c>
      <c r="D2952">
        <v>5</v>
      </c>
      <c r="E2952" t="s">
        <v>51</v>
      </c>
      <c r="F2952" t="s">
        <v>52</v>
      </c>
      <c r="G2952" t="str">
        <f>"2025-02-09 17:59:09.951"</f>
        <v>2025-02-09 17:59:09.951</v>
      </c>
      <c r="H2952" t="s">
        <v>40</v>
      </c>
      <c r="I2952">
        <v>0</v>
      </c>
      <c r="J2952" t="s">
        <v>24</v>
      </c>
    </row>
    <row r="2953" spans="1:10" x14ac:dyDescent="0.25">
      <c r="A2953" s="1">
        <v>109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"2025-02-09 17:54:07.232"</f>
        <v>2025-02-09 17:54:07.232</v>
      </c>
      <c r="H2953" t="s">
        <v>21</v>
      </c>
      <c r="I2953">
        <v>0</v>
      </c>
      <c r="J2953" t="s">
        <v>32</v>
      </c>
    </row>
    <row r="2954" spans="1:10" s="3" customFormat="1" x14ac:dyDescent="0.25">
      <c r="A2954" s="2">
        <v>110</v>
      </c>
      <c r="B2954" s="3" t="s">
        <v>25</v>
      </c>
      <c r="C2954" s="3">
        <v>647</v>
      </c>
      <c r="D2954" s="3">
        <v>1</v>
      </c>
      <c r="E2954" s="3" t="s">
        <v>55</v>
      </c>
      <c r="F2954" s="3" t="s">
        <v>56</v>
      </c>
      <c r="G2954" s="3" t="str">
        <f>"2025-02-09 12:42:40.999"</f>
        <v>2025-02-09 12:42:40.999</v>
      </c>
      <c r="H2954" s="3" t="s">
        <v>21</v>
      </c>
    </row>
    <row r="2955" spans="1:10" s="3" customFormat="1" x14ac:dyDescent="0.25">
      <c r="A2955" s="2">
        <v>111</v>
      </c>
      <c r="B2955" s="3" t="s">
        <v>29</v>
      </c>
      <c r="C2955" s="3">
        <v>647</v>
      </c>
      <c r="D2955" s="3">
        <v>1</v>
      </c>
      <c r="E2955" s="3" t="s">
        <v>55</v>
      </c>
      <c r="F2955" s="3" t="s">
        <v>56</v>
      </c>
      <c r="G2955" s="3" t="str">
        <f>"2025-02-09 12:42:35.499"</f>
        <v>2025-02-09 12:42:35.499</v>
      </c>
      <c r="H2955" s="3" t="s">
        <v>21</v>
      </c>
      <c r="I2955" s="3">
        <v>16.59</v>
      </c>
      <c r="J2955" s="3" t="s">
        <v>54</v>
      </c>
    </row>
    <row r="2956" spans="1:10" s="3" customFormat="1" x14ac:dyDescent="0.25">
      <c r="A2956" s="2">
        <v>112</v>
      </c>
      <c r="B2956" s="3" t="s">
        <v>25</v>
      </c>
      <c r="C2956" s="3">
        <v>647</v>
      </c>
      <c r="D2956" s="3">
        <v>1</v>
      </c>
      <c r="E2956" s="3" t="s">
        <v>55</v>
      </c>
      <c r="F2956" s="3" t="s">
        <v>56</v>
      </c>
      <c r="G2956" s="3" t="str">
        <f>"2025-02-09 11:51:10.199"</f>
        <v>2025-02-09 11:51:10.199</v>
      </c>
      <c r="H2956" s="3" t="s">
        <v>21</v>
      </c>
    </row>
    <row r="2957" spans="1:10" s="3" customFormat="1" x14ac:dyDescent="0.25">
      <c r="A2957" s="2">
        <v>113</v>
      </c>
      <c r="B2957" s="3" t="s">
        <v>29</v>
      </c>
      <c r="C2957" s="3">
        <v>647</v>
      </c>
      <c r="D2957" s="3">
        <v>1</v>
      </c>
      <c r="E2957" s="3" t="s">
        <v>55</v>
      </c>
      <c r="F2957" s="3" t="s">
        <v>56</v>
      </c>
      <c r="G2957" s="3" t="str">
        <f>"2025-02-09 11:51:06.700"</f>
        <v>2025-02-09 11:51:06.700</v>
      </c>
      <c r="H2957" s="3" t="s">
        <v>21</v>
      </c>
      <c r="I2957" s="3">
        <v>13.54</v>
      </c>
      <c r="J2957" s="3" t="s">
        <v>54</v>
      </c>
    </row>
    <row r="2958" spans="1:10" x14ac:dyDescent="0.25">
      <c r="A2958" s="1">
        <v>114</v>
      </c>
      <c r="B2958" t="s">
        <v>75</v>
      </c>
      <c r="C2958">
        <v>128</v>
      </c>
      <c r="D2958">
        <v>4</v>
      </c>
      <c r="E2958" t="s">
        <v>96</v>
      </c>
      <c r="F2958" t="s">
        <v>97</v>
      </c>
      <c r="G2958" t="str">
        <f>"2025-02-09 06:44:59.879"</f>
        <v>2025-02-09 06:44:59.879</v>
      </c>
      <c r="H2958" t="s">
        <v>92</v>
      </c>
    </row>
    <row r="2959" spans="1:10" x14ac:dyDescent="0.25">
      <c r="A2959" s="1">
        <v>115</v>
      </c>
      <c r="B2959" t="s">
        <v>33</v>
      </c>
      <c r="C2959">
        <v>128</v>
      </c>
      <c r="D2959">
        <v>4</v>
      </c>
      <c r="E2959" t="s">
        <v>96</v>
      </c>
      <c r="F2959" t="s">
        <v>97</v>
      </c>
      <c r="G2959" t="str">
        <f>"2025-02-09 06:44:54.866"</f>
        <v>2025-02-09 06:44:54.866</v>
      </c>
      <c r="H2959" t="s">
        <v>92</v>
      </c>
      <c r="I2959">
        <v>22.78</v>
      </c>
      <c r="J2959" t="s">
        <v>42</v>
      </c>
    </row>
    <row r="2960" spans="1:10" x14ac:dyDescent="0.25">
      <c r="A2960" s="1">
        <v>116</v>
      </c>
      <c r="B2960" t="s">
        <v>75</v>
      </c>
      <c r="C2960">
        <v>128</v>
      </c>
      <c r="D2960">
        <v>4</v>
      </c>
      <c r="E2960" t="s">
        <v>96</v>
      </c>
      <c r="F2960" t="s">
        <v>97</v>
      </c>
      <c r="G2960" t="str">
        <f>"2025-02-08 23:42:35.079"</f>
        <v>2025-02-08 23:42:35.079</v>
      </c>
      <c r="H2960" t="s">
        <v>92</v>
      </c>
    </row>
    <row r="2961" spans="1:10" x14ac:dyDescent="0.25">
      <c r="A2961" s="1">
        <v>117</v>
      </c>
      <c r="B2961" t="s">
        <v>33</v>
      </c>
      <c r="C2961">
        <v>128</v>
      </c>
      <c r="D2961">
        <v>4</v>
      </c>
      <c r="E2961" t="s">
        <v>96</v>
      </c>
      <c r="F2961" t="s">
        <v>97</v>
      </c>
      <c r="G2961" t="str">
        <f>"2025-02-08 23:42:30.046"</f>
        <v>2025-02-08 23:42:30.046</v>
      </c>
      <c r="H2961" t="s">
        <v>92</v>
      </c>
      <c r="I2961">
        <v>18.579999999999998</v>
      </c>
      <c r="J2961" t="s">
        <v>42</v>
      </c>
    </row>
    <row r="2962" spans="1:10" x14ac:dyDescent="0.25">
      <c r="A2962" s="1">
        <v>118</v>
      </c>
      <c r="B2962" t="s">
        <v>19</v>
      </c>
      <c r="C2962">
        <v>700</v>
      </c>
      <c r="D2962">
        <v>0</v>
      </c>
      <c r="E2962" t="s">
        <v>20</v>
      </c>
      <c r="F2962" t="s">
        <v>20</v>
      </c>
      <c r="G2962" t="str">
        <f>"2025-02-08 13:40:42.221"</f>
        <v>2025-02-08 13:40:42.221</v>
      </c>
      <c r="H2962" t="s">
        <v>21</v>
      </c>
    </row>
    <row r="2963" spans="1:10" s="3" customFormat="1" x14ac:dyDescent="0.25">
      <c r="A2963" s="2">
        <v>119</v>
      </c>
      <c r="B2963" s="3" t="s">
        <v>25</v>
      </c>
      <c r="C2963" s="3">
        <v>647</v>
      </c>
      <c r="D2963" s="3">
        <v>1</v>
      </c>
      <c r="E2963" s="3" t="s">
        <v>55</v>
      </c>
      <c r="F2963" s="3" t="s">
        <v>56</v>
      </c>
      <c r="G2963" s="3" t="str">
        <f>"2025-02-07 06:03:58.986"</f>
        <v>2025-02-07 06:03:58.986</v>
      </c>
      <c r="H2963" s="3" t="s">
        <v>21</v>
      </c>
    </row>
    <row r="2964" spans="1:10" s="3" customFormat="1" x14ac:dyDescent="0.25">
      <c r="A2964" s="2">
        <v>120</v>
      </c>
      <c r="B2964" s="3" t="s">
        <v>29</v>
      </c>
      <c r="C2964" s="3">
        <v>647</v>
      </c>
      <c r="D2964" s="3">
        <v>1</v>
      </c>
      <c r="E2964" s="3" t="s">
        <v>55</v>
      </c>
      <c r="F2964" s="3" t="s">
        <v>56</v>
      </c>
      <c r="G2964" s="3" t="str">
        <f>"2025-02-07 06:03:55.486"</f>
        <v>2025-02-07 06:03:55.486</v>
      </c>
      <c r="H2964" s="3" t="s">
        <v>21</v>
      </c>
      <c r="I2964" s="3">
        <v>20.86</v>
      </c>
      <c r="J2964" s="3" t="s">
        <v>37</v>
      </c>
    </row>
    <row r="2965" spans="1:10" s="3" customFormat="1" x14ac:dyDescent="0.25">
      <c r="A2965" s="2">
        <v>121</v>
      </c>
      <c r="B2965" s="3" t="s">
        <v>25</v>
      </c>
      <c r="C2965" s="3">
        <v>647</v>
      </c>
      <c r="D2965" s="3">
        <v>1</v>
      </c>
      <c r="E2965" s="3" t="s">
        <v>55</v>
      </c>
      <c r="F2965" s="3" t="s">
        <v>56</v>
      </c>
      <c r="G2965" s="3" t="str">
        <f>"2025-02-07 02:22:17.486"</f>
        <v>2025-02-07 02:22:17.486</v>
      </c>
      <c r="H2965" s="3" t="s">
        <v>21</v>
      </c>
    </row>
    <row r="2966" spans="1:10" s="3" customFormat="1" x14ac:dyDescent="0.25">
      <c r="A2966" s="2">
        <v>122</v>
      </c>
      <c r="B2966" s="3" t="s">
        <v>29</v>
      </c>
      <c r="C2966" s="3">
        <v>647</v>
      </c>
      <c r="D2966" s="3">
        <v>1</v>
      </c>
      <c r="E2966" s="3" t="s">
        <v>55</v>
      </c>
      <c r="F2966" s="3" t="s">
        <v>56</v>
      </c>
      <c r="G2966" s="3" t="str">
        <f>"2025-02-07 02:22:11.786"</f>
        <v>2025-02-07 02:22:11.786</v>
      </c>
      <c r="H2966" s="3" t="s">
        <v>21</v>
      </c>
      <c r="I2966" s="3">
        <v>23.49</v>
      </c>
      <c r="J2966" s="3" t="s">
        <v>37</v>
      </c>
    </row>
    <row r="2967" spans="1:10" s="3" customFormat="1" x14ac:dyDescent="0.25">
      <c r="A2967" s="2">
        <v>123</v>
      </c>
      <c r="B2967" s="3" t="s">
        <v>25</v>
      </c>
      <c r="C2967" s="3">
        <v>647</v>
      </c>
      <c r="D2967" s="3">
        <v>1</v>
      </c>
      <c r="E2967" s="3" t="s">
        <v>55</v>
      </c>
      <c r="F2967" s="3" t="s">
        <v>56</v>
      </c>
      <c r="G2967" s="3" t="str">
        <f>"2025-02-07 02:22:06.285"</f>
        <v>2025-02-07 02:22:06.285</v>
      </c>
      <c r="H2967" s="3" t="s">
        <v>21</v>
      </c>
    </row>
    <row r="2968" spans="1:10" s="3" customFormat="1" x14ac:dyDescent="0.25">
      <c r="A2968" s="2">
        <v>124</v>
      </c>
      <c r="B2968" s="3" t="s">
        <v>29</v>
      </c>
      <c r="C2968" s="3">
        <v>647</v>
      </c>
      <c r="D2968" s="3">
        <v>1</v>
      </c>
      <c r="E2968" s="3" t="s">
        <v>55</v>
      </c>
      <c r="F2968" s="3" t="s">
        <v>56</v>
      </c>
      <c r="G2968" s="3" t="str">
        <f>"2025-02-07 02:21:58.785"</f>
        <v>2025-02-07 02:21:58.785</v>
      </c>
      <c r="H2968" s="3" t="s">
        <v>21</v>
      </c>
      <c r="I2968" s="3">
        <v>25.33</v>
      </c>
      <c r="J2968" s="3" t="s">
        <v>37</v>
      </c>
    </row>
    <row r="2969" spans="1:10" s="3" customFormat="1" x14ac:dyDescent="0.25">
      <c r="A2969" s="2">
        <v>125</v>
      </c>
      <c r="B2969" s="3" t="s">
        <v>25</v>
      </c>
      <c r="C2969" s="3">
        <v>647</v>
      </c>
      <c r="D2969" s="3">
        <v>1</v>
      </c>
      <c r="E2969" s="3" t="s">
        <v>55</v>
      </c>
      <c r="F2969" s="3" t="s">
        <v>56</v>
      </c>
      <c r="G2969" s="3" t="str">
        <f>"2025-02-06 16:47:13.986"</f>
        <v>2025-02-06 16:47:13.986</v>
      </c>
      <c r="H2969" s="3" t="s">
        <v>21</v>
      </c>
    </row>
    <row r="2970" spans="1:10" s="3" customFormat="1" x14ac:dyDescent="0.25">
      <c r="A2970" s="2">
        <v>126</v>
      </c>
      <c r="B2970" s="3" t="s">
        <v>29</v>
      </c>
      <c r="C2970" s="3">
        <v>647</v>
      </c>
      <c r="D2970" s="3">
        <v>1</v>
      </c>
      <c r="E2970" s="3" t="s">
        <v>55</v>
      </c>
      <c r="F2970" s="3" t="s">
        <v>56</v>
      </c>
      <c r="G2970" s="3" t="str">
        <f>"2025-02-06 16:47:07.486"</f>
        <v>2025-02-06 16:47:07.486</v>
      </c>
      <c r="H2970" s="3" t="s">
        <v>21</v>
      </c>
      <c r="I2970" s="3">
        <v>13.9</v>
      </c>
      <c r="J2970" s="3" t="s">
        <v>54</v>
      </c>
    </row>
    <row r="2971" spans="1:10" x14ac:dyDescent="0.25">
      <c r="A2971" s="1">
        <v>127</v>
      </c>
      <c r="B2971" t="s">
        <v>75</v>
      </c>
      <c r="C2971">
        <v>135</v>
      </c>
      <c r="D2971">
        <v>7</v>
      </c>
      <c r="E2971" t="s">
        <v>90</v>
      </c>
      <c r="F2971" t="s">
        <v>91</v>
      </c>
      <c r="G2971" t="str">
        <f>"2025-02-06 10:11:52.467"</f>
        <v>2025-02-06 10:11:52.467</v>
      </c>
      <c r="H2971" t="s">
        <v>92</v>
      </c>
    </row>
    <row r="2972" spans="1:10" x14ac:dyDescent="0.25">
      <c r="A2972" s="1">
        <v>128</v>
      </c>
      <c r="B2972" t="s">
        <v>33</v>
      </c>
      <c r="C2972">
        <v>135</v>
      </c>
      <c r="D2972">
        <v>7</v>
      </c>
      <c r="E2972" t="s">
        <v>90</v>
      </c>
      <c r="F2972" t="s">
        <v>91</v>
      </c>
      <c r="G2972" t="str">
        <f>"2025-02-06 10:11:47.372"</f>
        <v>2025-02-06 10:11:47.372</v>
      </c>
      <c r="H2972" t="s">
        <v>92</v>
      </c>
      <c r="I2972">
        <v>11.32</v>
      </c>
      <c r="J2972" t="s">
        <v>42</v>
      </c>
    </row>
    <row r="2973" spans="1:10" x14ac:dyDescent="0.25">
      <c r="A2973" s="1">
        <v>129</v>
      </c>
      <c r="B2973" t="s">
        <v>25</v>
      </c>
      <c r="C2973">
        <v>98</v>
      </c>
      <c r="D2973">
        <v>1</v>
      </c>
      <c r="E2973" t="s">
        <v>64</v>
      </c>
      <c r="F2973" t="s">
        <v>65</v>
      </c>
      <c r="G2973" t="str">
        <f>"2025-02-05 21:41:49.298"</f>
        <v>2025-02-05 21:41:49.298</v>
      </c>
      <c r="H2973" t="s">
        <v>21</v>
      </c>
    </row>
    <row r="2974" spans="1:10" x14ac:dyDescent="0.25">
      <c r="A2974" s="1">
        <v>130</v>
      </c>
      <c r="B2974" t="s">
        <v>29</v>
      </c>
      <c r="C2974">
        <v>98</v>
      </c>
      <c r="D2974">
        <v>1</v>
      </c>
      <c r="E2974" t="s">
        <v>64</v>
      </c>
      <c r="F2974" t="s">
        <v>65</v>
      </c>
      <c r="G2974" t="str">
        <f>"2025-02-05 21:41:48.298"</f>
        <v>2025-02-05 21:41:48.298</v>
      </c>
      <c r="H2974" t="s">
        <v>21</v>
      </c>
      <c r="I2974">
        <v>0</v>
      </c>
      <c r="J2974" t="s">
        <v>37</v>
      </c>
    </row>
    <row r="2975" spans="1:10" x14ac:dyDescent="0.25">
      <c r="A2975" s="1">
        <v>131</v>
      </c>
      <c r="B2975" t="s">
        <v>25</v>
      </c>
      <c r="C2975">
        <v>98</v>
      </c>
      <c r="D2975">
        <v>1</v>
      </c>
      <c r="E2975" t="s">
        <v>64</v>
      </c>
      <c r="F2975" t="s">
        <v>65</v>
      </c>
      <c r="G2975" t="str">
        <f>"2025-02-05 21:41:47.898"</f>
        <v>2025-02-05 21:41:47.898</v>
      </c>
      <c r="H2975" t="s">
        <v>21</v>
      </c>
    </row>
    <row r="2976" spans="1:10" x14ac:dyDescent="0.25">
      <c r="A2976" s="1">
        <v>132</v>
      </c>
      <c r="B2976" t="s">
        <v>29</v>
      </c>
      <c r="C2976">
        <v>98</v>
      </c>
      <c r="D2976">
        <v>1</v>
      </c>
      <c r="E2976" t="s">
        <v>64</v>
      </c>
      <c r="F2976" t="s">
        <v>65</v>
      </c>
      <c r="G2976" t="str">
        <f>"2025-02-05 21:41:46.898"</f>
        <v>2025-02-05 21:41:46.898</v>
      </c>
      <c r="H2976" t="s">
        <v>21</v>
      </c>
      <c r="I2976">
        <v>0</v>
      </c>
      <c r="J2976" t="s">
        <v>37</v>
      </c>
    </row>
    <row r="2977" spans="1:10" x14ac:dyDescent="0.25">
      <c r="A2977" s="1">
        <v>133</v>
      </c>
      <c r="B2977" t="s">
        <v>75</v>
      </c>
      <c r="C2977">
        <v>128</v>
      </c>
      <c r="D2977">
        <v>7</v>
      </c>
      <c r="E2977" t="s">
        <v>96</v>
      </c>
      <c r="F2977" t="s">
        <v>98</v>
      </c>
      <c r="G2977" t="str">
        <f>"2025-02-04 21:50:20.067"</f>
        <v>2025-02-04 21:50:20.067</v>
      </c>
      <c r="H2977" t="s">
        <v>92</v>
      </c>
    </row>
    <row r="2978" spans="1:10" x14ac:dyDescent="0.25">
      <c r="A2978" s="1">
        <v>134</v>
      </c>
      <c r="B2978" t="s">
        <v>33</v>
      </c>
      <c r="C2978">
        <v>128</v>
      </c>
      <c r="D2978">
        <v>7</v>
      </c>
      <c r="E2978" t="s">
        <v>96</v>
      </c>
      <c r="F2978" t="s">
        <v>98</v>
      </c>
      <c r="G2978" t="str">
        <f>"2025-02-04 21:50:14.972"</f>
        <v>2025-02-04 21:50:14.972</v>
      </c>
      <c r="H2978" t="s">
        <v>92</v>
      </c>
      <c r="I2978">
        <v>9.86</v>
      </c>
      <c r="J2978" t="s">
        <v>42</v>
      </c>
    </row>
    <row r="2979" spans="1:10" x14ac:dyDescent="0.25">
      <c r="A2979" s="1">
        <v>135</v>
      </c>
      <c r="B2979" t="s">
        <v>25</v>
      </c>
      <c r="C2979">
        <v>98</v>
      </c>
      <c r="D2979">
        <v>1</v>
      </c>
      <c r="E2979" t="s">
        <v>64</v>
      </c>
      <c r="F2979" t="s">
        <v>65</v>
      </c>
      <c r="G2979" t="str">
        <f>"2025-02-04 19:50:20.498"</f>
        <v>2025-02-04 19:50:20.498</v>
      </c>
      <c r="H2979" t="s">
        <v>21</v>
      </c>
    </row>
    <row r="2980" spans="1:10" x14ac:dyDescent="0.25">
      <c r="A2980" s="1">
        <v>136</v>
      </c>
      <c r="B2980" t="s">
        <v>29</v>
      </c>
      <c r="C2980">
        <v>98</v>
      </c>
      <c r="D2980">
        <v>1</v>
      </c>
      <c r="E2980" t="s">
        <v>64</v>
      </c>
      <c r="F2980" t="s">
        <v>65</v>
      </c>
      <c r="G2980" t="str">
        <f>"2025-02-04 19:50:19.499"</f>
        <v>2025-02-04 19:50:19.499</v>
      </c>
      <c r="H2980" t="s">
        <v>21</v>
      </c>
      <c r="I2980">
        <v>0</v>
      </c>
      <c r="J2980" t="s">
        <v>37</v>
      </c>
    </row>
    <row r="2981" spans="1:10" x14ac:dyDescent="0.25">
      <c r="A2981" s="1">
        <v>137</v>
      </c>
      <c r="B2981" t="s">
        <v>25</v>
      </c>
      <c r="C2981">
        <v>619</v>
      </c>
      <c r="D2981">
        <v>1</v>
      </c>
      <c r="E2981" t="s">
        <v>26</v>
      </c>
      <c r="F2981" t="s">
        <v>27</v>
      </c>
      <c r="G2981" t="str">
        <f>"2025-02-04 13:33:24.886"</f>
        <v>2025-02-04 13:33:24.886</v>
      </c>
      <c r="H2981" t="s">
        <v>28</v>
      </c>
    </row>
    <row r="2982" spans="1:10" x14ac:dyDescent="0.25">
      <c r="A2982" s="1">
        <v>138</v>
      </c>
      <c r="B2982" t="s">
        <v>29</v>
      </c>
      <c r="C2982">
        <v>619</v>
      </c>
      <c r="D2982">
        <v>1</v>
      </c>
      <c r="E2982" t="s">
        <v>26</v>
      </c>
      <c r="F2982" t="s">
        <v>27</v>
      </c>
      <c r="G2982" t="str">
        <f>"2025-02-04 13:32:37.686"</f>
        <v>2025-02-04 13:32:37.686</v>
      </c>
      <c r="H2982" t="s">
        <v>28</v>
      </c>
      <c r="I2982">
        <v>0</v>
      </c>
      <c r="J2982" t="s">
        <v>37</v>
      </c>
    </row>
    <row r="2983" spans="1:10" x14ac:dyDescent="0.25">
      <c r="A2983" s="1">
        <v>139</v>
      </c>
      <c r="B2983" t="s">
        <v>19</v>
      </c>
      <c r="C2983">
        <v>700</v>
      </c>
      <c r="D2983">
        <v>0</v>
      </c>
      <c r="E2983" t="s">
        <v>20</v>
      </c>
      <c r="F2983" t="s">
        <v>20</v>
      </c>
      <c r="G2983" t="str">
        <f>"2025-02-04 13:32:07.188"</f>
        <v>2025-02-04 13:32:07.188</v>
      </c>
      <c r="H2983" t="s">
        <v>21</v>
      </c>
      <c r="I2983">
        <v>0</v>
      </c>
      <c r="J2983" t="s">
        <v>32</v>
      </c>
    </row>
    <row r="2984" spans="1:10" x14ac:dyDescent="0.25">
      <c r="A2984" s="1">
        <v>140</v>
      </c>
      <c r="B2984" t="s">
        <v>25</v>
      </c>
      <c r="C2984">
        <v>619</v>
      </c>
      <c r="D2984">
        <v>1</v>
      </c>
      <c r="E2984" t="s">
        <v>26</v>
      </c>
      <c r="F2984" t="s">
        <v>27</v>
      </c>
      <c r="G2984" t="str">
        <f>"2025-02-04 13:09:04.635"</f>
        <v>2025-02-04 13:09:04.635</v>
      </c>
      <c r="H2984" t="s">
        <v>28</v>
      </c>
    </row>
    <row r="2985" spans="1:10" x14ac:dyDescent="0.25">
      <c r="A2985" s="1">
        <v>141</v>
      </c>
      <c r="B2985" t="s">
        <v>29</v>
      </c>
      <c r="C2985">
        <v>619</v>
      </c>
      <c r="D2985">
        <v>1</v>
      </c>
      <c r="E2985" t="s">
        <v>26</v>
      </c>
      <c r="F2985" t="s">
        <v>27</v>
      </c>
      <c r="G2985" t="str">
        <f>"2025-02-04 13:08:23.684"</f>
        <v>2025-02-04 13:08:23.684</v>
      </c>
      <c r="H2985" t="s">
        <v>28</v>
      </c>
      <c r="I2985">
        <v>0</v>
      </c>
      <c r="J2985" t="s">
        <v>37</v>
      </c>
    </row>
    <row r="2986" spans="1:10" x14ac:dyDescent="0.25">
      <c r="A2986" s="1">
        <v>142</v>
      </c>
      <c r="B2986" t="s">
        <v>19</v>
      </c>
      <c r="C2986">
        <v>700</v>
      </c>
      <c r="D2986">
        <v>0</v>
      </c>
      <c r="E2986" t="s">
        <v>20</v>
      </c>
      <c r="F2986" t="s">
        <v>20</v>
      </c>
      <c r="G2986" t="str">
        <f>"2025-02-04 13:07:53.185"</f>
        <v>2025-02-04 13:07:53.185</v>
      </c>
      <c r="H2986" t="s">
        <v>21</v>
      </c>
      <c r="I2986">
        <v>0</v>
      </c>
      <c r="J2986" t="s">
        <v>32</v>
      </c>
    </row>
    <row r="2987" spans="1:10" x14ac:dyDescent="0.25">
      <c r="A2987" s="1">
        <v>143</v>
      </c>
      <c r="B2987" t="s">
        <v>25</v>
      </c>
      <c r="C2987">
        <v>619</v>
      </c>
      <c r="D2987">
        <v>1</v>
      </c>
      <c r="E2987" t="s">
        <v>26</v>
      </c>
      <c r="F2987" t="s">
        <v>27</v>
      </c>
      <c r="G2987" t="str">
        <f>"2025-02-04 12:39:04.789"</f>
        <v>2025-02-04 12:39:04.789</v>
      </c>
      <c r="H2987" t="s">
        <v>28</v>
      </c>
    </row>
    <row r="2988" spans="1:10" x14ac:dyDescent="0.25">
      <c r="A2988" s="1">
        <v>144</v>
      </c>
      <c r="B2988" t="s">
        <v>29</v>
      </c>
      <c r="C2988">
        <v>619</v>
      </c>
      <c r="D2988">
        <v>1</v>
      </c>
      <c r="E2988" t="s">
        <v>26</v>
      </c>
      <c r="F2988" t="s">
        <v>27</v>
      </c>
      <c r="G2988" t="str">
        <f>"2025-02-04 12:38:08.989"</f>
        <v>2025-02-04 12:38:08.989</v>
      </c>
      <c r="H2988" t="s">
        <v>28</v>
      </c>
      <c r="I2988">
        <v>0</v>
      </c>
      <c r="J2988" t="s">
        <v>24</v>
      </c>
    </row>
    <row r="2989" spans="1:10" x14ac:dyDescent="0.25">
      <c r="A2989" s="1">
        <v>145</v>
      </c>
      <c r="B2989" t="s">
        <v>19</v>
      </c>
      <c r="C2989">
        <v>706</v>
      </c>
      <c r="D2989">
        <v>2</v>
      </c>
      <c r="E2989" t="s">
        <v>22</v>
      </c>
      <c r="F2989" t="s">
        <v>53</v>
      </c>
      <c r="G2989" t="str">
        <f>"2025-02-04 12:38:03.147"</f>
        <v>2025-02-04 12:38:03.147</v>
      </c>
      <c r="H2989" t="s">
        <v>21</v>
      </c>
      <c r="I2989">
        <v>0</v>
      </c>
      <c r="J2989" t="s">
        <v>24</v>
      </c>
    </row>
    <row r="2990" spans="1:10" x14ac:dyDescent="0.25">
      <c r="A2990" s="1">
        <v>146</v>
      </c>
      <c r="B2990" t="s">
        <v>19</v>
      </c>
      <c r="C2990">
        <v>700</v>
      </c>
      <c r="D2990">
        <v>0</v>
      </c>
      <c r="E2990" t="s">
        <v>20</v>
      </c>
      <c r="F2990" t="s">
        <v>20</v>
      </c>
      <c r="G2990" t="str">
        <f>"2025-02-04 12:36:07.187"</f>
        <v>2025-02-04 12:36:07.187</v>
      </c>
      <c r="H2990" t="s">
        <v>21</v>
      </c>
      <c r="I2990">
        <v>0</v>
      </c>
      <c r="J2990" t="s">
        <v>32</v>
      </c>
    </row>
    <row r="2991" spans="1:10" x14ac:dyDescent="0.25">
      <c r="A2991" s="1">
        <v>147</v>
      </c>
      <c r="B2991" t="s">
        <v>19</v>
      </c>
      <c r="C2991">
        <v>700</v>
      </c>
      <c r="D2991">
        <v>0</v>
      </c>
      <c r="E2991" t="s">
        <v>20</v>
      </c>
      <c r="F2991" t="s">
        <v>20</v>
      </c>
      <c r="G2991" t="str">
        <f>"2025-02-04 12:18:46.189"</f>
        <v>2025-02-04 12:18:46.189</v>
      </c>
      <c r="H2991" t="s">
        <v>21</v>
      </c>
      <c r="I2991">
        <v>0</v>
      </c>
      <c r="J2991" t="s">
        <v>32</v>
      </c>
    </row>
    <row r="2992" spans="1:10" x14ac:dyDescent="0.25">
      <c r="A2992" s="1">
        <v>148</v>
      </c>
      <c r="B2992" t="s">
        <v>19</v>
      </c>
      <c r="C2992">
        <v>700</v>
      </c>
      <c r="D2992">
        <v>0</v>
      </c>
      <c r="E2992" t="s">
        <v>20</v>
      </c>
      <c r="F2992" t="s">
        <v>20</v>
      </c>
      <c r="G2992" t="str">
        <f>"2025-02-04 10:17:01.455"</f>
        <v>2025-02-04 10:17:01.455</v>
      </c>
      <c r="H2992" t="s">
        <v>21</v>
      </c>
      <c r="I2992">
        <v>0</v>
      </c>
      <c r="J2992" t="s">
        <v>32</v>
      </c>
    </row>
    <row r="2993" spans="1:10" s="3" customFormat="1" x14ac:dyDescent="0.25">
      <c r="A2993" s="2">
        <v>149</v>
      </c>
      <c r="B2993" s="3" t="s">
        <v>25</v>
      </c>
      <c r="C2993" s="3">
        <v>647</v>
      </c>
      <c r="D2993" s="3">
        <v>1</v>
      </c>
      <c r="E2993" s="3" t="s">
        <v>55</v>
      </c>
      <c r="F2993" s="3" t="s">
        <v>56</v>
      </c>
      <c r="G2993" s="3" t="str">
        <f>"2025-02-04 05:19:03.191"</f>
        <v>2025-02-04 05:19:03.191</v>
      </c>
      <c r="H2993" s="3" t="s">
        <v>21</v>
      </c>
    </row>
    <row r="2994" spans="1:10" s="3" customFormat="1" x14ac:dyDescent="0.25">
      <c r="A2994" s="2">
        <v>150</v>
      </c>
      <c r="B2994" s="3" t="s">
        <v>29</v>
      </c>
      <c r="C2994" s="3">
        <v>647</v>
      </c>
      <c r="D2994" s="3">
        <v>1</v>
      </c>
      <c r="E2994" s="3" t="s">
        <v>55</v>
      </c>
      <c r="F2994" s="3" t="s">
        <v>56</v>
      </c>
      <c r="G2994" s="3" t="str">
        <f>"2025-02-04 05:19:01.391"</f>
        <v>2025-02-04 05:19:01.391</v>
      </c>
      <c r="H2994" s="3" t="s">
        <v>21</v>
      </c>
      <c r="I2994" s="3">
        <v>13.42</v>
      </c>
      <c r="J2994" s="3" t="s">
        <v>37</v>
      </c>
    </row>
    <row r="2995" spans="1:10" s="3" customFormat="1" x14ac:dyDescent="0.25">
      <c r="A2995" s="2">
        <v>151</v>
      </c>
      <c r="B2995" s="3" t="s">
        <v>25</v>
      </c>
      <c r="C2995" s="3">
        <v>647</v>
      </c>
      <c r="D2995" s="3">
        <v>1</v>
      </c>
      <c r="E2995" s="3" t="s">
        <v>55</v>
      </c>
      <c r="F2995" s="3" t="s">
        <v>56</v>
      </c>
      <c r="G2995" s="3" t="str">
        <f>"2025-02-04 02:31:50.691"</f>
        <v>2025-02-04 02:31:50.691</v>
      </c>
      <c r="H2995" s="3" t="s">
        <v>21</v>
      </c>
    </row>
    <row r="2996" spans="1:10" s="3" customFormat="1" x14ac:dyDescent="0.25">
      <c r="A2996" s="2">
        <v>152</v>
      </c>
      <c r="B2996" s="3" t="s">
        <v>29</v>
      </c>
      <c r="C2996" s="3">
        <v>647</v>
      </c>
      <c r="D2996" s="3">
        <v>1</v>
      </c>
      <c r="E2996" s="3" t="s">
        <v>55</v>
      </c>
      <c r="F2996" s="3" t="s">
        <v>56</v>
      </c>
      <c r="G2996" s="3" t="str">
        <f>"2025-02-04 02:31:45.991"</f>
        <v>2025-02-04 02:31:45.991</v>
      </c>
      <c r="H2996" s="3" t="s">
        <v>21</v>
      </c>
      <c r="I2996" s="3">
        <v>24.1</v>
      </c>
      <c r="J2996" s="3" t="s">
        <v>37</v>
      </c>
    </row>
    <row r="2997" spans="1:10" x14ac:dyDescent="0.25">
      <c r="A2997" s="1">
        <v>153</v>
      </c>
      <c r="B2997" t="s">
        <v>75</v>
      </c>
      <c r="C2997">
        <v>237</v>
      </c>
      <c r="D2997">
        <v>7</v>
      </c>
      <c r="E2997" t="s">
        <v>99</v>
      </c>
      <c r="F2997" t="s">
        <v>100</v>
      </c>
      <c r="G2997" t="str">
        <f>"2025-02-03 17:34:44.375"</f>
        <v>2025-02-03 17:34:44.375</v>
      </c>
      <c r="H2997" t="s">
        <v>70</v>
      </c>
    </row>
    <row r="2998" spans="1:10" x14ac:dyDescent="0.25">
      <c r="A2998" s="1">
        <v>154</v>
      </c>
      <c r="B2998" t="s">
        <v>33</v>
      </c>
      <c r="C2998">
        <v>237</v>
      </c>
      <c r="D2998">
        <v>7</v>
      </c>
      <c r="E2998" t="s">
        <v>99</v>
      </c>
      <c r="F2998" t="s">
        <v>100</v>
      </c>
      <c r="G2998" t="str">
        <f>"2025-02-03 17:34:39.357"</f>
        <v>2025-02-03 17:34:39.357</v>
      </c>
      <c r="H2998" t="s">
        <v>70</v>
      </c>
      <c r="I2998">
        <v>11.25</v>
      </c>
      <c r="J2998" t="s">
        <v>42</v>
      </c>
    </row>
    <row r="2999" spans="1:10" x14ac:dyDescent="0.25">
      <c r="A2999" s="1">
        <v>155</v>
      </c>
      <c r="B2999" t="s">
        <v>25</v>
      </c>
      <c r="C2999">
        <v>619</v>
      </c>
      <c r="D2999">
        <v>1</v>
      </c>
      <c r="E2999" t="s">
        <v>26</v>
      </c>
      <c r="F2999" t="s">
        <v>27</v>
      </c>
      <c r="G2999" t="str">
        <f>"2025-02-03 15:20:43.843"</f>
        <v>2025-02-03 15:20:43.843</v>
      </c>
      <c r="H2999" t="s">
        <v>28</v>
      </c>
    </row>
    <row r="3000" spans="1:10" x14ac:dyDescent="0.25">
      <c r="A3000" s="1">
        <v>156</v>
      </c>
      <c r="B3000" t="s">
        <v>29</v>
      </c>
      <c r="C3000">
        <v>619</v>
      </c>
      <c r="D3000">
        <v>1</v>
      </c>
      <c r="E3000" t="s">
        <v>26</v>
      </c>
      <c r="F3000" t="s">
        <v>27</v>
      </c>
      <c r="G3000" t="str">
        <f>"2025-02-03 15:19:59.743"</f>
        <v>2025-02-03 15:19:59.743</v>
      </c>
      <c r="H3000" t="s">
        <v>28</v>
      </c>
      <c r="I3000">
        <v>0</v>
      </c>
      <c r="J3000" t="s">
        <v>24</v>
      </c>
    </row>
    <row r="3001" spans="1:10" x14ac:dyDescent="0.25">
      <c r="A3001" s="1">
        <v>157</v>
      </c>
      <c r="B3001" t="s">
        <v>19</v>
      </c>
      <c r="C3001">
        <v>700</v>
      </c>
      <c r="D3001">
        <v>0</v>
      </c>
      <c r="E3001" t="s">
        <v>20</v>
      </c>
      <c r="F3001" t="s">
        <v>20</v>
      </c>
      <c r="G3001" t="str">
        <f>"2025-02-03 15:19:53.183"</f>
        <v>2025-02-03 15:19:53.183</v>
      </c>
      <c r="H3001" t="s">
        <v>21</v>
      </c>
      <c r="I3001">
        <v>0</v>
      </c>
      <c r="J3001" t="s">
        <v>32</v>
      </c>
    </row>
    <row r="3002" spans="1:10" x14ac:dyDescent="0.25">
      <c r="A3002" s="1">
        <v>158</v>
      </c>
      <c r="B3002" t="s">
        <v>19</v>
      </c>
      <c r="C3002">
        <v>700</v>
      </c>
      <c r="D3002">
        <v>0</v>
      </c>
      <c r="E3002" t="s">
        <v>20</v>
      </c>
      <c r="F3002" t="s">
        <v>20</v>
      </c>
      <c r="G3002" t="str">
        <f>"2025-02-03 15:18:37.178"</f>
        <v>2025-02-03 15:18:37.178</v>
      </c>
      <c r="H3002" t="s">
        <v>21</v>
      </c>
      <c r="I3002">
        <v>0</v>
      </c>
      <c r="J3002" t="s">
        <v>32</v>
      </c>
    </row>
    <row r="3003" spans="1:10" x14ac:dyDescent="0.25">
      <c r="A3003" s="1">
        <v>159</v>
      </c>
      <c r="B3003" t="s">
        <v>19</v>
      </c>
      <c r="C3003">
        <v>706</v>
      </c>
      <c r="D3003">
        <v>4</v>
      </c>
      <c r="E3003" t="s">
        <v>22</v>
      </c>
      <c r="F3003" t="s">
        <v>31</v>
      </c>
      <c r="G3003" t="str">
        <f>"2025-02-03 15:14:35.857"</f>
        <v>2025-02-03 15:14:35.857</v>
      </c>
      <c r="H3003" t="s">
        <v>21</v>
      </c>
      <c r="I3003">
        <v>0</v>
      </c>
      <c r="J3003" t="s">
        <v>24</v>
      </c>
    </row>
    <row r="3004" spans="1:10" x14ac:dyDescent="0.25">
      <c r="A3004" s="1">
        <v>160</v>
      </c>
      <c r="B3004" t="s">
        <v>19</v>
      </c>
      <c r="C3004">
        <v>706</v>
      </c>
      <c r="D3004">
        <v>4</v>
      </c>
      <c r="E3004" t="s">
        <v>22</v>
      </c>
      <c r="F3004" t="s">
        <v>31</v>
      </c>
      <c r="G3004" t="str">
        <f>"2025-02-03 15:14:02.557"</f>
        <v>2025-02-03 15:14:02.557</v>
      </c>
      <c r="H3004" t="s">
        <v>21</v>
      </c>
      <c r="I3004">
        <v>0</v>
      </c>
      <c r="J3004" t="s">
        <v>24</v>
      </c>
    </row>
    <row r="3005" spans="1:10" x14ac:dyDescent="0.25">
      <c r="A3005" s="1">
        <v>161</v>
      </c>
      <c r="B3005" t="s">
        <v>19</v>
      </c>
      <c r="C3005">
        <v>700</v>
      </c>
      <c r="D3005">
        <v>0</v>
      </c>
      <c r="E3005" t="s">
        <v>20</v>
      </c>
      <c r="F3005" t="s">
        <v>20</v>
      </c>
      <c r="G3005" t="str">
        <f>"2025-02-03 15:13:47.177"</f>
        <v>2025-02-03 15:13:47.177</v>
      </c>
      <c r="H3005" t="s">
        <v>21</v>
      </c>
      <c r="I3005">
        <v>0</v>
      </c>
      <c r="J3005" t="s">
        <v>32</v>
      </c>
    </row>
    <row r="3006" spans="1:10" x14ac:dyDescent="0.25">
      <c r="A3006" s="1">
        <v>162</v>
      </c>
      <c r="B3006" t="s">
        <v>19</v>
      </c>
      <c r="C3006">
        <v>700</v>
      </c>
      <c r="D3006">
        <v>0</v>
      </c>
      <c r="E3006" t="s">
        <v>20</v>
      </c>
      <c r="F3006" t="s">
        <v>20</v>
      </c>
      <c r="G3006" t="str">
        <f>"2025-02-03 15:11:43.162"</f>
        <v>2025-02-03 15:11:43.162</v>
      </c>
      <c r="H3006" t="s">
        <v>21</v>
      </c>
      <c r="I3006">
        <v>0</v>
      </c>
      <c r="J3006" t="s">
        <v>32</v>
      </c>
    </row>
    <row r="3007" spans="1:10" x14ac:dyDescent="0.25">
      <c r="A3007" s="1">
        <v>163</v>
      </c>
      <c r="B3007" t="s">
        <v>19</v>
      </c>
      <c r="C3007">
        <v>700</v>
      </c>
      <c r="D3007">
        <v>0</v>
      </c>
      <c r="E3007" t="s">
        <v>20</v>
      </c>
      <c r="F3007" t="s">
        <v>20</v>
      </c>
      <c r="G3007" t="str">
        <f>"2025-02-03 15:09:23.354"</f>
        <v>2025-02-03 15:09:23.354</v>
      </c>
      <c r="H3007" t="s">
        <v>21</v>
      </c>
    </row>
    <row r="3008" spans="1:10" x14ac:dyDescent="0.25">
      <c r="A3008" s="1">
        <v>164</v>
      </c>
      <c r="B3008" t="s">
        <v>19</v>
      </c>
      <c r="C3008">
        <v>706</v>
      </c>
      <c r="D3008">
        <v>2</v>
      </c>
      <c r="E3008" t="s">
        <v>22</v>
      </c>
      <c r="F3008" t="s">
        <v>53</v>
      </c>
      <c r="G3008" t="str">
        <f>"2025-02-03 15:07:41.957"</f>
        <v>2025-02-03 15:07:41.957</v>
      </c>
      <c r="H3008" t="s">
        <v>21</v>
      </c>
      <c r="I3008">
        <v>0</v>
      </c>
      <c r="J3008" t="s">
        <v>24</v>
      </c>
    </row>
    <row r="3009" spans="1:10" x14ac:dyDescent="0.25">
      <c r="A3009" s="1">
        <v>165</v>
      </c>
      <c r="B3009" t="s">
        <v>19</v>
      </c>
      <c r="C3009">
        <v>706</v>
      </c>
      <c r="D3009">
        <v>2</v>
      </c>
      <c r="E3009" t="s">
        <v>22</v>
      </c>
      <c r="F3009" t="s">
        <v>53</v>
      </c>
      <c r="G3009" t="str">
        <f>"2025-02-03 15:07:15.957"</f>
        <v>2025-02-03 15:07:15.957</v>
      </c>
      <c r="H3009" t="s">
        <v>21</v>
      </c>
      <c r="I3009">
        <v>0</v>
      </c>
      <c r="J3009" t="s">
        <v>24</v>
      </c>
    </row>
    <row r="3010" spans="1:10" x14ac:dyDescent="0.25">
      <c r="A3010" s="1">
        <v>166</v>
      </c>
      <c r="B3010" t="s">
        <v>19</v>
      </c>
      <c r="C3010">
        <v>706</v>
      </c>
      <c r="D3010">
        <v>2</v>
      </c>
      <c r="E3010" t="s">
        <v>22</v>
      </c>
      <c r="F3010" t="s">
        <v>53</v>
      </c>
      <c r="G3010" t="str">
        <f>"2025-02-03 15:06:20.557"</f>
        <v>2025-02-03 15:06:20.557</v>
      </c>
      <c r="H3010" t="s">
        <v>21</v>
      </c>
      <c r="I3010">
        <v>0</v>
      </c>
      <c r="J3010" t="s">
        <v>24</v>
      </c>
    </row>
    <row r="3011" spans="1:10" x14ac:dyDescent="0.25">
      <c r="A3011" s="1">
        <v>167</v>
      </c>
      <c r="B3011" t="s">
        <v>19</v>
      </c>
      <c r="C3011">
        <v>706</v>
      </c>
      <c r="D3011">
        <v>4</v>
      </c>
      <c r="E3011" t="s">
        <v>22</v>
      </c>
      <c r="F3011" t="s">
        <v>31</v>
      </c>
      <c r="G3011" t="str">
        <f>"2025-02-02 11:45:11.967"</f>
        <v>2025-02-02 11:45:11.967</v>
      </c>
      <c r="H3011" t="s">
        <v>21</v>
      </c>
      <c r="I3011">
        <v>0</v>
      </c>
      <c r="J3011" t="s">
        <v>24</v>
      </c>
    </row>
    <row r="3012" spans="1:10" x14ac:dyDescent="0.25">
      <c r="A3012" s="1">
        <v>168</v>
      </c>
      <c r="B3012" t="s">
        <v>19</v>
      </c>
      <c r="C3012">
        <v>700</v>
      </c>
      <c r="D3012">
        <v>0</v>
      </c>
      <c r="E3012" t="s">
        <v>20</v>
      </c>
      <c r="F3012" t="s">
        <v>20</v>
      </c>
      <c r="G3012" t="str">
        <f>"2025-02-02 03:02:59.117"</f>
        <v>2025-02-02 03:02:59.117</v>
      </c>
      <c r="H3012" t="s">
        <v>21</v>
      </c>
    </row>
    <row r="3013" spans="1:10" x14ac:dyDescent="0.25">
      <c r="A3013" s="1">
        <v>169</v>
      </c>
      <c r="B3013" t="s">
        <v>25</v>
      </c>
      <c r="C3013">
        <v>619</v>
      </c>
      <c r="D3013">
        <v>1</v>
      </c>
      <c r="E3013" t="s">
        <v>26</v>
      </c>
      <c r="F3013" t="s">
        <v>27</v>
      </c>
      <c r="G3013" t="str">
        <f>"2025-02-02 03:01:30.128"</f>
        <v>2025-02-02 03:01:30.128</v>
      </c>
      <c r="H3013" t="s">
        <v>28</v>
      </c>
    </row>
    <row r="3014" spans="1:10" x14ac:dyDescent="0.25">
      <c r="A3014" s="1">
        <v>170</v>
      </c>
      <c r="B3014" t="s">
        <v>29</v>
      </c>
      <c r="C3014">
        <v>619</v>
      </c>
      <c r="D3014">
        <v>1</v>
      </c>
      <c r="E3014" t="s">
        <v>26</v>
      </c>
      <c r="F3014" t="s">
        <v>27</v>
      </c>
      <c r="G3014" t="str">
        <f>"2025-02-02 02:33:19.928"</f>
        <v>2025-02-02 02:33:19.928</v>
      </c>
      <c r="H3014" t="s">
        <v>28</v>
      </c>
      <c r="I3014">
        <v>7.72</v>
      </c>
      <c r="J3014" t="s">
        <v>42</v>
      </c>
    </row>
    <row r="3015" spans="1:10" x14ac:dyDescent="0.25">
      <c r="A3015" s="1">
        <v>171</v>
      </c>
      <c r="B3015" t="s">
        <v>25</v>
      </c>
      <c r="C3015">
        <v>42</v>
      </c>
      <c r="D3015">
        <v>1</v>
      </c>
      <c r="E3015" t="s">
        <v>101</v>
      </c>
      <c r="F3015" t="s">
        <v>102</v>
      </c>
      <c r="G3015" t="str">
        <f>"2025-02-02 00:17:13.206"</f>
        <v>2025-02-02 00:17:13.206</v>
      </c>
      <c r="H3015" t="s">
        <v>103</v>
      </c>
    </row>
    <row r="3016" spans="1:10" x14ac:dyDescent="0.25">
      <c r="A3016" s="1">
        <v>172</v>
      </c>
      <c r="B3016" t="s">
        <v>29</v>
      </c>
      <c r="C3016">
        <v>42</v>
      </c>
      <c r="D3016">
        <v>1</v>
      </c>
      <c r="E3016" t="s">
        <v>101</v>
      </c>
      <c r="F3016" t="s">
        <v>102</v>
      </c>
      <c r="G3016" t="str">
        <f>"2025-02-02 00:17:07.006"</f>
        <v>2025-02-02 00:17:07.006</v>
      </c>
      <c r="H3016" t="s">
        <v>103</v>
      </c>
      <c r="I3016">
        <v>0</v>
      </c>
      <c r="J3016" t="s">
        <v>24</v>
      </c>
    </row>
    <row r="3017" spans="1:10" x14ac:dyDescent="0.25">
      <c r="A3017" s="1">
        <v>173</v>
      </c>
      <c r="B3017" t="s">
        <v>25</v>
      </c>
      <c r="C3017">
        <v>43</v>
      </c>
      <c r="D3017">
        <v>1</v>
      </c>
      <c r="E3017" t="s">
        <v>104</v>
      </c>
      <c r="F3017" t="s">
        <v>105</v>
      </c>
      <c r="G3017" t="str">
        <f>"2025-02-02 00:04:39.989"</f>
        <v>2025-02-02 00:04:39.989</v>
      </c>
      <c r="H3017" t="s">
        <v>40</v>
      </c>
    </row>
    <row r="3018" spans="1:10" x14ac:dyDescent="0.25">
      <c r="A3018" s="1">
        <v>174</v>
      </c>
      <c r="B3018" t="s">
        <v>19</v>
      </c>
      <c r="C3018">
        <v>700</v>
      </c>
      <c r="D3018">
        <v>0</v>
      </c>
      <c r="E3018" t="s">
        <v>20</v>
      </c>
      <c r="F3018" t="s">
        <v>20</v>
      </c>
      <c r="G3018" t="str">
        <f>"2025-02-02 00:04:27.069"</f>
        <v>2025-02-02 00:04:27.069</v>
      </c>
      <c r="H3018" t="s">
        <v>21</v>
      </c>
    </row>
    <row r="3019" spans="1:10" x14ac:dyDescent="0.25">
      <c r="A3019" s="1">
        <v>175</v>
      </c>
      <c r="B3019" t="s">
        <v>29</v>
      </c>
      <c r="C3019">
        <v>43</v>
      </c>
      <c r="D3019">
        <v>1</v>
      </c>
      <c r="E3019" t="s">
        <v>104</v>
      </c>
      <c r="F3019" t="s">
        <v>105</v>
      </c>
      <c r="G3019" t="str">
        <f>"2025-02-01 23:50:11.830"</f>
        <v>2025-02-01 23:50:11.830</v>
      </c>
      <c r="H3019" t="s">
        <v>40</v>
      </c>
      <c r="I3019">
        <v>0</v>
      </c>
      <c r="J3019" t="s">
        <v>24</v>
      </c>
    </row>
    <row r="3020" spans="1:10" x14ac:dyDescent="0.25">
      <c r="A3020" s="1">
        <v>176</v>
      </c>
      <c r="B3020" t="s">
        <v>19</v>
      </c>
      <c r="C3020">
        <v>700</v>
      </c>
      <c r="D3020">
        <v>0</v>
      </c>
      <c r="E3020" t="s">
        <v>20</v>
      </c>
      <c r="F3020" t="s">
        <v>20</v>
      </c>
      <c r="G3020" t="str">
        <f>"2025-02-01 22:39:48.068"</f>
        <v>2025-02-01 22:39:48.068</v>
      </c>
      <c r="H3020" t="s">
        <v>21</v>
      </c>
      <c r="I3020">
        <v>0</v>
      </c>
      <c r="J3020" t="s">
        <v>32</v>
      </c>
    </row>
    <row r="3021" spans="1:10" x14ac:dyDescent="0.25">
      <c r="A3021" s="1">
        <v>177</v>
      </c>
      <c r="B3021" t="s">
        <v>19</v>
      </c>
      <c r="C3021">
        <v>700</v>
      </c>
      <c r="D3021">
        <v>0</v>
      </c>
      <c r="E3021" t="s">
        <v>20</v>
      </c>
      <c r="F3021" t="s">
        <v>20</v>
      </c>
      <c r="G3021" t="str">
        <f>"2025-02-01 21:55:48.071"</f>
        <v>2025-02-01 21:55:48.071</v>
      </c>
      <c r="H3021" t="s">
        <v>21</v>
      </c>
      <c r="I3021">
        <v>0</v>
      </c>
      <c r="J3021" t="s">
        <v>32</v>
      </c>
    </row>
    <row r="3022" spans="1:10" x14ac:dyDescent="0.25">
      <c r="A3022" s="1">
        <v>178</v>
      </c>
      <c r="B3022" t="s">
        <v>19</v>
      </c>
      <c r="C3022">
        <v>700</v>
      </c>
      <c r="D3022">
        <v>0</v>
      </c>
      <c r="E3022" t="s">
        <v>20</v>
      </c>
      <c r="F3022" t="s">
        <v>20</v>
      </c>
      <c r="G3022" t="str">
        <f>"2025-02-01 21:34:46.067"</f>
        <v>2025-02-01 21:34:46.067</v>
      </c>
      <c r="H3022" t="s">
        <v>21</v>
      </c>
      <c r="I3022">
        <v>0</v>
      </c>
      <c r="J3022" t="s">
        <v>32</v>
      </c>
    </row>
    <row r="3023" spans="1:10" x14ac:dyDescent="0.25">
      <c r="A3023" s="1">
        <v>179</v>
      </c>
      <c r="B3023" t="s">
        <v>19</v>
      </c>
      <c r="C3023">
        <v>700</v>
      </c>
      <c r="D3023">
        <v>0</v>
      </c>
      <c r="E3023" t="s">
        <v>20</v>
      </c>
      <c r="F3023" t="s">
        <v>20</v>
      </c>
      <c r="G3023" t="str">
        <f>"2025-02-01 21:20:35.069"</f>
        <v>2025-02-01 21:20:35.069</v>
      </c>
      <c r="H3023" t="s">
        <v>21</v>
      </c>
      <c r="I3023">
        <v>0</v>
      </c>
      <c r="J3023" t="s">
        <v>32</v>
      </c>
    </row>
    <row r="3024" spans="1:10" x14ac:dyDescent="0.25">
      <c r="A3024" s="1">
        <v>180</v>
      </c>
      <c r="B3024" t="s">
        <v>19</v>
      </c>
      <c r="C3024">
        <v>700</v>
      </c>
      <c r="D3024">
        <v>0</v>
      </c>
      <c r="E3024" t="s">
        <v>20</v>
      </c>
      <c r="F3024" t="s">
        <v>20</v>
      </c>
      <c r="G3024" t="str">
        <f>"2025-02-01 19:03:23.070"</f>
        <v>2025-02-01 19:03:23.070</v>
      </c>
      <c r="H3024" t="s">
        <v>21</v>
      </c>
      <c r="I3024">
        <v>0</v>
      </c>
      <c r="J3024" t="s">
        <v>32</v>
      </c>
    </row>
    <row r="3025" spans="1:10" x14ac:dyDescent="0.25">
      <c r="A3025" s="1">
        <v>181</v>
      </c>
      <c r="B3025" t="s">
        <v>19</v>
      </c>
      <c r="C3025">
        <v>700</v>
      </c>
      <c r="D3025">
        <v>0</v>
      </c>
      <c r="E3025" t="s">
        <v>20</v>
      </c>
      <c r="F3025" t="s">
        <v>20</v>
      </c>
      <c r="G3025" t="str">
        <f>"2025-02-01 18:34:02.074"</f>
        <v>2025-02-01 18:34:02.074</v>
      </c>
      <c r="H3025" t="s">
        <v>21</v>
      </c>
      <c r="I3025">
        <v>0</v>
      </c>
      <c r="J3025" t="s">
        <v>32</v>
      </c>
    </row>
    <row r="3026" spans="1:10" x14ac:dyDescent="0.25">
      <c r="A3026" s="1">
        <v>182</v>
      </c>
      <c r="B3026" t="s">
        <v>19</v>
      </c>
      <c r="C3026">
        <v>700</v>
      </c>
      <c r="D3026">
        <v>0</v>
      </c>
      <c r="E3026" t="s">
        <v>20</v>
      </c>
      <c r="F3026" t="s">
        <v>20</v>
      </c>
      <c r="G3026" t="str">
        <f>"2025-02-01 18:22:21.066"</f>
        <v>2025-02-01 18:22:21.066</v>
      </c>
      <c r="H3026" t="s">
        <v>21</v>
      </c>
    </row>
    <row r="3027" spans="1:10" x14ac:dyDescent="0.25">
      <c r="A3027" s="1">
        <v>183</v>
      </c>
      <c r="B3027" t="s">
        <v>19</v>
      </c>
      <c r="C3027">
        <v>700</v>
      </c>
      <c r="D3027">
        <v>0</v>
      </c>
      <c r="E3027" t="s">
        <v>20</v>
      </c>
      <c r="F3027" t="s">
        <v>20</v>
      </c>
      <c r="G3027" t="str">
        <f>"2025-02-01 16:11:51.055"</f>
        <v>2025-02-01 16:11:51.055</v>
      </c>
      <c r="H3027" t="s">
        <v>21</v>
      </c>
      <c r="I3027">
        <v>0</v>
      </c>
      <c r="J3027" t="s">
        <v>32</v>
      </c>
    </row>
    <row r="3028" spans="1:10" x14ac:dyDescent="0.25">
      <c r="A3028" s="1">
        <v>184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"2025-02-01 16:01:07.056"</f>
        <v>2025-02-01 16:01:07.056</v>
      </c>
      <c r="H3028" t="s">
        <v>21</v>
      </c>
    </row>
    <row r="3029" spans="1:10" x14ac:dyDescent="0.25">
      <c r="A3029" s="1">
        <v>185</v>
      </c>
      <c r="B3029" t="s">
        <v>19</v>
      </c>
      <c r="C3029">
        <v>700</v>
      </c>
      <c r="D3029">
        <v>0</v>
      </c>
      <c r="E3029" t="s">
        <v>20</v>
      </c>
      <c r="F3029" t="s">
        <v>20</v>
      </c>
      <c r="G3029" t="str">
        <f>"2025-02-01 15:57:57.057"</f>
        <v>2025-02-01 15:57:57.057</v>
      </c>
      <c r="H3029" t="s">
        <v>21</v>
      </c>
    </row>
    <row r="3030" spans="1:10" x14ac:dyDescent="0.25">
      <c r="A3030" s="1">
        <v>186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"2025-02-01 15:18:49.057"</f>
        <v>2025-02-01 15:18:49.057</v>
      </c>
      <c r="H3030" t="s">
        <v>21</v>
      </c>
      <c r="I3030">
        <v>0</v>
      </c>
      <c r="J3030" t="s">
        <v>32</v>
      </c>
    </row>
    <row r="3031" spans="1:10" x14ac:dyDescent="0.25">
      <c r="A3031" s="1">
        <v>187</v>
      </c>
      <c r="B3031" t="s">
        <v>19</v>
      </c>
      <c r="C3031">
        <v>706</v>
      </c>
      <c r="D3031">
        <v>4</v>
      </c>
      <c r="E3031" t="s">
        <v>22</v>
      </c>
      <c r="F3031" t="s">
        <v>31</v>
      </c>
      <c r="G3031" t="str">
        <f>"2025-02-01 10:11:37.218"</f>
        <v>2025-02-01 10:11:37.218</v>
      </c>
      <c r="H3031" t="s">
        <v>21</v>
      </c>
      <c r="I3031">
        <v>0</v>
      </c>
      <c r="J3031" t="s">
        <v>24</v>
      </c>
    </row>
    <row r="3032" spans="1:10" x14ac:dyDescent="0.25">
      <c r="A3032" s="1">
        <v>188</v>
      </c>
      <c r="B3032" t="s">
        <v>19</v>
      </c>
      <c r="C3032">
        <v>706</v>
      </c>
      <c r="D3032">
        <v>2</v>
      </c>
      <c r="E3032" t="s">
        <v>22</v>
      </c>
      <c r="F3032" t="s">
        <v>53</v>
      </c>
      <c r="G3032" t="str">
        <f>"2025-02-01 10:10:23.488"</f>
        <v>2025-02-01 10:10:23.488</v>
      </c>
      <c r="H3032" t="s">
        <v>21</v>
      </c>
      <c r="I3032">
        <v>0</v>
      </c>
      <c r="J3032" t="s">
        <v>24</v>
      </c>
    </row>
    <row r="3033" spans="1:10" x14ac:dyDescent="0.25">
      <c r="A3033" s="1">
        <v>189</v>
      </c>
      <c r="B3033" t="s">
        <v>19</v>
      </c>
      <c r="C3033">
        <v>706</v>
      </c>
      <c r="D3033">
        <v>4</v>
      </c>
      <c r="E3033" t="s">
        <v>22</v>
      </c>
      <c r="F3033" t="s">
        <v>31</v>
      </c>
      <c r="G3033" t="str">
        <f>"2025-02-01 10:02:39.438"</f>
        <v>2025-02-01 10:02:39.438</v>
      </c>
      <c r="H3033" t="s">
        <v>21</v>
      </c>
      <c r="I3033">
        <v>0</v>
      </c>
      <c r="J3033" t="s">
        <v>24</v>
      </c>
    </row>
    <row r="3034" spans="1:10" x14ac:dyDescent="0.25">
      <c r="A3034" s="1">
        <v>190</v>
      </c>
      <c r="B3034" t="s">
        <v>19</v>
      </c>
      <c r="C3034">
        <v>700</v>
      </c>
      <c r="D3034">
        <v>0</v>
      </c>
      <c r="E3034" t="s">
        <v>20</v>
      </c>
      <c r="F3034" t="s">
        <v>20</v>
      </c>
      <c r="G3034" t="str">
        <f>"2025-02-01 09:58:59.058"</f>
        <v>2025-02-01 09:58:59.058</v>
      </c>
      <c r="H3034" t="s">
        <v>21</v>
      </c>
      <c r="I3034">
        <v>0</v>
      </c>
      <c r="J3034" t="s">
        <v>32</v>
      </c>
    </row>
    <row r="3035" spans="1:10" x14ac:dyDescent="0.25">
      <c r="A3035" s="1">
        <v>191</v>
      </c>
      <c r="B3035" t="s">
        <v>19</v>
      </c>
      <c r="C3035">
        <v>706</v>
      </c>
      <c r="D3035">
        <v>4</v>
      </c>
      <c r="E3035" t="s">
        <v>22</v>
      </c>
      <c r="F3035" t="s">
        <v>31</v>
      </c>
      <c r="G3035" t="str">
        <f>"2025-02-01 09:50:33.748"</f>
        <v>2025-02-01 09:50:33.748</v>
      </c>
      <c r="H3035" t="s">
        <v>21</v>
      </c>
      <c r="I3035">
        <v>0</v>
      </c>
      <c r="J3035" t="s">
        <v>24</v>
      </c>
    </row>
    <row r="3036" spans="1:10" x14ac:dyDescent="0.25">
      <c r="A3036" s="1">
        <v>192</v>
      </c>
      <c r="B3036" t="s">
        <v>19</v>
      </c>
      <c r="C3036">
        <v>706</v>
      </c>
      <c r="D3036">
        <v>4</v>
      </c>
      <c r="E3036" t="s">
        <v>22</v>
      </c>
      <c r="F3036" t="s">
        <v>31</v>
      </c>
      <c r="G3036" t="str">
        <f>"2025-02-01 09:50:14.048"</f>
        <v>2025-02-01 09:50:14.048</v>
      </c>
      <c r="H3036" t="s">
        <v>21</v>
      </c>
      <c r="I3036">
        <v>0</v>
      </c>
      <c r="J3036" t="s">
        <v>24</v>
      </c>
    </row>
    <row r="3037" spans="1:10" x14ac:dyDescent="0.25">
      <c r="A3037" s="1">
        <v>193</v>
      </c>
      <c r="B3037" t="s">
        <v>19</v>
      </c>
      <c r="C3037">
        <v>706</v>
      </c>
      <c r="D3037">
        <v>4</v>
      </c>
      <c r="E3037" t="s">
        <v>22</v>
      </c>
      <c r="F3037" t="s">
        <v>31</v>
      </c>
      <c r="G3037" t="str">
        <f>"2025-02-01 09:43:36.658"</f>
        <v>2025-02-01 09:43:36.658</v>
      </c>
      <c r="H3037" t="s">
        <v>21</v>
      </c>
      <c r="I3037">
        <v>0</v>
      </c>
      <c r="J3037" t="s">
        <v>24</v>
      </c>
    </row>
    <row r="3038" spans="1:10" x14ac:dyDescent="0.25">
      <c r="A3038" s="1">
        <v>194</v>
      </c>
      <c r="B3038" t="s">
        <v>19</v>
      </c>
      <c r="C3038">
        <v>700</v>
      </c>
      <c r="D3038">
        <v>0</v>
      </c>
      <c r="E3038" t="s">
        <v>20</v>
      </c>
      <c r="F3038" t="s">
        <v>20</v>
      </c>
      <c r="G3038" t="str">
        <f>"2025-02-01 09:43:16.048"</f>
        <v>2025-02-01 09:43:16.048</v>
      </c>
      <c r="H3038" t="s">
        <v>21</v>
      </c>
    </row>
    <row r="3039" spans="1:10" x14ac:dyDescent="0.25">
      <c r="A3039" s="1">
        <v>195</v>
      </c>
      <c r="B3039" t="s">
        <v>19</v>
      </c>
      <c r="C3039">
        <v>700</v>
      </c>
      <c r="D3039">
        <v>0</v>
      </c>
      <c r="E3039" t="s">
        <v>20</v>
      </c>
      <c r="F3039" t="s">
        <v>20</v>
      </c>
      <c r="G3039" t="str">
        <f>"2025-01-31 17:14:48.049"</f>
        <v>2025-01-31 17:14:48.049</v>
      </c>
      <c r="H3039" t="s">
        <v>21</v>
      </c>
    </row>
    <row r="3040" spans="1:10" x14ac:dyDescent="0.25">
      <c r="A3040" s="1">
        <v>196</v>
      </c>
      <c r="B3040" t="s">
        <v>19</v>
      </c>
      <c r="C3040">
        <v>706</v>
      </c>
      <c r="D3040">
        <v>4</v>
      </c>
      <c r="E3040" t="s">
        <v>22</v>
      </c>
      <c r="F3040" t="s">
        <v>31</v>
      </c>
      <c r="G3040" t="str">
        <f>"2025-01-31 15:57:45.115"</f>
        <v>2025-01-31 15:57:45.115</v>
      </c>
      <c r="H3040" t="s">
        <v>21</v>
      </c>
      <c r="I3040">
        <v>0</v>
      </c>
      <c r="J3040" t="s">
        <v>24</v>
      </c>
    </row>
    <row r="3041" spans="1:10" x14ac:dyDescent="0.25">
      <c r="A3041" s="1">
        <v>197</v>
      </c>
      <c r="B3041" t="s">
        <v>19</v>
      </c>
      <c r="C3041">
        <v>706</v>
      </c>
      <c r="D3041">
        <v>4</v>
      </c>
      <c r="E3041" t="s">
        <v>22</v>
      </c>
      <c r="F3041" t="s">
        <v>31</v>
      </c>
      <c r="G3041" t="str">
        <f>"2025-01-31 15:56:53.635"</f>
        <v>2025-01-31 15:56:53.635</v>
      </c>
      <c r="H3041" t="s">
        <v>21</v>
      </c>
      <c r="I3041">
        <v>0</v>
      </c>
      <c r="J3041" t="s">
        <v>24</v>
      </c>
    </row>
    <row r="3042" spans="1:10" x14ac:dyDescent="0.25">
      <c r="A3042" s="1">
        <v>198</v>
      </c>
      <c r="B3042" t="s">
        <v>19</v>
      </c>
      <c r="C3042">
        <v>706</v>
      </c>
      <c r="D3042">
        <v>2</v>
      </c>
      <c r="E3042" t="s">
        <v>22</v>
      </c>
      <c r="F3042" t="s">
        <v>53</v>
      </c>
      <c r="G3042" t="str">
        <f>"2025-01-31 15:44:13.945"</f>
        <v>2025-01-31 15:44:13.945</v>
      </c>
      <c r="H3042" t="s">
        <v>21</v>
      </c>
      <c r="I3042">
        <v>0</v>
      </c>
      <c r="J3042" t="s">
        <v>24</v>
      </c>
    </row>
    <row r="3043" spans="1:10" x14ac:dyDescent="0.25">
      <c r="A3043" s="1">
        <v>199</v>
      </c>
      <c r="B3043" t="s">
        <v>19</v>
      </c>
      <c r="C3043">
        <v>700</v>
      </c>
      <c r="D3043">
        <v>0</v>
      </c>
      <c r="E3043" t="s">
        <v>20</v>
      </c>
      <c r="F3043" t="s">
        <v>20</v>
      </c>
      <c r="G3043" t="str">
        <f>"2025-01-31 15:27:03.055"</f>
        <v>2025-01-31 15:27:03.055</v>
      </c>
      <c r="H3043" t="s">
        <v>21</v>
      </c>
    </row>
    <row r="3044" spans="1:10" x14ac:dyDescent="0.25">
      <c r="A3044" s="1">
        <v>200</v>
      </c>
      <c r="B3044" t="s">
        <v>19</v>
      </c>
      <c r="C3044">
        <v>700</v>
      </c>
      <c r="D3044">
        <v>0</v>
      </c>
      <c r="E3044" t="s">
        <v>20</v>
      </c>
      <c r="F3044" t="s">
        <v>20</v>
      </c>
      <c r="G3044" t="str">
        <f>"2025-01-31 12:29:54.051"</f>
        <v>2025-01-31 12:29:54.051</v>
      </c>
      <c r="H3044" t="s">
        <v>21</v>
      </c>
      <c r="I3044">
        <v>0</v>
      </c>
      <c r="J3044" t="s">
        <v>32</v>
      </c>
    </row>
    <row r="3045" spans="1:10" x14ac:dyDescent="0.25">
      <c r="A3045" s="1">
        <v>201</v>
      </c>
      <c r="B3045" t="s">
        <v>19</v>
      </c>
      <c r="C3045">
        <v>700</v>
      </c>
      <c r="D3045">
        <v>0</v>
      </c>
      <c r="E3045" t="s">
        <v>20</v>
      </c>
      <c r="F3045" t="s">
        <v>20</v>
      </c>
      <c r="G3045" t="str">
        <f>"2025-01-31 11:25:36.041"</f>
        <v>2025-01-31 11:25:36.041</v>
      </c>
      <c r="H3045" t="s">
        <v>21</v>
      </c>
    </row>
    <row r="3046" spans="1:10" x14ac:dyDescent="0.25">
      <c r="A3046" s="1">
        <v>202</v>
      </c>
      <c r="B3046" t="s">
        <v>19</v>
      </c>
      <c r="C3046">
        <v>706</v>
      </c>
      <c r="D3046">
        <v>4</v>
      </c>
      <c r="E3046" t="s">
        <v>22</v>
      </c>
      <c r="F3046" t="s">
        <v>31</v>
      </c>
      <c r="G3046" t="str">
        <f>"2025-01-31 10:43:01.935"</f>
        <v>2025-01-31 10:43:01.935</v>
      </c>
      <c r="H3046" t="s">
        <v>21</v>
      </c>
      <c r="I3046">
        <v>0</v>
      </c>
      <c r="J3046" t="s">
        <v>24</v>
      </c>
    </row>
    <row r="3047" spans="1:10" x14ac:dyDescent="0.25">
      <c r="A3047" s="1">
        <v>203</v>
      </c>
      <c r="B3047" t="s">
        <v>19</v>
      </c>
      <c r="C3047">
        <v>700</v>
      </c>
      <c r="D3047">
        <v>0</v>
      </c>
      <c r="E3047" t="s">
        <v>20</v>
      </c>
      <c r="F3047" t="s">
        <v>20</v>
      </c>
      <c r="G3047" t="str">
        <f>"2025-01-31 10:42:27.045"</f>
        <v>2025-01-31 10:42:27.045</v>
      </c>
      <c r="H3047" t="s">
        <v>21</v>
      </c>
      <c r="I3047">
        <v>0</v>
      </c>
      <c r="J3047" t="s">
        <v>32</v>
      </c>
    </row>
    <row r="3048" spans="1:10" x14ac:dyDescent="0.25">
      <c r="A3048" s="1">
        <v>204</v>
      </c>
      <c r="B3048" t="s">
        <v>19</v>
      </c>
      <c r="C3048">
        <v>700</v>
      </c>
      <c r="D3048">
        <v>0</v>
      </c>
      <c r="E3048" t="s">
        <v>20</v>
      </c>
      <c r="F3048" t="s">
        <v>20</v>
      </c>
      <c r="G3048" t="str">
        <f>"2025-01-31 10:36:38.046"</f>
        <v>2025-01-31 10:36:38.046</v>
      </c>
      <c r="H3048" t="s">
        <v>21</v>
      </c>
    </row>
    <row r="3049" spans="1:10" x14ac:dyDescent="0.25">
      <c r="A3049" s="1">
        <v>205</v>
      </c>
      <c r="B3049" t="s">
        <v>19</v>
      </c>
      <c r="C3049">
        <v>706</v>
      </c>
      <c r="D3049">
        <v>2</v>
      </c>
      <c r="E3049" t="s">
        <v>22</v>
      </c>
      <c r="F3049" t="s">
        <v>53</v>
      </c>
      <c r="G3049" t="str">
        <f>"2025-01-31 10:33:28.117"</f>
        <v>2025-01-31 10:33:28.117</v>
      </c>
      <c r="H3049" t="s">
        <v>21</v>
      </c>
      <c r="I3049">
        <v>0</v>
      </c>
      <c r="J3049" t="s">
        <v>24</v>
      </c>
    </row>
    <row r="3050" spans="1:10" x14ac:dyDescent="0.25">
      <c r="A3050" s="1">
        <v>206</v>
      </c>
      <c r="B3050" t="s">
        <v>19</v>
      </c>
      <c r="C3050">
        <v>700</v>
      </c>
      <c r="D3050">
        <v>0</v>
      </c>
      <c r="E3050" t="s">
        <v>20</v>
      </c>
      <c r="F3050" t="s">
        <v>20</v>
      </c>
      <c r="G3050" t="str">
        <f>"2025-01-31 10:31:51.037"</f>
        <v>2025-01-31 10:31:51.037</v>
      </c>
      <c r="H3050" t="s">
        <v>21</v>
      </c>
    </row>
    <row r="3051" spans="1:10" x14ac:dyDescent="0.25">
      <c r="A3051" s="1">
        <v>207</v>
      </c>
      <c r="B3051" t="s">
        <v>19</v>
      </c>
      <c r="C3051">
        <v>706</v>
      </c>
      <c r="D3051">
        <v>2</v>
      </c>
      <c r="E3051" t="s">
        <v>22</v>
      </c>
      <c r="F3051" t="s">
        <v>53</v>
      </c>
      <c r="G3051" t="str">
        <f>"2025-01-31 09:57:47.906"</f>
        <v>2025-01-31 09:57:47.906</v>
      </c>
      <c r="H3051" t="s">
        <v>21</v>
      </c>
      <c r="I3051">
        <v>0</v>
      </c>
      <c r="J3051" t="s">
        <v>24</v>
      </c>
    </row>
    <row r="3052" spans="1:10" x14ac:dyDescent="0.25">
      <c r="A3052" s="1">
        <v>208</v>
      </c>
      <c r="B3052" t="s">
        <v>19</v>
      </c>
      <c r="C3052">
        <v>700</v>
      </c>
      <c r="D3052">
        <v>0</v>
      </c>
      <c r="E3052" t="s">
        <v>20</v>
      </c>
      <c r="F3052" t="s">
        <v>20</v>
      </c>
      <c r="G3052" t="str">
        <f>"2025-01-31 09:56:55.046"</f>
        <v>2025-01-31 09:56:55.046</v>
      </c>
      <c r="H3052" t="s">
        <v>21</v>
      </c>
      <c r="I3052">
        <v>0</v>
      </c>
      <c r="J3052" t="s">
        <v>32</v>
      </c>
    </row>
    <row r="3053" spans="1:10" x14ac:dyDescent="0.25">
      <c r="A3053" s="1">
        <v>209</v>
      </c>
      <c r="B3053" t="s">
        <v>19</v>
      </c>
      <c r="C3053">
        <v>700</v>
      </c>
      <c r="D3053">
        <v>0</v>
      </c>
      <c r="E3053" t="s">
        <v>20</v>
      </c>
      <c r="F3053" t="s">
        <v>20</v>
      </c>
      <c r="G3053" t="str">
        <f>"2025-01-31 09:42:40.045"</f>
        <v>2025-01-31 09:42:40.045</v>
      </c>
      <c r="H3053" t="s">
        <v>21</v>
      </c>
      <c r="I3053">
        <v>0</v>
      </c>
      <c r="J3053" t="s">
        <v>32</v>
      </c>
    </row>
    <row r="3054" spans="1:10" x14ac:dyDescent="0.25">
      <c r="A3054" s="1">
        <v>210</v>
      </c>
      <c r="B3054" t="s">
        <v>19</v>
      </c>
      <c r="C3054">
        <v>700</v>
      </c>
      <c r="D3054">
        <v>0</v>
      </c>
      <c r="E3054" t="s">
        <v>20</v>
      </c>
      <c r="F3054" t="s">
        <v>20</v>
      </c>
      <c r="G3054" t="str">
        <f>"2025-01-30 22:59:48.041"</f>
        <v>2025-01-30 22:59:48.041</v>
      </c>
      <c r="H3054" t="s">
        <v>21</v>
      </c>
      <c r="I3054">
        <v>0</v>
      </c>
      <c r="J3054" t="s">
        <v>32</v>
      </c>
    </row>
    <row r="3055" spans="1:10" x14ac:dyDescent="0.25">
      <c r="A3055" s="1">
        <v>211</v>
      </c>
      <c r="B3055" t="s">
        <v>19</v>
      </c>
      <c r="C3055">
        <v>706</v>
      </c>
      <c r="D3055">
        <v>2</v>
      </c>
      <c r="E3055" t="s">
        <v>22</v>
      </c>
      <c r="F3055" t="s">
        <v>53</v>
      </c>
      <c r="G3055" t="str">
        <f>"2025-01-30 22:38:52.929"</f>
        <v>2025-01-30 22:38:52.929</v>
      </c>
      <c r="H3055" t="s">
        <v>21</v>
      </c>
      <c r="I3055">
        <v>0</v>
      </c>
      <c r="J3055" t="s">
        <v>24</v>
      </c>
    </row>
    <row r="3056" spans="1:10" x14ac:dyDescent="0.25">
      <c r="A3056" s="1">
        <v>212</v>
      </c>
      <c r="B3056" t="s">
        <v>19</v>
      </c>
      <c r="C3056">
        <v>700</v>
      </c>
      <c r="D3056">
        <v>0</v>
      </c>
      <c r="E3056" t="s">
        <v>20</v>
      </c>
      <c r="F3056" t="s">
        <v>20</v>
      </c>
      <c r="G3056" t="str">
        <f>"2025-01-30 22:38:34.049"</f>
        <v>2025-01-30 22:38:34.049</v>
      </c>
      <c r="H3056" t="s">
        <v>21</v>
      </c>
      <c r="I3056">
        <v>0</v>
      </c>
      <c r="J3056" t="s">
        <v>32</v>
      </c>
    </row>
    <row r="3057" spans="1:10" x14ac:dyDescent="0.25">
      <c r="A3057" s="1">
        <v>213</v>
      </c>
      <c r="B3057" t="s">
        <v>19</v>
      </c>
      <c r="C3057">
        <v>700</v>
      </c>
      <c r="D3057">
        <v>0</v>
      </c>
      <c r="E3057" t="s">
        <v>20</v>
      </c>
      <c r="F3057" t="s">
        <v>20</v>
      </c>
      <c r="G3057" t="str">
        <f>"2025-01-30 17:26:58.024"</f>
        <v>2025-01-30 17:26:58.024</v>
      </c>
      <c r="H3057" t="s">
        <v>21</v>
      </c>
    </row>
    <row r="3058" spans="1:10" x14ac:dyDescent="0.25">
      <c r="A3058" s="1">
        <v>214</v>
      </c>
      <c r="B3058" t="s">
        <v>19</v>
      </c>
      <c r="C3058">
        <v>706</v>
      </c>
      <c r="D3058">
        <v>2</v>
      </c>
      <c r="E3058" t="s">
        <v>22</v>
      </c>
      <c r="F3058" t="s">
        <v>53</v>
      </c>
      <c r="G3058" t="str">
        <f>"2025-01-30 16:01:17.706"</f>
        <v>2025-01-30 16:01:17.706</v>
      </c>
      <c r="H3058" t="s">
        <v>21</v>
      </c>
      <c r="I3058">
        <v>0</v>
      </c>
      <c r="J3058" t="s">
        <v>24</v>
      </c>
    </row>
    <row r="3059" spans="1:10" x14ac:dyDescent="0.25">
      <c r="A3059" s="1">
        <v>215</v>
      </c>
      <c r="B3059" t="s">
        <v>19</v>
      </c>
      <c r="C3059">
        <v>700</v>
      </c>
      <c r="D3059">
        <v>0</v>
      </c>
      <c r="E3059" t="s">
        <v>20</v>
      </c>
      <c r="F3059" t="s">
        <v>20</v>
      </c>
      <c r="G3059" t="str">
        <f>"2025-01-30 16:00:36.016"</f>
        <v>2025-01-30 16:00:36.016</v>
      </c>
      <c r="H3059" t="s">
        <v>21</v>
      </c>
      <c r="I3059">
        <v>0</v>
      </c>
      <c r="J3059" t="s">
        <v>32</v>
      </c>
    </row>
    <row r="3060" spans="1:10" x14ac:dyDescent="0.25">
      <c r="A3060" s="1">
        <v>216</v>
      </c>
      <c r="B3060" t="s">
        <v>19</v>
      </c>
      <c r="C3060">
        <v>700</v>
      </c>
      <c r="D3060">
        <v>0</v>
      </c>
      <c r="E3060" t="s">
        <v>20</v>
      </c>
      <c r="F3060" t="s">
        <v>20</v>
      </c>
      <c r="G3060" t="str">
        <f>"2025-01-30 15:49:50.007"</f>
        <v>2025-01-30 15:49:50.007</v>
      </c>
      <c r="H3060" t="s">
        <v>21</v>
      </c>
    </row>
    <row r="3061" spans="1:10" x14ac:dyDescent="0.25">
      <c r="A3061" s="1">
        <v>217</v>
      </c>
      <c r="B3061" t="s">
        <v>19</v>
      </c>
      <c r="C3061">
        <v>700</v>
      </c>
      <c r="D3061">
        <v>0</v>
      </c>
      <c r="E3061" t="s">
        <v>20</v>
      </c>
      <c r="F3061" t="s">
        <v>20</v>
      </c>
      <c r="G3061" t="str">
        <f>"2025-01-30 15:44:39.989"</f>
        <v>2025-01-30 15:44:39.989</v>
      </c>
      <c r="H3061" t="s">
        <v>21</v>
      </c>
    </row>
    <row r="3062" spans="1:10" x14ac:dyDescent="0.25">
      <c r="A3062" s="1">
        <v>218</v>
      </c>
      <c r="B3062" t="s">
        <v>19</v>
      </c>
      <c r="C3062">
        <v>706</v>
      </c>
      <c r="D3062">
        <v>4</v>
      </c>
      <c r="E3062" t="s">
        <v>22</v>
      </c>
      <c r="F3062" t="s">
        <v>31</v>
      </c>
      <c r="G3062" t="str">
        <f>"2025-01-30 15:24:36.646"</f>
        <v>2025-01-30 15:24:36.646</v>
      </c>
      <c r="H3062" t="s">
        <v>21</v>
      </c>
      <c r="I3062">
        <v>0</v>
      </c>
      <c r="J3062" t="s">
        <v>24</v>
      </c>
    </row>
    <row r="3063" spans="1:10" x14ac:dyDescent="0.25">
      <c r="A3063" s="1">
        <v>219</v>
      </c>
      <c r="B3063" t="s">
        <v>19</v>
      </c>
      <c r="C3063">
        <v>706</v>
      </c>
      <c r="D3063">
        <v>2</v>
      </c>
      <c r="E3063" t="s">
        <v>22</v>
      </c>
      <c r="F3063" t="s">
        <v>53</v>
      </c>
      <c r="G3063" t="str">
        <f>"2025-01-30 15:24:24.926"</f>
        <v>2025-01-30 15:24:24.926</v>
      </c>
      <c r="H3063" t="s">
        <v>21</v>
      </c>
      <c r="I3063">
        <v>0</v>
      </c>
      <c r="J3063" t="s">
        <v>24</v>
      </c>
    </row>
    <row r="3064" spans="1:10" x14ac:dyDescent="0.25">
      <c r="A3064" s="1">
        <v>220</v>
      </c>
      <c r="B3064" t="s">
        <v>19</v>
      </c>
      <c r="C3064">
        <v>700</v>
      </c>
      <c r="D3064">
        <v>0</v>
      </c>
      <c r="E3064" t="s">
        <v>20</v>
      </c>
      <c r="F3064" t="s">
        <v>20</v>
      </c>
      <c r="G3064" t="str">
        <f>"2025-01-30 15:21:33.026"</f>
        <v>2025-01-30 15:21:33.026</v>
      </c>
      <c r="H3064" t="s">
        <v>21</v>
      </c>
      <c r="I3064">
        <v>0</v>
      </c>
      <c r="J3064" t="s">
        <v>32</v>
      </c>
    </row>
    <row r="3065" spans="1:10" x14ac:dyDescent="0.25">
      <c r="A3065" s="1">
        <v>221</v>
      </c>
      <c r="B3065" t="s">
        <v>19</v>
      </c>
      <c r="C3065">
        <v>706</v>
      </c>
      <c r="D3065">
        <v>2</v>
      </c>
      <c r="E3065" t="s">
        <v>22</v>
      </c>
      <c r="F3065" t="s">
        <v>53</v>
      </c>
      <c r="G3065" t="str">
        <f>"2025-01-30 15:10:07.687"</f>
        <v>2025-01-30 15:10:07.687</v>
      </c>
      <c r="H3065" t="s">
        <v>21</v>
      </c>
      <c r="I3065">
        <v>0</v>
      </c>
      <c r="J3065" t="s">
        <v>30</v>
      </c>
    </row>
    <row r="3066" spans="1:10" x14ac:dyDescent="0.25">
      <c r="A3066" s="1">
        <v>222</v>
      </c>
      <c r="B3066" t="s">
        <v>19</v>
      </c>
      <c r="C3066">
        <v>700</v>
      </c>
      <c r="D3066">
        <v>0</v>
      </c>
      <c r="E3066" t="s">
        <v>20</v>
      </c>
      <c r="F3066" t="s">
        <v>20</v>
      </c>
      <c r="G3066" t="str">
        <f>"2025-01-30 15:09:42.007"</f>
        <v>2025-01-30 15:09:42.007</v>
      </c>
      <c r="H3066" t="s">
        <v>21</v>
      </c>
    </row>
    <row r="3067" spans="1:10" x14ac:dyDescent="0.25">
      <c r="A3067" s="1">
        <v>225</v>
      </c>
      <c r="B3067" t="s">
        <v>19</v>
      </c>
      <c r="C3067">
        <v>782</v>
      </c>
      <c r="D3067">
        <v>7</v>
      </c>
      <c r="E3067" t="s">
        <v>43</v>
      </c>
      <c r="F3067" t="s">
        <v>44</v>
      </c>
      <c r="G3067" t="str">
        <f>"2025-01-30 15:02:59.275"</f>
        <v>2025-01-30 15:02:59.275</v>
      </c>
      <c r="H3067" t="s">
        <v>21</v>
      </c>
      <c r="I3067">
        <v>0</v>
      </c>
      <c r="J3067" t="s">
        <v>30</v>
      </c>
    </row>
    <row r="3068" spans="1:10" x14ac:dyDescent="0.25">
      <c r="A3068" s="1">
        <v>228</v>
      </c>
      <c r="B3068" t="s">
        <v>25</v>
      </c>
      <c r="C3068">
        <v>12</v>
      </c>
      <c r="D3068">
        <v>2</v>
      </c>
      <c r="E3068" t="s">
        <v>106</v>
      </c>
      <c r="F3068" t="s">
        <v>107</v>
      </c>
      <c r="G3068" t="str">
        <f>"2025-01-30 15:02:59.271"</f>
        <v>2025-01-30 15:02:59.271</v>
      </c>
      <c r="H3068" t="s">
        <v>21</v>
      </c>
    </row>
    <row r="3069" spans="1:10" x14ac:dyDescent="0.25">
      <c r="A3069" s="1">
        <v>229</v>
      </c>
      <c r="B3069" t="s">
        <v>25</v>
      </c>
      <c r="C3069">
        <v>12</v>
      </c>
      <c r="D3069">
        <v>1</v>
      </c>
      <c r="E3069" t="s">
        <v>106</v>
      </c>
      <c r="F3069" t="s">
        <v>108</v>
      </c>
      <c r="G3069" t="str">
        <f>"2025-01-30 15:02:59.270"</f>
        <v>2025-01-30 15:02:59.270</v>
      </c>
      <c r="H3069" t="s">
        <v>21</v>
      </c>
    </row>
    <row r="3070" spans="1:10" x14ac:dyDescent="0.25">
      <c r="A3070" s="1">
        <v>230</v>
      </c>
      <c r="B3070" t="s">
        <v>19</v>
      </c>
      <c r="C3070">
        <v>782</v>
      </c>
      <c r="D3070">
        <v>7</v>
      </c>
      <c r="E3070" t="s">
        <v>43</v>
      </c>
      <c r="F3070" t="s">
        <v>44</v>
      </c>
      <c r="G3070" t="str">
        <f>"2025-01-30 15:02:59.269"</f>
        <v>2025-01-30 15:02:59.269</v>
      </c>
      <c r="H3070" t="s">
        <v>21</v>
      </c>
      <c r="I3070">
        <v>0</v>
      </c>
      <c r="J3070" t="s">
        <v>30</v>
      </c>
    </row>
    <row r="3071" spans="1:10" x14ac:dyDescent="0.25">
      <c r="A3071" s="1">
        <v>231</v>
      </c>
      <c r="B3071" t="s">
        <v>25</v>
      </c>
      <c r="C3071">
        <v>619</v>
      </c>
      <c r="D3071">
        <v>1</v>
      </c>
      <c r="E3071" t="s">
        <v>26</v>
      </c>
      <c r="F3071" t="s">
        <v>27</v>
      </c>
      <c r="G3071" t="str">
        <f>"2025-01-30 15:02:47.722"</f>
        <v>2025-01-30 15:02:47.722</v>
      </c>
      <c r="H3071" t="s">
        <v>28</v>
      </c>
    </row>
    <row r="3072" spans="1:10" x14ac:dyDescent="0.25">
      <c r="A3072" s="1">
        <v>232</v>
      </c>
      <c r="B3072" t="s">
        <v>25</v>
      </c>
      <c r="C3072">
        <v>4</v>
      </c>
      <c r="D3072">
        <v>1</v>
      </c>
      <c r="E3072" t="s">
        <v>46</v>
      </c>
      <c r="F3072" t="s">
        <v>47</v>
      </c>
      <c r="G3072" t="str">
        <f>"2025-01-30 15:02:24.420"</f>
        <v>2025-01-30 15:02:24.420</v>
      </c>
      <c r="H3072" t="s">
        <v>48</v>
      </c>
    </row>
    <row r="3073" spans="1:10" x14ac:dyDescent="0.25">
      <c r="A3073" s="1">
        <v>233</v>
      </c>
      <c r="B3073" t="s">
        <v>29</v>
      </c>
      <c r="C3073">
        <v>619</v>
      </c>
      <c r="D3073">
        <v>1</v>
      </c>
      <c r="E3073" t="s">
        <v>26</v>
      </c>
      <c r="F3073" t="s">
        <v>27</v>
      </c>
      <c r="G3073" t="str">
        <f>"2025-01-30 15:02:18.522"</f>
        <v>2025-01-30 15:02:18.522</v>
      </c>
      <c r="H3073" t="s">
        <v>28</v>
      </c>
      <c r="I3073">
        <v>0</v>
      </c>
      <c r="J3073" t="s">
        <v>30</v>
      </c>
    </row>
    <row r="3074" spans="1:10" x14ac:dyDescent="0.25">
      <c r="A3074" s="1">
        <v>234</v>
      </c>
      <c r="B3074" t="s">
        <v>19</v>
      </c>
      <c r="C3074">
        <v>700</v>
      </c>
      <c r="D3074">
        <v>0</v>
      </c>
      <c r="E3074" t="s">
        <v>20</v>
      </c>
      <c r="F3074" t="s">
        <v>20</v>
      </c>
      <c r="G3074" t="str">
        <f>"2025-01-30 15:02:12.002"</f>
        <v>2025-01-30 15:02:12.002</v>
      </c>
      <c r="H3074" t="s">
        <v>21</v>
      </c>
      <c r="I3074">
        <v>0</v>
      </c>
      <c r="J3074" t="s">
        <v>32</v>
      </c>
    </row>
    <row r="3075" spans="1:10" x14ac:dyDescent="0.25">
      <c r="A3075" s="1">
        <v>235</v>
      </c>
      <c r="B3075" t="s">
        <v>19</v>
      </c>
      <c r="C3075">
        <v>719</v>
      </c>
      <c r="D3075">
        <v>1</v>
      </c>
      <c r="E3075" t="s">
        <v>73</v>
      </c>
      <c r="F3075" t="s">
        <v>109</v>
      </c>
      <c r="G3075" t="str">
        <f>"2025-01-30 14:43:00.910"</f>
        <v>2025-01-30 14:43:00.910</v>
      </c>
      <c r="H3075" t="s">
        <v>21</v>
      </c>
      <c r="I3075">
        <v>0</v>
      </c>
      <c r="J3075" t="s">
        <v>24</v>
      </c>
    </row>
    <row r="3076" spans="1:10" x14ac:dyDescent="0.25">
      <c r="A3076" s="1">
        <v>236</v>
      </c>
      <c r="B3076" t="s">
        <v>25</v>
      </c>
      <c r="C3076">
        <v>650</v>
      </c>
      <c r="D3076">
        <v>4</v>
      </c>
      <c r="E3076" t="s">
        <v>110</v>
      </c>
      <c r="F3076" t="s">
        <v>111</v>
      </c>
      <c r="G3076" t="str">
        <f>"2025-01-30 11:42:29.742"</f>
        <v>2025-01-30 11:42:29.742</v>
      </c>
      <c r="H3076" t="s">
        <v>21</v>
      </c>
    </row>
    <row r="3077" spans="1:10" x14ac:dyDescent="0.25">
      <c r="A3077" s="1">
        <v>237</v>
      </c>
      <c r="B3077" t="s">
        <v>25</v>
      </c>
      <c r="C3077">
        <v>98</v>
      </c>
      <c r="D3077">
        <v>1</v>
      </c>
      <c r="E3077" t="s">
        <v>64</v>
      </c>
      <c r="F3077" t="s">
        <v>65</v>
      </c>
      <c r="G3077" t="str">
        <f>"2025-01-30 11:41:33.841"</f>
        <v>2025-01-30 11:41:33.841</v>
      </c>
      <c r="H3077" t="s">
        <v>21</v>
      </c>
    </row>
    <row r="3078" spans="1:10" x14ac:dyDescent="0.25">
      <c r="A3078" s="1">
        <v>238</v>
      </c>
      <c r="B3078" t="s">
        <v>29</v>
      </c>
      <c r="C3078">
        <v>98</v>
      </c>
      <c r="D3078">
        <v>1</v>
      </c>
      <c r="E3078" t="s">
        <v>64</v>
      </c>
      <c r="F3078" t="s">
        <v>65</v>
      </c>
      <c r="G3078" t="str">
        <f>"2025-01-30 11:41:31.642"</f>
        <v>2025-01-30 11:41:31.642</v>
      </c>
      <c r="H3078" t="s">
        <v>21</v>
      </c>
      <c r="I3078">
        <v>0</v>
      </c>
      <c r="J3078" t="s">
        <v>24</v>
      </c>
    </row>
    <row r="3079" spans="1:10" x14ac:dyDescent="0.25">
      <c r="A3079" s="1">
        <v>239</v>
      </c>
      <c r="B3079" t="s">
        <v>19</v>
      </c>
      <c r="C3079">
        <v>700</v>
      </c>
      <c r="D3079">
        <v>0</v>
      </c>
      <c r="E3079" t="s">
        <v>20</v>
      </c>
      <c r="F3079" t="s">
        <v>20</v>
      </c>
      <c r="G3079" t="str">
        <f>"2025-01-30 11:38:28.000"</f>
        <v>2025-01-30 11:38:28.000</v>
      </c>
      <c r="H3079" t="s">
        <v>21</v>
      </c>
    </row>
    <row r="3080" spans="1:10" x14ac:dyDescent="0.25">
      <c r="A3080" s="1">
        <v>242</v>
      </c>
      <c r="B3080" t="s">
        <v>19</v>
      </c>
      <c r="C3080">
        <v>753</v>
      </c>
      <c r="D3080">
        <v>1</v>
      </c>
      <c r="E3080" t="s">
        <v>112</v>
      </c>
      <c r="F3080" t="s">
        <v>113</v>
      </c>
      <c r="G3080" t="str">
        <f>"2025-01-30 11:35:24.487"</f>
        <v>2025-01-30 11:35:24.487</v>
      </c>
      <c r="H3080" t="s">
        <v>21</v>
      </c>
      <c r="I3080">
        <v>0</v>
      </c>
      <c r="J3080" t="s">
        <v>24</v>
      </c>
    </row>
    <row r="3081" spans="1:10" x14ac:dyDescent="0.25">
      <c r="A3081" s="1">
        <v>243</v>
      </c>
      <c r="B3081" t="s">
        <v>33</v>
      </c>
      <c r="C3081">
        <v>641</v>
      </c>
      <c r="D3081">
        <v>1</v>
      </c>
      <c r="E3081" t="s">
        <v>114</v>
      </c>
      <c r="F3081" t="s">
        <v>107</v>
      </c>
      <c r="G3081" t="str">
        <f>"2025-01-30 11:35:18.826"</f>
        <v>2025-01-30 11:35:18.826</v>
      </c>
      <c r="H3081" t="s">
        <v>21</v>
      </c>
      <c r="I3081">
        <v>0</v>
      </c>
      <c r="J3081" t="s">
        <v>24</v>
      </c>
    </row>
    <row r="3082" spans="1:10" x14ac:dyDescent="0.25">
      <c r="A3082" s="1">
        <v>244</v>
      </c>
      <c r="B3082" t="s">
        <v>33</v>
      </c>
      <c r="C3082">
        <v>640</v>
      </c>
      <c r="D3082">
        <v>1</v>
      </c>
      <c r="E3082" t="s">
        <v>115</v>
      </c>
      <c r="F3082" t="s">
        <v>108</v>
      </c>
      <c r="G3082" t="str">
        <f>"2025-01-30 11:35:18.818"</f>
        <v>2025-01-30 11:35:18.818</v>
      </c>
      <c r="H3082" t="s">
        <v>28</v>
      </c>
      <c r="I3082">
        <v>0</v>
      </c>
      <c r="J3082" t="s">
        <v>24</v>
      </c>
    </row>
    <row r="3083" spans="1:10" x14ac:dyDescent="0.25">
      <c r="A3083" s="1">
        <v>245</v>
      </c>
      <c r="B3083" t="s">
        <v>29</v>
      </c>
      <c r="C3083">
        <v>4</v>
      </c>
      <c r="D3083">
        <v>1</v>
      </c>
      <c r="E3083" t="s">
        <v>46</v>
      </c>
      <c r="F3083" t="s">
        <v>47</v>
      </c>
      <c r="G3083" t="str">
        <f>"2025-01-30 11:35:13.476"</f>
        <v>2025-01-30 11:35:13.476</v>
      </c>
      <c r="H3083" t="s">
        <v>48</v>
      </c>
      <c r="I3083">
        <v>0</v>
      </c>
      <c r="J3083" t="s">
        <v>116</v>
      </c>
    </row>
    <row r="3084" spans="1:10" x14ac:dyDescent="0.25">
      <c r="A3084" s="1">
        <v>246</v>
      </c>
      <c r="B3084" t="s">
        <v>29</v>
      </c>
      <c r="C3084">
        <v>12</v>
      </c>
      <c r="D3084">
        <v>1</v>
      </c>
      <c r="E3084" t="s">
        <v>106</v>
      </c>
      <c r="F3084" t="s">
        <v>108</v>
      </c>
      <c r="G3084" t="str">
        <f>"2025-01-30 11:35:12.638"</f>
        <v>2025-01-30 11:35:12.638</v>
      </c>
      <c r="H3084" t="s">
        <v>21</v>
      </c>
      <c r="I3084">
        <v>0</v>
      </c>
      <c r="J3084" t="s">
        <v>116</v>
      </c>
    </row>
    <row r="3085" spans="1:10" x14ac:dyDescent="0.25">
      <c r="A3085" s="1">
        <v>247</v>
      </c>
      <c r="B3085" t="s">
        <v>29</v>
      </c>
      <c r="C3085">
        <v>12</v>
      </c>
      <c r="D3085">
        <v>2</v>
      </c>
      <c r="E3085" t="s">
        <v>106</v>
      </c>
      <c r="F3085" t="s">
        <v>107</v>
      </c>
      <c r="G3085" t="str">
        <f>"2025-01-30 11:35:12.538"</f>
        <v>2025-01-30 11:35:12.538</v>
      </c>
      <c r="H3085" t="s">
        <v>21</v>
      </c>
      <c r="I3085">
        <v>0</v>
      </c>
      <c r="J3085" t="s">
        <v>116</v>
      </c>
    </row>
    <row r="3086" spans="1:10" x14ac:dyDescent="0.25">
      <c r="A3086" s="1">
        <v>248</v>
      </c>
      <c r="B3086" t="s">
        <v>29</v>
      </c>
      <c r="C3086">
        <v>650</v>
      </c>
      <c r="D3086">
        <v>4</v>
      </c>
      <c r="E3086" t="s">
        <v>110</v>
      </c>
      <c r="F3086" t="s">
        <v>111</v>
      </c>
      <c r="G3086" t="str">
        <f>"2025-01-30 11:35:11.223"</f>
        <v>2025-01-30 11:35:11.223</v>
      </c>
      <c r="H3086" t="s">
        <v>21</v>
      </c>
      <c r="I3086">
        <v>0</v>
      </c>
      <c r="J3086" t="s">
        <v>32</v>
      </c>
    </row>
    <row r="3087" spans="1:10" x14ac:dyDescent="0.25">
      <c r="A3087" s="1">
        <v>249</v>
      </c>
      <c r="B3087" t="s">
        <v>19</v>
      </c>
      <c r="C3087">
        <v>700</v>
      </c>
      <c r="D3087">
        <v>0</v>
      </c>
      <c r="E3087" t="s">
        <v>20</v>
      </c>
      <c r="F3087" t="s">
        <v>20</v>
      </c>
      <c r="G3087" t="str">
        <f>"2025-01-30 11:35:08.597"</f>
        <v>2025-01-30 11:35:08.597</v>
      </c>
      <c r="H3087" t="s">
        <v>21</v>
      </c>
    </row>
  </sheetData>
  <autoFilter ref="A9:J3087" xr:uid="{A6B7C415-FC17-4EBF-9785-3E3BAF1AC92F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9E3D78-4517-4DE7-A673-8176494F40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events_ru_71_20260516-200703 75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2026-05-16T22:51:49Z</dcterms:modified>
</cp:coreProperties>
</file>
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D19EDE4-86FE-41F9-A895-D815148ADB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2_20260511-125742 31" sheetId="2" r:id="rId1"/>
    <sheet name="Лист1" sheetId="1" r:id="rId2"/>
  </sheets>
  <definedNames>
    <definedName name="_xlnm._FilterDatabase" localSheetId="0" hidden="1">'events_ru_82_20260511-125742 31'!$A$9:$J$1111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D23C52-170A-42BC-A6F9-27DEA4AC02FC}" keepAlive="1" name="Запрос — events_ru_82_20260511-125742 312" description="Соединение с запросом &quot;events_ru_82_20260511-125742 312&quot; в книге." type="5" refreshedVersion="0" background="1">
    <dbPr connection="Provider=Microsoft.Mashup.OleDb.1;Data Source=$Workbook$;Location=&quot;events_ru_82_20260511-125742 312&quot;;Extended Properties=&quot;&quot;" command="SELECT * FROM [events_ru_82_20260511-125742 312]"/>
  </connection>
</connections>
</file>

<file path=xl/sharedStrings.xml><?xml version="1.0" encoding="utf-8"?>
<sst xmlns="http://schemas.openxmlformats.org/spreadsheetml/2006/main" count="5073" uniqueCount="87">
  <si>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</si>
  <si>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</si>
  <si>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</si>
  <si>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</si>
  <si>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</si>
  <si>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</si>
  <si>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</si>
  <si>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</si>
  <si>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</si>
  <si>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</si>
  <si>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</si>
  <si>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</si>
  <si>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</si>
  <si>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</si>
  <si>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</si>
  <si>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</si>
  <si>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</si>
  <si>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</si>
  <si>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</si>
  <si>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</si>
  <si>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</si>
  <si>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</si>
  <si>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</si>
  <si>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Самосвал перегружен - NR</t>
  </si>
  <si>
    <t>Не доступно</t>
  </si>
  <si>
    <t>Log+</t>
  </si>
  <si>
    <t>Ready</t>
  </si>
  <si>
    <t>Retard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</si>
  <si>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</si>
  <si>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</si>
  <si>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</si>
  <si>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Null</t>
  </si>
  <si>
    <t xml:space="preserve">Log </t>
  </si>
  <si>
    <t>Самопроизвольный останов ДВС</t>
  </si>
  <si>
    <t>Unrequested Engine Speed Drop - While Stopped</t>
  </si>
  <si>
    <t>Нет питания</t>
  </si>
  <si>
    <t>Propel</t>
  </si>
  <si>
    <t>WRst</t>
  </si>
  <si>
    <t>Превышении скорости</t>
  </si>
  <si>
    <t>Управление скоростью - превышение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</si>
  <si>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</si>
  <si>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</si>
  <si>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</si>
  <si>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Рабочий тормоз на ходу</t>
  </si>
  <si>
    <t>Рабочие тормоза использованы на ходу</t>
  </si>
  <si>
    <t>Вход в безопасный режим файловой системы - Запуск двигателя</t>
  </si>
  <si>
    <t>Команда сохранения данных PTU</t>
  </si>
  <si>
    <t>Инициированное водителем сохранение данных</t>
  </si>
  <si>
    <t>Ошибка сети CAN (CAN1)</t>
  </si>
  <si>
    <t>Потеря связи - сеть CAN двигателя</t>
  </si>
  <si>
    <t>Нет Самонагрузки, Предел скорости (нижний)</t>
  </si>
  <si>
    <t>Вход в безопасный режим файловой системы - Ключ или CPS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</si>
  <si>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</si>
  <si>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</si>
  <si>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</si>
  <si>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</si>
  <si>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</si>
  <si>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</si>
  <si>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</si>
  <si>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</si>
  <si>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Педаль акслератора вне пределов - низкий уровень</t>
  </si>
  <si>
    <t>Педаль акслератора вне пределов - высокий уровень</t>
  </si>
  <si>
    <t>Запрет тяги</t>
  </si>
  <si>
    <t>--Изменена настройка системы--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</si>
  <si>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</si>
  <si>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</si>
  <si>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</si>
  <si>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Контактор GF</t>
  </si>
  <si>
    <t>Команда - Несоответствие обратной связи</t>
  </si>
  <si>
    <t>Предел скорости</t>
  </si>
  <si>
    <t>Реле переведено во время движения</t>
  </si>
  <si>
    <t>ARst</t>
  </si>
  <si>
    <t>TMC2 Система ИНВ</t>
  </si>
  <si>
    <t>Слишком низкое напряжение фильтра ЗПТ</t>
  </si>
  <si>
    <t>TMC1 Система ИНВ</t>
  </si>
  <si>
    <t>TIC системной связи не обновляется</t>
  </si>
  <si>
    <t>Температура окружающего воздуха вне пределов</t>
  </si>
  <si>
    <t>Низкий</t>
  </si>
  <si>
    <t>Подъём кузова на ходу</t>
  </si>
  <si>
    <t>Сравнение CMD скорости вращения ДВС</t>
  </si>
  <si>
    <t>Активна блокировка ХХ на холодном ДВС</t>
  </si>
  <si>
    <t>Нужна калибровка педали</t>
  </si>
  <si>
    <t>Нужна калибровка запуска</t>
  </si>
  <si>
    <t>Установка часов реального времени</t>
  </si>
  <si>
    <t>через WebPTU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</si>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</sst>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ABAB-4ED4-4968-B598-8967FC7BEA46}">
  <dimension ref="A1:J1111"/>
  <sheetViews>
    <sheetView tabSelected="1" workbookViewId="0">
      <selection activeCell="E40" sqref="E40"/>
    </sheetView>
  </sheetViews>
  <sheetFormatPr defaultRowHeight="15" x14ac:dyDescent="0.25"/>
  <cols>
    <col min="1" max="1" width="16" bestFit="1" customWidth="1"/>
    <col min="5" max="5" width="34.7109375" customWidth="1"/>
    <col min="6" max="6" width="72.28515625" bestFit="1" customWidth="1"/>
    <col min="7" max="7" width="22" bestFit="1" customWidth="1"/>
    <col min="8" max="8" width="30.28515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"2026-05-11 12:57:42.313"</f>
        <v>2026-05-11 12:57:42.313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"2026-05-11 12:34:50.847"</f>
        <v>2026-05-11 12:34:50.847</v>
      </c>
      <c r="H10" t="s">
        <v>21</v>
      </c>
    </row>
    <row r="11" spans="1:10" x14ac:dyDescent="0.25">
      <c r="A11" s="1"/>
      <c r="B11" t="s">
        <v>22</v>
      </c>
      <c r="C11">
        <v>635</v>
      </c>
      <c r="D11">
        <v>1</v>
      </c>
      <c r="E11" t="s">
        <v>23</v>
      </c>
      <c r="F11" t="s">
        <v>24</v>
      </c>
      <c r="G11" t="str">
        <f>"2026-05-11 06:41:51.109"</f>
        <v>2026-05-11 06:41:51.109</v>
      </c>
      <c r="H11" t="s">
        <v>21</v>
      </c>
    </row>
    <row r="12" spans="1:10" x14ac:dyDescent="0.25">
      <c r="A12" s="1"/>
      <c r="B12" t="s">
        <v>25</v>
      </c>
      <c r="C12">
        <v>635</v>
      </c>
      <c r="D12">
        <v>1</v>
      </c>
      <c r="E12" t="s">
        <v>23</v>
      </c>
      <c r="F12" t="s">
        <v>24</v>
      </c>
      <c r="G12" t="str">
        <f>"2026-05-11 06:39:42.109"</f>
        <v>2026-05-11 06:39:42.109</v>
      </c>
      <c r="H12" t="s">
        <v>21</v>
      </c>
      <c r="I12">
        <v>0</v>
      </c>
      <c r="J12" t="s">
        <v>26</v>
      </c>
    </row>
    <row r="13" spans="1:10" x14ac:dyDescent="0.25">
      <c r="A13" s="1"/>
      <c r="B13" t="s">
        <v>22</v>
      </c>
      <c r="C13">
        <v>635</v>
      </c>
      <c r="D13">
        <v>1</v>
      </c>
      <c r="E13" t="s">
        <v>23</v>
      </c>
      <c r="F13" t="s">
        <v>24</v>
      </c>
      <c r="G13" t="str">
        <f>"2026-05-11 03:54:31.509"</f>
        <v>2026-05-11 03:54:31.509</v>
      </c>
      <c r="H13" t="s">
        <v>21</v>
      </c>
    </row>
    <row r="14" spans="1:10" x14ac:dyDescent="0.25">
      <c r="A14" s="1"/>
      <c r="B14" t="s">
        <v>25</v>
      </c>
      <c r="C14">
        <v>635</v>
      </c>
      <c r="D14">
        <v>1</v>
      </c>
      <c r="E14" t="s">
        <v>23</v>
      </c>
      <c r="F14" t="s">
        <v>24</v>
      </c>
      <c r="G14" t="str">
        <f>"2026-05-11 03:51:52.509"</f>
        <v>2026-05-11 03:51:52.509</v>
      </c>
      <c r="H14" t="s">
        <v>21</v>
      </c>
      <c r="I14">
        <v>2.23</v>
      </c>
      <c r="J14" t="s">
        <v>27</v>
      </c>
    </row>
    <row r="15" spans="1:10" x14ac:dyDescent="0.25">
      <c r="A15" s="1"/>
      <c r="B15" t="s">
        <v>19</v>
      </c>
      <c r="C15">
        <v>706</v>
      </c>
      <c r="D15">
        <v>4</v>
      </c>
      <c r="E15" t="s">
        <v>28</v>
      </c>
      <c r="F15" t="s">
        <v>29</v>
      </c>
      <c r="G15" t="str">
        <f>"2026-05-11 03:44:33.751"</f>
        <v>2026-05-11 03:44:33.751</v>
      </c>
      <c r="H15" t="s">
        <v>21</v>
      </c>
      <c r="I15">
        <v>0</v>
      </c>
      <c r="J15" t="s">
        <v>30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"2026-05-11 03:44:09.961"</f>
        <v>2026-05-11 03:44:09.961</v>
      </c>
      <c r="H16" t="s">
        <v>21</v>
      </c>
      <c r="I16">
        <v>0</v>
      </c>
      <c r="J16" t="s">
        <v>31</v>
      </c>
    </row>
    <row r="17" spans="1:10" x14ac:dyDescent="0.25">
      <c r="A17" s="1">
        <v>1</v>
      </c>
      <c r="B17" t="s">
        <v>32</v>
      </c>
      <c r="C17">
        <v>47</v>
      </c>
      <c r="D17">
        <v>2</v>
      </c>
      <c r="E17" t="s">
        <v>33</v>
      </c>
      <c r="F17" t="s">
        <v>34</v>
      </c>
      <c r="G17" t="str">
        <f>"2026-05-11 03:41:09.001"</f>
        <v>2026-05-11 03:41:09.001</v>
      </c>
      <c r="H17" t="s">
        <v>35</v>
      </c>
      <c r="I17">
        <v>0</v>
      </c>
      <c r="J17" t="s">
        <v>26</v>
      </c>
    </row>
    <row r="18" spans="1:10" x14ac:dyDescent="0.25">
      <c r="A18" s="1">
        <v>4</v>
      </c>
      <c r="B18" t="s">
        <v>22</v>
      </c>
      <c r="C18">
        <v>635</v>
      </c>
      <c r="D18">
        <v>1</v>
      </c>
      <c r="E18" t="s">
        <v>23</v>
      </c>
      <c r="F18" t="s">
        <v>24</v>
      </c>
      <c r="G18" t="str">
        <f>"2026-05-10 00:34:53.140"</f>
        <v>2026-05-10 00:34:53.140</v>
      </c>
      <c r="H18" t="s">
        <v>21</v>
      </c>
    </row>
    <row r="19" spans="1:10" x14ac:dyDescent="0.25">
      <c r="A19" s="1">
        <v>5</v>
      </c>
      <c r="B19" t="s">
        <v>25</v>
      </c>
      <c r="C19">
        <v>635</v>
      </c>
      <c r="D19">
        <v>1</v>
      </c>
      <c r="E19" t="s">
        <v>23</v>
      </c>
      <c r="F19" t="s">
        <v>24</v>
      </c>
      <c r="G19" t="str">
        <f>"2026-05-10 00:10:58.141"</f>
        <v>2026-05-10 00:10:58.141</v>
      </c>
      <c r="H19" t="s">
        <v>21</v>
      </c>
      <c r="I19">
        <v>8.69</v>
      </c>
      <c r="J19" t="s">
        <v>36</v>
      </c>
    </row>
    <row r="20" spans="1:10" x14ac:dyDescent="0.25">
      <c r="A20" s="1">
        <v>7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"2026-05-09 13:29:03.850"</f>
        <v>2026-05-09 13:29:03.850</v>
      </c>
      <c r="H20" t="s">
        <v>21</v>
      </c>
    </row>
    <row r="21" spans="1:10" x14ac:dyDescent="0.25">
      <c r="A21" s="1">
        <v>9</v>
      </c>
      <c r="B21" t="s">
        <v>22</v>
      </c>
      <c r="C21">
        <v>635</v>
      </c>
      <c r="D21">
        <v>1</v>
      </c>
      <c r="E21" t="s">
        <v>23</v>
      </c>
      <c r="F21" t="s">
        <v>24</v>
      </c>
      <c r="G21" t="str">
        <f>"2026-05-08 22:31:20.189"</f>
        <v>2026-05-08 22:31:20.189</v>
      </c>
      <c r="H21" t="s">
        <v>21</v>
      </c>
    </row>
    <row r="22" spans="1:10" x14ac:dyDescent="0.25">
      <c r="A22" s="1">
        <v>0</v>
      </c>
      <c r="B22" t="s">
        <v>25</v>
      </c>
      <c r="C22">
        <v>635</v>
      </c>
      <c r="D22">
        <v>1</v>
      </c>
      <c r="E22" t="s">
        <v>23</v>
      </c>
      <c r="F22" t="s">
        <v>24</v>
      </c>
      <c r="G22" t="str">
        <f>"2026-05-08 21:57:49.789"</f>
        <v>2026-05-08 21:57:49.789</v>
      </c>
      <c r="H22" t="s">
        <v>21</v>
      </c>
      <c r="I22">
        <v>6.42</v>
      </c>
      <c r="J22" t="s">
        <v>36</v>
      </c>
    </row>
    <row r="23" spans="1:10" x14ac:dyDescent="0.25">
      <c r="A23" s="1">
        <v>2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"2026-05-08 20:15:59.838"</f>
        <v>2026-05-08 20:15:59.838</v>
      </c>
      <c r="H23" t="s">
        <v>21</v>
      </c>
      <c r="I23">
        <v>0</v>
      </c>
      <c r="J23" t="s">
        <v>31</v>
      </c>
    </row>
    <row r="24" spans="1:10" x14ac:dyDescent="0.25">
      <c r="A24" s="1">
        <v>5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"2026-05-08 13:52:31.833"</f>
        <v>2026-05-08 13:52:31.833</v>
      </c>
      <c r="H24" t="s">
        <v>21</v>
      </c>
      <c r="I24">
        <v>0</v>
      </c>
      <c r="J24" t="s">
        <v>31</v>
      </c>
    </row>
    <row r="25" spans="1:10" x14ac:dyDescent="0.25">
      <c r="A25" s="1">
        <v>7</v>
      </c>
      <c r="B25" t="s">
        <v>32</v>
      </c>
      <c r="C25">
        <v>47</v>
      </c>
      <c r="D25">
        <v>2</v>
      </c>
      <c r="E25" t="s">
        <v>33</v>
      </c>
      <c r="F25" t="s">
        <v>34</v>
      </c>
      <c r="G25" t="str">
        <f>"2026-05-08 13:27:12.285"</f>
        <v>2026-05-08 13:27:12.285</v>
      </c>
      <c r="H25" t="s">
        <v>35</v>
      </c>
      <c r="I25">
        <v>0</v>
      </c>
      <c r="J25" t="s">
        <v>26</v>
      </c>
    </row>
    <row r="26" spans="1:10" x14ac:dyDescent="0.25">
      <c r="A26" s="1">
        <v>8</v>
      </c>
      <c r="B26" t="s">
        <v>37</v>
      </c>
      <c r="C26">
        <v>47</v>
      </c>
      <c r="D26">
        <v>2</v>
      </c>
      <c r="E26" t="s">
        <v>33</v>
      </c>
      <c r="F26" t="s">
        <v>34</v>
      </c>
      <c r="G26" t="str">
        <f>"2026-05-08 13:26:52.984"</f>
        <v>2026-05-08 13:26:52.984</v>
      </c>
      <c r="H26" t="s">
        <v>35</v>
      </c>
    </row>
    <row r="27" spans="1:10" x14ac:dyDescent="0.25">
      <c r="A27" s="1">
        <v>9</v>
      </c>
      <c r="B27" t="s">
        <v>32</v>
      </c>
      <c r="C27">
        <v>47</v>
      </c>
      <c r="D27">
        <v>2</v>
      </c>
      <c r="E27" t="s">
        <v>33</v>
      </c>
      <c r="F27" t="s">
        <v>34</v>
      </c>
      <c r="G27" t="str">
        <f>"2026-05-08 13:26:48.785"</f>
        <v>2026-05-08 13:26:48.785</v>
      </c>
      <c r="H27" t="s">
        <v>35</v>
      </c>
      <c r="I27">
        <v>0</v>
      </c>
      <c r="J27" t="s">
        <v>26</v>
      </c>
    </row>
    <row r="28" spans="1:10" x14ac:dyDescent="0.25">
      <c r="A28" s="1">
        <v>1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"2026-05-07 21:25:46.823"</f>
        <v>2026-05-07 21:25:46.823</v>
      </c>
      <c r="H28" t="s">
        <v>21</v>
      </c>
    </row>
    <row r="29" spans="1:10" x14ac:dyDescent="0.25">
      <c r="A29" s="1">
        <v>3</v>
      </c>
      <c r="B29" t="s">
        <v>32</v>
      </c>
      <c r="C29">
        <v>47</v>
      </c>
      <c r="D29">
        <v>2</v>
      </c>
      <c r="E29" t="s">
        <v>33</v>
      </c>
      <c r="F29" t="s">
        <v>34</v>
      </c>
      <c r="G29" t="str">
        <f>"2026-05-07 21:16:47.879"</f>
        <v>2026-05-07 21:16:47.879</v>
      </c>
      <c r="H29" t="s">
        <v>35</v>
      </c>
      <c r="I29">
        <v>0</v>
      </c>
      <c r="J29" t="s">
        <v>26</v>
      </c>
    </row>
    <row r="30" spans="1:10" x14ac:dyDescent="0.25">
      <c r="A30" s="1">
        <v>5</v>
      </c>
      <c r="B30" t="s">
        <v>22</v>
      </c>
      <c r="C30">
        <v>61</v>
      </c>
      <c r="D30">
        <v>2</v>
      </c>
      <c r="E30" t="s">
        <v>38</v>
      </c>
      <c r="F30" t="s">
        <v>39</v>
      </c>
      <c r="G30" t="str">
        <f>"2026-05-07 07:32:07.479"</f>
        <v>2026-05-07 07:32:07.479</v>
      </c>
      <c r="H30" t="s">
        <v>21</v>
      </c>
    </row>
    <row r="31" spans="1:10" x14ac:dyDescent="0.25">
      <c r="A31" s="1">
        <v>6</v>
      </c>
      <c r="B31" t="s">
        <v>32</v>
      </c>
      <c r="C31">
        <v>61</v>
      </c>
      <c r="D31">
        <v>2</v>
      </c>
      <c r="E31" t="s">
        <v>38</v>
      </c>
      <c r="F31" t="s">
        <v>39</v>
      </c>
      <c r="G31" t="str">
        <f>"2026-05-07 07:31:55.679"</f>
        <v>2026-05-07 07:31:55.679</v>
      </c>
      <c r="H31" t="s">
        <v>21</v>
      </c>
      <c r="I31">
        <v>29.68</v>
      </c>
      <c r="J31" t="s">
        <v>27</v>
      </c>
    </row>
    <row r="32" spans="1:10" x14ac:dyDescent="0.25">
      <c r="A32" s="1">
        <v>8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"2026-05-06 13:40:03.798"</f>
        <v>2026-05-06 13:40:03.798</v>
      </c>
      <c r="H32" t="s">
        <v>21</v>
      </c>
    </row>
    <row r="33" spans="1:10" x14ac:dyDescent="0.25">
      <c r="A33" s="1">
        <v>2</v>
      </c>
      <c r="B33" t="s">
        <v>32</v>
      </c>
      <c r="C33">
        <v>47</v>
      </c>
      <c r="D33">
        <v>2</v>
      </c>
      <c r="E33" t="s">
        <v>33</v>
      </c>
      <c r="F33" t="s">
        <v>34</v>
      </c>
      <c r="G33" t="str">
        <f>"2026-05-06 12:47:33.207"</f>
        <v>2026-05-06 12:47:33.207</v>
      </c>
      <c r="H33" t="s">
        <v>35</v>
      </c>
      <c r="I33">
        <v>0</v>
      </c>
      <c r="J33" t="s">
        <v>26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"2026-05-06 12:34:19.946"</f>
        <v>2026-05-06 12:34:19.946</v>
      </c>
      <c r="H34" t="s">
        <v>21</v>
      </c>
      <c r="I34">
        <v>0</v>
      </c>
      <c r="J34" t="s">
        <v>31</v>
      </c>
    </row>
    <row r="35" spans="1:10" x14ac:dyDescent="0.25">
      <c r="A35" s="1">
        <v>6</v>
      </c>
      <c r="B35" t="s">
        <v>37</v>
      </c>
      <c r="C35">
        <v>33</v>
      </c>
      <c r="D35">
        <v>1</v>
      </c>
      <c r="E35" t="s">
        <v>40</v>
      </c>
      <c r="F35" t="s">
        <v>41</v>
      </c>
      <c r="G35" t="str">
        <f>"2026-05-06 07:56:27.317"</f>
        <v>2026-05-06 07:56:27.317</v>
      </c>
      <c r="H35" t="s">
        <v>42</v>
      </c>
    </row>
    <row r="36" spans="1:10" x14ac:dyDescent="0.25">
      <c r="A36" s="1">
        <v>7</v>
      </c>
      <c r="B36" t="s">
        <v>32</v>
      </c>
      <c r="C36">
        <v>33</v>
      </c>
      <c r="D36">
        <v>1</v>
      </c>
      <c r="E36" t="s">
        <v>40</v>
      </c>
      <c r="F36" t="s">
        <v>41</v>
      </c>
      <c r="G36" t="str">
        <f>"2026-05-06 07:53:19.308"</f>
        <v>2026-05-06 07:53:19.308</v>
      </c>
      <c r="H36" t="s">
        <v>42</v>
      </c>
      <c r="I36">
        <v>13.43</v>
      </c>
      <c r="J36" t="s">
        <v>36</v>
      </c>
    </row>
    <row r="37" spans="1:10" x14ac:dyDescent="0.25">
      <c r="A37" s="1">
        <v>8</v>
      </c>
      <c r="B37" t="s">
        <v>19</v>
      </c>
      <c r="C37">
        <v>706</v>
      </c>
      <c r="D37">
        <v>4</v>
      </c>
      <c r="E37" t="s">
        <v>28</v>
      </c>
      <c r="F37" t="s">
        <v>29</v>
      </c>
      <c r="G37" t="str">
        <f>"2026-05-04 14:07:57.059"</f>
        <v>2026-05-04 14:07:57.059</v>
      </c>
      <c r="H37" t="s">
        <v>21</v>
      </c>
      <c r="I37">
        <v>0</v>
      </c>
      <c r="J37" t="s">
        <v>30</v>
      </c>
    </row>
    <row r="38" spans="1:10" x14ac:dyDescent="0.25">
      <c r="A38" s="1">
        <v>0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"2026-05-04 14:05:02.809"</f>
        <v>2026-05-04 14:05:02.809</v>
      </c>
      <c r="H38" t="s">
        <v>21</v>
      </c>
      <c r="I38">
        <v>0</v>
      </c>
      <c r="J38" t="s">
        <v>31</v>
      </c>
    </row>
    <row r="39" spans="1:10" s="3" customFormat="1" x14ac:dyDescent="0.25">
      <c r="A39" s="2">
        <v>2</v>
      </c>
      <c r="B39" s="3" t="s">
        <v>22</v>
      </c>
      <c r="C39" s="3">
        <v>647</v>
      </c>
      <c r="D39" s="3">
        <v>1</v>
      </c>
      <c r="E39" s="3" t="s">
        <v>43</v>
      </c>
      <c r="F39" s="3" t="s">
        <v>44</v>
      </c>
      <c r="G39" s="3" t="str">
        <f>"2026-05-04 04:45:15.850"</f>
        <v>2026-05-04 04:45:15.850</v>
      </c>
      <c r="H39" s="3" t="s">
        <v>21</v>
      </c>
    </row>
    <row r="40" spans="1:10" s="3" customFormat="1" x14ac:dyDescent="0.25">
      <c r="A40" s="2">
        <v>3</v>
      </c>
      <c r="B40" s="3" t="s">
        <v>25</v>
      </c>
      <c r="C40" s="3">
        <v>647</v>
      </c>
      <c r="D40" s="3">
        <v>1</v>
      </c>
      <c r="E40" s="3" t="s">
        <v>43</v>
      </c>
      <c r="F40" s="3" t="s">
        <v>44</v>
      </c>
      <c r="G40" s="3" t="str">
        <f>"2026-05-04 04:45:11.350"</f>
        <v>2026-05-04 04:45:11.350</v>
      </c>
      <c r="H40" s="3" t="s">
        <v>21</v>
      </c>
      <c r="I40" s="3">
        <v>22.42</v>
      </c>
      <c r="J40" s="3" t="s">
        <v>27</v>
      </c>
    </row>
    <row r="41" spans="1:10" x14ac:dyDescent="0.25">
      <c r="A41" s="1">
        <v>4</v>
      </c>
      <c r="B41" t="s">
        <v>22</v>
      </c>
      <c r="C41">
        <v>635</v>
      </c>
      <c r="D41">
        <v>1</v>
      </c>
      <c r="E41" t="s">
        <v>23</v>
      </c>
      <c r="F41" t="s">
        <v>24</v>
      </c>
      <c r="G41" t="str">
        <f>"2026-05-03 23:26:34.050"</f>
        <v>2026-05-03 23:26:34.050</v>
      </c>
      <c r="H41" t="s">
        <v>21</v>
      </c>
    </row>
    <row r="42" spans="1:10" x14ac:dyDescent="0.25">
      <c r="A42" s="1">
        <v>5</v>
      </c>
      <c r="B42" t="s">
        <v>25</v>
      </c>
      <c r="C42">
        <v>635</v>
      </c>
      <c r="D42">
        <v>1</v>
      </c>
      <c r="E42" t="s">
        <v>23</v>
      </c>
      <c r="F42" t="s">
        <v>24</v>
      </c>
      <c r="G42" t="str">
        <f>"2026-05-03 23:24:22.550"</f>
        <v>2026-05-03 23:24:22.550</v>
      </c>
      <c r="H42" t="s">
        <v>21</v>
      </c>
      <c r="I42">
        <v>3.13</v>
      </c>
      <c r="J42" t="s">
        <v>36</v>
      </c>
    </row>
    <row r="43" spans="1:10" x14ac:dyDescent="0.25">
      <c r="A43" s="1">
        <v>7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"2026-05-03 13:55:41.782"</f>
        <v>2026-05-03 13:55:41.782</v>
      </c>
      <c r="H43" t="s">
        <v>21</v>
      </c>
      <c r="I43">
        <v>0</v>
      </c>
      <c r="J43" t="s">
        <v>31</v>
      </c>
    </row>
    <row r="44" spans="1:10" x14ac:dyDescent="0.25">
      <c r="A44" s="1">
        <v>2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"2026-05-03 13:08:13.835"</f>
        <v>2026-05-03 13:08:13.835</v>
      </c>
      <c r="H44" t="s">
        <v>21</v>
      </c>
      <c r="I44">
        <v>0</v>
      </c>
      <c r="J44" t="s">
        <v>31</v>
      </c>
    </row>
    <row r="45" spans="1:10" x14ac:dyDescent="0.25">
      <c r="A45" s="1">
        <v>4</v>
      </c>
      <c r="B45" t="s">
        <v>32</v>
      </c>
      <c r="C45">
        <v>47</v>
      </c>
      <c r="D45">
        <v>2</v>
      </c>
      <c r="E45" t="s">
        <v>33</v>
      </c>
      <c r="F45" t="s">
        <v>34</v>
      </c>
      <c r="G45" t="str">
        <f>"2026-05-03 12:35:38.955"</f>
        <v>2026-05-03 12:35:38.955</v>
      </c>
      <c r="H45" t="s">
        <v>35</v>
      </c>
      <c r="I45">
        <v>0</v>
      </c>
      <c r="J45" t="s">
        <v>26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"2026-05-03 08:17:20.793"</f>
        <v>2026-05-03 08:17:20.793</v>
      </c>
      <c r="H46" t="s">
        <v>21</v>
      </c>
    </row>
    <row r="47" spans="1:10" x14ac:dyDescent="0.25">
      <c r="A47" s="1">
        <v>8</v>
      </c>
      <c r="B47" t="s">
        <v>32</v>
      </c>
      <c r="C47">
        <v>47</v>
      </c>
      <c r="D47">
        <v>2</v>
      </c>
      <c r="E47" t="s">
        <v>33</v>
      </c>
      <c r="F47" t="s">
        <v>34</v>
      </c>
      <c r="G47" t="str">
        <f>"2026-05-03 08:08:04.664"</f>
        <v>2026-05-03 08:08:04.664</v>
      </c>
      <c r="H47" t="s">
        <v>35</v>
      </c>
      <c r="I47">
        <v>0</v>
      </c>
      <c r="J47" t="s">
        <v>26</v>
      </c>
    </row>
    <row r="48" spans="1:10" x14ac:dyDescent="0.25">
      <c r="A48" s="1">
        <v>0</v>
      </c>
      <c r="B48" t="s">
        <v>19</v>
      </c>
      <c r="C48">
        <v>706</v>
      </c>
      <c r="D48">
        <v>4</v>
      </c>
      <c r="E48" t="s">
        <v>28</v>
      </c>
      <c r="F48" t="s">
        <v>29</v>
      </c>
      <c r="G48" t="str">
        <f>"2026-05-02 22:44:28.763"</f>
        <v>2026-05-02 22:44:28.763</v>
      </c>
      <c r="H48" t="s">
        <v>21</v>
      </c>
      <c r="I48">
        <v>0</v>
      </c>
      <c r="J48" t="s">
        <v>30</v>
      </c>
    </row>
    <row r="49" spans="1:10" x14ac:dyDescent="0.25">
      <c r="A49" s="1">
        <v>1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"2026-05-02 22:44:12.983"</f>
        <v>2026-05-02 22:44:12.983</v>
      </c>
      <c r="H49" t="s">
        <v>21</v>
      </c>
      <c r="I49">
        <v>0</v>
      </c>
      <c r="J49" t="s">
        <v>31</v>
      </c>
    </row>
    <row r="50" spans="1:10" x14ac:dyDescent="0.25">
      <c r="A50" s="1">
        <v>4</v>
      </c>
      <c r="B50" t="s">
        <v>22</v>
      </c>
      <c r="C50">
        <v>635</v>
      </c>
      <c r="D50">
        <v>1</v>
      </c>
      <c r="E50" t="s">
        <v>23</v>
      </c>
      <c r="F50" t="s">
        <v>24</v>
      </c>
      <c r="G50" t="str">
        <f>"2026-05-02 20:49:21.799"</f>
        <v>2026-05-02 20:49:21.799</v>
      </c>
      <c r="H50" t="s">
        <v>21</v>
      </c>
    </row>
    <row r="51" spans="1:10" x14ac:dyDescent="0.25">
      <c r="A51" s="1">
        <v>5</v>
      </c>
      <c r="B51" t="s">
        <v>25</v>
      </c>
      <c r="C51">
        <v>635</v>
      </c>
      <c r="D51">
        <v>1</v>
      </c>
      <c r="E51" t="s">
        <v>23</v>
      </c>
      <c r="F51" t="s">
        <v>24</v>
      </c>
      <c r="G51" t="str">
        <f>"2026-05-02 20:45:59.299"</f>
        <v>2026-05-02 20:45:59.299</v>
      </c>
      <c r="H51" t="s">
        <v>21</v>
      </c>
      <c r="I51">
        <v>3.58</v>
      </c>
      <c r="J51" t="s">
        <v>36</v>
      </c>
    </row>
    <row r="52" spans="1:10" x14ac:dyDescent="0.25">
      <c r="A52" s="1">
        <v>7</v>
      </c>
      <c r="B52" t="s">
        <v>19</v>
      </c>
      <c r="C52">
        <v>706</v>
      </c>
      <c r="D52">
        <v>2</v>
      </c>
      <c r="E52" t="s">
        <v>28</v>
      </c>
      <c r="F52" t="s">
        <v>45</v>
      </c>
      <c r="G52" t="str">
        <f>"2026-05-02 15:58:11.161"</f>
        <v>2026-05-02 15:58:11.161</v>
      </c>
      <c r="H52" t="s">
        <v>21</v>
      </c>
      <c r="I52">
        <v>0</v>
      </c>
      <c r="J52" t="s">
        <v>30</v>
      </c>
    </row>
    <row r="53" spans="1:10" x14ac:dyDescent="0.25">
      <c r="A53" s="1">
        <v>8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"2026-05-02 15:57:48.781"</f>
        <v>2026-05-02 15:57:48.781</v>
      </c>
      <c r="H53" t="s">
        <v>21</v>
      </c>
    </row>
    <row r="54" spans="1:10" x14ac:dyDescent="0.25">
      <c r="A54" s="1">
        <v>0</v>
      </c>
      <c r="B54" t="s">
        <v>32</v>
      </c>
      <c r="C54">
        <v>47</v>
      </c>
      <c r="D54">
        <v>2</v>
      </c>
      <c r="E54" t="s">
        <v>33</v>
      </c>
      <c r="F54" t="s">
        <v>34</v>
      </c>
      <c r="G54" t="str">
        <f>"2026-05-02 15:45:31.349"</f>
        <v>2026-05-02 15:45:31.349</v>
      </c>
      <c r="H54" t="s">
        <v>35</v>
      </c>
      <c r="I54">
        <v>0</v>
      </c>
      <c r="J54" t="s">
        <v>26</v>
      </c>
    </row>
    <row r="55" spans="1:10" x14ac:dyDescent="0.25">
      <c r="A55" s="1">
        <v>2</v>
      </c>
      <c r="B55" t="s">
        <v>19</v>
      </c>
      <c r="C55">
        <v>706</v>
      </c>
      <c r="D55">
        <v>2</v>
      </c>
      <c r="E55" t="s">
        <v>28</v>
      </c>
      <c r="F55" t="s">
        <v>45</v>
      </c>
      <c r="G55" t="str">
        <f>"2026-05-02 13:59:49.138"</f>
        <v>2026-05-02 13:59:49.138</v>
      </c>
      <c r="H55" t="s">
        <v>21</v>
      </c>
      <c r="I55">
        <v>0</v>
      </c>
      <c r="J55" t="s">
        <v>30</v>
      </c>
    </row>
    <row r="56" spans="1:10" x14ac:dyDescent="0.25">
      <c r="A56" s="1">
        <v>3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"2026-05-02 13:59:30.788"</f>
        <v>2026-05-02 13:59:30.788</v>
      </c>
      <c r="H56" t="s">
        <v>21</v>
      </c>
      <c r="I56">
        <v>0</v>
      </c>
      <c r="J56" t="s">
        <v>31</v>
      </c>
    </row>
    <row r="57" spans="1:10" x14ac:dyDescent="0.25">
      <c r="A57" s="1">
        <v>5</v>
      </c>
      <c r="B57" t="s">
        <v>22</v>
      </c>
      <c r="C57">
        <v>635</v>
      </c>
      <c r="D57">
        <v>1</v>
      </c>
      <c r="E57" t="s">
        <v>23</v>
      </c>
      <c r="F57" t="s">
        <v>24</v>
      </c>
      <c r="G57" t="str">
        <f>"2026-05-02 04:14:51.897"</f>
        <v>2026-05-02 04:14:51.897</v>
      </c>
      <c r="H57" t="s">
        <v>21</v>
      </c>
    </row>
    <row r="58" spans="1:10" x14ac:dyDescent="0.25">
      <c r="A58" s="1">
        <v>6</v>
      </c>
      <c r="B58" t="s">
        <v>25</v>
      </c>
      <c r="C58">
        <v>635</v>
      </c>
      <c r="D58">
        <v>1</v>
      </c>
      <c r="E58" t="s">
        <v>23</v>
      </c>
      <c r="F58" t="s">
        <v>24</v>
      </c>
      <c r="G58" t="str">
        <f>"2026-05-02 04:11:22.397"</f>
        <v>2026-05-02 04:11:22.397</v>
      </c>
      <c r="H58" t="s">
        <v>21</v>
      </c>
      <c r="I58">
        <v>-0.27</v>
      </c>
      <c r="J58" t="s">
        <v>36</v>
      </c>
    </row>
    <row r="59" spans="1:10" x14ac:dyDescent="0.25">
      <c r="A59" s="1">
        <v>7</v>
      </c>
      <c r="B59" t="s">
        <v>22</v>
      </c>
      <c r="C59">
        <v>635</v>
      </c>
      <c r="D59">
        <v>1</v>
      </c>
      <c r="E59" t="s">
        <v>23</v>
      </c>
      <c r="F59" t="s">
        <v>24</v>
      </c>
      <c r="G59" t="str">
        <f>"2026-05-01 14:14:33.397"</f>
        <v>2026-05-01 14:14:33.397</v>
      </c>
      <c r="H59" t="s">
        <v>21</v>
      </c>
    </row>
    <row r="60" spans="1:10" x14ac:dyDescent="0.25">
      <c r="A60" s="1">
        <v>8</v>
      </c>
      <c r="B60" t="s">
        <v>25</v>
      </c>
      <c r="C60">
        <v>635</v>
      </c>
      <c r="D60">
        <v>1</v>
      </c>
      <c r="E60" t="s">
        <v>23</v>
      </c>
      <c r="F60" t="s">
        <v>24</v>
      </c>
      <c r="G60" t="str">
        <f>"2026-05-01 14:10:44.397"</f>
        <v>2026-05-01 14:10:44.397</v>
      </c>
      <c r="H60" t="s">
        <v>21</v>
      </c>
      <c r="I60">
        <v>0</v>
      </c>
      <c r="J60" t="s">
        <v>26</v>
      </c>
    </row>
    <row r="61" spans="1:10" x14ac:dyDescent="0.25">
      <c r="A61" s="1">
        <v>9</v>
      </c>
      <c r="B61" t="s">
        <v>22</v>
      </c>
      <c r="C61">
        <v>635</v>
      </c>
      <c r="D61">
        <v>1</v>
      </c>
      <c r="E61" t="s">
        <v>23</v>
      </c>
      <c r="F61" t="s">
        <v>24</v>
      </c>
      <c r="G61" t="str">
        <f>"2026-05-01 11:38:11.697"</f>
        <v>2026-05-01 11:38:11.697</v>
      </c>
      <c r="H61" t="s">
        <v>21</v>
      </c>
    </row>
    <row r="62" spans="1:10" x14ac:dyDescent="0.25">
      <c r="A62" s="1">
        <v>0</v>
      </c>
      <c r="B62" t="s">
        <v>25</v>
      </c>
      <c r="C62">
        <v>635</v>
      </c>
      <c r="D62">
        <v>1</v>
      </c>
      <c r="E62" t="s">
        <v>23</v>
      </c>
      <c r="F62" t="s">
        <v>24</v>
      </c>
      <c r="G62" t="str">
        <f>"2026-05-01 11:35:43.697"</f>
        <v>2026-05-01 11:35:43.697</v>
      </c>
      <c r="H62" t="s">
        <v>21</v>
      </c>
      <c r="I62">
        <v>5.72</v>
      </c>
      <c r="J62" t="s">
        <v>36</v>
      </c>
    </row>
    <row r="63" spans="1:10" x14ac:dyDescent="0.25">
      <c r="A63" s="1">
        <v>2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"2026-04-30 21:22:41.789"</f>
        <v>2026-04-30 21:22:41.789</v>
      </c>
      <c r="H63" t="s">
        <v>21</v>
      </c>
      <c r="I63">
        <v>0</v>
      </c>
      <c r="J63" t="s">
        <v>31</v>
      </c>
    </row>
    <row r="64" spans="1:10" x14ac:dyDescent="0.25">
      <c r="A64" s="1">
        <v>4</v>
      </c>
      <c r="B64" t="s">
        <v>32</v>
      </c>
      <c r="C64">
        <v>47</v>
      </c>
      <c r="D64">
        <v>2</v>
      </c>
      <c r="E64" t="s">
        <v>33</v>
      </c>
      <c r="F64" t="s">
        <v>34</v>
      </c>
      <c r="G64" t="str">
        <f>"2026-04-30 19:22:53.854"</f>
        <v>2026-04-30 19:22:53.854</v>
      </c>
      <c r="H64" t="s">
        <v>35</v>
      </c>
      <c r="I64">
        <v>0</v>
      </c>
      <c r="J64" t="s">
        <v>26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"2026-04-30 18:25:06.782"</f>
        <v>2026-04-30 18:25:06.782</v>
      </c>
      <c r="H65" t="s">
        <v>21</v>
      </c>
      <c r="I65">
        <v>0</v>
      </c>
      <c r="J65" t="s">
        <v>31</v>
      </c>
    </row>
    <row r="66" spans="1:10" x14ac:dyDescent="0.25">
      <c r="A66" s="1">
        <v>8</v>
      </c>
      <c r="B66" t="s">
        <v>32</v>
      </c>
      <c r="C66">
        <v>47</v>
      </c>
      <c r="D66">
        <v>2</v>
      </c>
      <c r="E66" t="s">
        <v>33</v>
      </c>
      <c r="F66" t="s">
        <v>34</v>
      </c>
      <c r="G66" t="str">
        <f>"2026-04-30 18:14:39.479"</f>
        <v>2026-04-30 18:14:39.479</v>
      </c>
      <c r="H66" t="s">
        <v>35</v>
      </c>
      <c r="I66">
        <v>0</v>
      </c>
      <c r="J66" t="s">
        <v>26</v>
      </c>
    </row>
    <row r="67" spans="1:10" x14ac:dyDescent="0.25">
      <c r="A67" s="1">
        <v>9</v>
      </c>
      <c r="B67" t="s">
        <v>19</v>
      </c>
      <c r="C67">
        <v>706</v>
      </c>
      <c r="D67">
        <v>2</v>
      </c>
      <c r="E67" t="s">
        <v>28</v>
      </c>
      <c r="F67" t="s">
        <v>45</v>
      </c>
      <c r="G67" t="str">
        <f>"2026-04-30 18:08:09.747"</f>
        <v>2026-04-30 18:08:09.747</v>
      </c>
      <c r="H67" t="s">
        <v>21</v>
      </c>
      <c r="I67">
        <v>0</v>
      </c>
      <c r="J67" t="s">
        <v>30</v>
      </c>
    </row>
    <row r="68" spans="1:10" x14ac:dyDescent="0.25">
      <c r="A68" s="1">
        <v>0</v>
      </c>
      <c r="B68" t="s">
        <v>19</v>
      </c>
      <c r="C68">
        <v>706</v>
      </c>
      <c r="D68">
        <v>4</v>
      </c>
      <c r="E68" t="s">
        <v>28</v>
      </c>
      <c r="F68" t="s">
        <v>29</v>
      </c>
      <c r="G68" t="str">
        <f>"2026-04-30 18:07:32.307"</f>
        <v>2026-04-30 18:07:32.307</v>
      </c>
      <c r="H68" t="s">
        <v>21</v>
      </c>
      <c r="I68">
        <v>0</v>
      </c>
      <c r="J68" t="s">
        <v>30</v>
      </c>
    </row>
    <row r="69" spans="1:10" x14ac:dyDescent="0.25">
      <c r="A69" s="1">
        <v>1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"2026-04-30 17:49:06.767"</f>
        <v>2026-04-30 17:49:06.767</v>
      </c>
      <c r="H69" t="s">
        <v>21</v>
      </c>
    </row>
    <row r="70" spans="1:10" x14ac:dyDescent="0.25">
      <c r="A70" s="1">
        <v>3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"2026-04-30 16:41:27.046"</f>
        <v>2026-04-30 16:41:27.046</v>
      </c>
      <c r="H70" t="s">
        <v>21</v>
      </c>
      <c r="I70">
        <v>0</v>
      </c>
      <c r="J70" t="s">
        <v>31</v>
      </c>
    </row>
    <row r="71" spans="1:10" x14ac:dyDescent="0.25">
      <c r="A71" s="1">
        <v>5</v>
      </c>
      <c r="B71" t="s">
        <v>32</v>
      </c>
      <c r="C71">
        <v>47</v>
      </c>
      <c r="D71">
        <v>2</v>
      </c>
      <c r="E71" t="s">
        <v>33</v>
      </c>
      <c r="F71" t="s">
        <v>34</v>
      </c>
      <c r="G71" t="str">
        <f>"2026-04-30 16:18:10.550"</f>
        <v>2026-04-30 16:18:10.550</v>
      </c>
      <c r="H71" t="s">
        <v>35</v>
      </c>
      <c r="I71">
        <v>0</v>
      </c>
      <c r="J71" t="s">
        <v>26</v>
      </c>
    </row>
    <row r="72" spans="1:10" s="3" customFormat="1" x14ac:dyDescent="0.25">
      <c r="A72" s="2">
        <v>7</v>
      </c>
      <c r="B72" s="3" t="s">
        <v>22</v>
      </c>
      <c r="C72" s="3">
        <v>647</v>
      </c>
      <c r="D72" s="3">
        <v>1</v>
      </c>
      <c r="E72" s="3" t="s">
        <v>43</v>
      </c>
      <c r="F72" s="3" t="s">
        <v>44</v>
      </c>
      <c r="G72" s="3" t="str">
        <f>"2026-04-29 08:27:27.050"</f>
        <v>2026-04-29 08:27:27.050</v>
      </c>
      <c r="H72" s="3" t="s">
        <v>21</v>
      </c>
    </row>
    <row r="73" spans="1:10" s="3" customFormat="1" x14ac:dyDescent="0.25">
      <c r="A73" s="2">
        <v>8</v>
      </c>
      <c r="B73" s="3" t="s">
        <v>25</v>
      </c>
      <c r="C73" s="3">
        <v>647</v>
      </c>
      <c r="D73" s="3">
        <v>1</v>
      </c>
      <c r="E73" s="3" t="s">
        <v>43</v>
      </c>
      <c r="F73" s="3" t="s">
        <v>44</v>
      </c>
      <c r="G73" s="3" t="str">
        <f>"2026-04-29 08:27:23.350"</f>
        <v>2026-04-29 08:27:23.350</v>
      </c>
      <c r="H73" s="3" t="s">
        <v>21</v>
      </c>
      <c r="I73" s="3">
        <v>17.28</v>
      </c>
      <c r="J73" s="3" t="s">
        <v>27</v>
      </c>
    </row>
    <row r="74" spans="1:10" x14ac:dyDescent="0.25">
      <c r="A74" s="1">
        <v>9</v>
      </c>
      <c r="B74" t="s">
        <v>22</v>
      </c>
      <c r="C74">
        <v>635</v>
      </c>
      <c r="D74">
        <v>1</v>
      </c>
      <c r="E74" t="s">
        <v>23</v>
      </c>
      <c r="F74" t="s">
        <v>24</v>
      </c>
      <c r="G74" t="str">
        <f>"2026-04-29 04:08:15.149"</f>
        <v>2026-04-29 04:08:15.149</v>
      </c>
      <c r="H74" t="s">
        <v>21</v>
      </c>
    </row>
    <row r="75" spans="1:10" x14ac:dyDescent="0.25">
      <c r="A75" s="1">
        <v>10</v>
      </c>
      <c r="B75" t="s">
        <v>25</v>
      </c>
      <c r="C75">
        <v>635</v>
      </c>
      <c r="D75">
        <v>1</v>
      </c>
      <c r="E75" t="s">
        <v>23</v>
      </c>
      <c r="F75" t="s">
        <v>24</v>
      </c>
      <c r="G75" t="str">
        <f>"2026-04-29 04:05:13.249"</f>
        <v>2026-04-29 04:05:13.249</v>
      </c>
      <c r="H75" t="s">
        <v>21</v>
      </c>
      <c r="I75">
        <v>4.4400000000000004</v>
      </c>
      <c r="J75" t="s">
        <v>36</v>
      </c>
    </row>
    <row r="76" spans="1:10" x14ac:dyDescent="0.25">
      <c r="A76" s="1">
        <v>11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"2026-04-28 18:02:44.765"</f>
        <v>2026-04-28 18:02:44.765</v>
      </c>
      <c r="H76" t="s">
        <v>21</v>
      </c>
    </row>
    <row r="77" spans="1:10" x14ac:dyDescent="0.25">
      <c r="A77" s="1">
        <v>13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"2026-04-28 17:47:03.920"</f>
        <v>2026-04-28 17:47:03.920</v>
      </c>
      <c r="H77" t="s">
        <v>21</v>
      </c>
    </row>
    <row r="78" spans="1:10" x14ac:dyDescent="0.25">
      <c r="A78" s="1">
        <v>15</v>
      </c>
      <c r="B78" t="s">
        <v>32</v>
      </c>
      <c r="C78">
        <v>47</v>
      </c>
      <c r="D78">
        <v>2</v>
      </c>
      <c r="E78" t="s">
        <v>33</v>
      </c>
      <c r="F78" t="s">
        <v>34</v>
      </c>
      <c r="G78" t="str">
        <f>"2026-04-28 17:45:48.004"</f>
        <v>2026-04-28 17:45:48.004</v>
      </c>
      <c r="H78" t="s">
        <v>35</v>
      </c>
      <c r="I78">
        <v>0</v>
      </c>
      <c r="J78" t="s">
        <v>26</v>
      </c>
    </row>
    <row r="79" spans="1:10" x14ac:dyDescent="0.25">
      <c r="A79" s="1">
        <v>17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"2026-04-28 08:22:12.812"</f>
        <v>2026-04-28 08:22:12.812</v>
      </c>
      <c r="H79" t="s">
        <v>21</v>
      </c>
    </row>
    <row r="80" spans="1:10" x14ac:dyDescent="0.25">
      <c r="A80" s="1">
        <v>19</v>
      </c>
      <c r="B80" t="s">
        <v>22</v>
      </c>
      <c r="C80">
        <v>635</v>
      </c>
      <c r="D80">
        <v>1</v>
      </c>
      <c r="E80" t="s">
        <v>23</v>
      </c>
      <c r="F80" t="s">
        <v>24</v>
      </c>
      <c r="G80" t="str">
        <f>"2026-04-27 20:25:16.486"</f>
        <v>2026-04-27 20:25:16.486</v>
      </c>
      <c r="H80" t="s">
        <v>21</v>
      </c>
    </row>
    <row r="81" spans="1:10" x14ac:dyDescent="0.25">
      <c r="A81" s="1">
        <v>20</v>
      </c>
      <c r="B81" t="s">
        <v>25</v>
      </c>
      <c r="C81">
        <v>635</v>
      </c>
      <c r="D81">
        <v>1</v>
      </c>
      <c r="E81" t="s">
        <v>23</v>
      </c>
      <c r="F81" t="s">
        <v>24</v>
      </c>
      <c r="G81" t="str">
        <f>"2026-04-27 20:09:36.986"</f>
        <v>2026-04-27 20:09:36.986</v>
      </c>
      <c r="H81" t="s">
        <v>21</v>
      </c>
      <c r="I81">
        <v>2.31</v>
      </c>
      <c r="J81" t="s">
        <v>36</v>
      </c>
    </row>
    <row r="82" spans="1:10" x14ac:dyDescent="0.25">
      <c r="A82" s="1">
        <v>21</v>
      </c>
      <c r="B82" t="s">
        <v>22</v>
      </c>
      <c r="C82">
        <v>635</v>
      </c>
      <c r="D82">
        <v>1</v>
      </c>
      <c r="E82" t="s">
        <v>23</v>
      </c>
      <c r="F82" t="s">
        <v>24</v>
      </c>
      <c r="G82" t="str">
        <f>"2026-04-27 18:41:35.686"</f>
        <v>2026-04-27 18:41:35.686</v>
      </c>
      <c r="H82" t="s">
        <v>21</v>
      </c>
    </row>
    <row r="83" spans="1:10" x14ac:dyDescent="0.25">
      <c r="A83" s="1">
        <v>22</v>
      </c>
      <c r="B83" t="s">
        <v>25</v>
      </c>
      <c r="C83">
        <v>635</v>
      </c>
      <c r="D83">
        <v>1</v>
      </c>
      <c r="E83" t="s">
        <v>23</v>
      </c>
      <c r="F83" t="s">
        <v>24</v>
      </c>
      <c r="G83" t="str">
        <f>"2026-04-27 18:37:26.686"</f>
        <v>2026-04-27 18:37:26.686</v>
      </c>
      <c r="H83" t="s">
        <v>21</v>
      </c>
      <c r="I83">
        <v>4.62</v>
      </c>
      <c r="J83" t="s">
        <v>36</v>
      </c>
    </row>
    <row r="84" spans="1:10" x14ac:dyDescent="0.25">
      <c r="A84" s="1">
        <v>24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"2026-04-27 15:51:23.814"</f>
        <v>2026-04-27 15:51:23.814</v>
      </c>
      <c r="H84" t="s">
        <v>21</v>
      </c>
      <c r="I84">
        <v>0</v>
      </c>
      <c r="J84" t="s">
        <v>31</v>
      </c>
    </row>
    <row r="85" spans="1:10" x14ac:dyDescent="0.25">
      <c r="A85" s="1">
        <v>26</v>
      </c>
      <c r="B85" t="s">
        <v>37</v>
      </c>
      <c r="C85">
        <v>33</v>
      </c>
      <c r="D85">
        <v>1</v>
      </c>
      <c r="E85" t="s">
        <v>40</v>
      </c>
      <c r="F85" t="s">
        <v>41</v>
      </c>
      <c r="G85" t="str">
        <f>"2026-04-27 11:23:45.706"</f>
        <v>2026-04-27 11:23:45.706</v>
      </c>
      <c r="H85" t="s">
        <v>42</v>
      </c>
    </row>
    <row r="86" spans="1:10" x14ac:dyDescent="0.25">
      <c r="A86" s="1">
        <v>27</v>
      </c>
      <c r="B86" t="s">
        <v>32</v>
      </c>
      <c r="C86">
        <v>33</v>
      </c>
      <c r="D86">
        <v>1</v>
      </c>
      <c r="E86" t="s">
        <v>40</v>
      </c>
      <c r="F86" t="s">
        <v>41</v>
      </c>
      <c r="G86" t="str">
        <f>"2026-04-27 11:22:42.758"</f>
        <v>2026-04-27 11:22:42.758</v>
      </c>
      <c r="H86" t="s">
        <v>42</v>
      </c>
      <c r="I86">
        <v>9.01</v>
      </c>
      <c r="J86" t="s">
        <v>36</v>
      </c>
    </row>
    <row r="87" spans="1:10" x14ac:dyDescent="0.25">
      <c r="A87" s="1">
        <v>28</v>
      </c>
      <c r="B87" t="s">
        <v>22</v>
      </c>
      <c r="C87">
        <v>98</v>
      </c>
      <c r="D87">
        <v>1</v>
      </c>
      <c r="E87" t="s">
        <v>46</v>
      </c>
      <c r="F87" t="s">
        <v>47</v>
      </c>
      <c r="G87" t="str">
        <f>"2026-04-27 07:45:19.360"</f>
        <v>2026-04-27 07:45:19.360</v>
      </c>
      <c r="H87" t="s">
        <v>21</v>
      </c>
    </row>
    <row r="88" spans="1:10" x14ac:dyDescent="0.25">
      <c r="A88" s="1">
        <v>29</v>
      </c>
      <c r="B88" t="s">
        <v>25</v>
      </c>
      <c r="C88">
        <v>98</v>
      </c>
      <c r="D88">
        <v>1</v>
      </c>
      <c r="E88" t="s">
        <v>46</v>
      </c>
      <c r="F88" t="s">
        <v>47</v>
      </c>
      <c r="G88" t="str">
        <f>"2026-04-27 07:45:18.360"</f>
        <v>2026-04-27 07:45:18.360</v>
      </c>
      <c r="H88" t="s">
        <v>21</v>
      </c>
      <c r="I88">
        <v>14.04</v>
      </c>
      <c r="J88" t="s">
        <v>27</v>
      </c>
    </row>
    <row r="89" spans="1:10" x14ac:dyDescent="0.25">
      <c r="A89" s="1">
        <v>31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"2026-04-26 11:51:42.988"</f>
        <v>2026-04-26 11:51:42.988</v>
      </c>
      <c r="H89" t="s">
        <v>21</v>
      </c>
      <c r="I89">
        <v>0</v>
      </c>
      <c r="J89" t="s">
        <v>31</v>
      </c>
    </row>
    <row r="90" spans="1:10" x14ac:dyDescent="0.25">
      <c r="A90" s="1">
        <v>34</v>
      </c>
      <c r="B90" t="s">
        <v>22</v>
      </c>
      <c r="C90">
        <v>635</v>
      </c>
      <c r="D90">
        <v>1</v>
      </c>
      <c r="E90" t="s">
        <v>23</v>
      </c>
      <c r="F90" t="s">
        <v>24</v>
      </c>
      <c r="G90" t="str">
        <f>"2026-04-26 00:28:16.482"</f>
        <v>2026-04-26 00:28:16.482</v>
      </c>
      <c r="H90" t="s">
        <v>21</v>
      </c>
    </row>
    <row r="91" spans="1:10" x14ac:dyDescent="0.25">
      <c r="A91" s="1">
        <v>35</v>
      </c>
      <c r="B91" t="s">
        <v>25</v>
      </c>
      <c r="C91">
        <v>635</v>
      </c>
      <c r="D91">
        <v>1</v>
      </c>
      <c r="E91" t="s">
        <v>23</v>
      </c>
      <c r="F91" t="s">
        <v>24</v>
      </c>
      <c r="G91" t="str">
        <f>"2026-04-26 00:25:09.983"</f>
        <v>2026-04-26 00:25:09.983</v>
      </c>
      <c r="H91" t="s">
        <v>21</v>
      </c>
      <c r="I91">
        <v>0.8</v>
      </c>
      <c r="J91" t="s">
        <v>36</v>
      </c>
    </row>
    <row r="92" spans="1:10" x14ac:dyDescent="0.25">
      <c r="A92" s="1">
        <v>37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"2026-04-25 16:46:04.821"</f>
        <v>2026-04-25 16:46:04.821</v>
      </c>
      <c r="H92" t="s">
        <v>21</v>
      </c>
      <c r="I92">
        <v>0</v>
      </c>
      <c r="J92" t="s">
        <v>31</v>
      </c>
    </row>
    <row r="93" spans="1:10" x14ac:dyDescent="0.25">
      <c r="A93" s="1">
        <v>40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"2026-04-25 08:39:59.791"</f>
        <v>2026-04-25 08:39:59.791</v>
      </c>
      <c r="H93" t="s">
        <v>21</v>
      </c>
    </row>
    <row r="94" spans="1:10" x14ac:dyDescent="0.25">
      <c r="A94" s="1">
        <v>42</v>
      </c>
      <c r="B94" t="s">
        <v>32</v>
      </c>
      <c r="C94">
        <v>47</v>
      </c>
      <c r="D94">
        <v>2</v>
      </c>
      <c r="E94" t="s">
        <v>33</v>
      </c>
      <c r="F94" t="s">
        <v>34</v>
      </c>
      <c r="G94" t="str">
        <f>"2026-04-25 08:30:38.878"</f>
        <v>2026-04-25 08:30:38.878</v>
      </c>
      <c r="H94" t="s">
        <v>35</v>
      </c>
      <c r="I94">
        <v>0</v>
      </c>
      <c r="J94" t="s">
        <v>26</v>
      </c>
    </row>
    <row r="95" spans="1:10" x14ac:dyDescent="0.25">
      <c r="A95" s="1">
        <v>43</v>
      </c>
      <c r="B95" t="s">
        <v>22</v>
      </c>
      <c r="C95">
        <v>635</v>
      </c>
      <c r="D95">
        <v>1</v>
      </c>
      <c r="E95" t="s">
        <v>23</v>
      </c>
      <c r="F95" t="s">
        <v>24</v>
      </c>
      <c r="G95" t="str">
        <f>"2026-04-24 19:29:12.765"</f>
        <v>2026-04-24 19:29:12.765</v>
      </c>
      <c r="H95" t="s">
        <v>21</v>
      </c>
    </row>
    <row r="96" spans="1:10" x14ac:dyDescent="0.25">
      <c r="A96" s="1">
        <v>44</v>
      </c>
      <c r="B96" t="s">
        <v>25</v>
      </c>
      <c r="C96">
        <v>635</v>
      </c>
      <c r="D96">
        <v>1</v>
      </c>
      <c r="E96" t="s">
        <v>23</v>
      </c>
      <c r="F96" t="s">
        <v>24</v>
      </c>
      <c r="G96" t="str">
        <f>"2026-04-24 19:26:00.765"</f>
        <v>2026-04-24 19:26:00.765</v>
      </c>
      <c r="H96" t="s">
        <v>21</v>
      </c>
      <c r="I96">
        <v>6.08</v>
      </c>
      <c r="J96" t="s">
        <v>27</v>
      </c>
    </row>
    <row r="97" spans="1:10" x14ac:dyDescent="0.25">
      <c r="A97" s="1">
        <v>45</v>
      </c>
      <c r="B97" t="s">
        <v>22</v>
      </c>
      <c r="C97">
        <v>635</v>
      </c>
      <c r="D97">
        <v>1</v>
      </c>
      <c r="E97" t="s">
        <v>23</v>
      </c>
      <c r="F97" t="s">
        <v>24</v>
      </c>
      <c r="G97" t="str">
        <f>"2026-04-24 15:04:56.865"</f>
        <v>2026-04-24 15:04:56.865</v>
      </c>
      <c r="H97" t="s">
        <v>21</v>
      </c>
    </row>
    <row r="98" spans="1:10" x14ac:dyDescent="0.25">
      <c r="A98" s="1">
        <v>46</v>
      </c>
      <c r="B98" t="s">
        <v>25</v>
      </c>
      <c r="C98">
        <v>635</v>
      </c>
      <c r="D98">
        <v>1</v>
      </c>
      <c r="E98" t="s">
        <v>23</v>
      </c>
      <c r="F98" t="s">
        <v>24</v>
      </c>
      <c r="G98" t="str">
        <f>"2026-04-24 15:00:40.366"</f>
        <v>2026-04-24 15:00:40.366</v>
      </c>
      <c r="H98" t="s">
        <v>21</v>
      </c>
      <c r="I98">
        <v>6.97</v>
      </c>
      <c r="J98" t="s">
        <v>36</v>
      </c>
    </row>
    <row r="99" spans="1:10" x14ac:dyDescent="0.25">
      <c r="A99" s="1">
        <v>48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"2026-04-24 14:17:30.775"</f>
        <v>2026-04-24 14:17:30.775</v>
      </c>
      <c r="H99" t="s">
        <v>21</v>
      </c>
      <c r="I99">
        <v>0</v>
      </c>
      <c r="J99" t="s">
        <v>31</v>
      </c>
    </row>
    <row r="100" spans="1:10" x14ac:dyDescent="0.25">
      <c r="A100" s="1">
        <v>50</v>
      </c>
      <c r="B100" t="s">
        <v>22</v>
      </c>
      <c r="C100">
        <v>49</v>
      </c>
      <c r="D100">
        <v>1</v>
      </c>
      <c r="E100" t="s">
        <v>48</v>
      </c>
      <c r="F100" t="s">
        <v>49</v>
      </c>
      <c r="G100" t="str">
        <f>"2026-04-24 13:38:37.535"</f>
        <v>2026-04-24 13:38:37.535</v>
      </c>
      <c r="H100" t="s">
        <v>50</v>
      </c>
    </row>
    <row r="101" spans="1:10" x14ac:dyDescent="0.25">
      <c r="A101" s="1">
        <v>51</v>
      </c>
      <c r="B101" t="s">
        <v>19</v>
      </c>
      <c r="C101">
        <v>706</v>
      </c>
      <c r="D101">
        <v>4</v>
      </c>
      <c r="E101" t="s">
        <v>28</v>
      </c>
      <c r="F101" t="s">
        <v>29</v>
      </c>
      <c r="G101" t="str">
        <f>"2026-04-24 13:38:33.143"</f>
        <v>2026-04-24 13:38:33.143</v>
      </c>
      <c r="H101" t="s">
        <v>21</v>
      </c>
      <c r="I101">
        <v>0</v>
      </c>
      <c r="J101" t="s">
        <v>30</v>
      </c>
    </row>
    <row r="102" spans="1:10" x14ac:dyDescent="0.25">
      <c r="A102" s="1">
        <v>55</v>
      </c>
      <c r="B102" t="s">
        <v>25</v>
      </c>
      <c r="C102">
        <v>49</v>
      </c>
      <c r="D102">
        <v>1</v>
      </c>
      <c r="E102" t="s">
        <v>48</v>
      </c>
      <c r="F102" t="s">
        <v>49</v>
      </c>
      <c r="G102" t="str">
        <f>"2026-04-24 13:34:18.635"</f>
        <v>2026-04-24 13:34:18.635</v>
      </c>
      <c r="H102" t="s">
        <v>50</v>
      </c>
      <c r="I102">
        <v>0</v>
      </c>
      <c r="J102" t="s">
        <v>30</v>
      </c>
    </row>
    <row r="103" spans="1:10" x14ac:dyDescent="0.25">
      <c r="A103" s="1">
        <v>57</v>
      </c>
      <c r="B103" t="s">
        <v>22</v>
      </c>
      <c r="C103">
        <v>49</v>
      </c>
      <c r="D103">
        <v>1</v>
      </c>
      <c r="E103" t="s">
        <v>48</v>
      </c>
      <c r="F103" t="s">
        <v>49</v>
      </c>
      <c r="G103" t="str">
        <f>"2026-04-24 13:33:17.035"</f>
        <v>2026-04-24 13:33:17.035</v>
      </c>
      <c r="H103" t="s">
        <v>50</v>
      </c>
    </row>
    <row r="104" spans="1:10" x14ac:dyDescent="0.25">
      <c r="A104" s="1">
        <v>59</v>
      </c>
      <c r="B104" t="s">
        <v>25</v>
      </c>
      <c r="C104">
        <v>49</v>
      </c>
      <c r="D104">
        <v>1</v>
      </c>
      <c r="E104" t="s">
        <v>48</v>
      </c>
      <c r="F104" t="s">
        <v>49</v>
      </c>
      <c r="G104" t="str">
        <f>"2026-04-24 13:20:08.135"</f>
        <v>2026-04-24 13:20:08.135</v>
      </c>
      <c r="H104" t="s">
        <v>50</v>
      </c>
      <c r="I104">
        <v>0</v>
      </c>
      <c r="J104" t="s">
        <v>30</v>
      </c>
    </row>
    <row r="105" spans="1:10" x14ac:dyDescent="0.25">
      <c r="A105" s="1">
        <v>61</v>
      </c>
      <c r="B105" t="s">
        <v>22</v>
      </c>
      <c r="C105">
        <v>49</v>
      </c>
      <c r="D105">
        <v>1</v>
      </c>
      <c r="E105" t="s">
        <v>48</v>
      </c>
      <c r="F105" t="s">
        <v>49</v>
      </c>
      <c r="G105" t="str">
        <f>"2026-04-24 13:14:47.435"</f>
        <v>2026-04-24 13:14:47.435</v>
      </c>
      <c r="H105" t="s">
        <v>50</v>
      </c>
    </row>
    <row r="106" spans="1:10" x14ac:dyDescent="0.25">
      <c r="A106" s="1">
        <v>62</v>
      </c>
      <c r="B106" t="s">
        <v>19</v>
      </c>
      <c r="C106">
        <v>706</v>
      </c>
      <c r="D106">
        <v>4</v>
      </c>
      <c r="E106" t="s">
        <v>28</v>
      </c>
      <c r="F106" t="s">
        <v>29</v>
      </c>
      <c r="G106" t="str">
        <f>"2026-04-24 13:14:41.103"</f>
        <v>2026-04-24 13:14:41.103</v>
      </c>
      <c r="H106" t="s">
        <v>21</v>
      </c>
      <c r="I106">
        <v>0</v>
      </c>
      <c r="J106" t="s">
        <v>30</v>
      </c>
    </row>
    <row r="107" spans="1:10" x14ac:dyDescent="0.25">
      <c r="A107" s="1">
        <v>64</v>
      </c>
      <c r="B107" t="s">
        <v>25</v>
      </c>
      <c r="C107">
        <v>49</v>
      </c>
      <c r="D107">
        <v>1</v>
      </c>
      <c r="E107" t="s">
        <v>48</v>
      </c>
      <c r="F107" t="s">
        <v>49</v>
      </c>
      <c r="G107" t="str">
        <f>"2026-04-24 12:52:58.735"</f>
        <v>2026-04-24 12:52:58.735</v>
      </c>
      <c r="H107" t="s">
        <v>50</v>
      </c>
      <c r="I107">
        <v>0</v>
      </c>
      <c r="J107" t="s">
        <v>30</v>
      </c>
    </row>
    <row r="108" spans="1:10" x14ac:dyDescent="0.25">
      <c r="A108" s="1">
        <v>66</v>
      </c>
      <c r="B108" t="s">
        <v>22</v>
      </c>
      <c r="C108">
        <v>49</v>
      </c>
      <c r="D108">
        <v>1</v>
      </c>
      <c r="E108" t="s">
        <v>48</v>
      </c>
      <c r="F108" t="s">
        <v>49</v>
      </c>
      <c r="G108" t="str">
        <f>"2026-04-24 08:01:51.435"</f>
        <v>2026-04-24 08:01:51.435</v>
      </c>
      <c r="H108" t="s">
        <v>50</v>
      </c>
    </row>
    <row r="109" spans="1:10" x14ac:dyDescent="0.25">
      <c r="A109" s="1">
        <v>67</v>
      </c>
      <c r="B109" t="s">
        <v>19</v>
      </c>
      <c r="C109">
        <v>706</v>
      </c>
      <c r="D109">
        <v>4</v>
      </c>
      <c r="E109" t="s">
        <v>28</v>
      </c>
      <c r="F109" t="s">
        <v>29</v>
      </c>
      <c r="G109" t="str">
        <f>"2026-04-24 08:01:43.823"</f>
        <v>2026-04-24 08:01:43.823</v>
      </c>
      <c r="H109" t="s">
        <v>21</v>
      </c>
      <c r="I109">
        <v>0</v>
      </c>
      <c r="J109" t="s">
        <v>30</v>
      </c>
    </row>
    <row r="110" spans="1:10" x14ac:dyDescent="0.25">
      <c r="A110" s="1">
        <v>69</v>
      </c>
      <c r="B110" t="s">
        <v>25</v>
      </c>
      <c r="C110">
        <v>49</v>
      </c>
      <c r="D110">
        <v>1</v>
      </c>
      <c r="E110" t="s">
        <v>48</v>
      </c>
      <c r="F110" t="s">
        <v>49</v>
      </c>
      <c r="G110" t="str">
        <f>"2026-04-24 07:49:03.035"</f>
        <v>2026-04-24 07:49:03.035</v>
      </c>
      <c r="H110" t="s">
        <v>50</v>
      </c>
      <c r="I110">
        <v>0</v>
      </c>
      <c r="J110" t="s">
        <v>30</v>
      </c>
    </row>
    <row r="111" spans="1:10" x14ac:dyDescent="0.25">
      <c r="A111" s="1">
        <v>71</v>
      </c>
      <c r="B111" t="s">
        <v>22</v>
      </c>
      <c r="C111">
        <v>49</v>
      </c>
      <c r="D111">
        <v>1</v>
      </c>
      <c r="E111" t="s">
        <v>48</v>
      </c>
      <c r="F111" t="s">
        <v>49</v>
      </c>
      <c r="G111" t="str">
        <f>"2026-04-23 13:56:55.135"</f>
        <v>2026-04-23 13:56:55.135</v>
      </c>
      <c r="H111" t="s">
        <v>50</v>
      </c>
    </row>
    <row r="112" spans="1:10" x14ac:dyDescent="0.25">
      <c r="A112" s="1">
        <v>72</v>
      </c>
      <c r="B112" t="s">
        <v>19</v>
      </c>
      <c r="C112">
        <v>706</v>
      </c>
      <c r="D112">
        <v>2</v>
      </c>
      <c r="E112" t="s">
        <v>28</v>
      </c>
      <c r="F112" t="s">
        <v>45</v>
      </c>
      <c r="G112" t="str">
        <f>"2026-04-23 13:56:49.173"</f>
        <v>2026-04-23 13:56:49.173</v>
      </c>
      <c r="H112" t="s">
        <v>21</v>
      </c>
      <c r="I112">
        <v>0</v>
      </c>
      <c r="J112" t="s">
        <v>30</v>
      </c>
    </row>
    <row r="113" spans="1:10" x14ac:dyDescent="0.25">
      <c r="A113" s="1">
        <v>74</v>
      </c>
      <c r="B113" t="s">
        <v>25</v>
      </c>
      <c r="C113">
        <v>49</v>
      </c>
      <c r="D113">
        <v>1</v>
      </c>
      <c r="E113" t="s">
        <v>48</v>
      </c>
      <c r="F113" t="s">
        <v>49</v>
      </c>
      <c r="G113" t="str">
        <f>"2026-04-23 12:57:06.635"</f>
        <v>2026-04-23 12:57:06.635</v>
      </c>
      <c r="H113" t="s">
        <v>50</v>
      </c>
      <c r="I113">
        <v>0</v>
      </c>
      <c r="J113" t="s">
        <v>30</v>
      </c>
    </row>
    <row r="114" spans="1:10" x14ac:dyDescent="0.25">
      <c r="A114" s="1">
        <v>76</v>
      </c>
      <c r="B114" t="s">
        <v>22</v>
      </c>
      <c r="C114">
        <v>49</v>
      </c>
      <c r="D114">
        <v>1</v>
      </c>
      <c r="E114" t="s">
        <v>48</v>
      </c>
      <c r="F114" t="s">
        <v>49</v>
      </c>
      <c r="G114" t="str">
        <f>"2026-04-23 10:31:02.335"</f>
        <v>2026-04-23 10:31:02.335</v>
      </c>
      <c r="H114" t="s">
        <v>50</v>
      </c>
    </row>
    <row r="115" spans="1:10" x14ac:dyDescent="0.25">
      <c r="A115" s="1">
        <v>78</v>
      </c>
      <c r="B115" t="s">
        <v>19</v>
      </c>
      <c r="C115">
        <v>706</v>
      </c>
      <c r="D115">
        <v>4</v>
      </c>
      <c r="E115" t="s">
        <v>28</v>
      </c>
      <c r="F115" t="s">
        <v>29</v>
      </c>
      <c r="G115" t="str">
        <f>"2026-04-23 10:30:54.613"</f>
        <v>2026-04-23 10:30:54.613</v>
      </c>
      <c r="H115" t="s">
        <v>21</v>
      </c>
      <c r="I115">
        <v>0</v>
      </c>
      <c r="J115" t="s">
        <v>30</v>
      </c>
    </row>
    <row r="116" spans="1:10" x14ac:dyDescent="0.25">
      <c r="A116" s="1">
        <v>79</v>
      </c>
      <c r="B116" t="s">
        <v>25</v>
      </c>
      <c r="C116">
        <v>49</v>
      </c>
      <c r="D116">
        <v>1</v>
      </c>
      <c r="E116" t="s">
        <v>48</v>
      </c>
      <c r="F116" t="s">
        <v>49</v>
      </c>
      <c r="G116" t="str">
        <f>"2026-04-23 10:18:07.435"</f>
        <v>2026-04-23 10:18:07.435</v>
      </c>
      <c r="H116" t="s">
        <v>50</v>
      </c>
      <c r="I116">
        <v>0</v>
      </c>
      <c r="J116" t="s">
        <v>30</v>
      </c>
    </row>
    <row r="117" spans="1:10" x14ac:dyDescent="0.25">
      <c r="A117" s="1">
        <v>81</v>
      </c>
      <c r="B117" t="s">
        <v>22</v>
      </c>
      <c r="C117">
        <v>635</v>
      </c>
      <c r="D117">
        <v>1</v>
      </c>
      <c r="E117" t="s">
        <v>23</v>
      </c>
      <c r="F117" t="s">
        <v>24</v>
      </c>
      <c r="G117" t="str">
        <f>"2026-04-22 20:57:14.581"</f>
        <v>2026-04-22 20:57:14.581</v>
      </c>
      <c r="H117" t="s">
        <v>21</v>
      </c>
    </row>
    <row r="118" spans="1:10" x14ac:dyDescent="0.25">
      <c r="A118" s="1">
        <v>82</v>
      </c>
      <c r="B118" t="s">
        <v>25</v>
      </c>
      <c r="C118">
        <v>635</v>
      </c>
      <c r="D118">
        <v>1</v>
      </c>
      <c r="E118" t="s">
        <v>23</v>
      </c>
      <c r="F118" t="s">
        <v>24</v>
      </c>
      <c r="G118" t="str">
        <f>"2026-04-22 20:50:17.081"</f>
        <v>2026-04-22 20:50:17.081</v>
      </c>
      <c r="H118" t="s">
        <v>21</v>
      </c>
      <c r="I118">
        <v>0</v>
      </c>
      <c r="J118" t="s">
        <v>26</v>
      </c>
    </row>
    <row r="119" spans="1:10" x14ac:dyDescent="0.25">
      <c r="A119" s="1">
        <v>83</v>
      </c>
      <c r="B119" t="s">
        <v>22</v>
      </c>
      <c r="C119">
        <v>49</v>
      </c>
      <c r="D119">
        <v>1</v>
      </c>
      <c r="E119" t="s">
        <v>48</v>
      </c>
      <c r="F119" t="s">
        <v>49</v>
      </c>
      <c r="G119" t="str">
        <f>"2026-04-22 16:44:17.135"</f>
        <v>2026-04-22 16:44:17.135</v>
      </c>
      <c r="H119" t="s">
        <v>50</v>
      </c>
    </row>
    <row r="120" spans="1:10" x14ac:dyDescent="0.25">
      <c r="A120" s="1">
        <v>84</v>
      </c>
      <c r="B120" t="s">
        <v>37</v>
      </c>
      <c r="C120">
        <v>47</v>
      </c>
      <c r="D120">
        <v>2</v>
      </c>
      <c r="E120" t="s">
        <v>33</v>
      </c>
      <c r="F120" t="s">
        <v>34</v>
      </c>
      <c r="G120" t="str">
        <f>"2026-04-22 16:44:13.434"</f>
        <v>2026-04-22 16:44:13.434</v>
      </c>
      <c r="H120" t="s">
        <v>35</v>
      </c>
    </row>
    <row r="121" spans="1:10" x14ac:dyDescent="0.25">
      <c r="A121" s="1">
        <v>85</v>
      </c>
      <c r="B121" t="s">
        <v>19</v>
      </c>
      <c r="C121">
        <v>706</v>
      </c>
      <c r="D121">
        <v>4</v>
      </c>
      <c r="E121" t="s">
        <v>28</v>
      </c>
      <c r="F121" t="s">
        <v>29</v>
      </c>
      <c r="G121" t="str">
        <f>"2026-04-22 16:44:10.373"</f>
        <v>2026-04-22 16:44:10.373</v>
      </c>
      <c r="H121" t="s">
        <v>21</v>
      </c>
      <c r="I121">
        <v>0</v>
      </c>
      <c r="J121" t="s">
        <v>30</v>
      </c>
    </row>
    <row r="122" spans="1:10" x14ac:dyDescent="0.25">
      <c r="A122" s="1">
        <v>87</v>
      </c>
      <c r="B122" t="s">
        <v>25</v>
      </c>
      <c r="C122">
        <v>49</v>
      </c>
      <c r="D122">
        <v>1</v>
      </c>
      <c r="E122" t="s">
        <v>48</v>
      </c>
      <c r="F122" t="s">
        <v>49</v>
      </c>
      <c r="G122" t="str">
        <f>"2026-04-22 16:31:01.535"</f>
        <v>2026-04-22 16:31:01.535</v>
      </c>
      <c r="H122" t="s">
        <v>50</v>
      </c>
      <c r="I122">
        <v>0</v>
      </c>
      <c r="J122" t="s">
        <v>30</v>
      </c>
    </row>
    <row r="123" spans="1:10" x14ac:dyDescent="0.25">
      <c r="A123" s="1">
        <v>89</v>
      </c>
      <c r="B123" t="s">
        <v>32</v>
      </c>
      <c r="C123">
        <v>47</v>
      </c>
      <c r="D123">
        <v>2</v>
      </c>
      <c r="E123" t="s">
        <v>33</v>
      </c>
      <c r="F123" t="s">
        <v>34</v>
      </c>
      <c r="G123" t="str">
        <f>"2026-04-22 16:29:52.734"</f>
        <v>2026-04-22 16:29:52.734</v>
      </c>
      <c r="H123" t="s">
        <v>35</v>
      </c>
      <c r="I123">
        <v>0</v>
      </c>
      <c r="J123" t="s">
        <v>26</v>
      </c>
    </row>
    <row r="124" spans="1:10" x14ac:dyDescent="0.25">
      <c r="A124" s="1">
        <v>90</v>
      </c>
      <c r="B124" t="s">
        <v>22</v>
      </c>
      <c r="C124">
        <v>49</v>
      </c>
      <c r="D124">
        <v>1</v>
      </c>
      <c r="E124" t="s">
        <v>48</v>
      </c>
      <c r="F124" t="s">
        <v>49</v>
      </c>
      <c r="G124" t="str">
        <f>"2026-04-22 14:18:44.735"</f>
        <v>2026-04-22 14:18:44.735</v>
      </c>
      <c r="H124" t="s">
        <v>50</v>
      </c>
    </row>
    <row r="125" spans="1:10" x14ac:dyDescent="0.25">
      <c r="A125" s="1">
        <v>91</v>
      </c>
      <c r="B125" t="s">
        <v>19</v>
      </c>
      <c r="C125">
        <v>706</v>
      </c>
      <c r="D125">
        <v>2</v>
      </c>
      <c r="E125" t="s">
        <v>28</v>
      </c>
      <c r="F125" t="s">
        <v>45</v>
      </c>
      <c r="G125" t="str">
        <f>"2026-04-22 14:18:39.073"</f>
        <v>2026-04-22 14:18:39.073</v>
      </c>
      <c r="H125" t="s">
        <v>21</v>
      </c>
      <c r="I125">
        <v>0</v>
      </c>
      <c r="J125" t="s">
        <v>30</v>
      </c>
    </row>
    <row r="126" spans="1:10" x14ac:dyDescent="0.25">
      <c r="A126" s="1">
        <v>93</v>
      </c>
      <c r="B126" t="s">
        <v>25</v>
      </c>
      <c r="C126">
        <v>49</v>
      </c>
      <c r="D126">
        <v>1</v>
      </c>
      <c r="E126" t="s">
        <v>48</v>
      </c>
      <c r="F126" t="s">
        <v>49</v>
      </c>
      <c r="G126" t="str">
        <f>"2026-04-22 13:52:06.935"</f>
        <v>2026-04-22 13:52:06.935</v>
      </c>
      <c r="H126" t="s">
        <v>50</v>
      </c>
      <c r="I126">
        <v>0</v>
      </c>
      <c r="J126" t="s">
        <v>30</v>
      </c>
    </row>
    <row r="127" spans="1:10" x14ac:dyDescent="0.25">
      <c r="A127" s="1">
        <v>95</v>
      </c>
      <c r="B127" t="s">
        <v>37</v>
      </c>
      <c r="C127">
        <v>47</v>
      </c>
      <c r="D127">
        <v>2</v>
      </c>
      <c r="E127" t="s">
        <v>33</v>
      </c>
      <c r="F127" t="s">
        <v>34</v>
      </c>
      <c r="G127" t="str">
        <f>"2026-04-22 09:32:23.334"</f>
        <v>2026-04-22 09:32:23.334</v>
      </c>
      <c r="H127" t="s">
        <v>35</v>
      </c>
    </row>
    <row r="128" spans="1:10" x14ac:dyDescent="0.25">
      <c r="A128" s="1">
        <v>96</v>
      </c>
      <c r="B128" t="s">
        <v>19</v>
      </c>
      <c r="C128">
        <v>706</v>
      </c>
      <c r="D128">
        <v>2</v>
      </c>
      <c r="E128" t="s">
        <v>28</v>
      </c>
      <c r="F128" t="s">
        <v>45</v>
      </c>
      <c r="G128" t="str">
        <f>"2026-04-22 09:32:21.373"</f>
        <v>2026-04-22 09:32:21.373</v>
      </c>
      <c r="H128" t="s">
        <v>21</v>
      </c>
      <c r="I128">
        <v>0</v>
      </c>
      <c r="J128" t="s">
        <v>30</v>
      </c>
    </row>
    <row r="129" spans="1:10" x14ac:dyDescent="0.25">
      <c r="A129" s="1">
        <v>97</v>
      </c>
      <c r="B129" t="s">
        <v>22</v>
      </c>
      <c r="C129">
        <v>49</v>
      </c>
      <c r="D129">
        <v>1</v>
      </c>
      <c r="E129" t="s">
        <v>48</v>
      </c>
      <c r="F129" t="s">
        <v>49</v>
      </c>
      <c r="G129" t="str">
        <f>"2026-04-22 09:31:01.235"</f>
        <v>2026-04-22 09:31:01.235</v>
      </c>
      <c r="H129" t="s">
        <v>50</v>
      </c>
    </row>
    <row r="130" spans="1:10" x14ac:dyDescent="0.25">
      <c r="A130" s="1">
        <v>99</v>
      </c>
      <c r="B130" t="s">
        <v>25</v>
      </c>
      <c r="C130">
        <v>49</v>
      </c>
      <c r="D130">
        <v>1</v>
      </c>
      <c r="E130" t="s">
        <v>48</v>
      </c>
      <c r="F130" t="s">
        <v>49</v>
      </c>
      <c r="G130" t="str">
        <f>"2026-04-22 09:20:24.835"</f>
        <v>2026-04-22 09:20:24.835</v>
      </c>
      <c r="H130" t="s">
        <v>50</v>
      </c>
      <c r="I130">
        <v>0</v>
      </c>
      <c r="J130" t="s">
        <v>30</v>
      </c>
    </row>
    <row r="131" spans="1:10" x14ac:dyDescent="0.25">
      <c r="A131" s="1">
        <v>1</v>
      </c>
      <c r="B131" t="s">
        <v>32</v>
      </c>
      <c r="C131">
        <v>47</v>
      </c>
      <c r="D131">
        <v>2</v>
      </c>
      <c r="E131" t="s">
        <v>33</v>
      </c>
      <c r="F131" t="s">
        <v>34</v>
      </c>
      <c r="G131" t="str">
        <f>"2026-04-22 09:19:16.134"</f>
        <v>2026-04-22 09:19:16.134</v>
      </c>
      <c r="H131" t="s">
        <v>35</v>
      </c>
      <c r="I131">
        <v>0</v>
      </c>
      <c r="J131" t="s">
        <v>26</v>
      </c>
    </row>
    <row r="132" spans="1:10" x14ac:dyDescent="0.25">
      <c r="A132" s="1">
        <v>2</v>
      </c>
      <c r="B132" t="s">
        <v>22</v>
      </c>
      <c r="C132">
        <v>635</v>
      </c>
      <c r="D132">
        <v>1</v>
      </c>
      <c r="E132" t="s">
        <v>23</v>
      </c>
      <c r="F132" t="s">
        <v>24</v>
      </c>
      <c r="G132" t="str">
        <f>"2026-04-22 00:00:24.181"</f>
        <v>2026-04-22 00:00:24.181</v>
      </c>
      <c r="H132" t="s">
        <v>21</v>
      </c>
    </row>
    <row r="133" spans="1:10" x14ac:dyDescent="0.25">
      <c r="A133" s="1">
        <v>3</v>
      </c>
      <c r="B133" t="s">
        <v>25</v>
      </c>
      <c r="C133">
        <v>635</v>
      </c>
      <c r="D133">
        <v>1</v>
      </c>
      <c r="E133" t="s">
        <v>23</v>
      </c>
      <c r="F133" t="s">
        <v>24</v>
      </c>
      <c r="G133" t="str">
        <f>"2026-04-21 23:55:13.681"</f>
        <v>2026-04-21 23:55:13.681</v>
      </c>
      <c r="H133" t="s">
        <v>21</v>
      </c>
      <c r="I133">
        <v>1.1200000000000001</v>
      </c>
      <c r="J133" t="s">
        <v>26</v>
      </c>
    </row>
    <row r="134" spans="1:10" x14ac:dyDescent="0.25">
      <c r="A134" s="1">
        <v>4</v>
      </c>
      <c r="B134" t="s">
        <v>22</v>
      </c>
      <c r="C134">
        <v>49</v>
      </c>
      <c r="D134">
        <v>1</v>
      </c>
      <c r="E134" t="s">
        <v>48</v>
      </c>
      <c r="F134" t="s">
        <v>49</v>
      </c>
      <c r="G134" t="str">
        <f>"2026-04-21 13:48:34.435"</f>
        <v>2026-04-21 13:48:34.435</v>
      </c>
      <c r="H134" t="s">
        <v>50</v>
      </c>
    </row>
    <row r="135" spans="1:10" x14ac:dyDescent="0.25">
      <c r="A135" s="1">
        <v>5</v>
      </c>
      <c r="B135" t="s">
        <v>37</v>
      </c>
      <c r="C135">
        <v>47</v>
      </c>
      <c r="D135">
        <v>2</v>
      </c>
      <c r="E135" t="s">
        <v>33</v>
      </c>
      <c r="F135" t="s">
        <v>34</v>
      </c>
      <c r="G135" t="str">
        <f>"2026-04-21 13:48:32.234"</f>
        <v>2026-04-21 13:48:32.234</v>
      </c>
      <c r="H135" t="s">
        <v>35</v>
      </c>
    </row>
    <row r="136" spans="1:10" x14ac:dyDescent="0.25">
      <c r="A136" s="1">
        <v>6</v>
      </c>
      <c r="B136" t="s">
        <v>19</v>
      </c>
      <c r="C136">
        <v>706</v>
      </c>
      <c r="D136">
        <v>2</v>
      </c>
      <c r="E136" t="s">
        <v>28</v>
      </c>
      <c r="F136" t="s">
        <v>45</v>
      </c>
      <c r="G136" t="str">
        <f>"2026-04-21 13:48:28.873"</f>
        <v>2026-04-21 13:48:28.873</v>
      </c>
      <c r="H136" t="s">
        <v>21</v>
      </c>
      <c r="I136">
        <v>0</v>
      </c>
      <c r="J136" t="s">
        <v>30</v>
      </c>
    </row>
    <row r="137" spans="1:10" x14ac:dyDescent="0.25">
      <c r="A137" s="1">
        <v>8</v>
      </c>
      <c r="B137" t="s">
        <v>25</v>
      </c>
      <c r="C137">
        <v>49</v>
      </c>
      <c r="D137">
        <v>1</v>
      </c>
      <c r="E137" t="s">
        <v>48</v>
      </c>
      <c r="F137" t="s">
        <v>49</v>
      </c>
      <c r="G137" t="str">
        <f>"2026-04-21 13:28:13.335"</f>
        <v>2026-04-21 13:28:13.335</v>
      </c>
      <c r="H137" t="s">
        <v>50</v>
      </c>
      <c r="I137">
        <v>0</v>
      </c>
      <c r="J137" t="s">
        <v>30</v>
      </c>
    </row>
    <row r="138" spans="1:10" x14ac:dyDescent="0.25">
      <c r="A138" s="1">
        <v>10</v>
      </c>
      <c r="B138" t="s">
        <v>22</v>
      </c>
      <c r="C138">
        <v>49</v>
      </c>
      <c r="D138">
        <v>1</v>
      </c>
      <c r="E138" t="s">
        <v>48</v>
      </c>
      <c r="F138" t="s">
        <v>49</v>
      </c>
      <c r="G138" t="str">
        <f>"2026-04-21 13:27:05.035"</f>
        <v>2026-04-21 13:27:05.035</v>
      </c>
      <c r="H138" t="s">
        <v>50</v>
      </c>
    </row>
    <row r="139" spans="1:10" x14ac:dyDescent="0.25">
      <c r="A139" s="1">
        <v>12</v>
      </c>
      <c r="B139" t="s">
        <v>25</v>
      </c>
      <c r="C139">
        <v>49</v>
      </c>
      <c r="D139">
        <v>1</v>
      </c>
      <c r="E139" t="s">
        <v>48</v>
      </c>
      <c r="F139" t="s">
        <v>49</v>
      </c>
      <c r="G139" t="str">
        <f>"2026-04-21 13:00:28.635"</f>
        <v>2026-04-21 13:00:28.635</v>
      </c>
      <c r="H139" t="s">
        <v>50</v>
      </c>
      <c r="I139">
        <v>0</v>
      </c>
      <c r="J139" t="s">
        <v>30</v>
      </c>
    </row>
    <row r="140" spans="1:10" x14ac:dyDescent="0.25">
      <c r="A140" s="1">
        <v>14</v>
      </c>
      <c r="B140" t="s">
        <v>32</v>
      </c>
      <c r="C140">
        <v>47</v>
      </c>
      <c r="D140">
        <v>2</v>
      </c>
      <c r="E140" t="s">
        <v>33</v>
      </c>
      <c r="F140" t="s">
        <v>34</v>
      </c>
      <c r="G140" t="str">
        <f>"2026-04-21 12:59:19.934"</f>
        <v>2026-04-21 12:59:19.934</v>
      </c>
      <c r="H140" t="s">
        <v>35</v>
      </c>
      <c r="I140">
        <v>0</v>
      </c>
      <c r="J140" t="s">
        <v>26</v>
      </c>
    </row>
    <row r="141" spans="1:10" x14ac:dyDescent="0.25">
      <c r="A141" s="1">
        <v>15</v>
      </c>
      <c r="B141" t="s">
        <v>22</v>
      </c>
      <c r="C141">
        <v>49</v>
      </c>
      <c r="D141">
        <v>1</v>
      </c>
      <c r="E141" t="s">
        <v>48</v>
      </c>
      <c r="F141" t="s">
        <v>49</v>
      </c>
      <c r="G141" t="str">
        <f>"2026-04-20 14:38:21.835"</f>
        <v>2026-04-20 14:38:21.835</v>
      </c>
      <c r="H141" t="s">
        <v>50</v>
      </c>
    </row>
    <row r="142" spans="1:10" x14ac:dyDescent="0.25">
      <c r="A142" s="1">
        <v>16</v>
      </c>
      <c r="B142" t="s">
        <v>37</v>
      </c>
      <c r="C142">
        <v>47</v>
      </c>
      <c r="D142">
        <v>2</v>
      </c>
      <c r="E142" t="s">
        <v>33</v>
      </c>
      <c r="F142" t="s">
        <v>34</v>
      </c>
      <c r="G142" t="str">
        <f>"2026-04-20 14:38:17.434"</f>
        <v>2026-04-20 14:38:17.434</v>
      </c>
      <c r="H142" t="s">
        <v>35</v>
      </c>
    </row>
    <row r="143" spans="1:10" x14ac:dyDescent="0.25">
      <c r="A143" s="1">
        <v>17</v>
      </c>
      <c r="B143" t="s">
        <v>19</v>
      </c>
      <c r="C143">
        <v>706</v>
      </c>
      <c r="D143">
        <v>4</v>
      </c>
      <c r="E143" t="s">
        <v>28</v>
      </c>
      <c r="F143" t="s">
        <v>29</v>
      </c>
      <c r="G143" t="str">
        <f>"2026-04-20 14:38:15.363"</f>
        <v>2026-04-20 14:38:15.363</v>
      </c>
      <c r="H143" t="s">
        <v>21</v>
      </c>
      <c r="I143">
        <v>0</v>
      </c>
      <c r="J143" t="s">
        <v>30</v>
      </c>
    </row>
    <row r="144" spans="1:10" x14ac:dyDescent="0.25">
      <c r="A144" s="1">
        <v>19</v>
      </c>
      <c r="B144" t="s">
        <v>25</v>
      </c>
      <c r="C144">
        <v>49</v>
      </c>
      <c r="D144">
        <v>1</v>
      </c>
      <c r="E144" t="s">
        <v>48</v>
      </c>
      <c r="F144" t="s">
        <v>49</v>
      </c>
      <c r="G144" t="str">
        <f>"2026-04-20 14:25:42.435"</f>
        <v>2026-04-20 14:25:42.435</v>
      </c>
      <c r="H144" t="s">
        <v>50</v>
      </c>
      <c r="I144">
        <v>0</v>
      </c>
      <c r="J144" t="s">
        <v>30</v>
      </c>
    </row>
    <row r="145" spans="1:10" x14ac:dyDescent="0.25">
      <c r="A145" s="1">
        <v>21</v>
      </c>
      <c r="B145" t="s">
        <v>32</v>
      </c>
      <c r="C145">
        <v>47</v>
      </c>
      <c r="D145">
        <v>2</v>
      </c>
      <c r="E145" t="s">
        <v>33</v>
      </c>
      <c r="F145" t="s">
        <v>34</v>
      </c>
      <c r="G145" t="str">
        <f>"2026-04-20 14:24:33.534"</f>
        <v>2026-04-20 14:24:33.534</v>
      </c>
      <c r="H145" t="s">
        <v>35</v>
      </c>
      <c r="I145">
        <v>0</v>
      </c>
      <c r="J145" t="s">
        <v>26</v>
      </c>
    </row>
    <row r="146" spans="1:10" x14ac:dyDescent="0.25">
      <c r="A146" s="1">
        <v>23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"2026-04-20 12:29:21.723"</f>
        <v>2026-04-20 12:29:21.723</v>
      </c>
      <c r="H146" t="s">
        <v>21</v>
      </c>
      <c r="I146">
        <v>0</v>
      </c>
      <c r="J146" t="s">
        <v>31</v>
      </c>
    </row>
    <row r="147" spans="1:10" x14ac:dyDescent="0.25">
      <c r="A147" s="1">
        <v>25</v>
      </c>
      <c r="B147" t="s">
        <v>22</v>
      </c>
      <c r="C147">
        <v>49</v>
      </c>
      <c r="D147">
        <v>1</v>
      </c>
      <c r="E147" t="s">
        <v>48</v>
      </c>
      <c r="F147" t="s">
        <v>49</v>
      </c>
      <c r="G147" t="str">
        <f>"2026-04-20 10:19:57.326"</f>
        <v>2026-04-20 10:19:57.326</v>
      </c>
      <c r="H147" t="s">
        <v>50</v>
      </c>
    </row>
    <row r="148" spans="1:10" x14ac:dyDescent="0.25">
      <c r="A148" s="1">
        <v>26</v>
      </c>
      <c r="B148" t="s">
        <v>19</v>
      </c>
      <c r="C148">
        <v>706</v>
      </c>
      <c r="D148">
        <v>4</v>
      </c>
      <c r="E148" t="s">
        <v>28</v>
      </c>
      <c r="F148" t="s">
        <v>29</v>
      </c>
      <c r="G148" t="str">
        <f>"2026-04-20 10:19:55.443"</f>
        <v>2026-04-20 10:19:55.443</v>
      </c>
      <c r="H148" t="s">
        <v>21</v>
      </c>
      <c r="I148">
        <v>0</v>
      </c>
      <c r="J148" t="s">
        <v>30</v>
      </c>
    </row>
    <row r="149" spans="1:10" x14ac:dyDescent="0.25">
      <c r="A149" s="1">
        <v>28</v>
      </c>
      <c r="B149" t="s">
        <v>25</v>
      </c>
      <c r="C149">
        <v>49</v>
      </c>
      <c r="D149">
        <v>1</v>
      </c>
      <c r="E149" t="s">
        <v>48</v>
      </c>
      <c r="F149" t="s">
        <v>49</v>
      </c>
      <c r="G149" t="str">
        <f>"2026-04-20 10:05:49.726"</f>
        <v>2026-04-20 10:05:49.726</v>
      </c>
      <c r="H149" t="s">
        <v>50</v>
      </c>
      <c r="I149">
        <v>0</v>
      </c>
      <c r="J149" t="s">
        <v>30</v>
      </c>
    </row>
    <row r="150" spans="1:10" x14ac:dyDescent="0.25">
      <c r="A150" s="1">
        <v>30</v>
      </c>
      <c r="B150" t="s">
        <v>19</v>
      </c>
      <c r="C150">
        <v>706</v>
      </c>
      <c r="D150">
        <v>2</v>
      </c>
      <c r="E150" t="s">
        <v>28</v>
      </c>
      <c r="F150" t="s">
        <v>45</v>
      </c>
      <c r="G150" t="str">
        <f>"2026-04-19 22:12:02.653"</f>
        <v>2026-04-19 22:12:02.653</v>
      </c>
      <c r="H150" t="s">
        <v>21</v>
      </c>
      <c r="I150">
        <v>0</v>
      </c>
      <c r="J150" t="s">
        <v>30</v>
      </c>
    </row>
    <row r="151" spans="1:10" x14ac:dyDescent="0.25">
      <c r="A151" s="1">
        <v>32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"2026-04-19 22:11:33.913"</f>
        <v>2026-04-19 22:11:33.913</v>
      </c>
      <c r="H151" t="s">
        <v>21</v>
      </c>
      <c r="I151">
        <v>0</v>
      </c>
      <c r="J151" t="s">
        <v>31</v>
      </c>
    </row>
    <row r="152" spans="1:10" x14ac:dyDescent="0.25">
      <c r="A152" s="1">
        <v>35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"2026-04-19 14:42:49.733"</f>
        <v>2026-04-19 14:42:49.733</v>
      </c>
      <c r="H152" t="s">
        <v>21</v>
      </c>
    </row>
    <row r="153" spans="1:10" x14ac:dyDescent="0.25">
      <c r="A153" s="1">
        <v>37</v>
      </c>
      <c r="B153" t="s">
        <v>32</v>
      </c>
      <c r="C153">
        <v>47</v>
      </c>
      <c r="D153">
        <v>2</v>
      </c>
      <c r="E153" t="s">
        <v>33</v>
      </c>
      <c r="F153" t="s">
        <v>34</v>
      </c>
      <c r="G153" t="str">
        <f>"2026-04-19 13:15:42.170"</f>
        <v>2026-04-19 13:15:42.170</v>
      </c>
      <c r="H153" t="s">
        <v>35</v>
      </c>
      <c r="I153">
        <v>0</v>
      </c>
      <c r="J153" t="s">
        <v>26</v>
      </c>
    </row>
    <row r="154" spans="1:10" x14ac:dyDescent="0.25">
      <c r="A154" s="1">
        <v>38</v>
      </c>
      <c r="B154" t="s">
        <v>19</v>
      </c>
      <c r="C154">
        <v>706</v>
      </c>
      <c r="D154">
        <v>4</v>
      </c>
      <c r="E154" t="s">
        <v>28</v>
      </c>
      <c r="F154" t="s">
        <v>29</v>
      </c>
      <c r="G154" t="str">
        <f>"2026-04-19 13:14:31.030"</f>
        <v>2026-04-19 13:14:31.030</v>
      </c>
      <c r="H154" t="s">
        <v>21</v>
      </c>
      <c r="I154">
        <v>0</v>
      </c>
      <c r="J154" t="s">
        <v>30</v>
      </c>
    </row>
    <row r="155" spans="1:10" x14ac:dyDescent="0.25">
      <c r="A155" s="1">
        <v>41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"2026-04-19 11:25:12.920"</f>
        <v>2026-04-19 11:25:12.920</v>
      </c>
      <c r="H155" t="s">
        <v>21</v>
      </c>
      <c r="I155">
        <v>0</v>
      </c>
      <c r="J155" t="s">
        <v>31</v>
      </c>
    </row>
    <row r="156" spans="1:10" x14ac:dyDescent="0.25">
      <c r="A156" s="1">
        <v>42</v>
      </c>
      <c r="B156" t="s">
        <v>32</v>
      </c>
      <c r="C156">
        <v>47</v>
      </c>
      <c r="D156">
        <v>2</v>
      </c>
      <c r="E156" t="s">
        <v>33</v>
      </c>
      <c r="F156" t="s">
        <v>34</v>
      </c>
      <c r="G156" t="str">
        <f>"2026-04-19 10:35:02.586"</f>
        <v>2026-04-19 10:35:02.586</v>
      </c>
      <c r="H156" t="s">
        <v>35</v>
      </c>
      <c r="I156">
        <v>0</v>
      </c>
      <c r="J156" t="s">
        <v>26</v>
      </c>
    </row>
    <row r="157" spans="1:10" x14ac:dyDescent="0.25">
      <c r="A157" s="1">
        <v>43</v>
      </c>
      <c r="B157" t="s">
        <v>19</v>
      </c>
      <c r="C157">
        <v>706</v>
      </c>
      <c r="D157">
        <v>4</v>
      </c>
      <c r="E157" t="s">
        <v>28</v>
      </c>
      <c r="F157" t="s">
        <v>29</v>
      </c>
      <c r="G157" t="str">
        <f>"2026-04-19 10:31:52.606"</f>
        <v>2026-04-19 10:31:52.606</v>
      </c>
      <c r="H157" t="s">
        <v>21</v>
      </c>
      <c r="I157">
        <v>0</v>
      </c>
      <c r="J157" t="s">
        <v>30</v>
      </c>
    </row>
    <row r="158" spans="1:10" x14ac:dyDescent="0.25">
      <c r="A158" s="1">
        <v>44</v>
      </c>
      <c r="B158" t="s">
        <v>22</v>
      </c>
      <c r="C158">
        <v>47</v>
      </c>
      <c r="D158">
        <v>2</v>
      </c>
      <c r="E158" t="s">
        <v>33</v>
      </c>
      <c r="F158" t="s">
        <v>34</v>
      </c>
      <c r="G158" t="str">
        <f>"2026-04-19 10:26:07.927"</f>
        <v>2026-04-19 10:26:07.927</v>
      </c>
      <c r="H158" t="s">
        <v>35</v>
      </c>
    </row>
    <row r="159" spans="1:10" x14ac:dyDescent="0.25">
      <c r="A159" s="1">
        <v>45</v>
      </c>
      <c r="B159" t="s">
        <v>32</v>
      </c>
      <c r="C159">
        <v>47</v>
      </c>
      <c r="D159">
        <v>2</v>
      </c>
      <c r="E159" t="s">
        <v>33</v>
      </c>
      <c r="F159" t="s">
        <v>34</v>
      </c>
      <c r="G159" t="str">
        <f>"2026-04-19 10:25:06.087"</f>
        <v>2026-04-19 10:25:06.087</v>
      </c>
      <c r="H159" t="s">
        <v>35</v>
      </c>
      <c r="I159">
        <v>0</v>
      </c>
      <c r="J159" t="s">
        <v>26</v>
      </c>
    </row>
    <row r="160" spans="1:10" x14ac:dyDescent="0.25">
      <c r="A160" s="1">
        <v>46</v>
      </c>
      <c r="B160" t="s">
        <v>22</v>
      </c>
      <c r="C160">
        <v>635</v>
      </c>
      <c r="D160">
        <v>1</v>
      </c>
      <c r="E160" t="s">
        <v>23</v>
      </c>
      <c r="F160" t="s">
        <v>24</v>
      </c>
      <c r="G160" t="str">
        <f>"2026-04-18 22:42:32.474"</f>
        <v>2026-04-18 22:42:32.474</v>
      </c>
      <c r="H160" t="s">
        <v>21</v>
      </c>
    </row>
    <row r="161" spans="1:10" x14ac:dyDescent="0.25">
      <c r="A161" s="1">
        <v>47</v>
      </c>
      <c r="B161" t="s">
        <v>25</v>
      </c>
      <c r="C161">
        <v>635</v>
      </c>
      <c r="D161">
        <v>1</v>
      </c>
      <c r="E161" t="s">
        <v>23</v>
      </c>
      <c r="F161" t="s">
        <v>24</v>
      </c>
      <c r="G161" t="str">
        <f>"2026-04-18 22:39:36.974"</f>
        <v>2026-04-18 22:39:36.974</v>
      </c>
      <c r="H161" t="s">
        <v>21</v>
      </c>
      <c r="I161">
        <v>2.6</v>
      </c>
      <c r="J161" t="s">
        <v>36</v>
      </c>
    </row>
    <row r="162" spans="1:10" s="3" customFormat="1" x14ac:dyDescent="0.25">
      <c r="A162" s="2">
        <v>48</v>
      </c>
      <c r="B162" s="3" t="s">
        <v>22</v>
      </c>
      <c r="C162" s="3">
        <v>647</v>
      </c>
      <c r="D162" s="3">
        <v>1</v>
      </c>
      <c r="E162" s="3" t="s">
        <v>43</v>
      </c>
      <c r="F162" s="3" t="s">
        <v>44</v>
      </c>
      <c r="G162" s="3" t="str">
        <f>"2026-04-18 19:15:27.774"</f>
        <v>2026-04-18 19:15:27.774</v>
      </c>
      <c r="H162" s="3" t="s">
        <v>21</v>
      </c>
    </row>
    <row r="163" spans="1:10" s="3" customFormat="1" x14ac:dyDescent="0.25">
      <c r="A163" s="2">
        <v>49</v>
      </c>
      <c r="B163" s="3" t="s">
        <v>25</v>
      </c>
      <c r="C163" s="3">
        <v>647</v>
      </c>
      <c r="D163" s="3">
        <v>1</v>
      </c>
      <c r="E163" s="3" t="s">
        <v>43</v>
      </c>
      <c r="F163" s="3" t="s">
        <v>44</v>
      </c>
      <c r="G163" s="3" t="str">
        <f>"2026-04-18 19:15:26.674"</f>
        <v>2026-04-18 19:15:26.674</v>
      </c>
      <c r="H163" s="3" t="s">
        <v>21</v>
      </c>
      <c r="I163" s="3">
        <v>9.92</v>
      </c>
      <c r="J163" s="3" t="s">
        <v>27</v>
      </c>
    </row>
    <row r="164" spans="1:10" x14ac:dyDescent="0.25">
      <c r="A164" s="1">
        <v>50</v>
      </c>
      <c r="B164" t="s">
        <v>22</v>
      </c>
      <c r="C164">
        <v>635</v>
      </c>
      <c r="D164">
        <v>1</v>
      </c>
      <c r="E164" t="s">
        <v>23</v>
      </c>
      <c r="F164" t="s">
        <v>24</v>
      </c>
      <c r="G164" t="str">
        <f>"2026-04-18 15:50:11.374"</f>
        <v>2026-04-18 15:50:11.374</v>
      </c>
      <c r="H164" t="s">
        <v>21</v>
      </c>
    </row>
    <row r="165" spans="1:10" x14ac:dyDescent="0.25">
      <c r="A165" s="1">
        <v>51</v>
      </c>
      <c r="B165" t="s">
        <v>25</v>
      </c>
      <c r="C165">
        <v>635</v>
      </c>
      <c r="D165">
        <v>1</v>
      </c>
      <c r="E165" t="s">
        <v>23</v>
      </c>
      <c r="F165" t="s">
        <v>24</v>
      </c>
      <c r="G165" t="str">
        <f>"2026-04-18 15:46:43.374"</f>
        <v>2026-04-18 15:46:43.374</v>
      </c>
      <c r="H165" t="s">
        <v>21</v>
      </c>
      <c r="I165">
        <v>0.76</v>
      </c>
      <c r="J165" t="s">
        <v>27</v>
      </c>
    </row>
    <row r="166" spans="1:10" x14ac:dyDescent="0.25">
      <c r="A166" s="1">
        <v>53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"2026-04-18 13:44:40.756"</f>
        <v>2026-04-18 13:44:40.756</v>
      </c>
      <c r="H166" t="s">
        <v>21</v>
      </c>
    </row>
    <row r="167" spans="1:10" x14ac:dyDescent="0.25">
      <c r="A167" s="1">
        <v>56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"2026-04-17 15:44:15.726"</f>
        <v>2026-04-17 15:44:15.726</v>
      </c>
      <c r="H167" t="s">
        <v>21</v>
      </c>
    </row>
    <row r="168" spans="1:10" x14ac:dyDescent="0.25">
      <c r="A168" s="1">
        <v>58</v>
      </c>
      <c r="B168" t="s">
        <v>37</v>
      </c>
      <c r="C168">
        <v>33</v>
      </c>
      <c r="D168">
        <v>1</v>
      </c>
      <c r="E168" t="s">
        <v>40</v>
      </c>
      <c r="F168" t="s">
        <v>41</v>
      </c>
      <c r="G168" t="str">
        <f>"2026-04-17 11:35:53.844"</f>
        <v>2026-04-17 11:35:53.844</v>
      </c>
      <c r="H168" t="s">
        <v>42</v>
      </c>
    </row>
    <row r="169" spans="1:10" x14ac:dyDescent="0.25">
      <c r="A169" s="1">
        <v>59</v>
      </c>
      <c r="B169" t="s">
        <v>32</v>
      </c>
      <c r="C169">
        <v>33</v>
      </c>
      <c r="D169">
        <v>1</v>
      </c>
      <c r="E169" t="s">
        <v>40</v>
      </c>
      <c r="F169" t="s">
        <v>41</v>
      </c>
      <c r="G169" t="str">
        <f>"2026-04-17 11:35:44.736"</f>
        <v>2026-04-17 11:35:44.736</v>
      </c>
      <c r="H169" t="s">
        <v>42</v>
      </c>
      <c r="I169">
        <v>9.42</v>
      </c>
      <c r="J169" t="s">
        <v>36</v>
      </c>
    </row>
    <row r="170" spans="1:10" x14ac:dyDescent="0.25">
      <c r="A170" s="1">
        <v>60</v>
      </c>
      <c r="B170" t="s">
        <v>22</v>
      </c>
      <c r="C170">
        <v>635</v>
      </c>
      <c r="D170">
        <v>1</v>
      </c>
      <c r="E170" t="s">
        <v>23</v>
      </c>
      <c r="F170" t="s">
        <v>24</v>
      </c>
      <c r="G170" t="str">
        <f>"2026-04-17 01:42:57.844"</f>
        <v>2026-04-17 01:42:57.844</v>
      </c>
      <c r="H170" t="s">
        <v>21</v>
      </c>
    </row>
    <row r="171" spans="1:10" x14ac:dyDescent="0.25">
      <c r="A171" s="1">
        <v>61</v>
      </c>
      <c r="B171" t="s">
        <v>25</v>
      </c>
      <c r="C171">
        <v>635</v>
      </c>
      <c r="D171">
        <v>1</v>
      </c>
      <c r="E171" t="s">
        <v>23</v>
      </c>
      <c r="F171" t="s">
        <v>24</v>
      </c>
      <c r="G171" t="str">
        <f>"2026-04-17 01:40:01.844"</f>
        <v>2026-04-17 01:40:01.844</v>
      </c>
      <c r="H171" t="s">
        <v>21</v>
      </c>
      <c r="I171">
        <v>2.46</v>
      </c>
      <c r="J171" t="s">
        <v>36</v>
      </c>
    </row>
    <row r="172" spans="1:10" s="3" customFormat="1" x14ac:dyDescent="0.25">
      <c r="A172" s="2">
        <v>62</v>
      </c>
      <c r="B172" s="3" t="s">
        <v>22</v>
      </c>
      <c r="C172" s="3">
        <v>647</v>
      </c>
      <c r="D172" s="3">
        <v>1</v>
      </c>
      <c r="E172" s="3" t="s">
        <v>43</v>
      </c>
      <c r="F172" s="3" t="s">
        <v>44</v>
      </c>
      <c r="G172" s="3" t="str">
        <f>"2026-04-16 18:35:09.044"</f>
        <v>2026-04-16 18:35:09.044</v>
      </c>
      <c r="H172" s="3" t="s">
        <v>21</v>
      </c>
    </row>
    <row r="173" spans="1:10" s="3" customFormat="1" x14ac:dyDescent="0.25">
      <c r="A173" s="2">
        <v>63</v>
      </c>
      <c r="B173" s="3" t="s">
        <v>25</v>
      </c>
      <c r="C173" s="3">
        <v>647</v>
      </c>
      <c r="D173" s="3">
        <v>1</v>
      </c>
      <c r="E173" s="3" t="s">
        <v>43</v>
      </c>
      <c r="F173" s="3" t="s">
        <v>44</v>
      </c>
      <c r="G173" s="3" t="str">
        <f>"2026-04-16 18:35:05.444"</f>
        <v>2026-04-16 18:35:05.444</v>
      </c>
      <c r="H173" s="3" t="s">
        <v>21</v>
      </c>
      <c r="I173" s="3">
        <v>9.17</v>
      </c>
      <c r="J173" s="3" t="s">
        <v>27</v>
      </c>
    </row>
    <row r="174" spans="1:10" x14ac:dyDescent="0.25">
      <c r="A174" s="1">
        <v>64</v>
      </c>
      <c r="B174" t="s">
        <v>22</v>
      </c>
      <c r="C174">
        <v>635</v>
      </c>
      <c r="D174">
        <v>1</v>
      </c>
      <c r="E174" t="s">
        <v>23</v>
      </c>
      <c r="F174" t="s">
        <v>24</v>
      </c>
      <c r="G174" t="str">
        <f>"2026-04-16 16:26:49.044"</f>
        <v>2026-04-16 16:26:49.044</v>
      </c>
      <c r="H174" t="s">
        <v>21</v>
      </c>
    </row>
    <row r="175" spans="1:10" x14ac:dyDescent="0.25">
      <c r="A175" s="1">
        <v>65</v>
      </c>
      <c r="B175" t="s">
        <v>25</v>
      </c>
      <c r="C175">
        <v>635</v>
      </c>
      <c r="D175">
        <v>1</v>
      </c>
      <c r="E175" t="s">
        <v>23</v>
      </c>
      <c r="F175" t="s">
        <v>24</v>
      </c>
      <c r="G175" t="str">
        <f>"2026-04-16 16:22:19.044"</f>
        <v>2026-04-16 16:22:19.044</v>
      </c>
      <c r="H175" t="s">
        <v>21</v>
      </c>
      <c r="I175">
        <v>7.43</v>
      </c>
      <c r="J175" t="s">
        <v>36</v>
      </c>
    </row>
    <row r="176" spans="1:10" x14ac:dyDescent="0.25">
      <c r="A176" s="1">
        <v>67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"2026-04-16 13:26:06.736"</f>
        <v>2026-04-16 13:26:06.736</v>
      </c>
      <c r="H176" t="s">
        <v>21</v>
      </c>
    </row>
    <row r="177" spans="1:10" x14ac:dyDescent="0.25">
      <c r="A177" s="1">
        <v>69</v>
      </c>
      <c r="B177" t="s">
        <v>32</v>
      </c>
      <c r="C177">
        <v>47</v>
      </c>
      <c r="D177">
        <v>2</v>
      </c>
      <c r="E177" t="s">
        <v>33</v>
      </c>
      <c r="F177" t="s">
        <v>34</v>
      </c>
      <c r="G177" t="str">
        <f>"2026-04-16 13:22:53.651"</f>
        <v>2026-04-16 13:22:53.651</v>
      </c>
      <c r="H177" t="s">
        <v>35</v>
      </c>
      <c r="I177">
        <v>0</v>
      </c>
      <c r="J177" t="s">
        <v>26</v>
      </c>
    </row>
    <row r="178" spans="1:10" x14ac:dyDescent="0.25">
      <c r="A178" s="1">
        <v>71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"2026-04-12 16:53:44.719"</f>
        <v>2026-04-12 16:53:44.719</v>
      </c>
      <c r="H178" t="s">
        <v>21</v>
      </c>
      <c r="I178">
        <v>0</v>
      </c>
      <c r="J178" t="s">
        <v>31</v>
      </c>
    </row>
    <row r="179" spans="1:10" x14ac:dyDescent="0.25">
      <c r="A179" s="1">
        <v>73</v>
      </c>
      <c r="B179" t="s">
        <v>32</v>
      </c>
      <c r="C179">
        <v>47</v>
      </c>
      <c r="D179">
        <v>2</v>
      </c>
      <c r="E179" t="s">
        <v>33</v>
      </c>
      <c r="F179" t="s">
        <v>34</v>
      </c>
      <c r="G179" t="str">
        <f>"2026-04-12 16:47:25.143"</f>
        <v>2026-04-12 16:47:25.143</v>
      </c>
      <c r="H179" t="s">
        <v>35</v>
      </c>
      <c r="I179">
        <v>0</v>
      </c>
      <c r="J179" t="s">
        <v>26</v>
      </c>
    </row>
    <row r="180" spans="1:10" x14ac:dyDescent="0.25">
      <c r="A180" s="1">
        <v>74</v>
      </c>
      <c r="B180" t="s">
        <v>22</v>
      </c>
      <c r="C180">
        <v>635</v>
      </c>
      <c r="D180">
        <v>1</v>
      </c>
      <c r="E180" t="s">
        <v>23</v>
      </c>
      <c r="F180" t="s">
        <v>24</v>
      </c>
      <c r="G180" t="str">
        <f>"2026-04-12 07:22:52.970"</f>
        <v>2026-04-12 07:22:52.970</v>
      </c>
      <c r="H180" t="s">
        <v>21</v>
      </c>
    </row>
    <row r="181" spans="1:10" x14ac:dyDescent="0.25">
      <c r="A181" s="1">
        <v>75</v>
      </c>
      <c r="B181" t="s">
        <v>25</v>
      </c>
      <c r="C181">
        <v>635</v>
      </c>
      <c r="D181">
        <v>1</v>
      </c>
      <c r="E181" t="s">
        <v>23</v>
      </c>
      <c r="F181" t="s">
        <v>24</v>
      </c>
      <c r="G181" t="str">
        <f>"2026-04-12 07:04:39.570"</f>
        <v>2026-04-12 07:04:39.570</v>
      </c>
      <c r="H181" t="s">
        <v>21</v>
      </c>
      <c r="I181">
        <v>9.02</v>
      </c>
      <c r="J181" t="s">
        <v>36</v>
      </c>
    </row>
    <row r="182" spans="1:10" s="3" customFormat="1" x14ac:dyDescent="0.25">
      <c r="A182" s="2">
        <v>76</v>
      </c>
      <c r="B182" s="3" t="s">
        <v>22</v>
      </c>
      <c r="C182" s="3">
        <v>647</v>
      </c>
      <c r="D182" s="3">
        <v>1</v>
      </c>
      <c r="E182" s="3" t="s">
        <v>43</v>
      </c>
      <c r="F182" s="3" t="s">
        <v>44</v>
      </c>
      <c r="G182" s="3" t="str">
        <f>"2026-04-11 08:37:22.423"</f>
        <v>2026-04-11 08:37:22.423</v>
      </c>
      <c r="H182" s="3" t="s">
        <v>21</v>
      </c>
    </row>
    <row r="183" spans="1:10" s="3" customFormat="1" x14ac:dyDescent="0.25">
      <c r="A183" s="2">
        <v>77</v>
      </c>
      <c r="B183" s="3" t="s">
        <v>25</v>
      </c>
      <c r="C183" s="3">
        <v>647</v>
      </c>
      <c r="D183" s="3">
        <v>1</v>
      </c>
      <c r="E183" s="3" t="s">
        <v>43</v>
      </c>
      <c r="F183" s="3" t="s">
        <v>44</v>
      </c>
      <c r="G183" s="3" t="str">
        <f>"2026-04-11 08:37:18.823"</f>
        <v>2026-04-11 08:37:18.823</v>
      </c>
      <c r="H183" s="3" t="s">
        <v>21</v>
      </c>
      <c r="I183" s="3">
        <v>9.61</v>
      </c>
      <c r="J183" s="3" t="s">
        <v>27</v>
      </c>
    </row>
    <row r="184" spans="1:10" x14ac:dyDescent="0.25">
      <c r="A184" s="1">
        <v>78</v>
      </c>
      <c r="B184" t="s">
        <v>22</v>
      </c>
      <c r="C184">
        <v>635</v>
      </c>
      <c r="D184">
        <v>1</v>
      </c>
      <c r="E184" t="s">
        <v>23</v>
      </c>
      <c r="F184" t="s">
        <v>24</v>
      </c>
      <c r="G184" t="str">
        <f>"2026-04-11 06:49:40.770"</f>
        <v>2026-04-11 06:49:40.770</v>
      </c>
      <c r="H184" t="s">
        <v>21</v>
      </c>
    </row>
    <row r="185" spans="1:10" x14ac:dyDescent="0.25">
      <c r="A185" s="1">
        <v>79</v>
      </c>
      <c r="B185" t="s">
        <v>25</v>
      </c>
      <c r="C185">
        <v>635</v>
      </c>
      <c r="D185">
        <v>1</v>
      </c>
      <c r="E185" t="s">
        <v>23</v>
      </c>
      <c r="F185" t="s">
        <v>24</v>
      </c>
      <c r="G185" t="str">
        <f>"2026-04-11 06:44:30.270"</f>
        <v>2026-04-11 06:44:30.270</v>
      </c>
      <c r="H185" t="s">
        <v>21</v>
      </c>
      <c r="I185">
        <v>0.97</v>
      </c>
      <c r="J185" t="s">
        <v>27</v>
      </c>
    </row>
    <row r="186" spans="1:10" x14ac:dyDescent="0.25">
      <c r="A186" s="1">
        <v>80</v>
      </c>
      <c r="B186" t="s">
        <v>22</v>
      </c>
      <c r="C186">
        <v>635</v>
      </c>
      <c r="D186">
        <v>1</v>
      </c>
      <c r="E186" t="s">
        <v>23</v>
      </c>
      <c r="F186" t="s">
        <v>24</v>
      </c>
      <c r="G186" t="str">
        <f>"2026-04-10 16:10:12.170"</f>
        <v>2026-04-10 16:10:12.170</v>
      </c>
      <c r="H186" t="s">
        <v>21</v>
      </c>
    </row>
    <row r="187" spans="1:10" x14ac:dyDescent="0.25">
      <c r="A187" s="1">
        <v>81</v>
      </c>
      <c r="B187" t="s">
        <v>25</v>
      </c>
      <c r="C187">
        <v>635</v>
      </c>
      <c r="D187">
        <v>1</v>
      </c>
      <c r="E187" t="s">
        <v>23</v>
      </c>
      <c r="F187" t="s">
        <v>24</v>
      </c>
      <c r="G187" t="str">
        <f>"2026-04-10 16:04:57.170"</f>
        <v>2026-04-10 16:04:57.170</v>
      </c>
      <c r="H187" t="s">
        <v>21</v>
      </c>
      <c r="I187">
        <v>6.77</v>
      </c>
      <c r="J187" t="s">
        <v>36</v>
      </c>
    </row>
    <row r="188" spans="1:10" x14ac:dyDescent="0.25">
      <c r="A188" s="1">
        <v>82</v>
      </c>
      <c r="B188" t="s">
        <v>19</v>
      </c>
      <c r="C188">
        <v>706</v>
      </c>
      <c r="D188">
        <v>2</v>
      </c>
      <c r="E188" t="s">
        <v>28</v>
      </c>
      <c r="F188" t="s">
        <v>45</v>
      </c>
      <c r="G188" t="str">
        <f>"2026-04-10 13:11:37.064"</f>
        <v>2026-04-10 13:11:37.064</v>
      </c>
      <c r="H188" t="s">
        <v>21</v>
      </c>
      <c r="I188">
        <v>0</v>
      </c>
      <c r="J188" t="s">
        <v>30</v>
      </c>
    </row>
    <row r="189" spans="1:10" x14ac:dyDescent="0.25">
      <c r="A189" s="1">
        <v>84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"2026-04-10 13:11:09.704"</f>
        <v>2026-04-10 13:11:09.704</v>
      </c>
      <c r="H189" t="s">
        <v>21</v>
      </c>
    </row>
    <row r="190" spans="1:10" x14ac:dyDescent="0.25">
      <c r="A190" s="1">
        <v>86</v>
      </c>
      <c r="B190" t="s">
        <v>32</v>
      </c>
      <c r="C190">
        <v>47</v>
      </c>
      <c r="D190">
        <v>2</v>
      </c>
      <c r="E190" t="s">
        <v>33</v>
      </c>
      <c r="F190" t="s">
        <v>34</v>
      </c>
      <c r="G190" t="str">
        <f>"2026-04-10 13:01:37.541"</f>
        <v>2026-04-10 13:01:37.541</v>
      </c>
      <c r="H190" t="s">
        <v>35</v>
      </c>
      <c r="I190">
        <v>0</v>
      </c>
      <c r="J190" t="s">
        <v>26</v>
      </c>
    </row>
    <row r="191" spans="1:10" x14ac:dyDescent="0.25">
      <c r="A191" s="1">
        <v>87</v>
      </c>
      <c r="B191" t="s">
        <v>19</v>
      </c>
      <c r="C191">
        <v>706</v>
      </c>
      <c r="D191">
        <v>4</v>
      </c>
      <c r="E191" t="s">
        <v>28</v>
      </c>
      <c r="F191" t="s">
        <v>29</v>
      </c>
      <c r="G191" t="str">
        <f>"2026-04-09 01:16:33.042"</f>
        <v>2026-04-09 01:16:33.042</v>
      </c>
      <c r="H191" t="s">
        <v>21</v>
      </c>
      <c r="I191">
        <v>0</v>
      </c>
      <c r="J191" t="s">
        <v>30</v>
      </c>
    </row>
    <row r="192" spans="1:10" x14ac:dyDescent="0.25">
      <c r="A192" s="1">
        <v>89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"2026-04-09 01:06:08.702"</f>
        <v>2026-04-09 01:06:08.702</v>
      </c>
      <c r="H192" t="s">
        <v>21</v>
      </c>
      <c r="I192">
        <v>0</v>
      </c>
      <c r="J192" t="s">
        <v>31</v>
      </c>
    </row>
    <row r="193" spans="1:10" x14ac:dyDescent="0.25">
      <c r="A193" s="1">
        <v>91</v>
      </c>
      <c r="B193" t="s">
        <v>32</v>
      </c>
      <c r="C193">
        <v>47</v>
      </c>
      <c r="D193">
        <v>2</v>
      </c>
      <c r="E193" t="s">
        <v>33</v>
      </c>
      <c r="F193" t="s">
        <v>34</v>
      </c>
      <c r="G193" t="str">
        <f>"2026-04-08 23:57:34.135"</f>
        <v>2026-04-08 23:57:34.135</v>
      </c>
      <c r="H193" t="s">
        <v>35</v>
      </c>
      <c r="I193">
        <v>0</v>
      </c>
      <c r="J193" t="s">
        <v>26</v>
      </c>
    </row>
    <row r="194" spans="1:10" x14ac:dyDescent="0.25">
      <c r="A194" s="1">
        <v>92</v>
      </c>
      <c r="B194" t="s">
        <v>19</v>
      </c>
      <c r="C194">
        <v>706</v>
      </c>
      <c r="D194">
        <v>2</v>
      </c>
      <c r="E194" t="s">
        <v>28</v>
      </c>
      <c r="F194" t="s">
        <v>45</v>
      </c>
      <c r="G194" t="str">
        <f>"2026-04-08 23:56:25.525"</f>
        <v>2026-04-08 23:56:25.525</v>
      </c>
      <c r="H194" t="s">
        <v>21</v>
      </c>
      <c r="I194">
        <v>0</v>
      </c>
      <c r="J194" t="s">
        <v>30</v>
      </c>
    </row>
    <row r="195" spans="1:10" x14ac:dyDescent="0.25">
      <c r="A195" s="1">
        <v>98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"2026-04-08 23:52:25.685"</f>
        <v>2026-04-08 23:52:25.685</v>
      </c>
      <c r="H195" t="s">
        <v>21</v>
      </c>
    </row>
    <row r="196" spans="1:10" x14ac:dyDescent="0.25">
      <c r="A196" s="1">
        <v>0</v>
      </c>
      <c r="B196" t="s">
        <v>19</v>
      </c>
      <c r="C196">
        <v>706</v>
      </c>
      <c r="D196">
        <v>4</v>
      </c>
      <c r="E196" t="s">
        <v>28</v>
      </c>
      <c r="F196" t="s">
        <v>29</v>
      </c>
      <c r="G196" t="str">
        <f>"2026-04-08 23:51:21.119"</f>
        <v>2026-04-08 23:51:21.119</v>
      </c>
      <c r="H196" t="s">
        <v>21</v>
      </c>
      <c r="I196">
        <v>0</v>
      </c>
      <c r="J196" t="s">
        <v>30</v>
      </c>
    </row>
    <row r="197" spans="1:10" x14ac:dyDescent="0.25">
      <c r="A197" s="1">
        <v>1</v>
      </c>
      <c r="B197" t="s">
        <v>32</v>
      </c>
      <c r="C197">
        <v>47</v>
      </c>
      <c r="D197">
        <v>2</v>
      </c>
      <c r="E197" t="s">
        <v>33</v>
      </c>
      <c r="F197" t="s">
        <v>34</v>
      </c>
      <c r="G197" t="str">
        <f>"2026-04-08 23:51:00.051"</f>
        <v>2026-04-08 23:51:00.051</v>
      </c>
      <c r="H197" t="s">
        <v>35</v>
      </c>
      <c r="I197">
        <v>0</v>
      </c>
      <c r="J197" t="s">
        <v>30</v>
      </c>
    </row>
    <row r="198" spans="1:10" x14ac:dyDescent="0.25">
      <c r="A198" s="1">
        <v>2</v>
      </c>
      <c r="B198" t="s">
        <v>19</v>
      </c>
      <c r="C198">
        <v>706</v>
      </c>
      <c r="D198">
        <v>2</v>
      </c>
      <c r="E198" t="s">
        <v>28</v>
      </c>
      <c r="F198" t="s">
        <v>45</v>
      </c>
      <c r="G198" t="str">
        <f>"2026-04-08 23:50:54.729"</f>
        <v>2026-04-08 23:50:54.729</v>
      </c>
      <c r="H198" t="s">
        <v>21</v>
      </c>
      <c r="I198">
        <v>0</v>
      </c>
      <c r="J198" t="s">
        <v>30</v>
      </c>
    </row>
    <row r="199" spans="1:10" x14ac:dyDescent="0.25">
      <c r="A199" s="1">
        <v>4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"2026-04-08 23:42:35.709"</f>
        <v>2026-04-08 23:42:35.709</v>
      </c>
      <c r="H199" t="s">
        <v>21</v>
      </c>
      <c r="I199">
        <v>0</v>
      </c>
      <c r="J199" t="s">
        <v>31</v>
      </c>
    </row>
    <row r="200" spans="1:10" x14ac:dyDescent="0.25">
      <c r="A200" s="1">
        <v>7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"2026-04-08 23:40:07.745"</f>
        <v>2026-04-08 23:40:07.745</v>
      </c>
      <c r="H200" t="s">
        <v>21</v>
      </c>
      <c r="I200">
        <v>0</v>
      </c>
      <c r="J200" t="s">
        <v>31</v>
      </c>
    </row>
    <row r="201" spans="1:10" x14ac:dyDescent="0.25">
      <c r="A201" s="1">
        <v>10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"2026-04-08 23:20:08.695"</f>
        <v>2026-04-08 23:20:08.695</v>
      </c>
      <c r="H201" t="s">
        <v>21</v>
      </c>
    </row>
    <row r="202" spans="1:10" x14ac:dyDescent="0.25">
      <c r="A202" s="1">
        <v>14</v>
      </c>
      <c r="B202" t="s">
        <v>22</v>
      </c>
      <c r="C202">
        <v>635</v>
      </c>
      <c r="D202">
        <v>1</v>
      </c>
      <c r="E202" t="s">
        <v>23</v>
      </c>
      <c r="F202" t="s">
        <v>24</v>
      </c>
      <c r="G202" t="str">
        <f>"2026-04-08 21:48:35.044"</f>
        <v>2026-04-08 21:48:35.044</v>
      </c>
      <c r="H202" t="s">
        <v>21</v>
      </c>
    </row>
    <row r="203" spans="1:10" x14ac:dyDescent="0.25">
      <c r="A203" s="1">
        <v>15</v>
      </c>
      <c r="B203" t="s">
        <v>25</v>
      </c>
      <c r="C203">
        <v>635</v>
      </c>
      <c r="D203">
        <v>1</v>
      </c>
      <c r="E203" t="s">
        <v>23</v>
      </c>
      <c r="F203" t="s">
        <v>24</v>
      </c>
      <c r="G203" t="str">
        <f>"2026-04-08 21:44:00.544"</f>
        <v>2026-04-08 21:44:00.544</v>
      </c>
      <c r="H203" t="s">
        <v>21</v>
      </c>
      <c r="I203">
        <v>4.58</v>
      </c>
      <c r="J203" t="s">
        <v>36</v>
      </c>
    </row>
    <row r="204" spans="1:10" x14ac:dyDescent="0.25">
      <c r="A204" s="1">
        <v>16</v>
      </c>
      <c r="B204" t="s">
        <v>22</v>
      </c>
      <c r="C204">
        <v>635</v>
      </c>
      <c r="D204">
        <v>1</v>
      </c>
      <c r="E204" t="s">
        <v>23</v>
      </c>
      <c r="F204" t="s">
        <v>24</v>
      </c>
      <c r="G204" t="str">
        <f>"2026-04-08 18:44:58.944"</f>
        <v>2026-04-08 18:44:58.944</v>
      </c>
      <c r="H204" t="s">
        <v>21</v>
      </c>
    </row>
    <row r="205" spans="1:10" x14ac:dyDescent="0.25">
      <c r="A205" s="1">
        <v>17</v>
      </c>
      <c r="B205" t="s">
        <v>25</v>
      </c>
      <c r="C205">
        <v>635</v>
      </c>
      <c r="D205">
        <v>1</v>
      </c>
      <c r="E205" t="s">
        <v>23</v>
      </c>
      <c r="F205" t="s">
        <v>24</v>
      </c>
      <c r="G205" t="str">
        <f>"2026-04-08 18:40:21.944"</f>
        <v>2026-04-08 18:40:21.944</v>
      </c>
      <c r="H205" t="s">
        <v>21</v>
      </c>
      <c r="I205">
        <v>6.69</v>
      </c>
      <c r="J205" t="s">
        <v>36</v>
      </c>
    </row>
    <row r="206" spans="1:10" x14ac:dyDescent="0.25">
      <c r="A206" s="1">
        <v>18</v>
      </c>
      <c r="B206" t="s">
        <v>22</v>
      </c>
      <c r="C206">
        <v>635</v>
      </c>
      <c r="D206">
        <v>1</v>
      </c>
      <c r="E206" t="s">
        <v>23</v>
      </c>
      <c r="F206" t="s">
        <v>24</v>
      </c>
      <c r="G206" t="str">
        <f>"2026-04-08 17:06:37.644"</f>
        <v>2026-04-08 17:06:37.644</v>
      </c>
      <c r="H206" t="s">
        <v>21</v>
      </c>
    </row>
    <row r="207" spans="1:10" x14ac:dyDescent="0.25">
      <c r="A207" s="1">
        <v>19</v>
      </c>
      <c r="B207" t="s">
        <v>25</v>
      </c>
      <c r="C207">
        <v>635</v>
      </c>
      <c r="D207">
        <v>1</v>
      </c>
      <c r="E207" t="s">
        <v>23</v>
      </c>
      <c r="F207" t="s">
        <v>24</v>
      </c>
      <c r="G207" t="str">
        <f>"2026-04-08 17:03:10.244"</f>
        <v>2026-04-08 17:03:10.244</v>
      </c>
      <c r="H207" t="s">
        <v>21</v>
      </c>
      <c r="I207">
        <v>1.44</v>
      </c>
      <c r="J207" t="s">
        <v>27</v>
      </c>
    </row>
    <row r="208" spans="1:10" x14ac:dyDescent="0.25">
      <c r="A208" s="1">
        <v>20</v>
      </c>
      <c r="B208" t="s">
        <v>22</v>
      </c>
      <c r="C208">
        <v>635</v>
      </c>
      <c r="D208">
        <v>1</v>
      </c>
      <c r="E208" t="s">
        <v>23</v>
      </c>
      <c r="F208" t="s">
        <v>24</v>
      </c>
      <c r="G208" t="str">
        <f>"2026-04-08 09:30:16.644"</f>
        <v>2026-04-08 09:30:16.644</v>
      </c>
      <c r="H208" t="s">
        <v>21</v>
      </c>
    </row>
    <row r="209" spans="1:10" x14ac:dyDescent="0.25">
      <c r="A209" s="1">
        <v>21</v>
      </c>
      <c r="B209" t="s">
        <v>25</v>
      </c>
      <c r="C209">
        <v>635</v>
      </c>
      <c r="D209">
        <v>1</v>
      </c>
      <c r="E209" t="s">
        <v>23</v>
      </c>
      <c r="F209" t="s">
        <v>24</v>
      </c>
      <c r="G209" t="str">
        <f>"2026-04-08 09:26:40.244"</f>
        <v>2026-04-08 09:26:40.244</v>
      </c>
      <c r="H209" t="s">
        <v>21</v>
      </c>
      <c r="I209">
        <v>0.43</v>
      </c>
      <c r="J209" t="s">
        <v>26</v>
      </c>
    </row>
    <row r="210" spans="1:10" x14ac:dyDescent="0.25">
      <c r="A210" s="1">
        <v>22</v>
      </c>
      <c r="B210" t="s">
        <v>22</v>
      </c>
      <c r="C210">
        <v>635</v>
      </c>
      <c r="D210">
        <v>1</v>
      </c>
      <c r="E210" t="s">
        <v>23</v>
      </c>
      <c r="F210" t="s">
        <v>24</v>
      </c>
      <c r="G210" t="str">
        <f>"2026-04-08 06:42:56.044"</f>
        <v>2026-04-08 06:42:56.044</v>
      </c>
      <c r="H210" t="s">
        <v>21</v>
      </c>
    </row>
    <row r="211" spans="1:10" x14ac:dyDescent="0.25">
      <c r="A211" s="1">
        <v>23</v>
      </c>
      <c r="B211" t="s">
        <v>25</v>
      </c>
      <c r="C211">
        <v>635</v>
      </c>
      <c r="D211">
        <v>1</v>
      </c>
      <c r="E211" t="s">
        <v>23</v>
      </c>
      <c r="F211" t="s">
        <v>24</v>
      </c>
      <c r="G211" t="str">
        <f>"2026-04-08 06:36:30.544"</f>
        <v>2026-04-08 06:36:30.544</v>
      </c>
      <c r="H211" t="s">
        <v>21</v>
      </c>
      <c r="I211">
        <v>2.38</v>
      </c>
      <c r="J211" t="s">
        <v>36</v>
      </c>
    </row>
    <row r="212" spans="1:10" s="3" customFormat="1" x14ac:dyDescent="0.25">
      <c r="A212" s="2">
        <v>24</v>
      </c>
      <c r="B212" s="3" t="s">
        <v>22</v>
      </c>
      <c r="C212" s="3">
        <v>647</v>
      </c>
      <c r="D212" s="3">
        <v>1</v>
      </c>
      <c r="E212" s="3" t="s">
        <v>43</v>
      </c>
      <c r="F212" s="3" t="s">
        <v>44</v>
      </c>
      <c r="G212" s="3" t="str">
        <f>"2026-04-07 12:47:41.744"</f>
        <v>2026-04-07 12:47:41.744</v>
      </c>
      <c r="H212" s="3" t="s">
        <v>21</v>
      </c>
    </row>
    <row r="213" spans="1:10" s="3" customFormat="1" x14ac:dyDescent="0.25">
      <c r="A213" s="2">
        <v>25</v>
      </c>
      <c r="B213" s="3" t="s">
        <v>25</v>
      </c>
      <c r="C213" s="3">
        <v>647</v>
      </c>
      <c r="D213" s="3">
        <v>1</v>
      </c>
      <c r="E213" s="3" t="s">
        <v>43</v>
      </c>
      <c r="F213" s="3" t="s">
        <v>44</v>
      </c>
      <c r="G213" s="3" t="str">
        <f>"2026-04-07 12:47:38.045"</f>
        <v>2026-04-07 12:47:38.045</v>
      </c>
      <c r="H213" s="3" t="s">
        <v>21</v>
      </c>
      <c r="I213" s="3">
        <v>8.5299999999999994</v>
      </c>
      <c r="J213" s="3" t="s">
        <v>27</v>
      </c>
    </row>
    <row r="214" spans="1:10" x14ac:dyDescent="0.25">
      <c r="A214" s="1">
        <v>27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"2026-04-07 09:35:06.707"</f>
        <v>2026-04-07 09:35:06.707</v>
      </c>
      <c r="H214" t="s">
        <v>21</v>
      </c>
      <c r="I214">
        <v>0</v>
      </c>
      <c r="J214" t="s">
        <v>31</v>
      </c>
    </row>
    <row r="215" spans="1:10" x14ac:dyDescent="0.25">
      <c r="A215" s="1">
        <v>29</v>
      </c>
      <c r="B215" t="s">
        <v>32</v>
      </c>
      <c r="C215">
        <v>47</v>
      </c>
      <c r="D215">
        <v>2</v>
      </c>
      <c r="E215" t="s">
        <v>33</v>
      </c>
      <c r="F215" t="s">
        <v>34</v>
      </c>
      <c r="G215" t="str">
        <f>"2026-04-07 09:27:11.521"</f>
        <v>2026-04-07 09:27:11.521</v>
      </c>
      <c r="H215" t="s">
        <v>35</v>
      </c>
      <c r="I215">
        <v>0</v>
      </c>
      <c r="J215" t="s">
        <v>26</v>
      </c>
    </row>
    <row r="216" spans="1:10" x14ac:dyDescent="0.25">
      <c r="A216" s="1">
        <v>30</v>
      </c>
      <c r="B216" t="s">
        <v>22</v>
      </c>
      <c r="C216">
        <v>635</v>
      </c>
      <c r="D216">
        <v>1</v>
      </c>
      <c r="E216" t="s">
        <v>23</v>
      </c>
      <c r="F216" t="s">
        <v>24</v>
      </c>
      <c r="G216" t="str">
        <f>"2026-04-07 01:31:01.620"</f>
        <v>2026-04-07 01:31:01.620</v>
      </c>
      <c r="H216" t="s">
        <v>21</v>
      </c>
    </row>
    <row r="217" spans="1:10" x14ac:dyDescent="0.25">
      <c r="A217" s="1">
        <v>31</v>
      </c>
      <c r="B217" t="s">
        <v>25</v>
      </c>
      <c r="C217">
        <v>635</v>
      </c>
      <c r="D217">
        <v>1</v>
      </c>
      <c r="E217" t="s">
        <v>23</v>
      </c>
      <c r="F217" t="s">
        <v>24</v>
      </c>
      <c r="G217" t="str">
        <f>"2026-04-07 01:25:16.120"</f>
        <v>2026-04-07 01:25:16.120</v>
      </c>
      <c r="H217" t="s">
        <v>21</v>
      </c>
      <c r="I217">
        <v>2.09</v>
      </c>
      <c r="J217" t="s">
        <v>36</v>
      </c>
    </row>
    <row r="218" spans="1:10" x14ac:dyDescent="0.25">
      <c r="A218" s="1">
        <v>32</v>
      </c>
      <c r="B218" t="s">
        <v>22</v>
      </c>
      <c r="C218">
        <v>635</v>
      </c>
      <c r="D218">
        <v>1</v>
      </c>
      <c r="E218" t="s">
        <v>23</v>
      </c>
      <c r="F218" t="s">
        <v>24</v>
      </c>
      <c r="G218" t="str">
        <f>"2026-04-06 14:09:18.620"</f>
        <v>2026-04-06 14:09:18.620</v>
      </c>
      <c r="H218" t="s">
        <v>21</v>
      </c>
    </row>
    <row r="219" spans="1:10" x14ac:dyDescent="0.25">
      <c r="A219" s="1">
        <v>33</v>
      </c>
      <c r="B219" t="s">
        <v>25</v>
      </c>
      <c r="C219">
        <v>635</v>
      </c>
      <c r="D219">
        <v>1</v>
      </c>
      <c r="E219" t="s">
        <v>23</v>
      </c>
      <c r="F219" t="s">
        <v>24</v>
      </c>
      <c r="G219" t="str">
        <f>"2026-04-06 13:57:50.220"</f>
        <v>2026-04-06 13:57:50.220</v>
      </c>
      <c r="H219" t="s">
        <v>21</v>
      </c>
      <c r="I219">
        <v>2.14</v>
      </c>
      <c r="J219" t="s">
        <v>36</v>
      </c>
    </row>
    <row r="220" spans="1:10" s="3" customFormat="1" x14ac:dyDescent="0.25">
      <c r="A220" s="2">
        <v>34</v>
      </c>
      <c r="B220" s="3" t="s">
        <v>22</v>
      </c>
      <c r="C220" s="3">
        <v>647</v>
      </c>
      <c r="D220" s="3">
        <v>1</v>
      </c>
      <c r="E220" s="3" t="s">
        <v>43</v>
      </c>
      <c r="F220" s="3" t="s">
        <v>44</v>
      </c>
      <c r="G220" s="3" t="str">
        <f>"2026-04-06 10:51:31.021"</f>
        <v>2026-04-06 10:51:31.021</v>
      </c>
      <c r="H220" s="3" t="s">
        <v>21</v>
      </c>
    </row>
    <row r="221" spans="1:10" s="3" customFormat="1" x14ac:dyDescent="0.25">
      <c r="A221" s="2">
        <v>35</v>
      </c>
      <c r="B221" s="3" t="s">
        <v>25</v>
      </c>
      <c r="C221" s="3">
        <v>647</v>
      </c>
      <c r="D221" s="3">
        <v>1</v>
      </c>
      <c r="E221" s="3" t="s">
        <v>43</v>
      </c>
      <c r="F221" s="3" t="s">
        <v>44</v>
      </c>
      <c r="G221" s="3" t="str">
        <f>"2026-04-06 10:51:23.321"</f>
        <v>2026-04-06 10:51:23.321</v>
      </c>
      <c r="H221" s="3" t="s">
        <v>21</v>
      </c>
      <c r="I221" s="3">
        <v>8.91</v>
      </c>
      <c r="J221" s="3" t="s">
        <v>27</v>
      </c>
    </row>
    <row r="222" spans="1:10" x14ac:dyDescent="0.25">
      <c r="A222" s="1">
        <v>36</v>
      </c>
      <c r="B222" t="s">
        <v>22</v>
      </c>
      <c r="C222">
        <v>635</v>
      </c>
      <c r="D222">
        <v>1</v>
      </c>
      <c r="E222" t="s">
        <v>23</v>
      </c>
      <c r="F222" t="s">
        <v>24</v>
      </c>
      <c r="G222" t="str">
        <f>"2026-04-06 09:29:59.820"</f>
        <v>2026-04-06 09:29:59.820</v>
      </c>
      <c r="H222" t="s">
        <v>21</v>
      </c>
    </row>
    <row r="223" spans="1:10" x14ac:dyDescent="0.25">
      <c r="A223" s="1">
        <v>37</v>
      </c>
      <c r="B223" t="s">
        <v>25</v>
      </c>
      <c r="C223">
        <v>635</v>
      </c>
      <c r="D223">
        <v>1</v>
      </c>
      <c r="E223" t="s">
        <v>23</v>
      </c>
      <c r="F223" t="s">
        <v>24</v>
      </c>
      <c r="G223" t="str">
        <f>"2026-04-06 09:26:39.320"</f>
        <v>2026-04-06 09:26:39.320</v>
      </c>
      <c r="H223" t="s">
        <v>21</v>
      </c>
      <c r="I223">
        <v>1.07</v>
      </c>
      <c r="J223" t="s">
        <v>36</v>
      </c>
    </row>
    <row r="224" spans="1:10" x14ac:dyDescent="0.25">
      <c r="A224" s="1">
        <v>38</v>
      </c>
      <c r="B224" t="s">
        <v>22</v>
      </c>
      <c r="C224">
        <v>98</v>
      </c>
      <c r="D224">
        <v>1</v>
      </c>
      <c r="E224" t="s">
        <v>46</v>
      </c>
      <c r="F224" t="s">
        <v>47</v>
      </c>
      <c r="G224" t="str">
        <f>"2026-04-06 05:32:00.820"</f>
        <v>2026-04-06 05:32:00.820</v>
      </c>
      <c r="H224" t="s">
        <v>21</v>
      </c>
    </row>
    <row r="225" spans="1:10" x14ac:dyDescent="0.25">
      <c r="A225" s="1">
        <v>39</v>
      </c>
      <c r="B225" t="s">
        <v>25</v>
      </c>
      <c r="C225">
        <v>98</v>
      </c>
      <c r="D225">
        <v>1</v>
      </c>
      <c r="E225" t="s">
        <v>46</v>
      </c>
      <c r="F225" t="s">
        <v>47</v>
      </c>
      <c r="G225" t="str">
        <f>"2026-04-06 05:31:59.820"</f>
        <v>2026-04-06 05:31:59.820</v>
      </c>
      <c r="H225" t="s">
        <v>21</v>
      </c>
      <c r="I225">
        <v>0</v>
      </c>
      <c r="J225" t="s">
        <v>26</v>
      </c>
    </row>
    <row r="226" spans="1:10" x14ac:dyDescent="0.25">
      <c r="A226" s="1">
        <v>40</v>
      </c>
      <c r="B226" t="s">
        <v>22</v>
      </c>
      <c r="C226">
        <v>98</v>
      </c>
      <c r="D226">
        <v>1</v>
      </c>
      <c r="E226" t="s">
        <v>46</v>
      </c>
      <c r="F226" t="s">
        <v>47</v>
      </c>
      <c r="G226" t="str">
        <f>"2026-04-06 05:31:58.320"</f>
        <v>2026-04-06 05:31:58.320</v>
      </c>
      <c r="H226" t="s">
        <v>21</v>
      </c>
    </row>
    <row r="227" spans="1:10" x14ac:dyDescent="0.25">
      <c r="A227" s="1">
        <v>41</v>
      </c>
      <c r="B227" t="s">
        <v>25</v>
      </c>
      <c r="C227">
        <v>98</v>
      </c>
      <c r="D227">
        <v>1</v>
      </c>
      <c r="E227" t="s">
        <v>46</v>
      </c>
      <c r="F227" t="s">
        <v>47</v>
      </c>
      <c r="G227" t="str">
        <f>"2026-04-06 05:31:57.320"</f>
        <v>2026-04-06 05:31:57.320</v>
      </c>
      <c r="H227" t="s">
        <v>21</v>
      </c>
      <c r="I227">
        <v>0</v>
      </c>
      <c r="J227" t="s">
        <v>26</v>
      </c>
    </row>
    <row r="228" spans="1:10" x14ac:dyDescent="0.25">
      <c r="A228" s="1">
        <v>42</v>
      </c>
      <c r="B228" t="s">
        <v>22</v>
      </c>
      <c r="C228">
        <v>98</v>
      </c>
      <c r="D228">
        <v>1</v>
      </c>
      <c r="E228" t="s">
        <v>46</v>
      </c>
      <c r="F228" t="s">
        <v>47</v>
      </c>
      <c r="G228" t="str">
        <f>"2026-04-06 05:31:57.020"</f>
        <v>2026-04-06 05:31:57.020</v>
      </c>
      <c r="H228" t="s">
        <v>21</v>
      </c>
    </row>
    <row r="229" spans="1:10" x14ac:dyDescent="0.25">
      <c r="A229" s="1">
        <v>43</v>
      </c>
      <c r="B229" t="s">
        <v>25</v>
      </c>
      <c r="C229">
        <v>98</v>
      </c>
      <c r="D229">
        <v>1</v>
      </c>
      <c r="E229" t="s">
        <v>46</v>
      </c>
      <c r="F229" t="s">
        <v>47</v>
      </c>
      <c r="G229" t="str">
        <f>"2026-04-06 05:31:56.020"</f>
        <v>2026-04-06 05:31:56.020</v>
      </c>
      <c r="H229" t="s">
        <v>21</v>
      </c>
      <c r="I229">
        <v>0</v>
      </c>
      <c r="J229" t="s">
        <v>26</v>
      </c>
    </row>
    <row r="230" spans="1:10" x14ac:dyDescent="0.25">
      <c r="A230" s="1">
        <v>44</v>
      </c>
      <c r="B230" t="s">
        <v>22</v>
      </c>
      <c r="C230">
        <v>98</v>
      </c>
      <c r="D230">
        <v>1</v>
      </c>
      <c r="E230" t="s">
        <v>46</v>
      </c>
      <c r="F230" t="s">
        <v>47</v>
      </c>
      <c r="G230" t="str">
        <f>"2026-04-06 05:31:55.220"</f>
        <v>2026-04-06 05:31:55.220</v>
      </c>
      <c r="H230" t="s">
        <v>21</v>
      </c>
    </row>
    <row r="231" spans="1:10" x14ac:dyDescent="0.25">
      <c r="A231" s="1">
        <v>45</v>
      </c>
      <c r="B231" t="s">
        <v>25</v>
      </c>
      <c r="C231">
        <v>98</v>
      </c>
      <c r="D231">
        <v>1</v>
      </c>
      <c r="E231" t="s">
        <v>46</v>
      </c>
      <c r="F231" t="s">
        <v>47</v>
      </c>
      <c r="G231" t="str">
        <f>"2026-04-06 05:31:54.220"</f>
        <v>2026-04-06 05:31:54.220</v>
      </c>
      <c r="H231" t="s">
        <v>21</v>
      </c>
      <c r="I231">
        <v>0</v>
      </c>
      <c r="J231" t="s">
        <v>26</v>
      </c>
    </row>
    <row r="232" spans="1:10" x14ac:dyDescent="0.25">
      <c r="A232" s="1">
        <v>46</v>
      </c>
      <c r="B232" t="s">
        <v>22</v>
      </c>
      <c r="C232">
        <v>98</v>
      </c>
      <c r="D232">
        <v>1</v>
      </c>
      <c r="E232" t="s">
        <v>46</v>
      </c>
      <c r="F232" t="s">
        <v>47</v>
      </c>
      <c r="G232" t="str">
        <f>"2026-04-06 05:31:46.520"</f>
        <v>2026-04-06 05:31:46.520</v>
      </c>
      <c r="H232" t="s">
        <v>21</v>
      </c>
    </row>
    <row r="233" spans="1:10" x14ac:dyDescent="0.25">
      <c r="A233" s="1">
        <v>47</v>
      </c>
      <c r="B233" t="s">
        <v>25</v>
      </c>
      <c r="C233">
        <v>98</v>
      </c>
      <c r="D233">
        <v>1</v>
      </c>
      <c r="E233" t="s">
        <v>46</v>
      </c>
      <c r="F233" t="s">
        <v>47</v>
      </c>
      <c r="G233" t="str">
        <f>"2026-04-06 05:31:45.520"</f>
        <v>2026-04-06 05:31:45.520</v>
      </c>
      <c r="H233" t="s">
        <v>21</v>
      </c>
      <c r="I233">
        <v>0</v>
      </c>
      <c r="J233" t="s">
        <v>26</v>
      </c>
    </row>
    <row r="234" spans="1:10" x14ac:dyDescent="0.25">
      <c r="A234" s="1">
        <v>48</v>
      </c>
      <c r="B234" t="s">
        <v>22</v>
      </c>
      <c r="C234">
        <v>98</v>
      </c>
      <c r="D234">
        <v>1</v>
      </c>
      <c r="E234" t="s">
        <v>46</v>
      </c>
      <c r="F234" t="s">
        <v>47</v>
      </c>
      <c r="G234" t="str">
        <f>"2026-04-06 05:31:44.820"</f>
        <v>2026-04-06 05:31:44.820</v>
      </c>
      <c r="H234" t="s">
        <v>21</v>
      </c>
    </row>
    <row r="235" spans="1:10" x14ac:dyDescent="0.25">
      <c r="A235" s="1">
        <v>49</v>
      </c>
      <c r="B235" t="s">
        <v>25</v>
      </c>
      <c r="C235">
        <v>98</v>
      </c>
      <c r="D235">
        <v>1</v>
      </c>
      <c r="E235" t="s">
        <v>46</v>
      </c>
      <c r="F235" t="s">
        <v>47</v>
      </c>
      <c r="G235" t="str">
        <f>"2026-04-06 05:31:43.820"</f>
        <v>2026-04-06 05:31:43.820</v>
      </c>
      <c r="H235" t="s">
        <v>21</v>
      </c>
      <c r="I235">
        <v>0</v>
      </c>
      <c r="J235" t="s">
        <v>26</v>
      </c>
    </row>
    <row r="236" spans="1:10" x14ac:dyDescent="0.25">
      <c r="A236" s="1">
        <v>50</v>
      </c>
      <c r="B236" t="s">
        <v>22</v>
      </c>
      <c r="C236">
        <v>635</v>
      </c>
      <c r="D236">
        <v>1</v>
      </c>
      <c r="E236" t="s">
        <v>23</v>
      </c>
      <c r="F236" t="s">
        <v>24</v>
      </c>
      <c r="G236" t="str">
        <f>"2026-04-06 05:28:58.820"</f>
        <v>2026-04-06 05:28:58.820</v>
      </c>
      <c r="H236" t="s">
        <v>21</v>
      </c>
    </row>
    <row r="237" spans="1:10" x14ac:dyDescent="0.25">
      <c r="A237" s="1">
        <v>51</v>
      </c>
      <c r="B237" t="s">
        <v>25</v>
      </c>
      <c r="C237">
        <v>635</v>
      </c>
      <c r="D237">
        <v>1</v>
      </c>
      <c r="E237" t="s">
        <v>23</v>
      </c>
      <c r="F237" t="s">
        <v>24</v>
      </c>
      <c r="G237" t="str">
        <f>"2026-04-06 05:25:17.820"</f>
        <v>2026-04-06 05:25:17.820</v>
      </c>
      <c r="H237" t="s">
        <v>21</v>
      </c>
      <c r="I237">
        <v>0</v>
      </c>
      <c r="J237" t="s">
        <v>26</v>
      </c>
    </row>
    <row r="238" spans="1:10" x14ac:dyDescent="0.25">
      <c r="A238" s="1">
        <v>52</v>
      </c>
      <c r="B238" t="s">
        <v>22</v>
      </c>
      <c r="C238">
        <v>635</v>
      </c>
      <c r="D238">
        <v>1</v>
      </c>
      <c r="E238" t="s">
        <v>23</v>
      </c>
      <c r="F238" t="s">
        <v>24</v>
      </c>
      <c r="G238" t="str">
        <f>"2026-04-06 04:28:48.920"</f>
        <v>2026-04-06 04:28:48.920</v>
      </c>
      <c r="H238" t="s">
        <v>21</v>
      </c>
    </row>
    <row r="239" spans="1:10" x14ac:dyDescent="0.25">
      <c r="A239" s="1">
        <v>53</v>
      </c>
      <c r="B239" t="s">
        <v>25</v>
      </c>
      <c r="C239">
        <v>635</v>
      </c>
      <c r="D239">
        <v>1</v>
      </c>
      <c r="E239" t="s">
        <v>23</v>
      </c>
      <c r="F239" t="s">
        <v>24</v>
      </c>
      <c r="G239" t="str">
        <f>"2026-04-06 04:22:39.920"</f>
        <v>2026-04-06 04:22:39.920</v>
      </c>
      <c r="H239" t="s">
        <v>21</v>
      </c>
      <c r="I239">
        <v>2.31</v>
      </c>
      <c r="J239" t="s">
        <v>27</v>
      </c>
    </row>
    <row r="240" spans="1:10" x14ac:dyDescent="0.25">
      <c r="A240" s="1">
        <v>55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"2026-04-05 20:03:20.659"</f>
        <v>2026-04-05 20:03:20.659</v>
      </c>
      <c r="H240" t="s">
        <v>21</v>
      </c>
    </row>
    <row r="241" spans="1:10" x14ac:dyDescent="0.25">
      <c r="A241" s="1">
        <v>57</v>
      </c>
      <c r="B241" t="s">
        <v>32</v>
      </c>
      <c r="C241">
        <v>47</v>
      </c>
      <c r="D241">
        <v>2</v>
      </c>
      <c r="E241" t="s">
        <v>33</v>
      </c>
      <c r="F241" t="s">
        <v>34</v>
      </c>
      <c r="G241" t="str">
        <f>"2026-04-05 19:48:52.010"</f>
        <v>2026-04-05 19:48:52.010</v>
      </c>
      <c r="H241" t="s">
        <v>35</v>
      </c>
      <c r="I241">
        <v>0</v>
      </c>
      <c r="J241" t="s">
        <v>26</v>
      </c>
    </row>
    <row r="242" spans="1:10" x14ac:dyDescent="0.25">
      <c r="A242" s="1">
        <v>58</v>
      </c>
      <c r="B242" t="s">
        <v>22</v>
      </c>
      <c r="C242">
        <v>635</v>
      </c>
      <c r="D242">
        <v>1</v>
      </c>
      <c r="E242" t="s">
        <v>23</v>
      </c>
      <c r="F242" t="s">
        <v>24</v>
      </c>
      <c r="G242" t="str">
        <f>"2026-04-05 15:38:27.449"</f>
        <v>2026-04-05 15:38:27.449</v>
      </c>
      <c r="H242" t="s">
        <v>21</v>
      </c>
    </row>
    <row r="243" spans="1:10" x14ac:dyDescent="0.25">
      <c r="A243" s="1">
        <v>59</v>
      </c>
      <c r="B243" t="s">
        <v>25</v>
      </c>
      <c r="C243">
        <v>635</v>
      </c>
      <c r="D243">
        <v>1</v>
      </c>
      <c r="E243" t="s">
        <v>23</v>
      </c>
      <c r="F243" t="s">
        <v>24</v>
      </c>
      <c r="G243" t="str">
        <f>"2026-04-05 15:34:15.449"</f>
        <v>2026-04-05 15:34:15.449</v>
      </c>
      <c r="H243" t="s">
        <v>21</v>
      </c>
      <c r="I243">
        <v>6.76</v>
      </c>
      <c r="J243" t="s">
        <v>36</v>
      </c>
    </row>
    <row r="244" spans="1:10" x14ac:dyDescent="0.25">
      <c r="A244" s="1">
        <v>60</v>
      </c>
      <c r="B244" t="s">
        <v>22</v>
      </c>
      <c r="C244">
        <v>635</v>
      </c>
      <c r="D244">
        <v>1</v>
      </c>
      <c r="E244" t="s">
        <v>23</v>
      </c>
      <c r="F244" t="s">
        <v>24</v>
      </c>
      <c r="G244" t="str">
        <f>"2026-04-05 14:20:06.550"</f>
        <v>2026-04-05 14:20:06.550</v>
      </c>
      <c r="H244" t="s">
        <v>21</v>
      </c>
    </row>
    <row r="245" spans="1:10" x14ac:dyDescent="0.25">
      <c r="A245" s="1">
        <v>61</v>
      </c>
      <c r="B245" t="s">
        <v>25</v>
      </c>
      <c r="C245">
        <v>635</v>
      </c>
      <c r="D245">
        <v>1</v>
      </c>
      <c r="E245" t="s">
        <v>23</v>
      </c>
      <c r="F245" t="s">
        <v>24</v>
      </c>
      <c r="G245" t="str">
        <f>"2026-04-05 14:05:44.149"</f>
        <v>2026-04-05 14:05:44.149</v>
      </c>
      <c r="H245" t="s">
        <v>21</v>
      </c>
      <c r="I245">
        <v>2.35</v>
      </c>
      <c r="J245" t="s">
        <v>36</v>
      </c>
    </row>
    <row r="246" spans="1:10" x14ac:dyDescent="0.25">
      <c r="A246" s="1">
        <v>62</v>
      </c>
      <c r="B246" t="s">
        <v>22</v>
      </c>
      <c r="C246">
        <v>635</v>
      </c>
      <c r="D246">
        <v>1</v>
      </c>
      <c r="E246" t="s">
        <v>23</v>
      </c>
      <c r="F246" t="s">
        <v>24</v>
      </c>
      <c r="G246" t="str">
        <f>"2026-04-05 06:00:22.650"</f>
        <v>2026-04-05 06:00:22.650</v>
      </c>
      <c r="H246" t="s">
        <v>21</v>
      </c>
    </row>
    <row r="247" spans="1:10" x14ac:dyDescent="0.25">
      <c r="A247" s="1">
        <v>63</v>
      </c>
      <c r="B247" t="s">
        <v>25</v>
      </c>
      <c r="C247">
        <v>635</v>
      </c>
      <c r="D247">
        <v>1</v>
      </c>
      <c r="E247" t="s">
        <v>23</v>
      </c>
      <c r="F247" t="s">
        <v>24</v>
      </c>
      <c r="G247" t="str">
        <f>"2026-04-05 05:54:56.650"</f>
        <v>2026-04-05 05:54:56.650</v>
      </c>
      <c r="H247" t="s">
        <v>21</v>
      </c>
      <c r="I247">
        <v>3.53</v>
      </c>
      <c r="J247" t="s">
        <v>36</v>
      </c>
    </row>
    <row r="248" spans="1:10" x14ac:dyDescent="0.25">
      <c r="A248" s="1">
        <v>64</v>
      </c>
      <c r="B248" t="s">
        <v>22</v>
      </c>
      <c r="C248">
        <v>635</v>
      </c>
      <c r="D248">
        <v>1</v>
      </c>
      <c r="E248" t="s">
        <v>23</v>
      </c>
      <c r="F248" t="s">
        <v>24</v>
      </c>
      <c r="G248" t="str">
        <f>"2026-04-05 05:34:16.749"</f>
        <v>2026-04-05 05:34:16.749</v>
      </c>
      <c r="H248" t="s">
        <v>21</v>
      </c>
    </row>
    <row r="249" spans="1:10" x14ac:dyDescent="0.25">
      <c r="A249" s="1">
        <v>65</v>
      </c>
      <c r="B249" t="s">
        <v>25</v>
      </c>
      <c r="C249">
        <v>635</v>
      </c>
      <c r="D249">
        <v>1</v>
      </c>
      <c r="E249" t="s">
        <v>23</v>
      </c>
      <c r="F249" t="s">
        <v>24</v>
      </c>
      <c r="G249" t="str">
        <f>"2026-04-05 05:28:02.750"</f>
        <v>2026-04-05 05:28:02.750</v>
      </c>
      <c r="H249" t="s">
        <v>21</v>
      </c>
      <c r="I249">
        <v>2.1800000000000002</v>
      </c>
      <c r="J249" t="s">
        <v>36</v>
      </c>
    </row>
    <row r="250" spans="1:10" x14ac:dyDescent="0.25">
      <c r="A250" s="1">
        <v>67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"2026-04-04 20:25:49.669"</f>
        <v>2026-04-04 20:25:49.669</v>
      </c>
      <c r="H250" t="s">
        <v>21</v>
      </c>
      <c r="I250">
        <v>0</v>
      </c>
      <c r="J250" t="s">
        <v>31</v>
      </c>
    </row>
    <row r="251" spans="1:10" x14ac:dyDescent="0.25">
      <c r="A251" s="1">
        <v>69</v>
      </c>
      <c r="B251" t="s">
        <v>32</v>
      </c>
      <c r="C251">
        <v>47</v>
      </c>
      <c r="D251">
        <v>2</v>
      </c>
      <c r="E251" t="s">
        <v>33</v>
      </c>
      <c r="F251" t="s">
        <v>34</v>
      </c>
      <c r="G251" t="str">
        <f>"2026-04-04 20:21:42.866"</f>
        <v>2026-04-04 20:21:42.866</v>
      </c>
      <c r="H251" t="s">
        <v>35</v>
      </c>
      <c r="I251">
        <v>0</v>
      </c>
      <c r="J251" t="s">
        <v>26</v>
      </c>
    </row>
    <row r="252" spans="1:10" x14ac:dyDescent="0.25">
      <c r="A252" s="1">
        <v>71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"2026-04-04 19:40:03.696"</f>
        <v>2026-04-04 19:40:03.696</v>
      </c>
      <c r="H252" t="s">
        <v>21</v>
      </c>
    </row>
    <row r="253" spans="1:10" x14ac:dyDescent="0.25">
      <c r="A253" s="1">
        <v>73</v>
      </c>
      <c r="B253" t="s">
        <v>22</v>
      </c>
      <c r="C253">
        <v>49</v>
      </c>
      <c r="D253">
        <v>1</v>
      </c>
      <c r="E253" t="s">
        <v>48</v>
      </c>
      <c r="F253" t="s">
        <v>49</v>
      </c>
      <c r="G253" t="str">
        <f>"2026-04-04 16:14:00.430"</f>
        <v>2026-04-04 16:14:00.430</v>
      </c>
      <c r="H253" t="s">
        <v>50</v>
      </c>
    </row>
    <row r="254" spans="1:10" x14ac:dyDescent="0.25">
      <c r="A254" s="1">
        <v>75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"2026-04-04 16:13:30.658"</f>
        <v>2026-04-04 16:13:30.658</v>
      </c>
      <c r="H254" t="s">
        <v>21</v>
      </c>
    </row>
    <row r="255" spans="1:10" x14ac:dyDescent="0.25">
      <c r="A255" s="1">
        <v>76</v>
      </c>
      <c r="B255" t="s">
        <v>25</v>
      </c>
      <c r="C255">
        <v>49</v>
      </c>
      <c r="D255">
        <v>1</v>
      </c>
      <c r="E255" t="s">
        <v>48</v>
      </c>
      <c r="F255" t="s">
        <v>49</v>
      </c>
      <c r="G255" t="str">
        <f>"2026-04-04 16:11:11.559"</f>
        <v>2026-04-04 16:11:11.559</v>
      </c>
      <c r="H255" t="s">
        <v>50</v>
      </c>
      <c r="I255">
        <v>0</v>
      </c>
      <c r="J255" t="s">
        <v>30</v>
      </c>
    </row>
    <row r="256" spans="1:10" x14ac:dyDescent="0.25">
      <c r="A256" s="1">
        <v>77</v>
      </c>
      <c r="B256" t="s">
        <v>19</v>
      </c>
      <c r="C256">
        <v>706</v>
      </c>
      <c r="D256">
        <v>3</v>
      </c>
      <c r="E256" t="s">
        <v>28</v>
      </c>
      <c r="F256" t="s">
        <v>51</v>
      </c>
      <c r="G256" t="str">
        <f>"2026-04-04 16:10:31.429"</f>
        <v>2026-04-04 16:10:31.429</v>
      </c>
      <c r="H256" t="s">
        <v>21</v>
      </c>
      <c r="I256">
        <v>0</v>
      </c>
      <c r="J256" t="s">
        <v>30</v>
      </c>
    </row>
    <row r="257" spans="1:10" x14ac:dyDescent="0.25">
      <c r="A257" s="1">
        <v>80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"2026-04-04 16:09:51.699"</f>
        <v>2026-04-04 16:09:51.699</v>
      </c>
      <c r="H257" t="s">
        <v>21</v>
      </c>
      <c r="I257">
        <v>0</v>
      </c>
      <c r="J257" t="s">
        <v>31</v>
      </c>
    </row>
    <row r="258" spans="1:10" x14ac:dyDescent="0.25">
      <c r="A258" s="1">
        <v>82</v>
      </c>
      <c r="B258" t="s">
        <v>32</v>
      </c>
      <c r="C258">
        <v>47</v>
      </c>
      <c r="D258">
        <v>2</v>
      </c>
      <c r="E258" t="s">
        <v>33</v>
      </c>
      <c r="F258" t="s">
        <v>34</v>
      </c>
      <c r="G258" t="str">
        <f>"2026-04-04 16:08:59.394"</f>
        <v>2026-04-04 16:08:59.394</v>
      </c>
      <c r="H258" t="s">
        <v>35</v>
      </c>
      <c r="I258">
        <v>0</v>
      </c>
      <c r="J258" t="s">
        <v>26</v>
      </c>
    </row>
    <row r="259" spans="1:10" x14ac:dyDescent="0.25">
      <c r="A259" s="1">
        <v>83</v>
      </c>
      <c r="B259" t="s">
        <v>22</v>
      </c>
      <c r="C259">
        <v>635</v>
      </c>
      <c r="D259">
        <v>1</v>
      </c>
      <c r="E259" t="s">
        <v>23</v>
      </c>
      <c r="F259" t="s">
        <v>24</v>
      </c>
      <c r="G259" t="str">
        <f>"2026-04-04 15:01:48.881"</f>
        <v>2026-04-04 15:01:48.881</v>
      </c>
      <c r="H259" t="s">
        <v>21</v>
      </c>
    </row>
    <row r="260" spans="1:10" x14ac:dyDescent="0.25">
      <c r="A260" s="1">
        <v>84</v>
      </c>
      <c r="B260" t="s">
        <v>25</v>
      </c>
      <c r="C260">
        <v>635</v>
      </c>
      <c r="D260">
        <v>1</v>
      </c>
      <c r="E260" t="s">
        <v>23</v>
      </c>
      <c r="F260" t="s">
        <v>24</v>
      </c>
      <c r="G260" t="str">
        <f>"2026-04-04 14:57:55.381"</f>
        <v>2026-04-04 14:57:55.381</v>
      </c>
      <c r="H260" t="s">
        <v>21</v>
      </c>
      <c r="I260">
        <v>5.4</v>
      </c>
      <c r="J260" t="s">
        <v>26</v>
      </c>
    </row>
    <row r="261" spans="1:10" s="3" customFormat="1" x14ac:dyDescent="0.25">
      <c r="A261" s="2">
        <v>85</v>
      </c>
      <c r="B261" s="3" t="s">
        <v>22</v>
      </c>
      <c r="C261" s="3">
        <v>647</v>
      </c>
      <c r="D261" s="3">
        <v>1</v>
      </c>
      <c r="E261" s="3" t="s">
        <v>43</v>
      </c>
      <c r="F261" s="3" t="s">
        <v>44</v>
      </c>
      <c r="G261" s="3" t="str">
        <f>"2026-04-04 10:01:02.982"</f>
        <v>2026-04-04 10:01:02.982</v>
      </c>
      <c r="H261" s="3" t="s">
        <v>21</v>
      </c>
    </row>
    <row r="262" spans="1:10" s="3" customFormat="1" x14ac:dyDescent="0.25">
      <c r="A262" s="2">
        <v>86</v>
      </c>
      <c r="B262" s="3" t="s">
        <v>25</v>
      </c>
      <c r="C262" s="3">
        <v>647</v>
      </c>
      <c r="D262" s="3">
        <v>1</v>
      </c>
      <c r="E262" s="3" t="s">
        <v>43</v>
      </c>
      <c r="F262" s="3" t="s">
        <v>44</v>
      </c>
      <c r="G262" s="3" t="str">
        <f>"2026-04-04 10:01:01.282"</f>
        <v>2026-04-04 10:01:01.282</v>
      </c>
      <c r="H262" s="3" t="s">
        <v>21</v>
      </c>
      <c r="I262" s="3">
        <v>15.36</v>
      </c>
      <c r="J262" s="3" t="s">
        <v>27</v>
      </c>
    </row>
    <row r="263" spans="1:10" x14ac:dyDescent="0.25">
      <c r="A263" s="1">
        <v>87</v>
      </c>
      <c r="B263" t="s">
        <v>22</v>
      </c>
      <c r="C263">
        <v>635</v>
      </c>
      <c r="D263">
        <v>1</v>
      </c>
      <c r="E263" t="s">
        <v>23</v>
      </c>
      <c r="F263" t="s">
        <v>24</v>
      </c>
      <c r="G263" t="str">
        <f>"2026-04-04 06:41:15.481"</f>
        <v>2026-04-04 06:41:15.481</v>
      </c>
      <c r="H263" t="s">
        <v>21</v>
      </c>
    </row>
    <row r="264" spans="1:10" x14ac:dyDescent="0.25">
      <c r="A264" s="1">
        <v>88</v>
      </c>
      <c r="B264" t="s">
        <v>25</v>
      </c>
      <c r="C264">
        <v>635</v>
      </c>
      <c r="D264">
        <v>1</v>
      </c>
      <c r="E264" t="s">
        <v>23</v>
      </c>
      <c r="F264" t="s">
        <v>24</v>
      </c>
      <c r="G264" t="str">
        <f>"2026-04-04 06:38:29.082"</f>
        <v>2026-04-04 06:38:29.082</v>
      </c>
      <c r="H264" t="s">
        <v>21</v>
      </c>
      <c r="I264">
        <v>2.42</v>
      </c>
      <c r="J264" t="s">
        <v>36</v>
      </c>
    </row>
    <row r="265" spans="1:10" x14ac:dyDescent="0.25">
      <c r="A265" s="1">
        <v>90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"2026-04-04 01:11:14.733"</f>
        <v>2026-04-04 01:11:14.733</v>
      </c>
      <c r="H265" t="s">
        <v>21</v>
      </c>
      <c r="I265">
        <v>0</v>
      </c>
      <c r="J265" t="s">
        <v>31</v>
      </c>
    </row>
    <row r="266" spans="1:10" x14ac:dyDescent="0.25">
      <c r="A266" s="1">
        <v>92</v>
      </c>
      <c r="B266" t="s">
        <v>32</v>
      </c>
      <c r="C266">
        <v>47</v>
      </c>
      <c r="D266">
        <v>2</v>
      </c>
      <c r="E266" t="s">
        <v>33</v>
      </c>
      <c r="F266" t="s">
        <v>34</v>
      </c>
      <c r="G266" t="str">
        <f>"2026-04-04 01:01:13.599"</f>
        <v>2026-04-04 01:01:13.599</v>
      </c>
      <c r="H266" t="s">
        <v>35</v>
      </c>
      <c r="I266">
        <v>0</v>
      </c>
      <c r="J266" t="s">
        <v>26</v>
      </c>
    </row>
    <row r="267" spans="1:10" x14ac:dyDescent="0.25">
      <c r="A267" s="1">
        <v>93</v>
      </c>
      <c r="B267" t="s">
        <v>19</v>
      </c>
      <c r="C267">
        <v>706</v>
      </c>
      <c r="D267">
        <v>4</v>
      </c>
      <c r="E267" t="s">
        <v>28</v>
      </c>
      <c r="F267" t="s">
        <v>29</v>
      </c>
      <c r="G267" t="str">
        <f>"2026-04-03 09:27:54.659"</f>
        <v>2026-04-03 09:27:54.659</v>
      </c>
      <c r="H267" t="s">
        <v>21</v>
      </c>
      <c r="I267">
        <v>0</v>
      </c>
      <c r="J267" t="s">
        <v>30</v>
      </c>
    </row>
    <row r="268" spans="1:10" x14ac:dyDescent="0.25">
      <c r="A268" s="1">
        <v>95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"2026-04-03 09:27:30.819"</f>
        <v>2026-04-03 09:27:30.819</v>
      </c>
      <c r="H268" t="s">
        <v>21</v>
      </c>
      <c r="I268">
        <v>0</v>
      </c>
      <c r="J268" t="s">
        <v>31</v>
      </c>
    </row>
    <row r="269" spans="1:10" x14ac:dyDescent="0.25">
      <c r="A269" s="1">
        <v>97</v>
      </c>
      <c r="B269" t="s">
        <v>32</v>
      </c>
      <c r="C269">
        <v>47</v>
      </c>
      <c r="D269">
        <v>2</v>
      </c>
      <c r="E269" t="s">
        <v>33</v>
      </c>
      <c r="F269" t="s">
        <v>34</v>
      </c>
      <c r="G269" t="str">
        <f>"2026-04-03 09:08:47.702"</f>
        <v>2026-04-03 09:08:47.702</v>
      </c>
      <c r="H269" t="s">
        <v>35</v>
      </c>
      <c r="I269">
        <v>0</v>
      </c>
      <c r="J269" t="s">
        <v>26</v>
      </c>
    </row>
    <row r="270" spans="1:10" x14ac:dyDescent="0.25">
      <c r="A270" s="1">
        <v>99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"2026-04-02 20:00:14.682"</f>
        <v>2026-04-02 20:00:14.682</v>
      </c>
      <c r="H270" t="s">
        <v>21</v>
      </c>
      <c r="I270">
        <v>0</v>
      </c>
      <c r="J270" t="s">
        <v>31</v>
      </c>
    </row>
    <row r="271" spans="1:10" x14ac:dyDescent="0.25">
      <c r="A271" s="1">
        <v>1</v>
      </c>
      <c r="B271" t="s">
        <v>37</v>
      </c>
      <c r="C271">
        <v>47</v>
      </c>
      <c r="D271">
        <v>2</v>
      </c>
      <c r="E271" t="s">
        <v>33</v>
      </c>
      <c r="F271" t="s">
        <v>34</v>
      </c>
      <c r="G271" t="str">
        <f>"2026-04-02 19:50:42.003"</f>
        <v>2026-04-02 19:50:42.003</v>
      </c>
      <c r="H271" t="s">
        <v>35</v>
      </c>
    </row>
    <row r="272" spans="1:10" x14ac:dyDescent="0.25">
      <c r="A272" s="1">
        <v>2</v>
      </c>
      <c r="B272" t="s">
        <v>19</v>
      </c>
      <c r="C272">
        <v>706</v>
      </c>
      <c r="D272">
        <v>4</v>
      </c>
      <c r="E272" t="s">
        <v>28</v>
      </c>
      <c r="F272" t="s">
        <v>29</v>
      </c>
      <c r="G272" t="str">
        <f>"2026-04-02 19:50:39.793"</f>
        <v>2026-04-02 19:50:39.793</v>
      </c>
      <c r="H272" t="s">
        <v>21</v>
      </c>
      <c r="I272">
        <v>0</v>
      </c>
      <c r="J272" t="s">
        <v>30</v>
      </c>
    </row>
    <row r="273" spans="1:10" x14ac:dyDescent="0.25">
      <c r="A273" s="1">
        <v>5</v>
      </c>
      <c r="B273" t="s">
        <v>32</v>
      </c>
      <c r="C273">
        <v>47</v>
      </c>
      <c r="D273">
        <v>2</v>
      </c>
      <c r="E273" t="s">
        <v>33</v>
      </c>
      <c r="F273" t="s">
        <v>34</v>
      </c>
      <c r="G273" t="str">
        <f>"2026-04-02 19:49:49.104"</f>
        <v>2026-04-02 19:49:49.104</v>
      </c>
      <c r="H273" t="s">
        <v>35</v>
      </c>
      <c r="I273">
        <v>0</v>
      </c>
      <c r="J273" t="s">
        <v>26</v>
      </c>
    </row>
    <row r="274" spans="1:10" x14ac:dyDescent="0.25">
      <c r="A274" s="1">
        <v>7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"2026-04-01 22:46:05.633"</f>
        <v>2026-04-01 22:46:05.633</v>
      </c>
      <c r="H274" t="s">
        <v>21</v>
      </c>
      <c r="I274">
        <v>0</v>
      </c>
      <c r="J274" t="s">
        <v>31</v>
      </c>
    </row>
    <row r="275" spans="1:10" x14ac:dyDescent="0.25">
      <c r="A275" s="1">
        <v>9</v>
      </c>
      <c r="B275" t="s">
        <v>32</v>
      </c>
      <c r="C275">
        <v>47</v>
      </c>
      <c r="D275">
        <v>2</v>
      </c>
      <c r="E275" t="s">
        <v>33</v>
      </c>
      <c r="F275" t="s">
        <v>34</v>
      </c>
      <c r="G275" t="str">
        <f>"2026-04-01 21:41:23.239"</f>
        <v>2026-04-01 21:41:23.239</v>
      </c>
      <c r="H275" t="s">
        <v>35</v>
      </c>
      <c r="I275">
        <v>0</v>
      </c>
      <c r="J275" t="s">
        <v>26</v>
      </c>
    </row>
    <row r="276" spans="1:10" x14ac:dyDescent="0.25">
      <c r="A276" s="1">
        <v>11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"2026-04-01 21:26:18.666"</f>
        <v>2026-04-01 21:26:18.666</v>
      </c>
      <c r="H276" t="s">
        <v>21</v>
      </c>
      <c r="I276">
        <v>0</v>
      </c>
      <c r="J276" t="s">
        <v>31</v>
      </c>
    </row>
    <row r="277" spans="1:10" x14ac:dyDescent="0.25">
      <c r="A277" s="1">
        <v>13</v>
      </c>
      <c r="B277" t="s">
        <v>37</v>
      </c>
      <c r="C277">
        <v>33</v>
      </c>
      <c r="D277">
        <v>1</v>
      </c>
      <c r="E277" t="s">
        <v>40</v>
      </c>
      <c r="F277" t="s">
        <v>41</v>
      </c>
      <c r="G277" t="str">
        <f>"2026-04-01 19:07:38.948"</f>
        <v>2026-04-01 19:07:38.948</v>
      </c>
      <c r="H277" t="s">
        <v>42</v>
      </c>
    </row>
    <row r="278" spans="1:10" x14ac:dyDescent="0.25">
      <c r="A278" s="1">
        <v>14</v>
      </c>
      <c r="B278" t="s">
        <v>32</v>
      </c>
      <c r="C278">
        <v>33</v>
      </c>
      <c r="D278">
        <v>1</v>
      </c>
      <c r="E278" t="s">
        <v>40</v>
      </c>
      <c r="F278" t="s">
        <v>41</v>
      </c>
      <c r="G278" t="str">
        <f>"2026-04-01 19:07:33.086"</f>
        <v>2026-04-01 19:07:33.086</v>
      </c>
      <c r="H278" t="s">
        <v>42</v>
      </c>
      <c r="I278">
        <v>11.53</v>
      </c>
      <c r="J278" t="s">
        <v>36</v>
      </c>
    </row>
    <row r="279" spans="1:10" s="3" customFormat="1" x14ac:dyDescent="0.25">
      <c r="A279" s="2">
        <v>15</v>
      </c>
      <c r="B279" s="3" t="s">
        <v>22</v>
      </c>
      <c r="C279" s="3">
        <v>647</v>
      </c>
      <c r="D279" s="3">
        <v>1</v>
      </c>
      <c r="E279" s="3" t="s">
        <v>43</v>
      </c>
      <c r="F279" s="3" t="s">
        <v>44</v>
      </c>
      <c r="G279" s="3" t="str">
        <f>"2026-04-01 14:48:30.395"</f>
        <v>2026-04-01 14:48:30.395</v>
      </c>
      <c r="H279" s="3" t="s">
        <v>21</v>
      </c>
    </row>
    <row r="280" spans="1:10" s="3" customFormat="1" x14ac:dyDescent="0.25">
      <c r="A280" s="2">
        <v>16</v>
      </c>
      <c r="B280" s="3" t="s">
        <v>25</v>
      </c>
      <c r="C280" s="3">
        <v>647</v>
      </c>
      <c r="D280" s="3">
        <v>1</v>
      </c>
      <c r="E280" s="3" t="s">
        <v>43</v>
      </c>
      <c r="F280" s="3" t="s">
        <v>44</v>
      </c>
      <c r="G280" s="3" t="str">
        <f>"2026-04-01 14:48:28.896"</f>
        <v>2026-04-01 14:48:28.896</v>
      </c>
      <c r="H280" s="3" t="s">
        <v>21</v>
      </c>
      <c r="I280" s="3">
        <v>11.4</v>
      </c>
      <c r="J280" s="3" t="s">
        <v>27</v>
      </c>
    </row>
    <row r="281" spans="1:10" x14ac:dyDescent="0.25">
      <c r="A281" s="1">
        <v>17</v>
      </c>
      <c r="B281" t="s">
        <v>19</v>
      </c>
      <c r="C281">
        <v>706</v>
      </c>
      <c r="D281">
        <v>2</v>
      </c>
      <c r="E281" t="s">
        <v>28</v>
      </c>
      <c r="F281" t="s">
        <v>45</v>
      </c>
      <c r="G281" t="str">
        <f>"2026-04-01 03:59:53.018"</f>
        <v>2026-04-01 03:59:53.018</v>
      </c>
      <c r="H281" t="s">
        <v>21</v>
      </c>
      <c r="I281">
        <v>0</v>
      </c>
      <c r="J281" t="s">
        <v>30</v>
      </c>
    </row>
    <row r="282" spans="1:10" x14ac:dyDescent="0.25">
      <c r="A282" s="1">
        <v>19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"2026-04-01 03:59:25.638"</f>
        <v>2026-04-01 03:59:25.638</v>
      </c>
      <c r="H282" t="s">
        <v>21</v>
      </c>
      <c r="I282">
        <v>0</v>
      </c>
      <c r="J282" t="s">
        <v>31</v>
      </c>
    </row>
    <row r="283" spans="1:10" x14ac:dyDescent="0.25">
      <c r="A283" s="1">
        <v>21</v>
      </c>
      <c r="B283" t="s">
        <v>32</v>
      </c>
      <c r="C283">
        <v>47</v>
      </c>
      <c r="D283">
        <v>2</v>
      </c>
      <c r="E283" t="s">
        <v>33</v>
      </c>
      <c r="F283" t="s">
        <v>34</v>
      </c>
      <c r="G283" t="str">
        <f>"2026-03-31 19:48:05.502"</f>
        <v>2026-03-31 19:48:05.502</v>
      </c>
      <c r="H283" t="s">
        <v>35</v>
      </c>
      <c r="I283">
        <v>0</v>
      </c>
      <c r="J283" t="s">
        <v>26</v>
      </c>
    </row>
    <row r="284" spans="1:10" x14ac:dyDescent="0.25">
      <c r="A284" s="1">
        <v>23</v>
      </c>
      <c r="B284" t="s">
        <v>22</v>
      </c>
      <c r="C284">
        <v>635</v>
      </c>
      <c r="D284">
        <v>1</v>
      </c>
      <c r="E284" t="s">
        <v>23</v>
      </c>
      <c r="F284" t="s">
        <v>24</v>
      </c>
      <c r="G284" t="str">
        <f>"2026-03-31 05:30:18.310"</f>
        <v>2026-03-31 05:30:18.310</v>
      </c>
      <c r="H284" t="s">
        <v>21</v>
      </c>
    </row>
    <row r="285" spans="1:10" x14ac:dyDescent="0.25">
      <c r="A285" s="1">
        <v>24</v>
      </c>
      <c r="B285" t="s">
        <v>25</v>
      </c>
      <c r="C285">
        <v>635</v>
      </c>
      <c r="D285">
        <v>1</v>
      </c>
      <c r="E285" t="s">
        <v>23</v>
      </c>
      <c r="F285" t="s">
        <v>24</v>
      </c>
      <c r="G285" t="str">
        <f>"2026-03-31 05:21:37.310"</f>
        <v>2026-03-31 05:21:37.310</v>
      </c>
      <c r="H285" t="s">
        <v>21</v>
      </c>
      <c r="I285">
        <v>7.88</v>
      </c>
      <c r="J285" t="s">
        <v>26</v>
      </c>
    </row>
    <row r="286" spans="1:10" x14ac:dyDescent="0.25">
      <c r="A286" s="1">
        <v>27</v>
      </c>
      <c r="B286" t="s">
        <v>22</v>
      </c>
      <c r="C286">
        <v>635</v>
      </c>
      <c r="D286">
        <v>1</v>
      </c>
      <c r="E286" t="s">
        <v>23</v>
      </c>
      <c r="F286" t="s">
        <v>24</v>
      </c>
      <c r="G286" t="str">
        <f>"2026-03-30 17:41:55.810"</f>
        <v>2026-03-30 17:41:55.810</v>
      </c>
      <c r="H286" t="s">
        <v>21</v>
      </c>
    </row>
    <row r="287" spans="1:10" x14ac:dyDescent="0.25">
      <c r="A287" s="1">
        <v>28</v>
      </c>
      <c r="B287" t="s">
        <v>25</v>
      </c>
      <c r="C287">
        <v>635</v>
      </c>
      <c r="D287">
        <v>1</v>
      </c>
      <c r="E287" t="s">
        <v>23</v>
      </c>
      <c r="F287" t="s">
        <v>24</v>
      </c>
      <c r="G287" t="str">
        <f>"2026-03-30 17:38:34.310"</f>
        <v>2026-03-30 17:38:34.310</v>
      </c>
      <c r="H287" t="s">
        <v>21</v>
      </c>
      <c r="I287">
        <v>5.39</v>
      </c>
      <c r="J287" t="s">
        <v>36</v>
      </c>
    </row>
    <row r="288" spans="1:10" x14ac:dyDescent="0.25">
      <c r="A288" s="1">
        <v>29</v>
      </c>
      <c r="B288" t="s">
        <v>22</v>
      </c>
      <c r="C288">
        <v>635</v>
      </c>
      <c r="D288">
        <v>1</v>
      </c>
      <c r="E288" t="s">
        <v>23</v>
      </c>
      <c r="F288" t="s">
        <v>24</v>
      </c>
      <c r="G288" t="str">
        <f>"2026-03-30 16:11:21.510"</f>
        <v>2026-03-30 16:11:21.510</v>
      </c>
      <c r="H288" t="s">
        <v>21</v>
      </c>
    </row>
    <row r="289" spans="1:10" x14ac:dyDescent="0.25">
      <c r="A289" s="1">
        <v>30</v>
      </c>
      <c r="B289" t="s">
        <v>25</v>
      </c>
      <c r="C289">
        <v>635</v>
      </c>
      <c r="D289">
        <v>1</v>
      </c>
      <c r="E289" t="s">
        <v>23</v>
      </c>
      <c r="F289" t="s">
        <v>24</v>
      </c>
      <c r="G289" t="str">
        <f>"2026-03-30 16:08:06.510"</f>
        <v>2026-03-30 16:08:06.510</v>
      </c>
      <c r="H289" t="s">
        <v>21</v>
      </c>
      <c r="I289">
        <v>6.85</v>
      </c>
      <c r="J289" t="s">
        <v>36</v>
      </c>
    </row>
    <row r="290" spans="1:10" x14ac:dyDescent="0.25">
      <c r="A290" s="1">
        <v>32</v>
      </c>
      <c r="B290" t="s">
        <v>22</v>
      </c>
      <c r="C290">
        <v>98</v>
      </c>
      <c r="D290">
        <v>1</v>
      </c>
      <c r="E290" t="s">
        <v>46</v>
      </c>
      <c r="F290" t="s">
        <v>47</v>
      </c>
      <c r="G290" t="str">
        <f>"2026-03-30 06:03:16.002"</f>
        <v>2026-03-30 06:03:16.002</v>
      </c>
      <c r="H290" t="s">
        <v>21</v>
      </c>
    </row>
    <row r="291" spans="1:10" x14ac:dyDescent="0.25">
      <c r="A291" s="1">
        <v>33</v>
      </c>
      <c r="B291" t="s">
        <v>25</v>
      </c>
      <c r="C291">
        <v>98</v>
      </c>
      <c r="D291">
        <v>1</v>
      </c>
      <c r="E291" t="s">
        <v>46</v>
      </c>
      <c r="F291" t="s">
        <v>47</v>
      </c>
      <c r="G291" t="str">
        <f>"2026-03-30 06:03:14.902"</f>
        <v>2026-03-30 06:03:14.902</v>
      </c>
      <c r="H291" t="s">
        <v>21</v>
      </c>
      <c r="I291">
        <v>0</v>
      </c>
      <c r="J291" t="s">
        <v>26</v>
      </c>
    </row>
    <row r="292" spans="1:10" x14ac:dyDescent="0.25">
      <c r="A292" s="1">
        <v>35</v>
      </c>
      <c r="B292" t="s">
        <v>19</v>
      </c>
      <c r="C292">
        <v>706</v>
      </c>
      <c r="D292">
        <v>4</v>
      </c>
      <c r="E292" t="s">
        <v>28</v>
      </c>
      <c r="F292" t="s">
        <v>29</v>
      </c>
      <c r="G292" t="str">
        <f>"2026-03-30 05:41:13.862"</f>
        <v>2026-03-30 05:41:13.862</v>
      </c>
      <c r="H292" t="s">
        <v>21</v>
      </c>
      <c r="I292">
        <v>0</v>
      </c>
      <c r="J292" t="s">
        <v>30</v>
      </c>
    </row>
    <row r="293" spans="1:10" x14ac:dyDescent="0.25">
      <c r="A293" s="1">
        <v>36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"2026-03-30 05:40:58.672"</f>
        <v>2026-03-30 05:40:58.672</v>
      </c>
      <c r="H293" t="s">
        <v>21</v>
      </c>
      <c r="I293">
        <v>0</v>
      </c>
      <c r="J293" t="s">
        <v>31</v>
      </c>
    </row>
    <row r="294" spans="1:10" x14ac:dyDescent="0.25">
      <c r="A294" s="1">
        <v>39</v>
      </c>
      <c r="B294" t="s">
        <v>22</v>
      </c>
      <c r="C294">
        <v>635</v>
      </c>
      <c r="D294">
        <v>1</v>
      </c>
      <c r="E294" t="s">
        <v>23</v>
      </c>
      <c r="F294" t="s">
        <v>24</v>
      </c>
      <c r="G294" t="str">
        <f>"2026-03-29 17:14:03.498"</f>
        <v>2026-03-29 17:14:03.498</v>
      </c>
      <c r="H294" t="s">
        <v>21</v>
      </c>
    </row>
    <row r="295" spans="1:10" x14ac:dyDescent="0.25">
      <c r="A295" s="1">
        <v>40</v>
      </c>
      <c r="B295" t="s">
        <v>25</v>
      </c>
      <c r="C295">
        <v>635</v>
      </c>
      <c r="D295">
        <v>1</v>
      </c>
      <c r="E295" t="s">
        <v>23</v>
      </c>
      <c r="F295" t="s">
        <v>24</v>
      </c>
      <c r="G295" t="str">
        <f>"2026-03-29 17:09:24.998"</f>
        <v>2026-03-29 17:09:24.998</v>
      </c>
      <c r="H295" t="s">
        <v>21</v>
      </c>
      <c r="I295">
        <v>1.44</v>
      </c>
      <c r="J295" t="s">
        <v>36</v>
      </c>
    </row>
    <row r="296" spans="1:10" x14ac:dyDescent="0.25">
      <c r="A296" s="1">
        <v>41</v>
      </c>
      <c r="B296" t="s">
        <v>37</v>
      </c>
      <c r="C296">
        <v>33</v>
      </c>
      <c r="D296">
        <v>1</v>
      </c>
      <c r="E296" t="s">
        <v>40</v>
      </c>
      <c r="F296" t="s">
        <v>41</v>
      </c>
      <c r="G296" t="str">
        <f>"2026-03-29 11:50:24.151"</f>
        <v>2026-03-29 11:50:24.151</v>
      </c>
      <c r="H296" t="s">
        <v>42</v>
      </c>
    </row>
    <row r="297" spans="1:10" x14ac:dyDescent="0.25">
      <c r="A297" s="1">
        <v>42</v>
      </c>
      <c r="B297" t="s">
        <v>32</v>
      </c>
      <c r="C297">
        <v>33</v>
      </c>
      <c r="D297">
        <v>1</v>
      </c>
      <c r="E297" t="s">
        <v>40</v>
      </c>
      <c r="F297" t="s">
        <v>41</v>
      </c>
      <c r="G297" t="str">
        <f>"2026-03-29 11:50:00.150"</f>
        <v>2026-03-29 11:50:00.150</v>
      </c>
      <c r="H297" t="s">
        <v>42</v>
      </c>
      <c r="I297">
        <v>8.27</v>
      </c>
      <c r="J297" t="s">
        <v>36</v>
      </c>
    </row>
    <row r="298" spans="1:10" x14ac:dyDescent="0.25">
      <c r="A298" s="1">
        <v>43</v>
      </c>
      <c r="B298" t="s">
        <v>22</v>
      </c>
      <c r="C298">
        <v>61</v>
      </c>
      <c r="D298">
        <v>2</v>
      </c>
      <c r="E298" t="s">
        <v>38</v>
      </c>
      <c r="F298" t="s">
        <v>39</v>
      </c>
      <c r="G298" t="str">
        <f>"2026-03-29 04:49:28.011"</f>
        <v>2026-03-29 04:49:28.011</v>
      </c>
      <c r="H298" t="s">
        <v>21</v>
      </c>
    </row>
    <row r="299" spans="1:10" s="3" customFormat="1" x14ac:dyDescent="0.25">
      <c r="A299" s="2">
        <v>44</v>
      </c>
      <c r="B299" s="3" t="s">
        <v>22</v>
      </c>
      <c r="C299" s="3">
        <v>647</v>
      </c>
      <c r="D299" s="3">
        <v>1</v>
      </c>
      <c r="E299" s="3" t="s">
        <v>43</v>
      </c>
      <c r="F299" s="3" t="s">
        <v>44</v>
      </c>
      <c r="G299" s="3" t="str">
        <f>"2026-03-29 04:49:26.198"</f>
        <v>2026-03-29 04:49:26.198</v>
      </c>
      <c r="H299" s="3" t="s">
        <v>21</v>
      </c>
    </row>
    <row r="300" spans="1:10" s="3" customFormat="1" x14ac:dyDescent="0.25">
      <c r="A300" s="2">
        <v>45</v>
      </c>
      <c r="B300" s="3" t="s">
        <v>25</v>
      </c>
      <c r="C300" s="3">
        <v>647</v>
      </c>
      <c r="D300" s="3">
        <v>1</v>
      </c>
      <c r="E300" s="3" t="s">
        <v>43</v>
      </c>
      <c r="F300" s="3" t="s">
        <v>44</v>
      </c>
      <c r="G300" s="3" t="str">
        <f>"2026-03-29 04:49:23.498"</f>
        <v>2026-03-29 04:49:23.498</v>
      </c>
      <c r="H300" s="3" t="s">
        <v>21</v>
      </c>
      <c r="I300" s="3">
        <v>29.68</v>
      </c>
      <c r="J300" s="3" t="s">
        <v>27</v>
      </c>
    </row>
    <row r="301" spans="1:10" x14ac:dyDescent="0.25">
      <c r="A301" s="1">
        <v>46</v>
      </c>
      <c r="B301" t="s">
        <v>32</v>
      </c>
      <c r="C301">
        <v>61</v>
      </c>
      <c r="D301">
        <v>2</v>
      </c>
      <c r="E301" t="s">
        <v>38</v>
      </c>
      <c r="F301" t="s">
        <v>39</v>
      </c>
      <c r="G301" t="str">
        <f>"2026-03-29 04:49:23.111"</f>
        <v>2026-03-29 04:49:23.111</v>
      </c>
      <c r="H301" t="s">
        <v>21</v>
      </c>
      <c r="I301">
        <v>29.87</v>
      </c>
      <c r="J301" t="s">
        <v>27</v>
      </c>
    </row>
    <row r="302" spans="1:10" x14ac:dyDescent="0.25">
      <c r="A302" s="1">
        <v>47</v>
      </c>
      <c r="B302" t="s">
        <v>22</v>
      </c>
      <c r="C302">
        <v>635</v>
      </c>
      <c r="D302">
        <v>1</v>
      </c>
      <c r="E302" t="s">
        <v>23</v>
      </c>
      <c r="F302" t="s">
        <v>24</v>
      </c>
      <c r="G302" t="str">
        <f>"2026-03-28 18:37:19.598"</f>
        <v>2026-03-28 18:37:19.598</v>
      </c>
      <c r="H302" t="s">
        <v>21</v>
      </c>
    </row>
    <row r="303" spans="1:10" x14ac:dyDescent="0.25">
      <c r="A303" s="1">
        <v>48</v>
      </c>
      <c r="B303" t="s">
        <v>25</v>
      </c>
      <c r="C303">
        <v>635</v>
      </c>
      <c r="D303">
        <v>1</v>
      </c>
      <c r="E303" t="s">
        <v>23</v>
      </c>
      <c r="F303" t="s">
        <v>24</v>
      </c>
      <c r="G303" t="str">
        <f>"2026-03-28 18:32:20.198"</f>
        <v>2026-03-28 18:32:20.198</v>
      </c>
      <c r="H303" t="s">
        <v>21</v>
      </c>
      <c r="I303">
        <v>4.62</v>
      </c>
      <c r="J303" t="s">
        <v>36</v>
      </c>
    </row>
    <row r="304" spans="1:10" x14ac:dyDescent="0.25">
      <c r="A304" s="1">
        <v>49</v>
      </c>
      <c r="B304" t="s">
        <v>22</v>
      </c>
      <c r="C304">
        <v>635</v>
      </c>
      <c r="D304">
        <v>1</v>
      </c>
      <c r="E304" t="s">
        <v>23</v>
      </c>
      <c r="F304" t="s">
        <v>24</v>
      </c>
      <c r="G304" t="str">
        <f>"2026-03-28 17:09:56.298"</f>
        <v>2026-03-28 17:09:56.298</v>
      </c>
      <c r="H304" t="s">
        <v>21</v>
      </c>
    </row>
    <row r="305" spans="1:10" x14ac:dyDescent="0.25">
      <c r="A305" s="1">
        <v>50</v>
      </c>
      <c r="B305" t="s">
        <v>25</v>
      </c>
      <c r="C305">
        <v>635</v>
      </c>
      <c r="D305">
        <v>1</v>
      </c>
      <c r="E305" t="s">
        <v>23</v>
      </c>
      <c r="F305" t="s">
        <v>24</v>
      </c>
      <c r="G305" t="str">
        <f>"2026-03-28 17:04:38.397"</f>
        <v>2026-03-28 17:04:38.397</v>
      </c>
      <c r="H305" t="s">
        <v>21</v>
      </c>
      <c r="I305">
        <v>0</v>
      </c>
      <c r="J305" t="s">
        <v>26</v>
      </c>
    </row>
    <row r="306" spans="1:10" x14ac:dyDescent="0.25">
      <c r="A306" s="1">
        <v>51</v>
      </c>
      <c r="B306" t="s">
        <v>22</v>
      </c>
      <c r="C306">
        <v>635</v>
      </c>
      <c r="D306">
        <v>1</v>
      </c>
      <c r="E306" t="s">
        <v>23</v>
      </c>
      <c r="F306" t="s">
        <v>24</v>
      </c>
      <c r="G306" t="str">
        <f>"2026-03-28 16:20:20.998"</f>
        <v>2026-03-28 16:20:20.998</v>
      </c>
      <c r="H306" t="s">
        <v>21</v>
      </c>
    </row>
    <row r="307" spans="1:10" x14ac:dyDescent="0.25">
      <c r="A307" s="1">
        <v>52</v>
      </c>
      <c r="B307" t="s">
        <v>25</v>
      </c>
      <c r="C307">
        <v>635</v>
      </c>
      <c r="D307">
        <v>1</v>
      </c>
      <c r="E307" t="s">
        <v>23</v>
      </c>
      <c r="F307" t="s">
        <v>24</v>
      </c>
      <c r="G307" t="str">
        <f>"2026-03-28 16:15:33.498"</f>
        <v>2026-03-28 16:15:33.498</v>
      </c>
      <c r="H307" t="s">
        <v>21</v>
      </c>
      <c r="I307">
        <v>2.89</v>
      </c>
      <c r="J307" t="s">
        <v>26</v>
      </c>
    </row>
    <row r="308" spans="1:10" x14ac:dyDescent="0.25">
      <c r="A308" s="1">
        <v>54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"2026-03-28 15:07:58.629"</f>
        <v>2026-03-28 15:07:58.629</v>
      </c>
      <c r="H308" t="s">
        <v>21</v>
      </c>
    </row>
    <row r="309" spans="1:10" x14ac:dyDescent="0.25">
      <c r="A309" s="1">
        <v>56</v>
      </c>
      <c r="B309" t="s">
        <v>32</v>
      </c>
      <c r="C309">
        <v>47</v>
      </c>
      <c r="D309">
        <v>2</v>
      </c>
      <c r="E309" t="s">
        <v>33</v>
      </c>
      <c r="F309" t="s">
        <v>34</v>
      </c>
      <c r="G309" t="str">
        <f>"2026-03-28 10:30:15.853"</f>
        <v>2026-03-28 10:30:15.853</v>
      </c>
      <c r="H309" t="s">
        <v>35</v>
      </c>
      <c r="I309">
        <v>0</v>
      </c>
      <c r="J309" t="s">
        <v>26</v>
      </c>
    </row>
    <row r="310" spans="1:10" x14ac:dyDescent="0.25">
      <c r="A310" s="1">
        <v>57</v>
      </c>
      <c r="B310" t="s">
        <v>19</v>
      </c>
      <c r="C310">
        <v>706</v>
      </c>
      <c r="D310">
        <v>4</v>
      </c>
      <c r="E310" t="s">
        <v>28</v>
      </c>
      <c r="F310" t="s">
        <v>29</v>
      </c>
      <c r="G310" t="str">
        <f>"2026-03-28 10:26:18.161"</f>
        <v>2026-03-28 10:26:18.161</v>
      </c>
      <c r="H310" t="s">
        <v>21</v>
      </c>
      <c r="I310">
        <v>0</v>
      </c>
      <c r="J310" t="s">
        <v>30</v>
      </c>
    </row>
    <row r="311" spans="1:10" x14ac:dyDescent="0.25">
      <c r="A311" s="1">
        <v>59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"2026-03-28 10:20:53.641"</f>
        <v>2026-03-28 10:20:53.641</v>
      </c>
      <c r="H311" t="s">
        <v>21</v>
      </c>
      <c r="I311">
        <v>0</v>
      </c>
      <c r="J311" t="s">
        <v>31</v>
      </c>
    </row>
    <row r="312" spans="1:10" x14ac:dyDescent="0.25">
      <c r="A312" s="1">
        <v>62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"2026-03-28 09:03:25.623"</f>
        <v>2026-03-28 09:03:25.623</v>
      </c>
      <c r="H312" t="s">
        <v>21</v>
      </c>
    </row>
    <row r="313" spans="1:10" s="3" customFormat="1" x14ac:dyDescent="0.25">
      <c r="A313" s="2">
        <v>66</v>
      </c>
      <c r="B313" s="3" t="s">
        <v>22</v>
      </c>
      <c r="C313" s="3">
        <v>647</v>
      </c>
      <c r="D313" s="3">
        <v>1</v>
      </c>
      <c r="E313" s="3" t="s">
        <v>43</v>
      </c>
      <c r="F313" s="3" t="s">
        <v>44</v>
      </c>
      <c r="G313" s="3" t="str">
        <f>"2026-03-27 21:42:33.200"</f>
        <v>2026-03-27 21:42:33.200</v>
      </c>
      <c r="H313" s="3" t="s">
        <v>21</v>
      </c>
    </row>
    <row r="314" spans="1:10" s="3" customFormat="1" x14ac:dyDescent="0.25">
      <c r="A314" s="2">
        <v>67</v>
      </c>
      <c r="B314" s="3" t="s">
        <v>25</v>
      </c>
      <c r="C314" s="3">
        <v>647</v>
      </c>
      <c r="D314" s="3">
        <v>1</v>
      </c>
      <c r="E314" s="3" t="s">
        <v>43</v>
      </c>
      <c r="F314" s="3" t="s">
        <v>44</v>
      </c>
      <c r="G314" s="3" t="str">
        <f>"2026-03-27 21:42:31.000"</f>
        <v>2026-03-27 21:42:31.000</v>
      </c>
      <c r="H314" s="3" t="s">
        <v>21</v>
      </c>
      <c r="I314" s="3">
        <v>8.6199999999999992</v>
      </c>
      <c r="J314" s="3" t="s">
        <v>27</v>
      </c>
    </row>
    <row r="315" spans="1:10" s="3" customFormat="1" x14ac:dyDescent="0.25">
      <c r="A315" s="2">
        <v>72</v>
      </c>
      <c r="B315" s="3" t="s">
        <v>22</v>
      </c>
      <c r="C315" s="3">
        <v>647</v>
      </c>
      <c r="D315" s="3">
        <v>1</v>
      </c>
      <c r="E315" s="3" t="s">
        <v>43</v>
      </c>
      <c r="F315" s="3" t="s">
        <v>44</v>
      </c>
      <c r="G315" s="3" t="str">
        <f>"2026-03-27 03:35:24.100"</f>
        <v>2026-03-27 03:35:24.100</v>
      </c>
      <c r="H315" s="3" t="s">
        <v>21</v>
      </c>
    </row>
    <row r="316" spans="1:10" s="3" customFormat="1" x14ac:dyDescent="0.25">
      <c r="A316" s="2">
        <v>73</v>
      </c>
      <c r="B316" s="3" t="s">
        <v>25</v>
      </c>
      <c r="C316" s="3">
        <v>647</v>
      </c>
      <c r="D316" s="3">
        <v>1</v>
      </c>
      <c r="E316" s="3" t="s">
        <v>43</v>
      </c>
      <c r="F316" s="3" t="s">
        <v>44</v>
      </c>
      <c r="G316" s="3" t="str">
        <f>"2026-03-27 03:35:22.601"</f>
        <v>2026-03-27 03:35:22.601</v>
      </c>
      <c r="H316" s="3" t="s">
        <v>21</v>
      </c>
      <c r="I316" s="3">
        <v>8.01</v>
      </c>
      <c r="J316" s="3" t="s">
        <v>27</v>
      </c>
    </row>
    <row r="317" spans="1:10" x14ac:dyDescent="0.25">
      <c r="A317" s="1">
        <v>76</v>
      </c>
      <c r="B317" t="s">
        <v>22</v>
      </c>
      <c r="C317">
        <v>61</v>
      </c>
      <c r="D317">
        <v>2</v>
      </c>
      <c r="E317" t="s">
        <v>38</v>
      </c>
      <c r="F317" t="s">
        <v>39</v>
      </c>
      <c r="G317" t="str">
        <f>"2026-03-26 19:33:29.813"</f>
        <v>2026-03-26 19:33:29.813</v>
      </c>
      <c r="H317" t="s">
        <v>21</v>
      </c>
    </row>
    <row r="318" spans="1:10" x14ac:dyDescent="0.25">
      <c r="A318" s="1">
        <v>77</v>
      </c>
      <c r="B318" t="s">
        <v>32</v>
      </c>
      <c r="C318">
        <v>61</v>
      </c>
      <c r="D318">
        <v>2</v>
      </c>
      <c r="E318" t="s">
        <v>38</v>
      </c>
      <c r="F318" t="s">
        <v>39</v>
      </c>
      <c r="G318" t="str">
        <f>"2026-03-26 19:33:14.313"</f>
        <v>2026-03-26 19:33:14.313</v>
      </c>
      <c r="H318" t="s">
        <v>21</v>
      </c>
      <c r="I318">
        <v>30.45</v>
      </c>
      <c r="J318" t="s">
        <v>27</v>
      </c>
    </row>
    <row r="319" spans="1:10" x14ac:dyDescent="0.25">
      <c r="A319" s="1">
        <v>81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"2026-03-25 15:56:10.632"</f>
        <v>2026-03-25 15:56:10.632</v>
      </c>
      <c r="H319" t="s">
        <v>21</v>
      </c>
      <c r="I319">
        <v>0</v>
      </c>
      <c r="J319" t="s">
        <v>31</v>
      </c>
    </row>
    <row r="320" spans="1:10" x14ac:dyDescent="0.25">
      <c r="A320" s="1">
        <v>85</v>
      </c>
      <c r="B320" t="s">
        <v>22</v>
      </c>
      <c r="C320">
        <v>635</v>
      </c>
      <c r="D320">
        <v>1</v>
      </c>
      <c r="E320" t="s">
        <v>23</v>
      </c>
      <c r="F320" t="s">
        <v>24</v>
      </c>
      <c r="G320" t="str">
        <f>"2026-03-24 15:17:45.315"</f>
        <v>2026-03-24 15:17:45.315</v>
      </c>
      <c r="H320" t="s">
        <v>21</v>
      </c>
    </row>
    <row r="321" spans="1:10" x14ac:dyDescent="0.25">
      <c r="A321" s="1">
        <v>86</v>
      </c>
      <c r="B321" t="s">
        <v>25</v>
      </c>
      <c r="C321">
        <v>635</v>
      </c>
      <c r="D321">
        <v>1</v>
      </c>
      <c r="E321" t="s">
        <v>23</v>
      </c>
      <c r="F321" t="s">
        <v>24</v>
      </c>
      <c r="G321" t="str">
        <f>"2026-03-24 15:14:36.315"</f>
        <v>2026-03-24 15:14:36.315</v>
      </c>
      <c r="H321" t="s">
        <v>21</v>
      </c>
      <c r="I321">
        <v>2.4500000000000002</v>
      </c>
      <c r="J321" t="s">
        <v>36</v>
      </c>
    </row>
    <row r="322" spans="1:10" x14ac:dyDescent="0.25">
      <c r="A322" s="1">
        <v>87</v>
      </c>
      <c r="B322" t="s">
        <v>22</v>
      </c>
      <c r="C322">
        <v>635</v>
      </c>
      <c r="D322">
        <v>1</v>
      </c>
      <c r="E322" t="s">
        <v>23</v>
      </c>
      <c r="F322" t="s">
        <v>24</v>
      </c>
      <c r="G322" t="str">
        <f>"2026-03-24 08:27:50.215"</f>
        <v>2026-03-24 08:27:50.215</v>
      </c>
      <c r="H322" t="s">
        <v>21</v>
      </c>
    </row>
    <row r="323" spans="1:10" x14ac:dyDescent="0.25">
      <c r="A323" s="1">
        <v>88</v>
      </c>
      <c r="B323" t="s">
        <v>25</v>
      </c>
      <c r="C323">
        <v>635</v>
      </c>
      <c r="D323">
        <v>1</v>
      </c>
      <c r="E323" t="s">
        <v>23</v>
      </c>
      <c r="F323" t="s">
        <v>24</v>
      </c>
      <c r="G323" t="str">
        <f>"2026-03-24 08:21:06.315"</f>
        <v>2026-03-24 08:21:06.315</v>
      </c>
      <c r="H323" t="s">
        <v>21</v>
      </c>
      <c r="I323">
        <v>0.31</v>
      </c>
      <c r="J323" t="s">
        <v>36</v>
      </c>
    </row>
    <row r="324" spans="1:10" x14ac:dyDescent="0.25">
      <c r="A324" s="1">
        <v>91</v>
      </c>
      <c r="B324" t="s">
        <v>22</v>
      </c>
      <c r="C324">
        <v>635</v>
      </c>
      <c r="D324">
        <v>1</v>
      </c>
      <c r="E324" t="s">
        <v>23</v>
      </c>
      <c r="F324" t="s">
        <v>24</v>
      </c>
      <c r="G324" t="str">
        <f>"2026-03-23 19:14:44.015"</f>
        <v>2026-03-23 19:14:44.015</v>
      </c>
      <c r="H324" t="s">
        <v>21</v>
      </c>
    </row>
    <row r="325" spans="1:10" x14ac:dyDescent="0.25">
      <c r="A325" s="1">
        <v>92</v>
      </c>
      <c r="B325" t="s">
        <v>25</v>
      </c>
      <c r="C325">
        <v>635</v>
      </c>
      <c r="D325">
        <v>1</v>
      </c>
      <c r="E325" t="s">
        <v>23</v>
      </c>
      <c r="F325" t="s">
        <v>24</v>
      </c>
      <c r="G325" t="str">
        <f>"2026-03-23 19:11:42.015"</f>
        <v>2026-03-23 19:11:42.015</v>
      </c>
      <c r="H325" t="s">
        <v>21</v>
      </c>
      <c r="I325">
        <v>3.71</v>
      </c>
      <c r="J325" t="s">
        <v>36</v>
      </c>
    </row>
    <row r="326" spans="1:10" x14ac:dyDescent="0.25">
      <c r="A326" s="1">
        <v>94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"2026-03-23 11:07:38.633"</f>
        <v>2026-03-23 11:07:38.633</v>
      </c>
      <c r="H326" t="s">
        <v>21</v>
      </c>
    </row>
    <row r="327" spans="1:10" x14ac:dyDescent="0.25">
      <c r="A327" s="1">
        <v>96</v>
      </c>
      <c r="B327" t="s">
        <v>22</v>
      </c>
      <c r="C327">
        <v>635</v>
      </c>
      <c r="D327">
        <v>1</v>
      </c>
      <c r="E327" t="s">
        <v>23</v>
      </c>
      <c r="F327" t="s">
        <v>24</v>
      </c>
      <c r="G327" t="str">
        <f>"2026-03-23 09:21:00.887"</f>
        <v>2026-03-23 09:21:00.887</v>
      </c>
      <c r="H327" t="s">
        <v>21</v>
      </c>
    </row>
    <row r="328" spans="1:10" x14ac:dyDescent="0.25">
      <c r="A328" s="1">
        <v>97</v>
      </c>
      <c r="B328" t="s">
        <v>25</v>
      </c>
      <c r="C328">
        <v>635</v>
      </c>
      <c r="D328">
        <v>1</v>
      </c>
      <c r="E328" t="s">
        <v>23</v>
      </c>
      <c r="F328" t="s">
        <v>24</v>
      </c>
      <c r="G328" t="str">
        <f>"2026-03-23 09:15:53.887"</f>
        <v>2026-03-23 09:15:53.887</v>
      </c>
      <c r="H328" t="s">
        <v>21</v>
      </c>
      <c r="I328">
        <v>3.75</v>
      </c>
      <c r="J328" t="s">
        <v>36</v>
      </c>
    </row>
    <row r="329" spans="1:10" x14ac:dyDescent="0.25">
      <c r="A329" s="1">
        <v>98</v>
      </c>
      <c r="B329" t="s">
        <v>22</v>
      </c>
      <c r="C329">
        <v>635</v>
      </c>
      <c r="D329">
        <v>1</v>
      </c>
      <c r="E329" t="s">
        <v>23</v>
      </c>
      <c r="F329" t="s">
        <v>24</v>
      </c>
      <c r="G329" t="str">
        <f>"2026-03-22 10:48:33.387"</f>
        <v>2026-03-22 10:48:33.387</v>
      </c>
      <c r="H329" t="s">
        <v>21</v>
      </c>
    </row>
    <row r="330" spans="1:10" x14ac:dyDescent="0.25">
      <c r="A330" s="1">
        <v>99</v>
      </c>
      <c r="B330" t="s">
        <v>25</v>
      </c>
      <c r="C330">
        <v>635</v>
      </c>
      <c r="D330">
        <v>1</v>
      </c>
      <c r="E330" t="s">
        <v>23</v>
      </c>
      <c r="F330" t="s">
        <v>24</v>
      </c>
      <c r="G330" t="str">
        <f>"2026-03-22 10:45:20.387"</f>
        <v>2026-03-22 10:45:20.387</v>
      </c>
      <c r="H330" t="s">
        <v>21</v>
      </c>
      <c r="I330">
        <v>4.41</v>
      </c>
      <c r="J330" t="s">
        <v>36</v>
      </c>
    </row>
    <row r="331" spans="1:10" x14ac:dyDescent="0.25">
      <c r="A331" s="1">
        <v>2</v>
      </c>
      <c r="B331" t="s">
        <v>22</v>
      </c>
      <c r="C331">
        <v>635</v>
      </c>
      <c r="D331">
        <v>1</v>
      </c>
      <c r="E331" t="s">
        <v>23</v>
      </c>
      <c r="F331" t="s">
        <v>24</v>
      </c>
      <c r="G331" t="str">
        <f>"2026-03-21 14:51:36.687"</f>
        <v>2026-03-21 14:51:36.687</v>
      </c>
      <c r="H331" t="s">
        <v>21</v>
      </c>
    </row>
    <row r="332" spans="1:10" x14ac:dyDescent="0.25">
      <c r="A332" s="1">
        <v>3</v>
      </c>
      <c r="B332" t="s">
        <v>25</v>
      </c>
      <c r="C332">
        <v>635</v>
      </c>
      <c r="D332">
        <v>1</v>
      </c>
      <c r="E332" t="s">
        <v>23</v>
      </c>
      <c r="F332" t="s">
        <v>24</v>
      </c>
      <c r="G332" t="str">
        <f>"2026-03-21 14:47:34.188"</f>
        <v>2026-03-21 14:47:34.188</v>
      </c>
      <c r="H332" t="s">
        <v>21</v>
      </c>
      <c r="I332">
        <v>2.61</v>
      </c>
      <c r="J332" t="s">
        <v>36</v>
      </c>
    </row>
    <row r="333" spans="1:10" x14ac:dyDescent="0.25">
      <c r="A333" s="1">
        <v>4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"2026-03-21 12:18:23.596"</f>
        <v>2026-03-21 12:18:23.596</v>
      </c>
      <c r="H333" t="s">
        <v>21</v>
      </c>
      <c r="I333">
        <v>0</v>
      </c>
      <c r="J333" t="s">
        <v>31</v>
      </c>
    </row>
    <row r="334" spans="1:10" x14ac:dyDescent="0.25">
      <c r="A334" s="1">
        <v>7</v>
      </c>
      <c r="B334" t="s">
        <v>22</v>
      </c>
      <c r="C334">
        <v>635</v>
      </c>
      <c r="D334">
        <v>1</v>
      </c>
      <c r="E334" t="s">
        <v>23</v>
      </c>
      <c r="F334" t="s">
        <v>24</v>
      </c>
      <c r="G334" t="str">
        <f>"2026-03-20 01:38:57.408"</f>
        <v>2026-03-20 01:38:57.408</v>
      </c>
      <c r="H334" t="s">
        <v>21</v>
      </c>
    </row>
    <row r="335" spans="1:10" x14ac:dyDescent="0.25">
      <c r="A335" s="1">
        <v>8</v>
      </c>
      <c r="B335" t="s">
        <v>25</v>
      </c>
      <c r="C335">
        <v>635</v>
      </c>
      <c r="D335">
        <v>1</v>
      </c>
      <c r="E335" t="s">
        <v>23</v>
      </c>
      <c r="F335" t="s">
        <v>24</v>
      </c>
      <c r="G335" t="str">
        <f>"2026-03-20 01:36:21.908"</f>
        <v>2026-03-20 01:36:21.908</v>
      </c>
      <c r="H335" t="s">
        <v>21</v>
      </c>
      <c r="I335">
        <v>3.81</v>
      </c>
      <c r="J335" t="s">
        <v>36</v>
      </c>
    </row>
    <row r="336" spans="1:10" x14ac:dyDescent="0.25">
      <c r="A336" s="1">
        <v>9</v>
      </c>
      <c r="B336" t="s">
        <v>22</v>
      </c>
      <c r="C336">
        <v>61</v>
      </c>
      <c r="D336">
        <v>2</v>
      </c>
      <c r="E336" t="s">
        <v>38</v>
      </c>
      <c r="F336" t="s">
        <v>39</v>
      </c>
      <c r="G336" t="str">
        <f>"2026-03-19 18:29:32.521"</f>
        <v>2026-03-19 18:29:32.521</v>
      </c>
      <c r="H336" t="s">
        <v>21</v>
      </c>
    </row>
    <row r="337" spans="1:10" x14ac:dyDescent="0.25">
      <c r="A337" s="1">
        <v>10</v>
      </c>
      <c r="B337" t="s">
        <v>32</v>
      </c>
      <c r="C337">
        <v>61</v>
      </c>
      <c r="D337">
        <v>2</v>
      </c>
      <c r="E337" t="s">
        <v>38</v>
      </c>
      <c r="F337" t="s">
        <v>39</v>
      </c>
      <c r="G337" t="str">
        <f>"2026-03-19 18:29:28.121"</f>
        <v>2026-03-19 18:29:28.121</v>
      </c>
      <c r="H337" t="s">
        <v>21</v>
      </c>
      <c r="I337">
        <v>29.51</v>
      </c>
      <c r="J337" t="s">
        <v>27</v>
      </c>
    </row>
    <row r="338" spans="1:10" x14ac:dyDescent="0.25">
      <c r="A338" s="1">
        <v>11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"2026-03-18 23:20:37.626"</f>
        <v>2026-03-18 23:20:37.626</v>
      </c>
      <c r="H338" t="s">
        <v>21</v>
      </c>
      <c r="I338">
        <v>0</v>
      </c>
      <c r="J338" t="s">
        <v>31</v>
      </c>
    </row>
    <row r="339" spans="1:10" x14ac:dyDescent="0.25">
      <c r="A339" s="1">
        <v>12</v>
      </c>
      <c r="B339" t="s">
        <v>19</v>
      </c>
      <c r="C339">
        <v>706</v>
      </c>
      <c r="D339">
        <v>4</v>
      </c>
      <c r="E339" t="s">
        <v>28</v>
      </c>
      <c r="F339" t="s">
        <v>29</v>
      </c>
      <c r="G339" t="str">
        <f>"2026-03-18 05:50:00.849"</f>
        <v>2026-03-18 05:50:00.849</v>
      </c>
      <c r="H339" t="s">
        <v>21</v>
      </c>
      <c r="I339">
        <v>0</v>
      </c>
      <c r="J339" t="s">
        <v>30</v>
      </c>
    </row>
    <row r="340" spans="1:10" x14ac:dyDescent="0.25">
      <c r="A340" s="1">
        <v>13</v>
      </c>
      <c r="B340" t="s">
        <v>19</v>
      </c>
      <c r="C340">
        <v>706</v>
      </c>
      <c r="D340">
        <v>2</v>
      </c>
      <c r="E340" t="s">
        <v>28</v>
      </c>
      <c r="F340" t="s">
        <v>45</v>
      </c>
      <c r="G340" t="str">
        <f>"2026-03-18 05:46:19.529"</f>
        <v>2026-03-18 05:46:19.529</v>
      </c>
      <c r="H340" t="s">
        <v>21</v>
      </c>
      <c r="I340">
        <v>0</v>
      </c>
      <c r="J340" t="s">
        <v>30</v>
      </c>
    </row>
    <row r="341" spans="1:10" x14ac:dyDescent="0.25">
      <c r="A341" s="1">
        <v>14</v>
      </c>
      <c r="B341" t="s">
        <v>19</v>
      </c>
      <c r="C341">
        <v>706</v>
      </c>
      <c r="D341">
        <v>2</v>
      </c>
      <c r="E341" t="s">
        <v>28</v>
      </c>
      <c r="F341" t="s">
        <v>45</v>
      </c>
      <c r="G341" t="str">
        <f>"2026-03-18 05:45:55.129"</f>
        <v>2026-03-18 05:45:55.129</v>
      </c>
      <c r="H341" t="s">
        <v>21</v>
      </c>
      <c r="I341">
        <v>0</v>
      </c>
      <c r="J341" t="s">
        <v>30</v>
      </c>
    </row>
    <row r="342" spans="1:10" x14ac:dyDescent="0.25">
      <c r="A342" s="1">
        <v>15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"2026-03-18 05:45:31.579"</f>
        <v>2026-03-18 05:45:31.579</v>
      </c>
      <c r="H342" t="s">
        <v>21</v>
      </c>
      <c r="I342">
        <v>0</v>
      </c>
      <c r="J342" t="s">
        <v>31</v>
      </c>
    </row>
    <row r="343" spans="1:10" x14ac:dyDescent="0.25">
      <c r="A343" s="1">
        <v>16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"2026-03-18 03:25:46.869"</f>
        <v>2026-03-18 03:25:46.869</v>
      </c>
      <c r="H343" t="s">
        <v>21</v>
      </c>
      <c r="I343">
        <v>0</v>
      </c>
      <c r="J343" t="s">
        <v>31</v>
      </c>
    </row>
    <row r="344" spans="1:10" x14ac:dyDescent="0.25">
      <c r="A344" s="1">
        <v>20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"2026-03-16 22:02:05.763"</f>
        <v>2026-03-16 22:02:05.763</v>
      </c>
      <c r="H344" t="s">
        <v>21</v>
      </c>
    </row>
    <row r="345" spans="1:10" x14ac:dyDescent="0.25">
      <c r="A345" s="1">
        <v>25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"2026-03-16 08:55:43.741"</f>
        <v>2026-03-16 08:55:43.741</v>
      </c>
      <c r="H345" t="s">
        <v>21</v>
      </c>
      <c r="I345">
        <v>0</v>
      </c>
      <c r="J345" t="s">
        <v>31</v>
      </c>
    </row>
    <row r="346" spans="1:10" x14ac:dyDescent="0.25">
      <c r="A346" s="1">
        <v>28</v>
      </c>
      <c r="B346" t="s">
        <v>22</v>
      </c>
      <c r="C346">
        <v>635</v>
      </c>
      <c r="D346">
        <v>1</v>
      </c>
      <c r="E346" t="s">
        <v>23</v>
      </c>
      <c r="F346" t="s">
        <v>24</v>
      </c>
      <c r="G346" t="str">
        <f>"2026-03-16 02:39:07.657"</f>
        <v>2026-03-16 02:39:07.657</v>
      </c>
      <c r="H346" t="s">
        <v>21</v>
      </c>
    </row>
    <row r="347" spans="1:10" x14ac:dyDescent="0.25">
      <c r="A347" s="1">
        <v>29</v>
      </c>
      <c r="B347" t="s">
        <v>25</v>
      </c>
      <c r="C347">
        <v>635</v>
      </c>
      <c r="D347">
        <v>1</v>
      </c>
      <c r="E347" t="s">
        <v>23</v>
      </c>
      <c r="F347" t="s">
        <v>24</v>
      </c>
      <c r="G347" t="str">
        <f>"2026-03-16 02:32:54.157"</f>
        <v>2026-03-16 02:32:54.157</v>
      </c>
      <c r="H347" t="s">
        <v>21</v>
      </c>
      <c r="I347">
        <v>2.58</v>
      </c>
      <c r="J347" t="s">
        <v>26</v>
      </c>
    </row>
    <row r="348" spans="1:10" x14ac:dyDescent="0.25">
      <c r="A348" s="1">
        <v>31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"2026-03-15 13:28:26.598"</f>
        <v>2026-03-15 13:28:26.598</v>
      </c>
      <c r="H348" t="s">
        <v>21</v>
      </c>
      <c r="I348">
        <v>0</v>
      </c>
      <c r="J348" t="s">
        <v>31</v>
      </c>
    </row>
    <row r="349" spans="1:10" x14ac:dyDescent="0.25">
      <c r="A349" s="1">
        <v>32</v>
      </c>
      <c r="B349" t="s">
        <v>22</v>
      </c>
      <c r="C349">
        <v>635</v>
      </c>
      <c r="D349">
        <v>1</v>
      </c>
      <c r="E349" t="s">
        <v>23</v>
      </c>
      <c r="F349" t="s">
        <v>24</v>
      </c>
      <c r="G349" t="str">
        <f>"2026-03-15 11:27:26.527"</f>
        <v>2026-03-15 11:27:26.527</v>
      </c>
      <c r="H349" t="s">
        <v>21</v>
      </c>
    </row>
    <row r="350" spans="1:10" x14ac:dyDescent="0.25">
      <c r="A350" s="1">
        <v>33</v>
      </c>
      <c r="B350" t="s">
        <v>25</v>
      </c>
      <c r="C350">
        <v>635</v>
      </c>
      <c r="D350">
        <v>1</v>
      </c>
      <c r="E350" t="s">
        <v>23</v>
      </c>
      <c r="F350" t="s">
        <v>24</v>
      </c>
      <c r="G350" t="str">
        <f>"2026-03-15 11:24:22.526"</f>
        <v>2026-03-15 11:24:22.526</v>
      </c>
      <c r="H350" t="s">
        <v>21</v>
      </c>
      <c r="I350">
        <v>-0.05</v>
      </c>
      <c r="J350" t="s">
        <v>26</v>
      </c>
    </row>
    <row r="351" spans="1:10" x14ac:dyDescent="0.25">
      <c r="A351" s="1">
        <v>34</v>
      </c>
      <c r="B351" t="s">
        <v>22</v>
      </c>
      <c r="C351">
        <v>635</v>
      </c>
      <c r="D351">
        <v>1</v>
      </c>
      <c r="E351" t="s">
        <v>23</v>
      </c>
      <c r="F351" t="s">
        <v>24</v>
      </c>
      <c r="G351" t="str">
        <f>"2026-03-15 04:39:00.927"</f>
        <v>2026-03-15 04:39:00.927</v>
      </c>
      <c r="H351" t="s">
        <v>21</v>
      </c>
    </row>
    <row r="352" spans="1:10" x14ac:dyDescent="0.25">
      <c r="A352" s="1">
        <v>35</v>
      </c>
      <c r="B352" t="s">
        <v>25</v>
      </c>
      <c r="C352">
        <v>635</v>
      </c>
      <c r="D352">
        <v>1</v>
      </c>
      <c r="E352" t="s">
        <v>23</v>
      </c>
      <c r="F352" t="s">
        <v>24</v>
      </c>
      <c r="G352" t="str">
        <f>"2026-03-15 04:34:24.927"</f>
        <v>2026-03-15 04:34:24.927</v>
      </c>
      <c r="H352" t="s">
        <v>21</v>
      </c>
      <c r="I352">
        <v>5.87</v>
      </c>
      <c r="J352" t="s">
        <v>36</v>
      </c>
    </row>
    <row r="353" spans="1:10" x14ac:dyDescent="0.25">
      <c r="A353" s="1">
        <v>36</v>
      </c>
      <c r="B353" t="s">
        <v>22</v>
      </c>
      <c r="C353">
        <v>635</v>
      </c>
      <c r="D353">
        <v>1</v>
      </c>
      <c r="E353" t="s">
        <v>23</v>
      </c>
      <c r="F353" t="s">
        <v>24</v>
      </c>
      <c r="G353" t="str">
        <f>"2026-03-14 16:49:15.027"</f>
        <v>2026-03-14 16:49:15.027</v>
      </c>
      <c r="H353" t="s">
        <v>21</v>
      </c>
    </row>
    <row r="354" spans="1:10" x14ac:dyDescent="0.25">
      <c r="A354" s="1">
        <v>37</v>
      </c>
      <c r="B354" t="s">
        <v>25</v>
      </c>
      <c r="C354">
        <v>635</v>
      </c>
      <c r="D354">
        <v>1</v>
      </c>
      <c r="E354" t="s">
        <v>23</v>
      </c>
      <c r="F354" t="s">
        <v>24</v>
      </c>
      <c r="G354" t="str">
        <f>"2026-03-14 16:45:16.527"</f>
        <v>2026-03-14 16:45:16.527</v>
      </c>
      <c r="H354" t="s">
        <v>21</v>
      </c>
      <c r="I354">
        <v>5.3</v>
      </c>
      <c r="J354" t="s">
        <v>36</v>
      </c>
    </row>
    <row r="355" spans="1:10" x14ac:dyDescent="0.25">
      <c r="A355" s="1">
        <v>38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"2026-03-14 13:44:28.634"</f>
        <v>2026-03-14 13:44:28.634</v>
      </c>
      <c r="H355" t="s">
        <v>21</v>
      </c>
      <c r="I355">
        <v>0</v>
      </c>
      <c r="J355" t="s">
        <v>31</v>
      </c>
    </row>
    <row r="356" spans="1:10" x14ac:dyDescent="0.25">
      <c r="A356" s="1">
        <v>39</v>
      </c>
      <c r="B356" t="s">
        <v>22</v>
      </c>
      <c r="C356">
        <v>635</v>
      </c>
      <c r="D356">
        <v>1</v>
      </c>
      <c r="E356" t="s">
        <v>23</v>
      </c>
      <c r="F356" t="s">
        <v>24</v>
      </c>
      <c r="G356" t="str">
        <f>"2026-03-14 12:21:44.587"</f>
        <v>2026-03-14 12:21:44.587</v>
      </c>
      <c r="H356" t="s">
        <v>21</v>
      </c>
    </row>
    <row r="357" spans="1:10" x14ac:dyDescent="0.25">
      <c r="A357" s="1">
        <v>40</v>
      </c>
      <c r="B357" t="s">
        <v>25</v>
      </c>
      <c r="C357">
        <v>635</v>
      </c>
      <c r="D357">
        <v>1</v>
      </c>
      <c r="E357" t="s">
        <v>23</v>
      </c>
      <c r="F357" t="s">
        <v>24</v>
      </c>
      <c r="G357" t="str">
        <f>"2026-03-14 12:18:45.587"</f>
        <v>2026-03-14 12:18:45.587</v>
      </c>
      <c r="H357" t="s">
        <v>21</v>
      </c>
      <c r="I357">
        <v>4.34</v>
      </c>
      <c r="J357" t="s">
        <v>36</v>
      </c>
    </row>
    <row r="358" spans="1:10" x14ac:dyDescent="0.25">
      <c r="A358" s="1">
        <v>43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"2026-03-13 10:57:43.589"</f>
        <v>2026-03-13 10:57:43.589</v>
      </c>
      <c r="H358" t="s">
        <v>21</v>
      </c>
      <c r="I358">
        <v>0</v>
      </c>
      <c r="J358" t="s">
        <v>31</v>
      </c>
    </row>
    <row r="359" spans="1:10" x14ac:dyDescent="0.25">
      <c r="A359" s="1">
        <v>45</v>
      </c>
      <c r="B359" t="s">
        <v>22</v>
      </c>
      <c r="C359">
        <v>635</v>
      </c>
      <c r="D359">
        <v>1</v>
      </c>
      <c r="E359" t="s">
        <v>23</v>
      </c>
      <c r="F359" t="s">
        <v>24</v>
      </c>
      <c r="G359" t="str">
        <f>"2026-03-12 14:47:17.092"</f>
        <v>2026-03-12 14:47:17.092</v>
      </c>
      <c r="H359" t="s">
        <v>21</v>
      </c>
    </row>
    <row r="360" spans="1:10" x14ac:dyDescent="0.25">
      <c r="A360" s="1">
        <v>46</v>
      </c>
      <c r="B360" t="s">
        <v>25</v>
      </c>
      <c r="C360">
        <v>635</v>
      </c>
      <c r="D360">
        <v>1</v>
      </c>
      <c r="E360" t="s">
        <v>23</v>
      </c>
      <c r="F360" t="s">
        <v>24</v>
      </c>
      <c r="G360" t="str">
        <f>"2026-03-12 14:44:05.092"</f>
        <v>2026-03-12 14:44:05.092</v>
      </c>
      <c r="H360" t="s">
        <v>21</v>
      </c>
      <c r="I360">
        <v>5.87</v>
      </c>
      <c r="J360" t="s">
        <v>36</v>
      </c>
    </row>
    <row r="361" spans="1:10" x14ac:dyDescent="0.25">
      <c r="A361" s="1">
        <v>47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"2026-03-12 12:13:37.607"</f>
        <v>2026-03-12 12:13:37.607</v>
      </c>
      <c r="H361" t="s">
        <v>21</v>
      </c>
      <c r="I361">
        <v>0</v>
      </c>
      <c r="J361" t="s">
        <v>31</v>
      </c>
    </row>
    <row r="362" spans="1:10" x14ac:dyDescent="0.25">
      <c r="A362" s="1">
        <v>48</v>
      </c>
      <c r="B362" t="s">
        <v>22</v>
      </c>
      <c r="C362">
        <v>635</v>
      </c>
      <c r="D362">
        <v>1</v>
      </c>
      <c r="E362" t="s">
        <v>23</v>
      </c>
      <c r="F362" t="s">
        <v>24</v>
      </c>
      <c r="G362" t="str">
        <f>"2026-03-12 08:36:23.808"</f>
        <v>2026-03-12 08:36:23.808</v>
      </c>
      <c r="H362" t="s">
        <v>21</v>
      </c>
    </row>
    <row r="363" spans="1:10" x14ac:dyDescent="0.25">
      <c r="A363" s="1">
        <v>49</v>
      </c>
      <c r="B363" t="s">
        <v>25</v>
      </c>
      <c r="C363">
        <v>635</v>
      </c>
      <c r="D363">
        <v>1</v>
      </c>
      <c r="E363" t="s">
        <v>23</v>
      </c>
      <c r="F363" t="s">
        <v>24</v>
      </c>
      <c r="G363" t="str">
        <f>"2026-03-12 08:34:18.809"</f>
        <v>2026-03-12 08:34:18.809</v>
      </c>
      <c r="H363" t="s">
        <v>21</v>
      </c>
      <c r="I363">
        <v>0.02</v>
      </c>
      <c r="J363" t="s">
        <v>26</v>
      </c>
    </row>
    <row r="364" spans="1:10" x14ac:dyDescent="0.25">
      <c r="A364" s="1">
        <v>50</v>
      </c>
      <c r="B364" t="s">
        <v>22</v>
      </c>
      <c r="C364">
        <v>61</v>
      </c>
      <c r="D364">
        <v>2</v>
      </c>
      <c r="E364" t="s">
        <v>38</v>
      </c>
      <c r="F364" t="s">
        <v>39</v>
      </c>
      <c r="G364" t="str">
        <f>"2026-03-12 04:49:31.669"</f>
        <v>2026-03-12 04:49:31.669</v>
      </c>
      <c r="H364" t="s">
        <v>21</v>
      </c>
    </row>
    <row r="365" spans="1:10" x14ac:dyDescent="0.25">
      <c r="A365" s="1">
        <v>51</v>
      </c>
      <c r="B365" t="s">
        <v>32</v>
      </c>
      <c r="C365">
        <v>61</v>
      </c>
      <c r="D365">
        <v>2</v>
      </c>
      <c r="E365" t="s">
        <v>38</v>
      </c>
      <c r="F365" t="s">
        <v>39</v>
      </c>
      <c r="G365" t="str">
        <f>"2026-03-12 04:49:12.269"</f>
        <v>2026-03-12 04:49:12.269</v>
      </c>
      <c r="H365" t="s">
        <v>21</v>
      </c>
      <c r="I365">
        <v>30.49</v>
      </c>
      <c r="J365" t="s">
        <v>27</v>
      </c>
    </row>
    <row r="366" spans="1:10" x14ac:dyDescent="0.25">
      <c r="A366" s="1">
        <v>53</v>
      </c>
      <c r="B366" t="s">
        <v>19</v>
      </c>
      <c r="C366">
        <v>706</v>
      </c>
      <c r="D366">
        <v>4</v>
      </c>
      <c r="E366" t="s">
        <v>28</v>
      </c>
      <c r="F366" t="s">
        <v>29</v>
      </c>
      <c r="G366" t="str">
        <f>"2026-03-11 09:06:05.456"</f>
        <v>2026-03-11 09:06:05.456</v>
      </c>
      <c r="H366" t="s">
        <v>21</v>
      </c>
      <c r="I366">
        <v>0</v>
      </c>
      <c r="J366" t="s">
        <v>30</v>
      </c>
    </row>
    <row r="367" spans="1:10" x14ac:dyDescent="0.25">
      <c r="A367" s="1">
        <v>54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"2026-03-11 09:05:33.586"</f>
        <v>2026-03-11 09:05:33.586</v>
      </c>
      <c r="H367" t="s">
        <v>21</v>
      </c>
      <c r="I367">
        <v>0</v>
      </c>
      <c r="J367" t="s">
        <v>31</v>
      </c>
    </row>
    <row r="368" spans="1:10" x14ac:dyDescent="0.25">
      <c r="A368" s="1">
        <v>55</v>
      </c>
      <c r="B368" t="s">
        <v>22</v>
      </c>
      <c r="C368">
        <v>635</v>
      </c>
      <c r="D368">
        <v>1</v>
      </c>
      <c r="E368" t="s">
        <v>23</v>
      </c>
      <c r="F368" t="s">
        <v>24</v>
      </c>
      <c r="G368" t="str">
        <f>"2026-03-10 21:48:28.787"</f>
        <v>2026-03-10 21:48:28.787</v>
      </c>
      <c r="H368" t="s">
        <v>21</v>
      </c>
    </row>
    <row r="369" spans="1:10" x14ac:dyDescent="0.25">
      <c r="A369" s="1">
        <v>56</v>
      </c>
      <c r="B369" t="s">
        <v>25</v>
      </c>
      <c r="C369">
        <v>635</v>
      </c>
      <c r="D369">
        <v>1</v>
      </c>
      <c r="E369" t="s">
        <v>23</v>
      </c>
      <c r="F369" t="s">
        <v>24</v>
      </c>
      <c r="G369" t="str">
        <f>"2026-03-10 21:45:30.787"</f>
        <v>2026-03-10 21:45:30.787</v>
      </c>
      <c r="H369" t="s">
        <v>21</v>
      </c>
      <c r="I369">
        <v>2.5099999999999998</v>
      </c>
      <c r="J369" t="s">
        <v>36</v>
      </c>
    </row>
    <row r="370" spans="1:10" x14ac:dyDescent="0.25">
      <c r="A370" s="1">
        <v>57</v>
      </c>
      <c r="B370" t="s">
        <v>22</v>
      </c>
      <c r="C370">
        <v>635</v>
      </c>
      <c r="D370">
        <v>1</v>
      </c>
      <c r="E370" t="s">
        <v>23</v>
      </c>
      <c r="F370" t="s">
        <v>24</v>
      </c>
      <c r="G370" t="str">
        <f>"2026-03-10 19:18:47.187"</f>
        <v>2026-03-10 19:18:47.187</v>
      </c>
      <c r="H370" t="s">
        <v>21</v>
      </c>
    </row>
    <row r="371" spans="1:10" x14ac:dyDescent="0.25">
      <c r="A371" s="1">
        <v>58</v>
      </c>
      <c r="B371" t="s">
        <v>25</v>
      </c>
      <c r="C371">
        <v>635</v>
      </c>
      <c r="D371">
        <v>1</v>
      </c>
      <c r="E371" t="s">
        <v>23</v>
      </c>
      <c r="F371" t="s">
        <v>24</v>
      </c>
      <c r="G371" t="str">
        <f>"2026-03-10 19:16:53.687"</f>
        <v>2026-03-10 19:16:53.687</v>
      </c>
      <c r="H371" t="s">
        <v>21</v>
      </c>
      <c r="I371">
        <v>7.59</v>
      </c>
      <c r="J371" t="s">
        <v>36</v>
      </c>
    </row>
    <row r="372" spans="1:10" x14ac:dyDescent="0.25">
      <c r="A372" s="1">
        <v>59</v>
      </c>
      <c r="B372" t="s">
        <v>22</v>
      </c>
      <c r="C372">
        <v>635</v>
      </c>
      <c r="D372">
        <v>1</v>
      </c>
      <c r="E372" t="s">
        <v>23</v>
      </c>
      <c r="F372" t="s">
        <v>24</v>
      </c>
      <c r="G372" t="str">
        <f>"2026-03-10 10:25:16.387"</f>
        <v>2026-03-10 10:25:16.387</v>
      </c>
      <c r="H372" t="s">
        <v>21</v>
      </c>
    </row>
    <row r="373" spans="1:10" x14ac:dyDescent="0.25">
      <c r="A373" s="1">
        <v>60</v>
      </c>
      <c r="B373" t="s">
        <v>25</v>
      </c>
      <c r="C373">
        <v>635</v>
      </c>
      <c r="D373">
        <v>1</v>
      </c>
      <c r="E373" t="s">
        <v>23</v>
      </c>
      <c r="F373" t="s">
        <v>24</v>
      </c>
      <c r="G373" t="str">
        <f>"2026-03-10 10:20:39.387"</f>
        <v>2026-03-10 10:20:39.387</v>
      </c>
      <c r="H373" t="s">
        <v>21</v>
      </c>
      <c r="I373">
        <v>2.85</v>
      </c>
      <c r="J373" t="s">
        <v>27</v>
      </c>
    </row>
    <row r="374" spans="1:10" x14ac:dyDescent="0.25">
      <c r="A374" s="1">
        <v>62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"2026-03-09 17:59:20.676"</f>
        <v>2026-03-09 17:59:20.676</v>
      </c>
      <c r="H374" t="s">
        <v>21</v>
      </c>
      <c r="I374">
        <v>0</v>
      </c>
      <c r="J374" t="s">
        <v>31</v>
      </c>
    </row>
    <row r="375" spans="1:10" x14ac:dyDescent="0.25">
      <c r="A375" s="1">
        <v>65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"2026-03-08 13:56:23.587"</f>
        <v>2026-03-08 13:56:23.587</v>
      </c>
      <c r="H375" t="s">
        <v>21</v>
      </c>
      <c r="I375">
        <v>0</v>
      </c>
      <c r="J375" t="s">
        <v>31</v>
      </c>
    </row>
    <row r="376" spans="1:10" x14ac:dyDescent="0.25">
      <c r="A376" s="1">
        <v>68</v>
      </c>
      <c r="B376" t="s">
        <v>19</v>
      </c>
      <c r="C376">
        <v>706</v>
      </c>
      <c r="D376">
        <v>4</v>
      </c>
      <c r="E376" t="s">
        <v>28</v>
      </c>
      <c r="F376" t="s">
        <v>29</v>
      </c>
      <c r="G376" t="str">
        <f>"2026-03-07 14:09:56.396"</f>
        <v>2026-03-07 14:09:56.396</v>
      </c>
      <c r="H376" t="s">
        <v>21</v>
      </c>
      <c r="I376">
        <v>0</v>
      </c>
      <c r="J376" t="s">
        <v>30</v>
      </c>
    </row>
    <row r="377" spans="1:10" x14ac:dyDescent="0.25">
      <c r="A377" s="1">
        <v>69</v>
      </c>
      <c r="B377" t="s">
        <v>19</v>
      </c>
      <c r="C377">
        <v>706</v>
      </c>
      <c r="D377">
        <v>4</v>
      </c>
      <c r="E377" t="s">
        <v>28</v>
      </c>
      <c r="F377" t="s">
        <v>29</v>
      </c>
      <c r="G377" t="str">
        <f>"2026-03-07 14:08:58.996"</f>
        <v>2026-03-07 14:08:58.996</v>
      </c>
      <c r="H377" t="s">
        <v>21</v>
      </c>
      <c r="I377">
        <v>0</v>
      </c>
      <c r="J377" t="s">
        <v>30</v>
      </c>
    </row>
    <row r="378" spans="1:10" x14ac:dyDescent="0.25">
      <c r="A378" s="1">
        <v>70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"2026-03-07 13:44:03.596"</f>
        <v>2026-03-07 13:44:03.596</v>
      </c>
      <c r="H378" t="s">
        <v>21</v>
      </c>
      <c r="I378">
        <v>0</v>
      </c>
      <c r="J378" t="s">
        <v>31</v>
      </c>
    </row>
    <row r="379" spans="1:10" x14ac:dyDescent="0.25">
      <c r="A379" s="1">
        <v>74</v>
      </c>
      <c r="B379" t="s">
        <v>22</v>
      </c>
      <c r="C379">
        <v>635</v>
      </c>
      <c r="D379">
        <v>1</v>
      </c>
      <c r="E379" t="s">
        <v>23</v>
      </c>
      <c r="F379" t="s">
        <v>24</v>
      </c>
      <c r="G379" t="str">
        <f>"2026-03-06 22:27:43.662"</f>
        <v>2026-03-06 22:27:43.662</v>
      </c>
      <c r="H379" t="s">
        <v>21</v>
      </c>
    </row>
    <row r="380" spans="1:10" x14ac:dyDescent="0.25">
      <c r="A380" s="1">
        <v>75</v>
      </c>
      <c r="B380" t="s">
        <v>25</v>
      </c>
      <c r="C380">
        <v>635</v>
      </c>
      <c r="D380">
        <v>1</v>
      </c>
      <c r="E380" t="s">
        <v>23</v>
      </c>
      <c r="F380" t="s">
        <v>24</v>
      </c>
      <c r="G380" t="str">
        <f>"2026-03-06 22:21:40.162"</f>
        <v>2026-03-06 22:21:40.162</v>
      </c>
      <c r="H380" t="s">
        <v>21</v>
      </c>
      <c r="I380">
        <v>2.63</v>
      </c>
      <c r="J380" t="s">
        <v>36</v>
      </c>
    </row>
    <row r="381" spans="1:10" x14ac:dyDescent="0.25">
      <c r="A381" s="1">
        <v>76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"2026-03-06 19:55:55.604"</f>
        <v>2026-03-06 19:55:55.604</v>
      </c>
      <c r="H381" t="s">
        <v>21</v>
      </c>
      <c r="I381">
        <v>0</v>
      </c>
      <c r="J381" t="s">
        <v>31</v>
      </c>
    </row>
    <row r="382" spans="1:10" x14ac:dyDescent="0.25">
      <c r="A382" s="1">
        <v>77</v>
      </c>
      <c r="B382" t="s">
        <v>22</v>
      </c>
      <c r="C382">
        <v>635</v>
      </c>
      <c r="D382">
        <v>1</v>
      </c>
      <c r="E382" t="s">
        <v>23</v>
      </c>
      <c r="F382" t="s">
        <v>24</v>
      </c>
      <c r="G382" t="str">
        <f>"2026-03-06 15:25:19.190"</f>
        <v>2026-03-06 15:25:19.190</v>
      </c>
      <c r="H382" t="s">
        <v>21</v>
      </c>
    </row>
    <row r="383" spans="1:10" x14ac:dyDescent="0.25">
      <c r="A383" s="1">
        <v>78</v>
      </c>
      <c r="B383" t="s">
        <v>25</v>
      </c>
      <c r="C383">
        <v>635</v>
      </c>
      <c r="D383">
        <v>1</v>
      </c>
      <c r="E383" t="s">
        <v>23</v>
      </c>
      <c r="F383" t="s">
        <v>24</v>
      </c>
      <c r="G383" t="str">
        <f>"2026-03-06 15:20:50.690"</f>
        <v>2026-03-06 15:20:50.690</v>
      </c>
      <c r="H383" t="s">
        <v>21</v>
      </c>
      <c r="I383">
        <v>2.19</v>
      </c>
      <c r="J383" t="s">
        <v>27</v>
      </c>
    </row>
    <row r="384" spans="1:10" x14ac:dyDescent="0.25">
      <c r="A384" s="1">
        <v>81</v>
      </c>
      <c r="B384" t="s">
        <v>19</v>
      </c>
      <c r="C384">
        <v>706</v>
      </c>
      <c r="D384">
        <v>4</v>
      </c>
      <c r="E384" t="s">
        <v>28</v>
      </c>
      <c r="F384" t="s">
        <v>29</v>
      </c>
      <c r="G384" t="str">
        <f>"2026-03-06 13:14:21.459"</f>
        <v>2026-03-06 13:14:21.459</v>
      </c>
      <c r="H384" t="s">
        <v>21</v>
      </c>
      <c r="I384">
        <v>0</v>
      </c>
      <c r="J384" t="s">
        <v>30</v>
      </c>
    </row>
    <row r="385" spans="1:10" x14ac:dyDescent="0.25">
      <c r="A385" s="1">
        <v>82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"2026-03-06 13:13:39.579"</f>
        <v>2026-03-06 13:13:39.579</v>
      </c>
      <c r="H385" t="s">
        <v>21</v>
      </c>
      <c r="I385">
        <v>0</v>
      </c>
      <c r="J385" t="s">
        <v>31</v>
      </c>
    </row>
    <row r="386" spans="1:10" x14ac:dyDescent="0.25">
      <c r="A386" s="1">
        <v>86</v>
      </c>
      <c r="B386" t="s">
        <v>22</v>
      </c>
      <c r="C386">
        <v>98</v>
      </c>
      <c r="D386">
        <v>1</v>
      </c>
      <c r="E386" t="s">
        <v>46</v>
      </c>
      <c r="F386" t="s">
        <v>47</v>
      </c>
      <c r="G386" t="str">
        <f>"2026-03-03 16:54:09.097"</f>
        <v>2026-03-03 16:54:09.097</v>
      </c>
      <c r="H386" t="s">
        <v>21</v>
      </c>
    </row>
    <row r="387" spans="1:10" x14ac:dyDescent="0.25">
      <c r="A387" s="1">
        <v>87</v>
      </c>
      <c r="B387" t="s">
        <v>25</v>
      </c>
      <c r="C387">
        <v>98</v>
      </c>
      <c r="D387">
        <v>1</v>
      </c>
      <c r="E387" t="s">
        <v>46</v>
      </c>
      <c r="F387" t="s">
        <v>47</v>
      </c>
      <c r="G387" t="str">
        <f>"2026-03-03 16:54:08.097"</f>
        <v>2026-03-03 16:54:08.097</v>
      </c>
      <c r="H387" t="s">
        <v>21</v>
      </c>
      <c r="I387">
        <v>0</v>
      </c>
      <c r="J387" t="s">
        <v>26</v>
      </c>
    </row>
    <row r="388" spans="1:10" x14ac:dyDescent="0.25">
      <c r="A388" s="1">
        <v>88</v>
      </c>
      <c r="B388" t="s">
        <v>22</v>
      </c>
      <c r="C388">
        <v>98</v>
      </c>
      <c r="D388">
        <v>1</v>
      </c>
      <c r="E388" t="s">
        <v>46</v>
      </c>
      <c r="F388" t="s">
        <v>47</v>
      </c>
      <c r="G388" t="str">
        <f>"2026-03-03 16:54:04.297"</f>
        <v>2026-03-03 16:54:04.297</v>
      </c>
      <c r="H388" t="s">
        <v>21</v>
      </c>
    </row>
    <row r="389" spans="1:10" x14ac:dyDescent="0.25">
      <c r="A389" s="1">
        <v>89</v>
      </c>
      <c r="B389" t="s">
        <v>25</v>
      </c>
      <c r="C389">
        <v>98</v>
      </c>
      <c r="D389">
        <v>1</v>
      </c>
      <c r="E389" t="s">
        <v>46</v>
      </c>
      <c r="F389" t="s">
        <v>47</v>
      </c>
      <c r="G389" t="str">
        <f>"2026-03-03 16:54:02.297"</f>
        <v>2026-03-03 16:54:02.297</v>
      </c>
      <c r="H389" t="s">
        <v>21</v>
      </c>
      <c r="I389">
        <v>0</v>
      </c>
      <c r="J389" t="s">
        <v>26</v>
      </c>
    </row>
    <row r="390" spans="1:10" x14ac:dyDescent="0.25">
      <c r="A390" s="1">
        <v>90</v>
      </c>
      <c r="B390" t="s">
        <v>22</v>
      </c>
      <c r="C390">
        <v>98</v>
      </c>
      <c r="D390">
        <v>1</v>
      </c>
      <c r="E390" t="s">
        <v>46</v>
      </c>
      <c r="F390" t="s">
        <v>47</v>
      </c>
      <c r="G390" t="str">
        <f>"2026-03-03 16:54:02.097"</f>
        <v>2026-03-03 16:54:02.097</v>
      </c>
      <c r="H390" t="s">
        <v>21</v>
      </c>
    </row>
    <row r="391" spans="1:10" x14ac:dyDescent="0.25">
      <c r="A391" s="1">
        <v>91</v>
      </c>
      <c r="B391" t="s">
        <v>25</v>
      </c>
      <c r="C391">
        <v>98</v>
      </c>
      <c r="D391">
        <v>1</v>
      </c>
      <c r="E391" t="s">
        <v>46</v>
      </c>
      <c r="F391" t="s">
        <v>47</v>
      </c>
      <c r="G391" t="str">
        <f>"2026-03-03 16:54:01.097"</f>
        <v>2026-03-03 16:54:01.097</v>
      </c>
      <c r="H391" t="s">
        <v>21</v>
      </c>
      <c r="I391">
        <v>0</v>
      </c>
      <c r="J391" t="s">
        <v>26</v>
      </c>
    </row>
    <row r="392" spans="1:10" x14ac:dyDescent="0.25">
      <c r="A392" s="1">
        <v>92</v>
      </c>
      <c r="B392" t="s">
        <v>19</v>
      </c>
      <c r="C392">
        <v>706</v>
      </c>
      <c r="D392">
        <v>4</v>
      </c>
      <c r="E392" t="s">
        <v>28</v>
      </c>
      <c r="F392" t="s">
        <v>29</v>
      </c>
      <c r="G392" t="str">
        <f>"2026-03-03 13:03:00.866"</f>
        <v>2026-03-03 13:03:00.866</v>
      </c>
      <c r="H392" t="s">
        <v>21</v>
      </c>
      <c r="I392">
        <v>0</v>
      </c>
      <c r="J392" t="s">
        <v>30</v>
      </c>
    </row>
    <row r="393" spans="1:10" x14ac:dyDescent="0.25">
      <c r="A393" s="1">
        <v>93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"2026-03-03 13:02:44.586"</f>
        <v>2026-03-03 13:02:44.586</v>
      </c>
      <c r="H393" t="s">
        <v>21</v>
      </c>
    </row>
    <row r="394" spans="1:10" x14ac:dyDescent="0.25">
      <c r="A394" s="1">
        <v>4</v>
      </c>
      <c r="B394" t="s">
        <v>22</v>
      </c>
      <c r="C394">
        <v>635</v>
      </c>
      <c r="D394">
        <v>1</v>
      </c>
      <c r="E394" t="s">
        <v>23</v>
      </c>
      <c r="F394" t="s">
        <v>24</v>
      </c>
      <c r="G394" t="str">
        <f>"2026-03-01 14:20:29.383"</f>
        <v>2026-03-01 14:20:29.383</v>
      </c>
      <c r="H394" t="s">
        <v>21</v>
      </c>
    </row>
    <row r="395" spans="1:10" x14ac:dyDescent="0.25">
      <c r="A395" s="1">
        <v>5</v>
      </c>
      <c r="B395" t="s">
        <v>25</v>
      </c>
      <c r="C395">
        <v>635</v>
      </c>
      <c r="D395">
        <v>1</v>
      </c>
      <c r="E395" t="s">
        <v>23</v>
      </c>
      <c r="F395" t="s">
        <v>24</v>
      </c>
      <c r="G395" t="str">
        <f>"2026-03-01 14:13:24.883"</f>
        <v>2026-03-01 14:13:24.883</v>
      </c>
      <c r="H395" t="s">
        <v>21</v>
      </c>
      <c r="I395">
        <v>2.5</v>
      </c>
      <c r="J395" t="s">
        <v>36</v>
      </c>
    </row>
    <row r="396" spans="1:10" x14ac:dyDescent="0.25">
      <c r="A396" s="1">
        <v>6</v>
      </c>
      <c r="B396" t="s">
        <v>22</v>
      </c>
      <c r="C396">
        <v>635</v>
      </c>
      <c r="D396">
        <v>1</v>
      </c>
      <c r="E396" t="s">
        <v>23</v>
      </c>
      <c r="F396" t="s">
        <v>24</v>
      </c>
      <c r="G396" t="str">
        <f>"2026-03-01 13:37:02.483"</f>
        <v>2026-03-01 13:37:02.483</v>
      </c>
      <c r="H396" t="s">
        <v>21</v>
      </c>
    </row>
    <row r="397" spans="1:10" x14ac:dyDescent="0.25">
      <c r="A397" s="1">
        <v>7</v>
      </c>
      <c r="B397" t="s">
        <v>25</v>
      </c>
      <c r="C397">
        <v>635</v>
      </c>
      <c r="D397">
        <v>1</v>
      </c>
      <c r="E397" t="s">
        <v>23</v>
      </c>
      <c r="F397" t="s">
        <v>24</v>
      </c>
      <c r="G397" t="str">
        <f>"2026-03-01 13:27:43.983"</f>
        <v>2026-03-01 13:27:43.983</v>
      </c>
      <c r="H397" t="s">
        <v>21</v>
      </c>
      <c r="I397">
        <v>2.95</v>
      </c>
      <c r="J397" t="s">
        <v>26</v>
      </c>
    </row>
    <row r="398" spans="1:10" x14ac:dyDescent="0.25">
      <c r="A398" s="1">
        <v>8</v>
      </c>
      <c r="B398" t="s">
        <v>22</v>
      </c>
      <c r="C398">
        <v>635</v>
      </c>
      <c r="D398">
        <v>1</v>
      </c>
      <c r="E398" t="s">
        <v>23</v>
      </c>
      <c r="F398" t="s">
        <v>24</v>
      </c>
      <c r="G398" t="str">
        <f>"2026-03-01 13:10:30.983"</f>
        <v>2026-03-01 13:10:30.983</v>
      </c>
      <c r="H398" t="s">
        <v>21</v>
      </c>
    </row>
    <row r="399" spans="1:10" x14ac:dyDescent="0.25">
      <c r="A399" s="1">
        <v>9</v>
      </c>
      <c r="B399" t="s">
        <v>25</v>
      </c>
      <c r="C399">
        <v>635</v>
      </c>
      <c r="D399">
        <v>1</v>
      </c>
      <c r="E399" t="s">
        <v>23</v>
      </c>
      <c r="F399" t="s">
        <v>24</v>
      </c>
      <c r="G399" t="str">
        <f>"2026-03-01 12:44:42.583"</f>
        <v>2026-03-01 12:44:42.583</v>
      </c>
      <c r="H399" t="s">
        <v>21</v>
      </c>
      <c r="I399">
        <v>-0.66</v>
      </c>
      <c r="J399" t="s">
        <v>26</v>
      </c>
    </row>
    <row r="400" spans="1:10" x14ac:dyDescent="0.25">
      <c r="A400" s="1">
        <v>18</v>
      </c>
      <c r="B400" t="s">
        <v>22</v>
      </c>
      <c r="C400">
        <v>635</v>
      </c>
      <c r="D400">
        <v>1</v>
      </c>
      <c r="E400" t="s">
        <v>23</v>
      </c>
      <c r="F400" t="s">
        <v>24</v>
      </c>
      <c r="G400" t="str">
        <f>"2026-02-28 12:08:05.883"</f>
        <v>2026-02-28 12:08:05.883</v>
      </c>
      <c r="H400" t="s">
        <v>21</v>
      </c>
    </row>
    <row r="401" spans="1:10" x14ac:dyDescent="0.25">
      <c r="A401" s="1">
        <v>19</v>
      </c>
      <c r="B401" t="s">
        <v>25</v>
      </c>
      <c r="C401">
        <v>635</v>
      </c>
      <c r="D401">
        <v>1</v>
      </c>
      <c r="E401" t="s">
        <v>23</v>
      </c>
      <c r="F401" t="s">
        <v>24</v>
      </c>
      <c r="G401" t="str">
        <f>"2026-02-28 12:05:57.884"</f>
        <v>2026-02-28 12:05:57.884</v>
      </c>
      <c r="H401" t="s">
        <v>21</v>
      </c>
      <c r="I401">
        <v>2.77</v>
      </c>
      <c r="J401" t="s">
        <v>36</v>
      </c>
    </row>
    <row r="402" spans="1:10" x14ac:dyDescent="0.25">
      <c r="A402" s="1">
        <v>21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"2026-02-28 11:12:32.564"</f>
        <v>2026-02-28 11:12:32.564</v>
      </c>
      <c r="H402" t="s">
        <v>21</v>
      </c>
      <c r="I402">
        <v>0</v>
      </c>
      <c r="J402" t="s">
        <v>31</v>
      </c>
    </row>
    <row r="403" spans="1:10" s="3" customFormat="1" x14ac:dyDescent="0.25">
      <c r="A403" s="2">
        <v>22</v>
      </c>
      <c r="B403" s="3" t="s">
        <v>22</v>
      </c>
      <c r="C403" s="3">
        <v>647</v>
      </c>
      <c r="D403" s="3">
        <v>1</v>
      </c>
      <c r="E403" s="3" t="s">
        <v>43</v>
      </c>
      <c r="F403" s="3" t="s">
        <v>44</v>
      </c>
      <c r="G403" s="3" t="str">
        <f>"2026-02-28 05:16:21.995"</f>
        <v>2026-02-28 05:16:21.995</v>
      </c>
      <c r="H403" s="3" t="s">
        <v>21</v>
      </c>
    </row>
    <row r="404" spans="1:10" s="3" customFormat="1" x14ac:dyDescent="0.25">
      <c r="A404" s="2">
        <v>23</v>
      </c>
      <c r="B404" s="3" t="s">
        <v>25</v>
      </c>
      <c r="C404" s="3">
        <v>647</v>
      </c>
      <c r="D404" s="3">
        <v>1</v>
      </c>
      <c r="E404" s="3" t="s">
        <v>43</v>
      </c>
      <c r="F404" s="3" t="s">
        <v>44</v>
      </c>
      <c r="G404" s="3" t="str">
        <f>"2026-02-28 05:16:11.895"</f>
        <v>2026-02-28 05:16:11.895</v>
      </c>
      <c r="H404" s="3" t="s">
        <v>21</v>
      </c>
      <c r="I404" s="3">
        <v>19.59</v>
      </c>
      <c r="J404" s="3" t="s">
        <v>27</v>
      </c>
    </row>
    <row r="405" spans="1:10" x14ac:dyDescent="0.25">
      <c r="A405" s="1">
        <v>25</v>
      </c>
      <c r="B405" t="s">
        <v>22</v>
      </c>
      <c r="C405">
        <v>635</v>
      </c>
      <c r="D405">
        <v>1</v>
      </c>
      <c r="E405" t="s">
        <v>23</v>
      </c>
      <c r="F405" t="s">
        <v>24</v>
      </c>
      <c r="G405" t="str">
        <f>"2026-02-27 22:14:09.395"</f>
        <v>2026-02-27 22:14:09.395</v>
      </c>
      <c r="H405" t="s">
        <v>21</v>
      </c>
    </row>
    <row r="406" spans="1:10" x14ac:dyDescent="0.25">
      <c r="A406" s="1">
        <v>26</v>
      </c>
      <c r="B406" t="s">
        <v>25</v>
      </c>
      <c r="C406">
        <v>635</v>
      </c>
      <c r="D406">
        <v>1</v>
      </c>
      <c r="E406" t="s">
        <v>23</v>
      </c>
      <c r="F406" t="s">
        <v>24</v>
      </c>
      <c r="G406" t="str">
        <f>"2026-02-27 22:09:39.395"</f>
        <v>2026-02-27 22:09:39.395</v>
      </c>
      <c r="H406" t="s">
        <v>21</v>
      </c>
      <c r="I406">
        <v>6.4</v>
      </c>
      <c r="J406" t="s">
        <v>36</v>
      </c>
    </row>
    <row r="407" spans="1:10" s="3" customFormat="1" x14ac:dyDescent="0.25">
      <c r="A407" s="2">
        <v>27</v>
      </c>
      <c r="B407" s="3" t="s">
        <v>22</v>
      </c>
      <c r="C407" s="3">
        <v>647</v>
      </c>
      <c r="D407" s="3">
        <v>1</v>
      </c>
      <c r="E407" s="3" t="s">
        <v>43</v>
      </c>
      <c r="F407" s="3" t="s">
        <v>44</v>
      </c>
      <c r="G407" s="3" t="str">
        <f>"2026-02-27 19:30:53.095"</f>
        <v>2026-02-27 19:30:53.095</v>
      </c>
      <c r="H407" s="3" t="s">
        <v>21</v>
      </c>
    </row>
    <row r="408" spans="1:10" s="3" customFormat="1" x14ac:dyDescent="0.25">
      <c r="A408" s="2">
        <v>28</v>
      </c>
      <c r="B408" s="3" t="s">
        <v>25</v>
      </c>
      <c r="C408" s="3">
        <v>647</v>
      </c>
      <c r="D408" s="3">
        <v>1</v>
      </c>
      <c r="E408" s="3" t="s">
        <v>43</v>
      </c>
      <c r="F408" s="3" t="s">
        <v>44</v>
      </c>
      <c r="G408" s="3" t="str">
        <f>"2026-02-27 19:30:45.395"</f>
        <v>2026-02-27 19:30:45.395</v>
      </c>
      <c r="H408" s="3" t="s">
        <v>21</v>
      </c>
      <c r="I408" s="3">
        <v>10.87</v>
      </c>
      <c r="J408" s="3" t="s">
        <v>27</v>
      </c>
    </row>
    <row r="409" spans="1:10" s="3" customFormat="1" x14ac:dyDescent="0.25">
      <c r="A409" s="2">
        <v>29</v>
      </c>
      <c r="B409" s="3" t="s">
        <v>22</v>
      </c>
      <c r="C409" s="3">
        <v>647</v>
      </c>
      <c r="D409" s="3">
        <v>1</v>
      </c>
      <c r="E409" s="3" t="s">
        <v>43</v>
      </c>
      <c r="F409" s="3" t="s">
        <v>44</v>
      </c>
      <c r="G409" s="3" t="str">
        <f>"2026-02-27 19:28:31.895"</f>
        <v>2026-02-27 19:28:31.895</v>
      </c>
      <c r="H409" s="3" t="s">
        <v>21</v>
      </c>
    </row>
    <row r="410" spans="1:10" s="3" customFormat="1" x14ac:dyDescent="0.25">
      <c r="A410" s="2">
        <v>30</v>
      </c>
      <c r="B410" s="3" t="s">
        <v>25</v>
      </c>
      <c r="C410" s="3">
        <v>647</v>
      </c>
      <c r="D410" s="3">
        <v>1</v>
      </c>
      <c r="E410" s="3" t="s">
        <v>43</v>
      </c>
      <c r="F410" s="3" t="s">
        <v>44</v>
      </c>
      <c r="G410" s="3" t="str">
        <f>"2026-02-27 19:28:21.995"</f>
        <v>2026-02-27 19:28:21.995</v>
      </c>
      <c r="H410" s="3" t="s">
        <v>21</v>
      </c>
      <c r="I410" s="3">
        <v>10.16</v>
      </c>
      <c r="J410" s="3" t="s">
        <v>27</v>
      </c>
    </row>
    <row r="411" spans="1:10" s="3" customFormat="1" x14ac:dyDescent="0.25">
      <c r="A411" s="2">
        <v>31</v>
      </c>
      <c r="B411" s="3" t="s">
        <v>22</v>
      </c>
      <c r="C411" s="3">
        <v>647</v>
      </c>
      <c r="D411" s="3">
        <v>1</v>
      </c>
      <c r="E411" s="3" t="s">
        <v>43</v>
      </c>
      <c r="F411" s="3" t="s">
        <v>44</v>
      </c>
      <c r="G411" s="3" t="str">
        <f>"2026-02-27 19:26:27.095"</f>
        <v>2026-02-27 19:26:27.095</v>
      </c>
      <c r="H411" s="3" t="s">
        <v>21</v>
      </c>
    </row>
    <row r="412" spans="1:10" s="3" customFormat="1" x14ac:dyDescent="0.25">
      <c r="A412" s="2">
        <v>32</v>
      </c>
      <c r="B412" s="3" t="s">
        <v>25</v>
      </c>
      <c r="C412" s="3">
        <v>647</v>
      </c>
      <c r="D412" s="3">
        <v>1</v>
      </c>
      <c r="E412" s="3" t="s">
        <v>43</v>
      </c>
      <c r="F412" s="3" t="s">
        <v>44</v>
      </c>
      <c r="G412" s="3" t="str">
        <f>"2026-02-27 19:26:22.595"</f>
        <v>2026-02-27 19:26:22.595</v>
      </c>
      <c r="H412" s="3" t="s">
        <v>21</v>
      </c>
      <c r="I412" s="3">
        <v>10.92</v>
      </c>
      <c r="J412" s="3" t="s">
        <v>27</v>
      </c>
    </row>
    <row r="413" spans="1:10" s="3" customFormat="1" x14ac:dyDescent="0.25">
      <c r="A413" s="2">
        <v>33</v>
      </c>
      <c r="B413" s="3" t="s">
        <v>22</v>
      </c>
      <c r="C413" s="3">
        <v>647</v>
      </c>
      <c r="D413" s="3">
        <v>1</v>
      </c>
      <c r="E413" s="3" t="s">
        <v>43</v>
      </c>
      <c r="F413" s="3" t="s">
        <v>44</v>
      </c>
      <c r="G413" s="3" t="str">
        <f>"2026-02-27 16:43:56.395"</f>
        <v>2026-02-27 16:43:56.395</v>
      </c>
      <c r="H413" s="3" t="s">
        <v>21</v>
      </c>
    </row>
    <row r="414" spans="1:10" s="3" customFormat="1" x14ac:dyDescent="0.25">
      <c r="A414" s="2">
        <v>34</v>
      </c>
      <c r="B414" s="3" t="s">
        <v>25</v>
      </c>
      <c r="C414" s="3">
        <v>647</v>
      </c>
      <c r="D414" s="3">
        <v>1</v>
      </c>
      <c r="E414" s="3" t="s">
        <v>43</v>
      </c>
      <c r="F414" s="3" t="s">
        <v>44</v>
      </c>
      <c r="G414" s="3" t="str">
        <f>"2026-02-27 16:43:51.695"</f>
        <v>2026-02-27 16:43:51.695</v>
      </c>
      <c r="H414" s="3" t="s">
        <v>21</v>
      </c>
      <c r="I414" s="3">
        <v>27.67</v>
      </c>
      <c r="J414" s="3" t="s">
        <v>27</v>
      </c>
    </row>
    <row r="415" spans="1:10" s="3" customFormat="1" x14ac:dyDescent="0.25">
      <c r="A415" s="2">
        <v>35</v>
      </c>
      <c r="B415" s="3" t="s">
        <v>22</v>
      </c>
      <c r="C415" s="3">
        <v>647</v>
      </c>
      <c r="D415" s="3">
        <v>1</v>
      </c>
      <c r="E415" s="3" t="s">
        <v>43</v>
      </c>
      <c r="F415" s="3" t="s">
        <v>44</v>
      </c>
      <c r="G415" s="3" t="str">
        <f>"2026-02-27 14:25:40.595"</f>
        <v>2026-02-27 14:25:40.595</v>
      </c>
      <c r="H415" s="3" t="s">
        <v>21</v>
      </c>
    </row>
    <row r="416" spans="1:10" s="3" customFormat="1" x14ac:dyDescent="0.25">
      <c r="A416" s="2">
        <v>36</v>
      </c>
      <c r="B416" s="3" t="s">
        <v>25</v>
      </c>
      <c r="C416" s="3">
        <v>647</v>
      </c>
      <c r="D416" s="3">
        <v>1</v>
      </c>
      <c r="E416" s="3" t="s">
        <v>43</v>
      </c>
      <c r="F416" s="3" t="s">
        <v>44</v>
      </c>
      <c r="G416" s="3" t="str">
        <f>"2026-02-27 14:25:36.895"</f>
        <v>2026-02-27 14:25:36.895</v>
      </c>
      <c r="H416" s="3" t="s">
        <v>21</v>
      </c>
      <c r="I416" s="3">
        <v>17.48</v>
      </c>
      <c r="J416" s="3" t="s">
        <v>27</v>
      </c>
    </row>
    <row r="417" spans="1:10" s="3" customFormat="1" x14ac:dyDescent="0.25">
      <c r="A417" s="2">
        <v>37</v>
      </c>
      <c r="B417" s="3" t="s">
        <v>22</v>
      </c>
      <c r="C417" s="3">
        <v>647</v>
      </c>
      <c r="D417" s="3">
        <v>1</v>
      </c>
      <c r="E417" s="3" t="s">
        <v>43</v>
      </c>
      <c r="F417" s="3" t="s">
        <v>44</v>
      </c>
      <c r="G417" s="3" t="str">
        <f>"2026-02-27 14:24:34.395"</f>
        <v>2026-02-27 14:24:34.395</v>
      </c>
      <c r="H417" s="3" t="s">
        <v>21</v>
      </c>
    </row>
    <row r="418" spans="1:10" s="3" customFormat="1" x14ac:dyDescent="0.25">
      <c r="A418" s="2">
        <v>38</v>
      </c>
      <c r="B418" s="3" t="s">
        <v>25</v>
      </c>
      <c r="C418" s="3">
        <v>647</v>
      </c>
      <c r="D418" s="3">
        <v>1</v>
      </c>
      <c r="E418" s="3" t="s">
        <v>43</v>
      </c>
      <c r="F418" s="3" t="s">
        <v>44</v>
      </c>
      <c r="G418" s="3" t="str">
        <f>"2026-02-27 14:24:33.295"</f>
        <v>2026-02-27 14:24:33.295</v>
      </c>
      <c r="H418" s="3" t="s">
        <v>21</v>
      </c>
      <c r="I418" s="3">
        <v>9.34</v>
      </c>
      <c r="J418" s="3" t="s">
        <v>27</v>
      </c>
    </row>
    <row r="419" spans="1:10" s="3" customFormat="1" x14ac:dyDescent="0.25">
      <c r="A419" s="2">
        <v>39</v>
      </c>
      <c r="B419" s="3" t="s">
        <v>22</v>
      </c>
      <c r="C419" s="3">
        <v>647</v>
      </c>
      <c r="D419" s="3">
        <v>1</v>
      </c>
      <c r="E419" s="3" t="s">
        <v>43</v>
      </c>
      <c r="F419" s="3" t="s">
        <v>44</v>
      </c>
      <c r="G419" s="3" t="str">
        <f>"2026-02-27 14:24:28.595"</f>
        <v>2026-02-27 14:24:28.595</v>
      </c>
      <c r="H419" s="3" t="s">
        <v>21</v>
      </c>
    </row>
    <row r="420" spans="1:10" s="3" customFormat="1" x14ac:dyDescent="0.25">
      <c r="A420" s="2">
        <v>40</v>
      </c>
      <c r="B420" s="3" t="s">
        <v>25</v>
      </c>
      <c r="C420" s="3">
        <v>647</v>
      </c>
      <c r="D420" s="3">
        <v>1</v>
      </c>
      <c r="E420" s="3" t="s">
        <v>43</v>
      </c>
      <c r="F420" s="3" t="s">
        <v>44</v>
      </c>
      <c r="G420" s="3" t="str">
        <f>"2026-02-27 14:24:26.095"</f>
        <v>2026-02-27 14:24:26.095</v>
      </c>
      <c r="H420" s="3" t="s">
        <v>21</v>
      </c>
      <c r="I420" s="3">
        <v>22.03</v>
      </c>
      <c r="J420" s="3" t="s">
        <v>27</v>
      </c>
    </row>
    <row r="421" spans="1:10" s="3" customFormat="1" x14ac:dyDescent="0.25">
      <c r="A421" s="2">
        <v>41</v>
      </c>
      <c r="B421" s="3" t="s">
        <v>22</v>
      </c>
      <c r="C421" s="3">
        <v>647</v>
      </c>
      <c r="D421" s="3">
        <v>1</v>
      </c>
      <c r="E421" s="3" t="s">
        <v>43</v>
      </c>
      <c r="F421" s="3" t="s">
        <v>44</v>
      </c>
      <c r="G421" s="3" t="str">
        <f>"2026-02-27 14:04:54.995"</f>
        <v>2026-02-27 14:04:54.995</v>
      </c>
      <c r="H421" s="3" t="s">
        <v>21</v>
      </c>
    </row>
    <row r="422" spans="1:10" s="3" customFormat="1" x14ac:dyDescent="0.25">
      <c r="A422" s="2">
        <v>42</v>
      </c>
      <c r="B422" s="3" t="s">
        <v>25</v>
      </c>
      <c r="C422" s="3">
        <v>647</v>
      </c>
      <c r="D422" s="3">
        <v>1</v>
      </c>
      <c r="E422" s="3" t="s">
        <v>43</v>
      </c>
      <c r="F422" s="3" t="s">
        <v>44</v>
      </c>
      <c r="G422" s="3" t="str">
        <f>"2026-02-27 14:04:52.095"</f>
        <v>2026-02-27 14:04:52.095</v>
      </c>
      <c r="H422" s="3" t="s">
        <v>21</v>
      </c>
      <c r="I422" s="3">
        <v>11.32</v>
      </c>
      <c r="J422" s="3" t="s">
        <v>27</v>
      </c>
    </row>
    <row r="423" spans="1:10" s="3" customFormat="1" x14ac:dyDescent="0.25">
      <c r="A423" s="2">
        <v>43</v>
      </c>
      <c r="B423" s="3" t="s">
        <v>22</v>
      </c>
      <c r="C423" s="3">
        <v>647</v>
      </c>
      <c r="D423" s="3">
        <v>1</v>
      </c>
      <c r="E423" s="3" t="s">
        <v>43</v>
      </c>
      <c r="F423" s="3" t="s">
        <v>44</v>
      </c>
      <c r="G423" s="3" t="str">
        <f>"2026-02-27 13:12:24.294"</f>
        <v>2026-02-27 13:12:24.294</v>
      </c>
      <c r="H423" s="3" t="s">
        <v>21</v>
      </c>
    </row>
    <row r="424" spans="1:10" s="3" customFormat="1" x14ac:dyDescent="0.25">
      <c r="A424" s="2">
        <v>44</v>
      </c>
      <c r="B424" s="3" t="s">
        <v>25</v>
      </c>
      <c r="C424" s="3">
        <v>647</v>
      </c>
      <c r="D424" s="3">
        <v>1</v>
      </c>
      <c r="E424" s="3" t="s">
        <v>43</v>
      </c>
      <c r="F424" s="3" t="s">
        <v>44</v>
      </c>
      <c r="G424" s="3" t="str">
        <f>"2026-02-27 13:12:21.394"</f>
        <v>2026-02-27 13:12:21.394</v>
      </c>
      <c r="H424" s="3" t="s">
        <v>21</v>
      </c>
      <c r="I424" s="3">
        <v>8.36</v>
      </c>
      <c r="J424" s="3" t="s">
        <v>27</v>
      </c>
    </row>
    <row r="425" spans="1:10" s="3" customFormat="1" x14ac:dyDescent="0.25">
      <c r="A425" s="2">
        <v>45</v>
      </c>
      <c r="B425" s="3" t="s">
        <v>22</v>
      </c>
      <c r="C425" s="3">
        <v>647</v>
      </c>
      <c r="D425" s="3">
        <v>1</v>
      </c>
      <c r="E425" s="3" t="s">
        <v>43</v>
      </c>
      <c r="F425" s="3" t="s">
        <v>44</v>
      </c>
      <c r="G425" s="3" t="str">
        <f>"2026-02-27 12:38:53.395"</f>
        <v>2026-02-27 12:38:53.395</v>
      </c>
      <c r="H425" s="3" t="s">
        <v>21</v>
      </c>
    </row>
    <row r="426" spans="1:10" s="3" customFormat="1" x14ac:dyDescent="0.25">
      <c r="A426" s="2">
        <v>46</v>
      </c>
      <c r="B426" s="3" t="s">
        <v>25</v>
      </c>
      <c r="C426" s="3">
        <v>647</v>
      </c>
      <c r="D426" s="3">
        <v>1</v>
      </c>
      <c r="E426" s="3" t="s">
        <v>43</v>
      </c>
      <c r="F426" s="3" t="s">
        <v>44</v>
      </c>
      <c r="G426" s="3" t="str">
        <f>"2026-02-27 12:38:46.895"</f>
        <v>2026-02-27 12:38:46.895</v>
      </c>
      <c r="H426" s="3" t="s">
        <v>21</v>
      </c>
      <c r="I426" s="3">
        <v>9.01</v>
      </c>
      <c r="J426" s="3" t="s">
        <v>27</v>
      </c>
    </row>
    <row r="427" spans="1:10" s="3" customFormat="1" x14ac:dyDescent="0.25">
      <c r="A427" s="2">
        <v>47</v>
      </c>
      <c r="B427" s="3" t="s">
        <v>22</v>
      </c>
      <c r="C427" s="3">
        <v>647</v>
      </c>
      <c r="D427" s="3">
        <v>1</v>
      </c>
      <c r="E427" s="3" t="s">
        <v>43</v>
      </c>
      <c r="F427" s="3" t="s">
        <v>44</v>
      </c>
      <c r="G427" s="3" t="str">
        <f>"2026-02-27 11:43:31.095"</f>
        <v>2026-02-27 11:43:31.095</v>
      </c>
      <c r="H427" s="3" t="s">
        <v>21</v>
      </c>
    </row>
    <row r="428" spans="1:10" s="3" customFormat="1" x14ac:dyDescent="0.25">
      <c r="A428" s="2">
        <v>48</v>
      </c>
      <c r="B428" s="3" t="s">
        <v>25</v>
      </c>
      <c r="C428" s="3">
        <v>647</v>
      </c>
      <c r="D428" s="3">
        <v>1</v>
      </c>
      <c r="E428" s="3" t="s">
        <v>43</v>
      </c>
      <c r="F428" s="3" t="s">
        <v>44</v>
      </c>
      <c r="G428" s="3" t="str">
        <f>"2026-02-27 11:43:25.795"</f>
        <v>2026-02-27 11:43:25.795</v>
      </c>
      <c r="H428" s="3" t="s">
        <v>21</v>
      </c>
      <c r="I428" s="3">
        <v>18.989999999999998</v>
      </c>
      <c r="J428" s="3" t="s">
        <v>27</v>
      </c>
    </row>
    <row r="429" spans="1:10" s="3" customFormat="1" x14ac:dyDescent="0.25">
      <c r="A429" s="2">
        <v>49</v>
      </c>
      <c r="B429" s="3" t="s">
        <v>22</v>
      </c>
      <c r="C429" s="3">
        <v>647</v>
      </c>
      <c r="D429" s="3">
        <v>1</v>
      </c>
      <c r="E429" s="3" t="s">
        <v>43</v>
      </c>
      <c r="F429" s="3" t="s">
        <v>44</v>
      </c>
      <c r="G429" s="3" t="str">
        <f>"2026-02-27 11:14:24.395"</f>
        <v>2026-02-27 11:14:24.395</v>
      </c>
      <c r="H429" s="3" t="s">
        <v>21</v>
      </c>
    </row>
    <row r="430" spans="1:10" s="3" customFormat="1" x14ac:dyDescent="0.25">
      <c r="A430" s="2">
        <v>50</v>
      </c>
      <c r="B430" s="3" t="s">
        <v>25</v>
      </c>
      <c r="C430" s="3">
        <v>647</v>
      </c>
      <c r="D430" s="3">
        <v>1</v>
      </c>
      <c r="E430" s="3" t="s">
        <v>43</v>
      </c>
      <c r="F430" s="3" t="s">
        <v>44</v>
      </c>
      <c r="G430" s="3" t="str">
        <f>"2026-02-27 11:14:20.095"</f>
        <v>2026-02-27 11:14:20.095</v>
      </c>
      <c r="H430" s="3" t="s">
        <v>21</v>
      </c>
      <c r="I430" s="3">
        <v>14.76</v>
      </c>
      <c r="J430" s="3" t="s">
        <v>27</v>
      </c>
    </row>
    <row r="431" spans="1:10" x14ac:dyDescent="0.25">
      <c r="A431" s="1">
        <v>51</v>
      </c>
      <c r="B431" t="s">
        <v>37</v>
      </c>
      <c r="C431">
        <v>33</v>
      </c>
      <c r="D431">
        <v>1</v>
      </c>
      <c r="E431" t="s">
        <v>40</v>
      </c>
      <c r="F431" t="s">
        <v>41</v>
      </c>
      <c r="G431" t="str">
        <f>"2026-02-27 09:38:28.848"</f>
        <v>2026-02-27 09:38:28.848</v>
      </c>
      <c r="H431" t="s">
        <v>42</v>
      </c>
    </row>
    <row r="432" spans="1:10" x14ac:dyDescent="0.25">
      <c r="A432" s="1">
        <v>52</v>
      </c>
      <c r="B432" t="s">
        <v>22</v>
      </c>
      <c r="C432">
        <v>98</v>
      </c>
      <c r="D432">
        <v>1</v>
      </c>
      <c r="E432" t="s">
        <v>46</v>
      </c>
      <c r="F432" t="s">
        <v>47</v>
      </c>
      <c r="G432" t="str">
        <f>"2026-02-27 09:38:05.008"</f>
        <v>2026-02-27 09:38:05.008</v>
      </c>
      <c r="H432" t="s">
        <v>21</v>
      </c>
    </row>
    <row r="433" spans="1:10" x14ac:dyDescent="0.25">
      <c r="A433" s="1">
        <v>53</v>
      </c>
      <c r="B433" t="s">
        <v>25</v>
      </c>
      <c r="C433">
        <v>98</v>
      </c>
      <c r="D433">
        <v>1</v>
      </c>
      <c r="E433" t="s">
        <v>46</v>
      </c>
      <c r="F433" t="s">
        <v>47</v>
      </c>
      <c r="G433" t="str">
        <f>"2026-02-27 09:38:03.908"</f>
        <v>2026-02-27 09:38:03.908</v>
      </c>
      <c r="H433" t="s">
        <v>21</v>
      </c>
      <c r="I433">
        <v>11.2</v>
      </c>
      <c r="J433" t="s">
        <v>26</v>
      </c>
    </row>
    <row r="434" spans="1:10" x14ac:dyDescent="0.25">
      <c r="A434" s="1">
        <v>54</v>
      </c>
      <c r="B434" t="s">
        <v>32</v>
      </c>
      <c r="C434">
        <v>33</v>
      </c>
      <c r="D434">
        <v>1</v>
      </c>
      <c r="E434" t="s">
        <v>40</v>
      </c>
      <c r="F434" t="s">
        <v>41</v>
      </c>
      <c r="G434" t="str">
        <f>"2026-02-27 09:37:33.486"</f>
        <v>2026-02-27 09:37:33.486</v>
      </c>
      <c r="H434" t="s">
        <v>42</v>
      </c>
      <c r="I434">
        <v>13.28</v>
      </c>
      <c r="J434" t="s">
        <v>36</v>
      </c>
    </row>
    <row r="435" spans="1:10" s="3" customFormat="1" x14ac:dyDescent="0.25">
      <c r="A435" s="2">
        <v>55</v>
      </c>
      <c r="B435" s="3" t="s">
        <v>22</v>
      </c>
      <c r="C435" s="3">
        <v>647</v>
      </c>
      <c r="D435" s="3">
        <v>1</v>
      </c>
      <c r="E435" s="3" t="s">
        <v>43</v>
      </c>
      <c r="F435" s="3" t="s">
        <v>44</v>
      </c>
      <c r="G435" s="3" t="str">
        <f>"2026-02-27 07:23:12.495"</f>
        <v>2026-02-27 07:23:12.495</v>
      </c>
      <c r="H435" s="3" t="s">
        <v>21</v>
      </c>
    </row>
    <row r="436" spans="1:10" s="3" customFormat="1" x14ac:dyDescent="0.25">
      <c r="A436" s="2">
        <v>56</v>
      </c>
      <c r="B436" s="3" t="s">
        <v>25</v>
      </c>
      <c r="C436" s="3">
        <v>647</v>
      </c>
      <c r="D436" s="3">
        <v>1</v>
      </c>
      <c r="E436" s="3" t="s">
        <v>43</v>
      </c>
      <c r="F436" s="3" t="s">
        <v>44</v>
      </c>
      <c r="G436" s="3" t="str">
        <f>"2026-02-27 07:23:11.395"</f>
        <v>2026-02-27 07:23:11.395</v>
      </c>
      <c r="H436" s="3" t="s">
        <v>21</v>
      </c>
      <c r="I436" s="3">
        <v>10.34</v>
      </c>
      <c r="J436" s="3" t="s">
        <v>27</v>
      </c>
    </row>
    <row r="437" spans="1:10" x14ac:dyDescent="0.25">
      <c r="A437" s="1">
        <v>57</v>
      </c>
      <c r="B437" t="s">
        <v>22</v>
      </c>
      <c r="C437">
        <v>635</v>
      </c>
      <c r="D437">
        <v>1</v>
      </c>
      <c r="E437" t="s">
        <v>23</v>
      </c>
      <c r="F437" t="s">
        <v>24</v>
      </c>
      <c r="G437" t="str">
        <f>"2026-02-26 23:49:08.795"</f>
        <v>2026-02-26 23:49:08.795</v>
      </c>
      <c r="H437" t="s">
        <v>21</v>
      </c>
    </row>
    <row r="438" spans="1:10" x14ac:dyDescent="0.25">
      <c r="A438" s="1">
        <v>58</v>
      </c>
      <c r="B438" t="s">
        <v>25</v>
      </c>
      <c r="C438">
        <v>635</v>
      </c>
      <c r="D438">
        <v>1</v>
      </c>
      <c r="E438" t="s">
        <v>23</v>
      </c>
      <c r="F438" t="s">
        <v>24</v>
      </c>
      <c r="G438" t="str">
        <f>"2026-02-26 23:46:11.295"</f>
        <v>2026-02-26 23:46:11.295</v>
      </c>
      <c r="H438" t="s">
        <v>21</v>
      </c>
      <c r="I438">
        <v>0.65</v>
      </c>
      <c r="J438" t="s">
        <v>36</v>
      </c>
    </row>
    <row r="439" spans="1:10" s="3" customFormat="1" x14ac:dyDescent="0.25">
      <c r="A439" s="2">
        <v>60</v>
      </c>
      <c r="B439" s="3" t="s">
        <v>22</v>
      </c>
      <c r="C439" s="3">
        <v>647</v>
      </c>
      <c r="D439" s="3">
        <v>1</v>
      </c>
      <c r="E439" s="3" t="s">
        <v>43</v>
      </c>
      <c r="F439" s="3" t="s">
        <v>44</v>
      </c>
      <c r="G439" s="3" t="str">
        <f>"2026-02-26 19:46:08.495"</f>
        <v>2026-02-26 19:46:08.495</v>
      </c>
      <c r="H439" s="3" t="s">
        <v>21</v>
      </c>
    </row>
    <row r="440" spans="1:10" s="3" customFormat="1" x14ac:dyDescent="0.25">
      <c r="A440" s="2">
        <v>61</v>
      </c>
      <c r="B440" s="3" t="s">
        <v>25</v>
      </c>
      <c r="C440" s="3">
        <v>647</v>
      </c>
      <c r="D440" s="3">
        <v>1</v>
      </c>
      <c r="E440" s="3" t="s">
        <v>43</v>
      </c>
      <c r="F440" s="3" t="s">
        <v>44</v>
      </c>
      <c r="G440" s="3" t="str">
        <f>"2026-02-26 19:46:07.195"</f>
        <v>2026-02-26 19:46:07.195</v>
      </c>
      <c r="H440" s="3" t="s">
        <v>21</v>
      </c>
      <c r="I440" s="3">
        <v>22.34</v>
      </c>
      <c r="J440" s="3" t="s">
        <v>26</v>
      </c>
    </row>
    <row r="441" spans="1:10" s="3" customFormat="1" x14ac:dyDescent="0.25">
      <c r="A441" s="2">
        <v>62</v>
      </c>
      <c r="B441" s="3" t="s">
        <v>22</v>
      </c>
      <c r="C441" s="3">
        <v>647</v>
      </c>
      <c r="D441" s="3">
        <v>1</v>
      </c>
      <c r="E441" s="3" t="s">
        <v>43</v>
      </c>
      <c r="F441" s="3" t="s">
        <v>44</v>
      </c>
      <c r="G441" s="3" t="str">
        <f>"2026-02-26 19:45:34.895"</f>
        <v>2026-02-26 19:45:34.895</v>
      </c>
      <c r="H441" s="3" t="s">
        <v>21</v>
      </c>
    </row>
    <row r="442" spans="1:10" s="3" customFormat="1" x14ac:dyDescent="0.25">
      <c r="A442" s="2">
        <v>63</v>
      </c>
      <c r="B442" s="3" t="s">
        <v>25</v>
      </c>
      <c r="C442" s="3">
        <v>647</v>
      </c>
      <c r="D442" s="3">
        <v>1</v>
      </c>
      <c r="E442" s="3" t="s">
        <v>43</v>
      </c>
      <c r="F442" s="3" t="s">
        <v>44</v>
      </c>
      <c r="G442" s="3" t="str">
        <f>"2026-02-26 19:45:32.795"</f>
        <v>2026-02-26 19:45:32.795</v>
      </c>
      <c r="H442" s="3" t="s">
        <v>21</v>
      </c>
      <c r="I442" s="3">
        <v>8.1999999999999993</v>
      </c>
      <c r="J442" s="3" t="s">
        <v>26</v>
      </c>
    </row>
    <row r="443" spans="1:10" x14ac:dyDescent="0.25">
      <c r="A443" s="1">
        <v>64</v>
      </c>
      <c r="B443" t="s">
        <v>22</v>
      </c>
      <c r="C443">
        <v>98</v>
      </c>
      <c r="D443">
        <v>1</v>
      </c>
      <c r="E443" t="s">
        <v>46</v>
      </c>
      <c r="F443" t="s">
        <v>47</v>
      </c>
      <c r="G443" t="str">
        <f>"2026-02-26 19:39:50.608"</f>
        <v>2026-02-26 19:39:50.608</v>
      </c>
      <c r="H443" t="s">
        <v>21</v>
      </c>
    </row>
    <row r="444" spans="1:10" x14ac:dyDescent="0.25">
      <c r="A444" s="1">
        <v>65</v>
      </c>
      <c r="B444" t="s">
        <v>25</v>
      </c>
      <c r="C444">
        <v>98</v>
      </c>
      <c r="D444">
        <v>1</v>
      </c>
      <c r="E444" t="s">
        <v>46</v>
      </c>
      <c r="F444" t="s">
        <v>47</v>
      </c>
      <c r="G444" t="str">
        <f>"2026-02-26 19:39:49.507"</f>
        <v>2026-02-26 19:39:49.507</v>
      </c>
      <c r="H444" t="s">
        <v>21</v>
      </c>
      <c r="I444">
        <v>0</v>
      </c>
      <c r="J444" t="s">
        <v>26</v>
      </c>
    </row>
    <row r="445" spans="1:10" s="3" customFormat="1" x14ac:dyDescent="0.25">
      <c r="A445" s="2">
        <v>66</v>
      </c>
      <c r="B445" s="3" t="s">
        <v>22</v>
      </c>
      <c r="C445" s="3">
        <v>647</v>
      </c>
      <c r="D445" s="3">
        <v>1</v>
      </c>
      <c r="E445" s="3" t="s">
        <v>43</v>
      </c>
      <c r="F445" s="3" t="s">
        <v>44</v>
      </c>
      <c r="G445" s="3" t="str">
        <f>"2026-02-26 19:31:05.595"</f>
        <v>2026-02-26 19:31:05.595</v>
      </c>
      <c r="H445" s="3" t="s">
        <v>21</v>
      </c>
    </row>
    <row r="446" spans="1:10" s="3" customFormat="1" x14ac:dyDescent="0.25">
      <c r="A446" s="2">
        <v>67</v>
      </c>
      <c r="B446" s="3" t="s">
        <v>25</v>
      </c>
      <c r="C446" s="3">
        <v>647</v>
      </c>
      <c r="D446" s="3">
        <v>1</v>
      </c>
      <c r="E446" s="3" t="s">
        <v>43</v>
      </c>
      <c r="F446" s="3" t="s">
        <v>44</v>
      </c>
      <c r="G446" s="3" t="str">
        <f>"2026-02-26 19:31:03.696"</f>
        <v>2026-02-26 19:31:03.696</v>
      </c>
      <c r="H446" s="3" t="s">
        <v>21</v>
      </c>
      <c r="I446" s="3">
        <v>21.52</v>
      </c>
      <c r="J446" s="3" t="s">
        <v>27</v>
      </c>
    </row>
    <row r="447" spans="1:10" x14ac:dyDescent="0.25">
      <c r="A447" s="1">
        <v>68</v>
      </c>
      <c r="B447" t="s">
        <v>22</v>
      </c>
      <c r="C447">
        <v>98</v>
      </c>
      <c r="D447">
        <v>1</v>
      </c>
      <c r="E447" t="s">
        <v>46</v>
      </c>
      <c r="F447" t="s">
        <v>47</v>
      </c>
      <c r="G447" t="str">
        <f>"2026-02-26 12:13:37.208"</f>
        <v>2026-02-26 12:13:37.208</v>
      </c>
      <c r="H447" t="s">
        <v>21</v>
      </c>
    </row>
    <row r="448" spans="1:10" x14ac:dyDescent="0.25">
      <c r="A448" s="1">
        <v>69</v>
      </c>
      <c r="B448" t="s">
        <v>25</v>
      </c>
      <c r="C448">
        <v>98</v>
      </c>
      <c r="D448">
        <v>1</v>
      </c>
      <c r="E448" t="s">
        <v>46</v>
      </c>
      <c r="F448" t="s">
        <v>47</v>
      </c>
      <c r="G448" t="str">
        <f>"2026-02-26 12:13:36.208"</f>
        <v>2026-02-26 12:13:36.208</v>
      </c>
      <c r="H448" t="s">
        <v>21</v>
      </c>
      <c r="I448">
        <v>0</v>
      </c>
      <c r="J448" t="s">
        <v>26</v>
      </c>
    </row>
    <row r="449" spans="1:10" x14ac:dyDescent="0.25">
      <c r="A449" s="1">
        <v>70</v>
      </c>
      <c r="B449" t="s">
        <v>22</v>
      </c>
      <c r="C449">
        <v>98</v>
      </c>
      <c r="D449">
        <v>1</v>
      </c>
      <c r="E449" t="s">
        <v>46</v>
      </c>
      <c r="F449" t="s">
        <v>47</v>
      </c>
      <c r="G449" t="str">
        <f>"2026-02-26 12:13:35.708"</f>
        <v>2026-02-26 12:13:35.708</v>
      </c>
      <c r="H449" t="s">
        <v>21</v>
      </c>
    </row>
    <row r="450" spans="1:10" x14ac:dyDescent="0.25">
      <c r="A450" s="1">
        <v>71</v>
      </c>
      <c r="B450" t="s">
        <v>25</v>
      </c>
      <c r="C450">
        <v>98</v>
      </c>
      <c r="D450">
        <v>1</v>
      </c>
      <c r="E450" t="s">
        <v>46</v>
      </c>
      <c r="F450" t="s">
        <v>47</v>
      </c>
      <c r="G450" t="str">
        <f>"2026-02-26 12:13:34.608"</f>
        <v>2026-02-26 12:13:34.608</v>
      </c>
      <c r="H450" t="s">
        <v>21</v>
      </c>
      <c r="I450">
        <v>0</v>
      </c>
      <c r="J450" t="s">
        <v>26</v>
      </c>
    </row>
    <row r="451" spans="1:10" x14ac:dyDescent="0.25">
      <c r="A451" s="1">
        <v>75</v>
      </c>
      <c r="B451" t="s">
        <v>19</v>
      </c>
      <c r="C451">
        <v>706</v>
      </c>
      <c r="D451">
        <v>4</v>
      </c>
      <c r="E451" t="s">
        <v>28</v>
      </c>
      <c r="F451" t="s">
        <v>29</v>
      </c>
      <c r="G451" t="str">
        <f>"2026-02-25 12:36:08.867"</f>
        <v>2026-02-25 12:36:08.867</v>
      </c>
      <c r="H451" t="s">
        <v>21</v>
      </c>
      <c r="I451">
        <v>0</v>
      </c>
      <c r="J451" t="s">
        <v>30</v>
      </c>
    </row>
    <row r="452" spans="1:10" x14ac:dyDescent="0.25">
      <c r="A452" s="1">
        <v>76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"2026-02-25 12:35:52.557"</f>
        <v>2026-02-25 12:35:52.557</v>
      </c>
      <c r="H452" t="s">
        <v>21</v>
      </c>
    </row>
    <row r="453" spans="1:10" s="3" customFormat="1" x14ac:dyDescent="0.25">
      <c r="A453" s="2">
        <v>77</v>
      </c>
      <c r="B453" s="3" t="s">
        <v>22</v>
      </c>
      <c r="C453" s="3">
        <v>647</v>
      </c>
      <c r="D453" s="3">
        <v>1</v>
      </c>
      <c r="E453" s="3" t="s">
        <v>43</v>
      </c>
      <c r="F453" s="3" t="s">
        <v>44</v>
      </c>
      <c r="G453" s="3" t="str">
        <f>"2026-02-25 02:30:38.559"</f>
        <v>2026-02-25 02:30:38.559</v>
      </c>
      <c r="H453" s="3" t="s">
        <v>21</v>
      </c>
    </row>
    <row r="454" spans="1:10" s="3" customFormat="1" x14ac:dyDescent="0.25">
      <c r="A454" s="2">
        <v>78</v>
      </c>
      <c r="B454" s="3" t="s">
        <v>25</v>
      </c>
      <c r="C454" s="3">
        <v>647</v>
      </c>
      <c r="D454" s="3">
        <v>1</v>
      </c>
      <c r="E454" s="3" t="s">
        <v>43</v>
      </c>
      <c r="F454" s="3" t="s">
        <v>44</v>
      </c>
      <c r="G454" s="3" t="str">
        <f>"2026-02-25 02:30:36.859"</f>
        <v>2026-02-25 02:30:36.859</v>
      </c>
      <c r="H454" s="3" t="s">
        <v>21</v>
      </c>
      <c r="I454" s="3">
        <v>9.5</v>
      </c>
      <c r="J454" s="3" t="s">
        <v>27</v>
      </c>
    </row>
    <row r="455" spans="1:10" x14ac:dyDescent="0.25">
      <c r="A455" s="1">
        <v>79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"2026-02-24 22:27:48.517"</f>
        <v>2026-02-24 22:27:48.517</v>
      </c>
      <c r="H455" t="s">
        <v>21</v>
      </c>
    </row>
    <row r="456" spans="1:10" x14ac:dyDescent="0.25">
      <c r="A456" s="1">
        <v>80</v>
      </c>
      <c r="B456" t="s">
        <v>19</v>
      </c>
      <c r="C456">
        <v>706</v>
      </c>
      <c r="D456">
        <v>2</v>
      </c>
      <c r="E456" t="s">
        <v>28</v>
      </c>
      <c r="F456" t="s">
        <v>45</v>
      </c>
      <c r="G456" t="str">
        <f>"2026-02-24 22:09:09.509"</f>
        <v>2026-02-24 22:09:09.509</v>
      </c>
      <c r="H456" t="s">
        <v>21</v>
      </c>
      <c r="I456">
        <v>0</v>
      </c>
      <c r="J456" t="s">
        <v>30</v>
      </c>
    </row>
    <row r="457" spans="1:10" x14ac:dyDescent="0.25">
      <c r="A457" s="1">
        <v>81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"2026-02-24 22:02:56.539"</f>
        <v>2026-02-24 22:02:56.539</v>
      </c>
      <c r="H457" t="s">
        <v>21</v>
      </c>
    </row>
    <row r="458" spans="1:10" x14ac:dyDescent="0.25">
      <c r="A458" s="1">
        <v>82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"2026-02-24 20:27:42.526"</f>
        <v>2026-02-24 20:27:42.526</v>
      </c>
      <c r="H458" t="s">
        <v>21</v>
      </c>
      <c r="I458">
        <v>0</v>
      </c>
      <c r="J458" t="s">
        <v>31</v>
      </c>
    </row>
    <row r="459" spans="1:10" x14ac:dyDescent="0.25">
      <c r="A459" s="1">
        <v>83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"2026-02-24 05:20:11.528"</f>
        <v>2026-02-24 05:20:11.528</v>
      </c>
      <c r="H459" t="s">
        <v>21</v>
      </c>
      <c r="I459">
        <v>0</v>
      </c>
      <c r="J459" t="s">
        <v>31</v>
      </c>
    </row>
    <row r="460" spans="1:10" x14ac:dyDescent="0.25">
      <c r="A460" s="1">
        <v>85</v>
      </c>
      <c r="B460" t="s">
        <v>22</v>
      </c>
      <c r="C460">
        <v>61</v>
      </c>
      <c r="D460">
        <v>2</v>
      </c>
      <c r="E460" t="s">
        <v>38</v>
      </c>
      <c r="F460" t="s">
        <v>39</v>
      </c>
      <c r="G460" t="str">
        <f>"2026-02-24 00:18:28.441"</f>
        <v>2026-02-24 00:18:28.441</v>
      </c>
      <c r="H460" t="s">
        <v>21</v>
      </c>
    </row>
    <row r="461" spans="1:10" x14ac:dyDescent="0.25">
      <c r="A461" s="1">
        <v>86</v>
      </c>
      <c r="B461" t="s">
        <v>32</v>
      </c>
      <c r="C461">
        <v>61</v>
      </c>
      <c r="D461">
        <v>2</v>
      </c>
      <c r="E461" t="s">
        <v>38</v>
      </c>
      <c r="F461" t="s">
        <v>39</v>
      </c>
      <c r="G461" t="str">
        <f>"2026-02-24 00:18:15.941"</f>
        <v>2026-02-24 00:18:15.941</v>
      </c>
      <c r="H461" t="s">
        <v>21</v>
      </c>
      <c r="I461">
        <v>30.2</v>
      </c>
      <c r="J461" t="s">
        <v>27</v>
      </c>
    </row>
    <row r="462" spans="1:10" x14ac:dyDescent="0.25">
      <c r="A462" s="1">
        <v>87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"2026-02-23 11:33:00.680"</f>
        <v>2026-02-23 11:33:00.680</v>
      </c>
      <c r="H462" t="s">
        <v>21</v>
      </c>
    </row>
    <row r="463" spans="1:10" x14ac:dyDescent="0.25">
      <c r="A463" s="1">
        <v>88</v>
      </c>
      <c r="B463" t="s">
        <v>22</v>
      </c>
      <c r="C463">
        <v>635</v>
      </c>
      <c r="D463">
        <v>1</v>
      </c>
      <c r="E463" t="s">
        <v>23</v>
      </c>
      <c r="F463" t="s">
        <v>24</v>
      </c>
      <c r="G463" t="str">
        <f>"2026-02-23 07:14:41.293"</f>
        <v>2026-02-23 07:14:41.293</v>
      </c>
      <c r="H463" t="s">
        <v>21</v>
      </c>
    </row>
    <row r="464" spans="1:10" x14ac:dyDescent="0.25">
      <c r="A464" s="1">
        <v>89</v>
      </c>
      <c r="B464" t="s">
        <v>25</v>
      </c>
      <c r="C464">
        <v>635</v>
      </c>
      <c r="D464">
        <v>1</v>
      </c>
      <c r="E464" t="s">
        <v>23</v>
      </c>
      <c r="F464" t="s">
        <v>24</v>
      </c>
      <c r="G464" t="str">
        <f>"2026-02-23 07:09:49.793"</f>
        <v>2026-02-23 07:09:49.793</v>
      </c>
      <c r="H464" t="s">
        <v>21</v>
      </c>
      <c r="I464">
        <v>0.11</v>
      </c>
      <c r="J464" t="s">
        <v>36</v>
      </c>
    </row>
    <row r="465" spans="1:10" x14ac:dyDescent="0.25">
      <c r="A465" s="1">
        <v>90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"2026-02-23 01:41:19.552"</f>
        <v>2026-02-23 01:41:19.552</v>
      </c>
      <c r="H465" t="s">
        <v>21</v>
      </c>
      <c r="I465">
        <v>0</v>
      </c>
      <c r="J465" t="s">
        <v>31</v>
      </c>
    </row>
    <row r="466" spans="1:10" x14ac:dyDescent="0.25">
      <c r="A466" s="1">
        <v>91</v>
      </c>
      <c r="B466" t="s">
        <v>22</v>
      </c>
      <c r="C466">
        <v>635</v>
      </c>
      <c r="D466">
        <v>1</v>
      </c>
      <c r="E466" t="s">
        <v>23</v>
      </c>
      <c r="F466" t="s">
        <v>24</v>
      </c>
      <c r="G466" t="str">
        <f>"2026-02-22 17:01:21.985"</f>
        <v>2026-02-22 17:01:21.985</v>
      </c>
      <c r="H466" t="s">
        <v>21</v>
      </c>
    </row>
    <row r="467" spans="1:10" x14ac:dyDescent="0.25">
      <c r="A467" s="1">
        <v>92</v>
      </c>
      <c r="B467" t="s">
        <v>25</v>
      </c>
      <c r="C467">
        <v>635</v>
      </c>
      <c r="D467">
        <v>1</v>
      </c>
      <c r="E467" t="s">
        <v>23</v>
      </c>
      <c r="F467" t="s">
        <v>24</v>
      </c>
      <c r="G467" t="str">
        <f>"2026-02-22 16:57:27.485"</f>
        <v>2026-02-22 16:57:27.485</v>
      </c>
      <c r="H467" t="s">
        <v>21</v>
      </c>
      <c r="I467">
        <v>3.48</v>
      </c>
      <c r="J467" t="s">
        <v>27</v>
      </c>
    </row>
    <row r="468" spans="1:10" x14ac:dyDescent="0.25">
      <c r="A468" s="1">
        <v>93</v>
      </c>
      <c r="B468" t="s">
        <v>22</v>
      </c>
      <c r="C468">
        <v>61</v>
      </c>
      <c r="D468">
        <v>2</v>
      </c>
      <c r="E468" t="s">
        <v>38</v>
      </c>
      <c r="F468" t="s">
        <v>39</v>
      </c>
      <c r="G468" t="str">
        <f>"2026-02-21 21:59:02.798"</f>
        <v>2026-02-21 21:59:02.798</v>
      </c>
      <c r="H468" t="s">
        <v>21</v>
      </c>
    </row>
    <row r="469" spans="1:10" x14ac:dyDescent="0.25">
      <c r="A469" s="1">
        <v>94</v>
      </c>
      <c r="B469" t="s">
        <v>32</v>
      </c>
      <c r="C469">
        <v>61</v>
      </c>
      <c r="D469">
        <v>2</v>
      </c>
      <c r="E469" t="s">
        <v>38</v>
      </c>
      <c r="F469" t="s">
        <v>39</v>
      </c>
      <c r="G469" t="str">
        <f>"2026-02-21 21:58:59.598"</f>
        <v>2026-02-21 21:58:59.598</v>
      </c>
      <c r="H469" t="s">
        <v>21</v>
      </c>
      <c r="I469">
        <v>29.86</v>
      </c>
      <c r="J469" t="s">
        <v>27</v>
      </c>
    </row>
    <row r="470" spans="1:10" x14ac:dyDescent="0.25">
      <c r="A470" s="1">
        <v>95</v>
      </c>
      <c r="B470" t="s">
        <v>22</v>
      </c>
      <c r="C470">
        <v>98</v>
      </c>
      <c r="D470">
        <v>1</v>
      </c>
      <c r="E470" t="s">
        <v>46</v>
      </c>
      <c r="F470" t="s">
        <v>47</v>
      </c>
      <c r="G470" t="str">
        <f>"2026-02-21 19:54:17.598"</f>
        <v>2026-02-21 19:54:17.598</v>
      </c>
      <c r="H470" t="s">
        <v>21</v>
      </c>
    </row>
    <row r="471" spans="1:10" x14ac:dyDescent="0.25">
      <c r="A471" s="1">
        <v>96</v>
      </c>
      <c r="B471" t="s">
        <v>25</v>
      </c>
      <c r="C471">
        <v>98</v>
      </c>
      <c r="D471">
        <v>1</v>
      </c>
      <c r="E471" t="s">
        <v>46</v>
      </c>
      <c r="F471" t="s">
        <v>47</v>
      </c>
      <c r="G471" t="str">
        <f>"2026-02-21 19:54:16.598"</f>
        <v>2026-02-21 19:54:16.598</v>
      </c>
      <c r="H471" t="s">
        <v>21</v>
      </c>
      <c r="I471">
        <v>0</v>
      </c>
      <c r="J471" t="s">
        <v>30</v>
      </c>
    </row>
    <row r="472" spans="1:10" x14ac:dyDescent="0.25">
      <c r="A472" s="1">
        <v>97</v>
      </c>
      <c r="B472" t="s">
        <v>19</v>
      </c>
      <c r="C472">
        <v>706</v>
      </c>
      <c r="D472">
        <v>4</v>
      </c>
      <c r="E472" t="s">
        <v>28</v>
      </c>
      <c r="F472" t="s">
        <v>29</v>
      </c>
      <c r="G472" t="str">
        <f>"2026-02-21 19:54:13.497"</f>
        <v>2026-02-21 19:54:13.497</v>
      </c>
      <c r="H472" t="s">
        <v>21</v>
      </c>
      <c r="I472">
        <v>0</v>
      </c>
      <c r="J472" t="s">
        <v>30</v>
      </c>
    </row>
    <row r="473" spans="1:10" x14ac:dyDescent="0.25">
      <c r="A473" s="1">
        <v>98</v>
      </c>
      <c r="B473" t="s">
        <v>37</v>
      </c>
      <c r="C473">
        <v>33</v>
      </c>
      <c r="D473">
        <v>1</v>
      </c>
      <c r="E473" t="s">
        <v>40</v>
      </c>
      <c r="F473" t="s">
        <v>41</v>
      </c>
      <c r="G473" t="str">
        <f>"2026-02-21 19:53:31.185"</f>
        <v>2026-02-21 19:53:31.185</v>
      </c>
      <c r="H473" t="s">
        <v>42</v>
      </c>
    </row>
    <row r="474" spans="1:10" x14ac:dyDescent="0.25">
      <c r="A474" s="1">
        <v>99</v>
      </c>
      <c r="B474" t="s">
        <v>32</v>
      </c>
      <c r="C474">
        <v>33</v>
      </c>
      <c r="D474">
        <v>1</v>
      </c>
      <c r="E474" t="s">
        <v>40</v>
      </c>
      <c r="F474" t="s">
        <v>41</v>
      </c>
      <c r="G474" t="str">
        <f>"2026-02-21 19:48:01.656"</f>
        <v>2026-02-21 19:48:01.656</v>
      </c>
      <c r="H474" t="s">
        <v>42</v>
      </c>
      <c r="I474">
        <v>8.16</v>
      </c>
      <c r="J474" t="s">
        <v>36</v>
      </c>
    </row>
    <row r="475" spans="1:10" x14ac:dyDescent="0.25">
      <c r="A475" s="1">
        <v>0</v>
      </c>
      <c r="B475" t="s">
        <v>22</v>
      </c>
      <c r="C475">
        <v>61</v>
      </c>
      <c r="D475">
        <v>2</v>
      </c>
      <c r="E475" t="s">
        <v>38</v>
      </c>
      <c r="F475" t="s">
        <v>39</v>
      </c>
      <c r="G475" t="str">
        <f>"2026-02-21 18:54:13.198"</f>
        <v>2026-02-21 18:54:13.198</v>
      </c>
      <c r="H475" t="s">
        <v>21</v>
      </c>
    </row>
    <row r="476" spans="1:10" x14ac:dyDescent="0.25">
      <c r="A476" s="1">
        <v>1</v>
      </c>
      <c r="B476" t="s">
        <v>32</v>
      </c>
      <c r="C476">
        <v>61</v>
      </c>
      <c r="D476">
        <v>2</v>
      </c>
      <c r="E476" t="s">
        <v>38</v>
      </c>
      <c r="F476" t="s">
        <v>39</v>
      </c>
      <c r="G476" t="str">
        <f>"2026-02-21 18:54:00.198"</f>
        <v>2026-02-21 18:54:00.198</v>
      </c>
      <c r="H476" t="s">
        <v>21</v>
      </c>
      <c r="I476">
        <v>30.6</v>
      </c>
      <c r="J476" t="s">
        <v>27</v>
      </c>
    </row>
    <row r="477" spans="1:10" x14ac:dyDescent="0.25">
      <c r="A477" s="1">
        <v>2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"2026-02-21 13:50:49.537"</f>
        <v>2026-02-21 13:50:49.537</v>
      </c>
      <c r="H477" t="s">
        <v>21</v>
      </c>
    </row>
    <row r="478" spans="1:10" x14ac:dyDescent="0.25">
      <c r="A478" s="1">
        <v>3</v>
      </c>
      <c r="B478" t="s">
        <v>22</v>
      </c>
      <c r="C478">
        <v>61</v>
      </c>
      <c r="D478">
        <v>2</v>
      </c>
      <c r="E478" t="s">
        <v>38</v>
      </c>
      <c r="F478" t="s">
        <v>39</v>
      </c>
      <c r="G478" t="str">
        <f>"2026-02-21 01:26:49.856"</f>
        <v>2026-02-21 01:26:49.856</v>
      </c>
      <c r="H478" t="s">
        <v>21</v>
      </c>
    </row>
    <row r="479" spans="1:10" x14ac:dyDescent="0.25">
      <c r="A479" s="1">
        <v>4</v>
      </c>
      <c r="B479" t="s">
        <v>32</v>
      </c>
      <c r="C479">
        <v>61</v>
      </c>
      <c r="D479">
        <v>2</v>
      </c>
      <c r="E479" t="s">
        <v>38</v>
      </c>
      <c r="F479" t="s">
        <v>39</v>
      </c>
      <c r="G479" t="str">
        <f>"2026-02-21 01:26:45.056"</f>
        <v>2026-02-21 01:26:45.056</v>
      </c>
      <c r="H479" t="s">
        <v>21</v>
      </c>
      <c r="I479">
        <v>29.91</v>
      </c>
      <c r="J479" t="s">
        <v>27</v>
      </c>
    </row>
    <row r="480" spans="1:10" x14ac:dyDescent="0.25">
      <c r="A480" s="1">
        <v>5</v>
      </c>
      <c r="B480" t="s">
        <v>22</v>
      </c>
      <c r="C480">
        <v>61</v>
      </c>
      <c r="D480">
        <v>2</v>
      </c>
      <c r="E480" t="s">
        <v>38</v>
      </c>
      <c r="F480" t="s">
        <v>39</v>
      </c>
      <c r="G480" t="str">
        <f>"2026-02-21 00:53:39.756"</f>
        <v>2026-02-21 00:53:39.756</v>
      </c>
      <c r="H480" t="s">
        <v>21</v>
      </c>
    </row>
    <row r="481" spans="1:10" x14ac:dyDescent="0.25">
      <c r="A481" s="1">
        <v>6</v>
      </c>
      <c r="B481" t="s">
        <v>32</v>
      </c>
      <c r="C481">
        <v>61</v>
      </c>
      <c r="D481">
        <v>2</v>
      </c>
      <c r="E481" t="s">
        <v>38</v>
      </c>
      <c r="F481" t="s">
        <v>39</v>
      </c>
      <c r="G481" t="str">
        <f>"2026-02-21 00:53:35.656"</f>
        <v>2026-02-21 00:53:35.656</v>
      </c>
      <c r="H481" t="s">
        <v>21</v>
      </c>
      <c r="I481">
        <v>29.66</v>
      </c>
      <c r="J481" t="s">
        <v>27</v>
      </c>
    </row>
    <row r="482" spans="1:10" x14ac:dyDescent="0.25">
      <c r="A482" s="1">
        <v>7</v>
      </c>
      <c r="B482" t="s">
        <v>22</v>
      </c>
      <c r="C482">
        <v>61</v>
      </c>
      <c r="D482">
        <v>2</v>
      </c>
      <c r="E482" t="s">
        <v>38</v>
      </c>
      <c r="F482" t="s">
        <v>39</v>
      </c>
      <c r="G482" t="str">
        <f>"2026-02-20 21:02:49.656"</f>
        <v>2026-02-20 21:02:49.656</v>
      </c>
      <c r="H482" t="s">
        <v>21</v>
      </c>
    </row>
    <row r="483" spans="1:10" x14ac:dyDescent="0.25">
      <c r="A483" s="1">
        <v>8</v>
      </c>
      <c r="B483" t="s">
        <v>32</v>
      </c>
      <c r="C483">
        <v>61</v>
      </c>
      <c r="D483">
        <v>2</v>
      </c>
      <c r="E483" t="s">
        <v>38</v>
      </c>
      <c r="F483" t="s">
        <v>39</v>
      </c>
      <c r="G483" t="str">
        <f>"2026-02-20 21:02:44.756"</f>
        <v>2026-02-20 21:02:44.756</v>
      </c>
      <c r="H483" t="s">
        <v>21</v>
      </c>
      <c r="I483">
        <v>29.97</v>
      </c>
      <c r="J483" t="s">
        <v>27</v>
      </c>
    </row>
    <row r="484" spans="1:10" x14ac:dyDescent="0.25">
      <c r="A484" s="1">
        <v>9</v>
      </c>
      <c r="B484" t="s">
        <v>22</v>
      </c>
      <c r="C484">
        <v>61</v>
      </c>
      <c r="D484">
        <v>2</v>
      </c>
      <c r="E484" t="s">
        <v>38</v>
      </c>
      <c r="F484" t="s">
        <v>39</v>
      </c>
      <c r="G484" t="str">
        <f>"2026-02-20 16:39:53.556"</f>
        <v>2026-02-20 16:39:53.556</v>
      </c>
      <c r="H484" t="s">
        <v>21</v>
      </c>
    </row>
    <row r="485" spans="1:10" x14ac:dyDescent="0.25">
      <c r="A485" s="1">
        <v>10</v>
      </c>
      <c r="B485" t="s">
        <v>32</v>
      </c>
      <c r="C485">
        <v>61</v>
      </c>
      <c r="D485">
        <v>2</v>
      </c>
      <c r="E485" t="s">
        <v>38</v>
      </c>
      <c r="F485" t="s">
        <v>39</v>
      </c>
      <c r="G485" t="str">
        <f>"2026-02-20 16:39:34.656"</f>
        <v>2026-02-20 16:39:34.656</v>
      </c>
      <c r="H485" t="s">
        <v>21</v>
      </c>
      <c r="I485">
        <v>30.39</v>
      </c>
      <c r="J485" t="s">
        <v>27</v>
      </c>
    </row>
    <row r="486" spans="1:10" x14ac:dyDescent="0.25">
      <c r="A486" s="1">
        <v>11</v>
      </c>
      <c r="B486" t="s">
        <v>22</v>
      </c>
      <c r="C486">
        <v>61</v>
      </c>
      <c r="D486">
        <v>2</v>
      </c>
      <c r="E486" t="s">
        <v>38</v>
      </c>
      <c r="F486" t="s">
        <v>39</v>
      </c>
      <c r="G486" t="str">
        <f>"2026-02-20 16:06:12.956"</f>
        <v>2026-02-20 16:06:12.956</v>
      </c>
      <c r="H486" t="s">
        <v>21</v>
      </c>
    </row>
    <row r="487" spans="1:10" x14ac:dyDescent="0.25">
      <c r="A487" s="1">
        <v>12</v>
      </c>
      <c r="B487" t="s">
        <v>32</v>
      </c>
      <c r="C487">
        <v>61</v>
      </c>
      <c r="D487">
        <v>2</v>
      </c>
      <c r="E487" t="s">
        <v>38</v>
      </c>
      <c r="F487" t="s">
        <v>39</v>
      </c>
      <c r="G487" t="str">
        <f>"2026-02-20 16:05:54.356"</f>
        <v>2026-02-20 16:05:54.356</v>
      </c>
      <c r="H487" t="s">
        <v>21</v>
      </c>
      <c r="I487">
        <v>30.32</v>
      </c>
      <c r="J487" t="s">
        <v>27</v>
      </c>
    </row>
    <row r="488" spans="1:10" x14ac:dyDescent="0.25">
      <c r="A488" s="1">
        <v>13</v>
      </c>
      <c r="B488" t="s">
        <v>22</v>
      </c>
      <c r="C488">
        <v>61</v>
      </c>
      <c r="D488">
        <v>2</v>
      </c>
      <c r="E488" t="s">
        <v>38</v>
      </c>
      <c r="F488" t="s">
        <v>39</v>
      </c>
      <c r="G488" t="str">
        <f>"2026-02-20 13:10:21.756"</f>
        <v>2026-02-20 13:10:21.756</v>
      </c>
      <c r="H488" t="s">
        <v>21</v>
      </c>
    </row>
    <row r="489" spans="1:10" x14ac:dyDescent="0.25">
      <c r="A489" s="1">
        <v>14</v>
      </c>
      <c r="B489" t="s">
        <v>32</v>
      </c>
      <c r="C489">
        <v>61</v>
      </c>
      <c r="D489">
        <v>2</v>
      </c>
      <c r="E489" t="s">
        <v>38</v>
      </c>
      <c r="F489" t="s">
        <v>39</v>
      </c>
      <c r="G489" t="str">
        <f>"2026-02-20 13:10:04.056"</f>
        <v>2026-02-20 13:10:04.056</v>
      </c>
      <c r="H489" t="s">
        <v>21</v>
      </c>
      <c r="I489">
        <v>30.26</v>
      </c>
      <c r="J489" t="s">
        <v>27</v>
      </c>
    </row>
    <row r="490" spans="1:10" s="3" customFormat="1" x14ac:dyDescent="0.25">
      <c r="A490" s="2">
        <v>15</v>
      </c>
      <c r="B490" s="3" t="s">
        <v>22</v>
      </c>
      <c r="C490" s="3">
        <v>647</v>
      </c>
      <c r="D490" s="3">
        <v>1</v>
      </c>
      <c r="E490" s="3" t="s">
        <v>43</v>
      </c>
      <c r="F490" s="3" t="s">
        <v>44</v>
      </c>
      <c r="G490" s="3" t="str">
        <f>"2026-02-20 11:32:36.543"</f>
        <v>2026-02-20 11:32:36.543</v>
      </c>
      <c r="H490" s="3" t="s">
        <v>21</v>
      </c>
    </row>
    <row r="491" spans="1:10" s="3" customFormat="1" x14ac:dyDescent="0.25">
      <c r="A491" s="2">
        <v>16</v>
      </c>
      <c r="B491" s="3" t="s">
        <v>25</v>
      </c>
      <c r="C491" s="3">
        <v>647</v>
      </c>
      <c r="D491" s="3">
        <v>1</v>
      </c>
      <c r="E491" s="3" t="s">
        <v>43</v>
      </c>
      <c r="F491" s="3" t="s">
        <v>44</v>
      </c>
      <c r="G491" s="3" t="str">
        <f>"2026-02-20 11:32:16.644"</f>
        <v>2026-02-20 11:32:16.644</v>
      </c>
      <c r="H491" s="3" t="s">
        <v>21</v>
      </c>
      <c r="I491" s="3">
        <v>24.55</v>
      </c>
      <c r="J491" s="3" t="s">
        <v>27</v>
      </c>
    </row>
    <row r="492" spans="1:10" x14ac:dyDescent="0.25">
      <c r="A492" s="1">
        <v>17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"2026-02-19 13:48:17.495"</f>
        <v>2026-02-19 13:48:17.495</v>
      </c>
      <c r="H492" t="s">
        <v>21</v>
      </c>
    </row>
    <row r="493" spans="1:10" s="3" customFormat="1" x14ac:dyDescent="0.25">
      <c r="A493" s="2">
        <v>18</v>
      </c>
      <c r="B493" s="3" t="s">
        <v>22</v>
      </c>
      <c r="C493" s="3">
        <v>647</v>
      </c>
      <c r="D493" s="3">
        <v>1</v>
      </c>
      <c r="E493" s="3" t="s">
        <v>43</v>
      </c>
      <c r="F493" s="3" t="s">
        <v>44</v>
      </c>
      <c r="G493" s="3" t="str">
        <f>"2026-02-18 23:08:49.595"</f>
        <v>2026-02-18 23:08:49.595</v>
      </c>
      <c r="H493" s="3" t="s">
        <v>21</v>
      </c>
    </row>
    <row r="494" spans="1:10" s="3" customFormat="1" x14ac:dyDescent="0.25">
      <c r="A494" s="2">
        <v>19</v>
      </c>
      <c r="B494" s="3" t="s">
        <v>25</v>
      </c>
      <c r="C494" s="3">
        <v>647</v>
      </c>
      <c r="D494" s="3">
        <v>1</v>
      </c>
      <c r="E494" s="3" t="s">
        <v>43</v>
      </c>
      <c r="F494" s="3" t="s">
        <v>44</v>
      </c>
      <c r="G494" s="3" t="str">
        <f>"2026-02-18 23:08:46.295"</f>
        <v>2026-02-18 23:08:46.295</v>
      </c>
      <c r="H494" s="3" t="s">
        <v>21</v>
      </c>
      <c r="I494" s="3">
        <v>11.65</v>
      </c>
      <c r="J494" s="3" t="s">
        <v>27</v>
      </c>
    </row>
    <row r="495" spans="1:10" x14ac:dyDescent="0.25">
      <c r="A495" s="1">
        <v>20</v>
      </c>
      <c r="B495" t="s">
        <v>22</v>
      </c>
      <c r="C495">
        <v>635</v>
      </c>
      <c r="D495">
        <v>1</v>
      </c>
      <c r="E495" t="s">
        <v>23</v>
      </c>
      <c r="F495" t="s">
        <v>24</v>
      </c>
      <c r="G495" t="str">
        <f>"2026-02-18 18:15:46.794"</f>
        <v>2026-02-18 18:15:46.794</v>
      </c>
      <c r="H495" t="s">
        <v>21</v>
      </c>
    </row>
    <row r="496" spans="1:10" x14ac:dyDescent="0.25">
      <c r="A496" s="1">
        <v>21</v>
      </c>
      <c r="B496" t="s">
        <v>25</v>
      </c>
      <c r="C496">
        <v>635</v>
      </c>
      <c r="D496">
        <v>1</v>
      </c>
      <c r="E496" t="s">
        <v>23</v>
      </c>
      <c r="F496" t="s">
        <v>24</v>
      </c>
      <c r="G496" t="str">
        <f>"2026-02-18 18:09:13.294"</f>
        <v>2026-02-18 18:09:13.294</v>
      </c>
      <c r="H496" t="s">
        <v>21</v>
      </c>
      <c r="I496">
        <v>8.14</v>
      </c>
      <c r="J496" t="s">
        <v>36</v>
      </c>
    </row>
    <row r="497" spans="1:10" x14ac:dyDescent="0.25">
      <c r="A497" s="1">
        <v>22</v>
      </c>
      <c r="B497" t="s">
        <v>22</v>
      </c>
      <c r="C497">
        <v>635</v>
      </c>
      <c r="D497">
        <v>1</v>
      </c>
      <c r="E497" t="s">
        <v>23</v>
      </c>
      <c r="F497" t="s">
        <v>24</v>
      </c>
      <c r="G497" t="str">
        <f>"2026-02-18 16:44:25.994"</f>
        <v>2026-02-18 16:44:25.994</v>
      </c>
      <c r="H497" t="s">
        <v>21</v>
      </c>
    </row>
    <row r="498" spans="1:10" x14ac:dyDescent="0.25">
      <c r="A498" s="1">
        <v>23</v>
      </c>
      <c r="B498" t="s">
        <v>25</v>
      </c>
      <c r="C498">
        <v>635</v>
      </c>
      <c r="D498">
        <v>1</v>
      </c>
      <c r="E498" t="s">
        <v>23</v>
      </c>
      <c r="F498" t="s">
        <v>24</v>
      </c>
      <c r="G498" t="str">
        <f>"2026-02-18 16:42:06.494"</f>
        <v>2026-02-18 16:42:06.494</v>
      </c>
      <c r="H498" t="s">
        <v>21</v>
      </c>
      <c r="I498">
        <v>3.18</v>
      </c>
      <c r="J498" t="s">
        <v>36</v>
      </c>
    </row>
    <row r="499" spans="1:10" x14ac:dyDescent="0.25">
      <c r="A499" s="1">
        <v>24</v>
      </c>
      <c r="B499" t="s">
        <v>22</v>
      </c>
      <c r="C499">
        <v>61</v>
      </c>
      <c r="D499">
        <v>2</v>
      </c>
      <c r="E499" t="s">
        <v>38</v>
      </c>
      <c r="F499" t="s">
        <v>39</v>
      </c>
      <c r="G499" t="str">
        <f>"2026-02-17 21:24:46.007"</f>
        <v>2026-02-17 21:24:46.007</v>
      </c>
      <c r="H499" t="s">
        <v>21</v>
      </c>
    </row>
    <row r="500" spans="1:10" x14ac:dyDescent="0.25">
      <c r="A500" s="1">
        <v>25</v>
      </c>
      <c r="B500" t="s">
        <v>32</v>
      </c>
      <c r="C500">
        <v>61</v>
      </c>
      <c r="D500">
        <v>2</v>
      </c>
      <c r="E500" t="s">
        <v>38</v>
      </c>
      <c r="F500" t="s">
        <v>39</v>
      </c>
      <c r="G500" t="str">
        <f>"2026-02-17 21:24:30.707"</f>
        <v>2026-02-17 21:24:30.707</v>
      </c>
      <c r="H500" t="s">
        <v>21</v>
      </c>
      <c r="I500">
        <v>30.26</v>
      </c>
      <c r="J500" t="s">
        <v>27</v>
      </c>
    </row>
    <row r="501" spans="1:10" x14ac:dyDescent="0.25">
      <c r="A501" s="1">
        <v>26</v>
      </c>
      <c r="B501" t="s">
        <v>22</v>
      </c>
      <c r="C501">
        <v>61</v>
      </c>
      <c r="D501">
        <v>2</v>
      </c>
      <c r="E501" t="s">
        <v>38</v>
      </c>
      <c r="F501" t="s">
        <v>39</v>
      </c>
      <c r="G501" t="str">
        <f>"2026-02-16 23:27:29.407"</f>
        <v>2026-02-16 23:27:29.407</v>
      </c>
      <c r="H501" t="s">
        <v>21</v>
      </c>
    </row>
    <row r="502" spans="1:10" x14ac:dyDescent="0.25">
      <c r="A502" s="1">
        <v>27</v>
      </c>
      <c r="B502" t="s">
        <v>32</v>
      </c>
      <c r="C502">
        <v>61</v>
      </c>
      <c r="D502">
        <v>2</v>
      </c>
      <c r="E502" t="s">
        <v>38</v>
      </c>
      <c r="F502" t="s">
        <v>39</v>
      </c>
      <c r="G502" t="str">
        <f>"2026-02-16 23:27:10.007"</f>
        <v>2026-02-16 23:27:10.007</v>
      </c>
      <c r="H502" t="s">
        <v>21</v>
      </c>
      <c r="I502">
        <v>30.01</v>
      </c>
      <c r="J502" t="s">
        <v>27</v>
      </c>
    </row>
    <row r="503" spans="1:10" x14ac:dyDescent="0.25">
      <c r="A503" s="1">
        <v>28</v>
      </c>
      <c r="B503" t="s">
        <v>22</v>
      </c>
      <c r="C503">
        <v>61</v>
      </c>
      <c r="D503">
        <v>2</v>
      </c>
      <c r="E503" t="s">
        <v>38</v>
      </c>
      <c r="F503" t="s">
        <v>39</v>
      </c>
      <c r="G503" t="str">
        <f>"2026-02-16 07:33:12.307"</f>
        <v>2026-02-16 07:33:12.307</v>
      </c>
      <c r="H503" t="s">
        <v>21</v>
      </c>
    </row>
    <row r="504" spans="1:10" x14ac:dyDescent="0.25">
      <c r="A504" s="1">
        <v>29</v>
      </c>
      <c r="B504" t="s">
        <v>32</v>
      </c>
      <c r="C504">
        <v>61</v>
      </c>
      <c r="D504">
        <v>2</v>
      </c>
      <c r="E504" t="s">
        <v>38</v>
      </c>
      <c r="F504" t="s">
        <v>39</v>
      </c>
      <c r="G504" t="str">
        <f>"2026-02-16 07:32:53.407"</f>
        <v>2026-02-16 07:32:53.407</v>
      </c>
      <c r="H504" t="s">
        <v>21</v>
      </c>
      <c r="I504">
        <v>29.95</v>
      </c>
      <c r="J504" t="s">
        <v>27</v>
      </c>
    </row>
    <row r="505" spans="1:10" x14ac:dyDescent="0.25">
      <c r="A505" s="1">
        <v>30</v>
      </c>
      <c r="B505" t="s">
        <v>22</v>
      </c>
      <c r="C505">
        <v>635</v>
      </c>
      <c r="D505">
        <v>1</v>
      </c>
      <c r="E505" t="s">
        <v>23</v>
      </c>
      <c r="F505" t="s">
        <v>24</v>
      </c>
      <c r="G505" t="str">
        <f>"2026-02-16 03:34:28.794"</f>
        <v>2026-02-16 03:34:28.794</v>
      </c>
      <c r="H505" t="s">
        <v>21</v>
      </c>
    </row>
    <row r="506" spans="1:10" x14ac:dyDescent="0.25">
      <c r="A506" s="1">
        <v>31</v>
      </c>
      <c r="B506" t="s">
        <v>25</v>
      </c>
      <c r="C506">
        <v>635</v>
      </c>
      <c r="D506">
        <v>1</v>
      </c>
      <c r="E506" t="s">
        <v>23</v>
      </c>
      <c r="F506" t="s">
        <v>24</v>
      </c>
      <c r="G506" t="str">
        <f>"2026-02-16 03:29:19.795"</f>
        <v>2026-02-16 03:29:19.795</v>
      </c>
      <c r="H506" t="s">
        <v>21</v>
      </c>
      <c r="I506">
        <v>2.54</v>
      </c>
      <c r="J506" t="s">
        <v>36</v>
      </c>
    </row>
    <row r="507" spans="1:10" x14ac:dyDescent="0.25">
      <c r="A507" s="1">
        <v>32</v>
      </c>
      <c r="B507" t="s">
        <v>19</v>
      </c>
      <c r="C507">
        <v>706</v>
      </c>
      <c r="D507">
        <v>2</v>
      </c>
      <c r="E507" t="s">
        <v>28</v>
      </c>
      <c r="F507" t="s">
        <v>45</v>
      </c>
      <c r="G507" t="str">
        <f>"2026-02-15 22:39:23.683"</f>
        <v>2026-02-15 22:39:23.683</v>
      </c>
      <c r="H507" t="s">
        <v>21</v>
      </c>
      <c r="I507">
        <v>0</v>
      </c>
      <c r="J507" t="s">
        <v>30</v>
      </c>
    </row>
    <row r="508" spans="1:10" x14ac:dyDescent="0.25">
      <c r="A508" s="1">
        <v>33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"2026-02-15 22:34:54.473"</f>
        <v>2026-02-15 22:34:54.473</v>
      </c>
      <c r="H508" t="s">
        <v>21</v>
      </c>
      <c r="I508">
        <v>0</v>
      </c>
      <c r="J508" t="s">
        <v>31</v>
      </c>
    </row>
    <row r="509" spans="1:10" x14ac:dyDescent="0.25">
      <c r="A509" s="1">
        <v>34</v>
      </c>
      <c r="B509" t="s">
        <v>22</v>
      </c>
      <c r="C509">
        <v>635</v>
      </c>
      <c r="D509">
        <v>1</v>
      </c>
      <c r="E509" t="s">
        <v>23</v>
      </c>
      <c r="F509" t="s">
        <v>24</v>
      </c>
      <c r="G509" t="str">
        <f>"2026-02-15 10:12:37.773"</f>
        <v>2026-02-15 10:12:37.773</v>
      </c>
      <c r="H509" t="s">
        <v>21</v>
      </c>
    </row>
    <row r="510" spans="1:10" x14ac:dyDescent="0.25">
      <c r="A510" s="1">
        <v>35</v>
      </c>
      <c r="B510" t="s">
        <v>25</v>
      </c>
      <c r="C510">
        <v>635</v>
      </c>
      <c r="D510">
        <v>1</v>
      </c>
      <c r="E510" t="s">
        <v>23</v>
      </c>
      <c r="F510" t="s">
        <v>24</v>
      </c>
      <c r="G510" t="str">
        <f>"2026-02-15 10:08:42.273"</f>
        <v>2026-02-15 10:08:42.273</v>
      </c>
      <c r="H510" t="s">
        <v>21</v>
      </c>
      <c r="I510">
        <v>6.06</v>
      </c>
      <c r="J510" t="s">
        <v>36</v>
      </c>
    </row>
    <row r="511" spans="1:10" x14ac:dyDescent="0.25">
      <c r="A511" s="1">
        <v>36</v>
      </c>
      <c r="B511" t="s">
        <v>19</v>
      </c>
      <c r="C511">
        <v>706</v>
      </c>
      <c r="D511">
        <v>2</v>
      </c>
      <c r="E511" t="s">
        <v>28</v>
      </c>
      <c r="F511" t="s">
        <v>45</v>
      </c>
      <c r="G511" t="str">
        <f>"2026-02-14 21:46:03.056"</f>
        <v>2026-02-14 21:46:03.056</v>
      </c>
      <c r="H511" t="s">
        <v>21</v>
      </c>
      <c r="I511">
        <v>0</v>
      </c>
      <c r="J511" t="s">
        <v>30</v>
      </c>
    </row>
    <row r="512" spans="1:10" x14ac:dyDescent="0.25">
      <c r="A512" s="1">
        <v>37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"2026-02-14 21:38:38.476"</f>
        <v>2026-02-14 21:38:38.476</v>
      </c>
      <c r="H512" t="s">
        <v>21</v>
      </c>
    </row>
    <row r="513" spans="1:10" x14ac:dyDescent="0.25">
      <c r="A513" s="1">
        <v>38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"2026-02-13 22:26:18.476"</f>
        <v>2026-02-13 22:26:18.476</v>
      </c>
      <c r="H513" t="s">
        <v>21</v>
      </c>
      <c r="I513">
        <v>0</v>
      </c>
      <c r="J513" t="s">
        <v>31</v>
      </c>
    </row>
    <row r="514" spans="1:10" x14ac:dyDescent="0.25">
      <c r="A514" s="1">
        <v>39</v>
      </c>
      <c r="B514" t="s">
        <v>19</v>
      </c>
      <c r="C514">
        <v>706</v>
      </c>
      <c r="D514">
        <v>2</v>
      </c>
      <c r="E514" t="s">
        <v>28</v>
      </c>
      <c r="F514" t="s">
        <v>45</v>
      </c>
      <c r="G514" t="str">
        <f>"2026-02-13 21:49:22.305"</f>
        <v>2026-02-13 21:49:22.305</v>
      </c>
      <c r="H514" t="s">
        <v>21</v>
      </c>
      <c r="I514">
        <v>0</v>
      </c>
      <c r="J514" t="s">
        <v>30</v>
      </c>
    </row>
    <row r="515" spans="1:10" x14ac:dyDescent="0.25">
      <c r="A515" s="1">
        <v>40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"2026-02-13 21:48:58.505"</f>
        <v>2026-02-13 21:48:58.505</v>
      </c>
      <c r="H515" t="s">
        <v>21</v>
      </c>
      <c r="I515">
        <v>0</v>
      </c>
      <c r="J515" t="s">
        <v>31</v>
      </c>
    </row>
    <row r="516" spans="1:10" x14ac:dyDescent="0.25">
      <c r="A516" s="1">
        <v>41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"2026-02-13 21:39:29.486"</f>
        <v>2026-02-13 21:39:29.486</v>
      </c>
      <c r="H516" t="s">
        <v>21</v>
      </c>
      <c r="I516">
        <v>0</v>
      </c>
      <c r="J516" t="s">
        <v>31</v>
      </c>
    </row>
    <row r="517" spans="1:10" x14ac:dyDescent="0.25">
      <c r="A517" s="1">
        <v>42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"2026-02-13 20:10:00.718"</f>
        <v>2026-02-13 20:10:00.718</v>
      </c>
      <c r="H517" t="s">
        <v>21</v>
      </c>
      <c r="I517">
        <v>0</v>
      </c>
      <c r="J517" t="s">
        <v>31</v>
      </c>
    </row>
    <row r="518" spans="1:10" x14ac:dyDescent="0.25">
      <c r="A518" s="1">
        <v>43</v>
      </c>
      <c r="B518" t="s">
        <v>22</v>
      </c>
      <c r="C518">
        <v>635</v>
      </c>
      <c r="D518">
        <v>1</v>
      </c>
      <c r="E518" t="s">
        <v>23</v>
      </c>
      <c r="F518" t="s">
        <v>24</v>
      </c>
      <c r="G518" t="str">
        <f>"2026-02-12 21:41:54.439"</f>
        <v>2026-02-12 21:41:54.439</v>
      </c>
      <c r="H518" t="s">
        <v>21</v>
      </c>
    </row>
    <row r="519" spans="1:10" x14ac:dyDescent="0.25">
      <c r="A519" s="1">
        <v>44</v>
      </c>
      <c r="B519" t="s">
        <v>25</v>
      </c>
      <c r="C519">
        <v>635</v>
      </c>
      <c r="D519">
        <v>1</v>
      </c>
      <c r="E519" t="s">
        <v>23</v>
      </c>
      <c r="F519" t="s">
        <v>24</v>
      </c>
      <c r="G519" t="str">
        <f>"2026-02-12 21:37:48.939"</f>
        <v>2026-02-12 21:37:48.939</v>
      </c>
      <c r="H519" t="s">
        <v>21</v>
      </c>
      <c r="I519">
        <v>1.3</v>
      </c>
      <c r="J519" t="s">
        <v>26</v>
      </c>
    </row>
    <row r="520" spans="1:10" x14ac:dyDescent="0.25">
      <c r="A520" s="1">
        <v>45</v>
      </c>
      <c r="B520" t="s">
        <v>22</v>
      </c>
      <c r="C520">
        <v>635</v>
      </c>
      <c r="D520">
        <v>1</v>
      </c>
      <c r="E520" t="s">
        <v>23</v>
      </c>
      <c r="F520" t="s">
        <v>24</v>
      </c>
      <c r="G520" t="str">
        <f>"2026-02-12 00:03:33.739"</f>
        <v>2026-02-12 00:03:33.739</v>
      </c>
      <c r="H520" t="s">
        <v>21</v>
      </c>
    </row>
    <row r="521" spans="1:10" x14ac:dyDescent="0.25">
      <c r="A521" s="1">
        <v>46</v>
      </c>
      <c r="B521" t="s">
        <v>25</v>
      </c>
      <c r="C521">
        <v>635</v>
      </c>
      <c r="D521">
        <v>1</v>
      </c>
      <c r="E521" t="s">
        <v>23</v>
      </c>
      <c r="F521" t="s">
        <v>24</v>
      </c>
      <c r="G521" t="str">
        <f>"2026-02-11 23:59:14.739"</f>
        <v>2026-02-11 23:59:14.739</v>
      </c>
      <c r="H521" t="s">
        <v>21</v>
      </c>
      <c r="I521">
        <v>6.11</v>
      </c>
      <c r="J521" t="s">
        <v>36</v>
      </c>
    </row>
    <row r="522" spans="1:10" x14ac:dyDescent="0.25">
      <c r="A522" s="1">
        <v>47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"2026-02-11 13:52:41.468"</f>
        <v>2026-02-11 13:52:41.468</v>
      </c>
      <c r="H522" t="s">
        <v>21</v>
      </c>
    </row>
    <row r="523" spans="1:10" x14ac:dyDescent="0.25">
      <c r="A523" s="1">
        <v>48</v>
      </c>
      <c r="B523" t="s">
        <v>22</v>
      </c>
      <c r="C523">
        <v>635</v>
      </c>
      <c r="D523">
        <v>1</v>
      </c>
      <c r="E523" t="s">
        <v>23</v>
      </c>
      <c r="F523" t="s">
        <v>24</v>
      </c>
      <c r="G523" t="str">
        <f>"2026-02-11 11:35:55.995"</f>
        <v>2026-02-11 11:35:55.995</v>
      </c>
      <c r="H523" t="s">
        <v>21</v>
      </c>
    </row>
    <row r="524" spans="1:10" x14ac:dyDescent="0.25">
      <c r="A524" s="1">
        <v>49</v>
      </c>
      <c r="B524" t="s">
        <v>25</v>
      </c>
      <c r="C524">
        <v>635</v>
      </c>
      <c r="D524">
        <v>1</v>
      </c>
      <c r="E524" t="s">
        <v>23</v>
      </c>
      <c r="F524" t="s">
        <v>24</v>
      </c>
      <c r="G524" t="str">
        <f>"2026-02-11 11:27:40.095"</f>
        <v>2026-02-11 11:27:40.095</v>
      </c>
      <c r="H524" t="s">
        <v>21</v>
      </c>
      <c r="I524">
        <v>4.51</v>
      </c>
      <c r="J524" t="s">
        <v>36</v>
      </c>
    </row>
    <row r="525" spans="1:10" x14ac:dyDescent="0.25">
      <c r="A525" s="1">
        <v>50</v>
      </c>
      <c r="B525" t="s">
        <v>22</v>
      </c>
      <c r="C525">
        <v>635</v>
      </c>
      <c r="D525">
        <v>1</v>
      </c>
      <c r="E525" t="s">
        <v>23</v>
      </c>
      <c r="F525" t="s">
        <v>24</v>
      </c>
      <c r="G525" t="str">
        <f>"2026-02-11 00:22:01.495"</f>
        <v>2026-02-11 00:22:01.495</v>
      </c>
      <c r="H525" t="s">
        <v>21</v>
      </c>
    </row>
    <row r="526" spans="1:10" x14ac:dyDescent="0.25">
      <c r="A526" s="1">
        <v>51</v>
      </c>
      <c r="B526" t="s">
        <v>25</v>
      </c>
      <c r="C526">
        <v>635</v>
      </c>
      <c r="D526">
        <v>1</v>
      </c>
      <c r="E526" t="s">
        <v>23</v>
      </c>
      <c r="F526" t="s">
        <v>24</v>
      </c>
      <c r="G526" t="str">
        <f>"2026-02-11 00:18:27.495"</f>
        <v>2026-02-11 00:18:27.495</v>
      </c>
      <c r="H526" t="s">
        <v>21</v>
      </c>
      <c r="I526">
        <v>2.2400000000000002</v>
      </c>
      <c r="J526" t="s">
        <v>26</v>
      </c>
    </row>
    <row r="527" spans="1:10" x14ac:dyDescent="0.25">
      <c r="A527" s="1">
        <v>52</v>
      </c>
      <c r="B527" t="s">
        <v>22</v>
      </c>
      <c r="C527">
        <v>635</v>
      </c>
      <c r="D527">
        <v>1</v>
      </c>
      <c r="E527" t="s">
        <v>23</v>
      </c>
      <c r="F527" t="s">
        <v>24</v>
      </c>
      <c r="G527" t="str">
        <f>"2026-02-10 06:39:47.695"</f>
        <v>2026-02-10 06:39:47.695</v>
      </c>
      <c r="H527" t="s">
        <v>21</v>
      </c>
    </row>
    <row r="528" spans="1:10" x14ac:dyDescent="0.25">
      <c r="A528" s="1">
        <v>53</v>
      </c>
      <c r="B528" t="s">
        <v>25</v>
      </c>
      <c r="C528">
        <v>635</v>
      </c>
      <c r="D528">
        <v>1</v>
      </c>
      <c r="E528" t="s">
        <v>23</v>
      </c>
      <c r="F528" t="s">
        <v>24</v>
      </c>
      <c r="G528" t="str">
        <f>"2026-02-10 06:35:43.195"</f>
        <v>2026-02-10 06:35:43.195</v>
      </c>
      <c r="H528" t="s">
        <v>21</v>
      </c>
      <c r="I528">
        <v>7.91</v>
      </c>
      <c r="J528" t="s">
        <v>36</v>
      </c>
    </row>
    <row r="529" spans="1:10" x14ac:dyDescent="0.25">
      <c r="A529" s="1">
        <v>54</v>
      </c>
      <c r="B529" t="s">
        <v>22</v>
      </c>
      <c r="C529">
        <v>635</v>
      </c>
      <c r="D529">
        <v>1</v>
      </c>
      <c r="E529" t="s">
        <v>23</v>
      </c>
      <c r="F529" t="s">
        <v>24</v>
      </c>
      <c r="G529" t="str">
        <f>"2026-02-10 00:04:30.995"</f>
        <v>2026-02-10 00:04:30.995</v>
      </c>
      <c r="H529" t="s">
        <v>21</v>
      </c>
    </row>
    <row r="530" spans="1:10" x14ac:dyDescent="0.25">
      <c r="A530" s="1">
        <v>55</v>
      </c>
      <c r="B530" t="s">
        <v>25</v>
      </c>
      <c r="C530">
        <v>635</v>
      </c>
      <c r="D530">
        <v>1</v>
      </c>
      <c r="E530" t="s">
        <v>23</v>
      </c>
      <c r="F530" t="s">
        <v>24</v>
      </c>
      <c r="G530" t="str">
        <f>"2026-02-09 23:43:28.095"</f>
        <v>2026-02-09 23:43:28.095</v>
      </c>
      <c r="H530" t="s">
        <v>21</v>
      </c>
      <c r="I530">
        <v>6.24</v>
      </c>
      <c r="J530" t="s">
        <v>36</v>
      </c>
    </row>
    <row r="531" spans="1:10" x14ac:dyDescent="0.25">
      <c r="A531" s="1">
        <v>56</v>
      </c>
      <c r="B531" t="s">
        <v>22</v>
      </c>
      <c r="C531">
        <v>635</v>
      </c>
      <c r="D531">
        <v>1</v>
      </c>
      <c r="E531" t="s">
        <v>23</v>
      </c>
      <c r="F531" t="s">
        <v>24</v>
      </c>
      <c r="G531" t="str">
        <f>"2026-02-09 15:09:01.695"</f>
        <v>2026-02-09 15:09:01.695</v>
      </c>
      <c r="H531" t="s">
        <v>21</v>
      </c>
    </row>
    <row r="532" spans="1:10" x14ac:dyDescent="0.25">
      <c r="A532" s="1">
        <v>57</v>
      </c>
      <c r="B532" t="s">
        <v>25</v>
      </c>
      <c r="C532">
        <v>635</v>
      </c>
      <c r="D532">
        <v>1</v>
      </c>
      <c r="E532" t="s">
        <v>23</v>
      </c>
      <c r="F532" t="s">
        <v>24</v>
      </c>
      <c r="G532" t="str">
        <f>"2026-02-09 14:48:17.695"</f>
        <v>2026-02-09 14:48:17.695</v>
      </c>
      <c r="H532" t="s">
        <v>21</v>
      </c>
      <c r="I532">
        <v>7.57</v>
      </c>
      <c r="J532" t="s">
        <v>36</v>
      </c>
    </row>
    <row r="533" spans="1:10" x14ac:dyDescent="0.25">
      <c r="A533" s="1">
        <v>59</v>
      </c>
      <c r="B533" t="s">
        <v>22</v>
      </c>
      <c r="C533">
        <v>635</v>
      </c>
      <c r="D533">
        <v>1</v>
      </c>
      <c r="E533" t="s">
        <v>23</v>
      </c>
      <c r="F533" t="s">
        <v>24</v>
      </c>
      <c r="G533" t="str">
        <f>"2026-02-08 18:14:34.895"</f>
        <v>2026-02-08 18:14:34.895</v>
      </c>
      <c r="H533" t="s">
        <v>21</v>
      </c>
    </row>
    <row r="534" spans="1:10" x14ac:dyDescent="0.25">
      <c r="A534" s="1">
        <v>60</v>
      </c>
      <c r="B534" t="s">
        <v>25</v>
      </c>
      <c r="C534">
        <v>635</v>
      </c>
      <c r="D534">
        <v>1</v>
      </c>
      <c r="E534" t="s">
        <v>23</v>
      </c>
      <c r="F534" t="s">
        <v>24</v>
      </c>
      <c r="G534" t="str">
        <f>"2026-02-08 18:07:34.395"</f>
        <v>2026-02-08 18:07:34.395</v>
      </c>
      <c r="H534" t="s">
        <v>21</v>
      </c>
      <c r="I534">
        <v>4.04</v>
      </c>
      <c r="J534" t="s">
        <v>36</v>
      </c>
    </row>
    <row r="535" spans="1:10" x14ac:dyDescent="0.25">
      <c r="A535" s="1">
        <v>62</v>
      </c>
      <c r="B535" t="s">
        <v>19</v>
      </c>
      <c r="C535">
        <v>706</v>
      </c>
      <c r="D535">
        <v>4</v>
      </c>
      <c r="E535" t="s">
        <v>28</v>
      </c>
      <c r="F535" t="s">
        <v>29</v>
      </c>
      <c r="G535" t="str">
        <f>"2026-02-08 13:47:15.055"</f>
        <v>2026-02-08 13:47:15.055</v>
      </c>
      <c r="H535" t="s">
        <v>21</v>
      </c>
      <c r="I535">
        <v>0</v>
      </c>
      <c r="J535" t="s">
        <v>30</v>
      </c>
    </row>
    <row r="536" spans="1:10" x14ac:dyDescent="0.25">
      <c r="A536" s="1">
        <v>63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"2026-02-08 13:46:50.465"</f>
        <v>2026-02-08 13:46:50.465</v>
      </c>
      <c r="H536" t="s">
        <v>21</v>
      </c>
      <c r="I536">
        <v>0</v>
      </c>
      <c r="J536" t="s">
        <v>31</v>
      </c>
    </row>
    <row r="537" spans="1:10" x14ac:dyDescent="0.25">
      <c r="A537" s="1">
        <v>64</v>
      </c>
      <c r="B537" t="s">
        <v>22</v>
      </c>
      <c r="C537">
        <v>635</v>
      </c>
      <c r="D537">
        <v>1</v>
      </c>
      <c r="E537" t="s">
        <v>23</v>
      </c>
      <c r="F537" t="s">
        <v>24</v>
      </c>
      <c r="G537" t="str">
        <f>"2026-02-08 02:06:59.820"</f>
        <v>2026-02-08 02:06:59.820</v>
      </c>
      <c r="H537" t="s">
        <v>21</v>
      </c>
    </row>
    <row r="538" spans="1:10" x14ac:dyDescent="0.25">
      <c r="A538" s="1">
        <v>65</v>
      </c>
      <c r="B538" t="s">
        <v>25</v>
      </c>
      <c r="C538">
        <v>635</v>
      </c>
      <c r="D538">
        <v>1</v>
      </c>
      <c r="E538" t="s">
        <v>23</v>
      </c>
      <c r="F538" t="s">
        <v>24</v>
      </c>
      <c r="G538" t="str">
        <f>"2026-02-08 02:01:56.820"</f>
        <v>2026-02-08 02:01:56.820</v>
      </c>
      <c r="H538" t="s">
        <v>21</v>
      </c>
      <c r="I538">
        <v>9.57</v>
      </c>
      <c r="J538" t="s">
        <v>27</v>
      </c>
    </row>
    <row r="539" spans="1:10" x14ac:dyDescent="0.25">
      <c r="A539" s="1">
        <v>66</v>
      </c>
      <c r="B539" t="s">
        <v>22</v>
      </c>
      <c r="C539">
        <v>635</v>
      </c>
      <c r="D539">
        <v>1</v>
      </c>
      <c r="E539" t="s">
        <v>23</v>
      </c>
      <c r="F539" t="s">
        <v>24</v>
      </c>
      <c r="G539" t="str">
        <f>"2026-02-07 21:02:09.420"</f>
        <v>2026-02-07 21:02:09.420</v>
      </c>
      <c r="H539" t="s">
        <v>21</v>
      </c>
    </row>
    <row r="540" spans="1:10" x14ac:dyDescent="0.25">
      <c r="A540" s="1">
        <v>67</v>
      </c>
      <c r="B540" t="s">
        <v>25</v>
      </c>
      <c r="C540">
        <v>635</v>
      </c>
      <c r="D540">
        <v>1</v>
      </c>
      <c r="E540" t="s">
        <v>23</v>
      </c>
      <c r="F540" t="s">
        <v>24</v>
      </c>
      <c r="G540" t="str">
        <f>"2026-02-07 20:57:06.420"</f>
        <v>2026-02-07 20:57:06.420</v>
      </c>
      <c r="H540" t="s">
        <v>21</v>
      </c>
      <c r="I540">
        <v>7.71</v>
      </c>
      <c r="J540" t="s">
        <v>36</v>
      </c>
    </row>
    <row r="541" spans="1:10" x14ac:dyDescent="0.25">
      <c r="A541" s="1">
        <v>68</v>
      </c>
      <c r="B541" t="s">
        <v>22</v>
      </c>
      <c r="C541">
        <v>635</v>
      </c>
      <c r="D541">
        <v>1</v>
      </c>
      <c r="E541" t="s">
        <v>23</v>
      </c>
      <c r="F541" t="s">
        <v>24</v>
      </c>
      <c r="G541" t="str">
        <f>"2026-02-07 20:41:55.520"</f>
        <v>2026-02-07 20:41:55.520</v>
      </c>
      <c r="H541" t="s">
        <v>21</v>
      </c>
    </row>
    <row r="542" spans="1:10" x14ac:dyDescent="0.25">
      <c r="A542" s="1">
        <v>69</v>
      </c>
      <c r="B542" t="s">
        <v>25</v>
      </c>
      <c r="C542">
        <v>635</v>
      </c>
      <c r="D542">
        <v>1</v>
      </c>
      <c r="E542" t="s">
        <v>23</v>
      </c>
      <c r="F542" t="s">
        <v>24</v>
      </c>
      <c r="G542" t="str">
        <f>"2026-02-07 20:37:03.020"</f>
        <v>2026-02-07 20:37:03.020</v>
      </c>
      <c r="H542" t="s">
        <v>21</v>
      </c>
      <c r="I542">
        <v>7.38</v>
      </c>
      <c r="J542" t="s">
        <v>36</v>
      </c>
    </row>
    <row r="543" spans="1:10" x14ac:dyDescent="0.25">
      <c r="A543" s="1">
        <v>70</v>
      </c>
      <c r="B543" t="s">
        <v>22</v>
      </c>
      <c r="C543">
        <v>635</v>
      </c>
      <c r="D543">
        <v>1</v>
      </c>
      <c r="E543" t="s">
        <v>23</v>
      </c>
      <c r="F543" t="s">
        <v>24</v>
      </c>
      <c r="G543" t="str">
        <f>"2026-02-07 10:43:43.720"</f>
        <v>2026-02-07 10:43:43.720</v>
      </c>
      <c r="H543" t="s">
        <v>21</v>
      </c>
    </row>
    <row r="544" spans="1:10" x14ac:dyDescent="0.25">
      <c r="A544" s="1">
        <v>71</v>
      </c>
      <c r="B544" t="s">
        <v>25</v>
      </c>
      <c r="C544">
        <v>635</v>
      </c>
      <c r="D544">
        <v>1</v>
      </c>
      <c r="E544" t="s">
        <v>23</v>
      </c>
      <c r="F544" t="s">
        <v>24</v>
      </c>
      <c r="G544" t="str">
        <f>"2026-02-07 10:39:02.320"</f>
        <v>2026-02-07 10:39:02.320</v>
      </c>
      <c r="H544" t="s">
        <v>21</v>
      </c>
      <c r="I544">
        <v>4.51</v>
      </c>
      <c r="J544" t="s">
        <v>36</v>
      </c>
    </row>
    <row r="545" spans="1:10" x14ac:dyDescent="0.25">
      <c r="A545" s="1">
        <v>72</v>
      </c>
      <c r="B545" t="s">
        <v>22</v>
      </c>
      <c r="C545">
        <v>635</v>
      </c>
      <c r="D545">
        <v>1</v>
      </c>
      <c r="E545" t="s">
        <v>23</v>
      </c>
      <c r="F545" t="s">
        <v>24</v>
      </c>
      <c r="G545" t="str">
        <f>"2026-02-07 06:46:20.820"</f>
        <v>2026-02-07 06:46:20.820</v>
      </c>
      <c r="H545" t="s">
        <v>21</v>
      </c>
    </row>
    <row r="546" spans="1:10" x14ac:dyDescent="0.25">
      <c r="A546" s="1">
        <v>73</v>
      </c>
      <c r="B546" t="s">
        <v>25</v>
      </c>
      <c r="C546">
        <v>635</v>
      </c>
      <c r="D546">
        <v>1</v>
      </c>
      <c r="E546" t="s">
        <v>23</v>
      </c>
      <c r="F546" t="s">
        <v>24</v>
      </c>
      <c r="G546" t="str">
        <f>"2026-02-07 06:42:06.320"</f>
        <v>2026-02-07 06:42:06.320</v>
      </c>
      <c r="H546" t="s">
        <v>21</v>
      </c>
      <c r="I546">
        <v>7.5</v>
      </c>
      <c r="J546" t="s">
        <v>36</v>
      </c>
    </row>
    <row r="547" spans="1:10" x14ac:dyDescent="0.25">
      <c r="A547" s="1">
        <v>74</v>
      </c>
      <c r="B547" t="s">
        <v>22</v>
      </c>
      <c r="C547">
        <v>635</v>
      </c>
      <c r="D547">
        <v>1</v>
      </c>
      <c r="E547" t="s">
        <v>23</v>
      </c>
      <c r="F547" t="s">
        <v>24</v>
      </c>
      <c r="G547" t="str">
        <f>"2026-02-06 20:59:30.520"</f>
        <v>2026-02-06 20:59:30.520</v>
      </c>
      <c r="H547" t="s">
        <v>21</v>
      </c>
    </row>
    <row r="548" spans="1:10" x14ac:dyDescent="0.25">
      <c r="A548" s="1">
        <v>75</v>
      </c>
      <c r="B548" t="s">
        <v>25</v>
      </c>
      <c r="C548">
        <v>635</v>
      </c>
      <c r="D548">
        <v>1</v>
      </c>
      <c r="E548" t="s">
        <v>23</v>
      </c>
      <c r="F548" t="s">
        <v>24</v>
      </c>
      <c r="G548" t="str">
        <f>"2026-02-06 20:55:22.120"</f>
        <v>2026-02-06 20:55:22.120</v>
      </c>
      <c r="H548" t="s">
        <v>21</v>
      </c>
      <c r="I548">
        <v>4.1399999999999997</v>
      </c>
      <c r="J548" t="s">
        <v>26</v>
      </c>
    </row>
    <row r="549" spans="1:10" x14ac:dyDescent="0.25">
      <c r="A549" s="1">
        <v>76</v>
      </c>
      <c r="B549" t="s">
        <v>22</v>
      </c>
      <c r="C549">
        <v>98</v>
      </c>
      <c r="D549">
        <v>1</v>
      </c>
      <c r="E549" t="s">
        <v>46</v>
      </c>
      <c r="F549" t="s">
        <v>47</v>
      </c>
      <c r="G549" t="str">
        <f>"2026-02-06 13:52:34.532"</f>
        <v>2026-02-06 13:52:34.532</v>
      </c>
      <c r="H549" t="s">
        <v>21</v>
      </c>
    </row>
    <row r="550" spans="1:10" x14ac:dyDescent="0.25">
      <c r="A550" s="1">
        <v>77</v>
      </c>
      <c r="B550" t="s">
        <v>25</v>
      </c>
      <c r="C550">
        <v>98</v>
      </c>
      <c r="D550">
        <v>1</v>
      </c>
      <c r="E550" t="s">
        <v>46</v>
      </c>
      <c r="F550" t="s">
        <v>47</v>
      </c>
      <c r="G550" t="str">
        <f>"2026-02-06 13:52:33.433"</f>
        <v>2026-02-06 13:52:33.433</v>
      </c>
      <c r="H550" t="s">
        <v>21</v>
      </c>
      <c r="I550">
        <v>0</v>
      </c>
      <c r="J550" t="s">
        <v>26</v>
      </c>
    </row>
    <row r="551" spans="1:10" x14ac:dyDescent="0.25">
      <c r="A551" s="1">
        <v>78</v>
      </c>
      <c r="B551" t="s">
        <v>22</v>
      </c>
      <c r="C551">
        <v>635</v>
      </c>
      <c r="D551">
        <v>1</v>
      </c>
      <c r="E551" t="s">
        <v>23</v>
      </c>
      <c r="F551" t="s">
        <v>24</v>
      </c>
      <c r="G551" t="str">
        <f>"2026-02-06 06:01:17.020"</f>
        <v>2026-02-06 06:01:17.020</v>
      </c>
      <c r="H551" t="s">
        <v>21</v>
      </c>
    </row>
    <row r="552" spans="1:10" x14ac:dyDescent="0.25">
      <c r="A552" s="1">
        <v>79</v>
      </c>
      <c r="B552" t="s">
        <v>25</v>
      </c>
      <c r="C552">
        <v>635</v>
      </c>
      <c r="D552">
        <v>1</v>
      </c>
      <c r="E552" t="s">
        <v>23</v>
      </c>
      <c r="F552" t="s">
        <v>24</v>
      </c>
      <c r="G552" t="str">
        <f>"2026-02-06 05:56:43.020"</f>
        <v>2026-02-06 05:56:43.020</v>
      </c>
      <c r="H552" t="s">
        <v>21</v>
      </c>
      <c r="I552">
        <v>6.87</v>
      </c>
      <c r="J552" t="s">
        <v>36</v>
      </c>
    </row>
    <row r="553" spans="1:10" x14ac:dyDescent="0.25">
      <c r="A553" s="1">
        <v>80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"2026-02-05 22:40:14.452"</f>
        <v>2026-02-05 22:40:14.452</v>
      </c>
      <c r="H553" t="s">
        <v>21</v>
      </c>
      <c r="I553">
        <v>0</v>
      </c>
      <c r="J553" t="s">
        <v>31</v>
      </c>
    </row>
    <row r="554" spans="1:10" x14ac:dyDescent="0.25">
      <c r="A554" s="1">
        <v>81</v>
      </c>
      <c r="B554" t="s">
        <v>22</v>
      </c>
      <c r="C554">
        <v>98</v>
      </c>
      <c r="D554">
        <v>1</v>
      </c>
      <c r="E554" t="s">
        <v>46</v>
      </c>
      <c r="F554" t="s">
        <v>47</v>
      </c>
      <c r="G554" t="str">
        <f>"2026-02-05 22:35:58.406"</f>
        <v>2026-02-05 22:35:58.406</v>
      </c>
      <c r="H554" t="s">
        <v>21</v>
      </c>
    </row>
    <row r="555" spans="1:10" x14ac:dyDescent="0.25">
      <c r="A555" s="1">
        <v>82</v>
      </c>
      <c r="B555" t="s">
        <v>25</v>
      </c>
      <c r="C555">
        <v>98</v>
      </c>
      <c r="D555">
        <v>1</v>
      </c>
      <c r="E555" t="s">
        <v>46</v>
      </c>
      <c r="F555" t="s">
        <v>47</v>
      </c>
      <c r="G555" t="str">
        <f>"2026-02-05 22:35:57.407"</f>
        <v>2026-02-05 22:35:57.407</v>
      </c>
      <c r="H555" t="s">
        <v>21</v>
      </c>
      <c r="I555">
        <v>0</v>
      </c>
      <c r="J555" t="s">
        <v>26</v>
      </c>
    </row>
    <row r="556" spans="1:10" x14ac:dyDescent="0.25">
      <c r="A556" s="1">
        <v>83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"2026-02-03 12:10:08.436"</f>
        <v>2026-02-03 12:10:08.436</v>
      </c>
      <c r="H556" t="s">
        <v>21</v>
      </c>
    </row>
    <row r="557" spans="1:10" x14ac:dyDescent="0.25">
      <c r="A557" s="1">
        <v>84</v>
      </c>
      <c r="B557" t="s">
        <v>19</v>
      </c>
      <c r="C557">
        <v>706</v>
      </c>
      <c r="D557">
        <v>2</v>
      </c>
      <c r="E557" t="s">
        <v>28</v>
      </c>
      <c r="F557" t="s">
        <v>45</v>
      </c>
      <c r="G557" t="str">
        <f>"2026-02-03 10:26:41.063"</f>
        <v>2026-02-03 10:26:41.063</v>
      </c>
      <c r="H557" t="s">
        <v>21</v>
      </c>
      <c r="I557">
        <v>0</v>
      </c>
      <c r="J557" t="s">
        <v>30</v>
      </c>
    </row>
    <row r="558" spans="1:10" x14ac:dyDescent="0.25">
      <c r="A558" s="1">
        <v>85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"2026-02-03 10:11:24.493"</f>
        <v>2026-02-03 10:11:24.493</v>
      </c>
      <c r="H558" t="s">
        <v>21</v>
      </c>
      <c r="I558">
        <v>0</v>
      </c>
      <c r="J558" t="s">
        <v>31</v>
      </c>
    </row>
    <row r="559" spans="1:10" x14ac:dyDescent="0.25">
      <c r="A559" s="1">
        <v>86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"2026-02-03 09:36:09.440"</f>
        <v>2026-02-03 09:36:09.440</v>
      </c>
      <c r="H559" t="s">
        <v>21</v>
      </c>
      <c r="I559">
        <v>0</v>
      </c>
      <c r="J559" t="s">
        <v>31</v>
      </c>
    </row>
    <row r="560" spans="1:10" x14ac:dyDescent="0.25">
      <c r="A560" s="1">
        <v>87</v>
      </c>
      <c r="B560" t="s">
        <v>22</v>
      </c>
      <c r="C560">
        <v>61</v>
      </c>
      <c r="D560">
        <v>2</v>
      </c>
      <c r="E560" t="s">
        <v>38</v>
      </c>
      <c r="F560" t="s">
        <v>39</v>
      </c>
      <c r="G560" t="str">
        <f>"2026-02-03 07:10:03.598"</f>
        <v>2026-02-03 07:10:03.598</v>
      </c>
      <c r="H560" t="s">
        <v>21</v>
      </c>
    </row>
    <row r="561" spans="1:10" x14ac:dyDescent="0.25">
      <c r="A561" s="1">
        <v>88</v>
      </c>
      <c r="B561" t="s">
        <v>32</v>
      </c>
      <c r="C561">
        <v>61</v>
      </c>
      <c r="D561">
        <v>2</v>
      </c>
      <c r="E561" t="s">
        <v>38</v>
      </c>
      <c r="F561" t="s">
        <v>39</v>
      </c>
      <c r="G561" t="str">
        <f>"2026-02-03 07:09:44.398"</f>
        <v>2026-02-03 07:09:44.398</v>
      </c>
      <c r="H561" t="s">
        <v>21</v>
      </c>
      <c r="I561">
        <v>30.34</v>
      </c>
      <c r="J561" t="s">
        <v>27</v>
      </c>
    </row>
    <row r="562" spans="1:10" x14ac:dyDescent="0.25">
      <c r="A562" s="1">
        <v>89</v>
      </c>
      <c r="B562" t="s">
        <v>22</v>
      </c>
      <c r="C562">
        <v>42</v>
      </c>
      <c r="D562">
        <v>1</v>
      </c>
      <c r="E562" t="s">
        <v>52</v>
      </c>
      <c r="F562" t="s">
        <v>53</v>
      </c>
      <c r="G562" t="str">
        <f>"2026-02-02 21:30:40.155"</f>
        <v>2026-02-02 21:30:40.155</v>
      </c>
      <c r="H562" t="s">
        <v>54</v>
      </c>
    </row>
    <row r="563" spans="1:10" x14ac:dyDescent="0.25">
      <c r="A563" s="1">
        <v>90</v>
      </c>
      <c r="B563" t="s">
        <v>25</v>
      </c>
      <c r="C563">
        <v>42</v>
      </c>
      <c r="D563">
        <v>1</v>
      </c>
      <c r="E563" t="s">
        <v>52</v>
      </c>
      <c r="F563" t="s">
        <v>53</v>
      </c>
      <c r="G563" t="str">
        <f>"2026-02-02 21:30:34.555"</f>
        <v>2026-02-02 21:30:34.555</v>
      </c>
      <c r="H563" t="s">
        <v>54</v>
      </c>
      <c r="I563">
        <v>0</v>
      </c>
      <c r="J563" t="s">
        <v>30</v>
      </c>
    </row>
    <row r="564" spans="1:10" x14ac:dyDescent="0.25">
      <c r="A564" s="1">
        <v>91</v>
      </c>
      <c r="B564" t="s">
        <v>22</v>
      </c>
      <c r="C564">
        <v>61</v>
      </c>
      <c r="D564">
        <v>2</v>
      </c>
      <c r="E564" t="s">
        <v>38</v>
      </c>
      <c r="F564" t="s">
        <v>39</v>
      </c>
      <c r="G564" t="str">
        <f>"2026-02-02 19:34:23.297"</f>
        <v>2026-02-02 19:34:23.297</v>
      </c>
      <c r="H564" t="s">
        <v>21</v>
      </c>
    </row>
    <row r="565" spans="1:10" x14ac:dyDescent="0.25">
      <c r="A565" s="1">
        <v>92</v>
      </c>
      <c r="B565" t="s">
        <v>32</v>
      </c>
      <c r="C565">
        <v>61</v>
      </c>
      <c r="D565">
        <v>2</v>
      </c>
      <c r="E565" t="s">
        <v>38</v>
      </c>
      <c r="F565" t="s">
        <v>39</v>
      </c>
      <c r="G565" t="str">
        <f>"2026-02-02 19:34:09.297"</f>
        <v>2026-02-02 19:34:09.297</v>
      </c>
      <c r="H565" t="s">
        <v>21</v>
      </c>
      <c r="I565">
        <v>30.61</v>
      </c>
      <c r="J565" t="s">
        <v>27</v>
      </c>
    </row>
    <row r="566" spans="1:10" x14ac:dyDescent="0.25">
      <c r="A566" s="1">
        <v>93</v>
      </c>
      <c r="B566" t="s">
        <v>22</v>
      </c>
      <c r="C566">
        <v>61</v>
      </c>
      <c r="D566">
        <v>2</v>
      </c>
      <c r="E566" t="s">
        <v>38</v>
      </c>
      <c r="F566" t="s">
        <v>39</v>
      </c>
      <c r="G566" t="str">
        <f>"2026-02-02 03:07:49.497"</f>
        <v>2026-02-02 03:07:49.497</v>
      </c>
      <c r="H566" t="s">
        <v>21</v>
      </c>
    </row>
    <row r="567" spans="1:10" x14ac:dyDescent="0.25">
      <c r="A567" s="1">
        <v>94</v>
      </c>
      <c r="B567" t="s">
        <v>32</v>
      </c>
      <c r="C567">
        <v>61</v>
      </c>
      <c r="D567">
        <v>2</v>
      </c>
      <c r="E567" t="s">
        <v>38</v>
      </c>
      <c r="F567" t="s">
        <v>39</v>
      </c>
      <c r="G567" t="str">
        <f>"2026-02-02 03:07:44.798"</f>
        <v>2026-02-02 03:07:44.798</v>
      </c>
      <c r="H567" t="s">
        <v>21</v>
      </c>
      <c r="I567">
        <v>29.59</v>
      </c>
      <c r="J567" t="s">
        <v>27</v>
      </c>
    </row>
    <row r="568" spans="1:10" x14ac:dyDescent="0.25">
      <c r="A568" s="1">
        <v>96</v>
      </c>
      <c r="B568" t="s">
        <v>22</v>
      </c>
      <c r="C568">
        <v>635</v>
      </c>
      <c r="D568">
        <v>1</v>
      </c>
      <c r="E568" t="s">
        <v>23</v>
      </c>
      <c r="F568" t="s">
        <v>24</v>
      </c>
      <c r="G568" t="str">
        <f>"2026-02-01 03:50:14.237"</f>
        <v>2026-02-01 03:50:14.237</v>
      </c>
      <c r="H568" t="s">
        <v>21</v>
      </c>
    </row>
    <row r="569" spans="1:10" x14ac:dyDescent="0.25">
      <c r="A569" s="1">
        <v>97</v>
      </c>
      <c r="B569" t="s">
        <v>25</v>
      </c>
      <c r="C569">
        <v>635</v>
      </c>
      <c r="D569">
        <v>1</v>
      </c>
      <c r="E569" t="s">
        <v>23</v>
      </c>
      <c r="F569" t="s">
        <v>24</v>
      </c>
      <c r="G569" t="str">
        <f>"2026-02-01 03:46:06.237"</f>
        <v>2026-02-01 03:46:06.237</v>
      </c>
      <c r="H569" t="s">
        <v>21</v>
      </c>
      <c r="I569">
        <v>6.97</v>
      </c>
      <c r="J569" t="s">
        <v>27</v>
      </c>
    </row>
    <row r="570" spans="1:10" x14ac:dyDescent="0.25">
      <c r="A570" s="1">
        <v>98</v>
      </c>
      <c r="B570" t="s">
        <v>22</v>
      </c>
      <c r="C570">
        <v>635</v>
      </c>
      <c r="D570">
        <v>1</v>
      </c>
      <c r="E570" t="s">
        <v>23</v>
      </c>
      <c r="F570" t="s">
        <v>24</v>
      </c>
      <c r="G570" t="str">
        <f>"2026-01-31 17:06:17.137"</f>
        <v>2026-01-31 17:06:17.137</v>
      </c>
      <c r="H570" t="s">
        <v>21</v>
      </c>
    </row>
    <row r="571" spans="1:10" x14ac:dyDescent="0.25">
      <c r="A571" s="1">
        <v>99</v>
      </c>
      <c r="B571" t="s">
        <v>25</v>
      </c>
      <c r="C571">
        <v>635</v>
      </c>
      <c r="D571">
        <v>1</v>
      </c>
      <c r="E571" t="s">
        <v>23</v>
      </c>
      <c r="F571" t="s">
        <v>24</v>
      </c>
      <c r="G571" t="str">
        <f>"2026-01-31 16:57:52.637"</f>
        <v>2026-01-31 16:57:52.637</v>
      </c>
      <c r="H571" t="s">
        <v>21</v>
      </c>
      <c r="I571">
        <v>7.79</v>
      </c>
      <c r="J571" t="s">
        <v>36</v>
      </c>
    </row>
    <row r="572" spans="1:10" x14ac:dyDescent="0.25">
      <c r="A572" s="1">
        <v>1</v>
      </c>
      <c r="B572" t="s">
        <v>22</v>
      </c>
      <c r="C572">
        <v>98</v>
      </c>
      <c r="D572">
        <v>1</v>
      </c>
      <c r="E572" t="s">
        <v>46</v>
      </c>
      <c r="F572" t="s">
        <v>47</v>
      </c>
      <c r="G572" t="str">
        <f>"2026-01-30 18:02:50.197"</f>
        <v>2026-01-30 18:02:50.197</v>
      </c>
      <c r="H572" t="s">
        <v>21</v>
      </c>
    </row>
    <row r="573" spans="1:10" x14ac:dyDescent="0.25">
      <c r="A573" s="1">
        <v>2</v>
      </c>
      <c r="B573" t="s">
        <v>25</v>
      </c>
      <c r="C573">
        <v>98</v>
      </c>
      <c r="D573">
        <v>1</v>
      </c>
      <c r="E573" t="s">
        <v>46</v>
      </c>
      <c r="F573" t="s">
        <v>47</v>
      </c>
      <c r="G573" t="str">
        <f>"2026-01-30 18:02:49.197"</f>
        <v>2026-01-30 18:02:49.197</v>
      </c>
      <c r="H573" t="s">
        <v>21</v>
      </c>
      <c r="I573">
        <v>0</v>
      </c>
      <c r="J573" t="s">
        <v>26</v>
      </c>
    </row>
    <row r="574" spans="1:10" x14ac:dyDescent="0.25">
      <c r="A574" s="1">
        <v>3</v>
      </c>
      <c r="B574" t="s">
        <v>22</v>
      </c>
      <c r="C574">
        <v>98</v>
      </c>
      <c r="D574">
        <v>1</v>
      </c>
      <c r="E574" t="s">
        <v>46</v>
      </c>
      <c r="F574" t="s">
        <v>47</v>
      </c>
      <c r="G574" t="str">
        <f>"2026-01-30 18:02:48.797"</f>
        <v>2026-01-30 18:02:48.797</v>
      </c>
      <c r="H574" t="s">
        <v>21</v>
      </c>
    </row>
    <row r="575" spans="1:10" x14ac:dyDescent="0.25">
      <c r="A575" s="1">
        <v>4</v>
      </c>
      <c r="B575" t="s">
        <v>25</v>
      </c>
      <c r="C575">
        <v>98</v>
      </c>
      <c r="D575">
        <v>1</v>
      </c>
      <c r="E575" t="s">
        <v>46</v>
      </c>
      <c r="F575" t="s">
        <v>47</v>
      </c>
      <c r="G575" t="str">
        <f>"2026-01-30 18:02:47.798"</f>
        <v>2026-01-30 18:02:47.798</v>
      </c>
      <c r="H575" t="s">
        <v>21</v>
      </c>
      <c r="I575">
        <v>0</v>
      </c>
      <c r="J575" t="s">
        <v>26</v>
      </c>
    </row>
    <row r="576" spans="1:10" x14ac:dyDescent="0.25">
      <c r="A576" s="1">
        <v>5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"2026-01-30 08:17:17.503"</f>
        <v>2026-01-30 08:17:17.503</v>
      </c>
      <c r="H576" t="s">
        <v>21</v>
      </c>
      <c r="I576">
        <v>0</v>
      </c>
      <c r="J576" t="s">
        <v>31</v>
      </c>
    </row>
    <row r="577" spans="1:10" x14ac:dyDescent="0.25">
      <c r="A577" s="1">
        <v>6</v>
      </c>
      <c r="B577" t="s">
        <v>22</v>
      </c>
      <c r="C577">
        <v>98</v>
      </c>
      <c r="D577">
        <v>1</v>
      </c>
      <c r="E577" t="s">
        <v>46</v>
      </c>
      <c r="F577" t="s">
        <v>47</v>
      </c>
      <c r="G577" t="str">
        <f>"2026-01-30 08:07:08.548"</f>
        <v>2026-01-30 08:07:08.548</v>
      </c>
      <c r="H577" t="s">
        <v>21</v>
      </c>
    </row>
    <row r="578" spans="1:10" x14ac:dyDescent="0.25">
      <c r="A578" s="1">
        <v>7</v>
      </c>
      <c r="B578" t="s">
        <v>25</v>
      </c>
      <c r="C578">
        <v>98</v>
      </c>
      <c r="D578">
        <v>1</v>
      </c>
      <c r="E578" t="s">
        <v>46</v>
      </c>
      <c r="F578" t="s">
        <v>47</v>
      </c>
      <c r="G578" t="str">
        <f>"2026-01-30 08:07:07.549"</f>
        <v>2026-01-30 08:07:07.549</v>
      </c>
      <c r="H578" t="s">
        <v>21</v>
      </c>
      <c r="I578">
        <v>0</v>
      </c>
      <c r="J578" t="s">
        <v>26</v>
      </c>
    </row>
    <row r="579" spans="1:10" x14ac:dyDescent="0.25">
      <c r="A579" s="1">
        <v>8</v>
      </c>
      <c r="B579" t="s">
        <v>22</v>
      </c>
      <c r="C579">
        <v>635</v>
      </c>
      <c r="D579">
        <v>1</v>
      </c>
      <c r="E579" t="s">
        <v>23</v>
      </c>
      <c r="F579" t="s">
        <v>24</v>
      </c>
      <c r="G579" t="str">
        <f>"2026-01-30 05:27:31.195"</f>
        <v>2026-01-30 05:27:31.195</v>
      </c>
      <c r="H579" t="s">
        <v>21</v>
      </c>
    </row>
    <row r="580" spans="1:10" x14ac:dyDescent="0.25">
      <c r="A580" s="1">
        <v>9</v>
      </c>
      <c r="B580" t="s">
        <v>25</v>
      </c>
      <c r="C580">
        <v>635</v>
      </c>
      <c r="D580">
        <v>1</v>
      </c>
      <c r="E580" t="s">
        <v>23</v>
      </c>
      <c r="F580" t="s">
        <v>24</v>
      </c>
      <c r="G580" t="str">
        <f>"2026-01-30 05:25:26.695"</f>
        <v>2026-01-30 05:25:26.695</v>
      </c>
      <c r="H580" t="s">
        <v>21</v>
      </c>
      <c r="I580">
        <v>5.71</v>
      </c>
      <c r="J580" t="s">
        <v>26</v>
      </c>
    </row>
    <row r="581" spans="1:10" x14ac:dyDescent="0.25">
      <c r="A581" s="1">
        <v>11</v>
      </c>
      <c r="B581" t="s">
        <v>22</v>
      </c>
      <c r="C581">
        <v>635</v>
      </c>
      <c r="D581">
        <v>1</v>
      </c>
      <c r="E581" t="s">
        <v>23</v>
      </c>
      <c r="F581" t="s">
        <v>24</v>
      </c>
      <c r="G581" t="str">
        <f>"2026-01-29 10:50:02.095"</f>
        <v>2026-01-29 10:50:02.095</v>
      </c>
      <c r="H581" t="s">
        <v>21</v>
      </c>
    </row>
    <row r="582" spans="1:10" x14ac:dyDescent="0.25">
      <c r="A582" s="1">
        <v>12</v>
      </c>
      <c r="B582" t="s">
        <v>25</v>
      </c>
      <c r="C582">
        <v>635</v>
      </c>
      <c r="D582">
        <v>1</v>
      </c>
      <c r="E582" t="s">
        <v>23</v>
      </c>
      <c r="F582" t="s">
        <v>24</v>
      </c>
      <c r="G582" t="str">
        <f>"2026-01-29 10:47:28.095"</f>
        <v>2026-01-29 10:47:28.095</v>
      </c>
      <c r="H582" t="s">
        <v>21</v>
      </c>
      <c r="I582">
        <v>4.49</v>
      </c>
      <c r="J582" t="s">
        <v>36</v>
      </c>
    </row>
    <row r="583" spans="1:10" x14ac:dyDescent="0.25">
      <c r="A583" s="1">
        <v>14</v>
      </c>
      <c r="B583" t="s">
        <v>19</v>
      </c>
      <c r="C583">
        <v>706</v>
      </c>
      <c r="D583">
        <v>4</v>
      </c>
      <c r="E583" t="s">
        <v>28</v>
      </c>
      <c r="F583" t="s">
        <v>29</v>
      </c>
      <c r="G583" t="str">
        <f>"2026-01-28 12:56:15.674"</f>
        <v>2026-01-28 12:56:15.674</v>
      </c>
      <c r="H583" t="s">
        <v>21</v>
      </c>
      <c r="I583">
        <v>0</v>
      </c>
      <c r="J583" t="s">
        <v>30</v>
      </c>
    </row>
    <row r="584" spans="1:10" x14ac:dyDescent="0.25">
      <c r="A584" s="1">
        <v>15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"2026-01-28 12:54:49.474"</f>
        <v>2026-01-28 12:54:49.474</v>
      </c>
      <c r="H584" t="s">
        <v>21</v>
      </c>
      <c r="I584">
        <v>0</v>
      </c>
      <c r="J584" t="s">
        <v>31</v>
      </c>
    </row>
    <row r="585" spans="1:10" x14ac:dyDescent="0.25">
      <c r="A585" s="1">
        <v>20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"2026-01-27 13:30:22.434"</f>
        <v>2026-01-27 13:30:22.434</v>
      </c>
      <c r="H585" t="s">
        <v>21</v>
      </c>
    </row>
    <row r="586" spans="1:10" x14ac:dyDescent="0.25">
      <c r="A586" s="1">
        <v>23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"2026-01-26 21:41:48.435"</f>
        <v>2026-01-26 21:41:48.435</v>
      </c>
      <c r="H586" t="s">
        <v>21</v>
      </c>
      <c r="I586">
        <v>0</v>
      </c>
      <c r="J586" t="s">
        <v>31</v>
      </c>
    </row>
    <row r="587" spans="1:10" x14ac:dyDescent="0.25">
      <c r="A587" s="1">
        <v>24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"2026-01-26 21:40:39.455"</f>
        <v>2026-01-26 21:40:39.455</v>
      </c>
      <c r="H587" t="s">
        <v>21</v>
      </c>
      <c r="I587">
        <v>0</v>
      </c>
      <c r="J587" t="s">
        <v>31</v>
      </c>
    </row>
    <row r="588" spans="1:10" x14ac:dyDescent="0.25">
      <c r="A588" s="1">
        <v>25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"2026-01-26 13:37:40.427"</f>
        <v>2026-01-26 13:37:40.427</v>
      </c>
      <c r="H588" t="s">
        <v>21</v>
      </c>
    </row>
    <row r="589" spans="1:10" s="3" customFormat="1" x14ac:dyDescent="0.25">
      <c r="A589" s="2">
        <v>26</v>
      </c>
      <c r="B589" s="3" t="s">
        <v>22</v>
      </c>
      <c r="C589" s="3">
        <v>647</v>
      </c>
      <c r="D589" s="3">
        <v>1</v>
      </c>
      <c r="E589" s="3" t="s">
        <v>43</v>
      </c>
      <c r="F589" s="3" t="s">
        <v>44</v>
      </c>
      <c r="G589" s="3" t="str">
        <f>"2026-01-26 06:56:20.645"</f>
        <v>2026-01-26 06:56:20.645</v>
      </c>
      <c r="H589" s="3" t="s">
        <v>21</v>
      </c>
    </row>
    <row r="590" spans="1:10" s="3" customFormat="1" x14ac:dyDescent="0.25">
      <c r="A590" s="2">
        <v>27</v>
      </c>
      <c r="B590" s="3" t="s">
        <v>25</v>
      </c>
      <c r="C590" s="3">
        <v>647</v>
      </c>
      <c r="D590" s="3">
        <v>1</v>
      </c>
      <c r="E590" s="3" t="s">
        <v>43</v>
      </c>
      <c r="F590" s="3" t="s">
        <v>44</v>
      </c>
      <c r="G590" s="3" t="str">
        <f>"2026-01-26 06:56:16.545"</f>
        <v>2026-01-26 06:56:16.545</v>
      </c>
      <c r="H590" s="3" t="s">
        <v>21</v>
      </c>
      <c r="I590" s="3">
        <v>10.119999999999999</v>
      </c>
      <c r="J590" s="3" t="s">
        <v>27</v>
      </c>
    </row>
    <row r="591" spans="1:10" x14ac:dyDescent="0.25">
      <c r="A591" s="1">
        <v>28</v>
      </c>
      <c r="B591" t="s">
        <v>22</v>
      </c>
      <c r="C591">
        <v>635</v>
      </c>
      <c r="D591">
        <v>1</v>
      </c>
      <c r="E591" t="s">
        <v>23</v>
      </c>
      <c r="F591" t="s">
        <v>24</v>
      </c>
      <c r="G591" t="str">
        <f>"2026-01-26 03:51:55.945"</f>
        <v>2026-01-26 03:51:55.945</v>
      </c>
      <c r="H591" t="s">
        <v>21</v>
      </c>
    </row>
    <row r="592" spans="1:10" x14ac:dyDescent="0.25">
      <c r="A592" s="1">
        <v>29</v>
      </c>
      <c r="B592" t="s">
        <v>25</v>
      </c>
      <c r="C592">
        <v>635</v>
      </c>
      <c r="D592">
        <v>1</v>
      </c>
      <c r="E592" t="s">
        <v>23</v>
      </c>
      <c r="F592" t="s">
        <v>24</v>
      </c>
      <c r="G592" t="str">
        <f>"2026-01-26 03:49:28.445"</f>
        <v>2026-01-26 03:49:28.445</v>
      </c>
      <c r="H592" t="s">
        <v>21</v>
      </c>
      <c r="I592">
        <v>2.0299999999999998</v>
      </c>
      <c r="J592" t="s">
        <v>26</v>
      </c>
    </row>
    <row r="593" spans="1:10" x14ac:dyDescent="0.25">
      <c r="A593" s="1">
        <v>31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"2026-01-25 16:25:40.443"</f>
        <v>2026-01-25 16:25:40.443</v>
      </c>
      <c r="H593" t="s">
        <v>21</v>
      </c>
    </row>
    <row r="594" spans="1:10" x14ac:dyDescent="0.25">
      <c r="A594" s="1">
        <v>35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"2026-01-25 11:10:05.541"</f>
        <v>2026-01-25 11:10:05.541</v>
      </c>
      <c r="H594" t="s">
        <v>21</v>
      </c>
      <c r="I594">
        <v>0</v>
      </c>
      <c r="J594" t="s">
        <v>31</v>
      </c>
    </row>
    <row r="595" spans="1:10" x14ac:dyDescent="0.25">
      <c r="A595" s="1">
        <v>38</v>
      </c>
      <c r="B595" t="s">
        <v>22</v>
      </c>
      <c r="C595">
        <v>635</v>
      </c>
      <c r="D595">
        <v>1</v>
      </c>
      <c r="E595" t="s">
        <v>23</v>
      </c>
      <c r="F595" t="s">
        <v>24</v>
      </c>
      <c r="G595" t="str">
        <f>"2026-01-25 08:42:42.467"</f>
        <v>2026-01-25 08:42:42.467</v>
      </c>
      <c r="H595" t="s">
        <v>21</v>
      </c>
    </row>
    <row r="596" spans="1:10" x14ac:dyDescent="0.25">
      <c r="A596" s="1">
        <v>39</v>
      </c>
      <c r="B596" t="s">
        <v>25</v>
      </c>
      <c r="C596">
        <v>635</v>
      </c>
      <c r="D596">
        <v>1</v>
      </c>
      <c r="E596" t="s">
        <v>23</v>
      </c>
      <c r="F596" t="s">
        <v>24</v>
      </c>
      <c r="G596" t="str">
        <f>"2026-01-25 08:40:13.967"</f>
        <v>2026-01-25 08:40:13.967</v>
      </c>
      <c r="H596" t="s">
        <v>21</v>
      </c>
      <c r="I596">
        <v>-3.01</v>
      </c>
      <c r="J596" t="s">
        <v>36</v>
      </c>
    </row>
    <row r="597" spans="1:10" x14ac:dyDescent="0.25">
      <c r="A597" s="1">
        <v>40</v>
      </c>
      <c r="B597" t="s">
        <v>22</v>
      </c>
      <c r="C597">
        <v>635</v>
      </c>
      <c r="D597">
        <v>1</v>
      </c>
      <c r="E597" t="s">
        <v>23</v>
      </c>
      <c r="F597" t="s">
        <v>24</v>
      </c>
      <c r="G597" t="str">
        <f>"2026-01-24 21:32:45.467"</f>
        <v>2026-01-24 21:32:45.467</v>
      </c>
      <c r="H597" t="s">
        <v>21</v>
      </c>
    </row>
    <row r="598" spans="1:10" x14ac:dyDescent="0.25">
      <c r="A598" s="1">
        <v>41</v>
      </c>
      <c r="B598" t="s">
        <v>25</v>
      </c>
      <c r="C598">
        <v>635</v>
      </c>
      <c r="D598">
        <v>1</v>
      </c>
      <c r="E598" t="s">
        <v>23</v>
      </c>
      <c r="F598" t="s">
        <v>24</v>
      </c>
      <c r="G598" t="str">
        <f>"2026-01-24 21:28:20.467"</f>
        <v>2026-01-24 21:28:20.467</v>
      </c>
      <c r="H598" t="s">
        <v>21</v>
      </c>
      <c r="I598">
        <v>1.9</v>
      </c>
      <c r="J598" t="s">
        <v>36</v>
      </c>
    </row>
    <row r="599" spans="1:10" x14ac:dyDescent="0.25">
      <c r="A599" s="1">
        <v>42</v>
      </c>
      <c r="B599" t="s">
        <v>22</v>
      </c>
      <c r="C599">
        <v>635</v>
      </c>
      <c r="D599">
        <v>1</v>
      </c>
      <c r="E599" t="s">
        <v>23</v>
      </c>
      <c r="F599" t="s">
        <v>24</v>
      </c>
      <c r="G599" t="str">
        <f>"2026-01-24 16:47:12.067"</f>
        <v>2026-01-24 16:47:12.067</v>
      </c>
      <c r="H599" t="s">
        <v>21</v>
      </c>
    </row>
    <row r="600" spans="1:10" x14ac:dyDescent="0.25">
      <c r="A600" s="1">
        <v>43</v>
      </c>
      <c r="B600" t="s">
        <v>25</v>
      </c>
      <c r="C600">
        <v>635</v>
      </c>
      <c r="D600">
        <v>1</v>
      </c>
      <c r="E600" t="s">
        <v>23</v>
      </c>
      <c r="F600" t="s">
        <v>24</v>
      </c>
      <c r="G600" t="str">
        <f>"2026-01-24 16:42:16.067"</f>
        <v>2026-01-24 16:42:16.067</v>
      </c>
      <c r="H600" t="s">
        <v>21</v>
      </c>
      <c r="I600">
        <v>7.72</v>
      </c>
      <c r="J600" t="s">
        <v>36</v>
      </c>
    </row>
    <row r="601" spans="1:10" x14ac:dyDescent="0.25">
      <c r="A601" s="1">
        <v>44</v>
      </c>
      <c r="B601" t="s">
        <v>22</v>
      </c>
      <c r="C601">
        <v>635</v>
      </c>
      <c r="D601">
        <v>1</v>
      </c>
      <c r="E601" t="s">
        <v>23</v>
      </c>
      <c r="F601" t="s">
        <v>24</v>
      </c>
      <c r="G601" t="str">
        <f>"2026-01-24 16:13:26.567"</f>
        <v>2026-01-24 16:13:26.567</v>
      </c>
      <c r="H601" t="s">
        <v>21</v>
      </c>
    </row>
    <row r="602" spans="1:10" x14ac:dyDescent="0.25">
      <c r="A602" s="1">
        <v>45</v>
      </c>
      <c r="B602" t="s">
        <v>25</v>
      </c>
      <c r="C602">
        <v>635</v>
      </c>
      <c r="D602">
        <v>1</v>
      </c>
      <c r="E602" t="s">
        <v>23</v>
      </c>
      <c r="F602" t="s">
        <v>24</v>
      </c>
      <c r="G602" t="str">
        <f>"2026-01-24 16:08:33.667"</f>
        <v>2026-01-24 16:08:33.667</v>
      </c>
      <c r="H602" t="s">
        <v>21</v>
      </c>
      <c r="I602">
        <v>7.47</v>
      </c>
      <c r="J602" t="s">
        <v>36</v>
      </c>
    </row>
    <row r="603" spans="1:10" x14ac:dyDescent="0.25">
      <c r="A603" s="1">
        <v>46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"2026-01-24 13:25:22.433"</f>
        <v>2026-01-24 13:25:22.433</v>
      </c>
      <c r="H603" t="s">
        <v>21</v>
      </c>
      <c r="I603">
        <v>0</v>
      </c>
      <c r="J603" t="s">
        <v>31</v>
      </c>
    </row>
    <row r="604" spans="1:10" x14ac:dyDescent="0.25">
      <c r="A604" s="1">
        <v>47</v>
      </c>
      <c r="B604" t="s">
        <v>22</v>
      </c>
      <c r="C604">
        <v>635</v>
      </c>
      <c r="D604">
        <v>1</v>
      </c>
      <c r="E604" t="s">
        <v>23</v>
      </c>
      <c r="F604" t="s">
        <v>24</v>
      </c>
      <c r="G604" t="str">
        <f>"2026-01-24 10:31:47.006"</f>
        <v>2026-01-24 10:31:47.006</v>
      </c>
      <c r="H604" t="s">
        <v>21</v>
      </c>
    </row>
    <row r="605" spans="1:10" x14ac:dyDescent="0.25">
      <c r="A605" s="1">
        <v>48</v>
      </c>
      <c r="B605" t="s">
        <v>25</v>
      </c>
      <c r="C605">
        <v>635</v>
      </c>
      <c r="D605">
        <v>1</v>
      </c>
      <c r="E605" t="s">
        <v>23</v>
      </c>
      <c r="F605" t="s">
        <v>24</v>
      </c>
      <c r="G605" t="str">
        <f>"2026-01-24 10:27:37.506"</f>
        <v>2026-01-24 10:27:37.506</v>
      </c>
      <c r="H605" t="s">
        <v>21</v>
      </c>
      <c r="I605">
        <v>5.93</v>
      </c>
      <c r="J605" t="s">
        <v>27</v>
      </c>
    </row>
    <row r="606" spans="1:10" x14ac:dyDescent="0.25">
      <c r="A606" s="1">
        <v>50</v>
      </c>
      <c r="B606" t="s">
        <v>19</v>
      </c>
      <c r="C606">
        <v>706</v>
      </c>
      <c r="D606">
        <v>4</v>
      </c>
      <c r="E606" t="s">
        <v>28</v>
      </c>
      <c r="F606" t="s">
        <v>29</v>
      </c>
      <c r="G606" t="str">
        <f>"2026-01-23 23:17:08.868"</f>
        <v>2026-01-23 23:17:08.868</v>
      </c>
      <c r="H606" t="s">
        <v>21</v>
      </c>
      <c r="I606">
        <v>0</v>
      </c>
      <c r="J606" t="s">
        <v>30</v>
      </c>
    </row>
    <row r="607" spans="1:10" x14ac:dyDescent="0.25">
      <c r="A607" s="1">
        <v>51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"2026-01-23 23:16:35.408"</f>
        <v>2026-01-23 23:16:35.408</v>
      </c>
      <c r="H607" t="s">
        <v>21</v>
      </c>
      <c r="I607">
        <v>0</v>
      </c>
      <c r="J607" t="s">
        <v>31</v>
      </c>
    </row>
    <row r="608" spans="1:10" x14ac:dyDescent="0.25">
      <c r="A608" s="1">
        <v>52</v>
      </c>
      <c r="B608" t="s">
        <v>19</v>
      </c>
      <c r="C608">
        <v>706</v>
      </c>
      <c r="D608">
        <v>4</v>
      </c>
      <c r="E608" t="s">
        <v>28</v>
      </c>
      <c r="F608" t="s">
        <v>29</v>
      </c>
      <c r="G608" t="str">
        <f>"2026-01-23 22:56:21.881"</f>
        <v>2026-01-23 22:56:21.881</v>
      </c>
      <c r="H608" t="s">
        <v>21</v>
      </c>
      <c r="I608">
        <v>0</v>
      </c>
      <c r="J608" t="s">
        <v>30</v>
      </c>
    </row>
    <row r="609" spans="1:10" x14ac:dyDescent="0.25">
      <c r="A609" s="1">
        <v>53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"2026-01-23 22:17:41.411"</f>
        <v>2026-01-23 22:17:41.411</v>
      </c>
      <c r="H609" t="s">
        <v>21</v>
      </c>
      <c r="I609">
        <v>0</v>
      </c>
      <c r="J609" t="s">
        <v>31</v>
      </c>
    </row>
    <row r="610" spans="1:10" x14ac:dyDescent="0.25">
      <c r="A610" s="1">
        <v>54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"2026-01-23 20:59:53.777"</f>
        <v>2026-01-23 20:59:53.777</v>
      </c>
      <c r="H610" t="s">
        <v>21</v>
      </c>
      <c r="I610">
        <v>0</v>
      </c>
      <c r="J610" t="s">
        <v>31</v>
      </c>
    </row>
    <row r="611" spans="1:10" x14ac:dyDescent="0.25">
      <c r="A611" s="1">
        <v>55</v>
      </c>
      <c r="B611" t="s">
        <v>22</v>
      </c>
      <c r="C611">
        <v>635</v>
      </c>
      <c r="D611">
        <v>1</v>
      </c>
      <c r="E611" t="s">
        <v>23</v>
      </c>
      <c r="F611" t="s">
        <v>24</v>
      </c>
      <c r="G611" t="str">
        <f>"2026-01-23 16:07:25.030"</f>
        <v>2026-01-23 16:07:25.030</v>
      </c>
      <c r="H611" t="s">
        <v>21</v>
      </c>
    </row>
    <row r="612" spans="1:10" x14ac:dyDescent="0.25">
      <c r="A612" s="1">
        <v>56</v>
      </c>
      <c r="B612" t="s">
        <v>25</v>
      </c>
      <c r="C612">
        <v>635</v>
      </c>
      <c r="D612">
        <v>1</v>
      </c>
      <c r="E612" t="s">
        <v>23</v>
      </c>
      <c r="F612" t="s">
        <v>24</v>
      </c>
      <c r="G612" t="str">
        <f>"2026-01-23 16:03:05.530"</f>
        <v>2026-01-23 16:03:05.530</v>
      </c>
      <c r="H612" t="s">
        <v>21</v>
      </c>
      <c r="I612">
        <v>5.79</v>
      </c>
      <c r="J612" t="s">
        <v>36</v>
      </c>
    </row>
    <row r="613" spans="1:10" x14ac:dyDescent="0.25">
      <c r="A613" s="1">
        <v>58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"2026-01-23 12:56:51.428"</f>
        <v>2026-01-23 12:56:51.428</v>
      </c>
      <c r="H613" t="s">
        <v>21</v>
      </c>
      <c r="I613">
        <v>0</v>
      </c>
      <c r="J613" t="s">
        <v>31</v>
      </c>
    </row>
    <row r="614" spans="1:10" x14ac:dyDescent="0.25">
      <c r="A614" s="1">
        <v>59</v>
      </c>
      <c r="B614" t="s">
        <v>22</v>
      </c>
      <c r="C614">
        <v>635</v>
      </c>
      <c r="D614">
        <v>1</v>
      </c>
      <c r="E614" t="s">
        <v>23</v>
      </c>
      <c r="F614" t="s">
        <v>24</v>
      </c>
      <c r="G614" t="str">
        <f>"2026-01-21 20:09:50.626"</f>
        <v>2026-01-21 20:09:50.626</v>
      </c>
      <c r="H614" t="s">
        <v>21</v>
      </c>
    </row>
    <row r="615" spans="1:10" x14ac:dyDescent="0.25">
      <c r="A615" s="1">
        <v>60</v>
      </c>
      <c r="B615" t="s">
        <v>25</v>
      </c>
      <c r="C615">
        <v>635</v>
      </c>
      <c r="D615">
        <v>1</v>
      </c>
      <c r="E615" t="s">
        <v>23</v>
      </c>
      <c r="F615" t="s">
        <v>24</v>
      </c>
      <c r="G615" t="str">
        <f>"2026-01-21 20:02:50.626"</f>
        <v>2026-01-21 20:02:50.626</v>
      </c>
      <c r="H615" t="s">
        <v>21</v>
      </c>
      <c r="I615">
        <v>0.03</v>
      </c>
      <c r="J615" t="s">
        <v>26</v>
      </c>
    </row>
    <row r="616" spans="1:10" x14ac:dyDescent="0.25">
      <c r="A616" s="1">
        <v>61</v>
      </c>
      <c r="B616" t="s">
        <v>22</v>
      </c>
      <c r="C616">
        <v>635</v>
      </c>
      <c r="D616">
        <v>1</v>
      </c>
      <c r="E616" t="s">
        <v>23</v>
      </c>
      <c r="F616" t="s">
        <v>24</v>
      </c>
      <c r="G616" t="str">
        <f>"2026-01-21 16:29:40.626"</f>
        <v>2026-01-21 16:29:40.626</v>
      </c>
      <c r="H616" t="s">
        <v>21</v>
      </c>
    </row>
    <row r="617" spans="1:10" x14ac:dyDescent="0.25">
      <c r="A617" s="1">
        <v>62</v>
      </c>
      <c r="B617" t="s">
        <v>25</v>
      </c>
      <c r="C617">
        <v>635</v>
      </c>
      <c r="D617">
        <v>1</v>
      </c>
      <c r="E617" t="s">
        <v>23</v>
      </c>
      <c r="F617" t="s">
        <v>24</v>
      </c>
      <c r="G617" t="str">
        <f>"2026-01-21 16:24:34.126"</f>
        <v>2026-01-21 16:24:34.126</v>
      </c>
      <c r="H617" t="s">
        <v>21</v>
      </c>
      <c r="I617">
        <v>2.75</v>
      </c>
      <c r="J617" t="s">
        <v>36</v>
      </c>
    </row>
    <row r="618" spans="1:10" x14ac:dyDescent="0.25">
      <c r="A618" s="1">
        <v>64</v>
      </c>
      <c r="B618" t="s">
        <v>22</v>
      </c>
      <c r="C618">
        <v>635</v>
      </c>
      <c r="D618">
        <v>1</v>
      </c>
      <c r="E618" t="s">
        <v>23</v>
      </c>
      <c r="F618" t="s">
        <v>24</v>
      </c>
      <c r="G618" t="str">
        <f>"2026-01-20 23:51:43.226"</f>
        <v>2026-01-20 23:51:43.226</v>
      </c>
      <c r="H618" t="s">
        <v>21</v>
      </c>
    </row>
    <row r="619" spans="1:10" x14ac:dyDescent="0.25">
      <c r="A619" s="1">
        <v>65</v>
      </c>
      <c r="B619" t="s">
        <v>25</v>
      </c>
      <c r="C619">
        <v>635</v>
      </c>
      <c r="D619">
        <v>1</v>
      </c>
      <c r="E619" t="s">
        <v>23</v>
      </c>
      <c r="F619" t="s">
        <v>24</v>
      </c>
      <c r="G619" t="str">
        <f>"2026-01-20 23:49:53.226"</f>
        <v>2026-01-20 23:49:53.226</v>
      </c>
      <c r="H619" t="s">
        <v>21</v>
      </c>
      <c r="I619">
        <v>0.75</v>
      </c>
      <c r="J619" t="s">
        <v>36</v>
      </c>
    </row>
    <row r="620" spans="1:10" x14ac:dyDescent="0.25">
      <c r="A620" s="1">
        <v>66</v>
      </c>
      <c r="B620" t="s">
        <v>22</v>
      </c>
      <c r="C620">
        <v>635</v>
      </c>
      <c r="D620">
        <v>1</v>
      </c>
      <c r="E620" t="s">
        <v>23</v>
      </c>
      <c r="F620" t="s">
        <v>24</v>
      </c>
      <c r="G620" t="str">
        <f>"2026-01-20 11:43:04.326"</f>
        <v>2026-01-20 11:43:04.326</v>
      </c>
      <c r="H620" t="s">
        <v>21</v>
      </c>
    </row>
    <row r="621" spans="1:10" x14ac:dyDescent="0.25">
      <c r="A621" s="1">
        <v>67</v>
      </c>
      <c r="B621" t="s">
        <v>25</v>
      </c>
      <c r="C621">
        <v>635</v>
      </c>
      <c r="D621">
        <v>1</v>
      </c>
      <c r="E621" t="s">
        <v>23</v>
      </c>
      <c r="F621" t="s">
        <v>24</v>
      </c>
      <c r="G621" t="str">
        <f>"2026-01-20 11:39:42.326"</f>
        <v>2026-01-20 11:39:42.326</v>
      </c>
      <c r="H621" t="s">
        <v>21</v>
      </c>
      <c r="I621">
        <v>6.62</v>
      </c>
      <c r="J621" t="s">
        <v>36</v>
      </c>
    </row>
    <row r="622" spans="1:10" x14ac:dyDescent="0.25">
      <c r="A622" s="1">
        <v>68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"2026-01-19 23:37:58.434"</f>
        <v>2026-01-19 23:37:58.434</v>
      </c>
      <c r="H622" t="s">
        <v>21</v>
      </c>
      <c r="I622">
        <v>0</v>
      </c>
      <c r="J622" t="s">
        <v>31</v>
      </c>
    </row>
    <row r="623" spans="1:10" x14ac:dyDescent="0.25">
      <c r="A623" s="1">
        <v>69</v>
      </c>
      <c r="B623" t="s">
        <v>22</v>
      </c>
      <c r="C623">
        <v>635</v>
      </c>
      <c r="D623">
        <v>1</v>
      </c>
      <c r="E623" t="s">
        <v>23</v>
      </c>
      <c r="F623" t="s">
        <v>24</v>
      </c>
      <c r="G623" t="str">
        <f>"2026-01-19 22:57:54.754"</f>
        <v>2026-01-19 22:57:54.754</v>
      </c>
      <c r="H623" t="s">
        <v>21</v>
      </c>
    </row>
    <row r="624" spans="1:10" x14ac:dyDescent="0.25">
      <c r="A624" s="1">
        <v>70</v>
      </c>
      <c r="B624" t="s">
        <v>25</v>
      </c>
      <c r="C624">
        <v>635</v>
      </c>
      <c r="D624">
        <v>1</v>
      </c>
      <c r="E624" t="s">
        <v>23</v>
      </c>
      <c r="F624" t="s">
        <v>24</v>
      </c>
      <c r="G624" t="str">
        <f>"2026-01-19 22:53:12.254"</f>
        <v>2026-01-19 22:53:12.254</v>
      </c>
      <c r="H624" t="s">
        <v>21</v>
      </c>
      <c r="I624">
        <v>7.99</v>
      </c>
      <c r="J624" t="s">
        <v>36</v>
      </c>
    </row>
    <row r="625" spans="1:10" x14ac:dyDescent="0.25">
      <c r="A625" s="1">
        <v>71</v>
      </c>
      <c r="B625" t="s">
        <v>22</v>
      </c>
      <c r="C625">
        <v>635</v>
      </c>
      <c r="D625">
        <v>1</v>
      </c>
      <c r="E625" t="s">
        <v>23</v>
      </c>
      <c r="F625" t="s">
        <v>24</v>
      </c>
      <c r="G625" t="str">
        <f>"2026-01-19 17:39:57.954"</f>
        <v>2026-01-19 17:39:57.954</v>
      </c>
      <c r="H625" t="s">
        <v>21</v>
      </c>
    </row>
    <row r="626" spans="1:10" x14ac:dyDescent="0.25">
      <c r="A626" s="1">
        <v>72</v>
      </c>
      <c r="B626" t="s">
        <v>25</v>
      </c>
      <c r="C626">
        <v>635</v>
      </c>
      <c r="D626">
        <v>1</v>
      </c>
      <c r="E626" t="s">
        <v>23</v>
      </c>
      <c r="F626" t="s">
        <v>24</v>
      </c>
      <c r="G626" t="str">
        <f>"2026-01-19 17:35:51.454"</f>
        <v>2026-01-19 17:35:51.454</v>
      </c>
      <c r="H626" t="s">
        <v>21</v>
      </c>
      <c r="I626">
        <v>7.11</v>
      </c>
      <c r="J626" t="s">
        <v>36</v>
      </c>
    </row>
    <row r="627" spans="1:10" x14ac:dyDescent="0.25">
      <c r="A627" s="1">
        <v>73</v>
      </c>
      <c r="B627" t="s">
        <v>22</v>
      </c>
      <c r="C627">
        <v>635</v>
      </c>
      <c r="D627">
        <v>1</v>
      </c>
      <c r="E627" t="s">
        <v>23</v>
      </c>
      <c r="F627" t="s">
        <v>24</v>
      </c>
      <c r="G627" t="str">
        <f>"2026-01-19 16:11:29.654"</f>
        <v>2026-01-19 16:11:29.654</v>
      </c>
      <c r="H627" t="s">
        <v>21</v>
      </c>
    </row>
    <row r="628" spans="1:10" x14ac:dyDescent="0.25">
      <c r="A628" s="1">
        <v>74</v>
      </c>
      <c r="B628" t="s">
        <v>25</v>
      </c>
      <c r="C628">
        <v>635</v>
      </c>
      <c r="D628">
        <v>1</v>
      </c>
      <c r="E628" t="s">
        <v>23</v>
      </c>
      <c r="F628" t="s">
        <v>24</v>
      </c>
      <c r="G628" t="str">
        <f>"2026-01-19 16:07:59.653"</f>
        <v>2026-01-19 16:07:59.653</v>
      </c>
      <c r="H628" t="s">
        <v>21</v>
      </c>
      <c r="I628">
        <v>7.65</v>
      </c>
      <c r="J628" t="s">
        <v>36</v>
      </c>
    </row>
    <row r="629" spans="1:10" x14ac:dyDescent="0.25">
      <c r="A629" s="1">
        <v>75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"2026-01-19 02:31:25.543"</f>
        <v>2026-01-19 02:31:25.543</v>
      </c>
      <c r="H629" t="s">
        <v>21</v>
      </c>
    </row>
    <row r="630" spans="1:10" x14ac:dyDescent="0.25">
      <c r="A630" s="1">
        <v>76</v>
      </c>
      <c r="B630" t="s">
        <v>22</v>
      </c>
      <c r="C630">
        <v>61</v>
      </c>
      <c r="D630">
        <v>2</v>
      </c>
      <c r="E630" t="s">
        <v>38</v>
      </c>
      <c r="F630" t="s">
        <v>39</v>
      </c>
      <c r="G630" t="str">
        <f>"2026-01-18 06:00:03.439"</f>
        <v>2026-01-18 06:00:03.439</v>
      </c>
      <c r="H630" t="s">
        <v>21</v>
      </c>
    </row>
    <row r="631" spans="1:10" x14ac:dyDescent="0.25">
      <c r="A631" s="1">
        <v>77</v>
      </c>
      <c r="B631" t="s">
        <v>32</v>
      </c>
      <c r="C631">
        <v>61</v>
      </c>
      <c r="D631">
        <v>2</v>
      </c>
      <c r="E631" t="s">
        <v>38</v>
      </c>
      <c r="F631" t="s">
        <v>39</v>
      </c>
      <c r="G631" t="str">
        <f>"2026-01-18 05:59:52.539"</f>
        <v>2026-01-18 05:59:52.539</v>
      </c>
      <c r="H631" t="s">
        <v>21</v>
      </c>
      <c r="I631">
        <v>30.09</v>
      </c>
      <c r="J631" t="s">
        <v>27</v>
      </c>
    </row>
    <row r="632" spans="1:10" x14ac:dyDescent="0.25">
      <c r="A632" s="1">
        <v>78</v>
      </c>
      <c r="B632" t="s">
        <v>19</v>
      </c>
      <c r="C632">
        <v>706</v>
      </c>
      <c r="D632">
        <v>2</v>
      </c>
      <c r="E632" t="s">
        <v>28</v>
      </c>
      <c r="F632" t="s">
        <v>45</v>
      </c>
      <c r="G632" t="str">
        <f>"2026-01-16 17:15:58.718"</f>
        <v>2026-01-16 17:15:58.718</v>
      </c>
      <c r="H632" t="s">
        <v>21</v>
      </c>
      <c r="I632">
        <v>0</v>
      </c>
      <c r="J632" t="s">
        <v>30</v>
      </c>
    </row>
    <row r="633" spans="1:10" x14ac:dyDescent="0.25">
      <c r="A633" s="1">
        <v>81</v>
      </c>
      <c r="B633" t="s">
        <v>19</v>
      </c>
      <c r="C633">
        <v>782</v>
      </c>
      <c r="D633">
        <v>7</v>
      </c>
      <c r="E633" t="s">
        <v>55</v>
      </c>
      <c r="F633" t="s">
        <v>56</v>
      </c>
      <c r="G633" t="str">
        <f>"2026-01-16 17:15:09.906"</f>
        <v>2026-01-16 17:15:09.906</v>
      </c>
      <c r="H633" t="s">
        <v>21</v>
      </c>
      <c r="I633">
        <v>0</v>
      </c>
      <c r="J633" t="s">
        <v>30</v>
      </c>
    </row>
    <row r="634" spans="1:10" x14ac:dyDescent="0.25">
      <c r="A634" s="1">
        <v>84</v>
      </c>
      <c r="B634" t="s">
        <v>22</v>
      </c>
      <c r="C634">
        <v>12</v>
      </c>
      <c r="D634">
        <v>2</v>
      </c>
      <c r="E634" t="s">
        <v>57</v>
      </c>
      <c r="F634" t="s">
        <v>58</v>
      </c>
      <c r="G634" t="str">
        <f>"2026-01-16 17:15:09.901"</f>
        <v>2026-01-16 17:15:09.901</v>
      </c>
      <c r="H634" t="s">
        <v>21</v>
      </c>
    </row>
    <row r="635" spans="1:10" x14ac:dyDescent="0.25">
      <c r="A635" s="1">
        <v>85</v>
      </c>
      <c r="B635" t="s">
        <v>22</v>
      </c>
      <c r="C635">
        <v>12</v>
      </c>
      <c r="D635">
        <v>1</v>
      </c>
      <c r="E635" t="s">
        <v>57</v>
      </c>
      <c r="F635" t="s">
        <v>59</v>
      </c>
      <c r="G635" t="str">
        <f>"2026-01-16 17:15:09.899"</f>
        <v>2026-01-16 17:15:09.899</v>
      </c>
      <c r="H635" t="s">
        <v>21</v>
      </c>
    </row>
    <row r="636" spans="1:10" x14ac:dyDescent="0.25">
      <c r="A636" s="1">
        <v>86</v>
      </c>
      <c r="B636" t="s">
        <v>19</v>
      </c>
      <c r="C636">
        <v>782</v>
      </c>
      <c r="D636">
        <v>7</v>
      </c>
      <c r="E636" t="s">
        <v>55</v>
      </c>
      <c r="F636" t="s">
        <v>56</v>
      </c>
      <c r="G636" t="str">
        <f>"2026-01-16 17:15:09.898"</f>
        <v>2026-01-16 17:15:09.898</v>
      </c>
      <c r="H636" t="s">
        <v>21</v>
      </c>
      <c r="I636">
        <v>0</v>
      </c>
      <c r="J636" t="s">
        <v>30</v>
      </c>
    </row>
    <row r="637" spans="1:10" x14ac:dyDescent="0.25">
      <c r="A637" s="1">
        <v>87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"2026-01-16 17:12:39.348"</f>
        <v>2026-01-16 17:12:39.348</v>
      </c>
      <c r="H637" t="s">
        <v>21</v>
      </c>
    </row>
    <row r="638" spans="1:10" x14ac:dyDescent="0.25">
      <c r="A638" s="1">
        <v>88</v>
      </c>
      <c r="B638" t="s">
        <v>32</v>
      </c>
      <c r="C638">
        <v>641</v>
      </c>
      <c r="D638">
        <v>1</v>
      </c>
      <c r="E638" t="s">
        <v>60</v>
      </c>
      <c r="F638" t="s">
        <v>58</v>
      </c>
      <c r="G638" t="str">
        <f>"2026-01-16 17:05:06.284"</f>
        <v>2026-01-16 17:05:06.284</v>
      </c>
      <c r="H638" t="s">
        <v>21</v>
      </c>
      <c r="I638">
        <v>0</v>
      </c>
      <c r="J638" t="s">
        <v>30</v>
      </c>
    </row>
    <row r="639" spans="1:10" x14ac:dyDescent="0.25">
      <c r="A639" s="1">
        <v>89</v>
      </c>
      <c r="B639" t="s">
        <v>32</v>
      </c>
      <c r="C639">
        <v>640</v>
      </c>
      <c r="D639">
        <v>1</v>
      </c>
      <c r="E639" t="s">
        <v>61</v>
      </c>
      <c r="F639" t="s">
        <v>59</v>
      </c>
      <c r="G639" t="str">
        <f>"2026-01-16 17:05:06.278"</f>
        <v>2026-01-16 17:05:06.278</v>
      </c>
      <c r="H639" t="s">
        <v>62</v>
      </c>
      <c r="I639">
        <v>0</v>
      </c>
      <c r="J639" t="s">
        <v>30</v>
      </c>
    </row>
    <row r="640" spans="1:10" x14ac:dyDescent="0.25">
      <c r="A640" s="1">
        <v>90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"2026-01-16 17:04:56.139"</f>
        <v>2026-01-16 17:04:56.139</v>
      </c>
      <c r="H640" t="s">
        <v>21</v>
      </c>
    </row>
    <row r="641" spans="1:10" x14ac:dyDescent="0.25">
      <c r="A641" s="1">
        <v>91</v>
      </c>
      <c r="B641" t="s">
        <v>19</v>
      </c>
      <c r="C641">
        <v>754</v>
      </c>
      <c r="D641">
        <v>0</v>
      </c>
      <c r="E641" t="s">
        <v>63</v>
      </c>
      <c r="F641" t="s">
        <v>63</v>
      </c>
      <c r="G641" t="str">
        <f>"2026-01-16 17:04:00.225"</f>
        <v>2026-01-16 17:04:00.225</v>
      </c>
      <c r="H641" t="s">
        <v>21</v>
      </c>
      <c r="I641">
        <v>0</v>
      </c>
      <c r="J641" t="s">
        <v>30</v>
      </c>
    </row>
    <row r="642" spans="1:10" x14ac:dyDescent="0.25">
      <c r="A642" s="1">
        <v>92</v>
      </c>
      <c r="B642" t="s">
        <v>32</v>
      </c>
      <c r="C642">
        <v>641</v>
      </c>
      <c r="D642">
        <v>1</v>
      </c>
      <c r="E642" t="s">
        <v>60</v>
      </c>
      <c r="F642" t="s">
        <v>58</v>
      </c>
      <c r="G642" t="str">
        <f>"2026-01-16 17:03:19.218"</f>
        <v>2026-01-16 17:03:19.218</v>
      </c>
      <c r="H642" t="s">
        <v>21</v>
      </c>
      <c r="I642">
        <v>0</v>
      </c>
      <c r="J642" t="s">
        <v>30</v>
      </c>
    </row>
    <row r="643" spans="1:10" x14ac:dyDescent="0.25">
      <c r="A643" s="1">
        <v>93</v>
      </c>
      <c r="B643" t="s">
        <v>32</v>
      </c>
      <c r="C643">
        <v>640</v>
      </c>
      <c r="D643">
        <v>1</v>
      </c>
      <c r="E643" t="s">
        <v>61</v>
      </c>
      <c r="F643" t="s">
        <v>59</v>
      </c>
      <c r="G643" t="str">
        <f>"2026-01-16 17:03:19.213"</f>
        <v>2026-01-16 17:03:19.213</v>
      </c>
      <c r="H643" t="s">
        <v>62</v>
      </c>
      <c r="I643">
        <v>0</v>
      </c>
      <c r="J643" t="s">
        <v>30</v>
      </c>
    </row>
    <row r="644" spans="1:10" x14ac:dyDescent="0.25">
      <c r="A644" s="1">
        <v>94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"2026-01-16 17:03:09.128"</f>
        <v>2026-01-16 17:03:09.128</v>
      </c>
      <c r="H644" t="s">
        <v>21</v>
      </c>
    </row>
    <row r="645" spans="1:10" x14ac:dyDescent="0.25">
      <c r="A645" s="1">
        <v>95</v>
      </c>
      <c r="B645" t="s">
        <v>32</v>
      </c>
      <c r="C645">
        <v>641</v>
      </c>
      <c r="D645">
        <v>1</v>
      </c>
      <c r="E645" t="s">
        <v>60</v>
      </c>
      <c r="F645" t="s">
        <v>58</v>
      </c>
      <c r="G645" t="str">
        <f>"2026-01-16 17:01:18.298"</f>
        <v>2026-01-16 17:01:18.298</v>
      </c>
      <c r="H645" t="s">
        <v>21</v>
      </c>
      <c r="I645">
        <v>0</v>
      </c>
      <c r="J645" t="s">
        <v>30</v>
      </c>
    </row>
    <row r="646" spans="1:10" x14ac:dyDescent="0.25">
      <c r="A646" s="1">
        <v>96</v>
      </c>
      <c r="B646" t="s">
        <v>32</v>
      </c>
      <c r="C646">
        <v>640</v>
      </c>
      <c r="D646">
        <v>1</v>
      </c>
      <c r="E646" t="s">
        <v>61</v>
      </c>
      <c r="F646" t="s">
        <v>59</v>
      </c>
      <c r="G646" t="str">
        <f>"2026-01-16 17:01:18.290"</f>
        <v>2026-01-16 17:01:18.290</v>
      </c>
      <c r="H646" t="s">
        <v>62</v>
      </c>
      <c r="I646">
        <v>0</v>
      </c>
      <c r="J646" t="s">
        <v>30</v>
      </c>
    </row>
    <row r="647" spans="1:10" x14ac:dyDescent="0.25">
      <c r="A647" s="1">
        <v>97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"2026-01-16 17:01:08.137"</f>
        <v>2026-01-16 17:01:08.137</v>
      </c>
      <c r="H647" t="s">
        <v>21</v>
      </c>
    </row>
    <row r="648" spans="1:10" x14ac:dyDescent="0.25">
      <c r="A648" s="1">
        <v>98</v>
      </c>
      <c r="B648" t="s">
        <v>32</v>
      </c>
      <c r="C648">
        <v>641</v>
      </c>
      <c r="D648">
        <v>1</v>
      </c>
      <c r="E648" t="s">
        <v>60</v>
      </c>
      <c r="F648" t="s">
        <v>58</v>
      </c>
      <c r="G648" t="str">
        <f>"2026-01-16 16:59:37.306"</f>
        <v>2026-01-16 16:59:37.306</v>
      </c>
      <c r="H648" t="s">
        <v>21</v>
      </c>
      <c r="I648">
        <v>0</v>
      </c>
      <c r="J648" t="s">
        <v>30</v>
      </c>
    </row>
    <row r="649" spans="1:10" x14ac:dyDescent="0.25">
      <c r="A649" s="1">
        <v>99</v>
      </c>
      <c r="B649" t="s">
        <v>32</v>
      </c>
      <c r="C649">
        <v>640</v>
      </c>
      <c r="D649">
        <v>1</v>
      </c>
      <c r="E649" t="s">
        <v>61</v>
      </c>
      <c r="F649" t="s">
        <v>59</v>
      </c>
      <c r="G649" t="str">
        <f>"2026-01-16 16:59:37.300"</f>
        <v>2026-01-16 16:59:37.300</v>
      </c>
      <c r="H649" t="s">
        <v>62</v>
      </c>
      <c r="I649">
        <v>0</v>
      </c>
      <c r="J649" t="s">
        <v>30</v>
      </c>
    </row>
    <row r="650" spans="1:10" x14ac:dyDescent="0.25">
      <c r="A650" s="1">
        <v>0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"2026-01-16 16:59:27.294"</f>
        <v>2026-01-16 16:59:27.294</v>
      </c>
      <c r="H650" t="s">
        <v>21</v>
      </c>
      <c r="I650">
        <v>0</v>
      </c>
      <c r="J650" t="s">
        <v>31</v>
      </c>
    </row>
    <row r="651" spans="1:10" x14ac:dyDescent="0.25">
      <c r="A651" s="1">
        <v>1</v>
      </c>
      <c r="B651" t="s">
        <v>32</v>
      </c>
      <c r="C651">
        <v>641</v>
      </c>
      <c r="D651">
        <v>1</v>
      </c>
      <c r="E651" t="s">
        <v>60</v>
      </c>
      <c r="F651" t="s">
        <v>58</v>
      </c>
      <c r="G651" t="str">
        <f>"2026-01-16 16:52:04.669"</f>
        <v>2026-01-16 16:52:04.669</v>
      </c>
      <c r="H651" t="s">
        <v>21</v>
      </c>
      <c r="I651">
        <v>0</v>
      </c>
      <c r="J651" t="s">
        <v>30</v>
      </c>
    </row>
    <row r="652" spans="1:10" x14ac:dyDescent="0.25">
      <c r="A652" s="1">
        <v>2</v>
      </c>
      <c r="B652" t="s">
        <v>32</v>
      </c>
      <c r="C652">
        <v>640</v>
      </c>
      <c r="D652">
        <v>1</v>
      </c>
      <c r="E652" t="s">
        <v>61</v>
      </c>
      <c r="F652" t="s">
        <v>59</v>
      </c>
      <c r="G652" t="str">
        <f>"2026-01-16 16:52:04.662"</f>
        <v>2026-01-16 16:52:04.662</v>
      </c>
      <c r="H652" t="s">
        <v>62</v>
      </c>
      <c r="I652">
        <v>0</v>
      </c>
      <c r="J652" t="s">
        <v>30</v>
      </c>
    </row>
    <row r="653" spans="1:10" x14ac:dyDescent="0.25">
      <c r="A653" s="1">
        <v>3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"2026-01-16 16:51:54.521"</f>
        <v>2026-01-16 16:51:54.521</v>
      </c>
      <c r="H653" t="s">
        <v>21</v>
      </c>
      <c r="I653">
        <v>0</v>
      </c>
      <c r="J653" t="s">
        <v>31</v>
      </c>
    </row>
    <row r="654" spans="1:10" x14ac:dyDescent="0.25">
      <c r="A654" s="1">
        <v>4</v>
      </c>
      <c r="B654" t="s">
        <v>32</v>
      </c>
      <c r="C654">
        <v>641</v>
      </c>
      <c r="D654">
        <v>1</v>
      </c>
      <c r="E654" t="s">
        <v>60</v>
      </c>
      <c r="F654" t="s">
        <v>58</v>
      </c>
      <c r="G654" t="str">
        <f>"2026-01-16 16:42:20.391"</f>
        <v>2026-01-16 16:42:20.391</v>
      </c>
      <c r="H654" t="s">
        <v>21</v>
      </c>
      <c r="I654">
        <v>0</v>
      </c>
      <c r="J654" t="s">
        <v>30</v>
      </c>
    </row>
    <row r="655" spans="1:10" x14ac:dyDescent="0.25">
      <c r="A655" s="1">
        <v>5</v>
      </c>
      <c r="B655" t="s">
        <v>32</v>
      </c>
      <c r="C655">
        <v>640</v>
      </c>
      <c r="D655">
        <v>1</v>
      </c>
      <c r="E655" t="s">
        <v>61</v>
      </c>
      <c r="F655" t="s">
        <v>59</v>
      </c>
      <c r="G655" t="str">
        <f>"2026-01-16 16:42:20.385"</f>
        <v>2026-01-16 16:42:20.385</v>
      </c>
      <c r="H655" t="s">
        <v>62</v>
      </c>
      <c r="I655">
        <v>0</v>
      </c>
      <c r="J655" t="s">
        <v>30</v>
      </c>
    </row>
    <row r="656" spans="1:10" x14ac:dyDescent="0.25">
      <c r="A656" s="1">
        <v>6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"2026-01-16 16:42:10.277"</f>
        <v>2026-01-16 16:42:10.277</v>
      </c>
      <c r="H656" t="s">
        <v>21</v>
      </c>
      <c r="I656">
        <v>0</v>
      </c>
      <c r="J656" t="s">
        <v>31</v>
      </c>
    </row>
    <row r="657" spans="1:10" x14ac:dyDescent="0.25">
      <c r="A657" s="1">
        <v>9</v>
      </c>
      <c r="B657" t="s">
        <v>25</v>
      </c>
      <c r="C657">
        <v>12</v>
      </c>
      <c r="D657">
        <v>2</v>
      </c>
      <c r="E657" t="s">
        <v>57</v>
      </c>
      <c r="F657" t="s">
        <v>58</v>
      </c>
      <c r="G657" t="str">
        <f>"2026-01-16 16:38:23.221"</f>
        <v>2026-01-16 16:38:23.221</v>
      </c>
      <c r="H657" t="s">
        <v>21</v>
      </c>
      <c r="I657">
        <v>0</v>
      </c>
      <c r="J657" t="s">
        <v>30</v>
      </c>
    </row>
    <row r="658" spans="1:10" x14ac:dyDescent="0.25">
      <c r="A658" s="1">
        <v>10</v>
      </c>
      <c r="B658" t="s">
        <v>25</v>
      </c>
      <c r="C658">
        <v>12</v>
      </c>
      <c r="D658">
        <v>1</v>
      </c>
      <c r="E658" t="s">
        <v>57</v>
      </c>
      <c r="F658" t="s">
        <v>59</v>
      </c>
      <c r="G658" t="str">
        <f>"2026-01-16 16:38:23.216"</f>
        <v>2026-01-16 16:38:23.216</v>
      </c>
      <c r="H658" t="s">
        <v>21</v>
      </c>
      <c r="I658">
        <v>0</v>
      </c>
      <c r="J658" t="s">
        <v>30</v>
      </c>
    </row>
    <row r="659" spans="1:10" x14ac:dyDescent="0.25">
      <c r="A659" s="1">
        <v>11</v>
      </c>
      <c r="B659" t="s">
        <v>32</v>
      </c>
      <c r="C659">
        <v>641</v>
      </c>
      <c r="D659">
        <v>1</v>
      </c>
      <c r="E659" t="s">
        <v>60</v>
      </c>
      <c r="F659" t="s">
        <v>58</v>
      </c>
      <c r="G659" t="str">
        <f>"2026-01-16 16:38:23.207"</f>
        <v>2026-01-16 16:38:23.207</v>
      </c>
      <c r="H659" t="s">
        <v>21</v>
      </c>
      <c r="I659">
        <v>0</v>
      </c>
      <c r="J659" t="s">
        <v>30</v>
      </c>
    </row>
    <row r="660" spans="1:10" x14ac:dyDescent="0.25">
      <c r="A660" s="1">
        <v>12</v>
      </c>
      <c r="B660" t="s">
        <v>32</v>
      </c>
      <c r="C660">
        <v>640</v>
      </c>
      <c r="D660">
        <v>1</v>
      </c>
      <c r="E660" t="s">
        <v>61</v>
      </c>
      <c r="F660" t="s">
        <v>59</v>
      </c>
      <c r="G660" t="str">
        <f>"2026-01-16 16:38:23.202"</f>
        <v>2026-01-16 16:38:23.202</v>
      </c>
      <c r="H660" t="s">
        <v>62</v>
      </c>
      <c r="I660">
        <v>0</v>
      </c>
      <c r="J660" t="s">
        <v>30</v>
      </c>
    </row>
    <row r="661" spans="1:10" x14ac:dyDescent="0.25">
      <c r="A661" s="1">
        <v>13</v>
      </c>
      <c r="B661" t="s">
        <v>19</v>
      </c>
      <c r="C661">
        <v>782</v>
      </c>
      <c r="D661">
        <v>7</v>
      </c>
      <c r="E661" t="s">
        <v>55</v>
      </c>
      <c r="F661" t="s">
        <v>56</v>
      </c>
      <c r="G661" t="str">
        <f>"2026-01-16 16:38:23.201"</f>
        <v>2026-01-16 16:38:23.201</v>
      </c>
      <c r="H661" t="s">
        <v>21</v>
      </c>
      <c r="I661">
        <v>0</v>
      </c>
      <c r="J661" t="s">
        <v>30</v>
      </c>
    </row>
    <row r="662" spans="1:10" x14ac:dyDescent="0.25">
      <c r="A662" s="1">
        <v>16</v>
      </c>
      <c r="B662" t="s">
        <v>22</v>
      </c>
      <c r="C662">
        <v>641</v>
      </c>
      <c r="D662">
        <v>1</v>
      </c>
      <c r="E662" t="s">
        <v>60</v>
      </c>
      <c r="F662" t="s">
        <v>58</v>
      </c>
      <c r="G662" t="str">
        <f>"2026-01-16 16:38:23.196"</f>
        <v>2026-01-16 16:38:23.196</v>
      </c>
      <c r="H662" t="s">
        <v>21</v>
      </c>
    </row>
    <row r="663" spans="1:10" x14ac:dyDescent="0.25">
      <c r="A663" s="1">
        <v>17</v>
      </c>
      <c r="B663" t="s">
        <v>22</v>
      </c>
      <c r="C663">
        <v>640</v>
      </c>
      <c r="D663">
        <v>1</v>
      </c>
      <c r="E663" t="s">
        <v>61</v>
      </c>
      <c r="F663" t="s">
        <v>59</v>
      </c>
      <c r="G663" t="str">
        <f>"2026-01-16 16:38:23.194"</f>
        <v>2026-01-16 16:38:23.194</v>
      </c>
      <c r="H663" t="s">
        <v>62</v>
      </c>
    </row>
    <row r="664" spans="1:10" x14ac:dyDescent="0.25">
      <c r="A664" s="1">
        <v>18</v>
      </c>
      <c r="B664" t="s">
        <v>22</v>
      </c>
      <c r="C664">
        <v>12</v>
      </c>
      <c r="D664">
        <v>2</v>
      </c>
      <c r="E664" t="s">
        <v>57</v>
      </c>
      <c r="F664" t="s">
        <v>58</v>
      </c>
      <c r="G664" t="str">
        <f>"2026-01-16 16:38:23.193"</f>
        <v>2026-01-16 16:38:23.193</v>
      </c>
      <c r="H664" t="s">
        <v>21</v>
      </c>
    </row>
    <row r="665" spans="1:10" x14ac:dyDescent="0.25">
      <c r="A665" s="1">
        <v>19</v>
      </c>
      <c r="B665" t="s">
        <v>22</v>
      </c>
      <c r="C665">
        <v>12</v>
      </c>
      <c r="D665">
        <v>1</v>
      </c>
      <c r="E665" t="s">
        <v>57</v>
      </c>
      <c r="F665" t="s">
        <v>59</v>
      </c>
      <c r="G665" t="str">
        <f>"2026-01-16 16:38:23.190"</f>
        <v>2026-01-16 16:38:23.190</v>
      </c>
      <c r="H665" t="s">
        <v>21</v>
      </c>
    </row>
    <row r="666" spans="1:10" x14ac:dyDescent="0.25">
      <c r="A666" s="1">
        <v>20</v>
      </c>
      <c r="B666" t="s">
        <v>19</v>
      </c>
      <c r="C666">
        <v>782</v>
      </c>
      <c r="D666">
        <v>7</v>
      </c>
      <c r="E666" t="s">
        <v>55</v>
      </c>
      <c r="F666" t="s">
        <v>56</v>
      </c>
      <c r="G666" t="str">
        <f>"2026-01-16 16:38:23.189"</f>
        <v>2026-01-16 16:38:23.189</v>
      </c>
      <c r="H666" t="s">
        <v>21</v>
      </c>
      <c r="I666">
        <v>0</v>
      </c>
      <c r="J666" t="s">
        <v>30</v>
      </c>
    </row>
    <row r="667" spans="1:10" x14ac:dyDescent="0.25">
      <c r="A667" s="1">
        <v>23</v>
      </c>
      <c r="B667" t="s">
        <v>25</v>
      </c>
      <c r="C667">
        <v>12</v>
      </c>
      <c r="D667">
        <v>2</v>
      </c>
      <c r="E667" t="s">
        <v>57</v>
      </c>
      <c r="F667" t="s">
        <v>58</v>
      </c>
      <c r="G667" t="str">
        <f>"2026-01-16 16:37:47.422"</f>
        <v>2026-01-16 16:37:47.422</v>
      </c>
      <c r="H667" t="s">
        <v>21</v>
      </c>
      <c r="I667">
        <v>0</v>
      </c>
      <c r="J667" t="s">
        <v>30</v>
      </c>
    </row>
    <row r="668" spans="1:10" x14ac:dyDescent="0.25">
      <c r="A668" s="1">
        <v>24</v>
      </c>
      <c r="B668" t="s">
        <v>25</v>
      </c>
      <c r="C668">
        <v>12</v>
      </c>
      <c r="D668">
        <v>1</v>
      </c>
      <c r="E668" t="s">
        <v>57</v>
      </c>
      <c r="F668" t="s">
        <v>59</v>
      </c>
      <c r="G668" t="str">
        <f>"2026-01-16 16:37:47.418"</f>
        <v>2026-01-16 16:37:47.418</v>
      </c>
      <c r="H668" t="s">
        <v>21</v>
      </c>
      <c r="I668">
        <v>0</v>
      </c>
      <c r="J668" t="s">
        <v>30</v>
      </c>
    </row>
    <row r="669" spans="1:10" x14ac:dyDescent="0.25">
      <c r="A669" s="1">
        <v>25</v>
      </c>
      <c r="B669" t="s">
        <v>32</v>
      </c>
      <c r="C669">
        <v>641</v>
      </c>
      <c r="D669">
        <v>1</v>
      </c>
      <c r="E669" t="s">
        <v>60</v>
      </c>
      <c r="F669" t="s">
        <v>58</v>
      </c>
      <c r="G669" t="str">
        <f>"2026-01-16 16:37:47.408"</f>
        <v>2026-01-16 16:37:47.408</v>
      </c>
      <c r="H669" t="s">
        <v>21</v>
      </c>
      <c r="I669">
        <v>0</v>
      </c>
      <c r="J669" t="s">
        <v>30</v>
      </c>
    </row>
    <row r="670" spans="1:10" x14ac:dyDescent="0.25">
      <c r="A670" s="1">
        <v>26</v>
      </c>
      <c r="B670" t="s">
        <v>32</v>
      </c>
      <c r="C670">
        <v>640</v>
      </c>
      <c r="D670">
        <v>1</v>
      </c>
      <c r="E670" t="s">
        <v>61</v>
      </c>
      <c r="F670" t="s">
        <v>59</v>
      </c>
      <c r="G670" t="str">
        <f>"2026-01-16 16:37:47.407"</f>
        <v>2026-01-16 16:37:47.407</v>
      </c>
      <c r="H670" t="s">
        <v>62</v>
      </c>
      <c r="I670">
        <v>0</v>
      </c>
      <c r="J670" t="s">
        <v>30</v>
      </c>
    </row>
    <row r="671" spans="1:10" x14ac:dyDescent="0.25">
      <c r="A671" s="1">
        <v>27</v>
      </c>
      <c r="B671" t="s">
        <v>19</v>
      </c>
      <c r="C671">
        <v>782</v>
      </c>
      <c r="D671">
        <v>7</v>
      </c>
      <c r="E671" t="s">
        <v>55</v>
      </c>
      <c r="F671" t="s">
        <v>56</v>
      </c>
      <c r="G671" t="str">
        <f>"2026-01-16 16:37:47.404"</f>
        <v>2026-01-16 16:37:47.404</v>
      </c>
      <c r="H671" t="s">
        <v>21</v>
      </c>
      <c r="I671">
        <v>0</v>
      </c>
      <c r="J671" t="s">
        <v>30</v>
      </c>
    </row>
    <row r="672" spans="1:10" x14ac:dyDescent="0.25">
      <c r="A672" s="1">
        <v>30</v>
      </c>
      <c r="B672" t="s">
        <v>22</v>
      </c>
      <c r="C672">
        <v>641</v>
      </c>
      <c r="D672">
        <v>1</v>
      </c>
      <c r="E672" t="s">
        <v>60</v>
      </c>
      <c r="F672" t="s">
        <v>58</v>
      </c>
      <c r="G672" t="str">
        <f>"2026-01-16 16:37:47.400"</f>
        <v>2026-01-16 16:37:47.400</v>
      </c>
      <c r="H672" t="s">
        <v>21</v>
      </c>
    </row>
    <row r="673" spans="1:10" x14ac:dyDescent="0.25">
      <c r="A673" s="1">
        <v>31</v>
      </c>
      <c r="B673" t="s">
        <v>22</v>
      </c>
      <c r="C673">
        <v>640</v>
      </c>
      <c r="D673">
        <v>1</v>
      </c>
      <c r="E673" t="s">
        <v>61</v>
      </c>
      <c r="F673" t="s">
        <v>59</v>
      </c>
      <c r="G673" t="str">
        <f>"2026-01-16 16:37:47.398"</f>
        <v>2026-01-16 16:37:47.398</v>
      </c>
      <c r="H673" t="s">
        <v>62</v>
      </c>
    </row>
    <row r="674" spans="1:10" x14ac:dyDescent="0.25">
      <c r="A674" s="1">
        <v>34</v>
      </c>
      <c r="B674" t="s">
        <v>22</v>
      </c>
      <c r="C674">
        <v>12</v>
      </c>
      <c r="D674">
        <v>2</v>
      </c>
      <c r="E674" t="s">
        <v>57</v>
      </c>
      <c r="F674" t="s">
        <v>58</v>
      </c>
      <c r="G674" t="str">
        <f>"2026-01-16 16:37:47.393"</f>
        <v>2026-01-16 16:37:47.393</v>
      </c>
      <c r="H674" t="s">
        <v>21</v>
      </c>
    </row>
    <row r="675" spans="1:10" x14ac:dyDescent="0.25">
      <c r="A675" s="1">
        <v>35</v>
      </c>
      <c r="B675" t="s">
        <v>22</v>
      </c>
      <c r="C675">
        <v>12</v>
      </c>
      <c r="D675">
        <v>1</v>
      </c>
      <c r="E675" t="s">
        <v>57</v>
      </c>
      <c r="F675" t="s">
        <v>59</v>
      </c>
      <c r="G675" t="str">
        <f>"2026-01-16 16:37:47.390"</f>
        <v>2026-01-16 16:37:47.390</v>
      </c>
      <c r="H675" t="s">
        <v>21</v>
      </c>
    </row>
    <row r="676" spans="1:10" x14ac:dyDescent="0.25">
      <c r="A676" s="1">
        <v>36</v>
      </c>
      <c r="B676" t="s">
        <v>19</v>
      </c>
      <c r="C676">
        <v>782</v>
      </c>
      <c r="D676">
        <v>7</v>
      </c>
      <c r="E676" t="s">
        <v>55</v>
      </c>
      <c r="F676" t="s">
        <v>56</v>
      </c>
      <c r="G676" t="str">
        <f>"2026-01-16 16:37:47.389"</f>
        <v>2026-01-16 16:37:47.389</v>
      </c>
      <c r="H676" t="s">
        <v>21</v>
      </c>
      <c r="I676">
        <v>0</v>
      </c>
      <c r="J676" t="s">
        <v>30</v>
      </c>
    </row>
    <row r="677" spans="1:10" x14ac:dyDescent="0.25">
      <c r="A677" s="1">
        <v>37</v>
      </c>
      <c r="B677" t="s">
        <v>32</v>
      </c>
      <c r="C677">
        <v>641</v>
      </c>
      <c r="D677">
        <v>1</v>
      </c>
      <c r="E677" t="s">
        <v>60</v>
      </c>
      <c r="F677" t="s">
        <v>58</v>
      </c>
      <c r="G677" t="str">
        <f>"2026-01-16 16:34:19.399"</f>
        <v>2026-01-16 16:34:19.399</v>
      </c>
      <c r="H677" t="s">
        <v>21</v>
      </c>
      <c r="I677">
        <v>0</v>
      </c>
      <c r="J677" t="s">
        <v>30</v>
      </c>
    </row>
    <row r="678" spans="1:10" x14ac:dyDescent="0.25">
      <c r="A678" s="1">
        <v>38</v>
      </c>
      <c r="B678" t="s">
        <v>32</v>
      </c>
      <c r="C678">
        <v>640</v>
      </c>
      <c r="D678">
        <v>1</v>
      </c>
      <c r="E678" t="s">
        <v>61</v>
      </c>
      <c r="F678" t="s">
        <v>59</v>
      </c>
      <c r="G678" t="str">
        <f>"2026-01-16 16:34:19.389"</f>
        <v>2026-01-16 16:34:19.389</v>
      </c>
      <c r="H678" t="s">
        <v>62</v>
      </c>
      <c r="I678">
        <v>0</v>
      </c>
      <c r="J678" t="s">
        <v>30</v>
      </c>
    </row>
    <row r="679" spans="1:10" x14ac:dyDescent="0.25">
      <c r="A679" s="1">
        <v>39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"2026-01-16 16:34:09.268"</f>
        <v>2026-01-16 16:34:09.268</v>
      </c>
      <c r="H679" t="s">
        <v>21</v>
      </c>
    </row>
    <row r="680" spans="1:10" x14ac:dyDescent="0.25">
      <c r="A680" s="1">
        <v>40</v>
      </c>
      <c r="B680" t="s">
        <v>32</v>
      </c>
      <c r="C680">
        <v>641</v>
      </c>
      <c r="D680">
        <v>1</v>
      </c>
      <c r="E680" t="s">
        <v>60</v>
      </c>
      <c r="F680" t="s">
        <v>58</v>
      </c>
      <c r="G680" t="str">
        <f>"2026-01-16 16:30:34.398"</f>
        <v>2026-01-16 16:30:34.398</v>
      </c>
      <c r="H680" t="s">
        <v>21</v>
      </c>
      <c r="I680">
        <v>0</v>
      </c>
      <c r="J680" t="s">
        <v>30</v>
      </c>
    </row>
    <row r="681" spans="1:10" x14ac:dyDescent="0.25">
      <c r="A681" s="1">
        <v>41</v>
      </c>
      <c r="B681" t="s">
        <v>32</v>
      </c>
      <c r="C681">
        <v>640</v>
      </c>
      <c r="D681">
        <v>1</v>
      </c>
      <c r="E681" t="s">
        <v>61</v>
      </c>
      <c r="F681" t="s">
        <v>59</v>
      </c>
      <c r="G681" t="str">
        <f>"2026-01-16 16:30:34.389"</f>
        <v>2026-01-16 16:30:34.389</v>
      </c>
      <c r="H681" t="s">
        <v>62</v>
      </c>
      <c r="I681">
        <v>0</v>
      </c>
      <c r="J681" t="s">
        <v>30</v>
      </c>
    </row>
    <row r="682" spans="1:10" x14ac:dyDescent="0.25">
      <c r="A682" s="1">
        <v>42</v>
      </c>
      <c r="B682" t="s">
        <v>25</v>
      </c>
      <c r="C682">
        <v>12</v>
      </c>
      <c r="D682">
        <v>1</v>
      </c>
      <c r="E682" t="s">
        <v>57</v>
      </c>
      <c r="F682" t="s">
        <v>59</v>
      </c>
      <c r="G682" t="str">
        <f>"2026-01-16 16:30:28.190"</f>
        <v>2026-01-16 16:30:28.190</v>
      </c>
      <c r="H682" t="s">
        <v>21</v>
      </c>
      <c r="I682">
        <v>0</v>
      </c>
      <c r="J682" t="s">
        <v>30</v>
      </c>
    </row>
    <row r="683" spans="1:10" x14ac:dyDescent="0.25">
      <c r="A683" s="1">
        <v>43</v>
      </c>
      <c r="B683" t="s">
        <v>25</v>
      </c>
      <c r="C683">
        <v>12</v>
      </c>
      <c r="D683">
        <v>2</v>
      </c>
      <c r="E683" t="s">
        <v>57</v>
      </c>
      <c r="F683" t="s">
        <v>58</v>
      </c>
      <c r="G683" t="str">
        <f>"2026-01-16 16:30:28.091"</f>
        <v>2026-01-16 16:30:28.091</v>
      </c>
      <c r="H683" t="s">
        <v>21</v>
      </c>
      <c r="I683">
        <v>0</v>
      </c>
      <c r="J683" t="s">
        <v>30</v>
      </c>
    </row>
    <row r="684" spans="1:10" x14ac:dyDescent="0.25">
      <c r="A684" s="1">
        <v>44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"2026-01-16 16:30:24.257"</f>
        <v>2026-01-16 16:30:24.257</v>
      </c>
      <c r="H684" t="s">
        <v>21</v>
      </c>
    </row>
    <row r="685" spans="1:10" x14ac:dyDescent="0.25">
      <c r="A685" s="1">
        <v>45</v>
      </c>
      <c r="B685" t="s">
        <v>19</v>
      </c>
      <c r="C685">
        <v>754</v>
      </c>
      <c r="D685">
        <v>0</v>
      </c>
      <c r="E685" t="s">
        <v>63</v>
      </c>
      <c r="F685" t="s">
        <v>63</v>
      </c>
      <c r="G685" t="str">
        <f>"2026-01-16 16:29:56.522"</f>
        <v>2026-01-16 16:29:56.522</v>
      </c>
      <c r="H685" t="s">
        <v>21</v>
      </c>
      <c r="I685">
        <v>0</v>
      </c>
      <c r="J685" t="s">
        <v>30</v>
      </c>
    </row>
    <row r="686" spans="1:10" x14ac:dyDescent="0.25">
      <c r="A686" s="1">
        <v>46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"2026-01-16 16:28:02.468"</f>
        <v>2026-01-16 16:28:02.468</v>
      </c>
      <c r="H686" t="s">
        <v>21</v>
      </c>
      <c r="I686">
        <v>0</v>
      </c>
      <c r="J686" t="s">
        <v>31</v>
      </c>
    </row>
    <row r="687" spans="1:10" x14ac:dyDescent="0.25">
      <c r="A687" s="1">
        <v>47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"2026-01-16 16:25:35.477"</f>
        <v>2026-01-16 16:25:35.477</v>
      </c>
      <c r="H687" t="s">
        <v>21</v>
      </c>
      <c r="I687">
        <v>0</v>
      </c>
      <c r="J687" t="s">
        <v>31</v>
      </c>
    </row>
    <row r="688" spans="1:10" x14ac:dyDescent="0.25">
      <c r="A688" s="1">
        <v>48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"2026-01-16 16:17:02.758"</f>
        <v>2026-01-16 16:17:02.758</v>
      </c>
      <c r="H688" t="s">
        <v>21</v>
      </c>
      <c r="I688">
        <v>0</v>
      </c>
      <c r="J688" t="s">
        <v>31</v>
      </c>
    </row>
    <row r="689" spans="1:10" x14ac:dyDescent="0.25">
      <c r="A689" s="1">
        <v>49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"2026-01-16 16:10:25.751"</f>
        <v>2026-01-16 16:10:25.751</v>
      </c>
      <c r="H689" t="s">
        <v>21</v>
      </c>
      <c r="I689">
        <v>0</v>
      </c>
      <c r="J689" t="s">
        <v>31</v>
      </c>
    </row>
    <row r="690" spans="1:10" x14ac:dyDescent="0.25">
      <c r="A690" s="1">
        <v>50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"2026-01-16 16:09:08.467"</f>
        <v>2026-01-16 16:09:08.467</v>
      </c>
      <c r="H690" t="s">
        <v>21</v>
      </c>
    </row>
    <row r="691" spans="1:10" x14ac:dyDescent="0.25">
      <c r="A691" s="1">
        <v>51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"2026-01-16 16:04:42.766"</f>
        <v>2026-01-16 16:04:42.766</v>
      </c>
      <c r="H691" t="s">
        <v>21</v>
      </c>
    </row>
    <row r="692" spans="1:10" x14ac:dyDescent="0.25">
      <c r="A692" s="1">
        <v>52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"2026-01-16 15:31:49.461"</f>
        <v>2026-01-16 15:31:49.461</v>
      </c>
      <c r="H692" t="s">
        <v>21</v>
      </c>
    </row>
    <row r="693" spans="1:10" x14ac:dyDescent="0.25">
      <c r="A693" s="1">
        <v>53</v>
      </c>
      <c r="B693" t="s">
        <v>22</v>
      </c>
      <c r="C693">
        <v>4</v>
      </c>
      <c r="D693">
        <v>1</v>
      </c>
      <c r="E693" t="s">
        <v>64</v>
      </c>
      <c r="F693" t="s">
        <v>65</v>
      </c>
      <c r="G693" t="str">
        <f>"2026-01-16 15:04:34.201"</f>
        <v>2026-01-16 15:04:34.201</v>
      </c>
      <c r="H693" t="s">
        <v>66</v>
      </c>
    </row>
    <row r="694" spans="1:10" x14ac:dyDescent="0.25">
      <c r="A694" s="1">
        <v>54</v>
      </c>
      <c r="B694" t="s">
        <v>25</v>
      </c>
      <c r="C694">
        <v>4</v>
      </c>
      <c r="D694">
        <v>1</v>
      </c>
      <c r="E694" t="s">
        <v>64</v>
      </c>
      <c r="F694" t="s">
        <v>65</v>
      </c>
      <c r="G694" t="str">
        <f>"2026-01-16 15:04:26.361"</f>
        <v>2026-01-16 15:04:26.361</v>
      </c>
      <c r="H694" t="s">
        <v>66</v>
      </c>
      <c r="I694">
        <v>0</v>
      </c>
      <c r="J694" t="s">
        <v>30</v>
      </c>
    </row>
    <row r="695" spans="1:10" x14ac:dyDescent="0.25">
      <c r="A695" s="1">
        <v>55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"2026-01-16 15:02:53.532"</f>
        <v>2026-01-16 15:02:53.532</v>
      </c>
      <c r="H695" t="s">
        <v>21</v>
      </c>
    </row>
    <row r="696" spans="1:10" x14ac:dyDescent="0.25">
      <c r="A696" s="1">
        <v>56</v>
      </c>
      <c r="B696" t="s">
        <v>22</v>
      </c>
      <c r="C696">
        <v>98</v>
      </c>
      <c r="D696">
        <v>1</v>
      </c>
      <c r="E696" t="s">
        <v>46</v>
      </c>
      <c r="F696" t="s">
        <v>47</v>
      </c>
      <c r="G696" t="str">
        <f>"2026-01-16 14:41:49.314"</f>
        <v>2026-01-16 14:41:49.314</v>
      </c>
      <c r="H696" t="s">
        <v>21</v>
      </c>
    </row>
    <row r="697" spans="1:10" x14ac:dyDescent="0.25">
      <c r="A697" s="1">
        <v>57</v>
      </c>
      <c r="B697" t="s">
        <v>25</v>
      </c>
      <c r="C697">
        <v>98</v>
      </c>
      <c r="D697">
        <v>1</v>
      </c>
      <c r="E697" t="s">
        <v>46</v>
      </c>
      <c r="F697" t="s">
        <v>47</v>
      </c>
      <c r="G697" t="str">
        <f>"2026-01-16 14:41:47.514"</f>
        <v>2026-01-16 14:41:47.514</v>
      </c>
      <c r="H697" t="s">
        <v>21</v>
      </c>
      <c r="I697">
        <v>0</v>
      </c>
      <c r="J697" t="s">
        <v>26</v>
      </c>
    </row>
    <row r="698" spans="1:10" x14ac:dyDescent="0.25">
      <c r="A698" s="1">
        <v>58</v>
      </c>
      <c r="B698" t="s">
        <v>22</v>
      </c>
      <c r="C698">
        <v>98</v>
      </c>
      <c r="D698">
        <v>1</v>
      </c>
      <c r="E698" t="s">
        <v>46</v>
      </c>
      <c r="F698" t="s">
        <v>47</v>
      </c>
      <c r="G698" t="str">
        <f>"2026-01-16 14:41:44.114"</f>
        <v>2026-01-16 14:41:44.114</v>
      </c>
      <c r="H698" t="s">
        <v>21</v>
      </c>
    </row>
    <row r="699" spans="1:10" x14ac:dyDescent="0.25">
      <c r="A699" s="1">
        <v>59</v>
      </c>
      <c r="B699" t="s">
        <v>25</v>
      </c>
      <c r="C699">
        <v>98</v>
      </c>
      <c r="D699">
        <v>1</v>
      </c>
      <c r="E699" t="s">
        <v>46</v>
      </c>
      <c r="F699" t="s">
        <v>47</v>
      </c>
      <c r="G699" t="str">
        <f>"2026-01-16 14:41:42.915"</f>
        <v>2026-01-16 14:41:42.915</v>
      </c>
      <c r="H699" t="s">
        <v>21</v>
      </c>
      <c r="I699">
        <v>0</v>
      </c>
      <c r="J699" t="s">
        <v>26</v>
      </c>
    </row>
    <row r="700" spans="1:10" x14ac:dyDescent="0.25">
      <c r="A700" s="1">
        <v>60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"2026-01-16 14:35:50.673"</f>
        <v>2026-01-16 14:35:50.673</v>
      </c>
      <c r="H700" t="s">
        <v>21</v>
      </c>
    </row>
    <row r="701" spans="1:10" x14ac:dyDescent="0.25">
      <c r="A701" s="1">
        <v>61</v>
      </c>
      <c r="B701" t="s">
        <v>19</v>
      </c>
      <c r="C701">
        <v>706</v>
      </c>
      <c r="D701">
        <v>2</v>
      </c>
      <c r="E701" t="s">
        <v>28</v>
      </c>
      <c r="F701" t="s">
        <v>45</v>
      </c>
      <c r="G701" t="str">
        <f>"2026-01-16 13:35:42.311"</f>
        <v>2026-01-16 13:35:42.311</v>
      </c>
      <c r="H701" t="s">
        <v>21</v>
      </c>
      <c r="I701">
        <v>0</v>
      </c>
      <c r="J701" t="s">
        <v>30</v>
      </c>
    </row>
    <row r="702" spans="1:10" x14ac:dyDescent="0.25">
      <c r="A702" s="1">
        <v>62</v>
      </c>
      <c r="B702" t="s">
        <v>22</v>
      </c>
      <c r="C702">
        <v>30</v>
      </c>
      <c r="D702">
        <v>1</v>
      </c>
      <c r="E702" t="s">
        <v>67</v>
      </c>
      <c r="F702" t="s">
        <v>68</v>
      </c>
      <c r="G702" t="str">
        <f>"2026-01-16 12:13:27.939"</f>
        <v>2026-01-16 12:13:27.939</v>
      </c>
      <c r="H702" t="s">
        <v>69</v>
      </c>
    </row>
    <row r="703" spans="1:10" x14ac:dyDescent="0.25">
      <c r="A703" s="1">
        <v>63</v>
      </c>
      <c r="B703" t="s">
        <v>19</v>
      </c>
      <c r="C703">
        <v>706</v>
      </c>
      <c r="D703">
        <v>4</v>
      </c>
      <c r="E703" t="s">
        <v>28</v>
      </c>
      <c r="F703" t="s">
        <v>29</v>
      </c>
      <c r="G703" t="str">
        <f>"2026-01-16 12:12:27.851"</f>
        <v>2026-01-16 12:12:27.851</v>
      </c>
      <c r="H703" t="s">
        <v>21</v>
      </c>
      <c r="I703">
        <v>0</v>
      </c>
      <c r="J703" t="s">
        <v>30</v>
      </c>
    </row>
    <row r="704" spans="1:10" x14ac:dyDescent="0.25">
      <c r="A704" s="1">
        <v>64</v>
      </c>
      <c r="B704" t="s">
        <v>22</v>
      </c>
      <c r="C704">
        <v>4</v>
      </c>
      <c r="D704">
        <v>1</v>
      </c>
      <c r="E704" t="s">
        <v>64</v>
      </c>
      <c r="F704" t="s">
        <v>65</v>
      </c>
      <c r="G704" t="str">
        <f>"2026-01-16 12:11:56.150"</f>
        <v>2026-01-16 12:11:56.150</v>
      </c>
      <c r="H704" t="s">
        <v>66</v>
      </c>
    </row>
    <row r="705" spans="1:10" x14ac:dyDescent="0.25">
      <c r="A705" s="1">
        <v>65</v>
      </c>
      <c r="B705" t="s">
        <v>25</v>
      </c>
      <c r="C705">
        <v>4</v>
      </c>
      <c r="D705">
        <v>1</v>
      </c>
      <c r="E705" t="s">
        <v>64</v>
      </c>
      <c r="F705" t="s">
        <v>65</v>
      </c>
      <c r="G705" t="str">
        <f>"2026-01-16 12:11:42.810"</f>
        <v>2026-01-16 12:11:42.810</v>
      </c>
      <c r="H705" t="s">
        <v>66</v>
      </c>
      <c r="I705">
        <v>0</v>
      </c>
      <c r="J705" t="s">
        <v>30</v>
      </c>
    </row>
    <row r="706" spans="1:10" x14ac:dyDescent="0.25">
      <c r="A706" s="1">
        <v>66</v>
      </c>
      <c r="B706" t="s">
        <v>32</v>
      </c>
      <c r="C706">
        <v>30</v>
      </c>
      <c r="D706">
        <v>1</v>
      </c>
      <c r="E706" t="s">
        <v>67</v>
      </c>
      <c r="F706" t="s">
        <v>68</v>
      </c>
      <c r="G706" t="str">
        <f>"2026-01-16 12:10:02.452"</f>
        <v>2026-01-16 12:10:02.452</v>
      </c>
      <c r="H706" t="s">
        <v>69</v>
      </c>
      <c r="I706">
        <v>0</v>
      </c>
      <c r="J706" t="s">
        <v>30</v>
      </c>
    </row>
    <row r="707" spans="1:10" x14ac:dyDescent="0.25">
      <c r="A707" s="1">
        <v>67</v>
      </c>
      <c r="B707" t="s">
        <v>22</v>
      </c>
      <c r="C707">
        <v>4</v>
      </c>
      <c r="D707">
        <v>1</v>
      </c>
      <c r="E707" t="s">
        <v>64</v>
      </c>
      <c r="F707" t="s">
        <v>65</v>
      </c>
      <c r="G707" t="str">
        <f>"2026-01-16 12:09:16.240"</f>
        <v>2026-01-16 12:09:16.240</v>
      </c>
      <c r="H707" t="s">
        <v>66</v>
      </c>
    </row>
    <row r="708" spans="1:10" x14ac:dyDescent="0.25">
      <c r="A708" s="1">
        <v>68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"2026-01-16 12:09:08.471"</f>
        <v>2026-01-16 12:09:08.471</v>
      </c>
      <c r="H708" t="s">
        <v>21</v>
      </c>
      <c r="I708">
        <v>0</v>
      </c>
      <c r="J708" t="s">
        <v>31</v>
      </c>
    </row>
    <row r="709" spans="1:10" x14ac:dyDescent="0.25">
      <c r="A709" s="1">
        <v>69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"2026-01-16 12:05:26.502"</f>
        <v>2026-01-16 12:05:26.502</v>
      </c>
      <c r="H709" t="s">
        <v>21</v>
      </c>
      <c r="I709">
        <v>0</v>
      </c>
      <c r="J709" t="s">
        <v>31</v>
      </c>
    </row>
    <row r="710" spans="1:10" x14ac:dyDescent="0.25">
      <c r="A710" s="1">
        <v>70</v>
      </c>
      <c r="B710" t="s">
        <v>25</v>
      </c>
      <c r="C710">
        <v>4</v>
      </c>
      <c r="D710">
        <v>1</v>
      </c>
      <c r="E710" t="s">
        <v>64</v>
      </c>
      <c r="F710" t="s">
        <v>65</v>
      </c>
      <c r="G710" t="str">
        <f>"2026-01-16 12:01:57.999"</f>
        <v>2026-01-16 12:01:57.999</v>
      </c>
      <c r="H710" t="s">
        <v>66</v>
      </c>
      <c r="I710">
        <v>0</v>
      </c>
      <c r="J710" t="s">
        <v>30</v>
      </c>
    </row>
    <row r="711" spans="1:10" x14ac:dyDescent="0.25">
      <c r="A711" s="1">
        <v>71</v>
      </c>
      <c r="B711" t="s">
        <v>22</v>
      </c>
      <c r="C711">
        <v>4</v>
      </c>
      <c r="D711">
        <v>1</v>
      </c>
      <c r="E711" t="s">
        <v>64</v>
      </c>
      <c r="F711" t="s">
        <v>65</v>
      </c>
      <c r="G711" t="str">
        <f>"2026-01-16 12:01:17.059"</f>
        <v>2026-01-16 12:01:17.059</v>
      </c>
      <c r="H711" t="s">
        <v>66</v>
      </c>
    </row>
    <row r="712" spans="1:10" x14ac:dyDescent="0.25">
      <c r="A712" s="1">
        <v>72</v>
      </c>
      <c r="B712" t="s">
        <v>25</v>
      </c>
      <c r="C712">
        <v>4</v>
      </c>
      <c r="D712">
        <v>1</v>
      </c>
      <c r="E712" t="s">
        <v>64</v>
      </c>
      <c r="F712" t="s">
        <v>65</v>
      </c>
      <c r="G712" t="str">
        <f>"2026-01-16 12:01:11.800"</f>
        <v>2026-01-16 12:01:11.800</v>
      </c>
      <c r="H712" t="s">
        <v>66</v>
      </c>
      <c r="I712">
        <v>0</v>
      </c>
      <c r="J712" t="s">
        <v>30</v>
      </c>
    </row>
    <row r="713" spans="1:10" x14ac:dyDescent="0.25">
      <c r="A713" s="1">
        <v>73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"2026-01-16 11:49:27.521"</f>
        <v>2026-01-16 11:49:27.521</v>
      </c>
      <c r="H713" t="s">
        <v>21</v>
      </c>
      <c r="I713">
        <v>0</v>
      </c>
      <c r="J713" t="s">
        <v>31</v>
      </c>
    </row>
    <row r="714" spans="1:10" x14ac:dyDescent="0.25">
      <c r="A714" s="1">
        <v>74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"2026-01-16 11:26:27.469"</f>
        <v>2026-01-16 11:26:27.469</v>
      </c>
      <c r="H714" t="s">
        <v>21</v>
      </c>
      <c r="I714">
        <v>0</v>
      </c>
      <c r="J714" t="s">
        <v>31</v>
      </c>
    </row>
    <row r="715" spans="1:10" x14ac:dyDescent="0.25">
      <c r="A715" s="1">
        <v>75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"2026-01-16 11:08:57.481"</f>
        <v>2026-01-16 11:08:57.481</v>
      </c>
      <c r="H715" t="s">
        <v>21</v>
      </c>
    </row>
    <row r="716" spans="1:10" x14ac:dyDescent="0.25">
      <c r="A716" s="1">
        <v>76</v>
      </c>
      <c r="B716" t="s">
        <v>22</v>
      </c>
      <c r="C716">
        <v>4</v>
      </c>
      <c r="D716">
        <v>4</v>
      </c>
      <c r="E716" t="s">
        <v>64</v>
      </c>
      <c r="F716" t="s">
        <v>70</v>
      </c>
      <c r="G716" t="str">
        <f>"2026-01-16 10:57:24.245"</f>
        <v>2026-01-16 10:57:24.245</v>
      </c>
      <c r="H716" t="s">
        <v>66</v>
      </c>
    </row>
    <row r="717" spans="1:10" x14ac:dyDescent="0.25">
      <c r="A717" s="1">
        <v>79</v>
      </c>
      <c r="B717" t="s">
        <v>25</v>
      </c>
      <c r="C717">
        <v>4</v>
      </c>
      <c r="D717">
        <v>4</v>
      </c>
      <c r="E717" t="s">
        <v>64</v>
      </c>
      <c r="F717" t="s">
        <v>70</v>
      </c>
      <c r="G717" t="str">
        <f>"2026-01-16 10:56:43.525"</f>
        <v>2026-01-16 10:56:43.525</v>
      </c>
      <c r="H717" t="s">
        <v>66</v>
      </c>
      <c r="I717">
        <v>18.399999999999999</v>
      </c>
      <c r="J717" t="s">
        <v>26</v>
      </c>
    </row>
    <row r="718" spans="1:10" x14ac:dyDescent="0.25">
      <c r="A718" s="1">
        <v>80</v>
      </c>
      <c r="B718" t="s">
        <v>22</v>
      </c>
      <c r="C718">
        <v>4</v>
      </c>
      <c r="D718">
        <v>4</v>
      </c>
      <c r="E718" t="s">
        <v>64</v>
      </c>
      <c r="F718" t="s">
        <v>70</v>
      </c>
      <c r="G718" t="str">
        <f>"2026-01-16 10:48:28.125"</f>
        <v>2026-01-16 10:48:28.125</v>
      </c>
      <c r="H718" t="s">
        <v>66</v>
      </c>
    </row>
    <row r="719" spans="1:10" x14ac:dyDescent="0.25">
      <c r="A719" s="1">
        <v>81</v>
      </c>
      <c r="B719" t="s">
        <v>25</v>
      </c>
      <c r="C719">
        <v>4</v>
      </c>
      <c r="D719">
        <v>4</v>
      </c>
      <c r="E719" t="s">
        <v>64</v>
      </c>
      <c r="F719" t="s">
        <v>70</v>
      </c>
      <c r="G719" t="str">
        <f>"2026-01-16 10:47:25.025"</f>
        <v>2026-01-16 10:47:25.025</v>
      </c>
      <c r="H719" t="s">
        <v>66</v>
      </c>
      <c r="I719">
        <v>26.45</v>
      </c>
      <c r="J719" t="s">
        <v>27</v>
      </c>
    </row>
    <row r="720" spans="1:10" x14ac:dyDescent="0.25">
      <c r="A720" s="1">
        <v>82</v>
      </c>
      <c r="B720" t="s">
        <v>22</v>
      </c>
      <c r="C720">
        <v>4</v>
      </c>
      <c r="D720">
        <v>4</v>
      </c>
      <c r="E720" t="s">
        <v>64</v>
      </c>
      <c r="F720" t="s">
        <v>70</v>
      </c>
      <c r="G720" t="str">
        <f>"2026-01-16 10:35:47.405"</f>
        <v>2026-01-16 10:35:47.405</v>
      </c>
      <c r="H720" t="s">
        <v>66</v>
      </c>
    </row>
    <row r="721" spans="1:10" x14ac:dyDescent="0.25">
      <c r="A721" s="1">
        <v>84</v>
      </c>
      <c r="B721" t="s">
        <v>71</v>
      </c>
      <c r="C721">
        <v>215</v>
      </c>
      <c r="D721">
        <v>5</v>
      </c>
      <c r="E721" t="s">
        <v>72</v>
      </c>
      <c r="F721" t="s">
        <v>73</v>
      </c>
      <c r="G721" t="str">
        <f>"2026-01-16 10:35:40.862"</f>
        <v>2026-01-16 10:35:40.862</v>
      </c>
      <c r="H721" t="s">
        <v>21</v>
      </c>
    </row>
    <row r="722" spans="1:10" x14ac:dyDescent="0.25">
      <c r="A722" s="1">
        <v>85</v>
      </c>
      <c r="B722" t="s">
        <v>71</v>
      </c>
      <c r="C722">
        <v>115</v>
      </c>
      <c r="D722">
        <v>5</v>
      </c>
      <c r="E722" t="s">
        <v>74</v>
      </c>
      <c r="F722" t="s">
        <v>73</v>
      </c>
      <c r="G722" t="str">
        <f>"2026-01-16 10:35:40.762"</f>
        <v>2026-01-16 10:35:40.762</v>
      </c>
      <c r="H722" t="s">
        <v>21</v>
      </c>
    </row>
    <row r="723" spans="1:10" x14ac:dyDescent="0.25">
      <c r="A723" s="1">
        <v>86</v>
      </c>
      <c r="B723" t="s">
        <v>32</v>
      </c>
      <c r="C723">
        <v>215</v>
      </c>
      <c r="D723">
        <v>5</v>
      </c>
      <c r="E723" t="s">
        <v>72</v>
      </c>
      <c r="F723" t="s">
        <v>73</v>
      </c>
      <c r="G723" t="str">
        <f>"2026-01-16 10:35:35.716"</f>
        <v>2026-01-16 10:35:35.716</v>
      </c>
      <c r="H723" t="s">
        <v>21</v>
      </c>
      <c r="I723">
        <v>4.9800000000000004</v>
      </c>
      <c r="J723" t="s">
        <v>36</v>
      </c>
    </row>
    <row r="724" spans="1:10" x14ac:dyDescent="0.25">
      <c r="A724" s="1">
        <v>87</v>
      </c>
      <c r="B724" t="s">
        <v>32</v>
      </c>
      <c r="C724">
        <v>115</v>
      </c>
      <c r="D724">
        <v>5</v>
      </c>
      <c r="E724" t="s">
        <v>74</v>
      </c>
      <c r="F724" t="s">
        <v>73</v>
      </c>
      <c r="G724" t="str">
        <f>"2026-01-16 10:35:35.711"</f>
        <v>2026-01-16 10:35:35.711</v>
      </c>
      <c r="H724" t="s">
        <v>21</v>
      </c>
      <c r="I724">
        <v>4.9800000000000004</v>
      </c>
      <c r="J724" t="s">
        <v>36</v>
      </c>
    </row>
    <row r="725" spans="1:10" x14ac:dyDescent="0.25">
      <c r="A725" s="1">
        <v>88</v>
      </c>
      <c r="B725" t="s">
        <v>25</v>
      </c>
      <c r="C725">
        <v>4</v>
      </c>
      <c r="D725">
        <v>4</v>
      </c>
      <c r="E725" t="s">
        <v>64</v>
      </c>
      <c r="F725" t="s">
        <v>70</v>
      </c>
      <c r="G725" t="str">
        <f>"2026-01-16 10:35:34.865"</f>
        <v>2026-01-16 10:35:34.865</v>
      </c>
      <c r="H725" t="s">
        <v>66</v>
      </c>
      <c r="I725">
        <v>4.88</v>
      </c>
      <c r="J725" t="s">
        <v>36</v>
      </c>
    </row>
    <row r="726" spans="1:10" x14ac:dyDescent="0.25">
      <c r="A726" s="1">
        <v>89</v>
      </c>
      <c r="B726" t="s">
        <v>22</v>
      </c>
      <c r="C726">
        <v>4</v>
      </c>
      <c r="D726">
        <v>4</v>
      </c>
      <c r="E726" t="s">
        <v>64</v>
      </c>
      <c r="F726" t="s">
        <v>70</v>
      </c>
      <c r="G726" t="str">
        <f>"2026-01-16 10:35:21.664"</f>
        <v>2026-01-16 10:35:21.664</v>
      </c>
      <c r="H726" t="s">
        <v>66</v>
      </c>
    </row>
    <row r="727" spans="1:10" x14ac:dyDescent="0.25">
      <c r="A727" s="1">
        <v>93</v>
      </c>
      <c r="B727" t="s">
        <v>25</v>
      </c>
      <c r="C727">
        <v>4</v>
      </c>
      <c r="D727">
        <v>4</v>
      </c>
      <c r="E727" t="s">
        <v>64</v>
      </c>
      <c r="F727" t="s">
        <v>70</v>
      </c>
      <c r="G727" t="str">
        <f>"2026-01-16 10:34:59.685"</f>
        <v>2026-01-16 10:34:59.685</v>
      </c>
      <c r="H727" t="s">
        <v>66</v>
      </c>
      <c r="I727">
        <v>22.26</v>
      </c>
      <c r="J727" t="s">
        <v>36</v>
      </c>
    </row>
    <row r="728" spans="1:10" x14ac:dyDescent="0.25">
      <c r="A728" s="1">
        <v>94</v>
      </c>
      <c r="B728" t="s">
        <v>22</v>
      </c>
      <c r="C728">
        <v>4</v>
      </c>
      <c r="D728">
        <v>4</v>
      </c>
      <c r="E728" t="s">
        <v>64</v>
      </c>
      <c r="F728" t="s">
        <v>70</v>
      </c>
      <c r="G728" t="str">
        <f>"2026-01-16 10:06:54.545"</f>
        <v>2026-01-16 10:06:54.545</v>
      </c>
      <c r="H728" t="s">
        <v>66</v>
      </c>
    </row>
    <row r="729" spans="1:10" x14ac:dyDescent="0.25">
      <c r="A729" s="1">
        <v>95</v>
      </c>
      <c r="B729" t="s">
        <v>25</v>
      </c>
      <c r="C729">
        <v>4</v>
      </c>
      <c r="D729">
        <v>4</v>
      </c>
      <c r="E729" t="s">
        <v>64</v>
      </c>
      <c r="F729" t="s">
        <v>70</v>
      </c>
      <c r="G729" t="str">
        <f>"2026-01-16 10:05:21.225"</f>
        <v>2026-01-16 10:05:21.225</v>
      </c>
      <c r="H729" t="s">
        <v>66</v>
      </c>
      <c r="I729">
        <v>19.45</v>
      </c>
      <c r="J729" t="s">
        <v>27</v>
      </c>
    </row>
    <row r="730" spans="1:10" x14ac:dyDescent="0.25">
      <c r="A730" s="1">
        <v>96</v>
      </c>
      <c r="B730" t="s">
        <v>22</v>
      </c>
      <c r="C730">
        <v>4</v>
      </c>
      <c r="D730">
        <v>4</v>
      </c>
      <c r="E730" t="s">
        <v>64</v>
      </c>
      <c r="F730" t="s">
        <v>70</v>
      </c>
      <c r="G730" t="str">
        <f>"2026-01-16 01:35:47.325"</f>
        <v>2026-01-16 01:35:47.325</v>
      </c>
      <c r="H730" t="s">
        <v>66</v>
      </c>
    </row>
    <row r="731" spans="1:10" x14ac:dyDescent="0.25">
      <c r="A731" s="1">
        <v>97</v>
      </c>
      <c r="B731" t="s">
        <v>25</v>
      </c>
      <c r="C731">
        <v>4</v>
      </c>
      <c r="D731">
        <v>4</v>
      </c>
      <c r="E731" t="s">
        <v>64</v>
      </c>
      <c r="F731" t="s">
        <v>70</v>
      </c>
      <c r="G731" t="str">
        <f>"2026-01-16 01:34:14.706"</f>
        <v>2026-01-16 01:34:14.706</v>
      </c>
      <c r="H731" t="s">
        <v>66</v>
      </c>
      <c r="I731">
        <v>24.23</v>
      </c>
      <c r="J731" t="s">
        <v>27</v>
      </c>
    </row>
    <row r="732" spans="1:10" x14ac:dyDescent="0.25">
      <c r="A732" s="1">
        <v>98</v>
      </c>
      <c r="B732" t="s">
        <v>19</v>
      </c>
      <c r="C732">
        <v>706</v>
      </c>
      <c r="D732">
        <v>2</v>
      </c>
      <c r="E732" t="s">
        <v>28</v>
      </c>
      <c r="F732" t="s">
        <v>45</v>
      </c>
      <c r="G732" t="str">
        <f>"2026-01-15 21:36:05.477"</f>
        <v>2026-01-15 21:36:05.477</v>
      </c>
      <c r="H732" t="s">
        <v>21</v>
      </c>
      <c r="I732">
        <v>0</v>
      </c>
      <c r="J732" t="s">
        <v>30</v>
      </c>
    </row>
    <row r="733" spans="1:10" x14ac:dyDescent="0.25">
      <c r="A733" s="1">
        <v>99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"2026-01-15 21:32:04.437"</f>
        <v>2026-01-15 21:32:04.437</v>
      </c>
      <c r="H733" t="s">
        <v>21</v>
      </c>
      <c r="I733">
        <v>0</v>
      </c>
      <c r="J733" t="s">
        <v>31</v>
      </c>
    </row>
    <row r="734" spans="1:10" x14ac:dyDescent="0.25">
      <c r="A734" s="1">
        <v>0</v>
      </c>
      <c r="B734" t="s">
        <v>22</v>
      </c>
      <c r="C734">
        <v>4</v>
      </c>
      <c r="D734">
        <v>4</v>
      </c>
      <c r="E734" t="s">
        <v>64</v>
      </c>
      <c r="F734" t="s">
        <v>70</v>
      </c>
      <c r="G734" t="str">
        <f>"2026-01-15 15:11:02.740"</f>
        <v>2026-01-15 15:11:02.740</v>
      </c>
      <c r="H734" t="s">
        <v>66</v>
      </c>
    </row>
    <row r="735" spans="1:10" x14ac:dyDescent="0.25">
      <c r="A735" s="1">
        <v>1</v>
      </c>
      <c r="B735" t="s">
        <v>71</v>
      </c>
      <c r="C735">
        <v>215</v>
      </c>
      <c r="D735">
        <v>5</v>
      </c>
      <c r="E735" t="s">
        <v>72</v>
      </c>
      <c r="F735" t="s">
        <v>73</v>
      </c>
      <c r="G735" t="str">
        <f>"2026-01-15 15:10:55.252"</f>
        <v>2026-01-15 15:10:55.252</v>
      </c>
      <c r="H735" t="s">
        <v>21</v>
      </c>
    </row>
    <row r="736" spans="1:10" x14ac:dyDescent="0.25">
      <c r="A736" s="1">
        <v>2</v>
      </c>
      <c r="B736" t="s">
        <v>71</v>
      </c>
      <c r="C736">
        <v>115</v>
      </c>
      <c r="D736">
        <v>5</v>
      </c>
      <c r="E736" t="s">
        <v>74</v>
      </c>
      <c r="F736" t="s">
        <v>73</v>
      </c>
      <c r="G736" t="str">
        <f>"2026-01-15 15:10:55.152"</f>
        <v>2026-01-15 15:10:55.152</v>
      </c>
      <c r="H736" t="s">
        <v>21</v>
      </c>
    </row>
    <row r="737" spans="1:10" x14ac:dyDescent="0.25">
      <c r="A737" s="1">
        <v>3</v>
      </c>
      <c r="B737" t="s">
        <v>32</v>
      </c>
      <c r="C737">
        <v>215</v>
      </c>
      <c r="D737">
        <v>5</v>
      </c>
      <c r="E737" t="s">
        <v>72</v>
      </c>
      <c r="F737" t="s">
        <v>73</v>
      </c>
      <c r="G737" t="str">
        <f>"2026-01-15 15:10:50.070"</f>
        <v>2026-01-15 15:10:50.070</v>
      </c>
      <c r="H737" t="s">
        <v>21</v>
      </c>
      <c r="I737">
        <v>5.17</v>
      </c>
      <c r="J737" t="s">
        <v>36</v>
      </c>
    </row>
    <row r="738" spans="1:10" x14ac:dyDescent="0.25">
      <c r="A738" s="1">
        <v>4</v>
      </c>
      <c r="B738" t="s">
        <v>32</v>
      </c>
      <c r="C738">
        <v>115</v>
      </c>
      <c r="D738">
        <v>5</v>
      </c>
      <c r="E738" t="s">
        <v>74</v>
      </c>
      <c r="F738" t="s">
        <v>73</v>
      </c>
      <c r="G738" t="str">
        <f>"2026-01-15 15:10:50.065"</f>
        <v>2026-01-15 15:10:50.065</v>
      </c>
      <c r="H738" t="s">
        <v>21</v>
      </c>
      <c r="I738">
        <v>5.17</v>
      </c>
      <c r="J738" t="s">
        <v>36</v>
      </c>
    </row>
    <row r="739" spans="1:10" x14ac:dyDescent="0.25">
      <c r="A739" s="1">
        <v>5</v>
      </c>
      <c r="B739" t="s">
        <v>25</v>
      </c>
      <c r="C739">
        <v>4</v>
      </c>
      <c r="D739">
        <v>4</v>
      </c>
      <c r="E739" t="s">
        <v>64</v>
      </c>
      <c r="F739" t="s">
        <v>70</v>
      </c>
      <c r="G739" t="str">
        <f>"2026-01-15 15:10:49.180"</f>
        <v>2026-01-15 15:10:49.180</v>
      </c>
      <c r="H739" t="s">
        <v>66</v>
      </c>
      <c r="I739">
        <v>5</v>
      </c>
      <c r="J739" t="s">
        <v>36</v>
      </c>
    </row>
    <row r="740" spans="1:10" x14ac:dyDescent="0.25">
      <c r="A740" s="1">
        <v>6</v>
      </c>
      <c r="B740" t="s">
        <v>22</v>
      </c>
      <c r="C740">
        <v>4</v>
      </c>
      <c r="D740">
        <v>4</v>
      </c>
      <c r="E740" t="s">
        <v>64</v>
      </c>
      <c r="F740" t="s">
        <v>70</v>
      </c>
      <c r="G740" t="str">
        <f>"2026-01-15 15:10:37.100"</f>
        <v>2026-01-15 15:10:37.100</v>
      </c>
      <c r="H740" t="s">
        <v>66</v>
      </c>
    </row>
    <row r="741" spans="1:10" x14ac:dyDescent="0.25">
      <c r="A741" s="1">
        <v>7</v>
      </c>
      <c r="B741" t="s">
        <v>71</v>
      </c>
      <c r="C741">
        <v>215</v>
      </c>
      <c r="D741">
        <v>5</v>
      </c>
      <c r="E741" t="s">
        <v>72</v>
      </c>
      <c r="F741" t="s">
        <v>73</v>
      </c>
      <c r="G741" t="str">
        <f>"2026-01-15 15:10:19.552"</f>
        <v>2026-01-15 15:10:19.552</v>
      </c>
      <c r="H741" t="s">
        <v>21</v>
      </c>
    </row>
    <row r="742" spans="1:10" x14ac:dyDescent="0.25">
      <c r="A742" s="1">
        <v>8</v>
      </c>
      <c r="B742" t="s">
        <v>71</v>
      </c>
      <c r="C742">
        <v>115</v>
      </c>
      <c r="D742">
        <v>5</v>
      </c>
      <c r="E742" t="s">
        <v>74</v>
      </c>
      <c r="F742" t="s">
        <v>73</v>
      </c>
      <c r="G742" t="str">
        <f>"2026-01-15 15:10:19.452"</f>
        <v>2026-01-15 15:10:19.452</v>
      </c>
      <c r="H742" t="s">
        <v>21</v>
      </c>
    </row>
    <row r="743" spans="1:10" x14ac:dyDescent="0.25">
      <c r="A743" s="1">
        <v>9</v>
      </c>
      <c r="B743" t="s">
        <v>32</v>
      </c>
      <c r="C743">
        <v>215</v>
      </c>
      <c r="D743">
        <v>5</v>
      </c>
      <c r="E743" t="s">
        <v>72</v>
      </c>
      <c r="F743" t="s">
        <v>73</v>
      </c>
      <c r="G743" t="str">
        <f>"2026-01-15 15:10:14.430"</f>
        <v>2026-01-15 15:10:14.430</v>
      </c>
      <c r="H743" t="s">
        <v>21</v>
      </c>
      <c r="I743">
        <v>12.98</v>
      </c>
      <c r="J743" t="s">
        <v>36</v>
      </c>
    </row>
    <row r="744" spans="1:10" x14ac:dyDescent="0.25">
      <c r="A744" s="1">
        <v>10</v>
      </c>
      <c r="B744" t="s">
        <v>32</v>
      </c>
      <c r="C744">
        <v>115</v>
      </c>
      <c r="D744">
        <v>5</v>
      </c>
      <c r="E744" t="s">
        <v>74</v>
      </c>
      <c r="F744" t="s">
        <v>73</v>
      </c>
      <c r="G744" t="str">
        <f>"2026-01-15 15:10:14.425"</f>
        <v>2026-01-15 15:10:14.425</v>
      </c>
      <c r="H744" t="s">
        <v>21</v>
      </c>
      <c r="I744">
        <v>12.98</v>
      </c>
      <c r="J744" t="s">
        <v>36</v>
      </c>
    </row>
    <row r="745" spans="1:10" x14ac:dyDescent="0.25">
      <c r="A745" s="1">
        <v>11</v>
      </c>
      <c r="B745" t="s">
        <v>25</v>
      </c>
      <c r="C745">
        <v>4</v>
      </c>
      <c r="D745">
        <v>4</v>
      </c>
      <c r="E745" t="s">
        <v>64</v>
      </c>
      <c r="F745" t="s">
        <v>70</v>
      </c>
      <c r="G745" t="str">
        <f>"2026-01-15 15:10:13.780"</f>
        <v>2026-01-15 15:10:13.780</v>
      </c>
      <c r="H745" t="s">
        <v>66</v>
      </c>
      <c r="I745">
        <v>13.42</v>
      </c>
      <c r="J745" t="s">
        <v>36</v>
      </c>
    </row>
    <row r="746" spans="1:10" x14ac:dyDescent="0.25">
      <c r="A746" s="1">
        <v>12</v>
      </c>
      <c r="B746" t="s">
        <v>22</v>
      </c>
      <c r="C746">
        <v>4</v>
      </c>
      <c r="D746">
        <v>4</v>
      </c>
      <c r="E746" t="s">
        <v>64</v>
      </c>
      <c r="F746" t="s">
        <v>70</v>
      </c>
      <c r="G746" t="str">
        <f>"2026-01-15 15:09:37.320"</f>
        <v>2026-01-15 15:09:37.320</v>
      </c>
      <c r="H746" t="s">
        <v>66</v>
      </c>
    </row>
    <row r="747" spans="1:10" x14ac:dyDescent="0.25">
      <c r="A747" s="1">
        <v>13</v>
      </c>
      <c r="B747" t="s">
        <v>37</v>
      </c>
      <c r="C747">
        <v>215</v>
      </c>
      <c r="D747">
        <v>5</v>
      </c>
      <c r="E747" t="s">
        <v>72</v>
      </c>
      <c r="F747" t="s">
        <v>73</v>
      </c>
      <c r="G747" t="str">
        <f>"2026-01-15 15:09:31.571"</f>
        <v>2026-01-15 15:09:31.571</v>
      </c>
      <c r="H747" t="s">
        <v>21</v>
      </c>
    </row>
    <row r="748" spans="1:10" x14ac:dyDescent="0.25">
      <c r="A748" s="1">
        <v>14</v>
      </c>
      <c r="B748" t="s">
        <v>37</v>
      </c>
      <c r="C748">
        <v>115</v>
      </c>
      <c r="D748">
        <v>5</v>
      </c>
      <c r="E748" t="s">
        <v>74</v>
      </c>
      <c r="F748" t="s">
        <v>73</v>
      </c>
      <c r="G748" t="str">
        <f>"2026-01-15 15:09:31.569"</f>
        <v>2026-01-15 15:09:31.569</v>
      </c>
      <c r="H748" t="s">
        <v>21</v>
      </c>
    </row>
    <row r="749" spans="1:10" x14ac:dyDescent="0.25">
      <c r="A749" s="1">
        <v>15</v>
      </c>
      <c r="B749" t="s">
        <v>32</v>
      </c>
      <c r="C749">
        <v>215</v>
      </c>
      <c r="D749">
        <v>5</v>
      </c>
      <c r="E749" t="s">
        <v>72</v>
      </c>
      <c r="F749" t="s">
        <v>73</v>
      </c>
      <c r="G749" t="str">
        <f>"2026-01-15 15:09:29.485"</f>
        <v>2026-01-15 15:09:29.485</v>
      </c>
      <c r="H749" t="s">
        <v>21</v>
      </c>
      <c r="I749">
        <v>5.91</v>
      </c>
      <c r="J749" t="s">
        <v>36</v>
      </c>
    </row>
    <row r="750" spans="1:10" x14ac:dyDescent="0.25">
      <c r="A750" s="1">
        <v>16</v>
      </c>
      <c r="B750" t="s">
        <v>32</v>
      </c>
      <c r="C750">
        <v>115</v>
      </c>
      <c r="D750">
        <v>5</v>
      </c>
      <c r="E750" t="s">
        <v>74</v>
      </c>
      <c r="F750" t="s">
        <v>73</v>
      </c>
      <c r="G750" t="str">
        <f>"2026-01-15 15:09:29.245"</f>
        <v>2026-01-15 15:09:29.245</v>
      </c>
      <c r="H750" t="s">
        <v>21</v>
      </c>
      <c r="I750">
        <v>6.03</v>
      </c>
      <c r="J750" t="s">
        <v>36</v>
      </c>
    </row>
    <row r="751" spans="1:10" x14ac:dyDescent="0.25">
      <c r="A751" s="1">
        <v>17</v>
      </c>
      <c r="B751" t="s">
        <v>25</v>
      </c>
      <c r="C751">
        <v>4</v>
      </c>
      <c r="D751">
        <v>4</v>
      </c>
      <c r="E751" t="s">
        <v>64</v>
      </c>
      <c r="F751" t="s">
        <v>70</v>
      </c>
      <c r="G751" t="str">
        <f>"2026-01-15 15:09:28.540"</f>
        <v>2026-01-15 15:09:28.540</v>
      </c>
      <c r="H751" t="s">
        <v>66</v>
      </c>
      <c r="I751">
        <v>6.92</v>
      </c>
      <c r="J751" t="s">
        <v>36</v>
      </c>
    </row>
    <row r="752" spans="1:10" x14ac:dyDescent="0.25">
      <c r="A752" s="1">
        <v>18</v>
      </c>
      <c r="B752" t="s">
        <v>22</v>
      </c>
      <c r="C752">
        <v>42</v>
      </c>
      <c r="D752">
        <v>1</v>
      </c>
      <c r="E752" t="s">
        <v>52</v>
      </c>
      <c r="F752" t="s">
        <v>53</v>
      </c>
      <c r="G752" t="str">
        <f>"2026-01-15 13:51:01.839"</f>
        <v>2026-01-15 13:51:01.839</v>
      </c>
      <c r="H752" t="s">
        <v>54</v>
      </c>
    </row>
    <row r="753" spans="1:10" x14ac:dyDescent="0.25">
      <c r="A753" s="1">
        <v>19</v>
      </c>
      <c r="B753" t="s">
        <v>25</v>
      </c>
      <c r="C753">
        <v>42</v>
      </c>
      <c r="D753">
        <v>1</v>
      </c>
      <c r="E753" t="s">
        <v>52</v>
      </c>
      <c r="F753" t="s">
        <v>53</v>
      </c>
      <c r="G753" t="str">
        <f>"2026-01-15 13:50:39.739"</f>
        <v>2026-01-15 13:50:39.739</v>
      </c>
      <c r="H753" t="s">
        <v>54</v>
      </c>
      <c r="I753">
        <v>0</v>
      </c>
      <c r="J753" t="s">
        <v>30</v>
      </c>
    </row>
    <row r="754" spans="1:10" x14ac:dyDescent="0.25">
      <c r="A754" s="1">
        <v>20</v>
      </c>
      <c r="B754" t="s">
        <v>22</v>
      </c>
      <c r="C754">
        <v>61</v>
      </c>
      <c r="D754">
        <v>2</v>
      </c>
      <c r="E754" t="s">
        <v>38</v>
      </c>
      <c r="F754" t="s">
        <v>39</v>
      </c>
      <c r="G754" t="str">
        <f>"2026-01-15 06:17:31.182"</f>
        <v>2026-01-15 06:17:31.182</v>
      </c>
      <c r="H754" t="s">
        <v>21</v>
      </c>
    </row>
    <row r="755" spans="1:10" x14ac:dyDescent="0.25">
      <c r="A755" s="1">
        <v>21</v>
      </c>
      <c r="B755" t="s">
        <v>32</v>
      </c>
      <c r="C755">
        <v>61</v>
      </c>
      <c r="D755">
        <v>2</v>
      </c>
      <c r="E755" t="s">
        <v>38</v>
      </c>
      <c r="F755" t="s">
        <v>39</v>
      </c>
      <c r="G755" t="str">
        <f>"2026-01-15 06:17:22.482"</f>
        <v>2026-01-15 06:17:22.482</v>
      </c>
      <c r="H755" t="s">
        <v>21</v>
      </c>
      <c r="I755">
        <v>29.22</v>
      </c>
      <c r="J755" t="s">
        <v>27</v>
      </c>
    </row>
    <row r="756" spans="1:10" x14ac:dyDescent="0.25">
      <c r="A756" s="1">
        <v>23</v>
      </c>
      <c r="B756" t="s">
        <v>22</v>
      </c>
      <c r="C756">
        <v>635</v>
      </c>
      <c r="D756">
        <v>1</v>
      </c>
      <c r="E756" t="s">
        <v>23</v>
      </c>
      <c r="F756" t="s">
        <v>24</v>
      </c>
      <c r="G756" t="str">
        <f>"2026-01-15 00:48:18.969"</f>
        <v>2026-01-15 00:48:18.969</v>
      </c>
      <c r="H756" t="s">
        <v>21</v>
      </c>
    </row>
    <row r="757" spans="1:10" x14ac:dyDescent="0.25">
      <c r="A757" s="1">
        <v>24</v>
      </c>
      <c r="B757" t="s">
        <v>25</v>
      </c>
      <c r="C757">
        <v>635</v>
      </c>
      <c r="D757">
        <v>1</v>
      </c>
      <c r="E757" t="s">
        <v>23</v>
      </c>
      <c r="F757" t="s">
        <v>24</v>
      </c>
      <c r="G757" t="str">
        <f>"2026-01-15 00:40:33.969"</f>
        <v>2026-01-15 00:40:33.969</v>
      </c>
      <c r="H757" t="s">
        <v>21</v>
      </c>
      <c r="I757">
        <v>0.84</v>
      </c>
      <c r="J757" t="s">
        <v>26</v>
      </c>
    </row>
    <row r="758" spans="1:10" x14ac:dyDescent="0.25">
      <c r="A758" s="1">
        <v>28</v>
      </c>
      <c r="B758" t="s">
        <v>22</v>
      </c>
      <c r="C758">
        <v>635</v>
      </c>
      <c r="D758">
        <v>1</v>
      </c>
      <c r="E758" t="s">
        <v>23</v>
      </c>
      <c r="F758" t="s">
        <v>24</v>
      </c>
      <c r="G758" t="str">
        <f>"2026-01-14 08:10:46.069"</f>
        <v>2026-01-14 08:10:46.069</v>
      </c>
      <c r="H758" t="s">
        <v>21</v>
      </c>
    </row>
    <row r="759" spans="1:10" x14ac:dyDescent="0.25">
      <c r="A759" s="1">
        <v>29</v>
      </c>
      <c r="B759" t="s">
        <v>25</v>
      </c>
      <c r="C759">
        <v>635</v>
      </c>
      <c r="D759">
        <v>1</v>
      </c>
      <c r="E759" t="s">
        <v>23</v>
      </c>
      <c r="F759" t="s">
        <v>24</v>
      </c>
      <c r="G759" t="str">
        <f>"2026-01-14 08:05:56.569"</f>
        <v>2026-01-14 08:05:56.569</v>
      </c>
      <c r="H759" t="s">
        <v>21</v>
      </c>
      <c r="I759">
        <v>3.47</v>
      </c>
      <c r="J759" t="s">
        <v>36</v>
      </c>
    </row>
    <row r="760" spans="1:10" x14ac:dyDescent="0.25">
      <c r="A760" s="1">
        <v>30</v>
      </c>
      <c r="B760" t="s">
        <v>71</v>
      </c>
      <c r="C760">
        <v>215</v>
      </c>
      <c r="D760">
        <v>9</v>
      </c>
      <c r="E760" t="s">
        <v>72</v>
      </c>
      <c r="F760" t="s">
        <v>75</v>
      </c>
      <c r="G760" t="str">
        <f>"2026-01-13 20:04:56.136"</f>
        <v>2026-01-13 20:04:56.136</v>
      </c>
      <c r="H760" t="s">
        <v>21</v>
      </c>
    </row>
    <row r="761" spans="1:10" x14ac:dyDescent="0.25">
      <c r="A761" s="1">
        <v>31</v>
      </c>
      <c r="B761" t="s">
        <v>71</v>
      </c>
      <c r="C761">
        <v>115</v>
      </c>
      <c r="D761">
        <v>9</v>
      </c>
      <c r="E761" t="s">
        <v>74</v>
      </c>
      <c r="F761" t="s">
        <v>75</v>
      </c>
      <c r="G761" t="str">
        <f>"2026-01-13 20:04:55.961"</f>
        <v>2026-01-13 20:04:55.961</v>
      </c>
      <c r="H761" t="s">
        <v>21</v>
      </c>
    </row>
    <row r="762" spans="1:10" x14ac:dyDescent="0.25">
      <c r="A762" s="1">
        <v>32</v>
      </c>
      <c r="B762" t="s">
        <v>32</v>
      </c>
      <c r="C762">
        <v>215</v>
      </c>
      <c r="D762">
        <v>9</v>
      </c>
      <c r="E762" t="s">
        <v>72</v>
      </c>
      <c r="F762" t="s">
        <v>75</v>
      </c>
      <c r="G762" t="str">
        <f>"2026-01-13 20:04:50.871"</f>
        <v>2026-01-13 20:04:50.871</v>
      </c>
      <c r="H762" t="s">
        <v>21</v>
      </c>
      <c r="I762">
        <v>0</v>
      </c>
      <c r="J762" t="s">
        <v>26</v>
      </c>
    </row>
    <row r="763" spans="1:10" x14ac:dyDescent="0.25">
      <c r="A763" s="1">
        <v>33</v>
      </c>
      <c r="B763" t="s">
        <v>32</v>
      </c>
      <c r="C763">
        <v>115</v>
      </c>
      <c r="D763">
        <v>9</v>
      </c>
      <c r="E763" t="s">
        <v>74</v>
      </c>
      <c r="F763" t="s">
        <v>75</v>
      </c>
      <c r="G763" t="str">
        <f>"2026-01-13 20:04:50.865"</f>
        <v>2026-01-13 20:04:50.865</v>
      </c>
      <c r="H763" t="s">
        <v>21</v>
      </c>
      <c r="I763">
        <v>0</v>
      </c>
      <c r="J763" t="s">
        <v>26</v>
      </c>
    </row>
    <row r="764" spans="1:10" x14ac:dyDescent="0.25">
      <c r="A764" s="1">
        <v>34</v>
      </c>
      <c r="B764" t="s">
        <v>19</v>
      </c>
      <c r="C764">
        <v>706</v>
      </c>
      <c r="D764">
        <v>4</v>
      </c>
      <c r="E764" t="s">
        <v>28</v>
      </c>
      <c r="F764" t="s">
        <v>29</v>
      </c>
      <c r="G764" t="str">
        <f>"2026-01-13 17:35:02.441"</f>
        <v>2026-01-13 17:35:02.441</v>
      </c>
      <c r="H764" t="s">
        <v>21</v>
      </c>
      <c r="I764">
        <v>0</v>
      </c>
      <c r="J764" t="s">
        <v>30</v>
      </c>
    </row>
    <row r="765" spans="1:10" x14ac:dyDescent="0.25">
      <c r="A765" s="1">
        <v>35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"2026-01-13 17:21:46.431"</f>
        <v>2026-01-13 17:21:46.431</v>
      </c>
      <c r="H765" t="s">
        <v>21</v>
      </c>
    </row>
    <row r="766" spans="1:10" x14ac:dyDescent="0.25">
      <c r="A766" s="1">
        <v>36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"2026-01-13 16:42:26.491"</f>
        <v>2026-01-13 16:42:26.491</v>
      </c>
      <c r="H766" t="s">
        <v>21</v>
      </c>
    </row>
    <row r="767" spans="1:10" x14ac:dyDescent="0.25">
      <c r="A767" s="1">
        <v>37</v>
      </c>
      <c r="B767" t="s">
        <v>19</v>
      </c>
      <c r="C767">
        <v>706</v>
      </c>
      <c r="D767">
        <v>4</v>
      </c>
      <c r="E767" t="s">
        <v>28</v>
      </c>
      <c r="F767" t="s">
        <v>29</v>
      </c>
      <c r="G767" t="str">
        <f>"2026-01-13 16:18:49.265"</f>
        <v>2026-01-13 16:18:49.265</v>
      </c>
      <c r="H767" t="s">
        <v>21</v>
      </c>
      <c r="I767">
        <v>0</v>
      </c>
      <c r="J767" t="s">
        <v>30</v>
      </c>
    </row>
    <row r="768" spans="1:10" x14ac:dyDescent="0.25">
      <c r="A768" s="1">
        <v>38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"2026-01-13 16:18:26.435"</f>
        <v>2026-01-13 16:18:26.435</v>
      </c>
      <c r="H768" t="s">
        <v>21</v>
      </c>
    </row>
    <row r="769" spans="1:10" x14ac:dyDescent="0.25">
      <c r="A769" s="1">
        <v>39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"2026-01-13 15:05:39.432"</f>
        <v>2026-01-13 15:05:39.432</v>
      </c>
      <c r="H769" t="s">
        <v>21</v>
      </c>
    </row>
    <row r="770" spans="1:10" x14ac:dyDescent="0.25">
      <c r="A770" s="1">
        <v>40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"2026-01-13 14:37:27.749"</f>
        <v>2026-01-13 14:37:27.749</v>
      </c>
      <c r="H770" t="s">
        <v>21</v>
      </c>
    </row>
    <row r="771" spans="1:10" x14ac:dyDescent="0.25">
      <c r="A771" s="1">
        <v>41</v>
      </c>
      <c r="B771" t="s">
        <v>22</v>
      </c>
      <c r="C771">
        <v>631</v>
      </c>
      <c r="D771">
        <v>1</v>
      </c>
      <c r="E771" t="s">
        <v>76</v>
      </c>
      <c r="F771" t="s">
        <v>77</v>
      </c>
      <c r="G771" t="str">
        <f>"2026-01-13 04:12:48.917"</f>
        <v>2026-01-13 04:12:48.917</v>
      </c>
      <c r="H771" t="s">
        <v>21</v>
      </c>
    </row>
    <row r="772" spans="1:10" x14ac:dyDescent="0.25">
      <c r="A772" s="1">
        <v>42</v>
      </c>
      <c r="B772" t="s">
        <v>25</v>
      </c>
      <c r="C772">
        <v>631</v>
      </c>
      <c r="D772">
        <v>1</v>
      </c>
      <c r="E772" t="s">
        <v>76</v>
      </c>
      <c r="F772" t="s">
        <v>77</v>
      </c>
      <c r="G772" t="str">
        <f>"2026-01-13 04:12:35.170"</f>
        <v>2026-01-13 04:12:35.170</v>
      </c>
      <c r="H772" t="s">
        <v>21</v>
      </c>
      <c r="I772">
        <v>16.73</v>
      </c>
      <c r="J772" t="s">
        <v>36</v>
      </c>
    </row>
    <row r="773" spans="1:10" x14ac:dyDescent="0.25">
      <c r="A773" s="1">
        <v>43</v>
      </c>
      <c r="B773" t="s">
        <v>22</v>
      </c>
      <c r="C773">
        <v>631</v>
      </c>
      <c r="D773">
        <v>1</v>
      </c>
      <c r="E773" t="s">
        <v>76</v>
      </c>
      <c r="F773" t="s">
        <v>77</v>
      </c>
      <c r="G773" t="str">
        <f>"2026-01-13 04:08:57.617"</f>
        <v>2026-01-13 04:08:57.617</v>
      </c>
      <c r="H773" t="s">
        <v>21</v>
      </c>
    </row>
    <row r="774" spans="1:10" x14ac:dyDescent="0.25">
      <c r="A774" s="1">
        <v>44</v>
      </c>
      <c r="B774" t="s">
        <v>25</v>
      </c>
      <c r="C774">
        <v>631</v>
      </c>
      <c r="D774">
        <v>1</v>
      </c>
      <c r="E774" t="s">
        <v>76</v>
      </c>
      <c r="F774" t="s">
        <v>77</v>
      </c>
      <c r="G774" t="str">
        <f>"2026-01-13 04:08:16.517"</f>
        <v>2026-01-13 04:08:16.517</v>
      </c>
      <c r="H774" t="s">
        <v>21</v>
      </c>
      <c r="I774">
        <v>5.49</v>
      </c>
      <c r="J774" t="s">
        <v>36</v>
      </c>
    </row>
    <row r="775" spans="1:10" x14ac:dyDescent="0.25">
      <c r="A775" s="1">
        <v>45</v>
      </c>
      <c r="B775" t="s">
        <v>22</v>
      </c>
      <c r="C775">
        <v>631</v>
      </c>
      <c r="D775">
        <v>1</v>
      </c>
      <c r="E775" t="s">
        <v>76</v>
      </c>
      <c r="F775" t="s">
        <v>77</v>
      </c>
      <c r="G775" t="str">
        <f>"2026-01-13 03:21:31.370"</f>
        <v>2026-01-13 03:21:31.370</v>
      </c>
      <c r="H775" t="s">
        <v>21</v>
      </c>
    </row>
    <row r="776" spans="1:10" x14ac:dyDescent="0.25">
      <c r="A776" s="1">
        <v>46</v>
      </c>
      <c r="B776" t="s">
        <v>25</v>
      </c>
      <c r="C776">
        <v>631</v>
      </c>
      <c r="D776">
        <v>1</v>
      </c>
      <c r="E776" t="s">
        <v>76</v>
      </c>
      <c r="F776" t="s">
        <v>77</v>
      </c>
      <c r="G776" t="str">
        <f>"2026-01-13 03:21:14.317"</f>
        <v>2026-01-13 03:21:14.317</v>
      </c>
      <c r="H776" t="s">
        <v>21</v>
      </c>
      <c r="I776">
        <v>10.36</v>
      </c>
      <c r="J776" t="s">
        <v>36</v>
      </c>
    </row>
    <row r="777" spans="1:10" x14ac:dyDescent="0.25">
      <c r="A777" s="1">
        <v>47</v>
      </c>
      <c r="B777" t="s">
        <v>22</v>
      </c>
      <c r="C777">
        <v>631</v>
      </c>
      <c r="D777">
        <v>1</v>
      </c>
      <c r="E777" t="s">
        <v>76</v>
      </c>
      <c r="F777" t="s">
        <v>77</v>
      </c>
      <c r="G777" t="str">
        <f>"2026-01-13 03:20:45.817"</f>
        <v>2026-01-13 03:20:45.817</v>
      </c>
      <c r="H777" t="s">
        <v>21</v>
      </c>
    </row>
    <row r="778" spans="1:10" x14ac:dyDescent="0.25">
      <c r="A778" s="1">
        <v>48</v>
      </c>
      <c r="B778" t="s">
        <v>25</v>
      </c>
      <c r="C778">
        <v>631</v>
      </c>
      <c r="D778">
        <v>1</v>
      </c>
      <c r="E778" t="s">
        <v>76</v>
      </c>
      <c r="F778" t="s">
        <v>77</v>
      </c>
      <c r="G778" t="str">
        <f>"2026-01-13 03:19:49.817"</f>
        <v>2026-01-13 03:19:49.817</v>
      </c>
      <c r="H778" t="s">
        <v>21</v>
      </c>
      <c r="I778">
        <v>5.24</v>
      </c>
      <c r="J778" t="s">
        <v>36</v>
      </c>
    </row>
    <row r="779" spans="1:10" x14ac:dyDescent="0.25">
      <c r="A779" s="1">
        <v>49</v>
      </c>
      <c r="B779" t="s">
        <v>22</v>
      </c>
      <c r="C779">
        <v>635</v>
      </c>
      <c r="D779">
        <v>1</v>
      </c>
      <c r="E779" t="s">
        <v>23</v>
      </c>
      <c r="F779" t="s">
        <v>24</v>
      </c>
      <c r="G779" t="str">
        <f>"2026-01-13 02:42:49.670"</f>
        <v>2026-01-13 02:42:49.670</v>
      </c>
      <c r="H779" t="s">
        <v>21</v>
      </c>
    </row>
    <row r="780" spans="1:10" x14ac:dyDescent="0.25">
      <c r="A780" s="1">
        <v>50</v>
      </c>
      <c r="B780" t="s">
        <v>25</v>
      </c>
      <c r="C780">
        <v>635</v>
      </c>
      <c r="D780">
        <v>1</v>
      </c>
      <c r="E780" t="s">
        <v>23</v>
      </c>
      <c r="F780" t="s">
        <v>24</v>
      </c>
      <c r="G780" t="str">
        <f>"2026-01-13 02:38:52.670"</f>
        <v>2026-01-13 02:38:52.670</v>
      </c>
      <c r="H780" t="s">
        <v>21</v>
      </c>
      <c r="I780">
        <v>2.12</v>
      </c>
      <c r="J780" t="s">
        <v>26</v>
      </c>
    </row>
    <row r="781" spans="1:10" x14ac:dyDescent="0.25">
      <c r="A781" s="1">
        <v>51</v>
      </c>
      <c r="B781" t="s">
        <v>22</v>
      </c>
      <c r="C781">
        <v>631</v>
      </c>
      <c r="D781">
        <v>1</v>
      </c>
      <c r="E781" t="s">
        <v>76</v>
      </c>
      <c r="F781" t="s">
        <v>77</v>
      </c>
      <c r="G781" t="str">
        <f>"2026-01-13 00:48:05.370"</f>
        <v>2026-01-13 00:48:05.370</v>
      </c>
      <c r="H781" t="s">
        <v>21</v>
      </c>
    </row>
    <row r="782" spans="1:10" x14ac:dyDescent="0.25">
      <c r="A782" s="1">
        <v>52</v>
      </c>
      <c r="B782" t="s">
        <v>25</v>
      </c>
      <c r="C782">
        <v>631</v>
      </c>
      <c r="D782">
        <v>1</v>
      </c>
      <c r="E782" t="s">
        <v>76</v>
      </c>
      <c r="F782" t="s">
        <v>77</v>
      </c>
      <c r="G782" t="str">
        <f>"2026-01-13 00:47:42.117"</f>
        <v>2026-01-13 00:47:42.117</v>
      </c>
      <c r="H782" t="s">
        <v>21</v>
      </c>
      <c r="I782">
        <v>12.24</v>
      </c>
      <c r="J782" t="s">
        <v>36</v>
      </c>
    </row>
    <row r="783" spans="1:10" x14ac:dyDescent="0.25">
      <c r="A783" s="1">
        <v>53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"2026-01-12 20:11:59.410"</f>
        <v>2026-01-12 20:11:59.410</v>
      </c>
      <c r="H783" t="s">
        <v>21</v>
      </c>
      <c r="I783">
        <v>0</v>
      </c>
      <c r="J783" t="s">
        <v>31</v>
      </c>
    </row>
    <row r="784" spans="1:10" x14ac:dyDescent="0.25">
      <c r="A784" s="1">
        <v>54</v>
      </c>
      <c r="B784" t="s">
        <v>22</v>
      </c>
      <c r="C784">
        <v>631</v>
      </c>
      <c r="D784">
        <v>1</v>
      </c>
      <c r="E784" t="s">
        <v>76</v>
      </c>
      <c r="F784" t="s">
        <v>77</v>
      </c>
      <c r="G784" t="str">
        <f>"2026-01-12 18:17:30.377"</f>
        <v>2026-01-12 18:17:30.377</v>
      </c>
      <c r="H784" t="s">
        <v>21</v>
      </c>
    </row>
    <row r="785" spans="1:10" x14ac:dyDescent="0.25">
      <c r="A785" s="1">
        <v>55</v>
      </c>
      <c r="B785" t="s">
        <v>25</v>
      </c>
      <c r="C785">
        <v>631</v>
      </c>
      <c r="D785">
        <v>1</v>
      </c>
      <c r="E785" t="s">
        <v>76</v>
      </c>
      <c r="F785" t="s">
        <v>77</v>
      </c>
      <c r="G785" t="str">
        <f>"2026-01-12 18:17:09.277"</f>
        <v>2026-01-12 18:17:09.277</v>
      </c>
      <c r="H785" t="s">
        <v>21</v>
      </c>
      <c r="I785">
        <v>12.24</v>
      </c>
      <c r="J785" t="s">
        <v>36</v>
      </c>
    </row>
    <row r="786" spans="1:10" x14ac:dyDescent="0.25">
      <c r="A786" s="1">
        <v>56</v>
      </c>
      <c r="B786" t="s">
        <v>19</v>
      </c>
      <c r="C786">
        <v>706</v>
      </c>
      <c r="D786">
        <v>4</v>
      </c>
      <c r="E786" t="s">
        <v>28</v>
      </c>
      <c r="F786" t="s">
        <v>29</v>
      </c>
      <c r="G786" t="str">
        <f>"2026-01-12 10:30:02.360"</f>
        <v>2026-01-12 10:30:02.360</v>
      </c>
      <c r="H786" t="s">
        <v>21</v>
      </c>
      <c r="I786">
        <v>0</v>
      </c>
      <c r="J786" t="s">
        <v>30</v>
      </c>
    </row>
    <row r="787" spans="1:10" x14ac:dyDescent="0.25">
      <c r="A787" s="1">
        <v>57</v>
      </c>
      <c r="B787" t="s">
        <v>22</v>
      </c>
      <c r="C787">
        <v>635</v>
      </c>
      <c r="D787">
        <v>1</v>
      </c>
      <c r="E787" t="s">
        <v>23</v>
      </c>
      <c r="F787" t="s">
        <v>24</v>
      </c>
      <c r="G787" t="str">
        <f>"2026-01-12 07:03:05.330"</f>
        <v>2026-01-12 07:03:05.330</v>
      </c>
      <c r="H787" t="s">
        <v>21</v>
      </c>
    </row>
    <row r="788" spans="1:10" x14ac:dyDescent="0.25">
      <c r="A788" s="1">
        <v>58</v>
      </c>
      <c r="B788" t="s">
        <v>25</v>
      </c>
      <c r="C788">
        <v>635</v>
      </c>
      <c r="D788">
        <v>1</v>
      </c>
      <c r="E788" t="s">
        <v>23</v>
      </c>
      <c r="F788" t="s">
        <v>24</v>
      </c>
      <c r="G788" t="str">
        <f>"2026-01-12 06:59:33.830"</f>
        <v>2026-01-12 06:59:33.830</v>
      </c>
      <c r="H788" t="s">
        <v>21</v>
      </c>
      <c r="I788">
        <v>2.25</v>
      </c>
      <c r="J788" t="s">
        <v>36</v>
      </c>
    </row>
    <row r="789" spans="1:10" x14ac:dyDescent="0.25">
      <c r="A789" s="1">
        <v>59</v>
      </c>
      <c r="B789" t="s">
        <v>22</v>
      </c>
      <c r="C789">
        <v>635</v>
      </c>
      <c r="D789">
        <v>1</v>
      </c>
      <c r="E789" t="s">
        <v>23</v>
      </c>
      <c r="F789" t="s">
        <v>24</v>
      </c>
      <c r="G789" t="str">
        <f>"2026-01-12 06:02:44.930"</f>
        <v>2026-01-12 06:02:44.930</v>
      </c>
      <c r="H789" t="s">
        <v>21</v>
      </c>
    </row>
    <row r="790" spans="1:10" x14ac:dyDescent="0.25">
      <c r="A790" s="1">
        <v>60</v>
      </c>
      <c r="B790" t="s">
        <v>25</v>
      </c>
      <c r="C790">
        <v>635</v>
      </c>
      <c r="D790">
        <v>1</v>
      </c>
      <c r="E790" t="s">
        <v>23</v>
      </c>
      <c r="F790" t="s">
        <v>24</v>
      </c>
      <c r="G790" t="str">
        <f>"2026-01-12 05:58:01.430"</f>
        <v>2026-01-12 05:58:01.430</v>
      </c>
      <c r="H790" t="s">
        <v>21</v>
      </c>
      <c r="I790">
        <v>3.98</v>
      </c>
      <c r="J790" t="s">
        <v>36</v>
      </c>
    </row>
    <row r="791" spans="1:10" x14ac:dyDescent="0.25">
      <c r="A791" s="1">
        <v>61</v>
      </c>
      <c r="B791" t="s">
        <v>22</v>
      </c>
      <c r="C791">
        <v>635</v>
      </c>
      <c r="D791">
        <v>1</v>
      </c>
      <c r="E791" t="s">
        <v>23</v>
      </c>
      <c r="F791" t="s">
        <v>24</v>
      </c>
      <c r="G791" t="str">
        <f>"2026-01-12 05:22:15.530"</f>
        <v>2026-01-12 05:22:15.530</v>
      </c>
      <c r="H791" t="s">
        <v>21</v>
      </c>
    </row>
    <row r="792" spans="1:10" x14ac:dyDescent="0.25">
      <c r="A792" s="1">
        <v>62</v>
      </c>
      <c r="B792" t="s">
        <v>25</v>
      </c>
      <c r="C792">
        <v>635</v>
      </c>
      <c r="D792">
        <v>1</v>
      </c>
      <c r="E792" t="s">
        <v>23</v>
      </c>
      <c r="F792" t="s">
        <v>24</v>
      </c>
      <c r="G792" t="str">
        <f>"2026-01-12 05:17:45.529"</f>
        <v>2026-01-12 05:17:45.529</v>
      </c>
      <c r="H792" t="s">
        <v>21</v>
      </c>
      <c r="I792">
        <v>0</v>
      </c>
      <c r="J792" t="s">
        <v>26</v>
      </c>
    </row>
    <row r="793" spans="1:10" x14ac:dyDescent="0.25">
      <c r="A793" s="1">
        <v>66</v>
      </c>
      <c r="B793" t="s">
        <v>22</v>
      </c>
      <c r="C793">
        <v>635</v>
      </c>
      <c r="D793">
        <v>1</v>
      </c>
      <c r="E793" t="s">
        <v>23</v>
      </c>
      <c r="F793" t="s">
        <v>24</v>
      </c>
      <c r="G793" t="str">
        <f>"2026-01-11 03:58:53.730"</f>
        <v>2026-01-11 03:58:53.730</v>
      </c>
      <c r="H793" t="s">
        <v>21</v>
      </c>
    </row>
    <row r="794" spans="1:10" x14ac:dyDescent="0.25">
      <c r="A794" s="1">
        <v>67</v>
      </c>
      <c r="B794" t="s">
        <v>25</v>
      </c>
      <c r="C794">
        <v>635</v>
      </c>
      <c r="D794">
        <v>1</v>
      </c>
      <c r="E794" t="s">
        <v>23</v>
      </c>
      <c r="F794" t="s">
        <v>24</v>
      </c>
      <c r="G794" t="str">
        <f>"2026-01-11 03:49:30.230"</f>
        <v>2026-01-11 03:49:30.230</v>
      </c>
      <c r="H794" t="s">
        <v>21</v>
      </c>
      <c r="I794">
        <v>0</v>
      </c>
      <c r="J794" t="s">
        <v>26</v>
      </c>
    </row>
    <row r="795" spans="1:10" x14ac:dyDescent="0.25">
      <c r="A795" s="1">
        <v>68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"2026-01-11 02:23:30.410"</f>
        <v>2026-01-11 02:23:30.410</v>
      </c>
      <c r="H795" t="s">
        <v>21</v>
      </c>
      <c r="I795">
        <v>0</v>
      </c>
      <c r="J795" t="s">
        <v>31</v>
      </c>
    </row>
    <row r="796" spans="1:10" x14ac:dyDescent="0.25">
      <c r="A796" s="1">
        <v>73</v>
      </c>
      <c r="B796" t="s">
        <v>22</v>
      </c>
      <c r="C796">
        <v>635</v>
      </c>
      <c r="D796">
        <v>1</v>
      </c>
      <c r="E796" t="s">
        <v>23</v>
      </c>
      <c r="F796" t="s">
        <v>24</v>
      </c>
      <c r="G796" t="str">
        <f>"2026-01-10 23:44:28.568"</f>
        <v>2026-01-10 23:44:28.568</v>
      </c>
      <c r="H796" t="s">
        <v>21</v>
      </c>
    </row>
    <row r="797" spans="1:10" x14ac:dyDescent="0.25">
      <c r="A797" s="1">
        <v>74</v>
      </c>
      <c r="B797" t="s">
        <v>25</v>
      </c>
      <c r="C797">
        <v>635</v>
      </c>
      <c r="D797">
        <v>1</v>
      </c>
      <c r="E797" t="s">
        <v>23</v>
      </c>
      <c r="F797" t="s">
        <v>24</v>
      </c>
      <c r="G797" t="str">
        <f>"2026-01-10 23:40:45.568"</f>
        <v>2026-01-10 23:40:45.568</v>
      </c>
      <c r="H797" t="s">
        <v>21</v>
      </c>
      <c r="I797">
        <v>0</v>
      </c>
      <c r="J797" t="s">
        <v>26</v>
      </c>
    </row>
    <row r="798" spans="1:10" x14ac:dyDescent="0.25">
      <c r="A798" s="1">
        <v>79</v>
      </c>
      <c r="B798" t="s">
        <v>22</v>
      </c>
      <c r="C798">
        <v>635</v>
      </c>
      <c r="D798">
        <v>1</v>
      </c>
      <c r="E798" t="s">
        <v>23</v>
      </c>
      <c r="F798" t="s">
        <v>24</v>
      </c>
      <c r="G798" t="str">
        <f>"2026-01-10 14:33:12.768"</f>
        <v>2026-01-10 14:33:12.768</v>
      </c>
      <c r="H798" t="s">
        <v>21</v>
      </c>
    </row>
    <row r="799" spans="1:10" x14ac:dyDescent="0.25">
      <c r="A799" s="1">
        <v>80</v>
      </c>
      <c r="B799" t="s">
        <v>25</v>
      </c>
      <c r="C799">
        <v>635</v>
      </c>
      <c r="D799">
        <v>1</v>
      </c>
      <c r="E799" t="s">
        <v>23</v>
      </c>
      <c r="F799" t="s">
        <v>24</v>
      </c>
      <c r="G799" t="str">
        <f>"2026-01-10 14:31:04.268"</f>
        <v>2026-01-10 14:31:04.268</v>
      </c>
      <c r="H799" t="s">
        <v>21</v>
      </c>
      <c r="I799">
        <v>7.11</v>
      </c>
      <c r="J799" t="s">
        <v>36</v>
      </c>
    </row>
    <row r="800" spans="1:10" x14ac:dyDescent="0.25">
      <c r="A800" s="1">
        <v>84</v>
      </c>
      <c r="B800" t="s">
        <v>22</v>
      </c>
      <c r="C800">
        <v>635</v>
      </c>
      <c r="D800">
        <v>1</v>
      </c>
      <c r="E800" t="s">
        <v>23</v>
      </c>
      <c r="F800" t="s">
        <v>24</v>
      </c>
      <c r="G800" t="str">
        <f>"2026-01-09 17:49:15.368"</f>
        <v>2026-01-09 17:49:15.368</v>
      </c>
      <c r="H800" t="s">
        <v>21</v>
      </c>
    </row>
    <row r="801" spans="1:10" x14ac:dyDescent="0.25">
      <c r="A801" s="1">
        <v>85</v>
      </c>
      <c r="B801" t="s">
        <v>25</v>
      </c>
      <c r="C801">
        <v>635</v>
      </c>
      <c r="D801">
        <v>1</v>
      </c>
      <c r="E801" t="s">
        <v>23</v>
      </c>
      <c r="F801" t="s">
        <v>24</v>
      </c>
      <c r="G801" t="str">
        <f>"2026-01-09 17:45:15.368"</f>
        <v>2026-01-09 17:45:15.368</v>
      </c>
      <c r="H801" t="s">
        <v>21</v>
      </c>
      <c r="I801">
        <v>3.34</v>
      </c>
      <c r="J801" t="s">
        <v>36</v>
      </c>
    </row>
    <row r="802" spans="1:10" x14ac:dyDescent="0.25">
      <c r="A802" s="1">
        <v>87</v>
      </c>
      <c r="B802" t="s">
        <v>22</v>
      </c>
      <c r="C802">
        <v>635</v>
      </c>
      <c r="D802">
        <v>1</v>
      </c>
      <c r="E802" t="s">
        <v>23</v>
      </c>
      <c r="F802" t="s">
        <v>24</v>
      </c>
      <c r="G802" t="str">
        <f>"2026-01-09 05:22:23.368"</f>
        <v>2026-01-09 05:22:23.368</v>
      </c>
      <c r="H802" t="s">
        <v>21</v>
      </c>
    </row>
    <row r="803" spans="1:10" x14ac:dyDescent="0.25">
      <c r="A803" s="1">
        <v>88</v>
      </c>
      <c r="B803" t="s">
        <v>25</v>
      </c>
      <c r="C803">
        <v>635</v>
      </c>
      <c r="D803">
        <v>1</v>
      </c>
      <c r="E803" t="s">
        <v>23</v>
      </c>
      <c r="F803" t="s">
        <v>24</v>
      </c>
      <c r="G803" t="str">
        <f>"2026-01-09 05:17:57.868"</f>
        <v>2026-01-09 05:17:57.868</v>
      </c>
      <c r="H803" t="s">
        <v>21</v>
      </c>
      <c r="I803">
        <v>9.33</v>
      </c>
      <c r="J803" t="s">
        <v>36</v>
      </c>
    </row>
    <row r="804" spans="1:10" x14ac:dyDescent="0.25">
      <c r="A804" s="1">
        <v>89</v>
      </c>
      <c r="B804" t="s">
        <v>19</v>
      </c>
      <c r="C804">
        <v>706</v>
      </c>
      <c r="D804">
        <v>2</v>
      </c>
      <c r="E804" t="s">
        <v>28</v>
      </c>
      <c r="F804" t="s">
        <v>45</v>
      </c>
      <c r="G804" t="str">
        <f>"2026-01-09 00:54:00.720"</f>
        <v>2026-01-09 00:54:00.720</v>
      </c>
      <c r="H804" t="s">
        <v>21</v>
      </c>
      <c r="I804">
        <v>0</v>
      </c>
      <c r="J804" t="s">
        <v>30</v>
      </c>
    </row>
    <row r="805" spans="1:10" x14ac:dyDescent="0.25">
      <c r="A805" s="1">
        <v>90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"2026-01-09 00:53:44.410"</f>
        <v>2026-01-09 00:53:44.410</v>
      </c>
      <c r="H805" t="s">
        <v>21</v>
      </c>
    </row>
    <row r="806" spans="1:10" x14ac:dyDescent="0.25">
      <c r="A806" s="1">
        <v>91</v>
      </c>
      <c r="B806" t="s">
        <v>22</v>
      </c>
      <c r="C806">
        <v>635</v>
      </c>
      <c r="D806">
        <v>1</v>
      </c>
      <c r="E806" t="s">
        <v>23</v>
      </c>
      <c r="F806" t="s">
        <v>24</v>
      </c>
      <c r="G806" t="str">
        <f>"2026-01-08 21:02:12.493"</f>
        <v>2026-01-08 21:02:12.493</v>
      </c>
      <c r="H806" t="s">
        <v>21</v>
      </c>
    </row>
    <row r="807" spans="1:10" x14ac:dyDescent="0.25">
      <c r="A807" s="1">
        <v>92</v>
      </c>
      <c r="B807" t="s">
        <v>25</v>
      </c>
      <c r="C807">
        <v>635</v>
      </c>
      <c r="D807">
        <v>1</v>
      </c>
      <c r="E807" t="s">
        <v>23</v>
      </c>
      <c r="F807" t="s">
        <v>24</v>
      </c>
      <c r="G807" t="str">
        <f>"2026-01-08 20:58:41.993"</f>
        <v>2026-01-08 20:58:41.993</v>
      </c>
      <c r="H807" t="s">
        <v>21</v>
      </c>
      <c r="I807">
        <v>1.25</v>
      </c>
      <c r="J807" t="s">
        <v>36</v>
      </c>
    </row>
    <row r="808" spans="1:10" x14ac:dyDescent="0.25">
      <c r="A808" s="1">
        <v>93</v>
      </c>
      <c r="B808" t="s">
        <v>22</v>
      </c>
      <c r="C808">
        <v>61</v>
      </c>
      <c r="D808">
        <v>2</v>
      </c>
      <c r="E808" t="s">
        <v>38</v>
      </c>
      <c r="F808" t="s">
        <v>39</v>
      </c>
      <c r="G808" t="str">
        <f>"2026-01-08 20:23:29.706"</f>
        <v>2026-01-08 20:23:29.706</v>
      </c>
      <c r="H808" t="s">
        <v>21</v>
      </c>
    </row>
    <row r="809" spans="1:10" x14ac:dyDescent="0.25">
      <c r="A809" s="1">
        <v>94</v>
      </c>
      <c r="B809" t="s">
        <v>32</v>
      </c>
      <c r="C809">
        <v>61</v>
      </c>
      <c r="D809">
        <v>2</v>
      </c>
      <c r="E809" t="s">
        <v>38</v>
      </c>
      <c r="F809" t="s">
        <v>39</v>
      </c>
      <c r="G809" t="str">
        <f>"2026-01-08 20:23:15.806"</f>
        <v>2026-01-08 20:23:15.806</v>
      </c>
      <c r="H809" t="s">
        <v>21</v>
      </c>
      <c r="I809">
        <v>30.44</v>
      </c>
      <c r="J809" t="s">
        <v>27</v>
      </c>
    </row>
    <row r="810" spans="1:10" x14ac:dyDescent="0.25">
      <c r="A810" s="1">
        <v>95</v>
      </c>
      <c r="B810" t="s">
        <v>22</v>
      </c>
      <c r="C810">
        <v>635</v>
      </c>
      <c r="D810">
        <v>1</v>
      </c>
      <c r="E810" t="s">
        <v>23</v>
      </c>
      <c r="F810" t="s">
        <v>24</v>
      </c>
      <c r="G810" t="str">
        <f>"2026-01-07 21:42:56.393"</f>
        <v>2026-01-07 21:42:56.393</v>
      </c>
      <c r="H810" t="s">
        <v>21</v>
      </c>
    </row>
    <row r="811" spans="1:10" x14ac:dyDescent="0.25">
      <c r="A811" s="1">
        <v>96</v>
      </c>
      <c r="B811" t="s">
        <v>25</v>
      </c>
      <c r="C811">
        <v>635</v>
      </c>
      <c r="D811">
        <v>1</v>
      </c>
      <c r="E811" t="s">
        <v>23</v>
      </c>
      <c r="F811" t="s">
        <v>24</v>
      </c>
      <c r="G811" t="str">
        <f>"2026-01-07 21:37:28.892"</f>
        <v>2026-01-07 21:37:28.892</v>
      </c>
      <c r="H811" t="s">
        <v>21</v>
      </c>
      <c r="I811">
        <v>0.52</v>
      </c>
      <c r="J811" t="s">
        <v>27</v>
      </c>
    </row>
    <row r="812" spans="1:10" x14ac:dyDescent="0.25">
      <c r="A812" s="1">
        <v>97</v>
      </c>
      <c r="B812" t="s">
        <v>22</v>
      </c>
      <c r="C812">
        <v>635</v>
      </c>
      <c r="D812">
        <v>1</v>
      </c>
      <c r="E812" t="s">
        <v>23</v>
      </c>
      <c r="F812" t="s">
        <v>24</v>
      </c>
      <c r="G812" t="str">
        <f>"2026-01-06 16:26:54.093"</f>
        <v>2026-01-06 16:26:54.093</v>
      </c>
      <c r="H812" t="s">
        <v>21</v>
      </c>
    </row>
    <row r="813" spans="1:10" x14ac:dyDescent="0.25">
      <c r="A813" s="1">
        <v>98</v>
      </c>
      <c r="B813" t="s">
        <v>25</v>
      </c>
      <c r="C813">
        <v>635</v>
      </c>
      <c r="D813">
        <v>1</v>
      </c>
      <c r="E813" t="s">
        <v>23</v>
      </c>
      <c r="F813" t="s">
        <v>24</v>
      </c>
      <c r="G813" t="str">
        <f>"2026-01-06 16:21:58.593"</f>
        <v>2026-01-06 16:21:58.593</v>
      </c>
      <c r="H813" t="s">
        <v>21</v>
      </c>
      <c r="I813">
        <v>9.49</v>
      </c>
      <c r="J813" t="s">
        <v>27</v>
      </c>
    </row>
    <row r="814" spans="1:10" x14ac:dyDescent="0.25">
      <c r="A814" s="1">
        <v>99</v>
      </c>
      <c r="B814" t="s">
        <v>22</v>
      </c>
      <c r="C814">
        <v>635</v>
      </c>
      <c r="D814">
        <v>1</v>
      </c>
      <c r="E814" t="s">
        <v>23</v>
      </c>
      <c r="F814" t="s">
        <v>24</v>
      </c>
      <c r="G814" t="str">
        <f>"2026-01-06 15:34:04.693"</f>
        <v>2026-01-06 15:34:04.693</v>
      </c>
      <c r="H814" t="s">
        <v>21</v>
      </c>
    </row>
    <row r="815" spans="1:10" x14ac:dyDescent="0.25">
      <c r="A815" s="1">
        <v>100</v>
      </c>
      <c r="B815" t="s">
        <v>25</v>
      </c>
      <c r="C815">
        <v>635</v>
      </c>
      <c r="D815">
        <v>1</v>
      </c>
      <c r="E815" t="s">
        <v>23</v>
      </c>
      <c r="F815" t="s">
        <v>24</v>
      </c>
      <c r="G815" t="str">
        <f>"2026-01-06 15:32:17.193"</f>
        <v>2026-01-06 15:32:17.193</v>
      </c>
      <c r="H815" t="s">
        <v>21</v>
      </c>
      <c r="I815">
        <v>7.38</v>
      </c>
      <c r="J815" t="s">
        <v>36</v>
      </c>
    </row>
    <row r="816" spans="1:10" x14ac:dyDescent="0.25">
      <c r="A816" s="1">
        <v>101</v>
      </c>
      <c r="B816" t="s">
        <v>22</v>
      </c>
      <c r="C816">
        <v>635</v>
      </c>
      <c r="D816">
        <v>1</v>
      </c>
      <c r="E816" t="s">
        <v>23</v>
      </c>
      <c r="F816" t="s">
        <v>24</v>
      </c>
      <c r="G816" t="str">
        <f>"2026-01-05 06:01:32.893"</f>
        <v>2026-01-05 06:01:32.893</v>
      </c>
      <c r="H816" t="s">
        <v>21</v>
      </c>
    </row>
    <row r="817" spans="1:10" x14ac:dyDescent="0.25">
      <c r="A817" s="1">
        <v>102</v>
      </c>
      <c r="B817" t="s">
        <v>25</v>
      </c>
      <c r="C817">
        <v>635</v>
      </c>
      <c r="D817">
        <v>1</v>
      </c>
      <c r="E817" t="s">
        <v>23</v>
      </c>
      <c r="F817" t="s">
        <v>24</v>
      </c>
      <c r="G817" t="str">
        <f>"2026-01-05 05:54:53.893"</f>
        <v>2026-01-05 05:54:53.893</v>
      </c>
      <c r="H817" t="s">
        <v>21</v>
      </c>
      <c r="I817">
        <v>0</v>
      </c>
      <c r="J817" t="s">
        <v>26</v>
      </c>
    </row>
    <row r="818" spans="1:10" x14ac:dyDescent="0.25">
      <c r="A818" s="1">
        <v>103</v>
      </c>
      <c r="B818" t="s">
        <v>22</v>
      </c>
      <c r="C818">
        <v>631</v>
      </c>
      <c r="D818">
        <v>1</v>
      </c>
      <c r="E818" t="s">
        <v>76</v>
      </c>
      <c r="F818" t="s">
        <v>77</v>
      </c>
      <c r="G818" t="str">
        <f>"2026-01-05 04:43:52.645"</f>
        <v>2026-01-05 04:43:52.645</v>
      </c>
      <c r="H818" t="s">
        <v>21</v>
      </c>
    </row>
    <row r="819" spans="1:10" x14ac:dyDescent="0.25">
      <c r="A819" s="1">
        <v>104</v>
      </c>
      <c r="B819" t="s">
        <v>25</v>
      </c>
      <c r="C819">
        <v>631</v>
      </c>
      <c r="D819">
        <v>1</v>
      </c>
      <c r="E819" t="s">
        <v>76</v>
      </c>
      <c r="F819" t="s">
        <v>77</v>
      </c>
      <c r="G819" t="str">
        <f>"2026-01-05 04:43:06.846"</f>
        <v>2026-01-05 04:43:06.846</v>
      </c>
      <c r="H819" t="s">
        <v>21</v>
      </c>
      <c r="I819">
        <v>7.37</v>
      </c>
      <c r="J819" t="s">
        <v>36</v>
      </c>
    </row>
    <row r="820" spans="1:10" x14ac:dyDescent="0.25">
      <c r="A820" s="1">
        <v>105</v>
      </c>
      <c r="B820" t="s">
        <v>22</v>
      </c>
      <c r="C820">
        <v>61</v>
      </c>
      <c r="D820">
        <v>2</v>
      </c>
      <c r="E820" t="s">
        <v>38</v>
      </c>
      <c r="F820" t="s">
        <v>39</v>
      </c>
      <c r="G820" t="str">
        <f>"2026-01-03 22:32:29.106"</f>
        <v>2026-01-03 22:32:29.106</v>
      </c>
      <c r="H820" t="s">
        <v>21</v>
      </c>
    </row>
    <row r="821" spans="1:10" x14ac:dyDescent="0.25">
      <c r="A821" s="1">
        <v>106</v>
      </c>
      <c r="B821" t="s">
        <v>32</v>
      </c>
      <c r="C821">
        <v>61</v>
      </c>
      <c r="D821">
        <v>2</v>
      </c>
      <c r="E821" t="s">
        <v>38</v>
      </c>
      <c r="F821" t="s">
        <v>39</v>
      </c>
      <c r="G821" t="str">
        <f>"2026-01-03 22:32:14.506"</f>
        <v>2026-01-03 22:32:14.506</v>
      </c>
      <c r="H821" t="s">
        <v>21</v>
      </c>
      <c r="I821">
        <v>30.46</v>
      </c>
      <c r="J821" t="s">
        <v>27</v>
      </c>
    </row>
    <row r="822" spans="1:10" x14ac:dyDescent="0.25">
      <c r="A822" s="1">
        <v>107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"2026-01-03 10:07:29.422"</f>
        <v>2026-01-03 10:07:29.422</v>
      </c>
      <c r="H822" t="s">
        <v>21</v>
      </c>
      <c r="I822">
        <v>0</v>
      </c>
      <c r="J822" t="s">
        <v>31</v>
      </c>
    </row>
    <row r="823" spans="1:10" x14ac:dyDescent="0.25">
      <c r="A823" s="1">
        <v>108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"2026-01-03 00:07:53.384"</f>
        <v>2026-01-03 00:07:53.384</v>
      </c>
      <c r="H823" t="s">
        <v>21</v>
      </c>
    </row>
    <row r="824" spans="1:10" x14ac:dyDescent="0.25">
      <c r="A824" s="1">
        <v>109</v>
      </c>
      <c r="B824" t="s">
        <v>19</v>
      </c>
      <c r="C824">
        <v>706</v>
      </c>
      <c r="D824">
        <v>4</v>
      </c>
      <c r="E824" t="s">
        <v>28</v>
      </c>
      <c r="F824" t="s">
        <v>29</v>
      </c>
      <c r="G824" t="str">
        <f>"2026-01-02 22:54:00.241"</f>
        <v>2026-01-02 22:54:00.241</v>
      </c>
      <c r="H824" t="s">
        <v>21</v>
      </c>
      <c r="I824">
        <v>0</v>
      </c>
      <c r="J824" t="s">
        <v>30</v>
      </c>
    </row>
    <row r="825" spans="1:10" x14ac:dyDescent="0.25">
      <c r="A825" s="1">
        <v>110</v>
      </c>
      <c r="B825" t="s">
        <v>19</v>
      </c>
      <c r="C825">
        <v>706</v>
      </c>
      <c r="D825">
        <v>4</v>
      </c>
      <c r="E825" t="s">
        <v>28</v>
      </c>
      <c r="F825" t="s">
        <v>29</v>
      </c>
      <c r="G825" t="str">
        <f>"2026-01-02 22:53:49.451"</f>
        <v>2026-01-02 22:53:49.451</v>
      </c>
      <c r="H825" t="s">
        <v>21</v>
      </c>
      <c r="I825">
        <v>0</v>
      </c>
      <c r="J825" t="s">
        <v>30</v>
      </c>
    </row>
    <row r="826" spans="1:10" x14ac:dyDescent="0.25">
      <c r="A826" s="1">
        <v>111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"2026-01-02 22:46:44.391"</f>
        <v>2026-01-02 22:46:44.391</v>
      </c>
      <c r="H826" t="s">
        <v>21</v>
      </c>
      <c r="I826">
        <v>0</v>
      </c>
      <c r="J826" t="s">
        <v>31</v>
      </c>
    </row>
    <row r="827" spans="1:10" x14ac:dyDescent="0.25">
      <c r="A827" s="1">
        <v>112</v>
      </c>
      <c r="B827" t="s">
        <v>19</v>
      </c>
      <c r="C827">
        <v>706</v>
      </c>
      <c r="D827">
        <v>3</v>
      </c>
      <c r="E827" t="s">
        <v>28</v>
      </c>
      <c r="F827" t="s">
        <v>51</v>
      </c>
      <c r="G827" t="str">
        <f>"2026-01-02 21:48:18.534"</f>
        <v>2026-01-02 21:48:18.534</v>
      </c>
      <c r="H827" t="s">
        <v>21</v>
      </c>
      <c r="I827">
        <v>0</v>
      </c>
      <c r="J827" t="s">
        <v>30</v>
      </c>
    </row>
    <row r="828" spans="1:10" x14ac:dyDescent="0.25">
      <c r="A828" s="1">
        <v>113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"2026-01-02 21:47:58.394"</f>
        <v>2026-01-02 21:47:58.394</v>
      </c>
      <c r="H828" t="s">
        <v>21</v>
      </c>
    </row>
    <row r="829" spans="1:10" x14ac:dyDescent="0.25">
      <c r="A829" s="1">
        <v>114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"2026-01-02 20:46:43.804"</f>
        <v>2026-01-02 20:46:43.804</v>
      </c>
      <c r="H829" t="s">
        <v>21</v>
      </c>
    </row>
    <row r="830" spans="1:10" x14ac:dyDescent="0.25">
      <c r="A830" s="1">
        <v>116</v>
      </c>
      <c r="B830" t="s">
        <v>22</v>
      </c>
      <c r="C830">
        <v>635</v>
      </c>
      <c r="D830">
        <v>1</v>
      </c>
      <c r="E830" t="s">
        <v>23</v>
      </c>
      <c r="F830" t="s">
        <v>24</v>
      </c>
      <c r="G830" t="str">
        <f>"2025-12-31 14:16:06.250"</f>
        <v>2025-12-31 14:16:06.250</v>
      </c>
      <c r="H830" t="s">
        <v>21</v>
      </c>
    </row>
    <row r="831" spans="1:10" x14ac:dyDescent="0.25">
      <c r="A831" s="1">
        <v>117</v>
      </c>
      <c r="B831" t="s">
        <v>25</v>
      </c>
      <c r="C831">
        <v>635</v>
      </c>
      <c r="D831">
        <v>1</v>
      </c>
      <c r="E831" t="s">
        <v>23</v>
      </c>
      <c r="F831" t="s">
        <v>24</v>
      </c>
      <c r="G831" t="str">
        <f>"2025-12-31 14:14:26.250"</f>
        <v>2025-12-31 14:14:26.250</v>
      </c>
      <c r="H831" t="s">
        <v>21</v>
      </c>
      <c r="I831">
        <v>-4.74</v>
      </c>
      <c r="J831" t="s">
        <v>27</v>
      </c>
    </row>
    <row r="832" spans="1:10" x14ac:dyDescent="0.25">
      <c r="A832" s="1">
        <v>118</v>
      </c>
      <c r="B832" t="s">
        <v>22</v>
      </c>
      <c r="C832">
        <v>635</v>
      </c>
      <c r="D832">
        <v>1</v>
      </c>
      <c r="E832" t="s">
        <v>23</v>
      </c>
      <c r="F832" t="s">
        <v>24</v>
      </c>
      <c r="G832" t="str">
        <f>"2025-12-30 18:36:40.850"</f>
        <v>2025-12-30 18:36:40.850</v>
      </c>
      <c r="H832" t="s">
        <v>21</v>
      </c>
    </row>
    <row r="833" spans="1:10" x14ac:dyDescent="0.25">
      <c r="A833" s="1">
        <v>119</v>
      </c>
      <c r="B833" t="s">
        <v>25</v>
      </c>
      <c r="C833">
        <v>635</v>
      </c>
      <c r="D833">
        <v>1</v>
      </c>
      <c r="E833" t="s">
        <v>23</v>
      </c>
      <c r="F833" t="s">
        <v>24</v>
      </c>
      <c r="G833" t="str">
        <f>"2025-12-30 18:32:50.850"</f>
        <v>2025-12-30 18:32:50.850</v>
      </c>
      <c r="H833" t="s">
        <v>21</v>
      </c>
      <c r="I833">
        <v>3.08</v>
      </c>
      <c r="J833" t="s">
        <v>36</v>
      </c>
    </row>
    <row r="834" spans="1:10" x14ac:dyDescent="0.25">
      <c r="A834" s="1">
        <v>120</v>
      </c>
      <c r="B834" t="s">
        <v>22</v>
      </c>
      <c r="C834">
        <v>635</v>
      </c>
      <c r="D834">
        <v>1</v>
      </c>
      <c r="E834" t="s">
        <v>23</v>
      </c>
      <c r="F834" t="s">
        <v>24</v>
      </c>
      <c r="G834" t="str">
        <f>"2025-12-30 16:41:48.550"</f>
        <v>2025-12-30 16:41:48.550</v>
      </c>
      <c r="H834" t="s">
        <v>21</v>
      </c>
    </row>
    <row r="835" spans="1:10" x14ac:dyDescent="0.25">
      <c r="A835" s="1">
        <v>121</v>
      </c>
      <c r="B835" t="s">
        <v>25</v>
      </c>
      <c r="C835">
        <v>635</v>
      </c>
      <c r="D835">
        <v>1</v>
      </c>
      <c r="E835" t="s">
        <v>23</v>
      </c>
      <c r="F835" t="s">
        <v>24</v>
      </c>
      <c r="G835" t="str">
        <f>"2025-12-30 16:37:36.550"</f>
        <v>2025-12-30 16:37:36.550</v>
      </c>
      <c r="H835" t="s">
        <v>21</v>
      </c>
      <c r="I835">
        <v>2.56</v>
      </c>
      <c r="J835" t="s">
        <v>36</v>
      </c>
    </row>
    <row r="836" spans="1:10" x14ac:dyDescent="0.25">
      <c r="A836" s="1">
        <v>122</v>
      </c>
      <c r="B836" t="s">
        <v>22</v>
      </c>
      <c r="C836">
        <v>635</v>
      </c>
      <c r="D836">
        <v>1</v>
      </c>
      <c r="E836" t="s">
        <v>23</v>
      </c>
      <c r="F836" t="s">
        <v>24</v>
      </c>
      <c r="G836" t="str">
        <f>"2025-12-30 14:16:22.850"</f>
        <v>2025-12-30 14:16:22.850</v>
      </c>
      <c r="H836" t="s">
        <v>21</v>
      </c>
    </row>
    <row r="837" spans="1:10" x14ac:dyDescent="0.25">
      <c r="A837" s="1">
        <v>123</v>
      </c>
      <c r="B837" t="s">
        <v>25</v>
      </c>
      <c r="C837">
        <v>635</v>
      </c>
      <c r="D837">
        <v>1</v>
      </c>
      <c r="E837" t="s">
        <v>23</v>
      </c>
      <c r="F837" t="s">
        <v>24</v>
      </c>
      <c r="G837" t="str">
        <f>"2025-12-30 14:11:13.350"</f>
        <v>2025-12-30 14:11:13.350</v>
      </c>
      <c r="H837" t="s">
        <v>21</v>
      </c>
      <c r="I837">
        <v>0.89</v>
      </c>
      <c r="J837" t="s">
        <v>36</v>
      </c>
    </row>
    <row r="838" spans="1:10" x14ac:dyDescent="0.25">
      <c r="A838" s="1">
        <v>124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"2025-12-30 09:42:55.415"</f>
        <v>2025-12-30 09:42:55.415</v>
      </c>
      <c r="H838" t="s">
        <v>21</v>
      </c>
    </row>
    <row r="839" spans="1:10" x14ac:dyDescent="0.25">
      <c r="A839" s="1">
        <v>125</v>
      </c>
      <c r="B839" t="s">
        <v>19</v>
      </c>
      <c r="C839">
        <v>706</v>
      </c>
      <c r="D839">
        <v>4</v>
      </c>
      <c r="E839" t="s">
        <v>28</v>
      </c>
      <c r="F839" t="s">
        <v>29</v>
      </c>
      <c r="G839" t="str">
        <f>"2025-12-29 20:41:37.638"</f>
        <v>2025-12-29 20:41:37.638</v>
      </c>
      <c r="H839" t="s">
        <v>21</v>
      </c>
      <c r="I839">
        <v>0</v>
      </c>
      <c r="J839" t="s">
        <v>30</v>
      </c>
    </row>
    <row r="840" spans="1:10" x14ac:dyDescent="0.25">
      <c r="A840" s="1">
        <v>126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"2025-12-29 20:38:28.418"</f>
        <v>2025-12-29 20:38:28.418</v>
      </c>
      <c r="H840" t="s">
        <v>21</v>
      </c>
    </row>
    <row r="841" spans="1:10" x14ac:dyDescent="0.25">
      <c r="A841" s="1">
        <v>127</v>
      </c>
      <c r="B841" t="s">
        <v>22</v>
      </c>
      <c r="C841">
        <v>635</v>
      </c>
      <c r="D841">
        <v>1</v>
      </c>
      <c r="E841" t="s">
        <v>23</v>
      </c>
      <c r="F841" t="s">
        <v>24</v>
      </c>
      <c r="G841" t="str">
        <f>"2025-12-29 09:33:09.391"</f>
        <v>2025-12-29 09:33:09.391</v>
      </c>
      <c r="H841" t="s">
        <v>21</v>
      </c>
    </row>
    <row r="842" spans="1:10" x14ac:dyDescent="0.25">
      <c r="A842" s="1">
        <v>128</v>
      </c>
      <c r="B842" t="s">
        <v>25</v>
      </c>
      <c r="C842">
        <v>635</v>
      </c>
      <c r="D842">
        <v>1</v>
      </c>
      <c r="E842" t="s">
        <v>23</v>
      </c>
      <c r="F842" t="s">
        <v>24</v>
      </c>
      <c r="G842" t="str">
        <f>"2025-12-29 09:22:16.391"</f>
        <v>2025-12-29 09:22:16.391</v>
      </c>
      <c r="H842" t="s">
        <v>21</v>
      </c>
      <c r="I842">
        <v>0.03</v>
      </c>
      <c r="J842" t="s">
        <v>36</v>
      </c>
    </row>
    <row r="843" spans="1:10" x14ac:dyDescent="0.25">
      <c r="A843" s="1">
        <v>129</v>
      </c>
      <c r="B843" t="s">
        <v>22</v>
      </c>
      <c r="C843">
        <v>631</v>
      </c>
      <c r="D843">
        <v>1</v>
      </c>
      <c r="E843" t="s">
        <v>76</v>
      </c>
      <c r="F843" t="s">
        <v>77</v>
      </c>
      <c r="G843" t="str">
        <f>"2025-12-27 20:53:48.691"</f>
        <v>2025-12-27 20:53:48.691</v>
      </c>
      <c r="H843" t="s">
        <v>21</v>
      </c>
    </row>
    <row r="844" spans="1:10" x14ac:dyDescent="0.25">
      <c r="A844" s="1">
        <v>130</v>
      </c>
      <c r="B844" t="s">
        <v>25</v>
      </c>
      <c r="C844">
        <v>631</v>
      </c>
      <c r="D844">
        <v>1</v>
      </c>
      <c r="E844" t="s">
        <v>76</v>
      </c>
      <c r="F844" t="s">
        <v>77</v>
      </c>
      <c r="G844" t="str">
        <f>"2025-12-27 20:53:20.439"</f>
        <v>2025-12-27 20:53:20.439</v>
      </c>
      <c r="H844" t="s">
        <v>21</v>
      </c>
      <c r="I844">
        <v>7.59</v>
      </c>
      <c r="J844" t="s">
        <v>36</v>
      </c>
    </row>
    <row r="845" spans="1:10" x14ac:dyDescent="0.25">
      <c r="A845" s="1">
        <v>132</v>
      </c>
      <c r="B845" t="s">
        <v>22</v>
      </c>
      <c r="C845">
        <v>631</v>
      </c>
      <c r="D845">
        <v>1</v>
      </c>
      <c r="E845" t="s">
        <v>76</v>
      </c>
      <c r="F845" t="s">
        <v>77</v>
      </c>
      <c r="G845" t="str">
        <f>"2025-12-26 00:19:21.891"</f>
        <v>2025-12-26 00:19:21.891</v>
      </c>
      <c r="H845" t="s">
        <v>21</v>
      </c>
    </row>
    <row r="846" spans="1:10" x14ac:dyDescent="0.25">
      <c r="A846" s="1">
        <v>133</v>
      </c>
      <c r="B846" t="s">
        <v>25</v>
      </c>
      <c r="C846">
        <v>631</v>
      </c>
      <c r="D846">
        <v>1</v>
      </c>
      <c r="E846" t="s">
        <v>76</v>
      </c>
      <c r="F846" t="s">
        <v>77</v>
      </c>
      <c r="G846" t="str">
        <f>"2025-12-26 00:18:48.691"</f>
        <v>2025-12-26 00:18:48.691</v>
      </c>
      <c r="H846" t="s">
        <v>21</v>
      </c>
      <c r="I846">
        <v>7.86</v>
      </c>
      <c r="J846" t="s">
        <v>36</v>
      </c>
    </row>
    <row r="847" spans="1:10" x14ac:dyDescent="0.25">
      <c r="A847" s="1">
        <v>134</v>
      </c>
      <c r="B847" t="s">
        <v>22</v>
      </c>
      <c r="C847">
        <v>631</v>
      </c>
      <c r="D847">
        <v>1</v>
      </c>
      <c r="E847" t="s">
        <v>76</v>
      </c>
      <c r="F847" t="s">
        <v>77</v>
      </c>
      <c r="G847" t="str">
        <f>"2025-12-26 00:16:09.939"</f>
        <v>2025-12-26 00:16:09.939</v>
      </c>
      <c r="H847" t="s">
        <v>21</v>
      </c>
    </row>
    <row r="848" spans="1:10" x14ac:dyDescent="0.25">
      <c r="A848" s="1">
        <v>135</v>
      </c>
      <c r="B848" t="s">
        <v>25</v>
      </c>
      <c r="C848">
        <v>631</v>
      </c>
      <c r="D848">
        <v>1</v>
      </c>
      <c r="E848" t="s">
        <v>76</v>
      </c>
      <c r="F848" t="s">
        <v>77</v>
      </c>
      <c r="G848" t="str">
        <f>"2025-12-25 23:38:12.891"</f>
        <v>2025-12-25 23:38:12.891</v>
      </c>
      <c r="H848" t="s">
        <v>21</v>
      </c>
      <c r="I848">
        <v>17.98</v>
      </c>
      <c r="J848" t="s">
        <v>26</v>
      </c>
    </row>
    <row r="849" spans="1:10" x14ac:dyDescent="0.25">
      <c r="A849" s="1">
        <v>136</v>
      </c>
      <c r="B849" t="s">
        <v>22</v>
      </c>
      <c r="C849">
        <v>631</v>
      </c>
      <c r="D849">
        <v>1</v>
      </c>
      <c r="E849" t="s">
        <v>76</v>
      </c>
      <c r="F849" t="s">
        <v>77</v>
      </c>
      <c r="G849" t="str">
        <f>"2025-12-25 23:25:44.539"</f>
        <v>2025-12-25 23:25:44.539</v>
      </c>
      <c r="H849" t="s">
        <v>21</v>
      </c>
    </row>
    <row r="850" spans="1:10" x14ac:dyDescent="0.25">
      <c r="A850" s="1">
        <v>137</v>
      </c>
      <c r="B850" t="s">
        <v>25</v>
      </c>
      <c r="C850">
        <v>631</v>
      </c>
      <c r="D850">
        <v>1</v>
      </c>
      <c r="E850" t="s">
        <v>76</v>
      </c>
      <c r="F850" t="s">
        <v>77</v>
      </c>
      <c r="G850" t="str">
        <f>"2025-12-25 22:40:12.739"</f>
        <v>2025-12-25 22:40:12.739</v>
      </c>
      <c r="H850" t="s">
        <v>21</v>
      </c>
      <c r="I850">
        <v>9.52</v>
      </c>
      <c r="J850" t="s">
        <v>36</v>
      </c>
    </row>
    <row r="851" spans="1:10" x14ac:dyDescent="0.25">
      <c r="A851" s="1">
        <v>138</v>
      </c>
      <c r="B851" t="s">
        <v>22</v>
      </c>
      <c r="C851">
        <v>631</v>
      </c>
      <c r="D851">
        <v>1</v>
      </c>
      <c r="E851" t="s">
        <v>76</v>
      </c>
      <c r="F851" t="s">
        <v>77</v>
      </c>
      <c r="G851" t="str">
        <f>"2025-12-25 22:36:55.091"</f>
        <v>2025-12-25 22:36:55.091</v>
      </c>
      <c r="H851" t="s">
        <v>21</v>
      </c>
    </row>
    <row r="852" spans="1:10" x14ac:dyDescent="0.25">
      <c r="A852" s="1">
        <v>139</v>
      </c>
      <c r="B852" t="s">
        <v>25</v>
      </c>
      <c r="C852">
        <v>631</v>
      </c>
      <c r="D852">
        <v>1</v>
      </c>
      <c r="E852" t="s">
        <v>76</v>
      </c>
      <c r="F852" t="s">
        <v>77</v>
      </c>
      <c r="G852" t="str">
        <f>"2025-12-25 22:00:39.839"</f>
        <v>2025-12-25 22:00:39.839</v>
      </c>
      <c r="H852" t="s">
        <v>21</v>
      </c>
      <c r="I852">
        <v>16.05</v>
      </c>
      <c r="J852" t="s">
        <v>36</v>
      </c>
    </row>
    <row r="853" spans="1:10" x14ac:dyDescent="0.25">
      <c r="A853" s="1">
        <v>140</v>
      </c>
      <c r="B853" t="s">
        <v>22</v>
      </c>
      <c r="C853">
        <v>631</v>
      </c>
      <c r="D853">
        <v>1</v>
      </c>
      <c r="E853" t="s">
        <v>76</v>
      </c>
      <c r="F853" t="s">
        <v>77</v>
      </c>
      <c r="G853" t="str">
        <f>"2025-12-25 21:47:29.539"</f>
        <v>2025-12-25 21:47:29.539</v>
      </c>
      <c r="H853" t="s">
        <v>21</v>
      </c>
    </row>
    <row r="854" spans="1:10" x14ac:dyDescent="0.25">
      <c r="A854" s="1">
        <v>141</v>
      </c>
      <c r="B854" t="s">
        <v>25</v>
      </c>
      <c r="C854">
        <v>631</v>
      </c>
      <c r="D854">
        <v>1</v>
      </c>
      <c r="E854" t="s">
        <v>76</v>
      </c>
      <c r="F854" t="s">
        <v>77</v>
      </c>
      <c r="G854" t="str">
        <f>"2025-12-25 21:00:47.791"</f>
        <v>2025-12-25 21:00:47.791</v>
      </c>
      <c r="H854" t="s">
        <v>21</v>
      </c>
      <c r="I854">
        <v>10.75</v>
      </c>
      <c r="J854" t="s">
        <v>36</v>
      </c>
    </row>
    <row r="855" spans="1:10" x14ac:dyDescent="0.25">
      <c r="A855" s="1">
        <v>142</v>
      </c>
      <c r="B855" t="s">
        <v>22</v>
      </c>
      <c r="C855">
        <v>631</v>
      </c>
      <c r="D855">
        <v>1</v>
      </c>
      <c r="E855" t="s">
        <v>76</v>
      </c>
      <c r="F855" t="s">
        <v>77</v>
      </c>
      <c r="G855" t="str">
        <f>"2025-12-25 19:58:12.139"</f>
        <v>2025-12-25 19:58:12.139</v>
      </c>
      <c r="H855" t="s">
        <v>21</v>
      </c>
    </row>
    <row r="856" spans="1:10" x14ac:dyDescent="0.25">
      <c r="A856" s="1">
        <v>143</v>
      </c>
      <c r="B856" t="s">
        <v>25</v>
      </c>
      <c r="C856">
        <v>631</v>
      </c>
      <c r="D856">
        <v>1</v>
      </c>
      <c r="E856" t="s">
        <v>76</v>
      </c>
      <c r="F856" t="s">
        <v>77</v>
      </c>
      <c r="G856" t="str">
        <f>"2025-12-25 19:55:01.439"</f>
        <v>2025-12-25 19:55:01.439</v>
      </c>
      <c r="H856" t="s">
        <v>21</v>
      </c>
      <c r="I856">
        <v>8.74</v>
      </c>
      <c r="J856" t="s">
        <v>36</v>
      </c>
    </row>
    <row r="857" spans="1:10" x14ac:dyDescent="0.25">
      <c r="A857" s="1">
        <v>144</v>
      </c>
      <c r="B857" t="s">
        <v>22</v>
      </c>
      <c r="C857">
        <v>631</v>
      </c>
      <c r="D857">
        <v>1</v>
      </c>
      <c r="E857" t="s">
        <v>76</v>
      </c>
      <c r="F857" t="s">
        <v>77</v>
      </c>
      <c r="G857" t="str">
        <f>"2025-12-25 19:54:47.490"</f>
        <v>2025-12-25 19:54:47.490</v>
      </c>
      <c r="H857" t="s">
        <v>21</v>
      </c>
    </row>
    <row r="858" spans="1:10" x14ac:dyDescent="0.25">
      <c r="A858" s="1">
        <v>145</v>
      </c>
      <c r="B858" t="s">
        <v>25</v>
      </c>
      <c r="C858">
        <v>631</v>
      </c>
      <c r="D858">
        <v>1</v>
      </c>
      <c r="E858" t="s">
        <v>76</v>
      </c>
      <c r="F858" t="s">
        <v>77</v>
      </c>
      <c r="G858" t="str">
        <f>"2025-12-25 19:54:34.839"</f>
        <v>2025-12-25 19:54:34.839</v>
      </c>
      <c r="H858" t="s">
        <v>21</v>
      </c>
      <c r="I858">
        <v>22.91</v>
      </c>
      <c r="J858" t="s">
        <v>36</v>
      </c>
    </row>
    <row r="859" spans="1:10" x14ac:dyDescent="0.25">
      <c r="A859" s="1">
        <v>146</v>
      </c>
      <c r="B859" t="s">
        <v>22</v>
      </c>
      <c r="C859">
        <v>631</v>
      </c>
      <c r="D859">
        <v>1</v>
      </c>
      <c r="E859" t="s">
        <v>76</v>
      </c>
      <c r="F859" t="s">
        <v>77</v>
      </c>
      <c r="G859" t="str">
        <f>"2025-12-25 19:49:44.539"</f>
        <v>2025-12-25 19:49:44.539</v>
      </c>
      <c r="H859" t="s">
        <v>21</v>
      </c>
    </row>
    <row r="860" spans="1:10" x14ac:dyDescent="0.25">
      <c r="A860" s="1">
        <v>147</v>
      </c>
      <c r="B860" t="s">
        <v>25</v>
      </c>
      <c r="C860">
        <v>631</v>
      </c>
      <c r="D860">
        <v>1</v>
      </c>
      <c r="E860" t="s">
        <v>76</v>
      </c>
      <c r="F860" t="s">
        <v>77</v>
      </c>
      <c r="G860" t="str">
        <f>"2025-12-25 19:48:33.539"</f>
        <v>2025-12-25 19:48:33.539</v>
      </c>
      <c r="H860" t="s">
        <v>21</v>
      </c>
      <c r="I860">
        <v>13.67</v>
      </c>
      <c r="J860" t="s">
        <v>36</v>
      </c>
    </row>
    <row r="861" spans="1:10" x14ac:dyDescent="0.25">
      <c r="A861" s="1">
        <v>148</v>
      </c>
      <c r="B861" t="s">
        <v>22</v>
      </c>
      <c r="C861">
        <v>631</v>
      </c>
      <c r="D861">
        <v>1</v>
      </c>
      <c r="E861" t="s">
        <v>76</v>
      </c>
      <c r="F861" t="s">
        <v>77</v>
      </c>
      <c r="G861" t="str">
        <f>"2025-12-25 19:48:05.991"</f>
        <v>2025-12-25 19:48:05.991</v>
      </c>
      <c r="H861" t="s">
        <v>21</v>
      </c>
    </row>
    <row r="862" spans="1:10" x14ac:dyDescent="0.25">
      <c r="A862" s="1">
        <v>149</v>
      </c>
      <c r="B862" t="s">
        <v>25</v>
      </c>
      <c r="C862">
        <v>631</v>
      </c>
      <c r="D862">
        <v>1</v>
      </c>
      <c r="E862" t="s">
        <v>76</v>
      </c>
      <c r="F862" t="s">
        <v>77</v>
      </c>
      <c r="G862" t="str">
        <f>"2025-12-25 19:47:45.591"</f>
        <v>2025-12-25 19:47:45.591</v>
      </c>
      <c r="H862" t="s">
        <v>21</v>
      </c>
      <c r="I862">
        <v>11.76</v>
      </c>
      <c r="J862" t="s">
        <v>36</v>
      </c>
    </row>
    <row r="863" spans="1:10" x14ac:dyDescent="0.25">
      <c r="A863" s="1">
        <v>150</v>
      </c>
      <c r="B863" t="s">
        <v>22</v>
      </c>
      <c r="C863">
        <v>631</v>
      </c>
      <c r="D863">
        <v>1</v>
      </c>
      <c r="E863" t="s">
        <v>76</v>
      </c>
      <c r="F863" t="s">
        <v>77</v>
      </c>
      <c r="G863" t="str">
        <f>"2025-12-25 19:47:13.691"</f>
        <v>2025-12-25 19:47:13.691</v>
      </c>
      <c r="H863" t="s">
        <v>21</v>
      </c>
    </row>
    <row r="864" spans="1:10" x14ac:dyDescent="0.25">
      <c r="A864" s="1">
        <v>151</v>
      </c>
      <c r="B864" t="s">
        <v>25</v>
      </c>
      <c r="C864">
        <v>631</v>
      </c>
      <c r="D864">
        <v>1</v>
      </c>
      <c r="E864" t="s">
        <v>76</v>
      </c>
      <c r="F864" t="s">
        <v>77</v>
      </c>
      <c r="G864" t="str">
        <f>"2025-12-25 19:47:00.791"</f>
        <v>2025-12-25 19:47:00.791</v>
      </c>
      <c r="H864" t="s">
        <v>21</v>
      </c>
      <c r="I864">
        <v>9.7100000000000009</v>
      </c>
      <c r="J864" t="s">
        <v>26</v>
      </c>
    </row>
    <row r="865" spans="1:10" x14ac:dyDescent="0.25">
      <c r="A865" s="1">
        <v>152</v>
      </c>
      <c r="B865" t="s">
        <v>22</v>
      </c>
      <c r="C865">
        <v>631</v>
      </c>
      <c r="D865">
        <v>1</v>
      </c>
      <c r="E865" t="s">
        <v>76</v>
      </c>
      <c r="F865" t="s">
        <v>77</v>
      </c>
      <c r="G865" t="str">
        <f>"2025-12-25 19:12:55.791"</f>
        <v>2025-12-25 19:12:55.791</v>
      </c>
      <c r="H865" t="s">
        <v>21</v>
      </c>
    </row>
    <row r="866" spans="1:10" x14ac:dyDescent="0.25">
      <c r="A866" s="1">
        <v>153</v>
      </c>
      <c r="B866" t="s">
        <v>25</v>
      </c>
      <c r="C866">
        <v>631</v>
      </c>
      <c r="D866">
        <v>1</v>
      </c>
      <c r="E866" t="s">
        <v>76</v>
      </c>
      <c r="F866" t="s">
        <v>77</v>
      </c>
      <c r="G866" t="str">
        <f>"2025-12-25 19:10:11.191"</f>
        <v>2025-12-25 19:10:11.191</v>
      </c>
      <c r="H866" t="s">
        <v>21</v>
      </c>
      <c r="I866">
        <v>5.92</v>
      </c>
      <c r="J866" t="s">
        <v>36</v>
      </c>
    </row>
    <row r="867" spans="1:10" x14ac:dyDescent="0.25">
      <c r="A867" s="1">
        <v>154</v>
      </c>
      <c r="B867" t="s">
        <v>22</v>
      </c>
      <c r="C867">
        <v>631</v>
      </c>
      <c r="D867">
        <v>1</v>
      </c>
      <c r="E867" t="s">
        <v>76</v>
      </c>
      <c r="F867" t="s">
        <v>77</v>
      </c>
      <c r="G867" t="str">
        <f>"2025-12-25 16:30:52.891"</f>
        <v>2025-12-25 16:30:52.891</v>
      </c>
      <c r="H867" t="s">
        <v>21</v>
      </c>
    </row>
    <row r="868" spans="1:10" x14ac:dyDescent="0.25">
      <c r="A868" s="1">
        <v>155</v>
      </c>
      <c r="B868" t="s">
        <v>25</v>
      </c>
      <c r="C868">
        <v>631</v>
      </c>
      <c r="D868">
        <v>1</v>
      </c>
      <c r="E868" t="s">
        <v>76</v>
      </c>
      <c r="F868" t="s">
        <v>77</v>
      </c>
      <c r="G868" t="str">
        <f>"2025-12-25 16:30:12.239"</f>
        <v>2025-12-25 16:30:12.239</v>
      </c>
      <c r="H868" t="s">
        <v>21</v>
      </c>
      <c r="I868">
        <v>24.94</v>
      </c>
      <c r="J868" t="s">
        <v>36</v>
      </c>
    </row>
    <row r="869" spans="1:10" x14ac:dyDescent="0.25">
      <c r="A869" s="1">
        <v>156</v>
      </c>
      <c r="B869" t="s">
        <v>22</v>
      </c>
      <c r="C869">
        <v>631</v>
      </c>
      <c r="D869">
        <v>1</v>
      </c>
      <c r="E869" t="s">
        <v>76</v>
      </c>
      <c r="F869" t="s">
        <v>77</v>
      </c>
      <c r="G869" t="str">
        <f>"2025-12-25 15:24:51.239"</f>
        <v>2025-12-25 15:24:51.239</v>
      </c>
      <c r="H869" t="s">
        <v>21</v>
      </c>
    </row>
    <row r="870" spans="1:10" x14ac:dyDescent="0.25">
      <c r="A870" s="1">
        <v>157</v>
      </c>
      <c r="B870" t="s">
        <v>25</v>
      </c>
      <c r="C870">
        <v>631</v>
      </c>
      <c r="D870">
        <v>1</v>
      </c>
      <c r="E870" t="s">
        <v>76</v>
      </c>
      <c r="F870" t="s">
        <v>77</v>
      </c>
      <c r="G870" t="str">
        <f>"2025-12-25 15:24:36.739"</f>
        <v>2025-12-25 15:24:36.739</v>
      </c>
      <c r="H870" t="s">
        <v>21</v>
      </c>
      <c r="I870">
        <v>18.170000000000002</v>
      </c>
      <c r="J870" t="s">
        <v>36</v>
      </c>
    </row>
    <row r="871" spans="1:10" x14ac:dyDescent="0.25">
      <c r="A871" s="1">
        <v>159</v>
      </c>
      <c r="B871" t="s">
        <v>22</v>
      </c>
      <c r="C871">
        <v>635</v>
      </c>
      <c r="D871">
        <v>1</v>
      </c>
      <c r="E871" t="s">
        <v>23</v>
      </c>
      <c r="F871" t="s">
        <v>24</v>
      </c>
      <c r="G871" t="str">
        <f>"2025-12-25 10:55:37.191"</f>
        <v>2025-12-25 10:55:37.191</v>
      </c>
      <c r="H871" t="s">
        <v>21</v>
      </c>
    </row>
    <row r="872" spans="1:10" x14ac:dyDescent="0.25">
      <c r="A872" s="1">
        <v>160</v>
      </c>
      <c r="B872" t="s">
        <v>25</v>
      </c>
      <c r="C872">
        <v>635</v>
      </c>
      <c r="D872">
        <v>1</v>
      </c>
      <c r="E872" t="s">
        <v>23</v>
      </c>
      <c r="F872" t="s">
        <v>24</v>
      </c>
      <c r="G872" t="str">
        <f>"2025-12-25 10:53:29.191"</f>
        <v>2025-12-25 10:53:29.191</v>
      </c>
      <c r="H872" t="s">
        <v>21</v>
      </c>
      <c r="I872">
        <v>2.9</v>
      </c>
      <c r="J872" t="s">
        <v>36</v>
      </c>
    </row>
    <row r="873" spans="1:10" x14ac:dyDescent="0.25">
      <c r="A873" s="1">
        <v>161</v>
      </c>
      <c r="B873" t="s">
        <v>22</v>
      </c>
      <c r="C873">
        <v>631</v>
      </c>
      <c r="D873">
        <v>1</v>
      </c>
      <c r="E873" t="s">
        <v>76</v>
      </c>
      <c r="F873" t="s">
        <v>77</v>
      </c>
      <c r="G873" t="str">
        <f>"2025-12-25 04:55:07.539"</f>
        <v>2025-12-25 04:55:07.539</v>
      </c>
      <c r="H873" t="s">
        <v>21</v>
      </c>
    </row>
    <row r="874" spans="1:10" x14ac:dyDescent="0.25">
      <c r="A874" s="1">
        <v>162</v>
      </c>
      <c r="B874" t="s">
        <v>25</v>
      </c>
      <c r="C874">
        <v>631</v>
      </c>
      <c r="D874">
        <v>1</v>
      </c>
      <c r="E874" t="s">
        <v>76</v>
      </c>
      <c r="F874" t="s">
        <v>77</v>
      </c>
      <c r="G874" t="str">
        <f>"2025-12-25 04:51:02.639"</f>
        <v>2025-12-25 04:51:02.639</v>
      </c>
      <c r="H874" t="s">
        <v>21</v>
      </c>
      <c r="I874">
        <v>11.95</v>
      </c>
      <c r="J874" t="s">
        <v>36</v>
      </c>
    </row>
    <row r="875" spans="1:10" x14ac:dyDescent="0.25">
      <c r="A875" s="1">
        <v>163</v>
      </c>
      <c r="B875" t="s">
        <v>22</v>
      </c>
      <c r="C875">
        <v>631</v>
      </c>
      <c r="D875">
        <v>1</v>
      </c>
      <c r="E875" t="s">
        <v>76</v>
      </c>
      <c r="F875" t="s">
        <v>77</v>
      </c>
      <c r="G875" t="str">
        <f>"2025-12-25 04:28:08.239"</f>
        <v>2025-12-25 04:28:08.239</v>
      </c>
      <c r="H875" t="s">
        <v>21</v>
      </c>
    </row>
    <row r="876" spans="1:10" x14ac:dyDescent="0.25">
      <c r="A876" s="1">
        <v>164</v>
      </c>
      <c r="B876" t="s">
        <v>25</v>
      </c>
      <c r="C876">
        <v>631</v>
      </c>
      <c r="D876">
        <v>1</v>
      </c>
      <c r="E876" t="s">
        <v>76</v>
      </c>
      <c r="F876" t="s">
        <v>77</v>
      </c>
      <c r="G876" t="str">
        <f>"2025-12-25 04:23:58.491"</f>
        <v>2025-12-25 04:23:58.491</v>
      </c>
      <c r="H876" t="s">
        <v>21</v>
      </c>
      <c r="I876">
        <v>11.39</v>
      </c>
      <c r="J876" t="s">
        <v>36</v>
      </c>
    </row>
    <row r="877" spans="1:10" x14ac:dyDescent="0.25">
      <c r="A877" s="1">
        <v>165</v>
      </c>
      <c r="B877" t="s">
        <v>22</v>
      </c>
      <c r="C877">
        <v>631</v>
      </c>
      <c r="D877">
        <v>1</v>
      </c>
      <c r="E877" t="s">
        <v>76</v>
      </c>
      <c r="F877" t="s">
        <v>77</v>
      </c>
      <c r="G877" t="str">
        <f>"2025-12-24 23:29:52.639"</f>
        <v>2025-12-24 23:29:52.639</v>
      </c>
      <c r="H877" t="s">
        <v>21</v>
      </c>
    </row>
    <row r="878" spans="1:10" x14ac:dyDescent="0.25">
      <c r="A878" s="1">
        <v>166</v>
      </c>
      <c r="B878" t="s">
        <v>25</v>
      </c>
      <c r="C878">
        <v>631</v>
      </c>
      <c r="D878">
        <v>1</v>
      </c>
      <c r="E878" t="s">
        <v>76</v>
      </c>
      <c r="F878" t="s">
        <v>77</v>
      </c>
      <c r="G878" t="str">
        <f>"2025-12-24 20:45:18.539"</f>
        <v>2025-12-24 20:45:18.539</v>
      </c>
      <c r="H878" t="s">
        <v>21</v>
      </c>
      <c r="I878">
        <v>7.43</v>
      </c>
      <c r="J878" t="s">
        <v>36</v>
      </c>
    </row>
    <row r="879" spans="1:10" x14ac:dyDescent="0.25">
      <c r="A879" s="1">
        <v>167</v>
      </c>
      <c r="B879" t="s">
        <v>22</v>
      </c>
      <c r="C879">
        <v>631</v>
      </c>
      <c r="D879">
        <v>1</v>
      </c>
      <c r="E879" t="s">
        <v>76</v>
      </c>
      <c r="F879" t="s">
        <v>77</v>
      </c>
      <c r="G879" t="str">
        <f>"2025-12-24 19:40:07.491"</f>
        <v>2025-12-24 19:40:07.491</v>
      </c>
      <c r="H879" t="s">
        <v>21</v>
      </c>
    </row>
    <row r="880" spans="1:10" x14ac:dyDescent="0.25">
      <c r="A880" s="1">
        <v>168</v>
      </c>
      <c r="B880" t="s">
        <v>25</v>
      </c>
      <c r="C880">
        <v>631</v>
      </c>
      <c r="D880">
        <v>1</v>
      </c>
      <c r="E880" t="s">
        <v>76</v>
      </c>
      <c r="F880" t="s">
        <v>77</v>
      </c>
      <c r="G880" t="str">
        <f>"2025-12-24 17:05:15.339"</f>
        <v>2025-12-24 17:05:15.339</v>
      </c>
      <c r="H880" t="s">
        <v>21</v>
      </c>
      <c r="I880">
        <v>3.92</v>
      </c>
      <c r="J880" t="s">
        <v>26</v>
      </c>
    </row>
    <row r="881" spans="1:10" x14ac:dyDescent="0.25">
      <c r="A881" s="1">
        <v>169</v>
      </c>
      <c r="B881" t="s">
        <v>22</v>
      </c>
      <c r="C881">
        <v>635</v>
      </c>
      <c r="D881">
        <v>1</v>
      </c>
      <c r="E881" t="s">
        <v>23</v>
      </c>
      <c r="F881" t="s">
        <v>24</v>
      </c>
      <c r="G881" t="str">
        <f>"2025-12-24 16:34:08.091"</f>
        <v>2025-12-24 16:34:08.091</v>
      </c>
      <c r="H881" t="s">
        <v>21</v>
      </c>
    </row>
    <row r="882" spans="1:10" x14ac:dyDescent="0.25">
      <c r="A882" s="1">
        <v>170</v>
      </c>
      <c r="B882" t="s">
        <v>25</v>
      </c>
      <c r="C882">
        <v>635</v>
      </c>
      <c r="D882">
        <v>1</v>
      </c>
      <c r="E882" t="s">
        <v>23</v>
      </c>
      <c r="F882" t="s">
        <v>24</v>
      </c>
      <c r="G882" t="str">
        <f>"2025-12-24 16:19:06.591"</f>
        <v>2025-12-24 16:19:06.591</v>
      </c>
      <c r="H882" t="s">
        <v>21</v>
      </c>
      <c r="I882">
        <v>2.0499999999999998</v>
      </c>
      <c r="J882" t="s">
        <v>36</v>
      </c>
    </row>
    <row r="883" spans="1:10" x14ac:dyDescent="0.25">
      <c r="A883" s="1">
        <v>171</v>
      </c>
      <c r="B883" t="s">
        <v>22</v>
      </c>
      <c r="C883">
        <v>635</v>
      </c>
      <c r="D883">
        <v>1</v>
      </c>
      <c r="E883" t="s">
        <v>23</v>
      </c>
      <c r="F883" t="s">
        <v>24</v>
      </c>
      <c r="G883" t="str">
        <f>"2025-12-24 09:08:16.491"</f>
        <v>2025-12-24 09:08:16.491</v>
      </c>
      <c r="H883" t="s">
        <v>21</v>
      </c>
    </row>
    <row r="884" spans="1:10" x14ac:dyDescent="0.25">
      <c r="A884" s="1">
        <v>172</v>
      </c>
      <c r="B884" t="s">
        <v>25</v>
      </c>
      <c r="C884">
        <v>635</v>
      </c>
      <c r="D884">
        <v>1</v>
      </c>
      <c r="E884" t="s">
        <v>23</v>
      </c>
      <c r="F884" t="s">
        <v>24</v>
      </c>
      <c r="G884" t="str">
        <f>"2025-12-24 09:06:01.991"</f>
        <v>2025-12-24 09:06:01.991</v>
      </c>
      <c r="H884" t="s">
        <v>21</v>
      </c>
      <c r="I884">
        <v>3.63</v>
      </c>
      <c r="J884" t="s">
        <v>27</v>
      </c>
    </row>
    <row r="885" spans="1:10" x14ac:dyDescent="0.25">
      <c r="A885" s="1">
        <v>173</v>
      </c>
      <c r="B885" t="s">
        <v>22</v>
      </c>
      <c r="C885">
        <v>631</v>
      </c>
      <c r="D885">
        <v>1</v>
      </c>
      <c r="E885" t="s">
        <v>76</v>
      </c>
      <c r="F885" t="s">
        <v>77</v>
      </c>
      <c r="G885" t="str">
        <f>"2025-12-24 07:42:46.839"</f>
        <v>2025-12-24 07:42:46.839</v>
      </c>
      <c r="H885" t="s">
        <v>21</v>
      </c>
    </row>
    <row r="886" spans="1:10" x14ac:dyDescent="0.25">
      <c r="A886" s="1">
        <v>174</v>
      </c>
      <c r="B886" t="s">
        <v>25</v>
      </c>
      <c r="C886">
        <v>631</v>
      </c>
      <c r="D886">
        <v>1</v>
      </c>
      <c r="E886" t="s">
        <v>76</v>
      </c>
      <c r="F886" t="s">
        <v>77</v>
      </c>
      <c r="G886" t="str">
        <f>"2025-12-24 06:02:09.739"</f>
        <v>2025-12-24 06:02:09.739</v>
      </c>
      <c r="H886" t="s">
        <v>21</v>
      </c>
      <c r="I886">
        <v>0</v>
      </c>
      <c r="J886" t="s">
        <v>26</v>
      </c>
    </row>
    <row r="887" spans="1:10" x14ac:dyDescent="0.25">
      <c r="A887" s="1">
        <v>175</v>
      </c>
      <c r="B887" t="s">
        <v>22</v>
      </c>
      <c r="C887">
        <v>631</v>
      </c>
      <c r="D887">
        <v>1</v>
      </c>
      <c r="E887" t="s">
        <v>76</v>
      </c>
      <c r="F887" t="s">
        <v>77</v>
      </c>
      <c r="G887" t="str">
        <f>"2025-12-24 05:47:55.339"</f>
        <v>2025-12-24 05:47:55.339</v>
      </c>
      <c r="H887" t="s">
        <v>21</v>
      </c>
    </row>
    <row r="888" spans="1:10" x14ac:dyDescent="0.25">
      <c r="A888" s="1">
        <v>176</v>
      </c>
      <c r="B888" t="s">
        <v>25</v>
      </c>
      <c r="C888">
        <v>631</v>
      </c>
      <c r="D888">
        <v>1</v>
      </c>
      <c r="E888" t="s">
        <v>76</v>
      </c>
      <c r="F888" t="s">
        <v>77</v>
      </c>
      <c r="G888" t="str">
        <f>"2025-12-24 05:45:19.491"</f>
        <v>2025-12-24 05:45:19.491</v>
      </c>
      <c r="H888" t="s">
        <v>21</v>
      </c>
      <c r="I888">
        <v>7.65</v>
      </c>
      <c r="J888" t="s">
        <v>36</v>
      </c>
    </row>
    <row r="889" spans="1:10" x14ac:dyDescent="0.25">
      <c r="A889" s="1">
        <v>177</v>
      </c>
      <c r="B889" t="s">
        <v>22</v>
      </c>
      <c r="C889">
        <v>631</v>
      </c>
      <c r="D889">
        <v>1</v>
      </c>
      <c r="E889" t="s">
        <v>76</v>
      </c>
      <c r="F889" t="s">
        <v>77</v>
      </c>
      <c r="G889" t="str">
        <f>"2025-12-24 05:44:55.891"</f>
        <v>2025-12-24 05:44:55.891</v>
      </c>
      <c r="H889" t="s">
        <v>21</v>
      </c>
    </row>
    <row r="890" spans="1:10" x14ac:dyDescent="0.25">
      <c r="A890" s="1">
        <v>178</v>
      </c>
      <c r="B890" t="s">
        <v>25</v>
      </c>
      <c r="C890">
        <v>631</v>
      </c>
      <c r="D890">
        <v>1</v>
      </c>
      <c r="E890" t="s">
        <v>76</v>
      </c>
      <c r="F890" t="s">
        <v>77</v>
      </c>
      <c r="G890" t="str">
        <f>"2025-12-24 05:43:07.339"</f>
        <v>2025-12-24 05:43:07.339</v>
      </c>
      <c r="H890" t="s">
        <v>21</v>
      </c>
      <c r="I890">
        <v>11.27</v>
      </c>
      <c r="J890" t="s">
        <v>36</v>
      </c>
    </row>
    <row r="891" spans="1:10" x14ac:dyDescent="0.25">
      <c r="A891" s="1">
        <v>179</v>
      </c>
      <c r="B891" t="s">
        <v>22</v>
      </c>
      <c r="C891">
        <v>631</v>
      </c>
      <c r="D891">
        <v>1</v>
      </c>
      <c r="E891" t="s">
        <v>76</v>
      </c>
      <c r="F891" t="s">
        <v>77</v>
      </c>
      <c r="G891" t="str">
        <f>"2025-12-24 03:42:38.991"</f>
        <v>2025-12-24 03:42:38.991</v>
      </c>
      <c r="H891" t="s">
        <v>21</v>
      </c>
    </row>
    <row r="892" spans="1:10" x14ac:dyDescent="0.25">
      <c r="A892" s="1">
        <v>180</v>
      </c>
      <c r="B892" t="s">
        <v>25</v>
      </c>
      <c r="C892">
        <v>631</v>
      </c>
      <c r="D892">
        <v>1</v>
      </c>
      <c r="E892" t="s">
        <v>76</v>
      </c>
      <c r="F892" t="s">
        <v>77</v>
      </c>
      <c r="G892" t="str">
        <f>"2025-12-24 03:38:31.191"</f>
        <v>2025-12-24 03:38:31.191</v>
      </c>
      <c r="H892" t="s">
        <v>21</v>
      </c>
      <c r="I892">
        <v>10.81</v>
      </c>
      <c r="J892" t="s">
        <v>36</v>
      </c>
    </row>
    <row r="893" spans="1:10" x14ac:dyDescent="0.25">
      <c r="A893" s="1">
        <v>181</v>
      </c>
      <c r="B893" t="s">
        <v>22</v>
      </c>
      <c r="C893">
        <v>635</v>
      </c>
      <c r="D893">
        <v>1</v>
      </c>
      <c r="E893" t="s">
        <v>23</v>
      </c>
      <c r="F893" t="s">
        <v>24</v>
      </c>
      <c r="G893" t="str">
        <f>"2025-12-24 00:28:33.191"</f>
        <v>2025-12-24 00:28:33.191</v>
      </c>
      <c r="H893" t="s">
        <v>21</v>
      </c>
    </row>
    <row r="894" spans="1:10" x14ac:dyDescent="0.25">
      <c r="A894" s="1">
        <v>182</v>
      </c>
      <c r="B894" t="s">
        <v>25</v>
      </c>
      <c r="C894">
        <v>635</v>
      </c>
      <c r="D894">
        <v>1</v>
      </c>
      <c r="E894" t="s">
        <v>23</v>
      </c>
      <c r="F894" t="s">
        <v>24</v>
      </c>
      <c r="G894" t="str">
        <f>"2025-12-24 00:21:54.691"</f>
        <v>2025-12-24 00:21:54.691</v>
      </c>
      <c r="H894" t="s">
        <v>21</v>
      </c>
      <c r="I894">
        <v>0</v>
      </c>
      <c r="J894" t="s">
        <v>26</v>
      </c>
    </row>
    <row r="895" spans="1:10" x14ac:dyDescent="0.25">
      <c r="A895" s="1">
        <v>183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"2025-12-23 23:11:40.331"</f>
        <v>2025-12-23 23:11:40.331</v>
      </c>
      <c r="H895" t="s">
        <v>21</v>
      </c>
      <c r="I895">
        <v>0</v>
      </c>
      <c r="J895" t="s">
        <v>31</v>
      </c>
    </row>
    <row r="896" spans="1:10" x14ac:dyDescent="0.25">
      <c r="A896" s="1">
        <v>184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"2025-12-23 23:09:33.329"</f>
        <v>2025-12-23 23:09:33.329</v>
      </c>
      <c r="H896" t="s">
        <v>21</v>
      </c>
    </row>
    <row r="897" spans="1:10" x14ac:dyDescent="0.25">
      <c r="A897" s="1">
        <v>185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"2025-12-23 23:04:42.335"</f>
        <v>2025-12-23 23:04:42.335</v>
      </c>
      <c r="H897" t="s">
        <v>21</v>
      </c>
      <c r="I897">
        <v>0</v>
      </c>
      <c r="J897" t="s">
        <v>31</v>
      </c>
    </row>
    <row r="898" spans="1:10" x14ac:dyDescent="0.25">
      <c r="A898" s="1">
        <v>186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"2025-12-23 22:15:08.327"</f>
        <v>2025-12-23 22:15:08.327</v>
      </c>
      <c r="H898" t="s">
        <v>21</v>
      </c>
      <c r="I898">
        <v>0</v>
      </c>
      <c r="J898" t="s">
        <v>31</v>
      </c>
    </row>
    <row r="899" spans="1:10" x14ac:dyDescent="0.25">
      <c r="A899" s="1">
        <v>187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"2025-12-23 22:11:55.329"</f>
        <v>2025-12-23 22:11:55.329</v>
      </c>
      <c r="H899" t="s">
        <v>21</v>
      </c>
      <c r="I899">
        <v>0</v>
      </c>
      <c r="J899" t="s">
        <v>31</v>
      </c>
    </row>
    <row r="900" spans="1:10" x14ac:dyDescent="0.25">
      <c r="A900" s="1">
        <v>188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"2025-12-23 21:51:13.329"</f>
        <v>2025-12-23 21:51:13.329</v>
      </c>
      <c r="H900" t="s">
        <v>21</v>
      </c>
    </row>
    <row r="901" spans="1:10" x14ac:dyDescent="0.25">
      <c r="A901" s="1">
        <v>189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"2025-12-23 21:33:16.461"</f>
        <v>2025-12-23 21:33:16.461</v>
      </c>
      <c r="H901" t="s">
        <v>21</v>
      </c>
    </row>
    <row r="902" spans="1:10" x14ac:dyDescent="0.25">
      <c r="A902" s="1">
        <v>190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"2025-12-23 21:25:02.331"</f>
        <v>2025-12-23 21:25:02.331</v>
      </c>
      <c r="H902" t="s">
        <v>21</v>
      </c>
      <c r="I902">
        <v>0</v>
      </c>
      <c r="J902" t="s">
        <v>31</v>
      </c>
    </row>
    <row r="903" spans="1:10" x14ac:dyDescent="0.25">
      <c r="A903" s="1">
        <v>191</v>
      </c>
      <c r="B903" t="s">
        <v>22</v>
      </c>
      <c r="C903">
        <v>631</v>
      </c>
      <c r="D903">
        <v>1</v>
      </c>
      <c r="E903" t="s">
        <v>76</v>
      </c>
      <c r="F903" t="s">
        <v>77</v>
      </c>
      <c r="G903" t="str">
        <f>"2025-12-23 18:24:07.104"</f>
        <v>2025-12-23 18:24:07.104</v>
      </c>
      <c r="H903" t="s">
        <v>21</v>
      </c>
    </row>
    <row r="904" spans="1:10" x14ac:dyDescent="0.25">
      <c r="A904" s="1">
        <v>192</v>
      </c>
      <c r="B904" t="s">
        <v>25</v>
      </c>
      <c r="C904">
        <v>631</v>
      </c>
      <c r="D904">
        <v>1</v>
      </c>
      <c r="E904" t="s">
        <v>76</v>
      </c>
      <c r="F904" t="s">
        <v>77</v>
      </c>
      <c r="G904" t="str">
        <f>"2025-12-23 18:23:27.504"</f>
        <v>2025-12-23 18:23:27.504</v>
      </c>
      <c r="H904" t="s">
        <v>21</v>
      </c>
      <c r="I904">
        <v>9.3000000000000007</v>
      </c>
      <c r="J904" t="s">
        <v>36</v>
      </c>
    </row>
    <row r="905" spans="1:10" x14ac:dyDescent="0.25">
      <c r="A905" s="1">
        <v>193</v>
      </c>
      <c r="B905" t="s">
        <v>22</v>
      </c>
      <c r="C905">
        <v>631</v>
      </c>
      <c r="D905">
        <v>1</v>
      </c>
      <c r="E905" t="s">
        <v>76</v>
      </c>
      <c r="F905" t="s">
        <v>77</v>
      </c>
      <c r="G905" t="str">
        <f>"2025-12-23 17:11:43.404"</f>
        <v>2025-12-23 17:11:43.404</v>
      </c>
      <c r="H905" t="s">
        <v>21</v>
      </c>
    </row>
    <row r="906" spans="1:10" x14ac:dyDescent="0.25">
      <c r="A906" s="1">
        <v>194</v>
      </c>
      <c r="B906" t="s">
        <v>25</v>
      </c>
      <c r="C906">
        <v>631</v>
      </c>
      <c r="D906">
        <v>1</v>
      </c>
      <c r="E906" t="s">
        <v>76</v>
      </c>
      <c r="F906" t="s">
        <v>77</v>
      </c>
      <c r="G906" t="str">
        <f>"2025-12-23 17:10:43.452"</f>
        <v>2025-12-23 17:10:43.452</v>
      </c>
      <c r="H906" t="s">
        <v>21</v>
      </c>
      <c r="I906">
        <v>8.11</v>
      </c>
      <c r="J906" t="s">
        <v>36</v>
      </c>
    </row>
    <row r="907" spans="1:10" x14ac:dyDescent="0.25">
      <c r="A907" s="1">
        <v>195</v>
      </c>
      <c r="B907" t="s">
        <v>22</v>
      </c>
      <c r="C907">
        <v>631</v>
      </c>
      <c r="D907">
        <v>1</v>
      </c>
      <c r="E907" t="s">
        <v>76</v>
      </c>
      <c r="F907" t="s">
        <v>77</v>
      </c>
      <c r="G907" t="str">
        <f>"2025-12-23 16:33:20.352"</f>
        <v>2025-12-23 16:33:20.352</v>
      </c>
      <c r="H907" t="s">
        <v>21</v>
      </c>
    </row>
    <row r="908" spans="1:10" x14ac:dyDescent="0.25">
      <c r="A908" s="1">
        <v>196</v>
      </c>
      <c r="B908" t="s">
        <v>25</v>
      </c>
      <c r="C908">
        <v>631</v>
      </c>
      <c r="D908">
        <v>1</v>
      </c>
      <c r="E908" t="s">
        <v>76</v>
      </c>
      <c r="F908" t="s">
        <v>77</v>
      </c>
      <c r="G908" t="str">
        <f>"2025-12-23 16:32:39.804"</f>
        <v>2025-12-23 16:32:39.804</v>
      </c>
      <c r="H908" t="s">
        <v>21</v>
      </c>
      <c r="I908">
        <v>7.48</v>
      </c>
      <c r="J908" t="s">
        <v>36</v>
      </c>
    </row>
    <row r="909" spans="1:10" x14ac:dyDescent="0.25">
      <c r="A909" s="1">
        <v>197</v>
      </c>
      <c r="B909" t="s">
        <v>22</v>
      </c>
      <c r="C909">
        <v>631</v>
      </c>
      <c r="D909">
        <v>1</v>
      </c>
      <c r="E909" t="s">
        <v>76</v>
      </c>
      <c r="F909" t="s">
        <v>77</v>
      </c>
      <c r="G909" t="str">
        <f>"2025-12-23 13:15:41.852"</f>
        <v>2025-12-23 13:15:41.852</v>
      </c>
      <c r="H909" t="s">
        <v>21</v>
      </c>
    </row>
    <row r="910" spans="1:10" x14ac:dyDescent="0.25">
      <c r="A910" s="1">
        <v>198</v>
      </c>
      <c r="B910" t="s">
        <v>25</v>
      </c>
      <c r="C910">
        <v>631</v>
      </c>
      <c r="D910">
        <v>1</v>
      </c>
      <c r="E910" t="s">
        <v>76</v>
      </c>
      <c r="F910" t="s">
        <v>77</v>
      </c>
      <c r="G910" t="str">
        <f>"2025-12-23 13:15:06.604"</f>
        <v>2025-12-23 13:15:06.604</v>
      </c>
      <c r="H910" t="s">
        <v>21</v>
      </c>
      <c r="I910">
        <v>7.95</v>
      </c>
      <c r="J910" t="s">
        <v>36</v>
      </c>
    </row>
    <row r="911" spans="1:10" x14ac:dyDescent="0.25">
      <c r="A911" s="1">
        <v>199</v>
      </c>
      <c r="B911" t="s">
        <v>22</v>
      </c>
      <c r="C911">
        <v>635</v>
      </c>
      <c r="D911">
        <v>1</v>
      </c>
      <c r="E911" t="s">
        <v>23</v>
      </c>
      <c r="F911" t="s">
        <v>24</v>
      </c>
      <c r="G911" t="str">
        <f>"2025-12-22 12:27:56.804"</f>
        <v>2025-12-22 12:27:56.804</v>
      </c>
      <c r="H911" t="s">
        <v>21</v>
      </c>
    </row>
    <row r="912" spans="1:10" x14ac:dyDescent="0.25">
      <c r="A912" s="1">
        <v>200</v>
      </c>
      <c r="B912" t="s">
        <v>25</v>
      </c>
      <c r="C912">
        <v>635</v>
      </c>
      <c r="D912">
        <v>1</v>
      </c>
      <c r="E912" t="s">
        <v>23</v>
      </c>
      <c r="F912" t="s">
        <v>24</v>
      </c>
      <c r="G912" t="str">
        <f>"2025-12-22 12:22:30.304"</f>
        <v>2025-12-22 12:22:30.304</v>
      </c>
      <c r="H912" t="s">
        <v>21</v>
      </c>
      <c r="I912">
        <v>2.23</v>
      </c>
      <c r="J912" t="s">
        <v>36</v>
      </c>
    </row>
    <row r="913" spans="1:10" x14ac:dyDescent="0.25">
      <c r="A913" s="1">
        <v>201</v>
      </c>
      <c r="B913" t="s">
        <v>22</v>
      </c>
      <c r="C913">
        <v>635</v>
      </c>
      <c r="D913">
        <v>1</v>
      </c>
      <c r="E913" t="s">
        <v>23</v>
      </c>
      <c r="F913" t="s">
        <v>24</v>
      </c>
      <c r="G913" t="str">
        <f>"2025-12-22 06:21:52.604"</f>
        <v>2025-12-22 06:21:52.604</v>
      </c>
      <c r="H913" t="s">
        <v>21</v>
      </c>
    </row>
    <row r="914" spans="1:10" x14ac:dyDescent="0.25">
      <c r="A914" s="1">
        <v>202</v>
      </c>
      <c r="B914" t="s">
        <v>25</v>
      </c>
      <c r="C914">
        <v>635</v>
      </c>
      <c r="D914">
        <v>1</v>
      </c>
      <c r="E914" t="s">
        <v>23</v>
      </c>
      <c r="F914" t="s">
        <v>24</v>
      </c>
      <c r="G914" t="str">
        <f>"2025-12-22 06:16:18.104"</f>
        <v>2025-12-22 06:16:18.104</v>
      </c>
      <c r="H914" t="s">
        <v>21</v>
      </c>
      <c r="I914">
        <v>0</v>
      </c>
      <c r="J914" t="s">
        <v>26</v>
      </c>
    </row>
    <row r="915" spans="1:10" x14ac:dyDescent="0.25">
      <c r="A915" s="1">
        <v>203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"2025-12-21 11:36:50.334"</f>
        <v>2025-12-21 11:36:50.334</v>
      </c>
      <c r="H915" t="s">
        <v>21</v>
      </c>
    </row>
    <row r="916" spans="1:10" x14ac:dyDescent="0.25">
      <c r="A916" s="1">
        <v>204</v>
      </c>
      <c r="B916" t="s">
        <v>19</v>
      </c>
      <c r="C916">
        <v>706</v>
      </c>
      <c r="D916">
        <v>4</v>
      </c>
      <c r="E916" t="s">
        <v>28</v>
      </c>
      <c r="F916" t="s">
        <v>29</v>
      </c>
      <c r="G916" t="str">
        <f>"2025-12-21 03:25:49.828"</f>
        <v>2025-12-21 03:25:49.828</v>
      </c>
      <c r="H916" t="s">
        <v>21</v>
      </c>
      <c r="I916">
        <v>0</v>
      </c>
      <c r="J916" t="s">
        <v>30</v>
      </c>
    </row>
    <row r="917" spans="1:10" x14ac:dyDescent="0.25">
      <c r="A917" s="1">
        <v>205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"2025-12-21 03:13:27.338"</f>
        <v>2025-12-21 03:13:27.338</v>
      </c>
      <c r="H917" t="s">
        <v>21</v>
      </c>
    </row>
    <row r="918" spans="1:10" x14ac:dyDescent="0.25">
      <c r="A918" s="1">
        <v>206</v>
      </c>
      <c r="B918" t="s">
        <v>22</v>
      </c>
      <c r="C918">
        <v>635</v>
      </c>
      <c r="D918">
        <v>1</v>
      </c>
      <c r="E918" t="s">
        <v>23</v>
      </c>
      <c r="F918" t="s">
        <v>24</v>
      </c>
      <c r="G918" t="str">
        <f>"2025-12-20 23:59:41.282"</f>
        <v>2025-12-20 23:59:41.282</v>
      </c>
      <c r="H918" t="s">
        <v>21</v>
      </c>
    </row>
    <row r="919" spans="1:10" x14ac:dyDescent="0.25">
      <c r="A919" s="1">
        <v>207</v>
      </c>
      <c r="B919" t="s">
        <v>25</v>
      </c>
      <c r="C919">
        <v>635</v>
      </c>
      <c r="D919">
        <v>1</v>
      </c>
      <c r="E919" t="s">
        <v>23</v>
      </c>
      <c r="F919" t="s">
        <v>24</v>
      </c>
      <c r="G919" t="str">
        <f>"2025-12-20 23:50:05.382"</f>
        <v>2025-12-20 23:50:05.382</v>
      </c>
      <c r="H919" t="s">
        <v>21</v>
      </c>
      <c r="I919">
        <v>0</v>
      </c>
      <c r="J919" t="s">
        <v>26</v>
      </c>
    </row>
    <row r="920" spans="1:10" x14ac:dyDescent="0.25">
      <c r="A920" s="1">
        <v>208</v>
      </c>
      <c r="B920" t="s">
        <v>22</v>
      </c>
      <c r="C920">
        <v>635</v>
      </c>
      <c r="D920">
        <v>1</v>
      </c>
      <c r="E920" t="s">
        <v>23</v>
      </c>
      <c r="F920" t="s">
        <v>24</v>
      </c>
      <c r="G920" t="str">
        <f>"2025-12-20 05:13:17.182"</f>
        <v>2025-12-20 05:13:17.182</v>
      </c>
      <c r="H920" t="s">
        <v>21</v>
      </c>
    </row>
    <row r="921" spans="1:10" x14ac:dyDescent="0.25">
      <c r="A921" s="1">
        <v>209</v>
      </c>
      <c r="B921" t="s">
        <v>25</v>
      </c>
      <c r="C921">
        <v>635</v>
      </c>
      <c r="D921">
        <v>1</v>
      </c>
      <c r="E921" t="s">
        <v>23</v>
      </c>
      <c r="F921" t="s">
        <v>24</v>
      </c>
      <c r="G921" t="str">
        <f>"2025-12-20 05:07:35.182"</f>
        <v>2025-12-20 05:07:35.182</v>
      </c>
      <c r="H921" t="s">
        <v>21</v>
      </c>
      <c r="I921">
        <v>1.5</v>
      </c>
      <c r="J921" t="s">
        <v>26</v>
      </c>
    </row>
    <row r="922" spans="1:10" x14ac:dyDescent="0.25">
      <c r="A922" s="1">
        <v>210</v>
      </c>
      <c r="B922" t="s">
        <v>22</v>
      </c>
      <c r="C922">
        <v>635</v>
      </c>
      <c r="D922">
        <v>1</v>
      </c>
      <c r="E922" t="s">
        <v>23</v>
      </c>
      <c r="F922" t="s">
        <v>24</v>
      </c>
      <c r="G922" t="str">
        <f>"2025-12-20 03:08:42.482"</f>
        <v>2025-12-20 03:08:42.482</v>
      </c>
      <c r="H922" t="s">
        <v>21</v>
      </c>
    </row>
    <row r="923" spans="1:10" x14ac:dyDescent="0.25">
      <c r="A923" s="1">
        <v>211</v>
      </c>
      <c r="B923" t="s">
        <v>25</v>
      </c>
      <c r="C923">
        <v>635</v>
      </c>
      <c r="D923">
        <v>1</v>
      </c>
      <c r="E923" t="s">
        <v>23</v>
      </c>
      <c r="F923" t="s">
        <v>24</v>
      </c>
      <c r="G923" t="str">
        <f>"2025-12-20 03:02:30.482"</f>
        <v>2025-12-20 03:02:30.482</v>
      </c>
      <c r="H923" t="s">
        <v>21</v>
      </c>
      <c r="I923">
        <v>0</v>
      </c>
      <c r="J923" t="s">
        <v>26</v>
      </c>
    </row>
    <row r="924" spans="1:10" x14ac:dyDescent="0.25">
      <c r="A924" s="1">
        <v>212</v>
      </c>
      <c r="B924" t="s">
        <v>22</v>
      </c>
      <c r="C924">
        <v>635</v>
      </c>
      <c r="D924">
        <v>1</v>
      </c>
      <c r="E924" t="s">
        <v>23</v>
      </c>
      <c r="F924" t="s">
        <v>24</v>
      </c>
      <c r="G924" t="str">
        <f>"2025-12-20 01:46:11.182"</f>
        <v>2025-12-20 01:46:11.182</v>
      </c>
      <c r="H924" t="s">
        <v>21</v>
      </c>
    </row>
    <row r="925" spans="1:10" x14ac:dyDescent="0.25">
      <c r="A925" s="1">
        <v>213</v>
      </c>
      <c r="B925" t="s">
        <v>25</v>
      </c>
      <c r="C925">
        <v>635</v>
      </c>
      <c r="D925">
        <v>1</v>
      </c>
      <c r="E925" t="s">
        <v>23</v>
      </c>
      <c r="F925" t="s">
        <v>24</v>
      </c>
      <c r="G925" t="str">
        <f>"2025-12-20 01:39:49.182"</f>
        <v>2025-12-20 01:39:49.182</v>
      </c>
      <c r="H925" t="s">
        <v>21</v>
      </c>
      <c r="I925">
        <v>0</v>
      </c>
      <c r="J925" t="s">
        <v>26</v>
      </c>
    </row>
    <row r="926" spans="1:10" x14ac:dyDescent="0.25">
      <c r="A926" s="1">
        <v>214</v>
      </c>
      <c r="B926" t="s">
        <v>22</v>
      </c>
      <c r="C926">
        <v>635</v>
      </c>
      <c r="D926">
        <v>1</v>
      </c>
      <c r="E926" t="s">
        <v>23</v>
      </c>
      <c r="F926" t="s">
        <v>24</v>
      </c>
      <c r="G926" t="str">
        <f>"2025-12-20 00:01:30.382"</f>
        <v>2025-12-20 00:01:30.382</v>
      </c>
      <c r="H926" t="s">
        <v>21</v>
      </c>
    </row>
    <row r="927" spans="1:10" x14ac:dyDescent="0.25">
      <c r="A927" s="1">
        <v>215</v>
      </c>
      <c r="B927" t="s">
        <v>25</v>
      </c>
      <c r="C927">
        <v>635</v>
      </c>
      <c r="D927">
        <v>1</v>
      </c>
      <c r="E927" t="s">
        <v>23</v>
      </c>
      <c r="F927" t="s">
        <v>24</v>
      </c>
      <c r="G927" t="str">
        <f>"2025-12-19 23:55:19.882"</f>
        <v>2025-12-19 23:55:19.882</v>
      </c>
      <c r="H927" t="s">
        <v>21</v>
      </c>
      <c r="I927">
        <v>0</v>
      </c>
      <c r="J927" t="s">
        <v>26</v>
      </c>
    </row>
    <row r="928" spans="1:10" x14ac:dyDescent="0.25">
      <c r="A928" s="1">
        <v>216</v>
      </c>
      <c r="B928" t="s">
        <v>22</v>
      </c>
      <c r="C928">
        <v>635</v>
      </c>
      <c r="D928">
        <v>1</v>
      </c>
      <c r="E928" t="s">
        <v>23</v>
      </c>
      <c r="F928" t="s">
        <v>24</v>
      </c>
      <c r="G928" t="str">
        <f>"2025-12-19 23:12:55.982"</f>
        <v>2025-12-19 23:12:55.982</v>
      </c>
      <c r="H928" t="s">
        <v>21</v>
      </c>
    </row>
    <row r="929" spans="1:10" x14ac:dyDescent="0.25">
      <c r="A929" s="1">
        <v>217</v>
      </c>
      <c r="B929" t="s">
        <v>25</v>
      </c>
      <c r="C929">
        <v>635</v>
      </c>
      <c r="D929">
        <v>1</v>
      </c>
      <c r="E929" t="s">
        <v>23</v>
      </c>
      <c r="F929" t="s">
        <v>24</v>
      </c>
      <c r="G929" t="str">
        <f>"2025-12-19 23:05:49.982"</f>
        <v>2025-12-19 23:05:49.982</v>
      </c>
      <c r="H929" t="s">
        <v>21</v>
      </c>
      <c r="I929">
        <v>0</v>
      </c>
      <c r="J929" t="s">
        <v>26</v>
      </c>
    </row>
    <row r="930" spans="1:10" x14ac:dyDescent="0.25">
      <c r="A930" s="1">
        <v>218</v>
      </c>
      <c r="B930" t="s">
        <v>22</v>
      </c>
      <c r="C930">
        <v>635</v>
      </c>
      <c r="D930">
        <v>1</v>
      </c>
      <c r="E930" t="s">
        <v>23</v>
      </c>
      <c r="F930" t="s">
        <v>24</v>
      </c>
      <c r="G930" t="str">
        <f>"2025-12-19 15:22:50.982"</f>
        <v>2025-12-19 15:22:50.982</v>
      </c>
      <c r="H930" t="s">
        <v>21</v>
      </c>
    </row>
    <row r="931" spans="1:10" x14ac:dyDescent="0.25">
      <c r="A931" s="1">
        <v>219</v>
      </c>
      <c r="B931" t="s">
        <v>25</v>
      </c>
      <c r="C931">
        <v>635</v>
      </c>
      <c r="D931">
        <v>1</v>
      </c>
      <c r="E931" t="s">
        <v>23</v>
      </c>
      <c r="F931" t="s">
        <v>24</v>
      </c>
      <c r="G931" t="str">
        <f>"2025-12-19 15:18:24.481"</f>
        <v>2025-12-19 15:18:24.481</v>
      </c>
      <c r="H931" t="s">
        <v>21</v>
      </c>
      <c r="I931">
        <v>3.68</v>
      </c>
      <c r="J931" t="s">
        <v>36</v>
      </c>
    </row>
    <row r="932" spans="1:10" x14ac:dyDescent="0.25">
      <c r="A932" s="1">
        <v>220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"2025-12-19 11:41:44.411"</f>
        <v>2025-12-19 11:41:44.411</v>
      </c>
      <c r="H932" t="s">
        <v>21</v>
      </c>
      <c r="I932">
        <v>0</v>
      </c>
      <c r="J932" t="s">
        <v>31</v>
      </c>
    </row>
    <row r="933" spans="1:10" x14ac:dyDescent="0.25">
      <c r="A933" s="1">
        <v>221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"2025-12-19 10:21:29.345"</f>
        <v>2025-12-19 10:21:29.345</v>
      </c>
      <c r="H933" t="s">
        <v>21</v>
      </c>
      <c r="I933">
        <v>0</v>
      </c>
      <c r="J933" t="s">
        <v>31</v>
      </c>
    </row>
    <row r="934" spans="1:10" x14ac:dyDescent="0.25">
      <c r="A934" s="1">
        <v>222</v>
      </c>
      <c r="B934" t="s">
        <v>22</v>
      </c>
      <c r="C934">
        <v>635</v>
      </c>
      <c r="D934">
        <v>1</v>
      </c>
      <c r="E934" t="s">
        <v>23</v>
      </c>
      <c r="F934" t="s">
        <v>24</v>
      </c>
      <c r="G934" t="str">
        <f>"2025-12-19 02:36:43.782"</f>
        <v>2025-12-19 02:36:43.782</v>
      </c>
      <c r="H934" t="s">
        <v>21</v>
      </c>
    </row>
    <row r="935" spans="1:10" x14ac:dyDescent="0.25">
      <c r="A935" s="1">
        <v>223</v>
      </c>
      <c r="B935" t="s">
        <v>25</v>
      </c>
      <c r="C935">
        <v>635</v>
      </c>
      <c r="D935">
        <v>1</v>
      </c>
      <c r="E935" t="s">
        <v>23</v>
      </c>
      <c r="F935" t="s">
        <v>24</v>
      </c>
      <c r="G935" t="str">
        <f>"2025-12-19 02:29:07.282"</f>
        <v>2025-12-19 02:29:07.282</v>
      </c>
      <c r="H935" t="s">
        <v>21</v>
      </c>
      <c r="I935">
        <v>5.41</v>
      </c>
      <c r="J935" t="s">
        <v>36</v>
      </c>
    </row>
    <row r="936" spans="1:10" x14ac:dyDescent="0.25">
      <c r="A936" s="1">
        <v>224</v>
      </c>
      <c r="B936" t="s">
        <v>19</v>
      </c>
      <c r="C936">
        <v>706</v>
      </c>
      <c r="D936">
        <v>4</v>
      </c>
      <c r="E936" t="s">
        <v>28</v>
      </c>
      <c r="F936" t="s">
        <v>29</v>
      </c>
      <c r="G936" t="str">
        <f>"2025-12-18 21:24:39.422"</f>
        <v>2025-12-18 21:24:39.422</v>
      </c>
      <c r="H936" t="s">
        <v>21</v>
      </c>
      <c r="I936">
        <v>0</v>
      </c>
      <c r="J936" t="s">
        <v>30</v>
      </c>
    </row>
    <row r="937" spans="1:10" x14ac:dyDescent="0.25">
      <c r="A937" s="1">
        <v>225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"2025-12-18 13:14:07.312"</f>
        <v>2025-12-18 13:14:07.312</v>
      </c>
      <c r="H937" t="s">
        <v>21</v>
      </c>
      <c r="I937">
        <v>0</v>
      </c>
      <c r="J937" t="s">
        <v>31</v>
      </c>
    </row>
    <row r="938" spans="1:10" x14ac:dyDescent="0.25">
      <c r="A938" s="1">
        <v>226</v>
      </c>
      <c r="B938" t="s">
        <v>22</v>
      </c>
      <c r="C938">
        <v>635</v>
      </c>
      <c r="D938">
        <v>1</v>
      </c>
      <c r="E938" t="s">
        <v>23</v>
      </c>
      <c r="F938" t="s">
        <v>24</v>
      </c>
      <c r="G938" t="str">
        <f>"2025-12-17 15:42:54.318"</f>
        <v>2025-12-17 15:42:54.318</v>
      </c>
      <c r="H938" t="s">
        <v>21</v>
      </c>
    </row>
    <row r="939" spans="1:10" x14ac:dyDescent="0.25">
      <c r="A939" s="1">
        <v>227</v>
      </c>
      <c r="B939" t="s">
        <v>25</v>
      </c>
      <c r="C939">
        <v>635</v>
      </c>
      <c r="D939">
        <v>1</v>
      </c>
      <c r="E939" t="s">
        <v>23</v>
      </c>
      <c r="F939" t="s">
        <v>24</v>
      </c>
      <c r="G939" t="str">
        <f>"2025-12-17 15:35:22.918"</f>
        <v>2025-12-17 15:35:22.918</v>
      </c>
      <c r="H939" t="s">
        <v>21</v>
      </c>
      <c r="I939">
        <v>3.32</v>
      </c>
      <c r="J939" t="s">
        <v>36</v>
      </c>
    </row>
    <row r="940" spans="1:10" x14ac:dyDescent="0.25">
      <c r="A940" s="1">
        <v>228</v>
      </c>
      <c r="B940" t="s">
        <v>22</v>
      </c>
      <c r="C940">
        <v>635</v>
      </c>
      <c r="D940">
        <v>1</v>
      </c>
      <c r="E940" t="s">
        <v>23</v>
      </c>
      <c r="F940" t="s">
        <v>24</v>
      </c>
      <c r="G940" t="str">
        <f>"2025-12-16 23:39:48.418"</f>
        <v>2025-12-16 23:39:48.418</v>
      </c>
      <c r="H940" t="s">
        <v>21</v>
      </c>
    </row>
    <row r="941" spans="1:10" x14ac:dyDescent="0.25">
      <c r="A941" s="1">
        <v>229</v>
      </c>
      <c r="B941" t="s">
        <v>25</v>
      </c>
      <c r="C941">
        <v>635</v>
      </c>
      <c r="D941">
        <v>1</v>
      </c>
      <c r="E941" t="s">
        <v>23</v>
      </c>
      <c r="F941" t="s">
        <v>24</v>
      </c>
      <c r="G941" t="str">
        <f>"2025-12-16 23:36:22.418"</f>
        <v>2025-12-16 23:36:22.418</v>
      </c>
      <c r="H941" t="s">
        <v>21</v>
      </c>
      <c r="I941">
        <v>3.74</v>
      </c>
      <c r="J941" t="s">
        <v>26</v>
      </c>
    </row>
    <row r="942" spans="1:10" x14ac:dyDescent="0.25">
      <c r="A942" s="1">
        <v>230</v>
      </c>
      <c r="B942" t="s">
        <v>22</v>
      </c>
      <c r="C942">
        <v>635</v>
      </c>
      <c r="D942">
        <v>1</v>
      </c>
      <c r="E942" t="s">
        <v>23</v>
      </c>
      <c r="F942" t="s">
        <v>24</v>
      </c>
      <c r="G942" t="str">
        <f>"2025-12-15 15:58:14.018"</f>
        <v>2025-12-15 15:58:14.018</v>
      </c>
      <c r="H942" t="s">
        <v>21</v>
      </c>
    </row>
    <row r="943" spans="1:10" x14ac:dyDescent="0.25">
      <c r="A943" s="1">
        <v>231</v>
      </c>
      <c r="B943" t="s">
        <v>25</v>
      </c>
      <c r="C943">
        <v>635</v>
      </c>
      <c r="D943">
        <v>1</v>
      </c>
      <c r="E943" t="s">
        <v>23</v>
      </c>
      <c r="F943" t="s">
        <v>24</v>
      </c>
      <c r="G943" t="str">
        <f>"2025-12-15 15:55:16.018"</f>
        <v>2025-12-15 15:55:16.018</v>
      </c>
      <c r="H943" t="s">
        <v>21</v>
      </c>
      <c r="I943">
        <v>0.97</v>
      </c>
      <c r="J943" t="s">
        <v>36</v>
      </c>
    </row>
    <row r="944" spans="1:10" x14ac:dyDescent="0.25">
      <c r="A944" s="1">
        <v>232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"2025-12-14 00:52:10.275"</f>
        <v>2025-12-14 00:52:10.275</v>
      </c>
      <c r="H944" t="s">
        <v>21</v>
      </c>
    </row>
    <row r="945" spans="1:10" x14ac:dyDescent="0.25">
      <c r="A945" s="1">
        <v>233</v>
      </c>
      <c r="B945" t="s">
        <v>22</v>
      </c>
      <c r="C945">
        <v>631</v>
      </c>
      <c r="D945">
        <v>1</v>
      </c>
      <c r="E945" t="s">
        <v>76</v>
      </c>
      <c r="F945" t="s">
        <v>77</v>
      </c>
      <c r="G945" t="str">
        <f>"2025-12-13 11:17:04.963"</f>
        <v>2025-12-13 11:17:04.963</v>
      </c>
      <c r="H945" t="s">
        <v>21</v>
      </c>
    </row>
    <row r="946" spans="1:10" x14ac:dyDescent="0.25">
      <c r="A946" s="1">
        <v>234</v>
      </c>
      <c r="B946" t="s">
        <v>25</v>
      </c>
      <c r="C946">
        <v>631</v>
      </c>
      <c r="D946">
        <v>1</v>
      </c>
      <c r="E946" t="s">
        <v>76</v>
      </c>
      <c r="F946" t="s">
        <v>77</v>
      </c>
      <c r="G946" t="str">
        <f>"2025-12-13 11:16:28.563"</f>
        <v>2025-12-13 11:16:28.563</v>
      </c>
      <c r="H946" t="s">
        <v>21</v>
      </c>
      <c r="I946">
        <v>6.07</v>
      </c>
      <c r="J946" t="s">
        <v>36</v>
      </c>
    </row>
    <row r="947" spans="1:10" x14ac:dyDescent="0.25">
      <c r="A947" s="1">
        <v>235</v>
      </c>
      <c r="B947" t="s">
        <v>22</v>
      </c>
      <c r="C947">
        <v>631</v>
      </c>
      <c r="D947">
        <v>1</v>
      </c>
      <c r="E947" t="s">
        <v>76</v>
      </c>
      <c r="F947" t="s">
        <v>77</v>
      </c>
      <c r="G947" t="str">
        <f>"2025-12-13 10:10:50.163"</f>
        <v>2025-12-13 10:10:50.163</v>
      </c>
      <c r="H947" t="s">
        <v>21</v>
      </c>
    </row>
    <row r="948" spans="1:10" x14ac:dyDescent="0.25">
      <c r="A948" s="1">
        <v>236</v>
      </c>
      <c r="B948" t="s">
        <v>25</v>
      </c>
      <c r="C948">
        <v>631</v>
      </c>
      <c r="D948">
        <v>1</v>
      </c>
      <c r="E948" t="s">
        <v>76</v>
      </c>
      <c r="F948" t="s">
        <v>77</v>
      </c>
      <c r="G948" t="str">
        <f>"2025-12-13 10:10:32.663"</f>
        <v>2025-12-13 10:10:32.663</v>
      </c>
      <c r="H948" t="s">
        <v>21</v>
      </c>
      <c r="I948">
        <v>7.11</v>
      </c>
      <c r="J948" t="s">
        <v>36</v>
      </c>
    </row>
    <row r="949" spans="1:10" x14ac:dyDescent="0.25">
      <c r="A949" s="1">
        <v>237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"2025-12-12 05:41:41.295"</f>
        <v>2025-12-12 05:41:41.295</v>
      </c>
      <c r="H949" t="s">
        <v>21</v>
      </c>
      <c r="I949">
        <v>0</v>
      </c>
      <c r="J949" t="s">
        <v>31</v>
      </c>
    </row>
    <row r="950" spans="1:10" x14ac:dyDescent="0.25">
      <c r="A950" s="1">
        <v>238</v>
      </c>
      <c r="B950" t="s">
        <v>19</v>
      </c>
      <c r="C950">
        <v>706</v>
      </c>
      <c r="D950">
        <v>4</v>
      </c>
      <c r="E950" t="s">
        <v>28</v>
      </c>
      <c r="F950" t="s">
        <v>29</v>
      </c>
      <c r="G950" t="str">
        <f>"2025-12-12 03:21:17.156"</f>
        <v>2025-12-12 03:21:17.156</v>
      </c>
      <c r="H950" t="s">
        <v>21</v>
      </c>
      <c r="I950">
        <v>0</v>
      </c>
      <c r="J950" t="s">
        <v>30</v>
      </c>
    </row>
    <row r="951" spans="1:10" x14ac:dyDescent="0.25">
      <c r="A951" s="1">
        <v>239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"2025-12-12 02:31:35.346"</f>
        <v>2025-12-12 02:31:35.346</v>
      </c>
      <c r="H951" t="s">
        <v>21</v>
      </c>
      <c r="I951">
        <v>0</v>
      </c>
      <c r="J951" t="s">
        <v>31</v>
      </c>
    </row>
    <row r="952" spans="1:10" x14ac:dyDescent="0.25">
      <c r="A952" s="1">
        <v>240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"2025-12-11 09:49:14.382"</f>
        <v>2025-12-11 09:49:14.382</v>
      </c>
      <c r="H952" t="s">
        <v>21</v>
      </c>
    </row>
    <row r="953" spans="1:10" x14ac:dyDescent="0.25">
      <c r="A953" s="1">
        <v>243</v>
      </c>
      <c r="B953" t="s">
        <v>22</v>
      </c>
      <c r="C953">
        <v>635</v>
      </c>
      <c r="D953">
        <v>1</v>
      </c>
      <c r="E953" t="s">
        <v>23</v>
      </c>
      <c r="F953" t="s">
        <v>24</v>
      </c>
      <c r="G953" t="str">
        <f>"2025-12-11 01:33:09.741"</f>
        <v>2025-12-11 01:33:09.741</v>
      </c>
      <c r="H953" t="s">
        <v>21</v>
      </c>
    </row>
    <row r="954" spans="1:10" x14ac:dyDescent="0.25">
      <c r="A954" s="1">
        <v>244</v>
      </c>
      <c r="B954" t="s">
        <v>25</v>
      </c>
      <c r="C954">
        <v>635</v>
      </c>
      <c r="D954">
        <v>1</v>
      </c>
      <c r="E954" t="s">
        <v>23</v>
      </c>
      <c r="F954" t="s">
        <v>24</v>
      </c>
      <c r="G954" t="str">
        <f>"2025-12-11 01:30:35.241"</f>
        <v>2025-12-11 01:30:35.241</v>
      </c>
      <c r="H954" t="s">
        <v>21</v>
      </c>
      <c r="I954">
        <v>7.73</v>
      </c>
      <c r="J954" t="s">
        <v>36</v>
      </c>
    </row>
    <row r="955" spans="1:10" x14ac:dyDescent="0.25">
      <c r="A955" s="1">
        <v>247</v>
      </c>
      <c r="B955" t="s">
        <v>22</v>
      </c>
      <c r="C955">
        <v>635</v>
      </c>
      <c r="D955">
        <v>1</v>
      </c>
      <c r="E955" t="s">
        <v>23</v>
      </c>
      <c r="F955" t="s">
        <v>24</v>
      </c>
      <c r="G955" t="str">
        <f>"2025-12-10 18:13:47.741"</f>
        <v>2025-12-10 18:13:47.741</v>
      </c>
      <c r="H955" t="s">
        <v>21</v>
      </c>
    </row>
    <row r="956" spans="1:10" x14ac:dyDescent="0.25">
      <c r="A956" s="1">
        <v>248</v>
      </c>
      <c r="B956" t="s">
        <v>25</v>
      </c>
      <c r="C956">
        <v>635</v>
      </c>
      <c r="D956">
        <v>1</v>
      </c>
      <c r="E956" t="s">
        <v>23</v>
      </c>
      <c r="F956" t="s">
        <v>24</v>
      </c>
      <c r="G956" t="str">
        <f>"2025-12-10 18:08:13.240"</f>
        <v>2025-12-10 18:08:13.240</v>
      </c>
      <c r="H956" t="s">
        <v>21</v>
      </c>
      <c r="I956">
        <v>0.34</v>
      </c>
      <c r="J956" t="s">
        <v>36</v>
      </c>
    </row>
    <row r="957" spans="1:10" x14ac:dyDescent="0.25">
      <c r="A957" s="1">
        <v>249</v>
      </c>
      <c r="B957" t="s">
        <v>22</v>
      </c>
      <c r="C957">
        <v>61</v>
      </c>
      <c r="D957">
        <v>2</v>
      </c>
      <c r="E957" t="s">
        <v>38</v>
      </c>
      <c r="F957" t="s">
        <v>39</v>
      </c>
      <c r="G957" t="str">
        <f>"2025-12-10 03:56:39.734"</f>
        <v>2025-12-10 03:56:39.734</v>
      </c>
      <c r="H957" t="s">
        <v>21</v>
      </c>
    </row>
    <row r="958" spans="1:10" x14ac:dyDescent="0.25">
      <c r="A958" s="1">
        <v>250</v>
      </c>
      <c r="B958" t="s">
        <v>32</v>
      </c>
      <c r="C958">
        <v>61</v>
      </c>
      <c r="D958">
        <v>2</v>
      </c>
      <c r="E958" t="s">
        <v>38</v>
      </c>
      <c r="F958" t="s">
        <v>39</v>
      </c>
      <c r="G958" t="str">
        <f>"2025-12-10 03:56:35.034"</f>
        <v>2025-12-10 03:56:35.034</v>
      </c>
      <c r="H958" t="s">
        <v>21</v>
      </c>
      <c r="I958">
        <v>29.71</v>
      </c>
      <c r="J958" t="s">
        <v>27</v>
      </c>
    </row>
    <row r="959" spans="1:10" x14ac:dyDescent="0.25">
      <c r="A959" s="1">
        <v>251</v>
      </c>
      <c r="B959" t="s">
        <v>22</v>
      </c>
      <c r="C959">
        <v>61</v>
      </c>
      <c r="D959">
        <v>2</v>
      </c>
      <c r="E959" t="s">
        <v>38</v>
      </c>
      <c r="F959" t="s">
        <v>39</v>
      </c>
      <c r="G959" t="str">
        <f>"2025-12-10 03:33:40.334"</f>
        <v>2025-12-10 03:33:40.334</v>
      </c>
      <c r="H959" t="s">
        <v>21</v>
      </c>
    </row>
    <row r="960" spans="1:10" x14ac:dyDescent="0.25">
      <c r="A960" s="1">
        <v>252</v>
      </c>
      <c r="B960" t="s">
        <v>32</v>
      </c>
      <c r="C960">
        <v>61</v>
      </c>
      <c r="D960">
        <v>2</v>
      </c>
      <c r="E960" t="s">
        <v>38</v>
      </c>
      <c r="F960" t="s">
        <v>39</v>
      </c>
      <c r="G960" t="str">
        <f>"2025-12-10 03:33:34.134"</f>
        <v>2025-12-10 03:33:34.134</v>
      </c>
      <c r="H960" t="s">
        <v>21</v>
      </c>
      <c r="I960">
        <v>30.21</v>
      </c>
      <c r="J960" t="s">
        <v>27</v>
      </c>
    </row>
    <row r="961" spans="1:10" x14ac:dyDescent="0.25">
      <c r="A961" s="1">
        <v>253</v>
      </c>
      <c r="B961" t="s">
        <v>22</v>
      </c>
      <c r="C961">
        <v>635</v>
      </c>
      <c r="D961">
        <v>1</v>
      </c>
      <c r="E961" t="s">
        <v>23</v>
      </c>
      <c r="F961" t="s">
        <v>24</v>
      </c>
      <c r="G961" t="str">
        <f>"2025-12-10 02:29:37.741"</f>
        <v>2025-12-10 02:29:37.741</v>
      </c>
      <c r="H961" t="s">
        <v>21</v>
      </c>
    </row>
    <row r="962" spans="1:10" x14ac:dyDescent="0.25">
      <c r="A962" s="1">
        <v>254</v>
      </c>
      <c r="B962" t="s">
        <v>25</v>
      </c>
      <c r="C962">
        <v>635</v>
      </c>
      <c r="D962">
        <v>1</v>
      </c>
      <c r="E962" t="s">
        <v>23</v>
      </c>
      <c r="F962" t="s">
        <v>24</v>
      </c>
      <c r="G962" t="str">
        <f>"2025-12-10 02:18:19.240"</f>
        <v>2025-12-10 02:18:19.240</v>
      </c>
      <c r="H962" t="s">
        <v>21</v>
      </c>
      <c r="I962">
        <v>7.53</v>
      </c>
      <c r="J962" t="s">
        <v>27</v>
      </c>
    </row>
    <row r="963" spans="1:10" x14ac:dyDescent="0.25">
      <c r="A963" s="1">
        <v>255</v>
      </c>
      <c r="B963" t="s">
        <v>22</v>
      </c>
      <c r="C963">
        <v>631</v>
      </c>
      <c r="D963">
        <v>1</v>
      </c>
      <c r="E963" t="s">
        <v>76</v>
      </c>
      <c r="F963" t="s">
        <v>77</v>
      </c>
      <c r="G963" t="str">
        <f>"2025-12-09 19:03:40.793"</f>
        <v>2025-12-09 19:03:40.793</v>
      </c>
      <c r="H963" t="s">
        <v>21</v>
      </c>
    </row>
    <row r="964" spans="1:10" x14ac:dyDescent="0.25">
      <c r="A964" s="1">
        <v>256</v>
      </c>
      <c r="B964" t="s">
        <v>25</v>
      </c>
      <c r="C964">
        <v>631</v>
      </c>
      <c r="D964">
        <v>1</v>
      </c>
      <c r="E964" t="s">
        <v>76</v>
      </c>
      <c r="F964" t="s">
        <v>77</v>
      </c>
      <c r="G964" t="str">
        <f>"2025-12-09 19:03:06.594"</f>
        <v>2025-12-09 19:03:06.594</v>
      </c>
      <c r="H964" t="s">
        <v>21</v>
      </c>
      <c r="I964">
        <v>7.57</v>
      </c>
      <c r="J964" t="s">
        <v>36</v>
      </c>
    </row>
    <row r="965" spans="1:10" x14ac:dyDescent="0.25">
      <c r="A965" s="1">
        <v>257</v>
      </c>
      <c r="B965" t="s">
        <v>19</v>
      </c>
      <c r="C965">
        <v>706</v>
      </c>
      <c r="D965">
        <v>4</v>
      </c>
      <c r="E965" t="s">
        <v>28</v>
      </c>
      <c r="F965" t="s">
        <v>29</v>
      </c>
      <c r="G965" t="str">
        <f>"2025-12-09 13:15:18.853"</f>
        <v>2025-12-09 13:15:18.853</v>
      </c>
      <c r="H965" t="s">
        <v>21</v>
      </c>
      <c r="I965">
        <v>0</v>
      </c>
      <c r="J965" t="s">
        <v>30</v>
      </c>
    </row>
    <row r="966" spans="1:10" x14ac:dyDescent="0.25">
      <c r="A966" s="1">
        <v>258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"2025-12-09 13:15:01.303"</f>
        <v>2025-12-09 13:15:01.303</v>
      </c>
      <c r="H966" t="s">
        <v>21</v>
      </c>
      <c r="I966">
        <v>0</v>
      </c>
      <c r="J966" t="s">
        <v>31</v>
      </c>
    </row>
    <row r="967" spans="1:10" x14ac:dyDescent="0.25">
      <c r="A967" s="1">
        <v>259</v>
      </c>
      <c r="B967" t="s">
        <v>22</v>
      </c>
      <c r="C967">
        <v>635</v>
      </c>
      <c r="D967">
        <v>1</v>
      </c>
      <c r="E967" t="s">
        <v>23</v>
      </c>
      <c r="F967" t="s">
        <v>24</v>
      </c>
      <c r="G967" t="str">
        <f>"2025-12-07 17:27:32.982"</f>
        <v>2025-12-07 17:27:32.982</v>
      </c>
      <c r="H967" t="s">
        <v>21</v>
      </c>
    </row>
    <row r="968" spans="1:10" x14ac:dyDescent="0.25">
      <c r="A968" s="1">
        <v>260</v>
      </c>
      <c r="B968" t="s">
        <v>25</v>
      </c>
      <c r="C968">
        <v>635</v>
      </c>
      <c r="D968">
        <v>1</v>
      </c>
      <c r="E968" t="s">
        <v>23</v>
      </c>
      <c r="F968" t="s">
        <v>24</v>
      </c>
      <c r="G968" t="str">
        <f>"2025-12-07 17:24:17.982"</f>
        <v>2025-12-07 17:24:17.982</v>
      </c>
      <c r="H968" t="s">
        <v>21</v>
      </c>
      <c r="I968">
        <v>2.19</v>
      </c>
      <c r="J968" t="s">
        <v>26</v>
      </c>
    </row>
    <row r="969" spans="1:10" x14ac:dyDescent="0.25">
      <c r="A969" s="1">
        <v>261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"2025-12-07 13:42:49.491"</f>
        <v>2025-12-07 13:42:49.491</v>
      </c>
      <c r="H969" t="s">
        <v>21</v>
      </c>
      <c r="I969">
        <v>0</v>
      </c>
      <c r="J969" t="s">
        <v>31</v>
      </c>
    </row>
    <row r="970" spans="1:10" x14ac:dyDescent="0.25">
      <c r="A970" s="1">
        <v>262</v>
      </c>
      <c r="B970" t="s">
        <v>22</v>
      </c>
      <c r="C970">
        <v>635</v>
      </c>
      <c r="D970">
        <v>1</v>
      </c>
      <c r="E970" t="s">
        <v>23</v>
      </c>
      <c r="F970" t="s">
        <v>24</v>
      </c>
      <c r="G970" t="str">
        <f>"2025-12-07 12:35:10.960"</f>
        <v>2025-12-07 12:35:10.960</v>
      </c>
      <c r="H970" t="s">
        <v>21</v>
      </c>
    </row>
    <row r="971" spans="1:10" x14ac:dyDescent="0.25">
      <c r="A971" s="1">
        <v>263</v>
      </c>
      <c r="B971" t="s">
        <v>25</v>
      </c>
      <c r="C971">
        <v>635</v>
      </c>
      <c r="D971">
        <v>1</v>
      </c>
      <c r="E971" t="s">
        <v>23</v>
      </c>
      <c r="F971" t="s">
        <v>24</v>
      </c>
      <c r="G971" t="str">
        <f>"2025-12-07 12:30:38.460"</f>
        <v>2025-12-07 12:30:38.460</v>
      </c>
      <c r="H971" t="s">
        <v>21</v>
      </c>
      <c r="I971">
        <v>2.94</v>
      </c>
      <c r="J971" t="s">
        <v>27</v>
      </c>
    </row>
    <row r="972" spans="1:10" x14ac:dyDescent="0.25">
      <c r="A972" s="1">
        <v>264</v>
      </c>
      <c r="B972" t="s">
        <v>22</v>
      </c>
      <c r="C972">
        <v>635</v>
      </c>
      <c r="D972">
        <v>1</v>
      </c>
      <c r="E972" t="s">
        <v>23</v>
      </c>
      <c r="F972" t="s">
        <v>24</v>
      </c>
      <c r="G972" t="str">
        <f>"2025-12-06 11:35:18.260"</f>
        <v>2025-12-06 11:35:18.260</v>
      </c>
      <c r="H972" t="s">
        <v>21</v>
      </c>
    </row>
    <row r="973" spans="1:10" x14ac:dyDescent="0.25">
      <c r="A973" s="1">
        <v>265</v>
      </c>
      <c r="B973" t="s">
        <v>25</v>
      </c>
      <c r="C973">
        <v>635</v>
      </c>
      <c r="D973">
        <v>1</v>
      </c>
      <c r="E973" t="s">
        <v>23</v>
      </c>
      <c r="F973" t="s">
        <v>24</v>
      </c>
      <c r="G973" t="str">
        <f>"2025-12-06 11:32:50.260"</f>
        <v>2025-12-06 11:32:50.260</v>
      </c>
      <c r="H973" t="s">
        <v>21</v>
      </c>
      <c r="I973">
        <v>5.95</v>
      </c>
      <c r="J973" t="s">
        <v>36</v>
      </c>
    </row>
    <row r="974" spans="1:10" x14ac:dyDescent="0.25">
      <c r="A974" s="1">
        <v>266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"2025-12-06 10:16:43.263"</f>
        <v>2025-12-06 10:16:43.263</v>
      </c>
      <c r="H974" t="s">
        <v>21</v>
      </c>
      <c r="I974">
        <v>0</v>
      </c>
      <c r="J974" t="s">
        <v>31</v>
      </c>
    </row>
    <row r="975" spans="1:10" x14ac:dyDescent="0.25">
      <c r="A975" s="1">
        <v>267</v>
      </c>
      <c r="B975" t="s">
        <v>22</v>
      </c>
      <c r="C975">
        <v>635</v>
      </c>
      <c r="D975">
        <v>1</v>
      </c>
      <c r="E975" t="s">
        <v>23</v>
      </c>
      <c r="F975" t="s">
        <v>24</v>
      </c>
      <c r="G975" t="str">
        <f>"2025-12-06 03:19:35.509"</f>
        <v>2025-12-06 03:19:35.509</v>
      </c>
      <c r="H975" t="s">
        <v>21</v>
      </c>
    </row>
    <row r="976" spans="1:10" x14ac:dyDescent="0.25">
      <c r="A976" s="1">
        <v>268</v>
      </c>
      <c r="B976" t="s">
        <v>25</v>
      </c>
      <c r="C976">
        <v>635</v>
      </c>
      <c r="D976">
        <v>1</v>
      </c>
      <c r="E976" t="s">
        <v>23</v>
      </c>
      <c r="F976" t="s">
        <v>24</v>
      </c>
      <c r="G976" t="str">
        <f>"2025-12-06 03:16:04.509"</f>
        <v>2025-12-06 03:16:04.509</v>
      </c>
      <c r="H976" t="s">
        <v>21</v>
      </c>
      <c r="I976">
        <v>-1.33</v>
      </c>
      <c r="J976" t="s">
        <v>36</v>
      </c>
    </row>
    <row r="977" spans="1:10" x14ac:dyDescent="0.25">
      <c r="A977" s="1">
        <v>269</v>
      </c>
      <c r="B977" t="s">
        <v>22</v>
      </c>
      <c r="C977">
        <v>635</v>
      </c>
      <c r="D977">
        <v>1</v>
      </c>
      <c r="E977" t="s">
        <v>23</v>
      </c>
      <c r="F977" t="s">
        <v>24</v>
      </c>
      <c r="G977" t="str">
        <f>"2025-12-05 22:41:58.609"</f>
        <v>2025-12-05 22:41:58.609</v>
      </c>
      <c r="H977" t="s">
        <v>21</v>
      </c>
    </row>
    <row r="978" spans="1:10" x14ac:dyDescent="0.25">
      <c r="A978" s="1">
        <v>270</v>
      </c>
      <c r="B978" t="s">
        <v>25</v>
      </c>
      <c r="C978">
        <v>635</v>
      </c>
      <c r="D978">
        <v>1</v>
      </c>
      <c r="E978" t="s">
        <v>23</v>
      </c>
      <c r="F978" t="s">
        <v>24</v>
      </c>
      <c r="G978" t="str">
        <f>"2025-12-05 22:39:06.609"</f>
        <v>2025-12-05 22:39:06.609</v>
      </c>
      <c r="H978" t="s">
        <v>21</v>
      </c>
      <c r="I978">
        <v>2.06</v>
      </c>
      <c r="J978" t="s">
        <v>36</v>
      </c>
    </row>
    <row r="979" spans="1:10" x14ac:dyDescent="0.25">
      <c r="A979" s="1">
        <v>271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"2025-12-03 11:02:52.261"</f>
        <v>2025-12-03 11:02:52.261</v>
      </c>
      <c r="H979" t="s">
        <v>21</v>
      </c>
      <c r="I979">
        <v>0</v>
      </c>
      <c r="J979" t="s">
        <v>31</v>
      </c>
    </row>
    <row r="980" spans="1:10" x14ac:dyDescent="0.25">
      <c r="A980" s="1">
        <v>272</v>
      </c>
      <c r="B980" t="s">
        <v>22</v>
      </c>
      <c r="C980">
        <v>635</v>
      </c>
      <c r="D980">
        <v>1</v>
      </c>
      <c r="E980" t="s">
        <v>23</v>
      </c>
      <c r="F980" t="s">
        <v>24</v>
      </c>
      <c r="G980" t="str">
        <f>"2025-12-01 20:38:44.857"</f>
        <v>2025-12-01 20:38:44.857</v>
      </c>
      <c r="H980" t="s">
        <v>21</v>
      </c>
    </row>
    <row r="981" spans="1:10" x14ac:dyDescent="0.25">
      <c r="A981" s="1">
        <v>273</v>
      </c>
      <c r="B981" t="s">
        <v>25</v>
      </c>
      <c r="C981">
        <v>635</v>
      </c>
      <c r="D981">
        <v>1</v>
      </c>
      <c r="E981" t="s">
        <v>23</v>
      </c>
      <c r="F981" t="s">
        <v>24</v>
      </c>
      <c r="G981" t="str">
        <f>"2025-12-01 20:30:29.357"</f>
        <v>2025-12-01 20:30:29.357</v>
      </c>
      <c r="H981" t="s">
        <v>21</v>
      </c>
      <c r="I981">
        <v>2.33</v>
      </c>
      <c r="J981" t="s">
        <v>36</v>
      </c>
    </row>
    <row r="982" spans="1:10" x14ac:dyDescent="0.25">
      <c r="A982" s="1">
        <v>274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"2025-12-01 20:02:10.284"</f>
        <v>2025-12-01 20:02:10.284</v>
      </c>
      <c r="H982" t="s">
        <v>21</v>
      </c>
      <c r="I982">
        <v>0</v>
      </c>
      <c r="J982" t="s">
        <v>31</v>
      </c>
    </row>
    <row r="983" spans="1:10" x14ac:dyDescent="0.25">
      <c r="A983" s="1">
        <v>275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"2025-12-01 19:31:02.242"</f>
        <v>2025-12-01 19:31:02.242</v>
      </c>
      <c r="H983" t="s">
        <v>21</v>
      </c>
    </row>
    <row r="984" spans="1:10" x14ac:dyDescent="0.25">
      <c r="A984" s="1">
        <v>276</v>
      </c>
      <c r="B984" t="s">
        <v>19</v>
      </c>
      <c r="C984">
        <v>706</v>
      </c>
      <c r="D984">
        <v>2</v>
      </c>
      <c r="E984" t="s">
        <v>28</v>
      </c>
      <c r="F984" t="s">
        <v>45</v>
      </c>
      <c r="G984" t="str">
        <f>"2025-12-01 19:08:22.513"</f>
        <v>2025-12-01 19:08:22.513</v>
      </c>
      <c r="H984" t="s">
        <v>21</v>
      </c>
      <c r="I984">
        <v>0</v>
      </c>
      <c r="J984" t="s">
        <v>30</v>
      </c>
    </row>
    <row r="985" spans="1:10" x14ac:dyDescent="0.25">
      <c r="A985" s="1">
        <v>277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"2025-12-01 18:46:23.273"</f>
        <v>2025-12-01 18:46:23.273</v>
      </c>
      <c r="H985" t="s">
        <v>21</v>
      </c>
      <c r="I985">
        <v>0</v>
      </c>
      <c r="J985" t="s">
        <v>31</v>
      </c>
    </row>
    <row r="986" spans="1:10" x14ac:dyDescent="0.25">
      <c r="A986" s="1">
        <v>278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"2025-12-01 17:44:26.595"</f>
        <v>2025-12-01 17:44:26.595</v>
      </c>
      <c r="H986" t="s">
        <v>21</v>
      </c>
    </row>
    <row r="987" spans="1:10" x14ac:dyDescent="0.25">
      <c r="A987" s="1">
        <v>279</v>
      </c>
      <c r="B987" t="s">
        <v>22</v>
      </c>
      <c r="C987">
        <v>61</v>
      </c>
      <c r="D987">
        <v>2</v>
      </c>
      <c r="E987" t="s">
        <v>38</v>
      </c>
      <c r="F987" t="s">
        <v>39</v>
      </c>
      <c r="G987" t="str">
        <f>"2025-11-30 06:49:00.541"</f>
        <v>2025-11-30 06:49:00.541</v>
      </c>
      <c r="H987" t="s">
        <v>21</v>
      </c>
    </row>
    <row r="988" spans="1:10" x14ac:dyDescent="0.25">
      <c r="A988" s="1">
        <v>280</v>
      </c>
      <c r="B988" t="s">
        <v>32</v>
      </c>
      <c r="C988">
        <v>61</v>
      </c>
      <c r="D988">
        <v>2</v>
      </c>
      <c r="E988" t="s">
        <v>38</v>
      </c>
      <c r="F988" t="s">
        <v>39</v>
      </c>
      <c r="G988" t="str">
        <f>"2025-11-30 06:48:47.041"</f>
        <v>2025-11-30 06:48:47.041</v>
      </c>
      <c r="H988" t="s">
        <v>21</v>
      </c>
      <c r="I988">
        <v>30.37</v>
      </c>
      <c r="J988" t="s">
        <v>27</v>
      </c>
    </row>
    <row r="989" spans="1:10" x14ac:dyDescent="0.25">
      <c r="A989" s="1">
        <v>281</v>
      </c>
      <c r="B989" t="s">
        <v>22</v>
      </c>
      <c r="C989">
        <v>61</v>
      </c>
      <c r="D989">
        <v>2</v>
      </c>
      <c r="E989" t="s">
        <v>38</v>
      </c>
      <c r="F989" t="s">
        <v>39</v>
      </c>
      <c r="G989" t="str">
        <f>"2025-11-30 06:03:43.341"</f>
        <v>2025-11-30 06:03:43.341</v>
      </c>
      <c r="H989" t="s">
        <v>21</v>
      </c>
    </row>
    <row r="990" spans="1:10" x14ac:dyDescent="0.25">
      <c r="A990" s="1">
        <v>282</v>
      </c>
      <c r="B990" t="s">
        <v>32</v>
      </c>
      <c r="C990">
        <v>61</v>
      </c>
      <c r="D990">
        <v>2</v>
      </c>
      <c r="E990" t="s">
        <v>38</v>
      </c>
      <c r="F990" t="s">
        <v>39</v>
      </c>
      <c r="G990" t="str">
        <f>"2025-11-30 06:03:31.841"</f>
        <v>2025-11-30 06:03:31.841</v>
      </c>
      <c r="H990" t="s">
        <v>21</v>
      </c>
      <c r="I990">
        <v>29.66</v>
      </c>
      <c r="J990" t="s">
        <v>27</v>
      </c>
    </row>
    <row r="991" spans="1:10" x14ac:dyDescent="0.25">
      <c r="A991" s="1">
        <v>283</v>
      </c>
      <c r="B991" t="s">
        <v>22</v>
      </c>
      <c r="C991">
        <v>635</v>
      </c>
      <c r="D991">
        <v>1</v>
      </c>
      <c r="E991" t="s">
        <v>23</v>
      </c>
      <c r="F991" t="s">
        <v>24</v>
      </c>
      <c r="G991" t="str">
        <f>"2025-11-29 12:16:47.040"</f>
        <v>2025-11-29 12:16:47.040</v>
      </c>
      <c r="H991" t="s">
        <v>21</v>
      </c>
    </row>
    <row r="992" spans="1:10" x14ac:dyDescent="0.25">
      <c r="A992" s="1">
        <v>284</v>
      </c>
      <c r="B992" t="s">
        <v>25</v>
      </c>
      <c r="C992">
        <v>635</v>
      </c>
      <c r="D992">
        <v>1</v>
      </c>
      <c r="E992" t="s">
        <v>23</v>
      </c>
      <c r="F992" t="s">
        <v>24</v>
      </c>
      <c r="G992" t="str">
        <f>"2025-11-29 12:14:19.140"</f>
        <v>2025-11-29 12:14:19.140</v>
      </c>
      <c r="H992" t="s">
        <v>21</v>
      </c>
      <c r="I992">
        <v>-0.54</v>
      </c>
      <c r="J992" t="s">
        <v>26</v>
      </c>
    </row>
    <row r="993" spans="1:10" x14ac:dyDescent="0.25">
      <c r="A993" s="1">
        <v>285</v>
      </c>
      <c r="B993" t="s">
        <v>37</v>
      </c>
      <c r="C993">
        <v>33</v>
      </c>
      <c r="D993">
        <v>1</v>
      </c>
      <c r="E993" t="s">
        <v>40</v>
      </c>
      <c r="F993" t="s">
        <v>41</v>
      </c>
      <c r="G993" t="str">
        <f>"2025-11-29 09:04:35.340"</f>
        <v>2025-11-29 09:04:35.340</v>
      </c>
      <c r="H993" t="s">
        <v>42</v>
      </c>
    </row>
    <row r="994" spans="1:10" x14ac:dyDescent="0.25">
      <c r="A994" s="1">
        <v>286</v>
      </c>
      <c r="B994" t="s">
        <v>32</v>
      </c>
      <c r="C994">
        <v>33</v>
      </c>
      <c r="D994">
        <v>1</v>
      </c>
      <c r="E994" t="s">
        <v>40</v>
      </c>
      <c r="F994" t="s">
        <v>41</v>
      </c>
      <c r="G994" t="str">
        <f>"2025-11-29 09:04:18.939"</f>
        <v>2025-11-29 09:04:18.939</v>
      </c>
      <c r="H994" t="s">
        <v>42</v>
      </c>
      <c r="I994">
        <v>9.42</v>
      </c>
      <c r="J994" t="s">
        <v>36</v>
      </c>
    </row>
    <row r="995" spans="1:10" x14ac:dyDescent="0.25">
      <c r="A995" s="1">
        <v>287</v>
      </c>
      <c r="B995" t="s">
        <v>22</v>
      </c>
      <c r="C995">
        <v>98</v>
      </c>
      <c r="D995">
        <v>1</v>
      </c>
      <c r="E995" t="s">
        <v>46</v>
      </c>
      <c r="F995" t="s">
        <v>47</v>
      </c>
      <c r="G995" t="str">
        <f>"2025-11-29 04:31:50.440"</f>
        <v>2025-11-29 04:31:50.440</v>
      </c>
      <c r="H995" t="s">
        <v>21</v>
      </c>
    </row>
    <row r="996" spans="1:10" x14ac:dyDescent="0.25">
      <c r="A996" s="1">
        <v>288</v>
      </c>
      <c r="B996" t="s">
        <v>25</v>
      </c>
      <c r="C996">
        <v>98</v>
      </c>
      <c r="D996">
        <v>1</v>
      </c>
      <c r="E996" t="s">
        <v>46</v>
      </c>
      <c r="F996" t="s">
        <v>47</v>
      </c>
      <c r="G996" t="str">
        <f>"2025-11-29 04:31:49.440"</f>
        <v>2025-11-29 04:31:49.440</v>
      </c>
      <c r="H996" t="s">
        <v>21</v>
      </c>
      <c r="I996">
        <v>9.73</v>
      </c>
      <c r="J996" t="s">
        <v>36</v>
      </c>
    </row>
    <row r="997" spans="1:10" x14ac:dyDescent="0.25">
      <c r="A997" s="1">
        <v>289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"2025-11-28 13:15:13.257"</f>
        <v>2025-11-28 13:15:13.257</v>
      </c>
      <c r="H997" t="s">
        <v>21</v>
      </c>
    </row>
    <row r="998" spans="1:10" x14ac:dyDescent="0.25">
      <c r="A998" s="1">
        <v>290</v>
      </c>
      <c r="B998" t="s">
        <v>22</v>
      </c>
      <c r="C998">
        <v>42</v>
      </c>
      <c r="D998">
        <v>1</v>
      </c>
      <c r="E998" t="s">
        <v>52</v>
      </c>
      <c r="F998" t="s">
        <v>53</v>
      </c>
      <c r="G998" t="str">
        <f>"2025-11-27 14:14:59.417"</f>
        <v>2025-11-27 14:14:59.417</v>
      </c>
      <c r="H998" t="s">
        <v>54</v>
      </c>
    </row>
    <row r="999" spans="1:10" x14ac:dyDescent="0.25">
      <c r="A999" s="1">
        <v>291</v>
      </c>
      <c r="B999" t="s">
        <v>25</v>
      </c>
      <c r="C999">
        <v>42</v>
      </c>
      <c r="D999">
        <v>1</v>
      </c>
      <c r="E999" t="s">
        <v>52</v>
      </c>
      <c r="F999" t="s">
        <v>53</v>
      </c>
      <c r="G999" t="str">
        <f>"2025-11-27 14:14:49.498"</f>
        <v>2025-11-27 14:14:49.498</v>
      </c>
      <c r="H999" t="s">
        <v>54</v>
      </c>
      <c r="I999">
        <v>0</v>
      </c>
      <c r="J999" t="s">
        <v>30</v>
      </c>
    </row>
    <row r="1000" spans="1:10" x14ac:dyDescent="0.25">
      <c r="A1000" s="1">
        <v>292</v>
      </c>
      <c r="B1000" t="s">
        <v>19</v>
      </c>
      <c r="C1000">
        <v>706</v>
      </c>
      <c r="D1000">
        <v>2</v>
      </c>
      <c r="E1000" t="s">
        <v>28</v>
      </c>
      <c r="F1000" t="s">
        <v>45</v>
      </c>
      <c r="G1000" t="str">
        <f>"2025-11-27 10:41:34.306"</f>
        <v>2025-11-27 10:41:34.306</v>
      </c>
      <c r="H1000" t="s">
        <v>21</v>
      </c>
      <c r="I1000">
        <v>0</v>
      </c>
      <c r="J1000" t="s">
        <v>30</v>
      </c>
    </row>
    <row r="1001" spans="1:10" x14ac:dyDescent="0.25">
      <c r="A1001" s="1">
        <v>293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"2025-11-27 10:41:18.226"</f>
        <v>2025-11-27 10:41:18.226</v>
      </c>
      <c r="H1001" t="s">
        <v>21</v>
      </c>
    </row>
    <row r="1002" spans="1:10" x14ac:dyDescent="0.25">
      <c r="A1002" s="1">
        <v>294</v>
      </c>
      <c r="B1002" t="s">
        <v>22</v>
      </c>
      <c r="C1002">
        <v>635</v>
      </c>
      <c r="D1002">
        <v>1</v>
      </c>
      <c r="E1002" t="s">
        <v>23</v>
      </c>
      <c r="F1002" t="s">
        <v>24</v>
      </c>
      <c r="G1002" t="str">
        <f>"2025-11-27 06:59:06.476"</f>
        <v>2025-11-27 06:59:06.476</v>
      </c>
      <c r="H1002" t="s">
        <v>21</v>
      </c>
    </row>
    <row r="1003" spans="1:10" x14ac:dyDescent="0.25">
      <c r="A1003" s="1">
        <v>295</v>
      </c>
      <c r="B1003" t="s">
        <v>25</v>
      </c>
      <c r="C1003">
        <v>635</v>
      </c>
      <c r="D1003">
        <v>1</v>
      </c>
      <c r="E1003" t="s">
        <v>23</v>
      </c>
      <c r="F1003" t="s">
        <v>24</v>
      </c>
      <c r="G1003" t="str">
        <f>"2025-11-27 06:52:58.476"</f>
        <v>2025-11-27 06:52:58.476</v>
      </c>
      <c r="H1003" t="s">
        <v>21</v>
      </c>
      <c r="I1003">
        <v>0</v>
      </c>
      <c r="J1003" t="s">
        <v>26</v>
      </c>
    </row>
    <row r="1004" spans="1:10" x14ac:dyDescent="0.25">
      <c r="A1004" s="1">
        <v>296</v>
      </c>
      <c r="B1004" t="s">
        <v>22</v>
      </c>
      <c r="C1004">
        <v>635</v>
      </c>
      <c r="D1004">
        <v>1</v>
      </c>
      <c r="E1004" t="s">
        <v>23</v>
      </c>
      <c r="F1004" t="s">
        <v>24</v>
      </c>
      <c r="G1004" t="str">
        <f>"2025-11-26 09:06:04.176"</f>
        <v>2025-11-26 09:06:04.176</v>
      </c>
      <c r="H1004" t="s">
        <v>21</v>
      </c>
    </row>
    <row r="1005" spans="1:10" x14ac:dyDescent="0.25">
      <c r="A1005" s="1">
        <v>297</v>
      </c>
      <c r="B1005" t="s">
        <v>25</v>
      </c>
      <c r="C1005">
        <v>635</v>
      </c>
      <c r="D1005">
        <v>1</v>
      </c>
      <c r="E1005" t="s">
        <v>23</v>
      </c>
      <c r="F1005" t="s">
        <v>24</v>
      </c>
      <c r="G1005" t="str">
        <f>"2025-11-26 08:50:11.276"</f>
        <v>2025-11-26 08:50:11.276</v>
      </c>
      <c r="H1005" t="s">
        <v>21</v>
      </c>
      <c r="I1005">
        <v>6.1</v>
      </c>
      <c r="J1005" t="s">
        <v>36</v>
      </c>
    </row>
    <row r="1006" spans="1:10" x14ac:dyDescent="0.25">
      <c r="A1006" s="1">
        <v>298</v>
      </c>
      <c r="B1006" t="s">
        <v>22</v>
      </c>
      <c r="C1006">
        <v>61</v>
      </c>
      <c r="D1006">
        <v>2</v>
      </c>
      <c r="E1006" t="s">
        <v>38</v>
      </c>
      <c r="F1006" t="s">
        <v>39</v>
      </c>
      <c r="G1006" t="str">
        <f>"2025-11-26 02:17:02.076"</f>
        <v>2025-11-26 02:17:02.076</v>
      </c>
      <c r="H1006" t="s">
        <v>21</v>
      </c>
    </row>
    <row r="1007" spans="1:10" x14ac:dyDescent="0.25">
      <c r="A1007" s="1">
        <v>299</v>
      </c>
      <c r="B1007" t="s">
        <v>32</v>
      </c>
      <c r="C1007">
        <v>61</v>
      </c>
      <c r="D1007">
        <v>2</v>
      </c>
      <c r="E1007" t="s">
        <v>38</v>
      </c>
      <c r="F1007" t="s">
        <v>39</v>
      </c>
      <c r="G1007" t="str">
        <f>"2025-11-26 02:16:48.577"</f>
        <v>2025-11-26 02:16:48.577</v>
      </c>
      <c r="H1007" t="s">
        <v>21</v>
      </c>
      <c r="I1007">
        <v>30.57</v>
      </c>
      <c r="J1007" t="s">
        <v>27</v>
      </c>
    </row>
    <row r="1008" spans="1:10" x14ac:dyDescent="0.25">
      <c r="A1008" s="1">
        <v>300</v>
      </c>
      <c r="B1008" t="s">
        <v>37</v>
      </c>
      <c r="C1008">
        <v>625</v>
      </c>
      <c r="D1008">
        <v>1</v>
      </c>
      <c r="E1008" t="s">
        <v>78</v>
      </c>
      <c r="F1008" t="s">
        <v>24</v>
      </c>
      <c r="G1008" t="str">
        <f>"2025-11-25 23:01:00.576"</f>
        <v>2025-11-25 23:01:00.576</v>
      </c>
      <c r="H1008" t="s">
        <v>21</v>
      </c>
    </row>
    <row r="1009" spans="1:10" x14ac:dyDescent="0.25">
      <c r="A1009" s="1">
        <v>301</v>
      </c>
      <c r="B1009" t="s">
        <v>32</v>
      </c>
      <c r="C1009">
        <v>625</v>
      </c>
      <c r="D1009">
        <v>1</v>
      </c>
      <c r="E1009" t="s">
        <v>78</v>
      </c>
      <c r="F1009" t="s">
        <v>24</v>
      </c>
      <c r="G1009" t="str">
        <f>"2025-11-25 22:51:34.835"</f>
        <v>2025-11-25 22:51:34.835</v>
      </c>
      <c r="H1009" t="s">
        <v>21</v>
      </c>
      <c r="I1009">
        <v>11.29</v>
      </c>
      <c r="J1009" t="s">
        <v>36</v>
      </c>
    </row>
    <row r="1010" spans="1:10" x14ac:dyDescent="0.25">
      <c r="A1010" s="1">
        <v>302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"2025-11-25 19:07:18.214"</f>
        <v>2025-11-25 19:07:18.214</v>
      </c>
      <c r="H1010" t="s">
        <v>21</v>
      </c>
    </row>
    <row r="1011" spans="1:10" x14ac:dyDescent="0.25">
      <c r="A1011" s="1">
        <v>303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"2025-11-25 18:35:06.314"</f>
        <v>2025-11-25 18:35:06.314</v>
      </c>
      <c r="H1011" t="s">
        <v>21</v>
      </c>
      <c r="I1011">
        <v>0</v>
      </c>
      <c r="J1011" t="s">
        <v>31</v>
      </c>
    </row>
    <row r="1012" spans="1:10" x14ac:dyDescent="0.25">
      <c r="A1012" s="1">
        <v>304</v>
      </c>
      <c r="B1012" t="s">
        <v>19</v>
      </c>
      <c r="C1012">
        <v>706</v>
      </c>
      <c r="D1012">
        <v>2</v>
      </c>
      <c r="E1012" t="s">
        <v>28</v>
      </c>
      <c r="F1012" t="s">
        <v>45</v>
      </c>
      <c r="G1012" t="str">
        <f>"2025-11-25 18:27:53.890"</f>
        <v>2025-11-25 18:27:53.890</v>
      </c>
      <c r="H1012" t="s">
        <v>21</v>
      </c>
      <c r="I1012">
        <v>0</v>
      </c>
      <c r="J1012" t="s">
        <v>30</v>
      </c>
    </row>
    <row r="1013" spans="1:10" x14ac:dyDescent="0.25">
      <c r="A1013" s="1">
        <v>305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"2025-11-25 18:27:33.210"</f>
        <v>2025-11-25 18:27:33.210</v>
      </c>
      <c r="H1013" t="s">
        <v>21</v>
      </c>
    </row>
    <row r="1014" spans="1:10" x14ac:dyDescent="0.25">
      <c r="A1014" s="1">
        <v>306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"2025-11-25 09:35:14.270"</f>
        <v>2025-11-25 09:35:14.270</v>
      </c>
      <c r="H1014" t="s">
        <v>21</v>
      </c>
      <c r="I1014">
        <v>0</v>
      </c>
      <c r="J1014" t="s">
        <v>31</v>
      </c>
    </row>
    <row r="1015" spans="1:10" x14ac:dyDescent="0.25">
      <c r="A1015" s="1">
        <v>307</v>
      </c>
      <c r="B1015" t="s">
        <v>22</v>
      </c>
      <c r="C1015">
        <v>635</v>
      </c>
      <c r="D1015">
        <v>1</v>
      </c>
      <c r="E1015" t="s">
        <v>23</v>
      </c>
      <c r="F1015" t="s">
        <v>24</v>
      </c>
      <c r="G1015" t="str">
        <f>"2025-11-25 01:23:32.439"</f>
        <v>2025-11-25 01:23:32.439</v>
      </c>
      <c r="H1015" t="s">
        <v>21</v>
      </c>
    </row>
    <row r="1016" spans="1:10" x14ac:dyDescent="0.25">
      <c r="A1016" s="1">
        <v>308</v>
      </c>
      <c r="B1016" t="s">
        <v>25</v>
      </c>
      <c r="C1016">
        <v>635</v>
      </c>
      <c r="D1016">
        <v>1</v>
      </c>
      <c r="E1016" t="s">
        <v>23</v>
      </c>
      <c r="F1016" t="s">
        <v>24</v>
      </c>
      <c r="G1016" t="str">
        <f>"2025-11-25 01:20:56.940"</f>
        <v>2025-11-25 01:20:56.940</v>
      </c>
      <c r="H1016" t="s">
        <v>21</v>
      </c>
      <c r="I1016">
        <v>5.63</v>
      </c>
      <c r="J1016" t="s">
        <v>36</v>
      </c>
    </row>
    <row r="1017" spans="1:10" x14ac:dyDescent="0.25">
      <c r="A1017" s="1">
        <v>309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"2025-11-24 13:15:29.248"</f>
        <v>2025-11-24 13:15:29.248</v>
      </c>
      <c r="H1017" t="s">
        <v>21</v>
      </c>
      <c r="I1017">
        <v>0</v>
      </c>
      <c r="J1017" t="s">
        <v>31</v>
      </c>
    </row>
    <row r="1018" spans="1:10" x14ac:dyDescent="0.25">
      <c r="A1018" s="1">
        <v>310</v>
      </c>
      <c r="B1018" t="s">
        <v>22</v>
      </c>
      <c r="C1018">
        <v>635</v>
      </c>
      <c r="D1018">
        <v>1</v>
      </c>
      <c r="E1018" t="s">
        <v>23</v>
      </c>
      <c r="F1018" t="s">
        <v>24</v>
      </c>
      <c r="G1018" t="str">
        <f>"2025-11-23 20:25:25.223"</f>
        <v>2025-11-23 20:25:25.223</v>
      </c>
      <c r="H1018" t="s">
        <v>21</v>
      </c>
    </row>
    <row r="1019" spans="1:10" x14ac:dyDescent="0.25">
      <c r="A1019" s="1">
        <v>311</v>
      </c>
      <c r="B1019" t="s">
        <v>25</v>
      </c>
      <c r="C1019">
        <v>635</v>
      </c>
      <c r="D1019">
        <v>1</v>
      </c>
      <c r="E1019" t="s">
        <v>23</v>
      </c>
      <c r="F1019" t="s">
        <v>24</v>
      </c>
      <c r="G1019" t="str">
        <f>"2025-11-23 20:21:53.223"</f>
        <v>2025-11-23 20:21:53.223</v>
      </c>
      <c r="H1019" t="s">
        <v>21</v>
      </c>
      <c r="I1019">
        <v>9.08</v>
      </c>
      <c r="J1019" t="s">
        <v>27</v>
      </c>
    </row>
    <row r="1020" spans="1:10" x14ac:dyDescent="0.25">
      <c r="A1020" s="1">
        <v>312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"2025-11-23 10:11:37.225"</f>
        <v>2025-11-23 10:11:37.225</v>
      </c>
      <c r="H1020" t="s">
        <v>21</v>
      </c>
      <c r="I1020">
        <v>0</v>
      </c>
      <c r="J1020" t="s">
        <v>31</v>
      </c>
    </row>
    <row r="1021" spans="1:10" x14ac:dyDescent="0.25">
      <c r="A1021" s="1">
        <v>313</v>
      </c>
      <c r="B1021" t="s">
        <v>19</v>
      </c>
      <c r="C1021">
        <v>706</v>
      </c>
      <c r="D1021">
        <v>4</v>
      </c>
      <c r="E1021" t="s">
        <v>28</v>
      </c>
      <c r="F1021" t="s">
        <v>29</v>
      </c>
      <c r="G1021" t="str">
        <f>"2025-11-23 04:52:24.807"</f>
        <v>2025-11-23 04:52:24.807</v>
      </c>
      <c r="H1021" t="s">
        <v>21</v>
      </c>
      <c r="I1021">
        <v>0</v>
      </c>
      <c r="J1021" t="s">
        <v>30</v>
      </c>
    </row>
    <row r="1022" spans="1:10" x14ac:dyDescent="0.25">
      <c r="A1022" s="1">
        <v>314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"2025-11-23 04:37:06.177"</f>
        <v>2025-11-23 04:37:06.177</v>
      </c>
      <c r="H1022" t="s">
        <v>21</v>
      </c>
      <c r="I1022">
        <v>0</v>
      </c>
      <c r="J1022" t="s">
        <v>31</v>
      </c>
    </row>
    <row r="1023" spans="1:10" x14ac:dyDescent="0.25">
      <c r="A1023" s="1">
        <v>315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"2025-11-23 04:32:31.178"</f>
        <v>2025-11-23 04:32:31.178</v>
      </c>
      <c r="H1023" t="s">
        <v>21</v>
      </c>
    </row>
    <row r="1024" spans="1:10" x14ac:dyDescent="0.25">
      <c r="A1024" s="1">
        <v>316</v>
      </c>
      <c r="B1024" t="s">
        <v>19</v>
      </c>
      <c r="C1024">
        <v>706</v>
      </c>
      <c r="D1024">
        <v>4</v>
      </c>
      <c r="E1024" t="s">
        <v>28</v>
      </c>
      <c r="F1024" t="s">
        <v>29</v>
      </c>
      <c r="G1024" t="str">
        <f>"2025-11-22 19:05:07.341"</f>
        <v>2025-11-22 19:05:07.341</v>
      </c>
      <c r="H1024" t="s">
        <v>21</v>
      </c>
      <c r="I1024">
        <v>0</v>
      </c>
      <c r="J1024" t="s">
        <v>30</v>
      </c>
    </row>
    <row r="1025" spans="1:10" x14ac:dyDescent="0.25">
      <c r="A1025" s="1">
        <v>317</v>
      </c>
      <c r="B1025" t="s">
        <v>19</v>
      </c>
      <c r="C1025">
        <v>706</v>
      </c>
      <c r="D1025">
        <v>4</v>
      </c>
      <c r="E1025" t="s">
        <v>28</v>
      </c>
      <c r="F1025" t="s">
        <v>29</v>
      </c>
      <c r="G1025" t="str">
        <f>"2025-11-22 19:03:34.441"</f>
        <v>2025-11-22 19:03:34.441</v>
      </c>
      <c r="H1025" t="s">
        <v>21</v>
      </c>
      <c r="I1025">
        <v>0</v>
      </c>
      <c r="J1025" t="s">
        <v>30</v>
      </c>
    </row>
    <row r="1026" spans="1:10" x14ac:dyDescent="0.25">
      <c r="A1026" s="1">
        <v>318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"2025-11-22 18:58:25.181"</f>
        <v>2025-11-22 18:58:25.181</v>
      </c>
      <c r="H1026" t="s">
        <v>21</v>
      </c>
      <c r="I1026">
        <v>0</v>
      </c>
      <c r="J1026" t="s">
        <v>31</v>
      </c>
    </row>
    <row r="1027" spans="1:10" x14ac:dyDescent="0.25">
      <c r="A1027" s="1">
        <v>319</v>
      </c>
      <c r="B1027" t="s">
        <v>19</v>
      </c>
      <c r="C1027">
        <v>706</v>
      </c>
      <c r="D1027">
        <v>4</v>
      </c>
      <c r="E1027" t="s">
        <v>28</v>
      </c>
      <c r="F1027" t="s">
        <v>29</v>
      </c>
      <c r="G1027" t="str">
        <f>"2025-11-22 18:17:35.766"</f>
        <v>2025-11-22 18:17:35.766</v>
      </c>
      <c r="H1027" t="s">
        <v>21</v>
      </c>
      <c r="I1027">
        <v>0</v>
      </c>
      <c r="J1027" t="s">
        <v>30</v>
      </c>
    </row>
    <row r="1028" spans="1:10" x14ac:dyDescent="0.25">
      <c r="A1028" s="1">
        <v>320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"2025-11-22 17:32:57.186"</f>
        <v>2025-11-22 17:32:57.186</v>
      </c>
      <c r="H1028" t="s">
        <v>21</v>
      </c>
      <c r="I1028">
        <v>0</v>
      </c>
      <c r="J1028" t="s">
        <v>31</v>
      </c>
    </row>
    <row r="1029" spans="1:10" x14ac:dyDescent="0.25">
      <c r="A1029" s="1">
        <v>321</v>
      </c>
      <c r="B1029" t="s">
        <v>19</v>
      </c>
      <c r="C1029">
        <v>706</v>
      </c>
      <c r="D1029">
        <v>4</v>
      </c>
      <c r="E1029" t="s">
        <v>28</v>
      </c>
      <c r="F1029" t="s">
        <v>29</v>
      </c>
      <c r="G1029" t="str">
        <f>"2025-11-21 08:30:45.359"</f>
        <v>2025-11-21 08:30:45.359</v>
      </c>
      <c r="H1029" t="s">
        <v>21</v>
      </c>
      <c r="I1029">
        <v>0</v>
      </c>
      <c r="J1029" t="s">
        <v>30</v>
      </c>
    </row>
    <row r="1030" spans="1:10" x14ac:dyDescent="0.25">
      <c r="A1030" s="1">
        <v>322</v>
      </c>
      <c r="B1030" t="s">
        <v>19</v>
      </c>
      <c r="C1030">
        <v>700</v>
      </c>
      <c r="D1030">
        <v>0</v>
      </c>
      <c r="E1030" t="s">
        <v>20</v>
      </c>
      <c r="F1030" t="s">
        <v>20</v>
      </c>
      <c r="G1030" t="str">
        <f>"2025-11-21 08:30:25.159"</f>
        <v>2025-11-21 08:30:25.159</v>
      </c>
      <c r="H1030" t="s">
        <v>21</v>
      </c>
    </row>
    <row r="1031" spans="1:10" x14ac:dyDescent="0.25">
      <c r="A1031" s="1">
        <v>323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"2025-11-20 22:02:35.139"</f>
        <v>2025-11-20 22:02:35.139</v>
      </c>
      <c r="H1031" t="s">
        <v>21</v>
      </c>
    </row>
    <row r="1032" spans="1:10" x14ac:dyDescent="0.25">
      <c r="A1032" s="1">
        <v>324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"2025-11-20 21:51:14.128"</f>
        <v>2025-11-20 21:51:14.128</v>
      </c>
      <c r="H1032" t="s">
        <v>21</v>
      </c>
      <c r="I1032">
        <v>0</v>
      </c>
      <c r="J1032" t="s">
        <v>31</v>
      </c>
    </row>
    <row r="1033" spans="1:10" x14ac:dyDescent="0.25">
      <c r="A1033" s="1">
        <v>325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"2025-11-20 21:45:38.139"</f>
        <v>2025-11-20 21:45:38.139</v>
      </c>
      <c r="H1033" t="s">
        <v>21</v>
      </c>
      <c r="I1033">
        <v>0</v>
      </c>
      <c r="J1033" t="s">
        <v>31</v>
      </c>
    </row>
    <row r="1034" spans="1:10" x14ac:dyDescent="0.25">
      <c r="A1034" s="1">
        <v>326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"2025-11-20 21:32:24.137"</f>
        <v>2025-11-20 21:32:24.137</v>
      </c>
      <c r="H1034" t="s">
        <v>21</v>
      </c>
      <c r="I1034">
        <v>0</v>
      </c>
      <c r="J1034" t="s">
        <v>31</v>
      </c>
    </row>
    <row r="1035" spans="1:10" x14ac:dyDescent="0.25">
      <c r="A1035" s="1">
        <v>327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"2025-11-20 21:27:44.159"</f>
        <v>2025-11-20 21:27:44.159</v>
      </c>
      <c r="H1035" t="s">
        <v>21</v>
      </c>
    </row>
    <row r="1036" spans="1:10" x14ac:dyDescent="0.25">
      <c r="A1036" s="1">
        <v>328</v>
      </c>
      <c r="B1036" t="s">
        <v>22</v>
      </c>
      <c r="C1036">
        <v>98</v>
      </c>
      <c r="D1036">
        <v>1</v>
      </c>
      <c r="E1036" t="s">
        <v>46</v>
      </c>
      <c r="F1036" t="s">
        <v>47</v>
      </c>
      <c r="G1036" t="str">
        <f>"2025-11-20 21:15:17.006"</f>
        <v>2025-11-20 21:15:17.006</v>
      </c>
      <c r="H1036" t="s">
        <v>21</v>
      </c>
    </row>
    <row r="1037" spans="1:10" x14ac:dyDescent="0.25">
      <c r="A1037" s="1">
        <v>329</v>
      </c>
      <c r="B1037" t="s">
        <v>25</v>
      </c>
      <c r="C1037">
        <v>98</v>
      </c>
      <c r="D1037">
        <v>1</v>
      </c>
      <c r="E1037" t="s">
        <v>46</v>
      </c>
      <c r="F1037" t="s">
        <v>47</v>
      </c>
      <c r="G1037" t="str">
        <f>"2025-11-20 21:15:16.006"</f>
        <v>2025-11-20 21:15:16.006</v>
      </c>
      <c r="H1037" t="s">
        <v>21</v>
      </c>
      <c r="I1037">
        <v>0</v>
      </c>
      <c r="J1037" t="s">
        <v>26</v>
      </c>
    </row>
    <row r="1038" spans="1:10" x14ac:dyDescent="0.25">
      <c r="A1038" s="1">
        <v>330</v>
      </c>
      <c r="B1038" t="s">
        <v>19</v>
      </c>
      <c r="C1038">
        <v>706</v>
      </c>
      <c r="D1038">
        <v>4</v>
      </c>
      <c r="E1038" t="s">
        <v>28</v>
      </c>
      <c r="F1038" t="s">
        <v>29</v>
      </c>
      <c r="G1038" t="str">
        <f>"2025-11-20 18:18:54.878"</f>
        <v>2025-11-20 18:18:54.878</v>
      </c>
      <c r="H1038" t="s">
        <v>21</v>
      </c>
      <c r="I1038">
        <v>0</v>
      </c>
      <c r="J1038" t="s">
        <v>30</v>
      </c>
    </row>
    <row r="1039" spans="1:10" x14ac:dyDescent="0.25">
      <c r="A1039" s="1">
        <v>331</v>
      </c>
      <c r="B1039" t="s">
        <v>19</v>
      </c>
      <c r="C1039">
        <v>706</v>
      </c>
      <c r="D1039">
        <v>3</v>
      </c>
      <c r="E1039" t="s">
        <v>28</v>
      </c>
      <c r="F1039" t="s">
        <v>51</v>
      </c>
      <c r="G1039" t="str">
        <f>"2025-11-20 18:18:41.458"</f>
        <v>2025-11-20 18:18:41.458</v>
      </c>
      <c r="H1039" t="s">
        <v>21</v>
      </c>
      <c r="I1039">
        <v>0</v>
      </c>
      <c r="J1039" t="s">
        <v>30</v>
      </c>
    </row>
    <row r="1040" spans="1:10" x14ac:dyDescent="0.25">
      <c r="A1040" s="1">
        <v>332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"2025-11-20 18:18:21.118"</f>
        <v>2025-11-20 18:18:21.118</v>
      </c>
      <c r="H1040" t="s">
        <v>21</v>
      </c>
    </row>
    <row r="1041" spans="1:10" x14ac:dyDescent="0.25">
      <c r="A1041" s="1">
        <v>333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"2025-11-20 15:33:23.087"</f>
        <v>2025-11-20 15:33:23.087</v>
      </c>
      <c r="H1041" t="s">
        <v>21</v>
      </c>
      <c r="I1041">
        <v>0</v>
      </c>
      <c r="J1041" t="s">
        <v>31</v>
      </c>
    </row>
    <row r="1042" spans="1:10" x14ac:dyDescent="0.25">
      <c r="A1042" s="1">
        <v>334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"2025-11-20 15:27:37.091"</f>
        <v>2025-11-20 15:27:37.091</v>
      </c>
      <c r="H1042" t="s">
        <v>21</v>
      </c>
      <c r="I1042">
        <v>0</v>
      </c>
      <c r="J1042" t="s">
        <v>31</v>
      </c>
    </row>
    <row r="1043" spans="1:10" x14ac:dyDescent="0.25">
      <c r="A1043" s="1">
        <v>335</v>
      </c>
      <c r="B1043" t="s">
        <v>19</v>
      </c>
      <c r="C1043">
        <v>706</v>
      </c>
      <c r="D1043">
        <v>4</v>
      </c>
      <c r="E1043" t="s">
        <v>28</v>
      </c>
      <c r="F1043" t="s">
        <v>29</v>
      </c>
      <c r="G1043" t="str">
        <f>"2025-11-20 09:15:40.064"</f>
        <v>2025-11-20 09:15:40.064</v>
      </c>
      <c r="H1043" t="s">
        <v>21</v>
      </c>
      <c r="I1043">
        <v>0</v>
      </c>
      <c r="J1043" t="s">
        <v>30</v>
      </c>
    </row>
    <row r="1044" spans="1:10" x14ac:dyDescent="0.25">
      <c r="A1044" s="1">
        <v>336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"2025-11-20 09:14:45.084"</f>
        <v>2025-11-20 09:14:45.084</v>
      </c>
      <c r="H1044" t="s">
        <v>21</v>
      </c>
      <c r="I1044">
        <v>0</v>
      </c>
      <c r="J1044" t="s">
        <v>31</v>
      </c>
    </row>
    <row r="1045" spans="1:10" x14ac:dyDescent="0.25">
      <c r="A1045" s="1">
        <v>337</v>
      </c>
      <c r="B1045" t="s">
        <v>19</v>
      </c>
      <c r="C1045">
        <v>706</v>
      </c>
      <c r="D1045">
        <v>4</v>
      </c>
      <c r="E1045" t="s">
        <v>28</v>
      </c>
      <c r="F1045" t="s">
        <v>29</v>
      </c>
      <c r="G1045" t="str">
        <f>"2025-11-19 15:04:19.672"</f>
        <v>2025-11-19 15:04:19.672</v>
      </c>
      <c r="H1045" t="s">
        <v>21</v>
      </c>
      <c r="I1045">
        <v>0</v>
      </c>
      <c r="J1045" t="s">
        <v>30</v>
      </c>
    </row>
    <row r="1046" spans="1:10" x14ac:dyDescent="0.25">
      <c r="A1046" s="1">
        <v>338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"2025-11-19 15:04:05.082"</f>
        <v>2025-11-19 15:04:05.082</v>
      </c>
      <c r="H1046" t="s">
        <v>21</v>
      </c>
      <c r="I1046">
        <v>0</v>
      </c>
      <c r="J1046" t="s">
        <v>31</v>
      </c>
    </row>
    <row r="1047" spans="1:10" x14ac:dyDescent="0.25">
      <c r="A1047" s="1">
        <v>339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"2025-11-19 11:35:44.082"</f>
        <v>2025-11-19 11:35:44.082</v>
      </c>
      <c r="H1047" t="s">
        <v>21</v>
      </c>
      <c r="I1047">
        <v>0</v>
      </c>
      <c r="J1047" t="s">
        <v>31</v>
      </c>
    </row>
    <row r="1048" spans="1:10" x14ac:dyDescent="0.25">
      <c r="A1048" s="1">
        <v>340</v>
      </c>
      <c r="B1048" t="s">
        <v>32</v>
      </c>
      <c r="C1048">
        <v>89</v>
      </c>
      <c r="D1048">
        <v>3</v>
      </c>
      <c r="E1048" t="s">
        <v>79</v>
      </c>
      <c r="F1048" t="s">
        <v>80</v>
      </c>
      <c r="G1048" t="str">
        <f>"2025-11-19 11:27:36.083"</f>
        <v>2025-11-19 11:27:36.083</v>
      </c>
      <c r="H1048" t="s">
        <v>21</v>
      </c>
      <c r="I1048">
        <v>0</v>
      </c>
      <c r="J1048" t="s">
        <v>26</v>
      </c>
    </row>
    <row r="1049" spans="1:10" x14ac:dyDescent="0.25">
      <c r="A1049" s="1">
        <v>341</v>
      </c>
      <c r="B1049" t="s">
        <v>19</v>
      </c>
      <c r="C1049">
        <v>706</v>
      </c>
      <c r="D1049">
        <v>4</v>
      </c>
      <c r="E1049" t="s">
        <v>28</v>
      </c>
      <c r="F1049" t="s">
        <v>29</v>
      </c>
      <c r="G1049" t="str">
        <f>"2025-11-19 11:26:12.079"</f>
        <v>2025-11-19 11:26:12.079</v>
      </c>
      <c r="H1049" t="s">
        <v>21</v>
      </c>
      <c r="I1049">
        <v>0</v>
      </c>
      <c r="J1049" t="s">
        <v>30</v>
      </c>
    </row>
    <row r="1050" spans="1:10" x14ac:dyDescent="0.25">
      <c r="A1050" s="1">
        <v>342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"2025-11-19 11:22:39.089"</f>
        <v>2025-11-19 11:22:39.089</v>
      </c>
      <c r="H1050" t="s">
        <v>21</v>
      </c>
      <c r="I1050">
        <v>0</v>
      </c>
      <c r="J1050" t="s">
        <v>31</v>
      </c>
    </row>
    <row r="1051" spans="1:10" x14ac:dyDescent="0.25">
      <c r="A1051" s="1">
        <v>343</v>
      </c>
      <c r="B1051" t="s">
        <v>22</v>
      </c>
      <c r="C1051">
        <v>98</v>
      </c>
      <c r="D1051">
        <v>1</v>
      </c>
      <c r="E1051" t="s">
        <v>46</v>
      </c>
      <c r="F1051" t="s">
        <v>47</v>
      </c>
      <c r="G1051" t="str">
        <f>"2025-11-19 11:16:27.587"</f>
        <v>2025-11-19 11:16:27.587</v>
      </c>
      <c r="H1051" t="s">
        <v>21</v>
      </c>
    </row>
    <row r="1052" spans="1:10" x14ac:dyDescent="0.25">
      <c r="A1052" s="1">
        <v>344</v>
      </c>
      <c r="B1052" t="s">
        <v>25</v>
      </c>
      <c r="C1052">
        <v>98</v>
      </c>
      <c r="D1052">
        <v>1</v>
      </c>
      <c r="E1052" t="s">
        <v>46</v>
      </c>
      <c r="F1052" t="s">
        <v>47</v>
      </c>
      <c r="G1052" t="str">
        <f>"2025-11-19 11:16:26.587"</f>
        <v>2025-11-19 11:16:26.587</v>
      </c>
      <c r="H1052" t="s">
        <v>21</v>
      </c>
      <c r="I1052">
        <v>0</v>
      </c>
      <c r="J1052" t="s">
        <v>30</v>
      </c>
    </row>
    <row r="1053" spans="1:10" x14ac:dyDescent="0.25">
      <c r="A1053" s="1">
        <v>345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"2025-11-19 11:16:14.093"</f>
        <v>2025-11-19 11:16:14.093</v>
      </c>
      <c r="H1053" t="s">
        <v>21</v>
      </c>
      <c r="I1053">
        <v>0</v>
      </c>
      <c r="J1053" t="s">
        <v>31</v>
      </c>
    </row>
    <row r="1054" spans="1:10" x14ac:dyDescent="0.25">
      <c r="A1054" s="1">
        <v>346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"2025-11-19 09:10:00.076"</f>
        <v>2025-11-19 09:10:00.076</v>
      </c>
      <c r="H1054" t="s">
        <v>21</v>
      </c>
    </row>
    <row r="1055" spans="1:10" x14ac:dyDescent="0.25">
      <c r="A1055" s="1">
        <v>347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"2025-11-19 08:34:39.070"</f>
        <v>2025-11-19 08:34:39.070</v>
      </c>
      <c r="H1055" t="s">
        <v>21</v>
      </c>
    </row>
    <row r="1056" spans="1:10" x14ac:dyDescent="0.25">
      <c r="A1056" s="1">
        <v>348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"2025-11-17 17:54:21.077"</f>
        <v>2025-11-17 17:54:21.077</v>
      </c>
      <c r="H1056" t="s">
        <v>21</v>
      </c>
      <c r="I1056">
        <v>0</v>
      </c>
      <c r="J1056" t="s">
        <v>31</v>
      </c>
    </row>
    <row r="1057" spans="1:10" x14ac:dyDescent="0.25">
      <c r="A1057" s="1">
        <v>349</v>
      </c>
      <c r="B1057" t="s">
        <v>22</v>
      </c>
      <c r="C1057">
        <v>98</v>
      </c>
      <c r="D1057">
        <v>1</v>
      </c>
      <c r="E1057" t="s">
        <v>46</v>
      </c>
      <c r="F1057" t="s">
        <v>47</v>
      </c>
      <c r="G1057" t="str">
        <f>"2025-11-17 17:23:58.985"</f>
        <v>2025-11-17 17:23:58.985</v>
      </c>
      <c r="H1057" t="s">
        <v>21</v>
      </c>
    </row>
    <row r="1058" spans="1:10" x14ac:dyDescent="0.25">
      <c r="A1058" s="1">
        <v>350</v>
      </c>
      <c r="B1058" t="s">
        <v>25</v>
      </c>
      <c r="C1058">
        <v>98</v>
      </c>
      <c r="D1058">
        <v>1</v>
      </c>
      <c r="E1058" t="s">
        <v>46</v>
      </c>
      <c r="F1058" t="s">
        <v>47</v>
      </c>
      <c r="G1058" t="str">
        <f>"2025-11-17 17:23:57.985"</f>
        <v>2025-11-17 17:23:57.985</v>
      </c>
      <c r="H1058" t="s">
        <v>21</v>
      </c>
      <c r="I1058">
        <v>0</v>
      </c>
      <c r="J1058" t="s">
        <v>30</v>
      </c>
    </row>
    <row r="1059" spans="1:10" x14ac:dyDescent="0.25">
      <c r="A1059" s="1">
        <v>351</v>
      </c>
      <c r="B1059" t="s">
        <v>22</v>
      </c>
      <c r="C1059">
        <v>98</v>
      </c>
      <c r="D1059">
        <v>1</v>
      </c>
      <c r="E1059" t="s">
        <v>46</v>
      </c>
      <c r="F1059" t="s">
        <v>47</v>
      </c>
      <c r="G1059" t="str">
        <f>"2025-11-17 17:23:57.185"</f>
        <v>2025-11-17 17:23:57.185</v>
      </c>
      <c r="H1059" t="s">
        <v>21</v>
      </c>
    </row>
    <row r="1060" spans="1:10" x14ac:dyDescent="0.25">
      <c r="A1060" s="1">
        <v>352</v>
      </c>
      <c r="B1060" t="s">
        <v>25</v>
      </c>
      <c r="C1060">
        <v>98</v>
      </c>
      <c r="D1060">
        <v>1</v>
      </c>
      <c r="E1060" t="s">
        <v>46</v>
      </c>
      <c r="F1060" t="s">
        <v>47</v>
      </c>
      <c r="G1060" t="str">
        <f>"2025-11-17 17:23:56.185"</f>
        <v>2025-11-17 17:23:56.185</v>
      </c>
      <c r="H1060" t="s">
        <v>21</v>
      </c>
      <c r="I1060">
        <v>0</v>
      </c>
      <c r="J1060" t="s">
        <v>30</v>
      </c>
    </row>
    <row r="1061" spans="1:10" x14ac:dyDescent="0.25">
      <c r="A1061" s="1">
        <v>353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"2025-11-17 17:23:26.063"</f>
        <v>2025-11-17 17:23:26.063</v>
      </c>
      <c r="H1061" t="s">
        <v>21</v>
      </c>
    </row>
    <row r="1062" spans="1:10" x14ac:dyDescent="0.25">
      <c r="A1062" s="1">
        <v>354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"2025-11-17 17:16:31.066"</f>
        <v>2025-11-17 17:16:31.066</v>
      </c>
      <c r="H1062" t="s">
        <v>21</v>
      </c>
    </row>
    <row r="1063" spans="1:10" x14ac:dyDescent="0.25">
      <c r="A1063" s="1">
        <v>355</v>
      </c>
      <c r="B1063" t="s">
        <v>19</v>
      </c>
      <c r="C1063">
        <v>706</v>
      </c>
      <c r="D1063">
        <v>4</v>
      </c>
      <c r="E1063" t="s">
        <v>28</v>
      </c>
      <c r="F1063" t="s">
        <v>29</v>
      </c>
      <c r="G1063" t="str">
        <f>"2025-11-17 16:53:49.675"</f>
        <v>2025-11-17 16:53:49.675</v>
      </c>
      <c r="H1063" t="s">
        <v>21</v>
      </c>
      <c r="I1063">
        <v>0</v>
      </c>
      <c r="J1063" t="s">
        <v>30</v>
      </c>
    </row>
    <row r="1064" spans="1:10" x14ac:dyDescent="0.25">
      <c r="A1064" s="1">
        <v>356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"2025-11-17 16:53:25.065"</f>
        <v>2025-11-17 16:53:25.065</v>
      </c>
      <c r="H1064" t="s">
        <v>21</v>
      </c>
      <c r="I1064">
        <v>0</v>
      </c>
      <c r="J1064" t="s">
        <v>31</v>
      </c>
    </row>
    <row r="1065" spans="1:10" x14ac:dyDescent="0.25">
      <c r="A1065" s="1">
        <v>357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"2025-11-17 15:12:16.079"</f>
        <v>2025-11-17 15:12:16.079</v>
      </c>
      <c r="H1065" t="s">
        <v>21</v>
      </c>
      <c r="I1065">
        <v>0</v>
      </c>
      <c r="J1065" t="s">
        <v>31</v>
      </c>
    </row>
    <row r="1066" spans="1:10" x14ac:dyDescent="0.25">
      <c r="A1066" s="1">
        <v>358</v>
      </c>
      <c r="B1066" t="s">
        <v>22</v>
      </c>
      <c r="C1066">
        <v>89</v>
      </c>
      <c r="D1066">
        <v>3</v>
      </c>
      <c r="E1066" t="s">
        <v>79</v>
      </c>
      <c r="F1066" t="s">
        <v>80</v>
      </c>
      <c r="G1066" t="str">
        <f>"2025-11-17 15:03:23.468"</f>
        <v>2025-11-17 15:03:23.468</v>
      </c>
      <c r="H1066" t="s">
        <v>21</v>
      </c>
    </row>
    <row r="1067" spans="1:10" x14ac:dyDescent="0.25">
      <c r="A1067" s="1">
        <v>359</v>
      </c>
      <c r="B1067" t="s">
        <v>32</v>
      </c>
      <c r="C1067">
        <v>89</v>
      </c>
      <c r="D1067">
        <v>3</v>
      </c>
      <c r="E1067" t="s">
        <v>79</v>
      </c>
      <c r="F1067" t="s">
        <v>80</v>
      </c>
      <c r="G1067" t="str">
        <f>"2025-11-17 15:03:04.869"</f>
        <v>2025-11-17 15:03:04.869</v>
      </c>
      <c r="H1067" t="s">
        <v>21</v>
      </c>
      <c r="I1067">
        <v>0</v>
      </c>
      <c r="J1067" t="s">
        <v>30</v>
      </c>
    </row>
    <row r="1068" spans="1:10" x14ac:dyDescent="0.25">
      <c r="A1068" s="1">
        <v>360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"2025-11-17 15:02:49.067"</f>
        <v>2025-11-17 15:02:49.067</v>
      </c>
      <c r="H1068" t="s">
        <v>21</v>
      </c>
    </row>
    <row r="1069" spans="1:10" x14ac:dyDescent="0.25">
      <c r="A1069" s="1">
        <v>361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"2025-11-17 14:49:55.057"</f>
        <v>2025-11-17 14:49:55.057</v>
      </c>
      <c r="H1069" t="s">
        <v>21</v>
      </c>
    </row>
    <row r="1070" spans="1:10" x14ac:dyDescent="0.25">
      <c r="A1070" s="1">
        <v>362</v>
      </c>
      <c r="B1070" t="s">
        <v>19</v>
      </c>
      <c r="C1070">
        <v>706</v>
      </c>
      <c r="D1070">
        <v>2</v>
      </c>
      <c r="E1070" t="s">
        <v>28</v>
      </c>
      <c r="F1070" t="s">
        <v>45</v>
      </c>
      <c r="G1070" t="str">
        <f>"2025-11-17 14:37:06.748"</f>
        <v>2025-11-17 14:37:06.748</v>
      </c>
      <c r="H1070" t="s">
        <v>21</v>
      </c>
      <c r="I1070">
        <v>0</v>
      </c>
      <c r="J1070" t="s">
        <v>30</v>
      </c>
    </row>
    <row r="1071" spans="1:10" x14ac:dyDescent="0.25">
      <c r="A1071" s="1">
        <v>363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"2025-11-17 14:36:44.068"</f>
        <v>2025-11-17 14:36:44.068</v>
      </c>
      <c r="H1071" t="s">
        <v>21</v>
      </c>
    </row>
    <row r="1072" spans="1:10" x14ac:dyDescent="0.25">
      <c r="A1072" s="1">
        <v>364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"2025-11-17 09:13:09.052"</f>
        <v>2025-11-17 09:13:09.052</v>
      </c>
      <c r="H1072" t="s">
        <v>21</v>
      </c>
    </row>
    <row r="1073" spans="1:10" x14ac:dyDescent="0.25">
      <c r="A1073" s="1">
        <v>365</v>
      </c>
      <c r="B1073" t="s">
        <v>19</v>
      </c>
      <c r="C1073">
        <v>706</v>
      </c>
      <c r="D1073">
        <v>3</v>
      </c>
      <c r="E1073" t="s">
        <v>28</v>
      </c>
      <c r="F1073" t="s">
        <v>51</v>
      </c>
      <c r="G1073" t="str">
        <f>"2025-11-17 09:01:34.148"</f>
        <v>2025-11-17 09:01:34.148</v>
      </c>
      <c r="H1073" t="s">
        <v>21</v>
      </c>
      <c r="I1073">
        <v>0</v>
      </c>
      <c r="J1073" t="s">
        <v>30</v>
      </c>
    </row>
    <row r="1074" spans="1:10" x14ac:dyDescent="0.25">
      <c r="A1074" s="1">
        <v>366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"2025-11-17 09:00:57.068"</f>
        <v>2025-11-17 09:00:57.068</v>
      </c>
      <c r="H1074" t="s">
        <v>21</v>
      </c>
      <c r="I1074">
        <v>0</v>
      </c>
      <c r="J1074" t="s">
        <v>31</v>
      </c>
    </row>
    <row r="1075" spans="1:10" x14ac:dyDescent="0.25">
      <c r="A1075" s="1">
        <v>367</v>
      </c>
      <c r="B1075" t="s">
        <v>19</v>
      </c>
      <c r="C1075">
        <v>706</v>
      </c>
      <c r="D1075">
        <v>2</v>
      </c>
      <c r="E1075" t="s">
        <v>28</v>
      </c>
      <c r="F1075" t="s">
        <v>45</v>
      </c>
      <c r="G1075" t="str">
        <f>"2025-11-17 08:31:06.555"</f>
        <v>2025-11-17 08:31:06.555</v>
      </c>
      <c r="H1075" t="s">
        <v>21</v>
      </c>
      <c r="I1075">
        <v>0</v>
      </c>
      <c r="J1075" t="s">
        <v>30</v>
      </c>
    </row>
    <row r="1076" spans="1:10" x14ac:dyDescent="0.25">
      <c r="A1076" s="1">
        <v>368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"2025-11-17 08:30:35.085"</f>
        <v>2025-11-17 08:30:35.085</v>
      </c>
      <c r="H1076" t="s">
        <v>21</v>
      </c>
      <c r="I1076">
        <v>0</v>
      </c>
      <c r="J1076" t="s">
        <v>31</v>
      </c>
    </row>
    <row r="1077" spans="1:10" x14ac:dyDescent="0.25">
      <c r="A1077" s="1">
        <v>369</v>
      </c>
      <c r="B1077" t="s">
        <v>19</v>
      </c>
      <c r="C1077">
        <v>706</v>
      </c>
      <c r="D1077">
        <v>4</v>
      </c>
      <c r="E1077" t="s">
        <v>28</v>
      </c>
      <c r="F1077" t="s">
        <v>29</v>
      </c>
      <c r="G1077" t="str">
        <f>"2025-11-16 14:34:23.067"</f>
        <v>2025-11-16 14:34:23.067</v>
      </c>
      <c r="H1077" t="s">
        <v>21</v>
      </c>
      <c r="I1077">
        <v>0</v>
      </c>
      <c r="J1077" t="s">
        <v>30</v>
      </c>
    </row>
    <row r="1078" spans="1:10" x14ac:dyDescent="0.25">
      <c r="A1078" s="1">
        <v>370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"2025-11-16 14:33:19.037"</f>
        <v>2025-11-16 14:33:19.037</v>
      </c>
      <c r="H1078" t="s">
        <v>21</v>
      </c>
    </row>
    <row r="1079" spans="1:10" x14ac:dyDescent="0.25">
      <c r="A1079" s="1">
        <v>371</v>
      </c>
      <c r="B1079" t="s">
        <v>19</v>
      </c>
      <c r="C1079">
        <v>706</v>
      </c>
      <c r="D1079">
        <v>3</v>
      </c>
      <c r="E1079" t="s">
        <v>28</v>
      </c>
      <c r="F1079" t="s">
        <v>51</v>
      </c>
      <c r="G1079" t="str">
        <f>"2025-11-16 14:17:28.118"</f>
        <v>2025-11-16 14:17:28.118</v>
      </c>
      <c r="H1079" t="s">
        <v>21</v>
      </c>
      <c r="I1079">
        <v>0</v>
      </c>
      <c r="J1079" t="s">
        <v>30</v>
      </c>
    </row>
    <row r="1080" spans="1:10" x14ac:dyDescent="0.25">
      <c r="A1080" s="1">
        <v>372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"2025-11-16 14:08:01.038"</f>
        <v>2025-11-16 14:08:01.038</v>
      </c>
      <c r="H1080" t="s">
        <v>21</v>
      </c>
      <c r="I1080">
        <v>0</v>
      </c>
      <c r="J1080" t="s">
        <v>31</v>
      </c>
    </row>
    <row r="1081" spans="1:10" x14ac:dyDescent="0.25">
      <c r="A1081" s="1">
        <v>373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"2025-11-15 15:41:35.032"</f>
        <v>2025-11-15 15:41:35.032</v>
      </c>
      <c r="H1081" t="s">
        <v>21</v>
      </c>
    </row>
    <row r="1082" spans="1:10" x14ac:dyDescent="0.25">
      <c r="A1082" s="1">
        <v>374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"2025-11-15 15:28:17.024"</f>
        <v>2025-11-15 15:28:17.024</v>
      </c>
      <c r="H1082" t="s">
        <v>21</v>
      </c>
    </row>
    <row r="1083" spans="1:10" x14ac:dyDescent="0.25">
      <c r="A1083" s="1">
        <v>375</v>
      </c>
      <c r="B1083" t="s">
        <v>19</v>
      </c>
      <c r="C1083">
        <v>706</v>
      </c>
      <c r="D1083">
        <v>4</v>
      </c>
      <c r="E1083" t="s">
        <v>28</v>
      </c>
      <c r="F1083" t="s">
        <v>29</v>
      </c>
      <c r="G1083" t="str">
        <f>"2025-11-15 15:06:40.225"</f>
        <v>2025-11-15 15:06:40.225</v>
      </c>
      <c r="H1083" t="s">
        <v>21</v>
      </c>
      <c r="I1083">
        <v>0</v>
      </c>
      <c r="J1083" t="s">
        <v>30</v>
      </c>
    </row>
    <row r="1084" spans="1:10" x14ac:dyDescent="0.25">
      <c r="A1084" s="1">
        <v>376</v>
      </c>
      <c r="B1084" t="s">
        <v>19</v>
      </c>
      <c r="C1084">
        <v>706</v>
      </c>
      <c r="D1084">
        <v>3</v>
      </c>
      <c r="E1084" t="s">
        <v>28</v>
      </c>
      <c r="F1084" t="s">
        <v>51</v>
      </c>
      <c r="G1084" t="str">
        <f>"2025-11-15 15:05:58.215"</f>
        <v>2025-11-15 15:05:58.215</v>
      </c>
      <c r="H1084" t="s">
        <v>21</v>
      </c>
      <c r="I1084">
        <v>0</v>
      </c>
      <c r="J1084" t="s">
        <v>30</v>
      </c>
    </row>
    <row r="1085" spans="1:10" x14ac:dyDescent="0.25">
      <c r="A1085" s="1">
        <v>377</v>
      </c>
      <c r="B1085" t="s">
        <v>19</v>
      </c>
      <c r="C1085">
        <v>706</v>
      </c>
      <c r="D1085">
        <v>3</v>
      </c>
      <c r="E1085" t="s">
        <v>28</v>
      </c>
      <c r="F1085" t="s">
        <v>51</v>
      </c>
      <c r="G1085" t="str">
        <f>"2025-11-15 15:04:42.115"</f>
        <v>2025-11-15 15:04:42.115</v>
      </c>
      <c r="H1085" t="s">
        <v>21</v>
      </c>
      <c r="I1085">
        <v>0</v>
      </c>
      <c r="J1085" t="s">
        <v>30</v>
      </c>
    </row>
    <row r="1086" spans="1:10" x14ac:dyDescent="0.25">
      <c r="A1086" s="1">
        <v>378</v>
      </c>
      <c r="B1086" t="s">
        <v>19</v>
      </c>
      <c r="C1086">
        <v>706</v>
      </c>
      <c r="D1086">
        <v>2</v>
      </c>
      <c r="E1086" t="s">
        <v>28</v>
      </c>
      <c r="F1086" t="s">
        <v>45</v>
      </c>
      <c r="G1086" t="str">
        <f>"2025-11-15 15:04:11.125"</f>
        <v>2025-11-15 15:04:11.125</v>
      </c>
      <c r="H1086" t="s">
        <v>21</v>
      </c>
      <c r="I1086">
        <v>0</v>
      </c>
      <c r="J1086" t="s">
        <v>30</v>
      </c>
    </row>
    <row r="1087" spans="1:10" x14ac:dyDescent="0.25">
      <c r="A1087" s="1">
        <v>379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"2025-11-15 14:51:37.035"</f>
        <v>2025-11-15 14:51:37.035</v>
      </c>
      <c r="H1087" t="s">
        <v>21</v>
      </c>
      <c r="I1087">
        <v>0</v>
      </c>
      <c r="J1087" t="s">
        <v>31</v>
      </c>
    </row>
    <row r="1088" spans="1:10" x14ac:dyDescent="0.25">
      <c r="A1088" s="1">
        <v>380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"2025-11-15 14:40:23.032"</f>
        <v>2025-11-15 14:40:23.032</v>
      </c>
      <c r="H1088" t="s">
        <v>21</v>
      </c>
    </row>
    <row r="1089" spans="1:10" x14ac:dyDescent="0.25">
      <c r="A1089" s="1">
        <v>381</v>
      </c>
      <c r="B1089" t="s">
        <v>22</v>
      </c>
      <c r="C1089">
        <v>98</v>
      </c>
      <c r="D1089">
        <v>1</v>
      </c>
      <c r="E1089" t="s">
        <v>46</v>
      </c>
      <c r="F1089" t="s">
        <v>47</v>
      </c>
      <c r="G1089" t="str">
        <f>"2025-11-15 14:35:35.550"</f>
        <v>2025-11-15 14:35:35.550</v>
      </c>
      <c r="H1089" t="s">
        <v>21</v>
      </c>
    </row>
    <row r="1090" spans="1:10" x14ac:dyDescent="0.25">
      <c r="A1090" s="1">
        <v>382</v>
      </c>
      <c r="B1090" t="s">
        <v>25</v>
      </c>
      <c r="C1090">
        <v>98</v>
      </c>
      <c r="D1090">
        <v>1</v>
      </c>
      <c r="E1090" t="s">
        <v>46</v>
      </c>
      <c r="F1090" t="s">
        <v>47</v>
      </c>
      <c r="G1090" t="str">
        <f>"2025-11-15 14:35:34.551"</f>
        <v>2025-11-15 14:35:34.551</v>
      </c>
      <c r="H1090" t="s">
        <v>21</v>
      </c>
      <c r="I1090">
        <v>0</v>
      </c>
      <c r="J1090" t="s">
        <v>30</v>
      </c>
    </row>
    <row r="1091" spans="1:10" x14ac:dyDescent="0.25">
      <c r="A1091" s="1">
        <v>383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"2025-11-15 14:34:24.030"</f>
        <v>2025-11-15 14:34:24.030</v>
      </c>
      <c r="H1091" t="s">
        <v>21</v>
      </c>
    </row>
    <row r="1092" spans="1:10" x14ac:dyDescent="0.25">
      <c r="A1092" s="1">
        <v>386</v>
      </c>
      <c r="B1092" t="s">
        <v>19</v>
      </c>
      <c r="C1092">
        <v>782</v>
      </c>
      <c r="D1092">
        <v>7</v>
      </c>
      <c r="E1092" t="s">
        <v>55</v>
      </c>
      <c r="F1092" t="s">
        <v>56</v>
      </c>
      <c r="G1092" t="str">
        <f>"2025-11-15 14:29:04.847"</f>
        <v>2025-11-15 14:29:04.847</v>
      </c>
      <c r="H1092" t="s">
        <v>21</v>
      </c>
      <c r="I1092">
        <v>0</v>
      </c>
      <c r="J1092" t="s">
        <v>30</v>
      </c>
    </row>
    <row r="1093" spans="1:10" x14ac:dyDescent="0.25">
      <c r="A1093" s="1">
        <v>389</v>
      </c>
      <c r="B1093" t="s">
        <v>22</v>
      </c>
      <c r="C1093">
        <v>12</v>
      </c>
      <c r="D1093">
        <v>2</v>
      </c>
      <c r="E1093" t="s">
        <v>57</v>
      </c>
      <c r="F1093" t="s">
        <v>58</v>
      </c>
      <c r="G1093" t="str">
        <f>"2025-11-15 14:29:04.843"</f>
        <v>2025-11-15 14:29:04.843</v>
      </c>
      <c r="H1093" t="s">
        <v>21</v>
      </c>
    </row>
    <row r="1094" spans="1:10" x14ac:dyDescent="0.25">
      <c r="A1094" s="1">
        <v>390</v>
      </c>
      <c r="B1094" t="s">
        <v>22</v>
      </c>
      <c r="C1094">
        <v>12</v>
      </c>
      <c r="D1094">
        <v>1</v>
      </c>
      <c r="E1094" t="s">
        <v>57</v>
      </c>
      <c r="F1094" t="s">
        <v>59</v>
      </c>
      <c r="G1094" t="str">
        <f>"2025-11-15 14:29:04.842"</f>
        <v>2025-11-15 14:29:04.842</v>
      </c>
      <c r="H1094" t="s">
        <v>21</v>
      </c>
    </row>
    <row r="1095" spans="1:10" x14ac:dyDescent="0.25">
      <c r="A1095" s="1">
        <v>391</v>
      </c>
      <c r="B1095" t="s">
        <v>19</v>
      </c>
      <c r="C1095">
        <v>782</v>
      </c>
      <c r="D1095">
        <v>7</v>
      </c>
      <c r="E1095" t="s">
        <v>55</v>
      </c>
      <c r="F1095" t="s">
        <v>56</v>
      </c>
      <c r="G1095" t="str">
        <f>"2025-11-15 14:29:04.841"</f>
        <v>2025-11-15 14:29:04.841</v>
      </c>
      <c r="H1095" t="s">
        <v>21</v>
      </c>
      <c r="I1095">
        <v>0</v>
      </c>
      <c r="J1095" t="s">
        <v>30</v>
      </c>
    </row>
    <row r="1096" spans="1:10" x14ac:dyDescent="0.25">
      <c r="A1096" s="1">
        <v>392</v>
      </c>
      <c r="B1096" t="s">
        <v>22</v>
      </c>
      <c r="C1096">
        <v>650</v>
      </c>
      <c r="D1096">
        <v>4</v>
      </c>
      <c r="E1096" t="s">
        <v>81</v>
      </c>
      <c r="F1096" t="s">
        <v>82</v>
      </c>
      <c r="G1096" t="str">
        <f>"2025-11-15 14:28:24.095"</f>
        <v>2025-11-15 14:28:24.095</v>
      </c>
      <c r="H1096" t="s">
        <v>21</v>
      </c>
    </row>
    <row r="1097" spans="1:10" x14ac:dyDescent="0.25">
      <c r="A1097" s="1">
        <v>393</v>
      </c>
      <c r="B1097" t="s">
        <v>19</v>
      </c>
      <c r="C1097">
        <v>719</v>
      </c>
      <c r="D1097">
        <v>5</v>
      </c>
      <c r="E1097" t="s">
        <v>83</v>
      </c>
      <c r="F1097" t="s">
        <v>84</v>
      </c>
      <c r="G1097" t="str">
        <f>"2025-11-15 14:27:30.536"</f>
        <v>2025-11-15 14:27:30.536</v>
      </c>
      <c r="H1097" t="s">
        <v>21</v>
      </c>
      <c r="I1097">
        <v>0</v>
      </c>
      <c r="J1097" t="s">
        <v>30</v>
      </c>
    </row>
    <row r="1098" spans="1:10" x14ac:dyDescent="0.25">
      <c r="A1098" s="1">
        <v>394</v>
      </c>
      <c r="B1098" t="s">
        <v>22</v>
      </c>
      <c r="C1098">
        <v>98</v>
      </c>
      <c r="D1098">
        <v>1</v>
      </c>
      <c r="E1098" t="s">
        <v>46</v>
      </c>
      <c r="F1098" t="s">
        <v>47</v>
      </c>
      <c r="G1098" t="str">
        <f>"2025-11-15 11:24:16.448"</f>
        <v>2025-11-15 11:24:16.448</v>
      </c>
      <c r="H1098" t="s">
        <v>21</v>
      </c>
    </row>
    <row r="1099" spans="1:10" x14ac:dyDescent="0.25">
      <c r="A1099" s="1">
        <v>395</v>
      </c>
      <c r="B1099" t="s">
        <v>25</v>
      </c>
      <c r="C1099">
        <v>98</v>
      </c>
      <c r="D1099">
        <v>1</v>
      </c>
      <c r="E1099" t="s">
        <v>46</v>
      </c>
      <c r="F1099" t="s">
        <v>47</v>
      </c>
      <c r="G1099" t="str">
        <f>"2025-11-15 11:24:15.249"</f>
        <v>2025-11-15 11:24:15.249</v>
      </c>
      <c r="H1099" t="s">
        <v>21</v>
      </c>
      <c r="I1099">
        <v>0</v>
      </c>
      <c r="J1099" t="s">
        <v>30</v>
      </c>
    </row>
    <row r="1100" spans="1:10" x14ac:dyDescent="0.25">
      <c r="A1100" s="1">
        <v>396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"2025-11-15 11:21:59.028"</f>
        <v>2025-11-15 11:21:59.028</v>
      </c>
      <c r="H1100" t="s">
        <v>21</v>
      </c>
      <c r="I1100">
        <v>0</v>
      </c>
      <c r="J1100" t="s">
        <v>31</v>
      </c>
    </row>
    <row r="1101" spans="1:10" x14ac:dyDescent="0.25">
      <c r="A1101" s="1">
        <v>397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"2025-11-15 11:13:34.026"</f>
        <v>2025-11-15 11:13:34.026</v>
      </c>
      <c r="H1101" t="s">
        <v>21</v>
      </c>
      <c r="I1101">
        <v>0</v>
      </c>
      <c r="J1101" t="s">
        <v>31</v>
      </c>
    </row>
    <row r="1102" spans="1:10" x14ac:dyDescent="0.25">
      <c r="A1102" s="1">
        <v>398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"2025-11-15 11:12:17.019"</f>
        <v>2025-11-15 11:12:17.019</v>
      </c>
      <c r="H1102" t="s">
        <v>21</v>
      </c>
      <c r="I1102">
        <v>0</v>
      </c>
      <c r="J1102" t="s">
        <v>31</v>
      </c>
    </row>
    <row r="1103" spans="1:10" x14ac:dyDescent="0.25">
      <c r="A1103" s="1">
        <v>399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"2025-11-15 11:10:16.014"</f>
        <v>2025-11-15 11:10:16.014</v>
      </c>
      <c r="H1103" t="s">
        <v>21</v>
      </c>
    </row>
    <row r="1104" spans="1:10" x14ac:dyDescent="0.25">
      <c r="A1104" s="1">
        <v>400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"2025-11-15 11:07:15.029"</f>
        <v>2025-11-15 11:07:15.029</v>
      </c>
      <c r="H1104" t="s">
        <v>21</v>
      </c>
      <c r="I1104">
        <v>0</v>
      </c>
      <c r="J1104" t="s">
        <v>31</v>
      </c>
    </row>
    <row r="1105" spans="1:10" x14ac:dyDescent="0.25">
      <c r="A1105" s="1">
        <v>403</v>
      </c>
      <c r="B1105" t="s">
        <v>19</v>
      </c>
      <c r="C1105">
        <v>753</v>
      </c>
      <c r="D1105">
        <v>1</v>
      </c>
      <c r="E1105" t="s">
        <v>85</v>
      </c>
      <c r="F1105" t="s">
        <v>86</v>
      </c>
      <c r="G1105" t="str">
        <f>"2025-11-15 11:00:41.509"</f>
        <v>2025-11-15 11:00:41.509</v>
      </c>
      <c r="H1105" t="s">
        <v>21</v>
      </c>
      <c r="I1105">
        <v>0</v>
      </c>
      <c r="J1105" t="s">
        <v>30</v>
      </c>
    </row>
    <row r="1106" spans="1:10" x14ac:dyDescent="0.25">
      <c r="A1106" s="1">
        <v>404</v>
      </c>
      <c r="B1106" t="s">
        <v>32</v>
      </c>
      <c r="C1106">
        <v>641</v>
      </c>
      <c r="D1106">
        <v>1</v>
      </c>
      <c r="E1106" t="s">
        <v>60</v>
      </c>
      <c r="F1106" t="s">
        <v>58</v>
      </c>
      <c r="G1106" t="str">
        <f>"2025-11-15 11:00:35.808"</f>
        <v>2025-11-15 11:00:35.808</v>
      </c>
      <c r="H1106" t="s">
        <v>21</v>
      </c>
      <c r="I1106">
        <v>0</v>
      </c>
      <c r="J1106" t="s">
        <v>30</v>
      </c>
    </row>
    <row r="1107" spans="1:10" x14ac:dyDescent="0.25">
      <c r="A1107" s="1">
        <v>405</v>
      </c>
      <c r="B1107" t="s">
        <v>32</v>
      </c>
      <c r="C1107">
        <v>640</v>
      </c>
      <c r="D1107">
        <v>1</v>
      </c>
      <c r="E1107" t="s">
        <v>61</v>
      </c>
      <c r="F1107" t="s">
        <v>59</v>
      </c>
      <c r="G1107" t="str">
        <f>"2025-11-15 11:00:35.799"</f>
        <v>2025-11-15 11:00:35.799</v>
      </c>
      <c r="H1107" t="s">
        <v>62</v>
      </c>
      <c r="I1107">
        <v>0</v>
      </c>
      <c r="J1107" t="s">
        <v>30</v>
      </c>
    </row>
    <row r="1108" spans="1:10" x14ac:dyDescent="0.25">
      <c r="A1108" s="1">
        <v>406</v>
      </c>
      <c r="B1108" t="s">
        <v>25</v>
      </c>
      <c r="C1108">
        <v>12</v>
      </c>
      <c r="D1108">
        <v>1</v>
      </c>
      <c r="E1108" t="s">
        <v>57</v>
      </c>
      <c r="F1108" t="s">
        <v>59</v>
      </c>
      <c r="G1108" t="str">
        <f>"2025-11-15 11:00:29.660"</f>
        <v>2025-11-15 11:00:29.660</v>
      </c>
      <c r="H1108" t="s">
        <v>21</v>
      </c>
      <c r="I1108">
        <v>0</v>
      </c>
      <c r="J1108" t="s">
        <v>30</v>
      </c>
    </row>
    <row r="1109" spans="1:10" x14ac:dyDescent="0.25">
      <c r="A1109" s="1">
        <v>407</v>
      </c>
      <c r="B1109" t="s">
        <v>25</v>
      </c>
      <c r="C1109">
        <v>12</v>
      </c>
      <c r="D1109">
        <v>2</v>
      </c>
      <c r="E1109" t="s">
        <v>57</v>
      </c>
      <c r="F1109" t="s">
        <v>58</v>
      </c>
      <c r="G1109" t="str">
        <f>"2025-11-15 11:00:29.562"</f>
        <v>2025-11-15 11:00:29.562</v>
      </c>
      <c r="H1109" t="s">
        <v>21</v>
      </c>
      <c r="I1109">
        <v>0</v>
      </c>
      <c r="J1109" t="s">
        <v>30</v>
      </c>
    </row>
    <row r="1110" spans="1:10" x14ac:dyDescent="0.25">
      <c r="A1110" s="1">
        <v>408</v>
      </c>
      <c r="B1110" t="s">
        <v>25</v>
      </c>
      <c r="C1110">
        <v>650</v>
      </c>
      <c r="D1110">
        <v>4</v>
      </c>
      <c r="E1110" t="s">
        <v>81</v>
      </c>
      <c r="F1110" t="s">
        <v>82</v>
      </c>
      <c r="G1110" t="str">
        <f>"2025-11-15 11:00:28.267"</f>
        <v>2025-11-15 11:00:28.267</v>
      </c>
      <c r="H1110" t="s">
        <v>21</v>
      </c>
      <c r="I1110">
        <v>0</v>
      </c>
      <c r="J1110" t="s">
        <v>31</v>
      </c>
    </row>
    <row r="1111" spans="1:10" x14ac:dyDescent="0.25">
      <c r="A1111" s="1">
        <v>409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"2025-11-15 11:00:25.629"</f>
        <v>2025-11-15 11:00:25.629</v>
      </c>
      <c r="H1111" t="s">
        <v>21</v>
      </c>
      <c r="I1111">
        <v>0</v>
      </c>
      <c r="J1111" t="s">
        <v>31</v>
      </c>
    </row>
  </sheetData>
  <autoFilter ref="A9:J1111" xr:uid="{B204ABAB-4ED4-4968-B598-8967FC7BEA46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92699B-DFDE-42C9-9D68-E1AF15835B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events_ru_82_20260511-125742 31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2026-05-11T03:25:06Z</dcterms:modified>
</cp:coreProperties>
</file>
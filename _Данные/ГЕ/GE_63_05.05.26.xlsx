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B51379D-0D34-4529-8A3E-38DE5725A5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3_20260506-045458 87" sheetId="2" r:id="rId1"/>
    <sheet name="Лист1" sheetId="1" r:id="rId2"/>
  </sheets>
  <definedNames>
    <definedName name="_xlnm._FilterDatabase" localSheetId="0" hidden="1">'events_ru_63_20260506-045458 87'!$A$9:$J$1916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14057-70FB-4570-81AE-4FEE99F73F1C}" keepAlive="1" name="Запрос — events_ru_63_20260506-045458 872" description="Соединение с запросом &quot;events_ru_63_20260506-045458 872&quot; в книге." type="5" refreshedVersion="0" background="1">
    <dbPr connection="Provider=Microsoft.Mashup.OleDb.1;Data Source=$Workbook$;Location=&quot;events_ru_63_20260506-045458 872&quot;;Extended Properties=&quot;&quot;" command="SELECT * FROM [events_ru_63_20260506-045458 872]"/>
  </connection>
</connections>
</file>

<file path=xl/sharedStrings.xml><?xml version="1.0" encoding="utf-8"?>
<sst xmlns="http://schemas.openxmlformats.org/spreadsheetml/2006/main" count="8769" uniqueCount="129">
  <si>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</si>
  <si>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</si>
  <si>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</si>
  <si>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</si>
  <si>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</si>
  <si>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</si>
  <si>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</si>
  <si>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</si>
  <si>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8.12a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</si>
  <si>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</si>
  <si>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</si>
  <si>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</si>
  <si>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</si>
  <si>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</si>
  <si>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</si>
  <si>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</si>
  <si>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</si>
  <si>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</si>
  <si>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</si>
  <si>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</si>
  <si>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</si>
  <si>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</si>
  <si>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</si>
  <si>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</si>
  <si>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</si>
  <si>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</si>
  <si>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</si>
  <si>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</si>
  <si>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</si>
  <si>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</si>
  <si>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</si>
  <si>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</si>
  <si>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</si>
  <si>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Null</t>
  </si>
  <si>
    <t>Введен безопасный режим файловой системы - Низкий заряд батареи</t>
  </si>
  <si>
    <t>Ready</t>
  </si>
  <si>
    <t>Вход в безопасный режим файловой системы - Ключ или CPS</t>
  </si>
  <si>
    <t>WRst</t>
  </si>
  <si>
    <t>Погрузочные тормоза активированы на ходу</t>
  </si>
  <si>
    <t>Запрет тяги</t>
  </si>
  <si>
    <t xml:space="preserve">Log </t>
  </si>
  <si>
    <t>Превышении скорости</t>
  </si>
  <si>
    <t>Управление скоростью - превышение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</si>
  <si>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</si>
  <si>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</si>
  <si>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</si>
  <si>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</si>
  <si>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</si>
  <si>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</si>
  <si>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</si>
  <si>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</si>
  <si>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</si>
  <si>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</si>
  <si>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</si>
  <si>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</si>
  <si>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</si>
  <si>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</si>
  <si>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</si>
  <si>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</si>
  <si>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</si>
  <si>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</si>
  <si>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</si>
  <si>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</si>
  <si>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</si>
  <si>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</si>
  <si>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</si>
  <si>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</si>
  <si>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</si>
  <si>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</si>
  <si>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</si>
  <si>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</si>
  <si>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</si>
  <si>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</si>
  <si>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Тест VI не пройден</t>
  </si>
  <si>
    <t>Инвертор</t>
  </si>
  <si>
    <t>Reset All Faults</t>
  </si>
  <si>
    <t>Zero</t>
  </si>
  <si>
    <t>Отказ ЭД вентилятора ретардера</t>
  </si>
  <si>
    <t>Обрыв ЭД вентилятора 1</t>
  </si>
  <si>
    <t>Отказ аналогового датчика</t>
  </si>
  <si>
    <t>PSC напряжение ЗПТ</t>
  </si>
  <si>
    <t>HTML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</si>
  <si>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</si>
  <si>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</si>
  <si>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</si>
  <si>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</si>
  <si>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</si>
  <si>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</si>
  <si>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Команда сохранения данных PTU</t>
  </si>
  <si>
    <t>Инициированное водителем сохранение данных</t>
  </si>
  <si>
    <t>Rest</t>
  </si>
  <si>
    <t>TMC1 Фаза С+ ИНВ</t>
  </si>
  <si>
    <t>Сбой источника питания IGBT фаза С+</t>
  </si>
  <si>
    <t>TMC2 Фаза С- ИНВ</t>
  </si>
  <si>
    <t>Модули фаз С+ и С- вкл.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</si>
  <si>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</si>
  <si>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</si>
  <si>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</si>
  <si>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TMC1 Источник питания ИНВ</t>
  </si>
  <si>
    <t>-15 вольт вне допусков</t>
  </si>
  <si>
    <t>TMC2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</si>
  <si>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</si>
  <si>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</si>
  <si>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</si>
  <si>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</si>
  <si>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</si>
  <si>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</si>
  <si>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Обнаружен низкий расход охл воздуха</t>
  </si>
  <si>
    <t>Изменен серийный номер карты</t>
  </si>
  <si>
    <t>Инвертор №1</t>
  </si>
  <si>
    <t>Инвертор №2</t>
  </si>
  <si>
    <t>TMC1 Фаза С- ИНВ</t>
  </si>
  <si>
    <t>Сбой источника питания IGBT фаза С-</t>
  </si>
  <si>
    <t>Получено предупреждение ДВС</t>
  </si>
  <si>
    <t>--Сброс статистики--</t>
  </si>
  <si>
    <t>Нужна калибровка педали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</si>
  <si>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</si>
  <si>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</si>
  <si>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</si>
  <si>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</si>
  <si>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RTC не установлены или неисправная батарея</t>
  </si>
  <si>
    <t>через панель DID</t>
  </si>
  <si>
    <t>Педаль акслератора вне пределов - низкий уровень</t>
  </si>
  <si>
    <t>Педаль акслератора вне пределов - высокий уровень</t>
  </si>
  <si>
    <t>Неверный тип ПО ИНВЕРТОРА 1</t>
  </si>
  <si>
    <t>Возможное несоответствие версии программного обеспечения</t>
  </si>
  <si>
    <t>Инвертор 1</t>
  </si>
  <si>
    <t>TMC1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</si>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</sst>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FC86-40A9-4100-B36C-2CBE6BC6F2D6}">
  <dimension ref="A1:J1916"/>
  <sheetViews>
    <sheetView tabSelected="1" workbookViewId="0">
      <selection activeCell="E31" sqref="E31"/>
    </sheetView>
  </sheetViews>
  <sheetFormatPr defaultRowHeight="15" x14ac:dyDescent="0.25"/>
  <cols>
    <col min="1" max="1" width="16" bestFit="1" customWidth="1"/>
    <col min="5" max="5" width="33.42578125" customWidth="1"/>
    <col min="6" max="6" width="67" bestFit="1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"2026-05-06 04:54:58.872"</f>
        <v>2026-05-06 04:54:58.872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"2026-05-06 04:54:27.186"</f>
        <v>2026-05-06 04:54:27.186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"2026-05-06 02:27:08.172"</f>
        <v>2026-05-06 02:27:08.172</v>
      </c>
      <c r="H11" t="s">
        <v>21</v>
      </c>
    </row>
    <row r="12" spans="1:10" s="3" customFormat="1" x14ac:dyDescent="0.25">
      <c r="A12" s="2"/>
      <c r="B12" s="3" t="s">
        <v>22</v>
      </c>
      <c r="C12" s="3">
        <v>647</v>
      </c>
      <c r="D12" s="3">
        <v>1</v>
      </c>
      <c r="E12" s="3" t="s">
        <v>23</v>
      </c>
      <c r="F12" s="3" t="s">
        <v>24</v>
      </c>
      <c r="G12" s="3" t="str">
        <f>"2026-05-06 00:23:14.837"</f>
        <v>2026-05-06 00:23:14.837</v>
      </c>
      <c r="H12" s="3" t="s">
        <v>21</v>
      </c>
    </row>
    <row r="13" spans="1:10" s="3" customFormat="1" x14ac:dyDescent="0.25">
      <c r="A13" s="2"/>
      <c r="B13" s="3" t="s">
        <v>25</v>
      </c>
      <c r="C13" s="3">
        <v>647</v>
      </c>
      <c r="D13" s="3">
        <v>1</v>
      </c>
      <c r="E13" s="3" t="s">
        <v>23</v>
      </c>
      <c r="F13" s="3" t="s">
        <v>24</v>
      </c>
      <c r="G13" s="3" t="str">
        <f>"2026-05-06 00:23:10.337"</f>
        <v>2026-05-06 00:23:10.337</v>
      </c>
      <c r="H13" s="3" t="s">
        <v>21</v>
      </c>
      <c r="I13" s="3">
        <v>15.29</v>
      </c>
      <c r="J13" s="3" t="s">
        <v>26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"2026-05-05 13:45:17.145"</f>
        <v>2026-05-05 13:45:17.145</v>
      </c>
      <c r="H14" t="s">
        <v>21</v>
      </c>
    </row>
    <row r="15" spans="1:10" x14ac:dyDescent="0.25">
      <c r="A15" s="1"/>
      <c r="B15" t="s">
        <v>22</v>
      </c>
      <c r="C15">
        <v>635</v>
      </c>
      <c r="D15">
        <v>1</v>
      </c>
      <c r="E15" t="s">
        <v>27</v>
      </c>
      <c r="F15" t="s">
        <v>28</v>
      </c>
      <c r="G15" t="str">
        <f>"2026-05-04 23:31:38.330"</f>
        <v>2026-05-04 23:31:38.330</v>
      </c>
      <c r="H15" t="s">
        <v>21</v>
      </c>
    </row>
    <row r="16" spans="1:10" x14ac:dyDescent="0.25">
      <c r="A16" s="1"/>
      <c r="B16" t="s">
        <v>25</v>
      </c>
      <c r="C16">
        <v>635</v>
      </c>
      <c r="D16">
        <v>1</v>
      </c>
      <c r="E16" t="s">
        <v>27</v>
      </c>
      <c r="F16" t="s">
        <v>28</v>
      </c>
      <c r="G16" t="str">
        <f>"2026-05-04 23:15:04.430"</f>
        <v>2026-05-04 23:15:04.430</v>
      </c>
      <c r="H16" t="s">
        <v>21</v>
      </c>
      <c r="I16">
        <v>7.7</v>
      </c>
      <c r="J16" t="s">
        <v>29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"2026-05-04 08:07:56.177"</f>
        <v>2026-05-04 08:07:56.177</v>
      </c>
      <c r="H17" t="s">
        <v>21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30</v>
      </c>
      <c r="F18" t="s">
        <v>31</v>
      </c>
      <c r="G18" t="str">
        <f>"2026-05-03 22:36:15.553"</f>
        <v>2026-05-03 22:36:15.553</v>
      </c>
      <c r="H18" t="s">
        <v>21</v>
      </c>
      <c r="I18">
        <v>0</v>
      </c>
      <c r="J18" t="s">
        <v>32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"2026-05-03 22:35:57.133"</f>
        <v>2026-05-03 22:35:57.133</v>
      </c>
      <c r="H19" t="s">
        <v>21</v>
      </c>
      <c r="I19">
        <v>0</v>
      </c>
      <c r="J19" t="s">
        <v>33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30</v>
      </c>
      <c r="F20" t="s">
        <v>34</v>
      </c>
      <c r="G20" t="str">
        <f>"2026-05-03 20:23:20.287"</f>
        <v>2026-05-03 20:23:20.287</v>
      </c>
      <c r="H20" t="s">
        <v>21</v>
      </c>
      <c r="I20">
        <v>0</v>
      </c>
      <c r="J20" t="s">
        <v>32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"2026-05-03 20:22:49.167"</f>
        <v>2026-05-03 20:22:49.167</v>
      </c>
      <c r="H21" t="s">
        <v>21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"2026-05-03 14:13:31.142"</f>
        <v>2026-05-03 14:13:31.142</v>
      </c>
      <c r="H22" t="s">
        <v>21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"2026-05-03 13:49:06.147"</f>
        <v>2026-05-03 13:49:06.147</v>
      </c>
      <c r="H23" t="s">
        <v>21</v>
      </c>
      <c r="I23">
        <v>0</v>
      </c>
      <c r="J23" t="s">
        <v>33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"2026-05-02 07:46:18.146"</f>
        <v>2026-05-02 07:46:18.146</v>
      </c>
      <c r="H24" t="s">
        <v>21</v>
      </c>
      <c r="I24">
        <v>0</v>
      </c>
      <c r="J24" t="s">
        <v>33</v>
      </c>
    </row>
    <row r="25" spans="1:10" x14ac:dyDescent="0.25">
      <c r="A25" s="1">
        <v>5</v>
      </c>
      <c r="B25" t="s">
        <v>22</v>
      </c>
      <c r="C25">
        <v>635</v>
      </c>
      <c r="D25">
        <v>1</v>
      </c>
      <c r="E25" t="s">
        <v>27</v>
      </c>
      <c r="F25" t="s">
        <v>28</v>
      </c>
      <c r="G25" t="str">
        <f>"2026-05-02 03:01:11.105"</f>
        <v>2026-05-02 03:01:11.105</v>
      </c>
      <c r="H25" t="s">
        <v>21</v>
      </c>
    </row>
    <row r="26" spans="1:10" x14ac:dyDescent="0.25">
      <c r="A26" s="1">
        <v>6</v>
      </c>
      <c r="B26" t="s">
        <v>25</v>
      </c>
      <c r="C26">
        <v>635</v>
      </c>
      <c r="D26">
        <v>1</v>
      </c>
      <c r="E26" t="s">
        <v>27</v>
      </c>
      <c r="F26" t="s">
        <v>28</v>
      </c>
      <c r="G26" t="str">
        <f>"2026-05-02 02:55:51.105"</f>
        <v>2026-05-02 02:55:51.105</v>
      </c>
      <c r="H26" t="s">
        <v>21</v>
      </c>
      <c r="I26">
        <v>3.04</v>
      </c>
      <c r="J26" t="s">
        <v>26</v>
      </c>
    </row>
    <row r="27" spans="1:10" s="3" customFormat="1" x14ac:dyDescent="0.25">
      <c r="A27" s="2">
        <v>7</v>
      </c>
      <c r="B27" s="3" t="s">
        <v>22</v>
      </c>
      <c r="C27" s="3">
        <v>647</v>
      </c>
      <c r="D27" s="3">
        <v>1</v>
      </c>
      <c r="E27" s="3" t="s">
        <v>23</v>
      </c>
      <c r="F27" s="3" t="s">
        <v>24</v>
      </c>
      <c r="G27" s="3" t="str">
        <f>"2026-05-01 19:39:35.605"</f>
        <v>2026-05-01 19:39:35.605</v>
      </c>
      <c r="H27" s="3" t="s">
        <v>21</v>
      </c>
    </row>
    <row r="28" spans="1:10" s="3" customFormat="1" x14ac:dyDescent="0.25">
      <c r="A28" s="2">
        <v>8</v>
      </c>
      <c r="B28" s="3" t="s">
        <v>25</v>
      </c>
      <c r="C28" s="3">
        <v>647</v>
      </c>
      <c r="D28" s="3">
        <v>1</v>
      </c>
      <c r="E28" s="3" t="s">
        <v>23</v>
      </c>
      <c r="F28" s="3" t="s">
        <v>24</v>
      </c>
      <c r="G28" s="3" t="str">
        <f>"2026-05-01 19:39:33.705"</f>
        <v>2026-05-01 19:39:33.705</v>
      </c>
      <c r="H28" s="3" t="s">
        <v>21</v>
      </c>
      <c r="I28" s="3">
        <v>11.9</v>
      </c>
      <c r="J28" s="3" t="s">
        <v>35</v>
      </c>
    </row>
    <row r="29" spans="1:10" x14ac:dyDescent="0.25">
      <c r="A29" s="1">
        <v>9</v>
      </c>
      <c r="B29" t="s">
        <v>22</v>
      </c>
      <c r="C29">
        <v>635</v>
      </c>
      <c r="D29">
        <v>1</v>
      </c>
      <c r="E29" t="s">
        <v>27</v>
      </c>
      <c r="F29" t="s">
        <v>28</v>
      </c>
      <c r="G29" t="str">
        <f>"2026-05-01 12:11:26.205"</f>
        <v>2026-05-01 12:11:26.205</v>
      </c>
      <c r="H29" t="s">
        <v>21</v>
      </c>
    </row>
    <row r="30" spans="1:10" x14ac:dyDescent="0.25">
      <c r="A30" s="1">
        <v>0</v>
      </c>
      <c r="B30" t="s">
        <v>25</v>
      </c>
      <c r="C30">
        <v>635</v>
      </c>
      <c r="D30">
        <v>1</v>
      </c>
      <c r="E30" t="s">
        <v>27</v>
      </c>
      <c r="F30" t="s">
        <v>28</v>
      </c>
      <c r="G30" t="str">
        <f>"2026-05-01 12:03:54.205"</f>
        <v>2026-05-01 12:03:54.205</v>
      </c>
      <c r="H30" t="s">
        <v>21</v>
      </c>
      <c r="I30">
        <v>1.42</v>
      </c>
      <c r="J30" t="s">
        <v>26</v>
      </c>
    </row>
    <row r="31" spans="1:10" s="3" customFormat="1" x14ac:dyDescent="0.25">
      <c r="A31" s="2">
        <v>1</v>
      </c>
      <c r="B31" s="3" t="s">
        <v>22</v>
      </c>
      <c r="C31" s="3">
        <v>647</v>
      </c>
      <c r="D31" s="3">
        <v>1</v>
      </c>
      <c r="E31" s="3" t="s">
        <v>23</v>
      </c>
      <c r="F31" s="3" t="s">
        <v>24</v>
      </c>
      <c r="G31" s="3" t="str">
        <f>"2026-05-01 06:49:25.505"</f>
        <v>2026-05-01 06:49:25.505</v>
      </c>
      <c r="H31" s="3" t="s">
        <v>21</v>
      </c>
    </row>
    <row r="32" spans="1:10" s="3" customFormat="1" x14ac:dyDescent="0.25">
      <c r="A32" s="2">
        <v>2</v>
      </c>
      <c r="B32" s="3" t="s">
        <v>25</v>
      </c>
      <c r="C32" s="3">
        <v>647</v>
      </c>
      <c r="D32" s="3">
        <v>1</v>
      </c>
      <c r="E32" s="3" t="s">
        <v>23</v>
      </c>
      <c r="F32" s="3" t="s">
        <v>24</v>
      </c>
      <c r="G32" s="3" t="str">
        <f>"2026-05-01 06:49:24.405"</f>
        <v>2026-05-01 06:49:24.405</v>
      </c>
      <c r="H32" s="3" t="s">
        <v>21</v>
      </c>
      <c r="I32" s="3">
        <v>15.16</v>
      </c>
      <c r="J32" s="3" t="s">
        <v>26</v>
      </c>
    </row>
    <row r="33" spans="1:10" x14ac:dyDescent="0.25">
      <c r="A33" s="1">
        <v>3</v>
      </c>
      <c r="B33" t="s">
        <v>22</v>
      </c>
      <c r="C33">
        <v>635</v>
      </c>
      <c r="D33">
        <v>1</v>
      </c>
      <c r="E33" t="s">
        <v>27</v>
      </c>
      <c r="F33" t="s">
        <v>28</v>
      </c>
      <c r="G33" t="str">
        <f>"2026-05-01 04:01:14.505"</f>
        <v>2026-05-01 04:01:14.505</v>
      </c>
      <c r="H33" t="s">
        <v>21</v>
      </c>
    </row>
    <row r="34" spans="1:10" x14ac:dyDescent="0.25">
      <c r="A34" s="1">
        <v>4</v>
      </c>
      <c r="B34" t="s">
        <v>25</v>
      </c>
      <c r="C34">
        <v>635</v>
      </c>
      <c r="D34">
        <v>1</v>
      </c>
      <c r="E34" t="s">
        <v>27</v>
      </c>
      <c r="F34" t="s">
        <v>28</v>
      </c>
      <c r="G34" t="str">
        <f>"2026-05-01 03:57:13.505"</f>
        <v>2026-05-01 03:57:13.505</v>
      </c>
      <c r="H34" t="s">
        <v>21</v>
      </c>
      <c r="I34">
        <v>7.88</v>
      </c>
      <c r="J34" t="s">
        <v>29</v>
      </c>
    </row>
    <row r="35" spans="1:10" s="3" customFormat="1" x14ac:dyDescent="0.25">
      <c r="A35" s="2">
        <v>6</v>
      </c>
      <c r="B35" s="3" t="s">
        <v>22</v>
      </c>
      <c r="C35" s="3">
        <v>647</v>
      </c>
      <c r="D35" s="3">
        <v>1</v>
      </c>
      <c r="E35" s="3" t="s">
        <v>23</v>
      </c>
      <c r="F35" s="3" t="s">
        <v>24</v>
      </c>
      <c r="G35" s="3" t="str">
        <f>"2026-04-30 16:22:23.005"</f>
        <v>2026-04-30 16:22:23.005</v>
      </c>
      <c r="H35" s="3" t="s">
        <v>21</v>
      </c>
    </row>
    <row r="36" spans="1:10" s="3" customFormat="1" x14ac:dyDescent="0.25">
      <c r="A36" s="2">
        <v>7</v>
      </c>
      <c r="B36" s="3" t="s">
        <v>25</v>
      </c>
      <c r="C36" s="3">
        <v>647</v>
      </c>
      <c r="D36" s="3">
        <v>1</v>
      </c>
      <c r="E36" s="3" t="s">
        <v>23</v>
      </c>
      <c r="F36" s="3" t="s">
        <v>24</v>
      </c>
      <c r="G36" s="3" t="str">
        <f>"2026-04-30 16:22:15.505"</f>
        <v>2026-04-30 16:22:15.505</v>
      </c>
      <c r="H36" s="3" t="s">
        <v>21</v>
      </c>
      <c r="I36" s="3">
        <v>8.4</v>
      </c>
      <c r="J36" s="3" t="s">
        <v>26</v>
      </c>
    </row>
    <row r="37" spans="1:10" x14ac:dyDescent="0.25">
      <c r="A37" s="1">
        <v>8</v>
      </c>
      <c r="B37" t="s">
        <v>22</v>
      </c>
      <c r="C37">
        <v>635</v>
      </c>
      <c r="D37">
        <v>1</v>
      </c>
      <c r="E37" t="s">
        <v>27</v>
      </c>
      <c r="F37" t="s">
        <v>28</v>
      </c>
      <c r="G37" t="str">
        <f>"2026-04-30 15:42:00.805"</f>
        <v>2026-04-30 15:42:00.805</v>
      </c>
      <c r="H37" t="s">
        <v>21</v>
      </c>
    </row>
    <row r="38" spans="1:10" x14ac:dyDescent="0.25">
      <c r="A38" s="1">
        <v>9</v>
      </c>
      <c r="B38" t="s">
        <v>25</v>
      </c>
      <c r="C38">
        <v>635</v>
      </c>
      <c r="D38">
        <v>1</v>
      </c>
      <c r="E38" t="s">
        <v>27</v>
      </c>
      <c r="F38" t="s">
        <v>28</v>
      </c>
      <c r="G38" t="str">
        <f>"2026-04-30 15:39:31.805"</f>
        <v>2026-04-30 15:39:31.805</v>
      </c>
      <c r="H38" t="s">
        <v>21</v>
      </c>
      <c r="I38">
        <v>1.64</v>
      </c>
      <c r="J38" t="s">
        <v>29</v>
      </c>
    </row>
    <row r="39" spans="1:10" x14ac:dyDescent="0.25">
      <c r="A39" s="1">
        <v>0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"2026-04-30 13:18:33.297"</f>
        <v>2026-04-30 13:18:33.297</v>
      </c>
      <c r="H39" t="s">
        <v>21</v>
      </c>
    </row>
    <row r="40" spans="1:10" x14ac:dyDescent="0.25">
      <c r="A40" s="1">
        <v>1</v>
      </c>
      <c r="B40" t="s">
        <v>22</v>
      </c>
      <c r="C40">
        <v>635</v>
      </c>
      <c r="D40">
        <v>1</v>
      </c>
      <c r="E40" t="s">
        <v>27</v>
      </c>
      <c r="F40" t="s">
        <v>28</v>
      </c>
      <c r="G40" t="str">
        <f>"2026-04-30 08:49:23.942"</f>
        <v>2026-04-30 08:49:23.942</v>
      </c>
      <c r="H40" t="s">
        <v>21</v>
      </c>
    </row>
    <row r="41" spans="1:10" x14ac:dyDescent="0.25">
      <c r="A41" s="1">
        <v>2</v>
      </c>
      <c r="B41" t="s">
        <v>25</v>
      </c>
      <c r="C41">
        <v>635</v>
      </c>
      <c r="D41">
        <v>1</v>
      </c>
      <c r="E41" t="s">
        <v>27</v>
      </c>
      <c r="F41" t="s">
        <v>28</v>
      </c>
      <c r="G41" t="str">
        <f>"2026-04-30 08:46:29.442"</f>
        <v>2026-04-30 08:46:29.442</v>
      </c>
      <c r="H41" t="s">
        <v>21</v>
      </c>
      <c r="I41">
        <v>0.46</v>
      </c>
      <c r="J41" t="s">
        <v>26</v>
      </c>
    </row>
    <row r="42" spans="1:10" s="3" customFormat="1" x14ac:dyDescent="0.25">
      <c r="A42" s="2">
        <v>3</v>
      </c>
      <c r="B42" s="3" t="s">
        <v>22</v>
      </c>
      <c r="C42" s="3">
        <v>647</v>
      </c>
      <c r="D42" s="3">
        <v>1</v>
      </c>
      <c r="E42" s="3" t="s">
        <v>23</v>
      </c>
      <c r="F42" s="3" t="s">
        <v>24</v>
      </c>
      <c r="G42" s="3" t="str">
        <f>"2026-04-29 06:52:09.742"</f>
        <v>2026-04-29 06:52:09.742</v>
      </c>
      <c r="H42" s="3" t="s">
        <v>21</v>
      </c>
    </row>
    <row r="43" spans="1:10" s="3" customFormat="1" x14ac:dyDescent="0.25">
      <c r="A43" s="2">
        <v>4</v>
      </c>
      <c r="B43" s="3" t="s">
        <v>25</v>
      </c>
      <c r="C43" s="3">
        <v>647</v>
      </c>
      <c r="D43" s="3">
        <v>1</v>
      </c>
      <c r="E43" s="3" t="s">
        <v>23</v>
      </c>
      <c r="F43" s="3" t="s">
        <v>24</v>
      </c>
      <c r="G43" s="3" t="str">
        <f>"2026-04-29 06:52:03.042"</f>
        <v>2026-04-29 06:52:03.042</v>
      </c>
      <c r="H43" s="3" t="s">
        <v>21</v>
      </c>
      <c r="I43" s="3">
        <v>18.43</v>
      </c>
      <c r="J43" s="3" t="s">
        <v>26</v>
      </c>
    </row>
    <row r="44" spans="1:10" x14ac:dyDescent="0.25">
      <c r="A44" s="1">
        <v>5</v>
      </c>
      <c r="B44" t="s">
        <v>19</v>
      </c>
      <c r="C44">
        <v>706</v>
      </c>
      <c r="D44">
        <v>4</v>
      </c>
      <c r="E44" t="s">
        <v>30</v>
      </c>
      <c r="F44" t="s">
        <v>34</v>
      </c>
      <c r="G44" t="str">
        <f>"2026-04-29 01:35:55.671"</f>
        <v>2026-04-29 01:35:55.671</v>
      </c>
      <c r="H44" t="s">
        <v>21</v>
      </c>
      <c r="I44">
        <v>0</v>
      </c>
      <c r="J44" t="s">
        <v>32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"2026-04-29 01:35:16.131"</f>
        <v>2026-04-29 01:35:16.131</v>
      </c>
      <c r="H45" t="s">
        <v>21</v>
      </c>
      <c r="I45">
        <v>0</v>
      </c>
      <c r="J45" t="s">
        <v>33</v>
      </c>
    </row>
    <row r="46" spans="1:10" x14ac:dyDescent="0.25">
      <c r="A46" s="1">
        <v>7</v>
      </c>
      <c r="B46" t="s">
        <v>19</v>
      </c>
      <c r="C46">
        <v>706</v>
      </c>
      <c r="D46">
        <v>4</v>
      </c>
      <c r="E46" t="s">
        <v>30</v>
      </c>
      <c r="F46" t="s">
        <v>34</v>
      </c>
      <c r="G46" t="str">
        <f>"2026-04-28 21:40:02.889"</f>
        <v>2026-04-28 21:40:02.889</v>
      </c>
      <c r="H46" t="s">
        <v>21</v>
      </c>
      <c r="I46">
        <v>0</v>
      </c>
      <c r="J46" t="s">
        <v>32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"2026-04-28 21:38:59.149"</f>
        <v>2026-04-28 21:38:59.149</v>
      </c>
      <c r="H47" t="s">
        <v>21</v>
      </c>
      <c r="I47">
        <v>0</v>
      </c>
      <c r="J47" t="s">
        <v>33</v>
      </c>
    </row>
    <row r="48" spans="1:10" x14ac:dyDescent="0.25">
      <c r="A48" s="1">
        <v>9</v>
      </c>
      <c r="B48" t="s">
        <v>22</v>
      </c>
      <c r="C48">
        <v>635</v>
      </c>
      <c r="D48">
        <v>1</v>
      </c>
      <c r="E48" t="s">
        <v>27</v>
      </c>
      <c r="F48" t="s">
        <v>28</v>
      </c>
      <c r="G48" t="str">
        <f>"2026-04-28 15:43:23.192"</f>
        <v>2026-04-28 15:43:23.192</v>
      </c>
      <c r="H48" t="s">
        <v>21</v>
      </c>
    </row>
    <row r="49" spans="1:10" x14ac:dyDescent="0.25">
      <c r="A49" s="1">
        <v>0</v>
      </c>
      <c r="B49" t="s">
        <v>25</v>
      </c>
      <c r="C49">
        <v>635</v>
      </c>
      <c r="D49">
        <v>1</v>
      </c>
      <c r="E49" t="s">
        <v>27</v>
      </c>
      <c r="F49" t="s">
        <v>28</v>
      </c>
      <c r="G49" t="str">
        <f>"2026-04-28 15:40:09.692"</f>
        <v>2026-04-28 15:40:09.692</v>
      </c>
      <c r="H49" t="s">
        <v>21</v>
      </c>
      <c r="I49">
        <v>1.42</v>
      </c>
      <c r="J49" t="s">
        <v>35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"2026-04-28 07:47:12.337"</f>
        <v>2026-04-28 07:47:12.337</v>
      </c>
      <c r="H50" t="s">
        <v>21</v>
      </c>
      <c r="I50">
        <v>0</v>
      </c>
      <c r="J50" t="s">
        <v>33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"2026-04-27 15:05:06.124"</f>
        <v>2026-04-27 15:05:06.124</v>
      </c>
      <c r="H51" t="s">
        <v>21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"2026-04-27 14:51:22.172"</f>
        <v>2026-04-27 14:51:22.172</v>
      </c>
      <c r="H52" t="s">
        <v>21</v>
      </c>
      <c r="I52">
        <v>0</v>
      </c>
      <c r="J52" t="s">
        <v>33</v>
      </c>
    </row>
    <row r="53" spans="1:10" x14ac:dyDescent="0.25">
      <c r="A53" s="1">
        <v>6</v>
      </c>
      <c r="B53" t="s">
        <v>19</v>
      </c>
      <c r="C53">
        <v>706</v>
      </c>
      <c r="D53">
        <v>2</v>
      </c>
      <c r="E53" t="s">
        <v>30</v>
      </c>
      <c r="F53" t="s">
        <v>31</v>
      </c>
      <c r="G53" t="str">
        <f>"2026-04-25 19:49:07.918"</f>
        <v>2026-04-25 19:49:07.918</v>
      </c>
      <c r="H53" t="s">
        <v>21</v>
      </c>
      <c r="I53">
        <v>0</v>
      </c>
      <c r="J53" t="s">
        <v>32</v>
      </c>
    </row>
    <row r="54" spans="1:10" x14ac:dyDescent="0.25">
      <c r="A54" s="1">
        <v>7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"2026-04-25 19:48:03.148"</f>
        <v>2026-04-25 19:48:03.148</v>
      </c>
      <c r="H54" t="s">
        <v>21</v>
      </c>
    </row>
    <row r="55" spans="1:10" x14ac:dyDescent="0.25">
      <c r="A55" s="1">
        <v>8</v>
      </c>
      <c r="B55" t="s">
        <v>19</v>
      </c>
      <c r="C55">
        <v>706</v>
      </c>
      <c r="D55">
        <v>4</v>
      </c>
      <c r="E55" t="s">
        <v>30</v>
      </c>
      <c r="F55" t="s">
        <v>34</v>
      </c>
      <c r="G55" t="str">
        <f>"2026-04-25 07:48:57.485"</f>
        <v>2026-04-25 07:48:57.485</v>
      </c>
      <c r="H55" t="s">
        <v>21</v>
      </c>
      <c r="I55">
        <v>0</v>
      </c>
      <c r="J55" t="s">
        <v>32</v>
      </c>
    </row>
    <row r="56" spans="1:10" x14ac:dyDescent="0.25">
      <c r="A56" s="1">
        <v>9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"2026-04-25 07:48:41.135"</f>
        <v>2026-04-25 07:48:41.135</v>
      </c>
      <c r="H56" t="s">
        <v>21</v>
      </c>
      <c r="I56">
        <v>0</v>
      </c>
      <c r="J56" t="s">
        <v>33</v>
      </c>
    </row>
    <row r="57" spans="1:10" x14ac:dyDescent="0.25">
      <c r="A57" s="1">
        <v>0</v>
      </c>
      <c r="B57" t="s">
        <v>19</v>
      </c>
      <c r="C57">
        <v>706</v>
      </c>
      <c r="D57">
        <v>4</v>
      </c>
      <c r="E57" t="s">
        <v>30</v>
      </c>
      <c r="F57" t="s">
        <v>34</v>
      </c>
      <c r="G57" t="str">
        <f>"2026-04-25 05:04:20.469"</f>
        <v>2026-04-25 05:04:20.469</v>
      </c>
      <c r="H57" t="s">
        <v>21</v>
      </c>
      <c r="I57">
        <v>0</v>
      </c>
      <c r="J57" t="s">
        <v>32</v>
      </c>
    </row>
    <row r="58" spans="1:10" x14ac:dyDescent="0.25">
      <c r="A58" s="1">
        <v>1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"2026-04-25 04:59:44.129"</f>
        <v>2026-04-25 04:59:44.129</v>
      </c>
      <c r="H58" t="s">
        <v>21</v>
      </c>
      <c r="I58">
        <v>0</v>
      </c>
      <c r="J58" t="s">
        <v>33</v>
      </c>
    </row>
    <row r="59" spans="1:10" x14ac:dyDescent="0.25">
      <c r="A59" s="1">
        <v>2</v>
      </c>
      <c r="B59" t="s">
        <v>19</v>
      </c>
      <c r="C59">
        <v>706</v>
      </c>
      <c r="D59">
        <v>4</v>
      </c>
      <c r="E59" t="s">
        <v>30</v>
      </c>
      <c r="F59" t="s">
        <v>34</v>
      </c>
      <c r="G59" t="str">
        <f>"2026-04-25 04:51:37.664"</f>
        <v>2026-04-25 04:51:37.664</v>
      </c>
      <c r="H59" t="s">
        <v>21</v>
      </c>
      <c r="I59">
        <v>0</v>
      </c>
      <c r="J59" t="s">
        <v>32</v>
      </c>
    </row>
    <row r="60" spans="1:10" x14ac:dyDescent="0.25">
      <c r="A60" s="1">
        <v>3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"2026-04-25 04:39:49.164"</f>
        <v>2026-04-25 04:39:49.164</v>
      </c>
      <c r="H60" t="s">
        <v>21</v>
      </c>
      <c r="I60">
        <v>0</v>
      </c>
      <c r="J60" t="s">
        <v>33</v>
      </c>
    </row>
    <row r="61" spans="1:10" s="3" customFormat="1" x14ac:dyDescent="0.25">
      <c r="A61" s="2">
        <v>4</v>
      </c>
      <c r="B61" s="3" t="s">
        <v>22</v>
      </c>
      <c r="C61" s="3">
        <v>647</v>
      </c>
      <c r="D61" s="3">
        <v>1</v>
      </c>
      <c r="E61" s="3" t="s">
        <v>23</v>
      </c>
      <c r="F61" s="3" t="s">
        <v>24</v>
      </c>
      <c r="G61" s="3" t="str">
        <f>"2026-04-24 21:39:54.532"</f>
        <v>2026-04-24 21:39:54.532</v>
      </c>
      <c r="H61" s="3" t="s">
        <v>21</v>
      </c>
    </row>
    <row r="62" spans="1:10" s="3" customFormat="1" x14ac:dyDescent="0.25">
      <c r="A62" s="2">
        <v>5</v>
      </c>
      <c r="B62" s="3" t="s">
        <v>25</v>
      </c>
      <c r="C62" s="3">
        <v>647</v>
      </c>
      <c r="D62" s="3">
        <v>1</v>
      </c>
      <c r="E62" s="3" t="s">
        <v>23</v>
      </c>
      <c r="F62" s="3" t="s">
        <v>24</v>
      </c>
      <c r="G62" s="3" t="str">
        <f>"2026-04-24 21:39:44.933"</f>
        <v>2026-04-24 21:39:44.933</v>
      </c>
      <c r="H62" s="3" t="s">
        <v>21</v>
      </c>
      <c r="I62" s="3">
        <v>12.98</v>
      </c>
      <c r="J62" s="3" t="s">
        <v>26</v>
      </c>
    </row>
    <row r="63" spans="1:10" x14ac:dyDescent="0.25">
      <c r="A63" s="1">
        <v>6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"2026-04-24 13:50:12.121"</f>
        <v>2026-04-24 13:50:12.121</v>
      </c>
      <c r="H63" t="s">
        <v>21</v>
      </c>
    </row>
    <row r="64" spans="1:10" x14ac:dyDescent="0.25">
      <c r="A64" s="1">
        <v>7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"2026-04-24 13:49:15.160"</f>
        <v>2026-04-24 13:49:15.160</v>
      </c>
      <c r="H64" t="s">
        <v>21</v>
      </c>
    </row>
    <row r="65" spans="1:10" x14ac:dyDescent="0.25">
      <c r="A65" s="1">
        <v>8</v>
      </c>
      <c r="B65" t="s">
        <v>22</v>
      </c>
      <c r="C65">
        <v>635</v>
      </c>
      <c r="D65">
        <v>1</v>
      </c>
      <c r="E65" t="s">
        <v>27</v>
      </c>
      <c r="F65" t="s">
        <v>28</v>
      </c>
      <c r="G65" t="str">
        <f>"2026-04-24 08:38:36.828"</f>
        <v>2026-04-24 08:38:36.828</v>
      </c>
      <c r="H65" t="s">
        <v>21</v>
      </c>
    </row>
    <row r="66" spans="1:10" x14ac:dyDescent="0.25">
      <c r="A66" s="1">
        <v>9</v>
      </c>
      <c r="B66" t="s">
        <v>25</v>
      </c>
      <c r="C66">
        <v>635</v>
      </c>
      <c r="D66">
        <v>1</v>
      </c>
      <c r="E66" t="s">
        <v>27</v>
      </c>
      <c r="F66" t="s">
        <v>28</v>
      </c>
      <c r="G66" t="str">
        <f>"2026-04-24 08:33:44.328"</f>
        <v>2026-04-24 08:33:44.328</v>
      </c>
      <c r="H66" t="s">
        <v>21</v>
      </c>
      <c r="I66">
        <v>1.55</v>
      </c>
      <c r="J66" t="s">
        <v>29</v>
      </c>
    </row>
    <row r="67" spans="1:10" x14ac:dyDescent="0.25">
      <c r="A67" s="1">
        <v>0</v>
      </c>
      <c r="B67" t="s">
        <v>19</v>
      </c>
      <c r="C67">
        <v>706</v>
      </c>
      <c r="D67">
        <v>2</v>
      </c>
      <c r="E67" t="s">
        <v>30</v>
      </c>
      <c r="F67" t="s">
        <v>31</v>
      </c>
      <c r="G67" t="str">
        <f>"2026-04-23 20:49:04.703"</f>
        <v>2026-04-23 20:49:04.703</v>
      </c>
      <c r="H67" t="s">
        <v>21</v>
      </c>
      <c r="I67">
        <v>0</v>
      </c>
      <c r="J67" t="s">
        <v>32</v>
      </c>
    </row>
    <row r="68" spans="1:10" x14ac:dyDescent="0.25">
      <c r="A68" s="1">
        <v>1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"2026-04-23 20:48:49.163"</f>
        <v>2026-04-23 20:48:49.163</v>
      </c>
      <c r="H68" t="s">
        <v>21</v>
      </c>
      <c r="I68">
        <v>0</v>
      </c>
      <c r="J68" t="s">
        <v>33</v>
      </c>
    </row>
    <row r="69" spans="1:10" x14ac:dyDescent="0.25">
      <c r="A69" s="1">
        <v>3</v>
      </c>
      <c r="B69" t="s">
        <v>22</v>
      </c>
      <c r="C69">
        <v>635</v>
      </c>
      <c r="D69">
        <v>1</v>
      </c>
      <c r="E69" t="s">
        <v>27</v>
      </c>
      <c r="F69" t="s">
        <v>28</v>
      </c>
      <c r="G69" t="str">
        <f>"2026-04-23 00:04:50.129"</f>
        <v>2026-04-23 00:04:50.129</v>
      </c>
      <c r="H69" t="s">
        <v>21</v>
      </c>
    </row>
    <row r="70" spans="1:10" x14ac:dyDescent="0.25">
      <c r="A70" s="1">
        <v>4</v>
      </c>
      <c r="B70" t="s">
        <v>25</v>
      </c>
      <c r="C70">
        <v>635</v>
      </c>
      <c r="D70">
        <v>1</v>
      </c>
      <c r="E70" t="s">
        <v>27</v>
      </c>
      <c r="F70" t="s">
        <v>28</v>
      </c>
      <c r="G70" t="str">
        <f>"2026-04-23 00:00:20.129"</f>
        <v>2026-04-23 00:00:20.129</v>
      </c>
      <c r="H70" t="s">
        <v>21</v>
      </c>
      <c r="I70">
        <v>7.95</v>
      </c>
      <c r="J70" t="s">
        <v>29</v>
      </c>
    </row>
    <row r="71" spans="1:10" x14ac:dyDescent="0.25">
      <c r="A71" s="1">
        <v>5</v>
      </c>
      <c r="B71" t="s">
        <v>19</v>
      </c>
      <c r="C71">
        <v>706</v>
      </c>
      <c r="D71">
        <v>4</v>
      </c>
      <c r="E71" t="s">
        <v>30</v>
      </c>
      <c r="F71" t="s">
        <v>34</v>
      </c>
      <c r="G71" t="str">
        <f>"2026-04-22 16:19:10.264"</f>
        <v>2026-04-22 16:19:10.264</v>
      </c>
      <c r="H71" t="s">
        <v>21</v>
      </c>
      <c r="I71">
        <v>0</v>
      </c>
      <c r="J71" t="s">
        <v>32</v>
      </c>
    </row>
    <row r="72" spans="1:10" x14ac:dyDescent="0.25">
      <c r="A72" s="1">
        <v>6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"2026-04-22 15:27:00.114"</f>
        <v>2026-04-22 15:27:00.114</v>
      </c>
      <c r="H72" t="s">
        <v>21</v>
      </c>
      <c r="I72">
        <v>0</v>
      </c>
      <c r="J72" t="s">
        <v>33</v>
      </c>
    </row>
    <row r="73" spans="1:10" x14ac:dyDescent="0.25">
      <c r="A73" s="1">
        <v>7</v>
      </c>
      <c r="B73" t="s">
        <v>19</v>
      </c>
      <c r="C73">
        <v>706</v>
      </c>
      <c r="D73">
        <v>4</v>
      </c>
      <c r="E73" t="s">
        <v>30</v>
      </c>
      <c r="F73" t="s">
        <v>34</v>
      </c>
      <c r="G73" t="str">
        <f>"2026-04-22 15:18:02.467"</f>
        <v>2026-04-22 15:18:02.467</v>
      </c>
      <c r="H73" t="s">
        <v>21</v>
      </c>
      <c r="I73">
        <v>0</v>
      </c>
      <c r="J73" t="s">
        <v>32</v>
      </c>
    </row>
    <row r="74" spans="1:10" x14ac:dyDescent="0.25">
      <c r="A74" s="1">
        <v>8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"2026-04-22 15:17:06.257"</f>
        <v>2026-04-22 15:17:06.257</v>
      </c>
      <c r="H74" t="s">
        <v>21</v>
      </c>
    </row>
    <row r="75" spans="1:10" x14ac:dyDescent="0.25">
      <c r="A75" s="1">
        <v>9</v>
      </c>
      <c r="B75" t="s">
        <v>19</v>
      </c>
      <c r="C75">
        <v>706</v>
      </c>
      <c r="D75">
        <v>4</v>
      </c>
      <c r="E75" t="s">
        <v>30</v>
      </c>
      <c r="F75" t="s">
        <v>34</v>
      </c>
      <c r="G75" t="str">
        <f>"2026-04-22 14:55:50.182"</f>
        <v>2026-04-22 14:55:50.182</v>
      </c>
      <c r="H75" t="s">
        <v>21</v>
      </c>
      <c r="I75">
        <v>0</v>
      </c>
      <c r="J75" t="s">
        <v>32</v>
      </c>
    </row>
    <row r="76" spans="1:10" x14ac:dyDescent="0.25">
      <c r="A76" s="1">
        <v>0</v>
      </c>
      <c r="B76" t="s">
        <v>19</v>
      </c>
      <c r="C76">
        <v>706</v>
      </c>
      <c r="D76">
        <v>3</v>
      </c>
      <c r="E76" t="s">
        <v>30</v>
      </c>
      <c r="F76" t="s">
        <v>36</v>
      </c>
      <c r="G76" t="str">
        <f>"2026-04-22 14:39:52.882"</f>
        <v>2026-04-22 14:39:52.882</v>
      </c>
      <c r="H76" t="s">
        <v>21</v>
      </c>
      <c r="I76">
        <v>0</v>
      </c>
      <c r="J76" t="s">
        <v>32</v>
      </c>
    </row>
    <row r="77" spans="1:10" s="3" customFormat="1" x14ac:dyDescent="0.25">
      <c r="A77" s="2">
        <v>1</v>
      </c>
      <c r="B77" s="3" t="s">
        <v>22</v>
      </c>
      <c r="C77" s="3">
        <v>647</v>
      </c>
      <c r="D77" s="3">
        <v>1</v>
      </c>
      <c r="E77" s="3" t="s">
        <v>23</v>
      </c>
      <c r="F77" s="3" t="s">
        <v>24</v>
      </c>
      <c r="G77" s="3" t="str">
        <f>"2026-04-21 08:57:07.874"</f>
        <v>2026-04-21 08:57:07.874</v>
      </c>
      <c r="H77" s="3" t="s">
        <v>21</v>
      </c>
    </row>
    <row r="78" spans="1:10" s="3" customFormat="1" x14ac:dyDescent="0.25">
      <c r="A78" s="2">
        <v>2</v>
      </c>
      <c r="B78" s="3" t="s">
        <v>25</v>
      </c>
      <c r="C78" s="3">
        <v>647</v>
      </c>
      <c r="D78" s="3">
        <v>1</v>
      </c>
      <c r="E78" s="3" t="s">
        <v>23</v>
      </c>
      <c r="F78" s="3" t="s">
        <v>24</v>
      </c>
      <c r="G78" s="3" t="str">
        <f>"2026-04-21 08:57:02.974"</f>
        <v>2026-04-21 08:57:02.974</v>
      </c>
      <c r="H78" s="3" t="s">
        <v>21</v>
      </c>
      <c r="I78" s="3">
        <v>9.25</v>
      </c>
      <c r="J78" s="3" t="s">
        <v>26</v>
      </c>
    </row>
    <row r="79" spans="1:10" x14ac:dyDescent="0.25">
      <c r="A79" s="1">
        <v>3</v>
      </c>
      <c r="B79" t="s">
        <v>22</v>
      </c>
      <c r="C79">
        <v>635</v>
      </c>
      <c r="D79">
        <v>1</v>
      </c>
      <c r="E79" t="s">
        <v>27</v>
      </c>
      <c r="F79" t="s">
        <v>28</v>
      </c>
      <c r="G79" t="str">
        <f>"2026-04-20 23:53:17.674"</f>
        <v>2026-04-20 23:53:17.674</v>
      </c>
      <c r="H79" t="s">
        <v>21</v>
      </c>
    </row>
    <row r="80" spans="1:10" x14ac:dyDescent="0.25">
      <c r="A80" s="1">
        <v>4</v>
      </c>
      <c r="B80" t="s">
        <v>25</v>
      </c>
      <c r="C80">
        <v>635</v>
      </c>
      <c r="D80">
        <v>1</v>
      </c>
      <c r="E80" t="s">
        <v>27</v>
      </c>
      <c r="F80" t="s">
        <v>28</v>
      </c>
      <c r="G80" t="str">
        <f>"2026-04-20 23:16:47.174"</f>
        <v>2026-04-20 23:16:47.174</v>
      </c>
      <c r="H80" t="s">
        <v>21</v>
      </c>
      <c r="I80">
        <v>8.19</v>
      </c>
      <c r="J80" t="s">
        <v>29</v>
      </c>
    </row>
    <row r="81" spans="1:10" s="3" customFormat="1" x14ac:dyDescent="0.25">
      <c r="A81" s="2">
        <v>5</v>
      </c>
      <c r="B81" s="3" t="s">
        <v>22</v>
      </c>
      <c r="C81" s="3">
        <v>647</v>
      </c>
      <c r="D81" s="3">
        <v>1</v>
      </c>
      <c r="E81" s="3" t="s">
        <v>23</v>
      </c>
      <c r="F81" s="3" t="s">
        <v>24</v>
      </c>
      <c r="G81" s="3" t="str">
        <f>"2026-04-20 22:48:54.274"</f>
        <v>2026-04-20 22:48:54.274</v>
      </c>
      <c r="H81" s="3" t="s">
        <v>21</v>
      </c>
    </row>
    <row r="82" spans="1:10" s="3" customFormat="1" x14ac:dyDescent="0.25">
      <c r="A82" s="2">
        <v>6</v>
      </c>
      <c r="B82" s="3" t="s">
        <v>25</v>
      </c>
      <c r="C82" s="3">
        <v>647</v>
      </c>
      <c r="D82" s="3">
        <v>1</v>
      </c>
      <c r="E82" s="3" t="s">
        <v>23</v>
      </c>
      <c r="F82" s="3" t="s">
        <v>24</v>
      </c>
      <c r="G82" s="3" t="str">
        <f>"2026-04-20 22:48:52.374"</f>
        <v>2026-04-20 22:48:52.374</v>
      </c>
      <c r="H82" s="3" t="s">
        <v>21</v>
      </c>
      <c r="I82" s="3">
        <v>11.92</v>
      </c>
      <c r="J82" s="3" t="s">
        <v>26</v>
      </c>
    </row>
    <row r="83" spans="1:10" x14ac:dyDescent="0.25">
      <c r="A83" s="1">
        <v>7</v>
      </c>
      <c r="B83" t="s">
        <v>19</v>
      </c>
      <c r="C83">
        <v>706</v>
      </c>
      <c r="D83">
        <v>2</v>
      </c>
      <c r="E83" t="s">
        <v>30</v>
      </c>
      <c r="F83" t="s">
        <v>31</v>
      </c>
      <c r="G83" t="str">
        <f>"2026-04-20 20:47:08.562"</f>
        <v>2026-04-20 20:47:08.562</v>
      </c>
      <c r="H83" t="s">
        <v>21</v>
      </c>
      <c r="I83">
        <v>0</v>
      </c>
      <c r="J83" t="s">
        <v>32</v>
      </c>
    </row>
    <row r="84" spans="1:10" x14ac:dyDescent="0.25">
      <c r="A84" s="1">
        <v>8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"2026-04-20 20:46:35.162"</f>
        <v>2026-04-20 20:46:35.162</v>
      </c>
      <c r="H84" t="s">
        <v>21</v>
      </c>
      <c r="I84">
        <v>0</v>
      </c>
      <c r="J84" t="s">
        <v>33</v>
      </c>
    </row>
    <row r="85" spans="1:10" x14ac:dyDescent="0.25">
      <c r="A85" s="1">
        <v>9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"2026-04-20 08:08:06.115"</f>
        <v>2026-04-20 08:08:06.115</v>
      </c>
      <c r="H85" t="s">
        <v>21</v>
      </c>
      <c r="I85">
        <v>0</v>
      </c>
      <c r="J85" t="s">
        <v>33</v>
      </c>
    </row>
    <row r="86" spans="1:10" x14ac:dyDescent="0.25">
      <c r="A86" s="1">
        <v>0</v>
      </c>
      <c r="B86" t="s">
        <v>22</v>
      </c>
      <c r="C86">
        <v>635</v>
      </c>
      <c r="D86">
        <v>1</v>
      </c>
      <c r="E86" t="s">
        <v>27</v>
      </c>
      <c r="F86" t="s">
        <v>28</v>
      </c>
      <c r="G86" t="str">
        <f>"2026-04-20 02:29:19.621"</f>
        <v>2026-04-20 02:29:19.621</v>
      </c>
      <c r="H86" t="s">
        <v>21</v>
      </c>
    </row>
    <row r="87" spans="1:10" x14ac:dyDescent="0.25">
      <c r="A87" s="1">
        <v>1</v>
      </c>
      <c r="B87" t="s">
        <v>25</v>
      </c>
      <c r="C87">
        <v>635</v>
      </c>
      <c r="D87">
        <v>1</v>
      </c>
      <c r="E87" t="s">
        <v>27</v>
      </c>
      <c r="F87" t="s">
        <v>28</v>
      </c>
      <c r="G87" t="str">
        <f>"2026-04-20 02:04:47.121"</f>
        <v>2026-04-20 02:04:47.121</v>
      </c>
      <c r="H87" t="s">
        <v>21</v>
      </c>
      <c r="I87">
        <v>7.78</v>
      </c>
      <c r="J87" t="s">
        <v>29</v>
      </c>
    </row>
    <row r="88" spans="1:10" x14ac:dyDescent="0.25">
      <c r="A88" s="1">
        <v>2</v>
      </c>
      <c r="B88" t="s">
        <v>22</v>
      </c>
      <c r="C88">
        <v>635</v>
      </c>
      <c r="D88">
        <v>1</v>
      </c>
      <c r="E88" t="s">
        <v>27</v>
      </c>
      <c r="F88" t="s">
        <v>28</v>
      </c>
      <c r="G88" t="str">
        <f>"2026-04-18 16:23:49.321"</f>
        <v>2026-04-18 16:23:49.321</v>
      </c>
      <c r="H88" t="s">
        <v>21</v>
      </c>
    </row>
    <row r="89" spans="1:10" x14ac:dyDescent="0.25">
      <c r="A89" s="1">
        <v>3</v>
      </c>
      <c r="B89" t="s">
        <v>25</v>
      </c>
      <c r="C89">
        <v>635</v>
      </c>
      <c r="D89">
        <v>1</v>
      </c>
      <c r="E89" t="s">
        <v>27</v>
      </c>
      <c r="F89" t="s">
        <v>28</v>
      </c>
      <c r="G89" t="str">
        <f>"2026-04-18 16:21:48.321"</f>
        <v>2026-04-18 16:21:48.321</v>
      </c>
      <c r="H89" t="s">
        <v>21</v>
      </c>
      <c r="I89">
        <v>6.22</v>
      </c>
      <c r="J89" t="s">
        <v>35</v>
      </c>
    </row>
    <row r="90" spans="1:10" x14ac:dyDescent="0.25">
      <c r="A90" s="1">
        <v>4</v>
      </c>
      <c r="B90" t="s">
        <v>22</v>
      </c>
      <c r="C90">
        <v>635</v>
      </c>
      <c r="D90">
        <v>1</v>
      </c>
      <c r="E90" t="s">
        <v>27</v>
      </c>
      <c r="F90" t="s">
        <v>28</v>
      </c>
      <c r="G90" t="str">
        <f>"2026-04-18 08:37:32.621"</f>
        <v>2026-04-18 08:37:32.621</v>
      </c>
      <c r="H90" t="s">
        <v>21</v>
      </c>
    </row>
    <row r="91" spans="1:10" x14ac:dyDescent="0.25">
      <c r="A91" s="1">
        <v>5</v>
      </c>
      <c r="B91" t="s">
        <v>25</v>
      </c>
      <c r="C91">
        <v>635</v>
      </c>
      <c r="D91">
        <v>1</v>
      </c>
      <c r="E91" t="s">
        <v>27</v>
      </c>
      <c r="F91" t="s">
        <v>28</v>
      </c>
      <c r="G91" t="str">
        <f>"2026-04-18 08:22:52.721"</f>
        <v>2026-04-18 08:22:52.721</v>
      </c>
      <c r="H91" t="s">
        <v>21</v>
      </c>
      <c r="I91">
        <v>9.25</v>
      </c>
      <c r="J91" t="s">
        <v>26</v>
      </c>
    </row>
    <row r="92" spans="1:10" x14ac:dyDescent="0.25">
      <c r="A92" s="1">
        <v>6</v>
      </c>
      <c r="B92" t="s">
        <v>22</v>
      </c>
      <c r="C92">
        <v>635</v>
      </c>
      <c r="D92">
        <v>1</v>
      </c>
      <c r="E92" t="s">
        <v>27</v>
      </c>
      <c r="F92" t="s">
        <v>28</v>
      </c>
      <c r="G92" t="str">
        <f>"2026-04-17 06:51:49.221"</f>
        <v>2026-04-17 06:51:49.221</v>
      </c>
      <c r="H92" t="s">
        <v>21</v>
      </c>
    </row>
    <row r="93" spans="1:10" x14ac:dyDescent="0.25">
      <c r="A93" s="1">
        <v>7</v>
      </c>
      <c r="B93" t="s">
        <v>25</v>
      </c>
      <c r="C93">
        <v>635</v>
      </c>
      <c r="D93">
        <v>1</v>
      </c>
      <c r="E93" t="s">
        <v>27</v>
      </c>
      <c r="F93" t="s">
        <v>28</v>
      </c>
      <c r="G93" t="str">
        <f>"2026-04-17 06:49:00.721"</f>
        <v>2026-04-17 06:49:00.721</v>
      </c>
      <c r="H93" t="s">
        <v>21</v>
      </c>
      <c r="I93">
        <v>0.52</v>
      </c>
      <c r="J93" t="s">
        <v>26</v>
      </c>
    </row>
    <row r="94" spans="1:10" x14ac:dyDescent="0.25">
      <c r="A94" s="1">
        <v>8</v>
      </c>
      <c r="B94" t="s">
        <v>19</v>
      </c>
      <c r="C94">
        <v>706</v>
      </c>
      <c r="D94">
        <v>4</v>
      </c>
      <c r="E94" t="s">
        <v>30</v>
      </c>
      <c r="F94" t="s">
        <v>34</v>
      </c>
      <c r="G94" t="str">
        <f>"2026-04-16 13:26:15.973"</f>
        <v>2026-04-16 13:26:15.973</v>
      </c>
      <c r="H94" t="s">
        <v>21</v>
      </c>
      <c r="I94">
        <v>0</v>
      </c>
      <c r="J94" t="s">
        <v>32</v>
      </c>
    </row>
    <row r="95" spans="1:10" x14ac:dyDescent="0.25">
      <c r="A95" s="1">
        <v>9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"2026-04-16 13:25:20.133"</f>
        <v>2026-04-16 13:25:20.133</v>
      </c>
      <c r="H95" t="s">
        <v>21</v>
      </c>
    </row>
    <row r="96" spans="1:10" x14ac:dyDescent="0.25">
      <c r="A96" s="1">
        <v>0</v>
      </c>
      <c r="B96" t="s">
        <v>22</v>
      </c>
      <c r="C96">
        <v>635</v>
      </c>
      <c r="D96">
        <v>1</v>
      </c>
      <c r="E96" t="s">
        <v>27</v>
      </c>
      <c r="F96" t="s">
        <v>28</v>
      </c>
      <c r="G96" t="str">
        <f>"2026-04-15 02:50:00.978"</f>
        <v>2026-04-15 02:50:00.978</v>
      </c>
      <c r="H96" t="s">
        <v>21</v>
      </c>
    </row>
    <row r="97" spans="1:10" x14ac:dyDescent="0.25">
      <c r="A97" s="1">
        <v>1</v>
      </c>
      <c r="B97" t="s">
        <v>25</v>
      </c>
      <c r="C97">
        <v>635</v>
      </c>
      <c r="D97">
        <v>1</v>
      </c>
      <c r="E97" t="s">
        <v>27</v>
      </c>
      <c r="F97" t="s">
        <v>28</v>
      </c>
      <c r="G97" t="str">
        <f>"2026-04-15 02:44:32.478"</f>
        <v>2026-04-15 02:44:32.478</v>
      </c>
      <c r="H97" t="s">
        <v>21</v>
      </c>
      <c r="I97">
        <v>4.29</v>
      </c>
      <c r="J97" t="s">
        <v>29</v>
      </c>
    </row>
    <row r="98" spans="1:10" x14ac:dyDescent="0.25">
      <c r="A98" s="1">
        <v>3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"2026-04-14 14:25:00.115"</f>
        <v>2026-04-14 14:25:00.115</v>
      </c>
      <c r="H98" t="s">
        <v>21</v>
      </c>
    </row>
    <row r="99" spans="1:10" x14ac:dyDescent="0.25">
      <c r="A99" s="1">
        <v>4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"2026-04-14 08:34:23.323"</f>
        <v>2026-04-14 08:34:23.323</v>
      </c>
      <c r="H99" t="s">
        <v>21</v>
      </c>
    </row>
    <row r="100" spans="1:10" x14ac:dyDescent="0.25">
      <c r="A100" s="1">
        <v>5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"2026-04-14 07:56:14.156"</f>
        <v>2026-04-14 07:56:14.156</v>
      </c>
      <c r="H100" t="s">
        <v>21</v>
      </c>
      <c r="I100">
        <v>0</v>
      </c>
      <c r="J100" t="s">
        <v>33</v>
      </c>
    </row>
    <row r="101" spans="1:10" s="3" customFormat="1" x14ac:dyDescent="0.25">
      <c r="A101" s="2">
        <v>6</v>
      </c>
      <c r="B101" s="3" t="s">
        <v>22</v>
      </c>
      <c r="C101" s="3">
        <v>647</v>
      </c>
      <c r="D101" s="3">
        <v>1</v>
      </c>
      <c r="E101" s="3" t="s">
        <v>23</v>
      </c>
      <c r="F101" s="3" t="s">
        <v>24</v>
      </c>
      <c r="G101" s="3" t="str">
        <f>"2026-04-13 17:54:32.448"</f>
        <v>2026-04-13 17:54:32.448</v>
      </c>
      <c r="H101" s="3" t="s">
        <v>21</v>
      </c>
    </row>
    <row r="102" spans="1:10" s="3" customFormat="1" x14ac:dyDescent="0.25">
      <c r="A102" s="2">
        <v>7</v>
      </c>
      <c r="B102" s="3" t="s">
        <v>25</v>
      </c>
      <c r="C102" s="3">
        <v>647</v>
      </c>
      <c r="D102" s="3">
        <v>1</v>
      </c>
      <c r="E102" s="3" t="s">
        <v>23</v>
      </c>
      <c r="F102" s="3" t="s">
        <v>24</v>
      </c>
      <c r="G102" s="3" t="str">
        <f>"2026-04-13 17:54:31.149"</f>
        <v>2026-04-13 17:54:31.149</v>
      </c>
      <c r="H102" s="3" t="s">
        <v>21</v>
      </c>
      <c r="I102" s="3">
        <v>10.51</v>
      </c>
      <c r="J102" s="3" t="s">
        <v>26</v>
      </c>
    </row>
    <row r="103" spans="1:10" x14ac:dyDescent="0.25">
      <c r="A103" s="1">
        <v>8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"2026-04-13 15:26:47.117"</f>
        <v>2026-04-13 15:26:47.117</v>
      </c>
      <c r="H103" t="s">
        <v>21</v>
      </c>
    </row>
    <row r="104" spans="1:10" x14ac:dyDescent="0.25">
      <c r="A104" s="1">
        <v>9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"2026-04-13 10:21:40.112"</f>
        <v>2026-04-13 10:21:40.112</v>
      </c>
      <c r="H104" t="s">
        <v>21</v>
      </c>
    </row>
    <row r="105" spans="1:10" x14ac:dyDescent="0.25">
      <c r="A105" s="1">
        <v>0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"2026-04-13 01:32:10.134"</f>
        <v>2026-04-13 01:32:10.134</v>
      </c>
      <c r="H105" t="s">
        <v>21</v>
      </c>
    </row>
    <row r="106" spans="1:10" x14ac:dyDescent="0.25">
      <c r="A106" s="1">
        <v>1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"2026-04-12 13:58:08.117"</f>
        <v>2026-04-12 13:58:08.117</v>
      </c>
      <c r="H106" t="s">
        <v>21</v>
      </c>
    </row>
    <row r="107" spans="1:10" s="3" customFormat="1" x14ac:dyDescent="0.25">
      <c r="A107" s="2">
        <v>2</v>
      </c>
      <c r="B107" s="3" t="s">
        <v>22</v>
      </c>
      <c r="C107" s="3">
        <v>647</v>
      </c>
      <c r="D107" s="3">
        <v>1</v>
      </c>
      <c r="E107" s="3" t="s">
        <v>23</v>
      </c>
      <c r="F107" s="3" t="s">
        <v>24</v>
      </c>
      <c r="G107" s="3" t="str">
        <f>"2026-04-12 07:24:24.134"</f>
        <v>2026-04-12 07:24:24.134</v>
      </c>
      <c r="H107" s="3" t="s">
        <v>21</v>
      </c>
    </row>
    <row r="108" spans="1:10" s="3" customFormat="1" x14ac:dyDescent="0.25">
      <c r="A108" s="2">
        <v>3</v>
      </c>
      <c r="B108" s="3" t="s">
        <v>25</v>
      </c>
      <c r="C108" s="3">
        <v>647</v>
      </c>
      <c r="D108" s="3">
        <v>1</v>
      </c>
      <c r="E108" s="3" t="s">
        <v>23</v>
      </c>
      <c r="F108" s="3" t="s">
        <v>24</v>
      </c>
      <c r="G108" s="3" t="str">
        <f>"2026-04-12 07:24:20.834"</f>
        <v>2026-04-12 07:24:20.834</v>
      </c>
      <c r="H108" s="3" t="s">
        <v>21</v>
      </c>
      <c r="I108" s="3">
        <v>11.12</v>
      </c>
      <c r="J108" s="3" t="s">
        <v>26</v>
      </c>
    </row>
    <row r="109" spans="1:10" x14ac:dyDescent="0.25">
      <c r="A109" s="1">
        <v>4</v>
      </c>
      <c r="B109" t="s">
        <v>37</v>
      </c>
      <c r="C109">
        <v>626</v>
      </c>
      <c r="D109">
        <v>1</v>
      </c>
      <c r="E109" t="s">
        <v>38</v>
      </c>
      <c r="F109" t="s">
        <v>28</v>
      </c>
      <c r="G109" t="str">
        <f>"2026-04-11 20:15:39.532"</f>
        <v>2026-04-11 20:15:39.532</v>
      </c>
      <c r="H109" t="s">
        <v>39</v>
      </c>
    </row>
    <row r="110" spans="1:10" x14ac:dyDescent="0.25">
      <c r="A110" s="1">
        <v>5</v>
      </c>
      <c r="B110" t="s">
        <v>40</v>
      </c>
      <c r="C110">
        <v>626</v>
      </c>
      <c r="D110">
        <v>1</v>
      </c>
      <c r="E110" t="s">
        <v>38</v>
      </c>
      <c r="F110" t="s">
        <v>28</v>
      </c>
      <c r="G110" t="str">
        <f>"2026-04-11 20:15:34.432"</f>
        <v>2026-04-11 20:15:34.432</v>
      </c>
      <c r="H110" t="s">
        <v>39</v>
      </c>
      <c r="I110">
        <v>8.4499999999999993</v>
      </c>
      <c r="J110" t="s">
        <v>35</v>
      </c>
    </row>
    <row r="111" spans="1:10" s="3" customFormat="1" x14ac:dyDescent="0.25">
      <c r="A111" s="2">
        <v>6</v>
      </c>
      <c r="B111" s="3" t="s">
        <v>22</v>
      </c>
      <c r="C111" s="3">
        <v>647</v>
      </c>
      <c r="D111" s="3">
        <v>1</v>
      </c>
      <c r="E111" s="3" t="s">
        <v>23</v>
      </c>
      <c r="F111" s="3" t="s">
        <v>24</v>
      </c>
      <c r="G111" s="3" t="str">
        <f>"2026-04-11 10:50:11.034"</f>
        <v>2026-04-11 10:50:11.034</v>
      </c>
      <c r="H111" s="3" t="s">
        <v>21</v>
      </c>
    </row>
    <row r="112" spans="1:10" s="3" customFormat="1" x14ac:dyDescent="0.25">
      <c r="A112" s="2">
        <v>7</v>
      </c>
      <c r="B112" s="3" t="s">
        <v>25</v>
      </c>
      <c r="C112" s="3">
        <v>647</v>
      </c>
      <c r="D112" s="3">
        <v>1</v>
      </c>
      <c r="E112" s="3" t="s">
        <v>23</v>
      </c>
      <c r="F112" s="3" t="s">
        <v>24</v>
      </c>
      <c r="G112" s="3" t="str">
        <f>"2026-04-11 10:50:07.034"</f>
        <v>2026-04-11 10:50:07.034</v>
      </c>
      <c r="H112" s="3" t="s">
        <v>21</v>
      </c>
      <c r="I112" s="3">
        <v>9.9</v>
      </c>
      <c r="J112" s="3" t="s">
        <v>26</v>
      </c>
    </row>
    <row r="113" spans="1:10" x14ac:dyDescent="0.25">
      <c r="A113" s="1">
        <v>8</v>
      </c>
      <c r="B113" t="s">
        <v>37</v>
      </c>
      <c r="C113">
        <v>626</v>
      </c>
      <c r="D113">
        <v>1</v>
      </c>
      <c r="E113" t="s">
        <v>38</v>
      </c>
      <c r="F113" t="s">
        <v>28</v>
      </c>
      <c r="G113" t="str">
        <f>"2026-04-10 21:33:27.832"</f>
        <v>2026-04-10 21:33:27.832</v>
      </c>
      <c r="H113" t="s">
        <v>39</v>
      </c>
    </row>
    <row r="114" spans="1:10" x14ac:dyDescent="0.25">
      <c r="A114" s="1">
        <v>9</v>
      </c>
      <c r="B114" t="s">
        <v>40</v>
      </c>
      <c r="C114">
        <v>626</v>
      </c>
      <c r="D114">
        <v>1</v>
      </c>
      <c r="E114" t="s">
        <v>38</v>
      </c>
      <c r="F114" t="s">
        <v>28</v>
      </c>
      <c r="G114" t="str">
        <f>"2026-04-10 21:33:21.734"</f>
        <v>2026-04-10 21:33:21.734</v>
      </c>
      <c r="H114" t="s">
        <v>39</v>
      </c>
      <c r="I114">
        <v>15.19</v>
      </c>
      <c r="J114" t="s">
        <v>26</v>
      </c>
    </row>
    <row r="115" spans="1:10" x14ac:dyDescent="0.25">
      <c r="A115" s="1">
        <v>10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"2026-04-10 12:28:53.107"</f>
        <v>2026-04-10 12:28:53.107</v>
      </c>
      <c r="H115" t="s">
        <v>21</v>
      </c>
      <c r="I115">
        <v>0</v>
      </c>
      <c r="J115" t="s">
        <v>33</v>
      </c>
    </row>
    <row r="116" spans="1:10" s="3" customFormat="1" x14ac:dyDescent="0.25">
      <c r="A116" s="2">
        <v>11</v>
      </c>
      <c r="B116" s="3" t="s">
        <v>22</v>
      </c>
      <c r="C116" s="3">
        <v>647</v>
      </c>
      <c r="D116" s="3">
        <v>1</v>
      </c>
      <c r="E116" s="3" t="s">
        <v>23</v>
      </c>
      <c r="F116" s="3" t="s">
        <v>24</v>
      </c>
      <c r="G116" s="3" t="str">
        <f>"2026-04-10 07:39:55.542"</f>
        <v>2026-04-10 07:39:55.542</v>
      </c>
      <c r="H116" s="3" t="s">
        <v>21</v>
      </c>
    </row>
    <row r="117" spans="1:10" s="3" customFormat="1" x14ac:dyDescent="0.25">
      <c r="A117" s="2">
        <v>12</v>
      </c>
      <c r="B117" s="3" t="s">
        <v>25</v>
      </c>
      <c r="C117" s="3">
        <v>647</v>
      </c>
      <c r="D117" s="3">
        <v>1</v>
      </c>
      <c r="E117" s="3" t="s">
        <v>23</v>
      </c>
      <c r="F117" s="3" t="s">
        <v>24</v>
      </c>
      <c r="G117" s="3" t="str">
        <f>"2026-04-10 07:39:52.042"</f>
        <v>2026-04-10 07:39:52.042</v>
      </c>
      <c r="H117" s="3" t="s">
        <v>21</v>
      </c>
      <c r="I117" s="3">
        <v>11.34</v>
      </c>
      <c r="J117" s="3" t="s">
        <v>26</v>
      </c>
    </row>
    <row r="118" spans="1:10" s="3" customFormat="1" x14ac:dyDescent="0.25">
      <c r="A118" s="2">
        <v>13</v>
      </c>
      <c r="B118" s="3" t="s">
        <v>22</v>
      </c>
      <c r="C118" s="3">
        <v>647</v>
      </c>
      <c r="D118" s="3">
        <v>1</v>
      </c>
      <c r="E118" s="3" t="s">
        <v>23</v>
      </c>
      <c r="F118" s="3" t="s">
        <v>24</v>
      </c>
      <c r="G118" s="3" t="str">
        <f>"2026-04-10 03:24:23.342"</f>
        <v>2026-04-10 03:24:23.342</v>
      </c>
      <c r="H118" s="3" t="s">
        <v>21</v>
      </c>
    </row>
    <row r="119" spans="1:10" s="3" customFormat="1" x14ac:dyDescent="0.25">
      <c r="A119" s="2">
        <v>14</v>
      </c>
      <c r="B119" s="3" t="s">
        <v>25</v>
      </c>
      <c r="C119" s="3">
        <v>647</v>
      </c>
      <c r="D119" s="3">
        <v>1</v>
      </c>
      <c r="E119" s="3" t="s">
        <v>23</v>
      </c>
      <c r="F119" s="3" t="s">
        <v>24</v>
      </c>
      <c r="G119" s="3" t="str">
        <f>"2026-04-10 03:24:18.642"</f>
        <v>2026-04-10 03:24:18.642</v>
      </c>
      <c r="H119" s="3" t="s">
        <v>21</v>
      </c>
      <c r="I119" s="3">
        <v>11.84</v>
      </c>
      <c r="J119" s="3" t="s">
        <v>26</v>
      </c>
    </row>
    <row r="120" spans="1:10" x14ac:dyDescent="0.25">
      <c r="A120" s="1">
        <v>15</v>
      </c>
      <c r="B120" t="s">
        <v>22</v>
      </c>
      <c r="C120">
        <v>635</v>
      </c>
      <c r="D120">
        <v>1</v>
      </c>
      <c r="E120" t="s">
        <v>27</v>
      </c>
      <c r="F120" t="s">
        <v>28</v>
      </c>
      <c r="G120" t="str">
        <f>"2026-04-09 17:29:41.942"</f>
        <v>2026-04-09 17:29:41.942</v>
      </c>
      <c r="H120" t="s">
        <v>21</v>
      </c>
    </row>
    <row r="121" spans="1:10" x14ac:dyDescent="0.25">
      <c r="A121" s="1">
        <v>16</v>
      </c>
      <c r="B121" t="s">
        <v>25</v>
      </c>
      <c r="C121">
        <v>635</v>
      </c>
      <c r="D121">
        <v>1</v>
      </c>
      <c r="E121" t="s">
        <v>27</v>
      </c>
      <c r="F121" t="s">
        <v>28</v>
      </c>
      <c r="G121" t="str">
        <f>"2026-04-09 17:27:04.942"</f>
        <v>2026-04-09 17:27:04.942</v>
      </c>
      <c r="H121" t="s">
        <v>21</v>
      </c>
      <c r="I121">
        <v>8.59</v>
      </c>
      <c r="J121" t="s">
        <v>29</v>
      </c>
    </row>
    <row r="122" spans="1:10" x14ac:dyDescent="0.25">
      <c r="A122" s="1">
        <v>18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"2026-04-08 10:32:34.111"</f>
        <v>2026-04-08 10:32:34.111</v>
      </c>
      <c r="H122" t="s">
        <v>21</v>
      </c>
      <c r="I122">
        <v>0</v>
      </c>
      <c r="J122" t="s">
        <v>33</v>
      </c>
    </row>
    <row r="123" spans="1:10" s="3" customFormat="1" x14ac:dyDescent="0.25">
      <c r="A123" s="2">
        <v>19</v>
      </c>
      <c r="B123" s="3" t="s">
        <v>22</v>
      </c>
      <c r="C123" s="3">
        <v>647</v>
      </c>
      <c r="D123" s="3">
        <v>1</v>
      </c>
      <c r="E123" s="3" t="s">
        <v>23</v>
      </c>
      <c r="F123" s="3" t="s">
        <v>24</v>
      </c>
      <c r="G123" s="3" t="str">
        <f>"2026-04-07 16:55:06.420"</f>
        <v>2026-04-07 16:55:06.420</v>
      </c>
      <c r="H123" s="3" t="s">
        <v>21</v>
      </c>
    </row>
    <row r="124" spans="1:10" s="3" customFormat="1" x14ac:dyDescent="0.25">
      <c r="A124" s="2">
        <v>20</v>
      </c>
      <c r="B124" s="3" t="s">
        <v>25</v>
      </c>
      <c r="C124" s="3">
        <v>647</v>
      </c>
      <c r="D124" s="3">
        <v>1</v>
      </c>
      <c r="E124" s="3" t="s">
        <v>23</v>
      </c>
      <c r="F124" s="3" t="s">
        <v>24</v>
      </c>
      <c r="G124" s="3" t="str">
        <f>"2026-04-07 16:55:02.120"</f>
        <v>2026-04-07 16:55:02.120</v>
      </c>
      <c r="H124" s="3" t="s">
        <v>21</v>
      </c>
      <c r="I124" s="3">
        <v>8.0500000000000007</v>
      </c>
      <c r="J124" s="3" t="s">
        <v>26</v>
      </c>
    </row>
    <row r="125" spans="1:10" s="3" customFormat="1" x14ac:dyDescent="0.25">
      <c r="A125" s="2">
        <v>21</v>
      </c>
      <c r="B125" s="3" t="s">
        <v>22</v>
      </c>
      <c r="C125" s="3">
        <v>647</v>
      </c>
      <c r="D125" s="3">
        <v>1</v>
      </c>
      <c r="E125" s="3" t="s">
        <v>23</v>
      </c>
      <c r="F125" s="3" t="s">
        <v>24</v>
      </c>
      <c r="G125" s="3" t="str">
        <f>"2026-04-07 14:27:55.420"</f>
        <v>2026-04-07 14:27:55.420</v>
      </c>
      <c r="H125" s="3" t="s">
        <v>21</v>
      </c>
    </row>
    <row r="126" spans="1:10" s="3" customFormat="1" x14ac:dyDescent="0.25">
      <c r="A126" s="2">
        <v>22</v>
      </c>
      <c r="B126" s="3" t="s">
        <v>25</v>
      </c>
      <c r="C126" s="3">
        <v>647</v>
      </c>
      <c r="D126" s="3">
        <v>1</v>
      </c>
      <c r="E126" s="3" t="s">
        <v>23</v>
      </c>
      <c r="F126" s="3" t="s">
        <v>24</v>
      </c>
      <c r="G126" s="3" t="str">
        <f>"2026-04-07 14:27:53.720"</f>
        <v>2026-04-07 14:27:53.720</v>
      </c>
      <c r="H126" s="3" t="s">
        <v>21</v>
      </c>
      <c r="I126" s="3">
        <v>9.0500000000000007</v>
      </c>
      <c r="J126" s="3" t="s">
        <v>26</v>
      </c>
    </row>
    <row r="127" spans="1:10" x14ac:dyDescent="0.25">
      <c r="A127" s="1">
        <v>23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"2026-04-07 09:48:54.133"</f>
        <v>2026-04-07 09:48:54.133</v>
      </c>
      <c r="H127" t="s">
        <v>21</v>
      </c>
      <c r="I127">
        <v>0</v>
      </c>
      <c r="J127" t="s">
        <v>33</v>
      </c>
    </row>
    <row r="128" spans="1:10" x14ac:dyDescent="0.25">
      <c r="A128" s="1">
        <v>24</v>
      </c>
      <c r="B128" t="s">
        <v>22</v>
      </c>
      <c r="C128">
        <v>61</v>
      </c>
      <c r="D128">
        <v>2</v>
      </c>
      <c r="E128" t="s">
        <v>41</v>
      </c>
      <c r="F128" t="s">
        <v>42</v>
      </c>
      <c r="G128" t="str">
        <f>"2026-04-07 07:14:25.701"</f>
        <v>2026-04-07 07:14:25.701</v>
      </c>
      <c r="H128" t="s">
        <v>21</v>
      </c>
    </row>
    <row r="129" spans="1:10" x14ac:dyDescent="0.25">
      <c r="A129" s="1">
        <v>25</v>
      </c>
      <c r="B129" t="s">
        <v>40</v>
      </c>
      <c r="C129">
        <v>61</v>
      </c>
      <c r="D129">
        <v>2</v>
      </c>
      <c r="E129" t="s">
        <v>41</v>
      </c>
      <c r="F129" t="s">
        <v>42</v>
      </c>
      <c r="G129" t="str">
        <f>"2026-04-07 07:14:05.702"</f>
        <v>2026-04-07 07:14:05.702</v>
      </c>
      <c r="H129" t="s">
        <v>21</v>
      </c>
      <c r="I129">
        <v>38.04</v>
      </c>
      <c r="J129" t="s">
        <v>26</v>
      </c>
    </row>
    <row r="130" spans="1:10" x14ac:dyDescent="0.25">
      <c r="A130" s="1">
        <v>26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"2026-04-06 12:45:12.135"</f>
        <v>2026-04-06 12:45:12.135</v>
      </c>
      <c r="H130" t="s">
        <v>21</v>
      </c>
    </row>
    <row r="131" spans="1:10" x14ac:dyDescent="0.25">
      <c r="A131" s="1">
        <v>27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"2026-04-06 08:20:55.124"</f>
        <v>2026-04-06 08:20:55.124</v>
      </c>
      <c r="H131" t="s">
        <v>21</v>
      </c>
      <c r="I131">
        <v>0</v>
      </c>
      <c r="J131" t="s">
        <v>33</v>
      </c>
    </row>
    <row r="132" spans="1:10" x14ac:dyDescent="0.25">
      <c r="A132" s="1">
        <v>28</v>
      </c>
      <c r="B132" t="s">
        <v>19</v>
      </c>
      <c r="C132">
        <v>706</v>
      </c>
      <c r="D132">
        <v>4</v>
      </c>
      <c r="E132" t="s">
        <v>30</v>
      </c>
      <c r="F132" t="s">
        <v>34</v>
      </c>
      <c r="G132" t="str">
        <f>"2026-04-06 04:28:46.874"</f>
        <v>2026-04-06 04:28:46.874</v>
      </c>
      <c r="H132" t="s">
        <v>21</v>
      </c>
      <c r="I132">
        <v>0</v>
      </c>
      <c r="J132" t="s">
        <v>32</v>
      </c>
    </row>
    <row r="133" spans="1:10" x14ac:dyDescent="0.25">
      <c r="A133" s="1">
        <v>29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"2026-04-05 22:17:14.134"</f>
        <v>2026-04-05 22:17:14.134</v>
      </c>
      <c r="H133" t="s">
        <v>21</v>
      </c>
      <c r="I133">
        <v>0</v>
      </c>
      <c r="J133" t="s">
        <v>33</v>
      </c>
    </row>
    <row r="134" spans="1:10" x14ac:dyDescent="0.25">
      <c r="A134" s="1">
        <v>30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"2026-04-04 13:15:26.127"</f>
        <v>2026-04-04 13:15:26.127</v>
      </c>
      <c r="H134" t="s">
        <v>21</v>
      </c>
      <c r="I134">
        <v>0</v>
      </c>
      <c r="J134" t="s">
        <v>33</v>
      </c>
    </row>
    <row r="135" spans="1:10" x14ac:dyDescent="0.25">
      <c r="A135" s="1">
        <v>31</v>
      </c>
      <c r="B135" t="s">
        <v>22</v>
      </c>
      <c r="C135">
        <v>61</v>
      </c>
      <c r="D135">
        <v>2</v>
      </c>
      <c r="E135" t="s">
        <v>41</v>
      </c>
      <c r="F135" t="s">
        <v>42</v>
      </c>
      <c r="G135" t="str">
        <f>"2026-04-04 07:13:16.751"</f>
        <v>2026-04-04 07:13:16.751</v>
      </c>
      <c r="H135" t="s">
        <v>21</v>
      </c>
    </row>
    <row r="136" spans="1:10" x14ac:dyDescent="0.25">
      <c r="A136" s="1">
        <v>32</v>
      </c>
      <c r="B136" t="s">
        <v>40</v>
      </c>
      <c r="C136">
        <v>61</v>
      </c>
      <c r="D136">
        <v>2</v>
      </c>
      <c r="E136" t="s">
        <v>41</v>
      </c>
      <c r="F136" t="s">
        <v>42</v>
      </c>
      <c r="G136" t="str">
        <f>"2026-04-04 07:12:56.752"</f>
        <v>2026-04-04 07:12:56.752</v>
      </c>
      <c r="H136" t="s">
        <v>21</v>
      </c>
      <c r="I136">
        <v>38.24</v>
      </c>
      <c r="J136" t="s">
        <v>26</v>
      </c>
    </row>
    <row r="137" spans="1:10" x14ac:dyDescent="0.25">
      <c r="A137" s="1">
        <v>33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"2026-04-04 05:13:32.094"</f>
        <v>2026-04-04 05:13:32.094</v>
      </c>
      <c r="H137" t="s">
        <v>21</v>
      </c>
    </row>
    <row r="138" spans="1:10" x14ac:dyDescent="0.25">
      <c r="A138" s="1">
        <v>34</v>
      </c>
      <c r="B138" t="s">
        <v>19</v>
      </c>
      <c r="C138">
        <v>706</v>
      </c>
      <c r="D138">
        <v>4</v>
      </c>
      <c r="E138" t="s">
        <v>30</v>
      </c>
      <c r="F138" t="s">
        <v>34</v>
      </c>
      <c r="G138" t="str">
        <f>"2026-04-03 23:00:15.455"</f>
        <v>2026-04-03 23:00:15.455</v>
      </c>
      <c r="H138" t="s">
        <v>21</v>
      </c>
      <c r="I138">
        <v>0</v>
      </c>
      <c r="J138" t="s">
        <v>32</v>
      </c>
    </row>
    <row r="139" spans="1:10" x14ac:dyDescent="0.25">
      <c r="A139" s="1">
        <v>35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"2026-04-03 22:48:44.105"</f>
        <v>2026-04-03 22:48:44.105</v>
      </c>
      <c r="H139" t="s">
        <v>21</v>
      </c>
    </row>
    <row r="140" spans="1:10" x14ac:dyDescent="0.25">
      <c r="A140" s="1">
        <v>36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"2026-04-03 21:53:52.096"</f>
        <v>2026-04-03 21:53:52.096</v>
      </c>
      <c r="H140" t="s">
        <v>21</v>
      </c>
    </row>
    <row r="141" spans="1:10" x14ac:dyDescent="0.25">
      <c r="A141" s="1">
        <v>37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"2026-04-03 21:42:12.097"</f>
        <v>2026-04-03 21:42:12.097</v>
      </c>
      <c r="H141" t="s">
        <v>21</v>
      </c>
      <c r="I141">
        <v>0</v>
      </c>
      <c r="J141" t="s">
        <v>33</v>
      </c>
    </row>
    <row r="142" spans="1:10" x14ac:dyDescent="0.25">
      <c r="A142" s="1">
        <v>38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"2026-04-03 21:37:10.377"</f>
        <v>2026-04-03 21:37:10.377</v>
      </c>
      <c r="H142" t="s">
        <v>21</v>
      </c>
    </row>
    <row r="143" spans="1:10" s="3" customFormat="1" x14ac:dyDescent="0.25">
      <c r="A143" s="2">
        <v>39</v>
      </c>
      <c r="B143" s="3" t="s">
        <v>22</v>
      </c>
      <c r="C143" s="3">
        <v>647</v>
      </c>
      <c r="D143" s="3">
        <v>1</v>
      </c>
      <c r="E143" s="3" t="s">
        <v>23</v>
      </c>
      <c r="F143" s="3" t="s">
        <v>24</v>
      </c>
      <c r="G143" s="3" t="str">
        <f>"2026-04-03 14:34:11.183"</f>
        <v>2026-04-03 14:34:11.183</v>
      </c>
      <c r="H143" s="3" t="s">
        <v>21</v>
      </c>
    </row>
    <row r="144" spans="1:10" s="3" customFormat="1" x14ac:dyDescent="0.25">
      <c r="A144" s="2">
        <v>40</v>
      </c>
      <c r="B144" s="3" t="s">
        <v>25</v>
      </c>
      <c r="C144" s="3">
        <v>647</v>
      </c>
      <c r="D144" s="3">
        <v>1</v>
      </c>
      <c r="E144" s="3" t="s">
        <v>23</v>
      </c>
      <c r="F144" s="3" t="s">
        <v>24</v>
      </c>
      <c r="G144" s="3" t="str">
        <f>"2026-04-03 14:34:05.684"</f>
        <v>2026-04-03 14:34:05.684</v>
      </c>
      <c r="H144" s="3" t="s">
        <v>21</v>
      </c>
      <c r="I144" s="3">
        <v>16.079999999999998</v>
      </c>
      <c r="J144" s="3" t="s">
        <v>26</v>
      </c>
    </row>
    <row r="145" spans="1:10" x14ac:dyDescent="0.25">
      <c r="A145" s="1">
        <v>41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"2026-04-03 09:04:17.236"</f>
        <v>2026-04-03 09:04:17.236</v>
      </c>
      <c r="H145" t="s">
        <v>21</v>
      </c>
    </row>
    <row r="146" spans="1:10" x14ac:dyDescent="0.25">
      <c r="A146" s="1">
        <v>42</v>
      </c>
      <c r="B146" t="s">
        <v>22</v>
      </c>
      <c r="C146">
        <v>635</v>
      </c>
      <c r="D146">
        <v>1</v>
      </c>
      <c r="E146" t="s">
        <v>27</v>
      </c>
      <c r="F146" t="s">
        <v>28</v>
      </c>
      <c r="G146" t="str">
        <f>"2026-04-02 20:20:38.885"</f>
        <v>2026-04-02 20:20:38.885</v>
      </c>
      <c r="H146" t="s">
        <v>21</v>
      </c>
    </row>
    <row r="147" spans="1:10" x14ac:dyDescent="0.25">
      <c r="A147" s="1">
        <v>43</v>
      </c>
      <c r="B147" t="s">
        <v>25</v>
      </c>
      <c r="C147">
        <v>635</v>
      </c>
      <c r="D147">
        <v>1</v>
      </c>
      <c r="E147" t="s">
        <v>27</v>
      </c>
      <c r="F147" t="s">
        <v>28</v>
      </c>
      <c r="G147" t="str">
        <f>"2026-04-02 20:14:44.385"</f>
        <v>2026-04-02 20:14:44.385</v>
      </c>
      <c r="H147" t="s">
        <v>21</v>
      </c>
      <c r="I147">
        <v>-0.3</v>
      </c>
      <c r="J147" t="s">
        <v>29</v>
      </c>
    </row>
    <row r="148" spans="1:10" x14ac:dyDescent="0.25">
      <c r="A148" s="1">
        <v>44</v>
      </c>
      <c r="B148" t="s">
        <v>19</v>
      </c>
      <c r="C148">
        <v>706</v>
      </c>
      <c r="D148">
        <v>2</v>
      </c>
      <c r="E148" t="s">
        <v>30</v>
      </c>
      <c r="F148" t="s">
        <v>31</v>
      </c>
      <c r="G148" t="str">
        <f>"2026-04-02 20:11:09.562"</f>
        <v>2026-04-02 20:11:09.562</v>
      </c>
      <c r="H148" t="s">
        <v>21</v>
      </c>
      <c r="I148">
        <v>0</v>
      </c>
      <c r="J148" t="s">
        <v>32</v>
      </c>
    </row>
    <row r="149" spans="1:10" x14ac:dyDescent="0.25">
      <c r="A149" s="1">
        <v>45</v>
      </c>
      <c r="B149" t="s">
        <v>19</v>
      </c>
      <c r="C149">
        <v>706</v>
      </c>
      <c r="D149">
        <v>3</v>
      </c>
      <c r="E149" t="s">
        <v>30</v>
      </c>
      <c r="F149" t="s">
        <v>36</v>
      </c>
      <c r="G149" t="str">
        <f>"2026-04-02 20:10:56.292"</f>
        <v>2026-04-02 20:10:56.292</v>
      </c>
      <c r="H149" t="s">
        <v>21</v>
      </c>
      <c r="I149">
        <v>0</v>
      </c>
      <c r="J149" t="s">
        <v>32</v>
      </c>
    </row>
    <row r="150" spans="1:10" x14ac:dyDescent="0.25">
      <c r="A150" s="1">
        <v>46</v>
      </c>
      <c r="B150" t="s">
        <v>22</v>
      </c>
      <c r="C150">
        <v>635</v>
      </c>
      <c r="D150">
        <v>1</v>
      </c>
      <c r="E150" t="s">
        <v>27</v>
      </c>
      <c r="F150" t="s">
        <v>28</v>
      </c>
      <c r="G150" t="str">
        <f>"2026-04-01 15:31:05.785"</f>
        <v>2026-04-01 15:31:05.785</v>
      </c>
      <c r="H150" t="s">
        <v>21</v>
      </c>
    </row>
    <row r="151" spans="1:10" x14ac:dyDescent="0.25">
      <c r="A151" s="1">
        <v>47</v>
      </c>
      <c r="B151" t="s">
        <v>25</v>
      </c>
      <c r="C151">
        <v>635</v>
      </c>
      <c r="D151">
        <v>1</v>
      </c>
      <c r="E151" t="s">
        <v>27</v>
      </c>
      <c r="F151" t="s">
        <v>28</v>
      </c>
      <c r="G151" t="str">
        <f>"2026-04-01 15:17:11.285"</f>
        <v>2026-04-01 15:17:11.285</v>
      </c>
      <c r="H151" t="s">
        <v>21</v>
      </c>
      <c r="I151">
        <v>5.32</v>
      </c>
      <c r="J151" t="s">
        <v>29</v>
      </c>
    </row>
    <row r="152" spans="1:10" x14ac:dyDescent="0.25">
      <c r="A152" s="1">
        <v>48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"2026-04-01 08:56:15.092"</f>
        <v>2026-04-01 08:56:15.092</v>
      </c>
      <c r="H152" t="s">
        <v>21</v>
      </c>
    </row>
    <row r="153" spans="1:10" x14ac:dyDescent="0.25">
      <c r="A153" s="1">
        <v>49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"2026-03-30 17:07:50.108"</f>
        <v>2026-03-30 17:07:50.108</v>
      </c>
      <c r="H153" t="s">
        <v>21</v>
      </c>
      <c r="I153">
        <v>0</v>
      </c>
      <c r="J153" t="s">
        <v>33</v>
      </c>
    </row>
    <row r="154" spans="1:10" s="3" customFormat="1" x14ac:dyDescent="0.25">
      <c r="A154" s="2">
        <v>50</v>
      </c>
      <c r="B154" s="3" t="s">
        <v>22</v>
      </c>
      <c r="C154" s="3">
        <v>647</v>
      </c>
      <c r="D154" s="3">
        <v>1</v>
      </c>
      <c r="E154" s="3" t="s">
        <v>23</v>
      </c>
      <c r="F154" s="3" t="s">
        <v>24</v>
      </c>
      <c r="G154" s="3" t="str">
        <f>"2026-03-29 09:54:25.139"</f>
        <v>2026-03-29 09:54:25.139</v>
      </c>
      <c r="H154" s="3" t="s">
        <v>21</v>
      </c>
    </row>
    <row r="155" spans="1:10" s="3" customFormat="1" x14ac:dyDescent="0.25">
      <c r="A155" s="2">
        <v>51</v>
      </c>
      <c r="B155" s="3" t="s">
        <v>25</v>
      </c>
      <c r="C155" s="3">
        <v>647</v>
      </c>
      <c r="D155" s="3">
        <v>1</v>
      </c>
      <c r="E155" s="3" t="s">
        <v>23</v>
      </c>
      <c r="F155" s="3" t="s">
        <v>24</v>
      </c>
      <c r="G155" s="3" t="str">
        <f>"2026-03-29 09:54:16.139"</f>
        <v>2026-03-29 09:54:16.139</v>
      </c>
      <c r="H155" s="3" t="s">
        <v>21</v>
      </c>
      <c r="I155" s="3">
        <v>8.8000000000000007</v>
      </c>
      <c r="J155" s="3" t="s">
        <v>26</v>
      </c>
    </row>
    <row r="156" spans="1:10" x14ac:dyDescent="0.25">
      <c r="A156" s="1">
        <v>53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"2026-03-28 08:25:55.098"</f>
        <v>2026-03-28 08:25:55.098</v>
      </c>
      <c r="H156" t="s">
        <v>21</v>
      </c>
      <c r="I156">
        <v>0</v>
      </c>
      <c r="J156" t="s">
        <v>33</v>
      </c>
    </row>
    <row r="157" spans="1:10" s="3" customFormat="1" x14ac:dyDescent="0.25">
      <c r="A157" s="2">
        <v>54</v>
      </c>
      <c r="B157" s="3" t="s">
        <v>22</v>
      </c>
      <c r="C157" s="3">
        <v>647</v>
      </c>
      <c r="D157" s="3">
        <v>1</v>
      </c>
      <c r="E157" s="3" t="s">
        <v>23</v>
      </c>
      <c r="F157" s="3" t="s">
        <v>24</v>
      </c>
      <c r="G157" s="3" t="str">
        <f>"2026-03-27 14:31:40.783"</f>
        <v>2026-03-27 14:31:40.783</v>
      </c>
      <c r="H157" s="3" t="s">
        <v>21</v>
      </c>
    </row>
    <row r="158" spans="1:10" s="3" customFormat="1" x14ac:dyDescent="0.25">
      <c r="A158" s="2">
        <v>55</v>
      </c>
      <c r="B158" s="3" t="s">
        <v>25</v>
      </c>
      <c r="C158" s="3">
        <v>647</v>
      </c>
      <c r="D158" s="3">
        <v>1</v>
      </c>
      <c r="E158" s="3" t="s">
        <v>23</v>
      </c>
      <c r="F158" s="3" t="s">
        <v>24</v>
      </c>
      <c r="G158" s="3" t="str">
        <f>"2026-03-27 14:31:35.883"</f>
        <v>2026-03-27 14:31:35.883</v>
      </c>
      <c r="H158" s="3" t="s">
        <v>21</v>
      </c>
      <c r="I158" s="3">
        <v>15.12</v>
      </c>
      <c r="J158" s="3" t="s">
        <v>26</v>
      </c>
    </row>
    <row r="159" spans="1:10" x14ac:dyDescent="0.25">
      <c r="A159" s="1">
        <v>56</v>
      </c>
      <c r="B159" t="s">
        <v>22</v>
      </c>
      <c r="C159">
        <v>635</v>
      </c>
      <c r="D159">
        <v>1</v>
      </c>
      <c r="E159" t="s">
        <v>27</v>
      </c>
      <c r="F159" t="s">
        <v>28</v>
      </c>
      <c r="G159" t="str">
        <f>"2026-03-27 01:39:10.129"</f>
        <v>2026-03-27 01:39:10.129</v>
      </c>
      <c r="H159" t="s">
        <v>21</v>
      </c>
    </row>
    <row r="160" spans="1:10" x14ac:dyDescent="0.25">
      <c r="A160" s="1">
        <v>57</v>
      </c>
      <c r="B160" t="s">
        <v>25</v>
      </c>
      <c r="C160">
        <v>635</v>
      </c>
      <c r="D160">
        <v>1</v>
      </c>
      <c r="E160" t="s">
        <v>27</v>
      </c>
      <c r="F160" t="s">
        <v>28</v>
      </c>
      <c r="G160" t="str">
        <f>"2026-03-27 01:36:43.629"</f>
        <v>2026-03-27 01:36:43.629</v>
      </c>
      <c r="H160" t="s">
        <v>21</v>
      </c>
      <c r="I160">
        <v>0.56000000000000005</v>
      </c>
      <c r="J160" t="s">
        <v>29</v>
      </c>
    </row>
    <row r="161" spans="1:10" s="3" customFormat="1" x14ac:dyDescent="0.25">
      <c r="A161" s="2">
        <v>58</v>
      </c>
      <c r="B161" s="3" t="s">
        <v>22</v>
      </c>
      <c r="C161" s="3">
        <v>647</v>
      </c>
      <c r="D161" s="3">
        <v>1</v>
      </c>
      <c r="E161" s="3" t="s">
        <v>23</v>
      </c>
      <c r="F161" s="3" t="s">
        <v>24</v>
      </c>
      <c r="G161" s="3" t="str">
        <f>"2026-03-25 17:09:59.683"</f>
        <v>2026-03-25 17:09:59.683</v>
      </c>
      <c r="H161" s="3" t="s">
        <v>21</v>
      </c>
    </row>
    <row r="162" spans="1:10" s="3" customFormat="1" x14ac:dyDescent="0.25">
      <c r="A162" s="2">
        <v>59</v>
      </c>
      <c r="B162" s="3" t="s">
        <v>25</v>
      </c>
      <c r="C162" s="3">
        <v>647</v>
      </c>
      <c r="D162" s="3">
        <v>1</v>
      </c>
      <c r="E162" s="3" t="s">
        <v>23</v>
      </c>
      <c r="F162" s="3" t="s">
        <v>24</v>
      </c>
      <c r="G162" s="3" t="str">
        <f>"2026-03-25 17:09:51.383"</f>
        <v>2026-03-25 17:09:51.383</v>
      </c>
      <c r="H162" s="3" t="s">
        <v>21</v>
      </c>
      <c r="I162" s="3">
        <v>8.09</v>
      </c>
      <c r="J162" s="3" t="s">
        <v>26</v>
      </c>
    </row>
    <row r="163" spans="1:10" x14ac:dyDescent="0.25">
      <c r="A163" s="1">
        <v>60</v>
      </c>
      <c r="B163" t="s">
        <v>19</v>
      </c>
      <c r="C163">
        <v>706</v>
      </c>
      <c r="D163">
        <v>2</v>
      </c>
      <c r="E163" t="s">
        <v>30</v>
      </c>
      <c r="F163" t="s">
        <v>31</v>
      </c>
      <c r="G163" t="str">
        <f>"2026-03-24 15:30:30.496"</f>
        <v>2026-03-24 15:30:30.496</v>
      </c>
      <c r="H163" t="s">
        <v>21</v>
      </c>
      <c r="I163">
        <v>0</v>
      </c>
      <c r="J163" t="s">
        <v>32</v>
      </c>
    </row>
    <row r="164" spans="1:10" x14ac:dyDescent="0.25">
      <c r="A164" s="1">
        <v>61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"2026-03-24 15:30:10.136"</f>
        <v>2026-03-24 15:30:10.136</v>
      </c>
      <c r="H164" t="s">
        <v>21</v>
      </c>
    </row>
    <row r="165" spans="1:10" x14ac:dyDescent="0.25">
      <c r="A165" s="1">
        <v>62</v>
      </c>
      <c r="B165" t="s">
        <v>19</v>
      </c>
      <c r="C165">
        <v>706</v>
      </c>
      <c r="D165">
        <v>4</v>
      </c>
      <c r="E165" t="s">
        <v>30</v>
      </c>
      <c r="F165" t="s">
        <v>34</v>
      </c>
      <c r="G165" t="str">
        <f>"2026-03-24 14:13:59.021"</f>
        <v>2026-03-24 14:13:59.021</v>
      </c>
      <c r="H165" t="s">
        <v>21</v>
      </c>
      <c r="I165">
        <v>0</v>
      </c>
      <c r="J165" t="s">
        <v>32</v>
      </c>
    </row>
    <row r="166" spans="1:10" x14ac:dyDescent="0.25">
      <c r="A166" s="1">
        <v>63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"2026-03-24 14:10:18.101"</f>
        <v>2026-03-24 14:10:18.101</v>
      </c>
      <c r="H166" t="s">
        <v>21</v>
      </c>
      <c r="I166">
        <v>0</v>
      </c>
      <c r="J166" t="s">
        <v>33</v>
      </c>
    </row>
    <row r="167" spans="1:10" x14ac:dyDescent="0.25">
      <c r="A167" s="1">
        <v>64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"2026-03-24 11:38:53.203"</f>
        <v>2026-03-24 11:38:53.203</v>
      </c>
      <c r="H167" t="s">
        <v>21</v>
      </c>
    </row>
    <row r="168" spans="1:10" s="3" customFormat="1" x14ac:dyDescent="0.25">
      <c r="A168" s="2">
        <v>65</v>
      </c>
      <c r="B168" s="3" t="s">
        <v>22</v>
      </c>
      <c r="C168" s="3">
        <v>647</v>
      </c>
      <c r="D168" s="3">
        <v>1</v>
      </c>
      <c r="E168" s="3" t="s">
        <v>23</v>
      </c>
      <c r="F168" s="3" t="s">
        <v>24</v>
      </c>
      <c r="G168" s="3" t="str">
        <f>"2026-03-23 10:09:47.473"</f>
        <v>2026-03-23 10:09:47.473</v>
      </c>
      <c r="H168" s="3" t="s">
        <v>21</v>
      </c>
    </row>
    <row r="169" spans="1:10" s="3" customFormat="1" x14ac:dyDescent="0.25">
      <c r="A169" s="2">
        <v>66</v>
      </c>
      <c r="B169" s="3" t="s">
        <v>25</v>
      </c>
      <c r="C169" s="3">
        <v>647</v>
      </c>
      <c r="D169" s="3">
        <v>1</v>
      </c>
      <c r="E169" s="3" t="s">
        <v>23</v>
      </c>
      <c r="F169" s="3" t="s">
        <v>24</v>
      </c>
      <c r="G169" s="3" t="str">
        <f>"2026-03-23 10:09:44.373"</f>
        <v>2026-03-23 10:09:44.373</v>
      </c>
      <c r="H169" s="3" t="s">
        <v>21</v>
      </c>
      <c r="I169" s="3">
        <v>20.25</v>
      </c>
      <c r="J169" s="3" t="s">
        <v>26</v>
      </c>
    </row>
    <row r="170" spans="1:10" s="3" customFormat="1" x14ac:dyDescent="0.25">
      <c r="A170" s="2">
        <v>67</v>
      </c>
      <c r="B170" s="3" t="s">
        <v>22</v>
      </c>
      <c r="C170" s="3">
        <v>647</v>
      </c>
      <c r="D170" s="3">
        <v>1</v>
      </c>
      <c r="E170" s="3" t="s">
        <v>23</v>
      </c>
      <c r="F170" s="3" t="s">
        <v>24</v>
      </c>
      <c r="G170" s="3" t="str">
        <f>"2026-03-23 07:28:39.573"</f>
        <v>2026-03-23 07:28:39.573</v>
      </c>
      <c r="H170" s="3" t="s">
        <v>21</v>
      </c>
    </row>
    <row r="171" spans="1:10" s="3" customFormat="1" x14ac:dyDescent="0.25">
      <c r="A171" s="2">
        <v>68</v>
      </c>
      <c r="B171" s="3" t="s">
        <v>25</v>
      </c>
      <c r="C171" s="3">
        <v>647</v>
      </c>
      <c r="D171" s="3">
        <v>1</v>
      </c>
      <c r="E171" s="3" t="s">
        <v>23</v>
      </c>
      <c r="F171" s="3" t="s">
        <v>24</v>
      </c>
      <c r="G171" s="3" t="str">
        <f>"2026-03-23 07:28:31.473"</f>
        <v>2026-03-23 07:28:31.473</v>
      </c>
      <c r="H171" s="3" t="s">
        <v>21</v>
      </c>
      <c r="I171" s="3">
        <v>13.94</v>
      </c>
      <c r="J171" s="3" t="s">
        <v>26</v>
      </c>
    </row>
    <row r="172" spans="1:10" x14ac:dyDescent="0.25">
      <c r="A172" s="1">
        <v>69</v>
      </c>
      <c r="B172" t="s">
        <v>22</v>
      </c>
      <c r="C172">
        <v>635</v>
      </c>
      <c r="D172">
        <v>1</v>
      </c>
      <c r="E172" t="s">
        <v>27</v>
      </c>
      <c r="F172" t="s">
        <v>28</v>
      </c>
      <c r="G172" t="str">
        <f>"2026-03-23 03:24:53.572"</f>
        <v>2026-03-23 03:24:53.572</v>
      </c>
      <c r="H172" t="s">
        <v>21</v>
      </c>
    </row>
    <row r="173" spans="1:10" x14ac:dyDescent="0.25">
      <c r="A173" s="1">
        <v>70</v>
      </c>
      <c r="B173" t="s">
        <v>25</v>
      </c>
      <c r="C173">
        <v>635</v>
      </c>
      <c r="D173">
        <v>1</v>
      </c>
      <c r="E173" t="s">
        <v>27</v>
      </c>
      <c r="F173" t="s">
        <v>28</v>
      </c>
      <c r="G173" t="str">
        <f>"2026-03-23 03:17:25.072"</f>
        <v>2026-03-23 03:17:25.072</v>
      </c>
      <c r="H173" t="s">
        <v>21</v>
      </c>
      <c r="I173">
        <v>3.83</v>
      </c>
      <c r="J173" t="s">
        <v>26</v>
      </c>
    </row>
    <row r="174" spans="1:10" x14ac:dyDescent="0.25">
      <c r="A174" s="1">
        <v>72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"2026-03-22 17:53:03.077"</f>
        <v>2026-03-22 17:53:03.077</v>
      </c>
      <c r="H174" t="s">
        <v>21</v>
      </c>
    </row>
    <row r="175" spans="1:10" x14ac:dyDescent="0.25">
      <c r="A175" s="1">
        <v>73</v>
      </c>
      <c r="B175" t="s">
        <v>22</v>
      </c>
      <c r="C175">
        <v>635</v>
      </c>
      <c r="D175">
        <v>1</v>
      </c>
      <c r="E175" t="s">
        <v>27</v>
      </c>
      <c r="F175" t="s">
        <v>28</v>
      </c>
      <c r="G175" t="str">
        <f>"2026-03-22 09:03:38.139"</f>
        <v>2026-03-22 09:03:38.139</v>
      </c>
      <c r="H175" t="s">
        <v>21</v>
      </c>
    </row>
    <row r="176" spans="1:10" x14ac:dyDescent="0.25">
      <c r="A176" s="1">
        <v>74</v>
      </c>
      <c r="B176" t="s">
        <v>25</v>
      </c>
      <c r="C176">
        <v>635</v>
      </c>
      <c r="D176">
        <v>1</v>
      </c>
      <c r="E176" t="s">
        <v>27</v>
      </c>
      <c r="F176" t="s">
        <v>28</v>
      </c>
      <c r="G176" t="str">
        <f>"2026-03-22 08:56:13.639"</f>
        <v>2026-03-22 08:56:13.639</v>
      </c>
      <c r="H176" t="s">
        <v>21</v>
      </c>
      <c r="I176">
        <v>10.43</v>
      </c>
      <c r="J176" t="s">
        <v>26</v>
      </c>
    </row>
    <row r="177" spans="1:10" x14ac:dyDescent="0.25">
      <c r="A177" s="1">
        <v>75</v>
      </c>
      <c r="B177" t="s">
        <v>22</v>
      </c>
      <c r="C177">
        <v>635</v>
      </c>
      <c r="D177">
        <v>1</v>
      </c>
      <c r="E177" t="s">
        <v>27</v>
      </c>
      <c r="F177" t="s">
        <v>28</v>
      </c>
      <c r="G177" t="str">
        <f>"2026-03-21 22:36:36.139"</f>
        <v>2026-03-21 22:36:36.139</v>
      </c>
      <c r="H177" t="s">
        <v>21</v>
      </c>
    </row>
    <row r="178" spans="1:10" x14ac:dyDescent="0.25">
      <c r="A178" s="1">
        <v>76</v>
      </c>
      <c r="B178" t="s">
        <v>25</v>
      </c>
      <c r="C178">
        <v>635</v>
      </c>
      <c r="D178">
        <v>1</v>
      </c>
      <c r="E178" t="s">
        <v>27</v>
      </c>
      <c r="F178" t="s">
        <v>28</v>
      </c>
      <c r="G178" t="str">
        <f>"2026-03-21 22:31:28.639"</f>
        <v>2026-03-21 22:31:28.639</v>
      </c>
      <c r="H178" t="s">
        <v>21</v>
      </c>
      <c r="I178">
        <v>1.89</v>
      </c>
      <c r="J178" t="s">
        <v>29</v>
      </c>
    </row>
    <row r="179" spans="1:10" x14ac:dyDescent="0.25">
      <c r="A179" s="1">
        <v>77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"2026-03-21 10:02:52.085"</f>
        <v>2026-03-21 10:02:52.085</v>
      </c>
      <c r="H179" t="s">
        <v>21</v>
      </c>
    </row>
    <row r="180" spans="1:10" x14ac:dyDescent="0.25">
      <c r="A180" s="1">
        <v>81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"2026-03-19 13:36:54.110"</f>
        <v>2026-03-19 13:36:54.110</v>
      </c>
      <c r="H180" t="s">
        <v>21</v>
      </c>
    </row>
    <row r="181" spans="1:10" x14ac:dyDescent="0.25">
      <c r="A181" s="1">
        <v>82</v>
      </c>
      <c r="B181" t="s">
        <v>22</v>
      </c>
      <c r="C181">
        <v>635</v>
      </c>
      <c r="D181">
        <v>1</v>
      </c>
      <c r="E181" t="s">
        <v>27</v>
      </c>
      <c r="F181" t="s">
        <v>28</v>
      </c>
      <c r="G181" t="str">
        <f>"2026-03-19 03:23:47.241"</f>
        <v>2026-03-19 03:23:47.241</v>
      </c>
      <c r="H181" t="s">
        <v>21</v>
      </c>
    </row>
    <row r="182" spans="1:10" x14ac:dyDescent="0.25">
      <c r="A182" s="1">
        <v>83</v>
      </c>
      <c r="B182" t="s">
        <v>25</v>
      </c>
      <c r="C182">
        <v>635</v>
      </c>
      <c r="D182">
        <v>1</v>
      </c>
      <c r="E182" t="s">
        <v>27</v>
      </c>
      <c r="F182" t="s">
        <v>28</v>
      </c>
      <c r="G182" t="str">
        <f>"2026-03-19 03:20:09.241"</f>
        <v>2026-03-19 03:20:09.241</v>
      </c>
      <c r="H182" t="s">
        <v>21</v>
      </c>
      <c r="I182">
        <v>0</v>
      </c>
      <c r="J182" t="s">
        <v>35</v>
      </c>
    </row>
    <row r="183" spans="1:10" x14ac:dyDescent="0.25">
      <c r="A183" s="1">
        <v>84</v>
      </c>
      <c r="B183" t="s">
        <v>22</v>
      </c>
      <c r="C183">
        <v>635</v>
      </c>
      <c r="D183">
        <v>1</v>
      </c>
      <c r="E183" t="s">
        <v>27</v>
      </c>
      <c r="F183" t="s">
        <v>28</v>
      </c>
      <c r="G183" t="str">
        <f>"2026-03-19 00:13:37.541"</f>
        <v>2026-03-19 00:13:37.541</v>
      </c>
      <c r="H183" t="s">
        <v>21</v>
      </c>
    </row>
    <row r="184" spans="1:10" x14ac:dyDescent="0.25">
      <c r="A184" s="1">
        <v>85</v>
      </c>
      <c r="B184" t="s">
        <v>25</v>
      </c>
      <c r="C184">
        <v>635</v>
      </c>
      <c r="D184">
        <v>1</v>
      </c>
      <c r="E184" t="s">
        <v>27</v>
      </c>
      <c r="F184" t="s">
        <v>28</v>
      </c>
      <c r="G184" t="str">
        <f>"2026-03-19 00:09:27.641"</f>
        <v>2026-03-19 00:09:27.641</v>
      </c>
      <c r="H184" t="s">
        <v>21</v>
      </c>
      <c r="I184">
        <v>0</v>
      </c>
      <c r="J184" t="s">
        <v>35</v>
      </c>
    </row>
    <row r="185" spans="1:10" x14ac:dyDescent="0.25">
      <c r="A185" s="1">
        <v>86</v>
      </c>
      <c r="B185" t="s">
        <v>19</v>
      </c>
      <c r="C185">
        <v>706</v>
      </c>
      <c r="D185">
        <v>2</v>
      </c>
      <c r="E185" t="s">
        <v>30</v>
      </c>
      <c r="F185" t="s">
        <v>31</v>
      </c>
      <c r="G185" t="str">
        <f>"2026-03-18 09:56:49.429"</f>
        <v>2026-03-18 09:56:49.429</v>
      </c>
      <c r="H185" t="s">
        <v>21</v>
      </c>
      <c r="I185">
        <v>0</v>
      </c>
      <c r="J185" t="s">
        <v>32</v>
      </c>
    </row>
    <row r="186" spans="1:10" x14ac:dyDescent="0.25">
      <c r="A186" s="1">
        <v>87</v>
      </c>
      <c r="B186" t="s">
        <v>22</v>
      </c>
      <c r="C186">
        <v>635</v>
      </c>
      <c r="D186">
        <v>1</v>
      </c>
      <c r="E186" t="s">
        <v>27</v>
      </c>
      <c r="F186" t="s">
        <v>28</v>
      </c>
      <c r="G186" t="str">
        <f>"2026-03-17 10:22:25.941"</f>
        <v>2026-03-17 10:22:25.941</v>
      </c>
      <c r="H186" t="s">
        <v>21</v>
      </c>
    </row>
    <row r="187" spans="1:10" x14ac:dyDescent="0.25">
      <c r="A187" s="1">
        <v>88</v>
      </c>
      <c r="B187" t="s">
        <v>25</v>
      </c>
      <c r="C187">
        <v>635</v>
      </c>
      <c r="D187">
        <v>1</v>
      </c>
      <c r="E187" t="s">
        <v>27</v>
      </c>
      <c r="F187" t="s">
        <v>28</v>
      </c>
      <c r="G187" t="str">
        <f>"2026-03-17 10:15:49.441"</f>
        <v>2026-03-17 10:15:49.441</v>
      </c>
      <c r="H187" t="s">
        <v>21</v>
      </c>
      <c r="I187">
        <v>9.36</v>
      </c>
      <c r="J187" t="s">
        <v>26</v>
      </c>
    </row>
    <row r="188" spans="1:10" s="3" customFormat="1" x14ac:dyDescent="0.25">
      <c r="A188" s="2">
        <v>89</v>
      </c>
      <c r="B188" s="3" t="s">
        <v>22</v>
      </c>
      <c r="C188" s="3">
        <v>647</v>
      </c>
      <c r="D188" s="3">
        <v>1</v>
      </c>
      <c r="E188" s="3" t="s">
        <v>23</v>
      </c>
      <c r="F188" s="3" t="s">
        <v>24</v>
      </c>
      <c r="G188" s="3" t="str">
        <f>"2026-03-17 04:18:15.541"</f>
        <v>2026-03-17 04:18:15.541</v>
      </c>
      <c r="H188" s="3" t="s">
        <v>21</v>
      </c>
    </row>
    <row r="189" spans="1:10" s="3" customFormat="1" x14ac:dyDescent="0.25">
      <c r="A189" s="2">
        <v>90</v>
      </c>
      <c r="B189" s="3" t="s">
        <v>25</v>
      </c>
      <c r="C189" s="3">
        <v>647</v>
      </c>
      <c r="D189" s="3">
        <v>1</v>
      </c>
      <c r="E189" s="3" t="s">
        <v>23</v>
      </c>
      <c r="F189" s="3" t="s">
        <v>24</v>
      </c>
      <c r="G189" s="3" t="str">
        <f>"2026-03-17 04:18:10.241"</f>
        <v>2026-03-17 04:18:10.241</v>
      </c>
      <c r="H189" s="3" t="s">
        <v>21</v>
      </c>
      <c r="I189" s="3">
        <v>15.15</v>
      </c>
      <c r="J189" s="3" t="s">
        <v>26</v>
      </c>
    </row>
    <row r="190" spans="1:10" x14ac:dyDescent="0.25">
      <c r="A190" s="1">
        <v>91</v>
      </c>
      <c r="B190" t="s">
        <v>19</v>
      </c>
      <c r="C190">
        <v>706</v>
      </c>
      <c r="D190">
        <v>4</v>
      </c>
      <c r="E190" t="s">
        <v>30</v>
      </c>
      <c r="F190" t="s">
        <v>34</v>
      </c>
      <c r="G190" t="str">
        <f>"2026-03-16 08:00:28.589"</f>
        <v>2026-03-16 08:00:28.589</v>
      </c>
      <c r="H190" t="s">
        <v>21</v>
      </c>
      <c r="I190">
        <v>0</v>
      </c>
      <c r="J190" t="s">
        <v>32</v>
      </c>
    </row>
    <row r="191" spans="1:10" x14ac:dyDescent="0.25">
      <c r="A191" s="1">
        <v>92</v>
      </c>
      <c r="B191" t="s">
        <v>22</v>
      </c>
      <c r="C191">
        <v>635</v>
      </c>
      <c r="D191">
        <v>1</v>
      </c>
      <c r="E191" t="s">
        <v>27</v>
      </c>
      <c r="F191" t="s">
        <v>28</v>
      </c>
      <c r="G191" t="str">
        <f>"2026-03-16 05:29:03.841"</f>
        <v>2026-03-16 05:29:03.841</v>
      </c>
      <c r="H191" t="s">
        <v>21</v>
      </c>
    </row>
    <row r="192" spans="1:10" x14ac:dyDescent="0.25">
      <c r="A192" s="1">
        <v>93</v>
      </c>
      <c r="B192" t="s">
        <v>25</v>
      </c>
      <c r="C192">
        <v>635</v>
      </c>
      <c r="D192">
        <v>1</v>
      </c>
      <c r="E192" t="s">
        <v>27</v>
      </c>
      <c r="F192" t="s">
        <v>28</v>
      </c>
      <c r="G192" t="str">
        <f>"2026-03-16 05:25:25.341"</f>
        <v>2026-03-16 05:25:25.341</v>
      </c>
      <c r="H192" t="s">
        <v>21</v>
      </c>
      <c r="I192">
        <v>9.41</v>
      </c>
      <c r="J192" t="s">
        <v>26</v>
      </c>
    </row>
    <row r="193" spans="1:10" x14ac:dyDescent="0.25">
      <c r="A193" s="1">
        <v>94</v>
      </c>
      <c r="B193" t="s">
        <v>19</v>
      </c>
      <c r="C193">
        <v>706</v>
      </c>
      <c r="D193">
        <v>4</v>
      </c>
      <c r="E193" t="s">
        <v>30</v>
      </c>
      <c r="F193" t="s">
        <v>34</v>
      </c>
      <c r="G193" t="str">
        <f>"2026-03-14 08:01:27.909"</f>
        <v>2026-03-14 08:01:27.909</v>
      </c>
      <c r="H193" t="s">
        <v>21</v>
      </c>
      <c r="I193">
        <v>0</v>
      </c>
      <c r="J193" t="s">
        <v>32</v>
      </c>
    </row>
    <row r="194" spans="1:10" x14ac:dyDescent="0.25">
      <c r="A194" s="1">
        <v>95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"2026-03-14 06:11:11.089"</f>
        <v>2026-03-14 06:11:11.089</v>
      </c>
      <c r="H194" t="s">
        <v>21</v>
      </c>
      <c r="I194">
        <v>0</v>
      </c>
      <c r="J194" t="s">
        <v>33</v>
      </c>
    </row>
    <row r="195" spans="1:10" x14ac:dyDescent="0.25">
      <c r="A195" s="1">
        <v>96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"2026-03-13 13:06:45.104"</f>
        <v>2026-03-13 13:06:45.104</v>
      </c>
      <c r="H195" t="s">
        <v>21</v>
      </c>
      <c r="I195">
        <v>0</v>
      </c>
      <c r="J195" t="s">
        <v>33</v>
      </c>
    </row>
    <row r="196" spans="1:10" x14ac:dyDescent="0.25">
      <c r="A196" s="1">
        <v>97</v>
      </c>
      <c r="B196" t="s">
        <v>19</v>
      </c>
      <c r="C196">
        <v>706</v>
      </c>
      <c r="D196">
        <v>4</v>
      </c>
      <c r="E196" t="s">
        <v>30</v>
      </c>
      <c r="F196" t="s">
        <v>34</v>
      </c>
      <c r="G196" t="str">
        <f>"2026-03-13 10:54:58.245"</f>
        <v>2026-03-13 10:54:58.245</v>
      </c>
      <c r="H196" t="s">
        <v>21</v>
      </c>
      <c r="I196">
        <v>0</v>
      </c>
      <c r="J196" t="s">
        <v>32</v>
      </c>
    </row>
    <row r="197" spans="1:10" x14ac:dyDescent="0.25">
      <c r="A197" s="1">
        <v>98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"2026-03-13 10:53:22.105"</f>
        <v>2026-03-13 10:53:22.105</v>
      </c>
      <c r="H197" t="s">
        <v>21</v>
      </c>
    </row>
    <row r="198" spans="1:10" x14ac:dyDescent="0.25">
      <c r="A198" s="1">
        <v>99</v>
      </c>
      <c r="B198" t="s">
        <v>19</v>
      </c>
      <c r="C198">
        <v>706</v>
      </c>
      <c r="D198">
        <v>2</v>
      </c>
      <c r="E198" t="s">
        <v>30</v>
      </c>
      <c r="F198" t="s">
        <v>31</v>
      </c>
      <c r="G198" t="str">
        <f>"2026-03-13 10:50:57.285"</f>
        <v>2026-03-13 10:50:57.285</v>
      </c>
      <c r="H198" t="s">
        <v>21</v>
      </c>
      <c r="I198">
        <v>0</v>
      </c>
      <c r="J198" t="s">
        <v>32</v>
      </c>
    </row>
    <row r="199" spans="1:10" x14ac:dyDescent="0.25">
      <c r="A199" s="1">
        <v>0</v>
      </c>
      <c r="B199" t="s">
        <v>19</v>
      </c>
      <c r="C199">
        <v>706</v>
      </c>
      <c r="D199">
        <v>2</v>
      </c>
      <c r="E199" t="s">
        <v>30</v>
      </c>
      <c r="F199" t="s">
        <v>31</v>
      </c>
      <c r="G199" t="str">
        <f>"2026-03-13 10:43:19.885"</f>
        <v>2026-03-13 10:43:19.885</v>
      </c>
      <c r="H199" t="s">
        <v>21</v>
      </c>
      <c r="I199">
        <v>0</v>
      </c>
      <c r="J199" t="s">
        <v>32</v>
      </c>
    </row>
    <row r="200" spans="1:10" x14ac:dyDescent="0.25">
      <c r="A200" s="1">
        <v>1</v>
      </c>
      <c r="B200" t="s">
        <v>19</v>
      </c>
      <c r="C200">
        <v>706</v>
      </c>
      <c r="D200">
        <v>2</v>
      </c>
      <c r="E200" t="s">
        <v>30</v>
      </c>
      <c r="F200" t="s">
        <v>31</v>
      </c>
      <c r="G200" t="str">
        <f>"2026-03-13 10:42:56.085"</f>
        <v>2026-03-13 10:42:56.085</v>
      </c>
      <c r="H200" t="s">
        <v>21</v>
      </c>
      <c r="I200">
        <v>0</v>
      </c>
      <c r="J200" t="s">
        <v>32</v>
      </c>
    </row>
    <row r="201" spans="1:10" x14ac:dyDescent="0.25">
      <c r="A201" s="1">
        <v>2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"2026-03-13 10:35:37.075"</f>
        <v>2026-03-13 10:35:37.075</v>
      </c>
      <c r="H201" t="s">
        <v>21</v>
      </c>
    </row>
    <row r="202" spans="1:10" x14ac:dyDescent="0.25">
      <c r="A202" s="1">
        <v>3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"2026-03-13 09:27:13.073"</f>
        <v>2026-03-13 09:27:13.073</v>
      </c>
      <c r="H202" t="s">
        <v>21</v>
      </c>
    </row>
    <row r="203" spans="1:10" x14ac:dyDescent="0.25">
      <c r="A203" s="1">
        <v>4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"2026-03-13 09:11:46.309"</f>
        <v>2026-03-13 09:11:46.309</v>
      </c>
      <c r="H203" t="s">
        <v>21</v>
      </c>
    </row>
    <row r="204" spans="1:10" x14ac:dyDescent="0.25">
      <c r="A204" s="1">
        <v>5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"2026-03-13 09:08:31.149"</f>
        <v>2026-03-13 09:08:31.149</v>
      </c>
      <c r="H204" t="s">
        <v>21</v>
      </c>
      <c r="I204">
        <v>0</v>
      </c>
      <c r="J204" t="s">
        <v>33</v>
      </c>
    </row>
    <row r="205" spans="1:10" x14ac:dyDescent="0.25">
      <c r="A205" s="1">
        <v>6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"2026-03-13 02:39:39.099"</f>
        <v>2026-03-13 02:39:39.099</v>
      </c>
      <c r="H205" t="s">
        <v>21</v>
      </c>
    </row>
    <row r="206" spans="1:10" s="3" customFormat="1" x14ac:dyDescent="0.25">
      <c r="A206" s="2">
        <v>7</v>
      </c>
      <c r="B206" s="3" t="s">
        <v>22</v>
      </c>
      <c r="C206" s="3">
        <v>647</v>
      </c>
      <c r="D206" s="3">
        <v>1</v>
      </c>
      <c r="E206" s="3" t="s">
        <v>23</v>
      </c>
      <c r="F206" s="3" t="s">
        <v>24</v>
      </c>
      <c r="G206" s="3" t="str">
        <f>"2026-03-12 20:44:05.422"</f>
        <v>2026-03-12 20:44:05.422</v>
      </c>
      <c r="H206" s="3" t="s">
        <v>21</v>
      </c>
    </row>
    <row r="207" spans="1:10" s="3" customFormat="1" x14ac:dyDescent="0.25">
      <c r="A207" s="2">
        <v>8</v>
      </c>
      <c r="B207" s="3" t="s">
        <v>25</v>
      </c>
      <c r="C207" s="3">
        <v>647</v>
      </c>
      <c r="D207" s="3">
        <v>1</v>
      </c>
      <c r="E207" s="3" t="s">
        <v>23</v>
      </c>
      <c r="F207" s="3" t="s">
        <v>24</v>
      </c>
      <c r="G207" s="3" t="str">
        <f>"2026-03-12 20:44:03.922"</f>
        <v>2026-03-12 20:44:03.922</v>
      </c>
      <c r="H207" s="3" t="s">
        <v>21</v>
      </c>
      <c r="I207" s="3">
        <v>15.36</v>
      </c>
      <c r="J207" s="3" t="s">
        <v>26</v>
      </c>
    </row>
    <row r="208" spans="1:10" x14ac:dyDescent="0.25">
      <c r="A208" s="1">
        <v>9</v>
      </c>
      <c r="B208" t="s">
        <v>19</v>
      </c>
      <c r="C208">
        <v>706</v>
      </c>
      <c r="D208">
        <v>4</v>
      </c>
      <c r="E208" t="s">
        <v>30</v>
      </c>
      <c r="F208" t="s">
        <v>34</v>
      </c>
      <c r="G208" t="str">
        <f>"2026-03-12 10:22:06.779"</f>
        <v>2026-03-12 10:22:06.779</v>
      </c>
      <c r="H208" t="s">
        <v>21</v>
      </c>
      <c r="I208">
        <v>0</v>
      </c>
      <c r="J208" t="s">
        <v>32</v>
      </c>
    </row>
    <row r="209" spans="1:10" s="3" customFormat="1" x14ac:dyDescent="0.25">
      <c r="A209" s="2">
        <v>10</v>
      </c>
      <c r="B209" s="3" t="s">
        <v>22</v>
      </c>
      <c r="C209" s="3">
        <v>647</v>
      </c>
      <c r="D209" s="3">
        <v>1</v>
      </c>
      <c r="E209" s="3" t="s">
        <v>23</v>
      </c>
      <c r="F209" s="3" t="s">
        <v>24</v>
      </c>
      <c r="G209" s="3" t="str">
        <f>"2026-03-12 02:13:04.122"</f>
        <v>2026-03-12 02:13:04.122</v>
      </c>
      <c r="H209" s="3" t="s">
        <v>21</v>
      </c>
    </row>
    <row r="210" spans="1:10" s="3" customFormat="1" x14ac:dyDescent="0.25">
      <c r="A210" s="2">
        <v>11</v>
      </c>
      <c r="B210" s="3" t="s">
        <v>25</v>
      </c>
      <c r="C210" s="3">
        <v>647</v>
      </c>
      <c r="D210" s="3">
        <v>1</v>
      </c>
      <c r="E210" s="3" t="s">
        <v>23</v>
      </c>
      <c r="F210" s="3" t="s">
        <v>24</v>
      </c>
      <c r="G210" s="3" t="str">
        <f>"2026-03-12 02:13:02.222"</f>
        <v>2026-03-12 02:13:02.222</v>
      </c>
      <c r="H210" s="3" t="s">
        <v>21</v>
      </c>
      <c r="I210" s="3">
        <v>12.14</v>
      </c>
      <c r="J210" s="3" t="s">
        <v>26</v>
      </c>
    </row>
    <row r="211" spans="1:10" x14ac:dyDescent="0.25">
      <c r="A211" s="1">
        <v>12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"2026-03-11 20:45:22.259"</f>
        <v>2026-03-11 20:45:22.259</v>
      </c>
      <c r="H211" t="s">
        <v>21</v>
      </c>
    </row>
    <row r="212" spans="1:10" x14ac:dyDescent="0.25">
      <c r="A212" s="1">
        <v>13</v>
      </c>
      <c r="B212" t="s">
        <v>19</v>
      </c>
      <c r="C212">
        <v>706</v>
      </c>
      <c r="D212">
        <v>2</v>
      </c>
      <c r="E212" t="s">
        <v>30</v>
      </c>
      <c r="F212" t="s">
        <v>31</v>
      </c>
      <c r="G212" t="str">
        <f>"2026-03-11 10:06:14.568"</f>
        <v>2026-03-11 10:06:14.568</v>
      </c>
      <c r="H212" t="s">
        <v>21</v>
      </c>
      <c r="I212">
        <v>0</v>
      </c>
      <c r="J212" t="s">
        <v>32</v>
      </c>
    </row>
    <row r="213" spans="1:10" x14ac:dyDescent="0.25">
      <c r="A213" s="1">
        <v>14</v>
      </c>
      <c r="B213" t="s">
        <v>22</v>
      </c>
      <c r="C213">
        <v>635</v>
      </c>
      <c r="D213">
        <v>1</v>
      </c>
      <c r="E213" t="s">
        <v>27</v>
      </c>
      <c r="F213" t="s">
        <v>28</v>
      </c>
      <c r="G213" t="str">
        <f>"2026-03-11 07:35:15.072"</f>
        <v>2026-03-11 07:35:15.072</v>
      </c>
      <c r="H213" t="s">
        <v>21</v>
      </c>
    </row>
    <row r="214" spans="1:10" x14ac:dyDescent="0.25">
      <c r="A214" s="1">
        <v>15</v>
      </c>
      <c r="B214" t="s">
        <v>25</v>
      </c>
      <c r="C214">
        <v>635</v>
      </c>
      <c r="D214">
        <v>1</v>
      </c>
      <c r="E214" t="s">
        <v>27</v>
      </c>
      <c r="F214" t="s">
        <v>28</v>
      </c>
      <c r="G214" t="str">
        <f>"2026-03-11 07:32:01.573"</f>
        <v>2026-03-11 07:32:01.573</v>
      </c>
      <c r="H214" t="s">
        <v>21</v>
      </c>
      <c r="I214">
        <v>4.9400000000000004</v>
      </c>
      <c r="J214" t="s">
        <v>26</v>
      </c>
    </row>
    <row r="215" spans="1:10" x14ac:dyDescent="0.25">
      <c r="A215" s="1">
        <v>16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"2026-03-11 03:53:56.078"</f>
        <v>2026-03-11 03:53:56.078</v>
      </c>
      <c r="H215" t="s">
        <v>21</v>
      </c>
    </row>
    <row r="216" spans="1:10" s="3" customFormat="1" x14ac:dyDescent="0.25">
      <c r="A216" s="2">
        <v>17</v>
      </c>
      <c r="B216" s="3" t="s">
        <v>22</v>
      </c>
      <c r="C216" s="3">
        <v>647</v>
      </c>
      <c r="D216" s="3">
        <v>1</v>
      </c>
      <c r="E216" s="3" t="s">
        <v>23</v>
      </c>
      <c r="F216" s="3" t="s">
        <v>24</v>
      </c>
      <c r="G216" s="3" t="str">
        <f>"2026-03-10 23:07:45.805"</f>
        <v>2026-03-10 23:07:45.805</v>
      </c>
      <c r="H216" s="3" t="s">
        <v>21</v>
      </c>
    </row>
    <row r="217" spans="1:10" s="3" customFormat="1" x14ac:dyDescent="0.25">
      <c r="A217" s="2">
        <v>18</v>
      </c>
      <c r="B217" s="3" t="s">
        <v>25</v>
      </c>
      <c r="C217" s="3">
        <v>647</v>
      </c>
      <c r="D217" s="3">
        <v>1</v>
      </c>
      <c r="E217" s="3" t="s">
        <v>23</v>
      </c>
      <c r="F217" s="3" t="s">
        <v>24</v>
      </c>
      <c r="G217" s="3" t="str">
        <f>"2026-03-10 23:07:33.304"</f>
        <v>2026-03-10 23:07:33.304</v>
      </c>
      <c r="H217" s="3" t="s">
        <v>21</v>
      </c>
      <c r="I217" s="3">
        <v>24.06</v>
      </c>
      <c r="J217" s="3" t="s">
        <v>26</v>
      </c>
    </row>
    <row r="218" spans="1:10" s="3" customFormat="1" x14ac:dyDescent="0.25">
      <c r="A218" s="2">
        <v>19</v>
      </c>
      <c r="B218" s="3" t="s">
        <v>22</v>
      </c>
      <c r="C218" s="3">
        <v>647</v>
      </c>
      <c r="D218" s="3">
        <v>1</v>
      </c>
      <c r="E218" s="3" t="s">
        <v>23</v>
      </c>
      <c r="F218" s="3" t="s">
        <v>24</v>
      </c>
      <c r="G218" s="3" t="str">
        <f>"2026-03-10 23:06:48.005"</f>
        <v>2026-03-10 23:06:48.005</v>
      </c>
      <c r="H218" s="3" t="s">
        <v>21</v>
      </c>
    </row>
    <row r="219" spans="1:10" s="3" customFormat="1" x14ac:dyDescent="0.25">
      <c r="A219" s="2">
        <v>20</v>
      </c>
      <c r="B219" s="3" t="s">
        <v>25</v>
      </c>
      <c r="C219" s="3">
        <v>647</v>
      </c>
      <c r="D219" s="3">
        <v>1</v>
      </c>
      <c r="E219" s="3" t="s">
        <v>23</v>
      </c>
      <c r="F219" s="3" t="s">
        <v>24</v>
      </c>
      <c r="G219" s="3" t="str">
        <f>"2026-03-10 23:06:45.505"</f>
        <v>2026-03-10 23:06:45.505</v>
      </c>
      <c r="H219" s="3" t="s">
        <v>21</v>
      </c>
      <c r="I219" s="3">
        <v>27.77</v>
      </c>
      <c r="J219" s="3" t="s">
        <v>26</v>
      </c>
    </row>
    <row r="220" spans="1:10" x14ac:dyDescent="0.25">
      <c r="A220" s="1">
        <v>21</v>
      </c>
      <c r="B220" t="s">
        <v>19</v>
      </c>
      <c r="C220">
        <v>706</v>
      </c>
      <c r="D220">
        <v>4</v>
      </c>
      <c r="E220" t="s">
        <v>30</v>
      </c>
      <c r="F220" t="s">
        <v>34</v>
      </c>
      <c r="G220" t="str">
        <f>"2026-03-10 13:47:04.204"</f>
        <v>2026-03-10 13:47:04.204</v>
      </c>
      <c r="H220" t="s">
        <v>21</v>
      </c>
      <c r="I220">
        <v>0</v>
      </c>
      <c r="J220" t="s">
        <v>32</v>
      </c>
    </row>
    <row r="221" spans="1:10" x14ac:dyDescent="0.25">
      <c r="A221" s="1">
        <v>23</v>
      </c>
      <c r="B221" t="s">
        <v>22</v>
      </c>
      <c r="C221">
        <v>635</v>
      </c>
      <c r="D221">
        <v>1</v>
      </c>
      <c r="E221" t="s">
        <v>27</v>
      </c>
      <c r="F221" t="s">
        <v>28</v>
      </c>
      <c r="G221" t="str">
        <f>"2026-03-10 12:23:50.247"</f>
        <v>2026-03-10 12:23:50.247</v>
      </c>
      <c r="H221" t="s">
        <v>21</v>
      </c>
    </row>
    <row r="222" spans="1:10" x14ac:dyDescent="0.25">
      <c r="A222" s="1">
        <v>24</v>
      </c>
      <c r="B222" t="s">
        <v>25</v>
      </c>
      <c r="C222">
        <v>635</v>
      </c>
      <c r="D222">
        <v>1</v>
      </c>
      <c r="E222" t="s">
        <v>27</v>
      </c>
      <c r="F222" t="s">
        <v>28</v>
      </c>
      <c r="G222" t="str">
        <f>"2026-03-10 12:20:20.247"</f>
        <v>2026-03-10 12:20:20.247</v>
      </c>
      <c r="H222" t="s">
        <v>21</v>
      </c>
      <c r="I222">
        <v>5.96</v>
      </c>
      <c r="J222" t="s">
        <v>29</v>
      </c>
    </row>
    <row r="223" spans="1:10" x14ac:dyDescent="0.25">
      <c r="A223" s="1">
        <v>25</v>
      </c>
      <c r="B223" t="s">
        <v>19</v>
      </c>
      <c r="C223">
        <v>706</v>
      </c>
      <c r="D223">
        <v>2</v>
      </c>
      <c r="E223" t="s">
        <v>30</v>
      </c>
      <c r="F223" t="s">
        <v>31</v>
      </c>
      <c r="G223" t="str">
        <f>"2026-03-10 04:26:32.104"</f>
        <v>2026-03-10 04:26:32.104</v>
      </c>
      <c r="H223" t="s">
        <v>21</v>
      </c>
      <c r="I223">
        <v>0</v>
      </c>
      <c r="J223" t="s">
        <v>32</v>
      </c>
    </row>
    <row r="224" spans="1:10" s="3" customFormat="1" x14ac:dyDescent="0.25">
      <c r="A224" s="2">
        <v>26</v>
      </c>
      <c r="B224" s="3" t="s">
        <v>22</v>
      </c>
      <c r="C224" s="3">
        <v>647</v>
      </c>
      <c r="D224" s="3">
        <v>1</v>
      </c>
      <c r="E224" s="3" t="s">
        <v>23</v>
      </c>
      <c r="F224" s="3" t="s">
        <v>24</v>
      </c>
      <c r="G224" s="3" t="str">
        <f>"2026-03-09 20:54:09.295"</f>
        <v>2026-03-09 20:54:09.295</v>
      </c>
      <c r="H224" s="3" t="s">
        <v>21</v>
      </c>
    </row>
    <row r="225" spans="1:10" s="3" customFormat="1" x14ac:dyDescent="0.25">
      <c r="A225" s="2">
        <v>27</v>
      </c>
      <c r="B225" s="3" t="s">
        <v>25</v>
      </c>
      <c r="C225" s="3">
        <v>647</v>
      </c>
      <c r="D225" s="3">
        <v>1</v>
      </c>
      <c r="E225" s="3" t="s">
        <v>23</v>
      </c>
      <c r="F225" s="3" t="s">
        <v>24</v>
      </c>
      <c r="G225" s="3" t="str">
        <f>"2026-03-09 20:54:06.596"</f>
        <v>2026-03-09 20:54:06.596</v>
      </c>
      <c r="H225" s="3" t="s">
        <v>21</v>
      </c>
      <c r="I225" s="3">
        <v>8.3800000000000008</v>
      </c>
      <c r="J225" s="3" t="s">
        <v>26</v>
      </c>
    </row>
    <row r="226" spans="1:10" x14ac:dyDescent="0.25">
      <c r="A226" s="1">
        <v>28</v>
      </c>
      <c r="B226" t="s">
        <v>19</v>
      </c>
      <c r="C226">
        <v>706</v>
      </c>
      <c r="D226">
        <v>4</v>
      </c>
      <c r="E226" t="s">
        <v>30</v>
      </c>
      <c r="F226" t="s">
        <v>34</v>
      </c>
      <c r="G226" t="str">
        <f>"2026-03-09 17:45:52.494"</f>
        <v>2026-03-09 17:45:52.494</v>
      </c>
      <c r="H226" t="s">
        <v>21</v>
      </c>
      <c r="I226">
        <v>0</v>
      </c>
      <c r="J226" t="s">
        <v>32</v>
      </c>
    </row>
    <row r="227" spans="1:10" x14ac:dyDescent="0.25">
      <c r="A227" s="1">
        <v>29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"2026-03-09 07:24:13.974"</f>
        <v>2026-03-09 07:24:13.974</v>
      </c>
      <c r="H227" t="s">
        <v>21</v>
      </c>
    </row>
    <row r="228" spans="1:10" x14ac:dyDescent="0.25">
      <c r="A228" s="1">
        <v>30</v>
      </c>
      <c r="B228" t="s">
        <v>19</v>
      </c>
      <c r="C228">
        <v>706</v>
      </c>
      <c r="D228">
        <v>4</v>
      </c>
      <c r="E228" t="s">
        <v>30</v>
      </c>
      <c r="F228" t="s">
        <v>34</v>
      </c>
      <c r="G228" t="str">
        <f>"2026-03-08 13:06:48.914"</f>
        <v>2026-03-08 13:06:48.914</v>
      </c>
      <c r="H228" t="s">
        <v>21</v>
      </c>
      <c r="I228">
        <v>0</v>
      </c>
      <c r="J228" t="s">
        <v>32</v>
      </c>
    </row>
    <row r="229" spans="1:10" x14ac:dyDescent="0.25">
      <c r="A229" s="1">
        <v>31</v>
      </c>
      <c r="B229" t="s">
        <v>19</v>
      </c>
      <c r="C229">
        <v>706</v>
      </c>
      <c r="D229">
        <v>4</v>
      </c>
      <c r="E229" t="s">
        <v>30</v>
      </c>
      <c r="F229" t="s">
        <v>34</v>
      </c>
      <c r="G229" t="str">
        <f>"2026-03-06 10:47:18.624"</f>
        <v>2026-03-06 10:47:18.624</v>
      </c>
      <c r="H229" t="s">
        <v>21</v>
      </c>
      <c r="I229">
        <v>0</v>
      </c>
      <c r="J229" t="s">
        <v>32</v>
      </c>
    </row>
    <row r="230" spans="1:10" s="3" customFormat="1" x14ac:dyDescent="0.25">
      <c r="A230" s="2">
        <v>33</v>
      </c>
      <c r="B230" s="3" t="s">
        <v>22</v>
      </c>
      <c r="C230" s="3">
        <v>647</v>
      </c>
      <c r="D230" s="3">
        <v>1</v>
      </c>
      <c r="E230" s="3" t="s">
        <v>23</v>
      </c>
      <c r="F230" s="3" t="s">
        <v>24</v>
      </c>
      <c r="G230" s="3" t="str">
        <f>"2026-03-05 00:51:24.946"</f>
        <v>2026-03-05 00:51:24.946</v>
      </c>
      <c r="H230" s="3" t="s">
        <v>21</v>
      </c>
    </row>
    <row r="231" spans="1:10" s="3" customFormat="1" x14ac:dyDescent="0.25">
      <c r="A231" s="2">
        <v>34</v>
      </c>
      <c r="B231" s="3" t="s">
        <v>25</v>
      </c>
      <c r="C231" s="3">
        <v>647</v>
      </c>
      <c r="D231" s="3">
        <v>1</v>
      </c>
      <c r="E231" s="3" t="s">
        <v>23</v>
      </c>
      <c r="F231" s="3" t="s">
        <v>24</v>
      </c>
      <c r="G231" s="3" t="str">
        <f>"2026-03-05 00:51:19.846"</f>
        <v>2026-03-05 00:51:19.846</v>
      </c>
      <c r="H231" s="3" t="s">
        <v>21</v>
      </c>
      <c r="I231" s="3">
        <v>10.89</v>
      </c>
      <c r="J231" s="3" t="s">
        <v>26</v>
      </c>
    </row>
    <row r="232" spans="1:10" x14ac:dyDescent="0.25">
      <c r="A232" s="1">
        <v>36</v>
      </c>
      <c r="B232" t="s">
        <v>19</v>
      </c>
      <c r="C232">
        <v>706</v>
      </c>
      <c r="D232">
        <v>4</v>
      </c>
      <c r="E232" t="s">
        <v>30</v>
      </c>
      <c r="F232" t="s">
        <v>34</v>
      </c>
      <c r="G232" t="str">
        <f>"2026-03-04 11:01:03.054"</f>
        <v>2026-03-04 11:01:03.054</v>
      </c>
      <c r="H232" t="s">
        <v>21</v>
      </c>
      <c r="I232">
        <v>0</v>
      </c>
      <c r="J232" t="s">
        <v>32</v>
      </c>
    </row>
    <row r="233" spans="1:10" x14ac:dyDescent="0.25">
      <c r="A233" s="1">
        <v>37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"2026-03-04 11:00:33.084"</f>
        <v>2026-03-04 11:00:33.084</v>
      </c>
      <c r="H233" t="s">
        <v>21</v>
      </c>
      <c r="I233">
        <v>0</v>
      </c>
      <c r="J233" t="s">
        <v>33</v>
      </c>
    </row>
    <row r="234" spans="1:10" x14ac:dyDescent="0.25">
      <c r="A234" s="1">
        <v>38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"2026-03-04 10:57:52.067"</f>
        <v>2026-03-04 10:57:52.067</v>
      </c>
      <c r="H234" t="s">
        <v>21</v>
      </c>
      <c r="I234">
        <v>0</v>
      </c>
      <c r="J234" t="s">
        <v>33</v>
      </c>
    </row>
    <row r="235" spans="1:10" x14ac:dyDescent="0.25">
      <c r="A235" s="1">
        <v>39</v>
      </c>
      <c r="B235" t="s">
        <v>19</v>
      </c>
      <c r="C235">
        <v>706</v>
      </c>
      <c r="D235">
        <v>3</v>
      </c>
      <c r="E235" t="s">
        <v>30</v>
      </c>
      <c r="F235" t="s">
        <v>36</v>
      </c>
      <c r="G235" t="str">
        <f>"2026-03-02 18:37:00.405"</f>
        <v>2026-03-02 18:37:00.405</v>
      </c>
      <c r="H235" t="s">
        <v>21</v>
      </c>
      <c r="I235">
        <v>0</v>
      </c>
      <c r="J235" t="s">
        <v>35</v>
      </c>
    </row>
    <row r="236" spans="1:10" x14ac:dyDescent="0.25">
      <c r="A236" s="1">
        <v>40</v>
      </c>
      <c r="B236" t="s">
        <v>19</v>
      </c>
      <c r="C236">
        <v>706</v>
      </c>
      <c r="D236">
        <v>2</v>
      </c>
      <c r="E236" t="s">
        <v>30</v>
      </c>
      <c r="F236" t="s">
        <v>31</v>
      </c>
      <c r="G236" t="str">
        <f>"2026-03-02 18:30:52.115"</f>
        <v>2026-03-02 18:30:52.115</v>
      </c>
      <c r="H236" t="s">
        <v>21</v>
      </c>
      <c r="I236">
        <v>0</v>
      </c>
      <c r="J236" t="s">
        <v>32</v>
      </c>
    </row>
    <row r="237" spans="1:10" x14ac:dyDescent="0.25">
      <c r="A237" s="1">
        <v>41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"2026-03-02 18:29:57.075"</f>
        <v>2026-03-02 18:29:57.075</v>
      </c>
      <c r="H237" t="s">
        <v>21</v>
      </c>
    </row>
    <row r="238" spans="1:10" x14ac:dyDescent="0.25">
      <c r="A238" s="1">
        <v>42</v>
      </c>
      <c r="B238" t="s">
        <v>19</v>
      </c>
      <c r="C238">
        <v>706</v>
      </c>
      <c r="D238">
        <v>3</v>
      </c>
      <c r="E238" t="s">
        <v>30</v>
      </c>
      <c r="F238" t="s">
        <v>36</v>
      </c>
      <c r="G238" t="str">
        <f>"2026-03-02 15:03:07.352"</f>
        <v>2026-03-02 15:03:07.352</v>
      </c>
      <c r="H238" t="s">
        <v>21</v>
      </c>
      <c r="I238">
        <v>0</v>
      </c>
      <c r="J238" t="s">
        <v>32</v>
      </c>
    </row>
    <row r="239" spans="1:10" x14ac:dyDescent="0.25">
      <c r="A239" s="1">
        <v>43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"2026-03-02 15:01:34.072"</f>
        <v>2026-03-02 15:01:34.072</v>
      </c>
      <c r="H239" t="s">
        <v>21</v>
      </c>
      <c r="I239">
        <v>0</v>
      </c>
      <c r="J239" t="s">
        <v>33</v>
      </c>
    </row>
    <row r="240" spans="1:10" x14ac:dyDescent="0.25">
      <c r="A240" s="1">
        <v>44</v>
      </c>
      <c r="B240" t="s">
        <v>19</v>
      </c>
      <c r="C240">
        <v>706</v>
      </c>
      <c r="D240">
        <v>2</v>
      </c>
      <c r="E240" t="s">
        <v>30</v>
      </c>
      <c r="F240" t="s">
        <v>31</v>
      </c>
      <c r="G240" t="str">
        <f>"2026-03-02 14:44:40.097"</f>
        <v>2026-03-02 14:44:40.097</v>
      </c>
      <c r="H240" t="s">
        <v>21</v>
      </c>
      <c r="I240">
        <v>0</v>
      </c>
      <c r="J240" t="s">
        <v>32</v>
      </c>
    </row>
    <row r="241" spans="1:10" x14ac:dyDescent="0.25">
      <c r="A241" s="1">
        <v>45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"2026-03-02 14:43:56.067"</f>
        <v>2026-03-02 14:43:56.067</v>
      </c>
      <c r="H241" t="s">
        <v>21</v>
      </c>
      <c r="I241">
        <v>0</v>
      </c>
      <c r="J241" t="s">
        <v>33</v>
      </c>
    </row>
    <row r="242" spans="1:10" x14ac:dyDescent="0.25">
      <c r="A242" s="1">
        <v>46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"2026-03-02 01:35:47.068"</f>
        <v>2026-03-02 01:35:47.068</v>
      </c>
      <c r="H242" t="s">
        <v>21</v>
      </c>
      <c r="I242">
        <v>0</v>
      </c>
      <c r="J242" t="s">
        <v>33</v>
      </c>
    </row>
    <row r="243" spans="1:10" x14ac:dyDescent="0.25">
      <c r="A243" s="1">
        <v>47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"2026-03-02 01:26:28.072"</f>
        <v>2026-03-02 01:26:28.072</v>
      </c>
      <c r="H243" t="s">
        <v>21</v>
      </c>
    </row>
    <row r="244" spans="1:10" x14ac:dyDescent="0.25">
      <c r="A244" s="1">
        <v>48</v>
      </c>
      <c r="B244" t="s">
        <v>19</v>
      </c>
      <c r="C244">
        <v>706</v>
      </c>
      <c r="D244">
        <v>4</v>
      </c>
      <c r="E244" t="s">
        <v>30</v>
      </c>
      <c r="F244" t="s">
        <v>34</v>
      </c>
      <c r="G244" t="str">
        <f>"2026-03-01 23:57:54.404"</f>
        <v>2026-03-01 23:57:54.404</v>
      </c>
      <c r="H244" t="s">
        <v>21</v>
      </c>
      <c r="I244">
        <v>0</v>
      </c>
      <c r="J244" t="s">
        <v>32</v>
      </c>
    </row>
    <row r="245" spans="1:10" x14ac:dyDescent="0.25">
      <c r="A245" s="1">
        <v>49</v>
      </c>
      <c r="B245" t="s">
        <v>19</v>
      </c>
      <c r="C245">
        <v>706</v>
      </c>
      <c r="D245">
        <v>2</v>
      </c>
      <c r="E245" t="s">
        <v>30</v>
      </c>
      <c r="F245" t="s">
        <v>31</v>
      </c>
      <c r="G245" t="str">
        <f>"2026-03-01 23:46:36.884"</f>
        <v>2026-03-01 23:46:36.884</v>
      </c>
      <c r="H245" t="s">
        <v>21</v>
      </c>
      <c r="I245">
        <v>0</v>
      </c>
      <c r="J245" t="s">
        <v>32</v>
      </c>
    </row>
    <row r="246" spans="1:10" x14ac:dyDescent="0.25">
      <c r="A246" s="1">
        <v>50</v>
      </c>
      <c r="B246" t="s">
        <v>19</v>
      </c>
      <c r="C246">
        <v>706</v>
      </c>
      <c r="D246">
        <v>2</v>
      </c>
      <c r="E246" t="s">
        <v>30</v>
      </c>
      <c r="F246" t="s">
        <v>31</v>
      </c>
      <c r="G246" t="str">
        <f>"2026-03-01 23:44:43.684"</f>
        <v>2026-03-01 23:44:43.684</v>
      </c>
      <c r="H246" t="s">
        <v>21</v>
      </c>
      <c r="I246">
        <v>0</v>
      </c>
      <c r="J246" t="s">
        <v>32</v>
      </c>
    </row>
    <row r="247" spans="1:10" x14ac:dyDescent="0.25">
      <c r="A247" s="1">
        <v>51</v>
      </c>
      <c r="B247" t="s">
        <v>19</v>
      </c>
      <c r="C247">
        <v>706</v>
      </c>
      <c r="D247">
        <v>4</v>
      </c>
      <c r="E247" t="s">
        <v>30</v>
      </c>
      <c r="F247" t="s">
        <v>34</v>
      </c>
      <c r="G247" t="str">
        <f>"2026-03-01 23:37:13.044"</f>
        <v>2026-03-01 23:37:13.044</v>
      </c>
      <c r="H247" t="s">
        <v>21</v>
      </c>
      <c r="I247">
        <v>0</v>
      </c>
      <c r="J247" t="s">
        <v>32</v>
      </c>
    </row>
    <row r="248" spans="1:10" x14ac:dyDescent="0.25">
      <c r="A248" s="1">
        <v>52</v>
      </c>
      <c r="B248" t="s">
        <v>19</v>
      </c>
      <c r="C248">
        <v>706</v>
      </c>
      <c r="D248">
        <v>4</v>
      </c>
      <c r="E248" t="s">
        <v>30</v>
      </c>
      <c r="F248" t="s">
        <v>34</v>
      </c>
      <c r="G248" t="str">
        <f>"2026-03-01 23:33:04.644"</f>
        <v>2026-03-01 23:33:04.644</v>
      </c>
      <c r="H248" t="s">
        <v>21</v>
      </c>
      <c r="I248">
        <v>0</v>
      </c>
      <c r="J248" t="s">
        <v>32</v>
      </c>
    </row>
    <row r="249" spans="1:10" x14ac:dyDescent="0.25">
      <c r="A249" s="1">
        <v>53</v>
      </c>
      <c r="B249" t="s">
        <v>19</v>
      </c>
      <c r="C249">
        <v>706</v>
      </c>
      <c r="D249">
        <v>4</v>
      </c>
      <c r="E249" t="s">
        <v>30</v>
      </c>
      <c r="F249" t="s">
        <v>34</v>
      </c>
      <c r="G249" t="str">
        <f>"2026-03-01 23:32:27.664"</f>
        <v>2026-03-01 23:32:27.664</v>
      </c>
      <c r="H249" t="s">
        <v>21</v>
      </c>
      <c r="I249">
        <v>0</v>
      </c>
      <c r="J249" t="s">
        <v>32</v>
      </c>
    </row>
    <row r="250" spans="1:10" x14ac:dyDescent="0.25">
      <c r="A250" s="1">
        <v>54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"2026-03-01 23:23:21.094"</f>
        <v>2026-03-01 23:23:21.094</v>
      </c>
      <c r="H250" t="s">
        <v>21</v>
      </c>
      <c r="I250">
        <v>0</v>
      </c>
      <c r="J250" t="s">
        <v>33</v>
      </c>
    </row>
    <row r="251" spans="1:10" x14ac:dyDescent="0.25">
      <c r="A251" s="1">
        <v>55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"2026-03-01 20:15:51.163"</f>
        <v>2026-03-01 20:15:51.163</v>
      </c>
      <c r="H251" t="s">
        <v>21</v>
      </c>
      <c r="I251">
        <v>0</v>
      </c>
      <c r="J251" t="s">
        <v>33</v>
      </c>
    </row>
    <row r="252" spans="1:10" x14ac:dyDescent="0.25">
      <c r="A252" s="1">
        <v>56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"2026-02-28 09:53:31.257"</f>
        <v>2026-02-28 09:53:31.257</v>
      </c>
      <c r="H252" t="s">
        <v>21</v>
      </c>
      <c r="I252">
        <v>0</v>
      </c>
      <c r="J252" t="s">
        <v>33</v>
      </c>
    </row>
    <row r="253" spans="1:10" x14ac:dyDescent="0.25">
      <c r="A253" s="1">
        <v>58</v>
      </c>
      <c r="B253" t="s">
        <v>19</v>
      </c>
      <c r="C253">
        <v>706</v>
      </c>
      <c r="D253">
        <v>4</v>
      </c>
      <c r="E253" t="s">
        <v>30</v>
      </c>
      <c r="F253" t="s">
        <v>34</v>
      </c>
      <c r="G253" t="str">
        <f>"2026-02-27 15:14:35.670"</f>
        <v>2026-02-27 15:14:35.670</v>
      </c>
      <c r="H253" t="s">
        <v>21</v>
      </c>
      <c r="I253">
        <v>0</v>
      </c>
      <c r="J253" t="s">
        <v>32</v>
      </c>
    </row>
    <row r="254" spans="1:10" x14ac:dyDescent="0.25">
      <c r="A254" s="1">
        <v>59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"2026-02-27 15:14:20.120"</f>
        <v>2026-02-27 15:14:20.120</v>
      </c>
      <c r="H254" t="s">
        <v>21</v>
      </c>
      <c r="I254">
        <v>0</v>
      </c>
      <c r="J254" t="s">
        <v>33</v>
      </c>
    </row>
    <row r="255" spans="1:10" x14ac:dyDescent="0.25">
      <c r="A255" s="1">
        <v>60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"2026-02-26 21:20:53.120"</f>
        <v>2026-02-26 21:20:53.120</v>
      </c>
      <c r="H255" t="s">
        <v>21</v>
      </c>
    </row>
    <row r="256" spans="1:10" x14ac:dyDescent="0.25">
      <c r="A256" s="1">
        <v>61</v>
      </c>
      <c r="B256" t="s">
        <v>22</v>
      </c>
      <c r="C256">
        <v>635</v>
      </c>
      <c r="D256">
        <v>1</v>
      </c>
      <c r="E256" t="s">
        <v>27</v>
      </c>
      <c r="F256" t="s">
        <v>28</v>
      </c>
      <c r="G256" t="str">
        <f>"2026-02-26 17:40:49.950"</f>
        <v>2026-02-26 17:40:49.950</v>
      </c>
      <c r="H256" t="s">
        <v>21</v>
      </c>
    </row>
    <row r="257" spans="1:10" x14ac:dyDescent="0.25">
      <c r="A257" s="1">
        <v>62</v>
      </c>
      <c r="B257" t="s">
        <v>25</v>
      </c>
      <c r="C257">
        <v>635</v>
      </c>
      <c r="D257">
        <v>1</v>
      </c>
      <c r="E257" t="s">
        <v>27</v>
      </c>
      <c r="F257" t="s">
        <v>28</v>
      </c>
      <c r="G257" t="str">
        <f>"2026-02-26 17:34:44.450"</f>
        <v>2026-02-26 17:34:44.450</v>
      </c>
      <c r="H257" t="s">
        <v>21</v>
      </c>
      <c r="I257">
        <v>5.33</v>
      </c>
      <c r="J257" t="s">
        <v>35</v>
      </c>
    </row>
    <row r="258" spans="1:10" x14ac:dyDescent="0.25">
      <c r="A258" s="1">
        <v>63</v>
      </c>
      <c r="B258" t="s">
        <v>22</v>
      </c>
      <c r="C258">
        <v>635</v>
      </c>
      <c r="D258">
        <v>1</v>
      </c>
      <c r="E258" t="s">
        <v>27</v>
      </c>
      <c r="F258" t="s">
        <v>28</v>
      </c>
      <c r="G258" t="str">
        <f>"2026-02-26 16:25:11.150"</f>
        <v>2026-02-26 16:25:11.150</v>
      </c>
      <c r="H258" t="s">
        <v>21</v>
      </c>
    </row>
    <row r="259" spans="1:10" x14ac:dyDescent="0.25">
      <c r="A259" s="1">
        <v>64</v>
      </c>
      <c r="B259" t="s">
        <v>25</v>
      </c>
      <c r="C259">
        <v>635</v>
      </c>
      <c r="D259">
        <v>1</v>
      </c>
      <c r="E259" t="s">
        <v>27</v>
      </c>
      <c r="F259" t="s">
        <v>28</v>
      </c>
      <c r="G259" t="str">
        <f>"2026-02-26 16:21:23.650"</f>
        <v>2026-02-26 16:21:23.650</v>
      </c>
      <c r="H259" t="s">
        <v>21</v>
      </c>
      <c r="I259">
        <v>4.7300000000000004</v>
      </c>
      <c r="J259" t="s">
        <v>29</v>
      </c>
    </row>
    <row r="260" spans="1:10" x14ac:dyDescent="0.25">
      <c r="A260" s="1">
        <v>65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"2026-02-25 20:16:50.069"</f>
        <v>2026-02-25 20:16:50.069</v>
      </c>
      <c r="H260" t="s">
        <v>21</v>
      </c>
    </row>
    <row r="261" spans="1:10" x14ac:dyDescent="0.25">
      <c r="A261" s="1">
        <v>66</v>
      </c>
      <c r="B261" t="s">
        <v>22</v>
      </c>
      <c r="C261">
        <v>635</v>
      </c>
      <c r="D261">
        <v>1</v>
      </c>
      <c r="E261" t="s">
        <v>27</v>
      </c>
      <c r="F261" t="s">
        <v>28</v>
      </c>
      <c r="G261" t="str">
        <f>"2026-02-24 18:49:04.098"</f>
        <v>2026-02-24 18:49:04.098</v>
      </c>
      <c r="H261" t="s">
        <v>21</v>
      </c>
    </row>
    <row r="262" spans="1:10" x14ac:dyDescent="0.25">
      <c r="A262" s="1">
        <v>67</v>
      </c>
      <c r="B262" t="s">
        <v>25</v>
      </c>
      <c r="C262">
        <v>635</v>
      </c>
      <c r="D262">
        <v>1</v>
      </c>
      <c r="E262" t="s">
        <v>27</v>
      </c>
      <c r="F262" t="s">
        <v>28</v>
      </c>
      <c r="G262" t="str">
        <f>"2026-02-24 18:40:06.098"</f>
        <v>2026-02-24 18:40:06.098</v>
      </c>
      <c r="H262" t="s">
        <v>21</v>
      </c>
      <c r="I262">
        <v>3.26</v>
      </c>
      <c r="J262" t="s">
        <v>26</v>
      </c>
    </row>
    <row r="263" spans="1:10" x14ac:dyDescent="0.25">
      <c r="A263" s="1">
        <v>68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"2026-02-24 15:04:18.091"</f>
        <v>2026-02-24 15:04:18.091</v>
      </c>
      <c r="H263" t="s">
        <v>21</v>
      </c>
      <c r="I263">
        <v>0</v>
      </c>
      <c r="J263" t="s">
        <v>33</v>
      </c>
    </row>
    <row r="264" spans="1:10" x14ac:dyDescent="0.25">
      <c r="A264" s="1">
        <v>69</v>
      </c>
      <c r="B264" t="s">
        <v>19</v>
      </c>
      <c r="C264">
        <v>706</v>
      </c>
      <c r="D264">
        <v>4</v>
      </c>
      <c r="E264" t="s">
        <v>30</v>
      </c>
      <c r="F264" t="s">
        <v>34</v>
      </c>
      <c r="G264" t="str">
        <f>"2026-02-23 03:39:51.042"</f>
        <v>2026-02-23 03:39:51.042</v>
      </c>
      <c r="H264" t="s">
        <v>21</v>
      </c>
      <c r="I264">
        <v>0</v>
      </c>
      <c r="J264" t="s">
        <v>32</v>
      </c>
    </row>
    <row r="265" spans="1:10" x14ac:dyDescent="0.25">
      <c r="A265" s="1">
        <v>70</v>
      </c>
      <c r="B265" t="s">
        <v>19</v>
      </c>
      <c r="C265">
        <v>706</v>
      </c>
      <c r="D265">
        <v>4</v>
      </c>
      <c r="E265" t="s">
        <v>30</v>
      </c>
      <c r="F265" t="s">
        <v>34</v>
      </c>
      <c r="G265" t="str">
        <f>"2026-02-22 22:39:19.202"</f>
        <v>2026-02-22 22:39:19.202</v>
      </c>
      <c r="H265" t="s">
        <v>21</v>
      </c>
      <c r="I265">
        <v>0</v>
      </c>
      <c r="J265" t="s">
        <v>32</v>
      </c>
    </row>
    <row r="266" spans="1:10" x14ac:dyDescent="0.25">
      <c r="A266" s="1">
        <v>72</v>
      </c>
      <c r="B266" t="s">
        <v>22</v>
      </c>
      <c r="C266">
        <v>635</v>
      </c>
      <c r="D266">
        <v>1</v>
      </c>
      <c r="E266" t="s">
        <v>27</v>
      </c>
      <c r="F266" t="s">
        <v>28</v>
      </c>
      <c r="G266" t="str">
        <f>"2026-02-21 09:14:14.553"</f>
        <v>2026-02-21 09:14:14.553</v>
      </c>
      <c r="H266" t="s">
        <v>21</v>
      </c>
    </row>
    <row r="267" spans="1:10" x14ac:dyDescent="0.25">
      <c r="A267" s="1">
        <v>73</v>
      </c>
      <c r="B267" t="s">
        <v>25</v>
      </c>
      <c r="C267">
        <v>635</v>
      </c>
      <c r="D267">
        <v>1</v>
      </c>
      <c r="E267" t="s">
        <v>27</v>
      </c>
      <c r="F267" t="s">
        <v>28</v>
      </c>
      <c r="G267" t="str">
        <f>"2026-02-21 09:08:09.053"</f>
        <v>2026-02-21 09:08:09.053</v>
      </c>
      <c r="H267" t="s">
        <v>21</v>
      </c>
      <c r="I267">
        <v>3.72</v>
      </c>
      <c r="J267" t="s">
        <v>29</v>
      </c>
    </row>
    <row r="268" spans="1:10" x14ac:dyDescent="0.25">
      <c r="A268" s="1">
        <v>74</v>
      </c>
      <c r="B268" t="s">
        <v>19</v>
      </c>
      <c r="C268">
        <v>706</v>
      </c>
      <c r="D268">
        <v>2</v>
      </c>
      <c r="E268" t="s">
        <v>30</v>
      </c>
      <c r="F268" t="s">
        <v>31</v>
      </c>
      <c r="G268" t="str">
        <f>"2026-02-20 17:57:50.312"</f>
        <v>2026-02-20 17:57:50.312</v>
      </c>
      <c r="H268" t="s">
        <v>21</v>
      </c>
      <c r="I268">
        <v>0</v>
      </c>
      <c r="J268" t="s">
        <v>32</v>
      </c>
    </row>
    <row r="269" spans="1:10" x14ac:dyDescent="0.25">
      <c r="A269" s="1">
        <v>75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"2026-02-20 17:52:19.092"</f>
        <v>2026-02-20 17:52:19.092</v>
      </c>
      <c r="H269" t="s">
        <v>21</v>
      </c>
      <c r="I269">
        <v>0</v>
      </c>
      <c r="J269" t="s">
        <v>33</v>
      </c>
    </row>
    <row r="270" spans="1:10" x14ac:dyDescent="0.25">
      <c r="A270" s="1">
        <v>76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"2026-02-20 17:46:59.090"</f>
        <v>2026-02-20 17:46:59.090</v>
      </c>
      <c r="H270" t="s">
        <v>21</v>
      </c>
      <c r="I270">
        <v>0</v>
      </c>
      <c r="J270" t="s">
        <v>33</v>
      </c>
    </row>
    <row r="271" spans="1:10" x14ac:dyDescent="0.25">
      <c r="A271" s="1">
        <v>77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"2026-02-20 13:26:29.101"</f>
        <v>2026-02-20 13:26:29.101</v>
      </c>
      <c r="H271" t="s">
        <v>21</v>
      </c>
      <c r="I271">
        <v>0</v>
      </c>
      <c r="J271" t="s">
        <v>33</v>
      </c>
    </row>
    <row r="272" spans="1:10" x14ac:dyDescent="0.25">
      <c r="A272" s="1">
        <v>78</v>
      </c>
      <c r="B272" t="s">
        <v>19</v>
      </c>
      <c r="C272">
        <v>706</v>
      </c>
      <c r="D272">
        <v>2</v>
      </c>
      <c r="E272" t="s">
        <v>30</v>
      </c>
      <c r="F272" t="s">
        <v>31</v>
      </c>
      <c r="G272" t="str">
        <f>"2026-02-20 08:57:51.208"</f>
        <v>2026-02-20 08:57:51.208</v>
      </c>
      <c r="H272" t="s">
        <v>21</v>
      </c>
      <c r="I272">
        <v>0</v>
      </c>
      <c r="J272" t="s">
        <v>32</v>
      </c>
    </row>
    <row r="273" spans="1:10" x14ac:dyDescent="0.25">
      <c r="A273" s="1">
        <v>79</v>
      </c>
      <c r="B273" t="s">
        <v>19</v>
      </c>
      <c r="C273">
        <v>706</v>
      </c>
      <c r="D273">
        <v>3</v>
      </c>
      <c r="E273" t="s">
        <v>30</v>
      </c>
      <c r="F273" t="s">
        <v>36</v>
      </c>
      <c r="G273" t="str">
        <f>"2026-02-20 08:57:32.988"</f>
        <v>2026-02-20 08:57:32.988</v>
      </c>
      <c r="H273" t="s">
        <v>21</v>
      </c>
      <c r="I273">
        <v>0</v>
      </c>
      <c r="J273" t="s">
        <v>32</v>
      </c>
    </row>
    <row r="274" spans="1:10" x14ac:dyDescent="0.25">
      <c r="A274" s="1">
        <v>80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"2026-02-20 08:50:37.098"</f>
        <v>2026-02-20 08:50:37.098</v>
      </c>
      <c r="H274" t="s">
        <v>21</v>
      </c>
      <c r="I274">
        <v>0</v>
      </c>
      <c r="J274" t="s">
        <v>33</v>
      </c>
    </row>
    <row r="275" spans="1:10" x14ac:dyDescent="0.25">
      <c r="A275" s="1">
        <v>81</v>
      </c>
      <c r="B275" t="s">
        <v>19</v>
      </c>
      <c r="C275">
        <v>706</v>
      </c>
      <c r="D275">
        <v>4</v>
      </c>
      <c r="E275" t="s">
        <v>30</v>
      </c>
      <c r="F275" t="s">
        <v>34</v>
      </c>
      <c r="G275" t="str">
        <f>"2026-02-20 08:46:09.715"</f>
        <v>2026-02-20 08:46:09.715</v>
      </c>
      <c r="H275" t="s">
        <v>21</v>
      </c>
      <c r="I275">
        <v>0</v>
      </c>
      <c r="J275" t="s">
        <v>32</v>
      </c>
    </row>
    <row r="276" spans="1:10" x14ac:dyDescent="0.25">
      <c r="A276" s="1">
        <v>82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"2026-02-20 07:26:39.095"</f>
        <v>2026-02-20 07:26:39.095</v>
      </c>
      <c r="H276" t="s">
        <v>21</v>
      </c>
      <c r="I276">
        <v>0</v>
      </c>
      <c r="J276" t="s">
        <v>33</v>
      </c>
    </row>
    <row r="277" spans="1:10" s="3" customFormat="1" x14ac:dyDescent="0.25">
      <c r="A277" s="2">
        <v>83</v>
      </c>
      <c r="B277" s="3" t="s">
        <v>22</v>
      </c>
      <c r="C277" s="3">
        <v>647</v>
      </c>
      <c r="D277" s="3">
        <v>1</v>
      </c>
      <c r="E277" s="3" t="s">
        <v>23</v>
      </c>
      <c r="F277" s="3" t="s">
        <v>24</v>
      </c>
      <c r="G277" s="3" t="str">
        <f>"2026-02-19 23:05:20.355"</f>
        <v>2026-02-19 23:05:20.355</v>
      </c>
      <c r="H277" s="3" t="s">
        <v>21</v>
      </c>
    </row>
    <row r="278" spans="1:10" s="3" customFormat="1" x14ac:dyDescent="0.25">
      <c r="A278" s="2">
        <v>84</v>
      </c>
      <c r="B278" s="3" t="s">
        <v>25</v>
      </c>
      <c r="C278" s="3">
        <v>647</v>
      </c>
      <c r="D278" s="3">
        <v>1</v>
      </c>
      <c r="E278" s="3" t="s">
        <v>23</v>
      </c>
      <c r="F278" s="3" t="s">
        <v>24</v>
      </c>
      <c r="G278" s="3" t="str">
        <f>"2026-02-19 23:05:18.955"</f>
        <v>2026-02-19 23:05:18.955</v>
      </c>
      <c r="H278" s="3" t="s">
        <v>21</v>
      </c>
      <c r="I278" s="3">
        <v>9.42</v>
      </c>
      <c r="J278" s="3" t="s">
        <v>26</v>
      </c>
    </row>
    <row r="279" spans="1:10" x14ac:dyDescent="0.25">
      <c r="A279" s="1">
        <v>85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"2026-02-19 22:41:45.080"</f>
        <v>2026-02-19 22:41:45.080</v>
      </c>
      <c r="H279" t="s">
        <v>21</v>
      </c>
    </row>
    <row r="280" spans="1:10" x14ac:dyDescent="0.25">
      <c r="A280" s="1">
        <v>86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"2026-02-19 22:26:38.098"</f>
        <v>2026-02-19 22:26:38.098</v>
      </c>
      <c r="H280" t="s">
        <v>21</v>
      </c>
    </row>
    <row r="281" spans="1:10" x14ac:dyDescent="0.25">
      <c r="A281" s="1">
        <v>87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"2026-02-19 22:00:55.087"</f>
        <v>2026-02-19 22:00:55.087</v>
      </c>
      <c r="H281" t="s">
        <v>21</v>
      </c>
    </row>
    <row r="282" spans="1:10" x14ac:dyDescent="0.25">
      <c r="A282" s="1">
        <v>88</v>
      </c>
      <c r="B282" t="s">
        <v>19</v>
      </c>
      <c r="C282">
        <v>706</v>
      </c>
      <c r="D282">
        <v>4</v>
      </c>
      <c r="E282" t="s">
        <v>30</v>
      </c>
      <c r="F282" t="s">
        <v>34</v>
      </c>
      <c r="G282" t="str">
        <f>"2026-02-19 21:47:46.030"</f>
        <v>2026-02-19 21:47:46.030</v>
      </c>
      <c r="H282" t="s">
        <v>21</v>
      </c>
      <c r="I282">
        <v>0</v>
      </c>
      <c r="J282" t="s">
        <v>32</v>
      </c>
    </row>
    <row r="283" spans="1:10" x14ac:dyDescent="0.25">
      <c r="A283" s="1">
        <v>89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"2026-02-19 21:23:52.090"</f>
        <v>2026-02-19 21:23:52.090</v>
      </c>
      <c r="H283" t="s">
        <v>21</v>
      </c>
      <c r="I283">
        <v>0</v>
      </c>
      <c r="J283" t="s">
        <v>33</v>
      </c>
    </row>
    <row r="284" spans="1:10" x14ac:dyDescent="0.25">
      <c r="A284" s="1">
        <v>90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"2026-02-19 18:43:40.093"</f>
        <v>2026-02-19 18:43:40.093</v>
      </c>
      <c r="H284" t="s">
        <v>21</v>
      </c>
    </row>
    <row r="285" spans="1:10" x14ac:dyDescent="0.25">
      <c r="A285" s="1">
        <v>91</v>
      </c>
      <c r="B285" t="s">
        <v>19</v>
      </c>
      <c r="C285">
        <v>706</v>
      </c>
      <c r="D285">
        <v>2</v>
      </c>
      <c r="E285" t="s">
        <v>30</v>
      </c>
      <c r="F285" t="s">
        <v>31</v>
      </c>
      <c r="G285" t="str">
        <f>"2026-02-19 18:41:39.295"</f>
        <v>2026-02-19 18:41:39.295</v>
      </c>
      <c r="H285" t="s">
        <v>21</v>
      </c>
      <c r="I285">
        <v>0</v>
      </c>
      <c r="J285" t="s">
        <v>32</v>
      </c>
    </row>
    <row r="286" spans="1:10" x14ac:dyDescent="0.25">
      <c r="A286" s="1">
        <v>92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"2026-02-19 18:13:08.085"</f>
        <v>2026-02-19 18:13:08.085</v>
      </c>
      <c r="H286" t="s">
        <v>21</v>
      </c>
      <c r="I286">
        <v>0</v>
      </c>
      <c r="J286" t="s">
        <v>33</v>
      </c>
    </row>
    <row r="287" spans="1:10" x14ac:dyDescent="0.25">
      <c r="A287" s="1">
        <v>93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"2026-02-19 17:47:18.324"</f>
        <v>2026-02-19 17:47:18.324</v>
      </c>
      <c r="H287" t="s">
        <v>21</v>
      </c>
    </row>
    <row r="288" spans="1:10" x14ac:dyDescent="0.25">
      <c r="A288" s="1">
        <v>94</v>
      </c>
      <c r="B288" t="s">
        <v>22</v>
      </c>
      <c r="C288">
        <v>635</v>
      </c>
      <c r="D288">
        <v>1</v>
      </c>
      <c r="E288" t="s">
        <v>27</v>
      </c>
      <c r="F288" t="s">
        <v>28</v>
      </c>
      <c r="G288" t="str">
        <f>"2026-02-19 15:50:32.378"</f>
        <v>2026-02-19 15:50:32.378</v>
      </c>
      <c r="H288" t="s">
        <v>21</v>
      </c>
    </row>
    <row r="289" spans="1:10" x14ac:dyDescent="0.25">
      <c r="A289" s="1">
        <v>95</v>
      </c>
      <c r="B289" t="s">
        <v>25</v>
      </c>
      <c r="C289">
        <v>635</v>
      </c>
      <c r="D289">
        <v>1</v>
      </c>
      <c r="E289" t="s">
        <v>27</v>
      </c>
      <c r="F289" t="s">
        <v>28</v>
      </c>
      <c r="G289" t="str">
        <f>"2026-02-19 15:41:35.378"</f>
        <v>2026-02-19 15:41:35.378</v>
      </c>
      <c r="H289" t="s">
        <v>21</v>
      </c>
      <c r="I289">
        <v>2.77</v>
      </c>
      <c r="J289" t="s">
        <v>29</v>
      </c>
    </row>
    <row r="290" spans="1:10" s="3" customFormat="1" x14ac:dyDescent="0.25">
      <c r="A290" s="2">
        <v>96</v>
      </c>
      <c r="B290" s="3" t="s">
        <v>22</v>
      </c>
      <c r="C290" s="3">
        <v>647</v>
      </c>
      <c r="D290" s="3">
        <v>1</v>
      </c>
      <c r="E290" s="3" t="s">
        <v>23</v>
      </c>
      <c r="F290" s="3" t="s">
        <v>24</v>
      </c>
      <c r="G290" s="3" t="str">
        <f>"2026-02-18 10:26:58.379"</f>
        <v>2026-02-18 10:26:58.379</v>
      </c>
      <c r="H290" s="3" t="s">
        <v>21</v>
      </c>
    </row>
    <row r="291" spans="1:10" s="3" customFormat="1" x14ac:dyDescent="0.25">
      <c r="A291" s="2">
        <v>97</v>
      </c>
      <c r="B291" s="3" t="s">
        <v>25</v>
      </c>
      <c r="C291" s="3">
        <v>647</v>
      </c>
      <c r="D291" s="3">
        <v>1</v>
      </c>
      <c r="E291" s="3" t="s">
        <v>23</v>
      </c>
      <c r="F291" s="3" t="s">
        <v>24</v>
      </c>
      <c r="G291" s="3" t="str">
        <f>"2026-02-18 10:26:53.079"</f>
        <v>2026-02-18 10:26:53.079</v>
      </c>
      <c r="H291" s="3" t="s">
        <v>21</v>
      </c>
      <c r="I291" s="3">
        <v>8.9600000000000009</v>
      </c>
      <c r="J291" s="3" t="s">
        <v>26</v>
      </c>
    </row>
    <row r="292" spans="1:10" s="3" customFormat="1" x14ac:dyDescent="0.25">
      <c r="A292" s="2">
        <v>98</v>
      </c>
      <c r="B292" s="3" t="s">
        <v>22</v>
      </c>
      <c r="C292" s="3">
        <v>647</v>
      </c>
      <c r="D292" s="3">
        <v>1</v>
      </c>
      <c r="E292" s="3" t="s">
        <v>23</v>
      </c>
      <c r="F292" s="3" t="s">
        <v>24</v>
      </c>
      <c r="G292" s="3" t="str">
        <f>"2026-02-17 17:16:29.578"</f>
        <v>2026-02-17 17:16:29.578</v>
      </c>
      <c r="H292" s="3" t="s">
        <v>21</v>
      </c>
    </row>
    <row r="293" spans="1:10" s="3" customFormat="1" x14ac:dyDescent="0.25">
      <c r="A293" s="2">
        <v>99</v>
      </c>
      <c r="B293" s="3" t="s">
        <v>25</v>
      </c>
      <c r="C293" s="3">
        <v>647</v>
      </c>
      <c r="D293" s="3">
        <v>1</v>
      </c>
      <c r="E293" s="3" t="s">
        <v>23</v>
      </c>
      <c r="F293" s="3" t="s">
        <v>24</v>
      </c>
      <c r="G293" s="3" t="str">
        <f>"2026-02-17 17:16:28.478"</f>
        <v>2026-02-17 17:16:28.478</v>
      </c>
      <c r="H293" s="3" t="s">
        <v>21</v>
      </c>
      <c r="I293" s="3">
        <v>8.85</v>
      </c>
      <c r="J293" s="3" t="s">
        <v>35</v>
      </c>
    </row>
    <row r="294" spans="1:10" x14ac:dyDescent="0.25">
      <c r="A294" s="1">
        <v>0</v>
      </c>
      <c r="B294" t="s">
        <v>19</v>
      </c>
      <c r="C294">
        <v>706</v>
      </c>
      <c r="D294">
        <v>4</v>
      </c>
      <c r="E294" t="s">
        <v>30</v>
      </c>
      <c r="F294" t="s">
        <v>34</v>
      </c>
      <c r="G294" t="str">
        <f>"2026-02-16 16:06:04.264"</f>
        <v>2026-02-16 16:06:04.264</v>
      </c>
      <c r="H294" t="s">
        <v>21</v>
      </c>
      <c r="I294">
        <v>0</v>
      </c>
      <c r="J294" t="s">
        <v>32</v>
      </c>
    </row>
    <row r="295" spans="1:10" x14ac:dyDescent="0.25">
      <c r="A295" s="1">
        <v>1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"2026-02-16 16:05:01.114"</f>
        <v>2026-02-16 16:05:01.114</v>
      </c>
      <c r="H295" t="s">
        <v>21</v>
      </c>
      <c r="I295">
        <v>0</v>
      </c>
      <c r="J295" t="s">
        <v>33</v>
      </c>
    </row>
    <row r="296" spans="1:10" x14ac:dyDescent="0.25">
      <c r="A296" s="1">
        <v>2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"2026-02-16 10:59:05.259"</f>
        <v>2026-02-16 10:59:05.259</v>
      </c>
      <c r="H296" t="s">
        <v>21</v>
      </c>
      <c r="I296">
        <v>0</v>
      </c>
      <c r="J296" t="s">
        <v>33</v>
      </c>
    </row>
    <row r="297" spans="1:10" s="3" customFormat="1" x14ac:dyDescent="0.25">
      <c r="A297" s="2">
        <v>3</v>
      </c>
      <c r="B297" s="3" t="s">
        <v>22</v>
      </c>
      <c r="C297" s="3">
        <v>647</v>
      </c>
      <c r="D297" s="3">
        <v>1</v>
      </c>
      <c r="E297" s="3" t="s">
        <v>23</v>
      </c>
      <c r="F297" s="3" t="s">
        <v>24</v>
      </c>
      <c r="G297" s="3" t="str">
        <f>"2026-02-15 10:55:26.655"</f>
        <v>2026-02-15 10:55:26.655</v>
      </c>
      <c r="H297" s="3" t="s">
        <v>21</v>
      </c>
    </row>
    <row r="298" spans="1:10" s="3" customFormat="1" x14ac:dyDescent="0.25">
      <c r="A298" s="2">
        <v>4</v>
      </c>
      <c r="B298" s="3" t="s">
        <v>25</v>
      </c>
      <c r="C298" s="3">
        <v>647</v>
      </c>
      <c r="D298" s="3">
        <v>1</v>
      </c>
      <c r="E298" s="3" t="s">
        <v>23</v>
      </c>
      <c r="F298" s="3" t="s">
        <v>24</v>
      </c>
      <c r="G298" s="3" t="str">
        <f>"2026-02-15 10:55:21.555"</f>
        <v>2026-02-15 10:55:21.555</v>
      </c>
      <c r="H298" s="3" t="s">
        <v>21</v>
      </c>
      <c r="I298" s="3">
        <v>31.28</v>
      </c>
      <c r="J298" s="3" t="s">
        <v>26</v>
      </c>
    </row>
    <row r="299" spans="1:10" s="3" customFormat="1" x14ac:dyDescent="0.25">
      <c r="A299" s="2">
        <v>5</v>
      </c>
      <c r="B299" s="3" t="s">
        <v>22</v>
      </c>
      <c r="C299" s="3">
        <v>647</v>
      </c>
      <c r="D299" s="3">
        <v>1</v>
      </c>
      <c r="E299" s="3" t="s">
        <v>23</v>
      </c>
      <c r="F299" s="3" t="s">
        <v>24</v>
      </c>
      <c r="G299" s="3" t="str">
        <f>"2026-02-15 09:18:53.155"</f>
        <v>2026-02-15 09:18:53.155</v>
      </c>
      <c r="H299" s="3" t="s">
        <v>21</v>
      </c>
    </row>
    <row r="300" spans="1:10" s="3" customFormat="1" x14ac:dyDescent="0.25">
      <c r="A300" s="2">
        <v>6</v>
      </c>
      <c r="B300" s="3" t="s">
        <v>25</v>
      </c>
      <c r="C300" s="3">
        <v>647</v>
      </c>
      <c r="D300" s="3">
        <v>1</v>
      </c>
      <c r="E300" s="3" t="s">
        <v>23</v>
      </c>
      <c r="F300" s="3" t="s">
        <v>24</v>
      </c>
      <c r="G300" s="3" t="str">
        <f>"2026-02-15 09:18:48.255"</f>
        <v>2026-02-15 09:18:48.255</v>
      </c>
      <c r="H300" s="3" t="s">
        <v>21</v>
      </c>
      <c r="I300" s="3">
        <v>16.46</v>
      </c>
      <c r="J300" s="3" t="s">
        <v>26</v>
      </c>
    </row>
    <row r="301" spans="1:10" x14ac:dyDescent="0.25">
      <c r="A301" s="1">
        <v>7</v>
      </c>
      <c r="B301" t="s">
        <v>22</v>
      </c>
      <c r="C301">
        <v>635</v>
      </c>
      <c r="D301">
        <v>1</v>
      </c>
      <c r="E301" t="s">
        <v>27</v>
      </c>
      <c r="F301" t="s">
        <v>28</v>
      </c>
      <c r="G301" t="str">
        <f>"2026-02-15 04:03:26.155"</f>
        <v>2026-02-15 04:03:26.155</v>
      </c>
      <c r="H301" t="s">
        <v>21</v>
      </c>
    </row>
    <row r="302" spans="1:10" x14ac:dyDescent="0.25">
      <c r="A302" s="1">
        <v>8</v>
      </c>
      <c r="B302" t="s">
        <v>25</v>
      </c>
      <c r="C302">
        <v>635</v>
      </c>
      <c r="D302">
        <v>1</v>
      </c>
      <c r="E302" t="s">
        <v>27</v>
      </c>
      <c r="F302" t="s">
        <v>28</v>
      </c>
      <c r="G302" t="str">
        <f>"2026-02-15 03:55:33.155"</f>
        <v>2026-02-15 03:55:33.155</v>
      </c>
      <c r="H302" t="s">
        <v>21</v>
      </c>
      <c r="I302">
        <v>6.88</v>
      </c>
      <c r="J302" t="s">
        <v>29</v>
      </c>
    </row>
    <row r="303" spans="1:10" s="3" customFormat="1" x14ac:dyDescent="0.25">
      <c r="A303" s="2">
        <v>9</v>
      </c>
      <c r="B303" s="3" t="s">
        <v>22</v>
      </c>
      <c r="C303" s="3">
        <v>647</v>
      </c>
      <c r="D303" s="3">
        <v>1</v>
      </c>
      <c r="E303" s="3" t="s">
        <v>23</v>
      </c>
      <c r="F303" s="3" t="s">
        <v>24</v>
      </c>
      <c r="G303" s="3" t="str">
        <f>"2026-02-14 12:41:03.255"</f>
        <v>2026-02-14 12:41:03.255</v>
      </c>
      <c r="H303" s="3" t="s">
        <v>21</v>
      </c>
    </row>
    <row r="304" spans="1:10" s="3" customFormat="1" x14ac:dyDescent="0.25">
      <c r="A304" s="2">
        <v>10</v>
      </c>
      <c r="B304" s="3" t="s">
        <v>25</v>
      </c>
      <c r="C304" s="3">
        <v>647</v>
      </c>
      <c r="D304" s="3">
        <v>1</v>
      </c>
      <c r="E304" s="3" t="s">
        <v>23</v>
      </c>
      <c r="F304" s="3" t="s">
        <v>24</v>
      </c>
      <c r="G304" s="3" t="str">
        <f>"2026-02-14 12:41:00.955"</f>
        <v>2026-02-14 12:41:00.955</v>
      </c>
      <c r="H304" s="3" t="s">
        <v>21</v>
      </c>
      <c r="I304" s="3">
        <v>15.03</v>
      </c>
      <c r="J304" s="3" t="s">
        <v>26</v>
      </c>
    </row>
    <row r="305" spans="1:10" s="3" customFormat="1" x14ac:dyDescent="0.25">
      <c r="A305" s="2">
        <v>11</v>
      </c>
      <c r="B305" s="3" t="s">
        <v>22</v>
      </c>
      <c r="C305" s="3">
        <v>647</v>
      </c>
      <c r="D305" s="3">
        <v>1</v>
      </c>
      <c r="E305" s="3" t="s">
        <v>23</v>
      </c>
      <c r="F305" s="3" t="s">
        <v>24</v>
      </c>
      <c r="G305" s="3" t="str">
        <f>"2026-02-14 09:05:07.355"</f>
        <v>2026-02-14 09:05:07.355</v>
      </c>
      <c r="H305" s="3" t="s">
        <v>21</v>
      </c>
    </row>
    <row r="306" spans="1:10" s="3" customFormat="1" x14ac:dyDescent="0.25">
      <c r="A306" s="2">
        <v>12</v>
      </c>
      <c r="B306" s="3" t="s">
        <v>25</v>
      </c>
      <c r="C306" s="3">
        <v>647</v>
      </c>
      <c r="D306" s="3">
        <v>1</v>
      </c>
      <c r="E306" s="3" t="s">
        <v>23</v>
      </c>
      <c r="F306" s="3" t="s">
        <v>24</v>
      </c>
      <c r="G306" s="3" t="str">
        <f>"2026-02-14 09:05:00.056"</f>
        <v>2026-02-14 09:05:00.056</v>
      </c>
      <c r="H306" s="3" t="s">
        <v>21</v>
      </c>
      <c r="I306" s="3">
        <v>29.05</v>
      </c>
      <c r="J306" s="3" t="s">
        <v>26</v>
      </c>
    </row>
    <row r="307" spans="1:10" x14ac:dyDescent="0.25">
      <c r="A307" s="1">
        <v>13</v>
      </c>
      <c r="B307" t="s">
        <v>19</v>
      </c>
      <c r="C307">
        <v>706</v>
      </c>
      <c r="D307">
        <v>2</v>
      </c>
      <c r="E307" t="s">
        <v>30</v>
      </c>
      <c r="F307" t="s">
        <v>31</v>
      </c>
      <c r="G307" t="str">
        <f>"2026-02-13 10:07:28.715"</f>
        <v>2026-02-13 10:07:28.715</v>
      </c>
      <c r="H307" t="s">
        <v>21</v>
      </c>
      <c r="I307">
        <v>0</v>
      </c>
      <c r="J307" t="s">
        <v>32</v>
      </c>
    </row>
    <row r="308" spans="1:10" x14ac:dyDescent="0.25">
      <c r="A308" s="1">
        <v>14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"2026-02-13 10:07:10.095"</f>
        <v>2026-02-13 10:07:10.095</v>
      </c>
      <c r="H308" t="s">
        <v>21</v>
      </c>
      <c r="I308">
        <v>0</v>
      </c>
      <c r="J308" t="s">
        <v>33</v>
      </c>
    </row>
    <row r="309" spans="1:10" x14ac:dyDescent="0.25">
      <c r="A309" s="1">
        <v>15</v>
      </c>
      <c r="B309" t="s">
        <v>22</v>
      </c>
      <c r="C309">
        <v>635</v>
      </c>
      <c r="D309">
        <v>1</v>
      </c>
      <c r="E309" t="s">
        <v>27</v>
      </c>
      <c r="F309" t="s">
        <v>28</v>
      </c>
      <c r="G309" t="str">
        <f>"2026-02-13 00:04:18.170"</f>
        <v>2026-02-13 00:04:18.170</v>
      </c>
      <c r="H309" t="s">
        <v>21</v>
      </c>
    </row>
    <row r="310" spans="1:10" x14ac:dyDescent="0.25">
      <c r="A310" s="1">
        <v>16</v>
      </c>
      <c r="B310" t="s">
        <v>25</v>
      </c>
      <c r="C310">
        <v>635</v>
      </c>
      <c r="D310">
        <v>1</v>
      </c>
      <c r="E310" t="s">
        <v>27</v>
      </c>
      <c r="F310" t="s">
        <v>28</v>
      </c>
      <c r="G310" t="str">
        <f>"2026-02-12 23:57:16.670"</f>
        <v>2026-02-12 23:57:16.670</v>
      </c>
      <c r="H310" t="s">
        <v>21</v>
      </c>
      <c r="I310">
        <v>7</v>
      </c>
      <c r="J310" t="s">
        <v>29</v>
      </c>
    </row>
    <row r="311" spans="1:10" x14ac:dyDescent="0.25">
      <c r="A311" s="1">
        <v>17</v>
      </c>
      <c r="B311" t="s">
        <v>22</v>
      </c>
      <c r="C311">
        <v>635</v>
      </c>
      <c r="D311">
        <v>1</v>
      </c>
      <c r="E311" t="s">
        <v>27</v>
      </c>
      <c r="F311" t="s">
        <v>28</v>
      </c>
      <c r="G311" t="str">
        <f>"2026-02-12 23:48:57.170"</f>
        <v>2026-02-12 23:48:57.170</v>
      </c>
      <c r="H311" t="s">
        <v>21</v>
      </c>
    </row>
    <row r="312" spans="1:10" x14ac:dyDescent="0.25">
      <c r="A312" s="1">
        <v>18</v>
      </c>
      <c r="B312" t="s">
        <v>25</v>
      </c>
      <c r="C312">
        <v>635</v>
      </c>
      <c r="D312">
        <v>1</v>
      </c>
      <c r="E312" t="s">
        <v>27</v>
      </c>
      <c r="F312" t="s">
        <v>28</v>
      </c>
      <c r="G312" t="str">
        <f>"2026-02-12 23:41:47.670"</f>
        <v>2026-02-12 23:41:47.670</v>
      </c>
      <c r="H312" t="s">
        <v>21</v>
      </c>
      <c r="I312">
        <v>4.54</v>
      </c>
      <c r="J312" t="s">
        <v>29</v>
      </c>
    </row>
    <row r="313" spans="1:10" s="3" customFormat="1" x14ac:dyDescent="0.25">
      <c r="A313" s="2">
        <v>19</v>
      </c>
      <c r="B313" s="3" t="s">
        <v>22</v>
      </c>
      <c r="C313" s="3">
        <v>647</v>
      </c>
      <c r="D313" s="3">
        <v>1</v>
      </c>
      <c r="E313" s="3" t="s">
        <v>23</v>
      </c>
      <c r="F313" s="3" t="s">
        <v>24</v>
      </c>
      <c r="G313" s="3" t="str">
        <f>"2026-02-10 16:22:18.570"</f>
        <v>2026-02-10 16:22:18.570</v>
      </c>
      <c r="H313" s="3" t="s">
        <v>21</v>
      </c>
    </row>
    <row r="314" spans="1:10" s="3" customFormat="1" x14ac:dyDescent="0.25">
      <c r="A314" s="2">
        <v>20</v>
      </c>
      <c r="B314" s="3" t="s">
        <v>25</v>
      </c>
      <c r="C314" s="3">
        <v>647</v>
      </c>
      <c r="D314" s="3">
        <v>1</v>
      </c>
      <c r="E314" s="3" t="s">
        <v>23</v>
      </c>
      <c r="F314" s="3" t="s">
        <v>24</v>
      </c>
      <c r="G314" s="3" t="str">
        <f>"2026-02-10 16:22:11.671"</f>
        <v>2026-02-10 16:22:11.671</v>
      </c>
      <c r="H314" s="3" t="s">
        <v>21</v>
      </c>
      <c r="I314" s="3">
        <v>14.26</v>
      </c>
      <c r="J314" s="3" t="s">
        <v>26</v>
      </c>
    </row>
    <row r="315" spans="1:10" s="3" customFormat="1" x14ac:dyDescent="0.25">
      <c r="A315" s="2">
        <v>21</v>
      </c>
      <c r="B315" s="3" t="s">
        <v>22</v>
      </c>
      <c r="C315" s="3">
        <v>647</v>
      </c>
      <c r="D315" s="3">
        <v>1</v>
      </c>
      <c r="E315" s="3" t="s">
        <v>23</v>
      </c>
      <c r="F315" s="3" t="s">
        <v>24</v>
      </c>
      <c r="G315" s="3" t="str">
        <f>"2026-02-10 07:56:35.771"</f>
        <v>2026-02-10 07:56:35.771</v>
      </c>
      <c r="H315" s="3" t="s">
        <v>21</v>
      </c>
    </row>
    <row r="316" spans="1:10" s="3" customFormat="1" x14ac:dyDescent="0.25">
      <c r="A316" s="2">
        <v>22</v>
      </c>
      <c r="B316" s="3" t="s">
        <v>25</v>
      </c>
      <c r="C316" s="3">
        <v>647</v>
      </c>
      <c r="D316" s="3">
        <v>1</v>
      </c>
      <c r="E316" s="3" t="s">
        <v>23</v>
      </c>
      <c r="F316" s="3" t="s">
        <v>24</v>
      </c>
      <c r="G316" s="3" t="str">
        <f>"2026-02-10 07:56:32.271"</f>
        <v>2026-02-10 07:56:32.271</v>
      </c>
      <c r="H316" s="3" t="s">
        <v>21</v>
      </c>
      <c r="I316" s="3">
        <v>16.350000000000001</v>
      </c>
      <c r="J316" s="3" t="s">
        <v>26</v>
      </c>
    </row>
    <row r="317" spans="1:10" s="3" customFormat="1" x14ac:dyDescent="0.25">
      <c r="A317" s="2">
        <v>23</v>
      </c>
      <c r="B317" s="3" t="s">
        <v>22</v>
      </c>
      <c r="C317" s="3">
        <v>647</v>
      </c>
      <c r="D317" s="3">
        <v>1</v>
      </c>
      <c r="E317" s="3" t="s">
        <v>23</v>
      </c>
      <c r="F317" s="3" t="s">
        <v>24</v>
      </c>
      <c r="G317" s="3" t="str">
        <f>"2026-02-10 07:44:16.171"</f>
        <v>2026-02-10 07:44:16.171</v>
      </c>
      <c r="H317" s="3" t="s">
        <v>21</v>
      </c>
    </row>
    <row r="318" spans="1:10" s="3" customFormat="1" x14ac:dyDescent="0.25">
      <c r="A318" s="2">
        <v>24</v>
      </c>
      <c r="B318" s="3" t="s">
        <v>25</v>
      </c>
      <c r="C318" s="3">
        <v>647</v>
      </c>
      <c r="D318" s="3">
        <v>1</v>
      </c>
      <c r="E318" s="3" t="s">
        <v>23</v>
      </c>
      <c r="F318" s="3" t="s">
        <v>24</v>
      </c>
      <c r="G318" s="3" t="str">
        <f>"2026-02-10 07:44:13.271"</f>
        <v>2026-02-10 07:44:13.271</v>
      </c>
      <c r="H318" s="3" t="s">
        <v>21</v>
      </c>
      <c r="I318" s="3">
        <v>18.32</v>
      </c>
      <c r="J318" s="3" t="s">
        <v>26</v>
      </c>
    </row>
    <row r="319" spans="1:10" x14ac:dyDescent="0.25">
      <c r="A319" s="1">
        <v>25</v>
      </c>
      <c r="B319" t="s">
        <v>22</v>
      </c>
      <c r="C319">
        <v>635</v>
      </c>
      <c r="D319">
        <v>1</v>
      </c>
      <c r="E319" t="s">
        <v>27</v>
      </c>
      <c r="F319" t="s">
        <v>28</v>
      </c>
      <c r="G319" t="str">
        <f>"2026-02-09 18:29:37.170"</f>
        <v>2026-02-09 18:29:37.170</v>
      </c>
      <c r="H319" t="s">
        <v>21</v>
      </c>
    </row>
    <row r="320" spans="1:10" x14ac:dyDescent="0.25">
      <c r="A320" s="1">
        <v>26</v>
      </c>
      <c r="B320" t="s">
        <v>25</v>
      </c>
      <c r="C320">
        <v>635</v>
      </c>
      <c r="D320">
        <v>1</v>
      </c>
      <c r="E320" t="s">
        <v>27</v>
      </c>
      <c r="F320" t="s">
        <v>28</v>
      </c>
      <c r="G320" t="str">
        <f>"2026-02-09 18:27:14.170"</f>
        <v>2026-02-09 18:27:14.170</v>
      </c>
      <c r="H320" t="s">
        <v>21</v>
      </c>
      <c r="I320">
        <v>7.31</v>
      </c>
      <c r="J320" t="s">
        <v>35</v>
      </c>
    </row>
    <row r="321" spans="1:10" x14ac:dyDescent="0.25">
      <c r="A321" s="1">
        <v>27</v>
      </c>
      <c r="B321" t="s">
        <v>19</v>
      </c>
      <c r="C321">
        <v>706</v>
      </c>
      <c r="D321">
        <v>4</v>
      </c>
      <c r="E321" t="s">
        <v>30</v>
      </c>
      <c r="F321" t="s">
        <v>34</v>
      </c>
      <c r="G321" t="str">
        <f>"2026-02-08 17:24:56.464"</f>
        <v>2026-02-08 17:24:56.464</v>
      </c>
      <c r="H321" t="s">
        <v>21</v>
      </c>
      <c r="I321">
        <v>0</v>
      </c>
      <c r="J321" t="s">
        <v>32</v>
      </c>
    </row>
    <row r="322" spans="1:10" x14ac:dyDescent="0.25">
      <c r="A322" s="1">
        <v>28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"2026-02-08 17:24:36.084"</f>
        <v>2026-02-08 17:24:36.084</v>
      </c>
      <c r="H322" t="s">
        <v>21</v>
      </c>
      <c r="I322">
        <v>0</v>
      </c>
      <c r="J322" t="s">
        <v>33</v>
      </c>
    </row>
    <row r="323" spans="1:10" x14ac:dyDescent="0.25">
      <c r="A323" s="1">
        <v>29</v>
      </c>
      <c r="B323" t="s">
        <v>19</v>
      </c>
      <c r="C323">
        <v>706</v>
      </c>
      <c r="D323">
        <v>2</v>
      </c>
      <c r="E323" t="s">
        <v>30</v>
      </c>
      <c r="F323" t="s">
        <v>31</v>
      </c>
      <c r="G323" t="str">
        <f>"2026-02-08 16:58:26.342"</f>
        <v>2026-02-08 16:58:26.342</v>
      </c>
      <c r="H323" t="s">
        <v>21</v>
      </c>
      <c r="I323">
        <v>0</v>
      </c>
      <c r="J323" t="s">
        <v>32</v>
      </c>
    </row>
    <row r="324" spans="1:10" x14ac:dyDescent="0.25">
      <c r="A324" s="1">
        <v>30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"2026-02-08 16:58:10.092"</f>
        <v>2026-02-08 16:58:10.092</v>
      </c>
      <c r="H324" t="s">
        <v>21</v>
      </c>
    </row>
    <row r="325" spans="1:10" x14ac:dyDescent="0.25">
      <c r="A325" s="1">
        <v>31</v>
      </c>
      <c r="B325" t="s">
        <v>19</v>
      </c>
      <c r="C325">
        <v>706</v>
      </c>
      <c r="D325">
        <v>4</v>
      </c>
      <c r="E325" t="s">
        <v>30</v>
      </c>
      <c r="F325" t="s">
        <v>34</v>
      </c>
      <c r="G325" t="str">
        <f>"2026-02-08 16:52:40.342"</f>
        <v>2026-02-08 16:52:40.342</v>
      </c>
      <c r="H325" t="s">
        <v>21</v>
      </c>
      <c r="I325">
        <v>0</v>
      </c>
      <c r="J325" t="s">
        <v>32</v>
      </c>
    </row>
    <row r="326" spans="1:10" x14ac:dyDescent="0.25">
      <c r="A326" s="1">
        <v>32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"2026-02-08 16:34:35.092"</f>
        <v>2026-02-08 16:34:35.092</v>
      </c>
      <c r="H326" t="s">
        <v>21</v>
      </c>
      <c r="I326">
        <v>0</v>
      </c>
      <c r="J326" t="s">
        <v>33</v>
      </c>
    </row>
    <row r="327" spans="1:10" x14ac:dyDescent="0.25">
      <c r="A327" s="1">
        <v>33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"2026-02-08 16:30:51.080"</f>
        <v>2026-02-08 16:30:51.080</v>
      </c>
      <c r="H327" t="s">
        <v>21</v>
      </c>
    </row>
    <row r="328" spans="1:10" x14ac:dyDescent="0.25">
      <c r="A328" s="1">
        <v>34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"2026-02-08 15:16:00.319"</f>
        <v>2026-02-08 15:16:00.319</v>
      </c>
      <c r="H328" t="s">
        <v>21</v>
      </c>
      <c r="I328">
        <v>0</v>
      </c>
      <c r="J328" t="s">
        <v>33</v>
      </c>
    </row>
    <row r="329" spans="1:10" x14ac:dyDescent="0.25">
      <c r="A329" s="1">
        <v>35</v>
      </c>
      <c r="B329" t="s">
        <v>19</v>
      </c>
      <c r="C329">
        <v>706</v>
      </c>
      <c r="D329">
        <v>4</v>
      </c>
      <c r="E329" t="s">
        <v>30</v>
      </c>
      <c r="F329" t="s">
        <v>34</v>
      </c>
      <c r="G329" t="str">
        <f>"2026-02-08 15:06:03.484"</f>
        <v>2026-02-08 15:06:03.484</v>
      </c>
      <c r="H329" t="s">
        <v>21</v>
      </c>
      <c r="I329">
        <v>0</v>
      </c>
      <c r="J329" t="s">
        <v>32</v>
      </c>
    </row>
    <row r="330" spans="1:10" x14ac:dyDescent="0.25">
      <c r="A330" s="1">
        <v>37</v>
      </c>
      <c r="B330" t="s">
        <v>19</v>
      </c>
      <c r="C330">
        <v>706</v>
      </c>
      <c r="D330">
        <v>4</v>
      </c>
      <c r="E330" t="s">
        <v>30</v>
      </c>
      <c r="F330" t="s">
        <v>34</v>
      </c>
      <c r="G330" t="str">
        <f>"2026-02-07 15:02:53.034"</f>
        <v>2026-02-07 15:02:53.034</v>
      </c>
      <c r="H330" t="s">
        <v>21</v>
      </c>
      <c r="I330">
        <v>0</v>
      </c>
      <c r="J330" t="s">
        <v>32</v>
      </c>
    </row>
    <row r="331" spans="1:10" x14ac:dyDescent="0.25">
      <c r="A331" s="1">
        <v>38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"2026-02-07 14:52:25.084"</f>
        <v>2026-02-07 14:52:25.084</v>
      </c>
      <c r="H331" t="s">
        <v>21</v>
      </c>
      <c r="I331">
        <v>0</v>
      </c>
      <c r="J331" t="s">
        <v>33</v>
      </c>
    </row>
    <row r="332" spans="1:10" x14ac:dyDescent="0.25">
      <c r="A332" s="1">
        <v>39</v>
      </c>
      <c r="B332" t="s">
        <v>19</v>
      </c>
      <c r="C332">
        <v>706</v>
      </c>
      <c r="D332">
        <v>4</v>
      </c>
      <c r="E332" t="s">
        <v>30</v>
      </c>
      <c r="F332" t="s">
        <v>34</v>
      </c>
      <c r="G332" t="str">
        <f>"2026-02-05 11:11:56.689"</f>
        <v>2026-02-05 11:11:56.689</v>
      </c>
      <c r="H332" t="s">
        <v>21</v>
      </c>
      <c r="I332">
        <v>0</v>
      </c>
      <c r="J332" t="s">
        <v>32</v>
      </c>
    </row>
    <row r="333" spans="1:10" x14ac:dyDescent="0.25">
      <c r="A333" s="1">
        <v>40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"2026-02-05 11:11:39.099"</f>
        <v>2026-02-05 11:11:39.099</v>
      </c>
      <c r="H333" t="s">
        <v>21</v>
      </c>
    </row>
    <row r="334" spans="1:10" s="3" customFormat="1" x14ac:dyDescent="0.25">
      <c r="A334" s="2">
        <v>41</v>
      </c>
      <c r="B334" s="3" t="s">
        <v>22</v>
      </c>
      <c r="C334" s="3">
        <v>647</v>
      </c>
      <c r="D334" s="3">
        <v>1</v>
      </c>
      <c r="E334" s="3" t="s">
        <v>23</v>
      </c>
      <c r="F334" s="3" t="s">
        <v>24</v>
      </c>
      <c r="G334" s="3" t="str">
        <f>"2026-02-04 15:25:45.698"</f>
        <v>2026-02-04 15:25:45.698</v>
      </c>
      <c r="H334" s="3" t="s">
        <v>21</v>
      </c>
    </row>
    <row r="335" spans="1:10" s="3" customFormat="1" x14ac:dyDescent="0.25">
      <c r="A335" s="2">
        <v>42</v>
      </c>
      <c r="B335" s="3" t="s">
        <v>25</v>
      </c>
      <c r="C335" s="3">
        <v>647</v>
      </c>
      <c r="D335" s="3">
        <v>1</v>
      </c>
      <c r="E335" s="3" t="s">
        <v>23</v>
      </c>
      <c r="F335" s="3" t="s">
        <v>24</v>
      </c>
      <c r="G335" s="3" t="str">
        <f>"2026-02-04 15:25:28.198"</f>
        <v>2026-02-04 15:25:28.198</v>
      </c>
      <c r="H335" s="3" t="s">
        <v>21</v>
      </c>
      <c r="I335" s="3">
        <v>8.8800000000000008</v>
      </c>
      <c r="J335" s="3" t="s">
        <v>26</v>
      </c>
    </row>
    <row r="336" spans="1:10" x14ac:dyDescent="0.25">
      <c r="A336" s="1">
        <v>43</v>
      </c>
      <c r="B336" t="s">
        <v>22</v>
      </c>
      <c r="C336">
        <v>635</v>
      </c>
      <c r="D336">
        <v>1</v>
      </c>
      <c r="E336" t="s">
        <v>27</v>
      </c>
      <c r="F336" t="s">
        <v>28</v>
      </c>
      <c r="G336" t="str">
        <f>"2026-02-04 01:00:39.944"</f>
        <v>2026-02-04 01:00:39.944</v>
      </c>
      <c r="H336" t="s">
        <v>21</v>
      </c>
    </row>
    <row r="337" spans="1:10" x14ac:dyDescent="0.25">
      <c r="A337" s="1">
        <v>44</v>
      </c>
      <c r="B337" t="s">
        <v>25</v>
      </c>
      <c r="C337">
        <v>635</v>
      </c>
      <c r="D337">
        <v>1</v>
      </c>
      <c r="E337" t="s">
        <v>27</v>
      </c>
      <c r="F337" t="s">
        <v>28</v>
      </c>
      <c r="G337" t="str">
        <f>"2026-02-04 00:55:20.444"</f>
        <v>2026-02-04 00:55:20.444</v>
      </c>
      <c r="H337" t="s">
        <v>21</v>
      </c>
      <c r="I337">
        <v>7.72</v>
      </c>
      <c r="J337" t="s">
        <v>29</v>
      </c>
    </row>
    <row r="338" spans="1:10" x14ac:dyDescent="0.25">
      <c r="A338" s="1">
        <v>45</v>
      </c>
      <c r="B338" t="s">
        <v>19</v>
      </c>
      <c r="C338">
        <v>706</v>
      </c>
      <c r="D338">
        <v>2</v>
      </c>
      <c r="E338" t="s">
        <v>30</v>
      </c>
      <c r="F338" t="s">
        <v>31</v>
      </c>
      <c r="G338" t="str">
        <f>"2026-02-03 13:17:05.523"</f>
        <v>2026-02-03 13:17:05.523</v>
      </c>
      <c r="H338" t="s">
        <v>21</v>
      </c>
      <c r="I338">
        <v>0</v>
      </c>
      <c r="J338" t="s">
        <v>32</v>
      </c>
    </row>
    <row r="339" spans="1:10" x14ac:dyDescent="0.25">
      <c r="A339" s="1">
        <v>46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"2026-02-03 13:16:47.103"</f>
        <v>2026-02-03 13:16:47.103</v>
      </c>
      <c r="H339" t="s">
        <v>21</v>
      </c>
    </row>
    <row r="340" spans="1:10" x14ac:dyDescent="0.25">
      <c r="A340" s="1">
        <v>47</v>
      </c>
      <c r="B340" t="s">
        <v>22</v>
      </c>
      <c r="C340">
        <v>635</v>
      </c>
      <c r="D340">
        <v>1</v>
      </c>
      <c r="E340" t="s">
        <v>27</v>
      </c>
      <c r="F340" t="s">
        <v>28</v>
      </c>
      <c r="G340" t="str">
        <f>"2026-02-02 19:46:34.861"</f>
        <v>2026-02-02 19:46:34.861</v>
      </c>
      <c r="H340" t="s">
        <v>21</v>
      </c>
    </row>
    <row r="341" spans="1:10" x14ac:dyDescent="0.25">
      <c r="A341" s="1">
        <v>48</v>
      </c>
      <c r="B341" t="s">
        <v>25</v>
      </c>
      <c r="C341">
        <v>635</v>
      </c>
      <c r="D341">
        <v>1</v>
      </c>
      <c r="E341" t="s">
        <v>27</v>
      </c>
      <c r="F341" t="s">
        <v>28</v>
      </c>
      <c r="G341" t="str">
        <f>"2026-02-02 19:41:14.861"</f>
        <v>2026-02-02 19:41:14.861</v>
      </c>
      <c r="H341" t="s">
        <v>21</v>
      </c>
      <c r="I341">
        <v>3.95</v>
      </c>
      <c r="J341" t="s">
        <v>29</v>
      </c>
    </row>
    <row r="342" spans="1:10" x14ac:dyDescent="0.25">
      <c r="A342" s="1">
        <v>49</v>
      </c>
      <c r="B342" t="s">
        <v>22</v>
      </c>
      <c r="C342">
        <v>635</v>
      </c>
      <c r="D342">
        <v>1</v>
      </c>
      <c r="E342" t="s">
        <v>27</v>
      </c>
      <c r="F342" t="s">
        <v>28</v>
      </c>
      <c r="G342" t="str">
        <f>"2026-02-02 10:30:10.261"</f>
        <v>2026-02-02 10:30:10.261</v>
      </c>
      <c r="H342" t="s">
        <v>21</v>
      </c>
    </row>
    <row r="343" spans="1:10" x14ac:dyDescent="0.25">
      <c r="A343" s="1">
        <v>50</v>
      </c>
      <c r="B343" t="s">
        <v>25</v>
      </c>
      <c r="C343">
        <v>635</v>
      </c>
      <c r="D343">
        <v>1</v>
      </c>
      <c r="E343" t="s">
        <v>27</v>
      </c>
      <c r="F343" t="s">
        <v>28</v>
      </c>
      <c r="G343" t="str">
        <f>"2026-02-02 10:24:01.761"</f>
        <v>2026-02-02 10:24:01.761</v>
      </c>
      <c r="H343" t="s">
        <v>21</v>
      </c>
      <c r="I343">
        <v>9.06</v>
      </c>
      <c r="J343" t="s">
        <v>26</v>
      </c>
    </row>
    <row r="344" spans="1:10" x14ac:dyDescent="0.25">
      <c r="A344" s="1">
        <v>51</v>
      </c>
      <c r="B344" t="s">
        <v>22</v>
      </c>
      <c r="C344">
        <v>635</v>
      </c>
      <c r="D344">
        <v>1</v>
      </c>
      <c r="E344" t="s">
        <v>27</v>
      </c>
      <c r="F344" t="s">
        <v>28</v>
      </c>
      <c r="G344" t="str">
        <f>"2026-02-02 00:21:07.661"</f>
        <v>2026-02-02 00:21:07.661</v>
      </c>
      <c r="H344" t="s">
        <v>21</v>
      </c>
    </row>
    <row r="345" spans="1:10" x14ac:dyDescent="0.25">
      <c r="A345" s="1">
        <v>52</v>
      </c>
      <c r="B345" t="s">
        <v>25</v>
      </c>
      <c r="C345">
        <v>635</v>
      </c>
      <c r="D345">
        <v>1</v>
      </c>
      <c r="E345" t="s">
        <v>27</v>
      </c>
      <c r="F345" t="s">
        <v>28</v>
      </c>
      <c r="G345" t="str">
        <f>"2026-02-02 00:16:12.661"</f>
        <v>2026-02-02 00:16:12.661</v>
      </c>
      <c r="H345" t="s">
        <v>21</v>
      </c>
      <c r="I345">
        <v>2.82</v>
      </c>
      <c r="J345" t="s">
        <v>26</v>
      </c>
    </row>
    <row r="346" spans="1:10" x14ac:dyDescent="0.25">
      <c r="A346" s="1">
        <v>53</v>
      </c>
      <c r="B346" t="s">
        <v>22</v>
      </c>
      <c r="C346">
        <v>635</v>
      </c>
      <c r="D346">
        <v>1</v>
      </c>
      <c r="E346" t="s">
        <v>27</v>
      </c>
      <c r="F346" t="s">
        <v>28</v>
      </c>
      <c r="G346" t="str">
        <f>"2026-02-01 22:06:08.861"</f>
        <v>2026-02-01 22:06:08.861</v>
      </c>
      <c r="H346" t="s">
        <v>21</v>
      </c>
    </row>
    <row r="347" spans="1:10" x14ac:dyDescent="0.25">
      <c r="A347" s="1">
        <v>54</v>
      </c>
      <c r="B347" t="s">
        <v>25</v>
      </c>
      <c r="C347">
        <v>635</v>
      </c>
      <c r="D347">
        <v>1</v>
      </c>
      <c r="E347" t="s">
        <v>27</v>
      </c>
      <c r="F347" t="s">
        <v>28</v>
      </c>
      <c r="G347" t="str">
        <f>"2026-02-01 22:03:08.361"</f>
        <v>2026-02-01 22:03:08.361</v>
      </c>
      <c r="H347" t="s">
        <v>21</v>
      </c>
      <c r="I347">
        <v>0.05</v>
      </c>
      <c r="J347" t="s">
        <v>35</v>
      </c>
    </row>
    <row r="348" spans="1:10" x14ac:dyDescent="0.25">
      <c r="A348" s="1">
        <v>55</v>
      </c>
      <c r="B348" t="s">
        <v>22</v>
      </c>
      <c r="C348">
        <v>635</v>
      </c>
      <c r="D348">
        <v>1</v>
      </c>
      <c r="E348" t="s">
        <v>27</v>
      </c>
      <c r="F348" t="s">
        <v>28</v>
      </c>
      <c r="G348" t="str">
        <f>"2026-02-01 18:58:31.161"</f>
        <v>2026-02-01 18:58:31.161</v>
      </c>
      <c r="H348" t="s">
        <v>21</v>
      </c>
    </row>
    <row r="349" spans="1:10" x14ac:dyDescent="0.25">
      <c r="A349" s="1">
        <v>56</v>
      </c>
      <c r="B349" t="s">
        <v>25</v>
      </c>
      <c r="C349">
        <v>635</v>
      </c>
      <c r="D349">
        <v>1</v>
      </c>
      <c r="E349" t="s">
        <v>27</v>
      </c>
      <c r="F349" t="s">
        <v>28</v>
      </c>
      <c r="G349" t="str">
        <f>"2026-02-01 18:52:45.661"</f>
        <v>2026-02-01 18:52:45.661</v>
      </c>
      <c r="H349" t="s">
        <v>21</v>
      </c>
      <c r="I349">
        <v>7.25</v>
      </c>
      <c r="J349" t="s">
        <v>29</v>
      </c>
    </row>
    <row r="350" spans="1:10" x14ac:dyDescent="0.25">
      <c r="A350" s="1">
        <v>57</v>
      </c>
      <c r="B350" t="s">
        <v>22</v>
      </c>
      <c r="C350">
        <v>635</v>
      </c>
      <c r="D350">
        <v>1</v>
      </c>
      <c r="E350" t="s">
        <v>27</v>
      </c>
      <c r="F350" t="s">
        <v>28</v>
      </c>
      <c r="G350" t="str">
        <f>"2026-01-31 19:43:14.261"</f>
        <v>2026-01-31 19:43:14.261</v>
      </c>
      <c r="H350" t="s">
        <v>21</v>
      </c>
    </row>
    <row r="351" spans="1:10" x14ac:dyDescent="0.25">
      <c r="A351" s="1">
        <v>58</v>
      </c>
      <c r="B351" t="s">
        <v>25</v>
      </c>
      <c r="C351">
        <v>635</v>
      </c>
      <c r="D351">
        <v>1</v>
      </c>
      <c r="E351" t="s">
        <v>27</v>
      </c>
      <c r="F351" t="s">
        <v>28</v>
      </c>
      <c r="G351" t="str">
        <f>"2026-01-31 19:35:28.761"</f>
        <v>2026-01-31 19:35:28.761</v>
      </c>
      <c r="H351" t="s">
        <v>21</v>
      </c>
      <c r="I351">
        <v>2.92</v>
      </c>
      <c r="J351" t="s">
        <v>29</v>
      </c>
    </row>
    <row r="352" spans="1:10" s="3" customFormat="1" x14ac:dyDescent="0.25">
      <c r="A352" s="2">
        <v>59</v>
      </c>
      <c r="B352" s="3" t="s">
        <v>22</v>
      </c>
      <c r="C352" s="3">
        <v>647</v>
      </c>
      <c r="D352" s="3">
        <v>1</v>
      </c>
      <c r="E352" s="3" t="s">
        <v>23</v>
      </c>
      <c r="F352" s="3" t="s">
        <v>24</v>
      </c>
      <c r="G352" s="3" t="str">
        <f>"2026-01-31 11:00:32.962"</f>
        <v>2026-01-31 11:00:32.962</v>
      </c>
      <c r="H352" s="3" t="s">
        <v>21</v>
      </c>
    </row>
    <row r="353" spans="1:10" s="3" customFormat="1" x14ac:dyDescent="0.25">
      <c r="A353" s="2">
        <v>60</v>
      </c>
      <c r="B353" s="3" t="s">
        <v>25</v>
      </c>
      <c r="C353" s="3">
        <v>647</v>
      </c>
      <c r="D353" s="3">
        <v>1</v>
      </c>
      <c r="E353" s="3" t="s">
        <v>23</v>
      </c>
      <c r="F353" s="3" t="s">
        <v>24</v>
      </c>
      <c r="G353" s="3" t="str">
        <f>"2026-01-31 11:00:31.262"</f>
        <v>2026-01-31 11:00:31.262</v>
      </c>
      <c r="H353" s="3" t="s">
        <v>21</v>
      </c>
      <c r="I353" s="3">
        <v>30.32</v>
      </c>
      <c r="J353" s="3" t="s">
        <v>26</v>
      </c>
    </row>
    <row r="354" spans="1:10" x14ac:dyDescent="0.25">
      <c r="A354" s="1">
        <v>61</v>
      </c>
      <c r="B354" t="s">
        <v>22</v>
      </c>
      <c r="C354">
        <v>635</v>
      </c>
      <c r="D354">
        <v>1</v>
      </c>
      <c r="E354" t="s">
        <v>27</v>
      </c>
      <c r="F354" t="s">
        <v>28</v>
      </c>
      <c r="G354" t="str">
        <f>"2026-01-31 01:39:29.861"</f>
        <v>2026-01-31 01:39:29.861</v>
      </c>
      <c r="H354" t="s">
        <v>21</v>
      </c>
    </row>
    <row r="355" spans="1:10" x14ac:dyDescent="0.25">
      <c r="A355" s="1">
        <v>62</v>
      </c>
      <c r="B355" t="s">
        <v>25</v>
      </c>
      <c r="C355">
        <v>635</v>
      </c>
      <c r="D355">
        <v>1</v>
      </c>
      <c r="E355" t="s">
        <v>27</v>
      </c>
      <c r="F355" t="s">
        <v>28</v>
      </c>
      <c r="G355" t="str">
        <f>"2026-01-31 01:35:11.961"</f>
        <v>2026-01-31 01:35:11.961</v>
      </c>
      <c r="H355" t="s">
        <v>21</v>
      </c>
      <c r="I355">
        <v>4.58</v>
      </c>
      <c r="J355" t="s">
        <v>29</v>
      </c>
    </row>
    <row r="356" spans="1:10" x14ac:dyDescent="0.25">
      <c r="A356" s="1">
        <v>63</v>
      </c>
      <c r="B356" t="s">
        <v>22</v>
      </c>
      <c r="C356">
        <v>635</v>
      </c>
      <c r="D356">
        <v>1</v>
      </c>
      <c r="E356" t="s">
        <v>27</v>
      </c>
      <c r="F356" t="s">
        <v>28</v>
      </c>
      <c r="G356" t="str">
        <f>"2026-01-30 20:43:04.361"</f>
        <v>2026-01-30 20:43:04.361</v>
      </c>
      <c r="H356" t="s">
        <v>21</v>
      </c>
    </row>
    <row r="357" spans="1:10" x14ac:dyDescent="0.25">
      <c r="A357" s="1">
        <v>64</v>
      </c>
      <c r="B357" t="s">
        <v>25</v>
      </c>
      <c r="C357">
        <v>635</v>
      </c>
      <c r="D357">
        <v>1</v>
      </c>
      <c r="E357" t="s">
        <v>27</v>
      </c>
      <c r="F357" t="s">
        <v>28</v>
      </c>
      <c r="G357" t="str">
        <f>"2026-01-30 20:28:03.361"</f>
        <v>2026-01-30 20:28:03.361</v>
      </c>
      <c r="H357" t="s">
        <v>21</v>
      </c>
      <c r="I357">
        <v>5.82</v>
      </c>
      <c r="J357" t="s">
        <v>29</v>
      </c>
    </row>
    <row r="358" spans="1:10" s="3" customFormat="1" x14ac:dyDescent="0.25">
      <c r="A358" s="2">
        <v>65</v>
      </c>
      <c r="B358" s="3" t="s">
        <v>22</v>
      </c>
      <c r="C358" s="3">
        <v>647</v>
      </c>
      <c r="D358" s="3">
        <v>1</v>
      </c>
      <c r="E358" s="3" t="s">
        <v>23</v>
      </c>
      <c r="F358" s="3" t="s">
        <v>24</v>
      </c>
      <c r="G358" s="3" t="str">
        <f>"2026-01-30 08:44:52.761"</f>
        <v>2026-01-30 08:44:52.761</v>
      </c>
      <c r="H358" s="3" t="s">
        <v>21</v>
      </c>
    </row>
    <row r="359" spans="1:10" s="3" customFormat="1" x14ac:dyDescent="0.25">
      <c r="A359" s="2">
        <v>66</v>
      </c>
      <c r="B359" s="3" t="s">
        <v>25</v>
      </c>
      <c r="C359" s="3">
        <v>647</v>
      </c>
      <c r="D359" s="3">
        <v>1</v>
      </c>
      <c r="E359" s="3" t="s">
        <v>23</v>
      </c>
      <c r="F359" s="3" t="s">
        <v>24</v>
      </c>
      <c r="G359" s="3" t="str">
        <f>"2026-01-30 08:44:48.462"</f>
        <v>2026-01-30 08:44:48.462</v>
      </c>
      <c r="H359" s="3" t="s">
        <v>21</v>
      </c>
      <c r="I359" s="3">
        <v>10.47</v>
      </c>
      <c r="J359" s="3" t="s">
        <v>26</v>
      </c>
    </row>
    <row r="360" spans="1:10" x14ac:dyDescent="0.25">
      <c r="A360" s="1">
        <v>67</v>
      </c>
      <c r="B360" t="s">
        <v>19</v>
      </c>
      <c r="C360">
        <v>706</v>
      </c>
      <c r="D360">
        <v>2</v>
      </c>
      <c r="E360" t="s">
        <v>30</v>
      </c>
      <c r="F360" t="s">
        <v>31</v>
      </c>
      <c r="G360" t="str">
        <f>"2026-01-29 06:17:34.117"</f>
        <v>2026-01-29 06:17:34.117</v>
      </c>
      <c r="H360" t="s">
        <v>21</v>
      </c>
      <c r="I360">
        <v>0</v>
      </c>
      <c r="J360" t="s">
        <v>32</v>
      </c>
    </row>
    <row r="361" spans="1:10" x14ac:dyDescent="0.25">
      <c r="A361" s="1">
        <v>68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"2026-01-29 06:13:20.077"</f>
        <v>2026-01-29 06:13:20.077</v>
      </c>
      <c r="H361" t="s">
        <v>21</v>
      </c>
      <c r="I361">
        <v>0</v>
      </c>
      <c r="J361" t="s">
        <v>33</v>
      </c>
    </row>
    <row r="362" spans="1:10" x14ac:dyDescent="0.25">
      <c r="A362" s="1">
        <v>69</v>
      </c>
      <c r="B362" t="s">
        <v>19</v>
      </c>
      <c r="C362">
        <v>706</v>
      </c>
      <c r="D362">
        <v>2</v>
      </c>
      <c r="E362" t="s">
        <v>30</v>
      </c>
      <c r="F362" t="s">
        <v>31</v>
      </c>
      <c r="G362" t="str">
        <f>"2026-01-29 05:46:38.924"</f>
        <v>2026-01-29 05:46:38.924</v>
      </c>
      <c r="H362" t="s">
        <v>21</v>
      </c>
      <c r="I362">
        <v>0</v>
      </c>
      <c r="J362" t="s">
        <v>32</v>
      </c>
    </row>
    <row r="363" spans="1:10" x14ac:dyDescent="0.25">
      <c r="A363" s="1">
        <v>70</v>
      </c>
      <c r="B363" t="s">
        <v>19</v>
      </c>
      <c r="C363">
        <v>706</v>
      </c>
      <c r="D363">
        <v>3</v>
      </c>
      <c r="E363" t="s">
        <v>30</v>
      </c>
      <c r="F363" t="s">
        <v>36</v>
      </c>
      <c r="G363" t="str">
        <f>"2026-01-29 05:28:15.574"</f>
        <v>2026-01-29 05:28:15.574</v>
      </c>
      <c r="H363" t="s">
        <v>21</v>
      </c>
      <c r="I363">
        <v>0</v>
      </c>
      <c r="J363" t="s">
        <v>32</v>
      </c>
    </row>
    <row r="364" spans="1:10" x14ac:dyDescent="0.25">
      <c r="A364" s="1">
        <v>71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"2026-01-29 05:22:38.074"</f>
        <v>2026-01-29 05:22:38.074</v>
      </c>
      <c r="H364" t="s">
        <v>21</v>
      </c>
      <c r="I364">
        <v>0</v>
      </c>
      <c r="J364" t="s">
        <v>33</v>
      </c>
    </row>
    <row r="365" spans="1:10" x14ac:dyDescent="0.25">
      <c r="A365" s="1">
        <v>72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"2026-01-29 03:59:45.328"</f>
        <v>2026-01-29 03:59:45.328</v>
      </c>
      <c r="H365" t="s">
        <v>21</v>
      </c>
    </row>
    <row r="366" spans="1:10" x14ac:dyDescent="0.25">
      <c r="A366" s="1">
        <v>73</v>
      </c>
      <c r="B366" t="s">
        <v>43</v>
      </c>
      <c r="C366">
        <v>215</v>
      </c>
      <c r="D366">
        <v>6</v>
      </c>
      <c r="E366" t="s">
        <v>44</v>
      </c>
      <c r="F366" t="s">
        <v>45</v>
      </c>
      <c r="G366" t="str">
        <f>"2026-01-27 18:01:44.645"</f>
        <v>2026-01-27 18:01:44.645</v>
      </c>
      <c r="H366" t="s">
        <v>21</v>
      </c>
    </row>
    <row r="367" spans="1:10" x14ac:dyDescent="0.25">
      <c r="A367" s="1">
        <v>74</v>
      </c>
      <c r="B367" t="s">
        <v>43</v>
      </c>
      <c r="C367">
        <v>115</v>
      </c>
      <c r="D367">
        <v>6</v>
      </c>
      <c r="E367" t="s">
        <v>46</v>
      </c>
      <c r="F367" t="s">
        <v>45</v>
      </c>
      <c r="G367" t="str">
        <f>"2026-01-27 18:01:44.546"</f>
        <v>2026-01-27 18:01:44.546</v>
      </c>
      <c r="H367" t="s">
        <v>21</v>
      </c>
    </row>
    <row r="368" spans="1:10" x14ac:dyDescent="0.25">
      <c r="A368" s="1">
        <v>75</v>
      </c>
      <c r="B368" t="s">
        <v>40</v>
      </c>
      <c r="C368">
        <v>215</v>
      </c>
      <c r="D368">
        <v>6</v>
      </c>
      <c r="E368" t="s">
        <v>44</v>
      </c>
      <c r="F368" t="s">
        <v>45</v>
      </c>
      <c r="G368" t="str">
        <f>"2026-01-27 18:01:39.609"</f>
        <v>2026-01-27 18:01:39.609</v>
      </c>
      <c r="H368" t="s">
        <v>21</v>
      </c>
      <c r="I368">
        <v>0</v>
      </c>
      <c r="J368" t="s">
        <v>32</v>
      </c>
    </row>
    <row r="369" spans="1:10" x14ac:dyDescent="0.25">
      <c r="A369" s="1">
        <v>76</v>
      </c>
      <c r="B369" t="s">
        <v>40</v>
      </c>
      <c r="C369">
        <v>115</v>
      </c>
      <c r="D369">
        <v>6</v>
      </c>
      <c r="E369" t="s">
        <v>46</v>
      </c>
      <c r="F369" t="s">
        <v>45</v>
      </c>
      <c r="G369" t="str">
        <f>"2026-01-27 18:01:39.489"</f>
        <v>2026-01-27 18:01:39.489</v>
      </c>
      <c r="H369" t="s">
        <v>21</v>
      </c>
      <c r="I369">
        <v>0</v>
      </c>
      <c r="J369" t="s">
        <v>32</v>
      </c>
    </row>
    <row r="370" spans="1:10" x14ac:dyDescent="0.25">
      <c r="A370" s="1">
        <v>77</v>
      </c>
      <c r="B370" t="s">
        <v>22</v>
      </c>
      <c r="C370">
        <v>6</v>
      </c>
      <c r="D370">
        <v>1</v>
      </c>
      <c r="E370" t="s">
        <v>47</v>
      </c>
      <c r="F370" t="s">
        <v>48</v>
      </c>
      <c r="G370" t="str">
        <f>"2026-01-27 18:01:39.358"</f>
        <v>2026-01-27 18:01:39.358</v>
      </c>
      <c r="H370" t="s">
        <v>49</v>
      </c>
    </row>
    <row r="371" spans="1:10" x14ac:dyDescent="0.25">
      <c r="A371" s="1">
        <v>78</v>
      </c>
      <c r="B371" t="s">
        <v>22</v>
      </c>
      <c r="C371">
        <v>75</v>
      </c>
      <c r="D371">
        <v>1</v>
      </c>
      <c r="E371" t="s">
        <v>50</v>
      </c>
      <c r="F371" t="s">
        <v>51</v>
      </c>
      <c r="G371" t="str">
        <f>"2026-01-27 18:01:39.356"</f>
        <v>2026-01-27 18:01:39.356</v>
      </c>
      <c r="H371" t="s">
        <v>52</v>
      </c>
    </row>
    <row r="372" spans="1:10" x14ac:dyDescent="0.25">
      <c r="A372" s="1">
        <v>79</v>
      </c>
      <c r="B372" t="s">
        <v>22</v>
      </c>
      <c r="C372">
        <v>74</v>
      </c>
      <c r="D372">
        <v>1</v>
      </c>
      <c r="E372" t="s">
        <v>53</v>
      </c>
      <c r="F372" t="s">
        <v>54</v>
      </c>
      <c r="G372" t="str">
        <f>"2026-01-27 18:01:39.353"</f>
        <v>2026-01-27 18:01:39.353</v>
      </c>
      <c r="H372" t="s">
        <v>55</v>
      </c>
    </row>
    <row r="373" spans="1:10" x14ac:dyDescent="0.25">
      <c r="A373" s="1">
        <v>80</v>
      </c>
      <c r="B373" t="s">
        <v>25</v>
      </c>
      <c r="C373">
        <v>75</v>
      </c>
      <c r="D373">
        <v>1</v>
      </c>
      <c r="E373" t="s">
        <v>50</v>
      </c>
      <c r="F373" t="s">
        <v>51</v>
      </c>
      <c r="G373" t="str">
        <f>"2026-01-27 18:01:27.890"</f>
        <v>2026-01-27 18:01:27.890</v>
      </c>
      <c r="H373" t="s">
        <v>52</v>
      </c>
      <c r="I373">
        <v>0</v>
      </c>
      <c r="J373" t="s">
        <v>32</v>
      </c>
    </row>
    <row r="374" spans="1:10" x14ac:dyDescent="0.25">
      <c r="A374" s="1">
        <v>81</v>
      </c>
      <c r="B374" t="s">
        <v>25</v>
      </c>
      <c r="C374">
        <v>74</v>
      </c>
      <c r="D374">
        <v>1</v>
      </c>
      <c r="E374" t="s">
        <v>53</v>
      </c>
      <c r="F374" t="s">
        <v>54</v>
      </c>
      <c r="G374" t="str">
        <f>"2026-01-27 18:01:27.872"</f>
        <v>2026-01-27 18:01:27.872</v>
      </c>
      <c r="H374" t="s">
        <v>55</v>
      </c>
      <c r="I374">
        <v>0</v>
      </c>
      <c r="J374" t="s">
        <v>32</v>
      </c>
    </row>
    <row r="375" spans="1:10" x14ac:dyDescent="0.25">
      <c r="A375" s="1">
        <v>82</v>
      </c>
      <c r="B375" t="s">
        <v>40</v>
      </c>
      <c r="C375">
        <v>6</v>
      </c>
      <c r="D375">
        <v>1</v>
      </c>
      <c r="E375" t="s">
        <v>47</v>
      </c>
      <c r="F375" t="s">
        <v>48</v>
      </c>
      <c r="G375" t="str">
        <f>"2026-01-27 18:01:27.853"</f>
        <v>2026-01-27 18:01:27.853</v>
      </c>
      <c r="H375" t="s">
        <v>49</v>
      </c>
      <c r="I375">
        <v>0</v>
      </c>
      <c r="J375" t="s">
        <v>32</v>
      </c>
    </row>
    <row r="376" spans="1:10" x14ac:dyDescent="0.25">
      <c r="A376" s="1">
        <v>86</v>
      </c>
      <c r="B376" t="s">
        <v>22</v>
      </c>
      <c r="C376">
        <v>635</v>
      </c>
      <c r="D376">
        <v>1</v>
      </c>
      <c r="E376" t="s">
        <v>27</v>
      </c>
      <c r="F376" t="s">
        <v>28</v>
      </c>
      <c r="G376" t="str">
        <f>"2026-01-27 03:08:49.063"</f>
        <v>2026-01-27 03:08:49.063</v>
      </c>
      <c r="H376" t="s">
        <v>21</v>
      </c>
    </row>
    <row r="377" spans="1:10" x14ac:dyDescent="0.25">
      <c r="A377" s="1">
        <v>87</v>
      </c>
      <c r="B377" t="s">
        <v>25</v>
      </c>
      <c r="C377">
        <v>635</v>
      </c>
      <c r="D377">
        <v>1</v>
      </c>
      <c r="E377" t="s">
        <v>27</v>
      </c>
      <c r="F377" t="s">
        <v>28</v>
      </c>
      <c r="G377" t="str">
        <f>"2026-01-27 02:58:50.563"</f>
        <v>2026-01-27 02:58:50.563</v>
      </c>
      <c r="H377" t="s">
        <v>21</v>
      </c>
      <c r="I377">
        <v>4.8</v>
      </c>
      <c r="J377" t="s">
        <v>29</v>
      </c>
    </row>
    <row r="378" spans="1:10" x14ac:dyDescent="0.25">
      <c r="A378" s="1">
        <v>88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"2026-01-26 12:14:40.070"</f>
        <v>2026-01-26 12:14:40.070</v>
      </c>
      <c r="H378" t="s">
        <v>21</v>
      </c>
      <c r="I378">
        <v>0</v>
      </c>
      <c r="J378" t="s">
        <v>33</v>
      </c>
    </row>
    <row r="379" spans="1:10" x14ac:dyDescent="0.25">
      <c r="A379" s="1">
        <v>89</v>
      </c>
      <c r="B379" t="s">
        <v>19</v>
      </c>
      <c r="C379">
        <v>706</v>
      </c>
      <c r="D379">
        <v>4</v>
      </c>
      <c r="E379" t="s">
        <v>30</v>
      </c>
      <c r="F379" t="s">
        <v>34</v>
      </c>
      <c r="G379" t="str">
        <f>"2026-01-26 11:02:14.849"</f>
        <v>2026-01-26 11:02:14.849</v>
      </c>
      <c r="H379" t="s">
        <v>21</v>
      </c>
      <c r="I379">
        <v>0</v>
      </c>
      <c r="J379" t="s">
        <v>32</v>
      </c>
    </row>
    <row r="380" spans="1:10" x14ac:dyDescent="0.25">
      <c r="A380" s="1">
        <v>90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"2026-01-26 11:01:57.119"</f>
        <v>2026-01-26 11:01:57.119</v>
      </c>
      <c r="H380" t="s">
        <v>21</v>
      </c>
      <c r="I380">
        <v>0</v>
      </c>
      <c r="J380" t="s">
        <v>33</v>
      </c>
    </row>
    <row r="381" spans="1:10" x14ac:dyDescent="0.25">
      <c r="A381" s="1">
        <v>91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"2026-01-24 13:19:19.075"</f>
        <v>2026-01-24 13:19:19.075</v>
      </c>
      <c r="H381" t="s">
        <v>21</v>
      </c>
      <c r="I381">
        <v>0</v>
      </c>
      <c r="J381" t="s">
        <v>33</v>
      </c>
    </row>
    <row r="382" spans="1:10" x14ac:dyDescent="0.25">
      <c r="A382" s="1">
        <v>92</v>
      </c>
      <c r="B382" t="s">
        <v>22</v>
      </c>
      <c r="C382">
        <v>635</v>
      </c>
      <c r="D382">
        <v>1</v>
      </c>
      <c r="E382" t="s">
        <v>27</v>
      </c>
      <c r="F382" t="s">
        <v>28</v>
      </c>
      <c r="G382" t="str">
        <f>"2026-01-23 23:29:21.285"</f>
        <v>2026-01-23 23:29:21.285</v>
      </c>
      <c r="H382" t="s">
        <v>21</v>
      </c>
    </row>
    <row r="383" spans="1:10" x14ac:dyDescent="0.25">
      <c r="A383" s="1">
        <v>93</v>
      </c>
      <c r="B383" t="s">
        <v>25</v>
      </c>
      <c r="C383">
        <v>635</v>
      </c>
      <c r="D383">
        <v>1</v>
      </c>
      <c r="E383" t="s">
        <v>27</v>
      </c>
      <c r="F383" t="s">
        <v>28</v>
      </c>
      <c r="G383" t="str">
        <f>"2026-01-23 23:25:54.285"</f>
        <v>2026-01-23 23:25:54.285</v>
      </c>
      <c r="H383" t="s">
        <v>21</v>
      </c>
      <c r="I383">
        <v>7</v>
      </c>
      <c r="J383" t="s">
        <v>26</v>
      </c>
    </row>
    <row r="384" spans="1:10" x14ac:dyDescent="0.25">
      <c r="A384" s="1">
        <v>94</v>
      </c>
      <c r="B384" t="s">
        <v>22</v>
      </c>
      <c r="C384">
        <v>635</v>
      </c>
      <c r="D384">
        <v>1</v>
      </c>
      <c r="E384" t="s">
        <v>27</v>
      </c>
      <c r="F384" t="s">
        <v>28</v>
      </c>
      <c r="G384" t="str">
        <f>"2026-01-23 11:43:44.884"</f>
        <v>2026-01-23 11:43:44.884</v>
      </c>
      <c r="H384" t="s">
        <v>21</v>
      </c>
    </row>
    <row r="385" spans="1:10" x14ac:dyDescent="0.25">
      <c r="A385" s="1">
        <v>95</v>
      </c>
      <c r="B385" t="s">
        <v>25</v>
      </c>
      <c r="C385">
        <v>635</v>
      </c>
      <c r="D385">
        <v>1</v>
      </c>
      <c r="E385" t="s">
        <v>27</v>
      </c>
      <c r="F385" t="s">
        <v>28</v>
      </c>
      <c r="G385" t="str">
        <f>"2026-01-23 11:39:30.884"</f>
        <v>2026-01-23 11:39:30.884</v>
      </c>
      <c r="H385" t="s">
        <v>21</v>
      </c>
      <c r="I385">
        <v>7.41</v>
      </c>
      <c r="J385" t="s">
        <v>29</v>
      </c>
    </row>
    <row r="386" spans="1:10" x14ac:dyDescent="0.25">
      <c r="A386" s="1">
        <v>96</v>
      </c>
      <c r="B386" t="s">
        <v>22</v>
      </c>
      <c r="C386">
        <v>635</v>
      </c>
      <c r="D386">
        <v>1</v>
      </c>
      <c r="E386" t="s">
        <v>27</v>
      </c>
      <c r="F386" t="s">
        <v>28</v>
      </c>
      <c r="G386" t="str">
        <f>"2026-01-20 15:36:50.584"</f>
        <v>2026-01-20 15:36:50.584</v>
      </c>
      <c r="H386" t="s">
        <v>21</v>
      </c>
    </row>
    <row r="387" spans="1:10" x14ac:dyDescent="0.25">
      <c r="A387" s="1">
        <v>97</v>
      </c>
      <c r="B387" t="s">
        <v>25</v>
      </c>
      <c r="C387">
        <v>635</v>
      </c>
      <c r="D387">
        <v>1</v>
      </c>
      <c r="E387" t="s">
        <v>27</v>
      </c>
      <c r="F387" t="s">
        <v>28</v>
      </c>
      <c r="G387" t="str">
        <f>"2026-01-20 15:06:12.585"</f>
        <v>2026-01-20 15:06:12.585</v>
      </c>
      <c r="H387" t="s">
        <v>21</v>
      </c>
      <c r="I387">
        <v>7.91</v>
      </c>
      <c r="J387" t="s">
        <v>29</v>
      </c>
    </row>
    <row r="388" spans="1:10" x14ac:dyDescent="0.25">
      <c r="A388" s="1">
        <v>98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"2026-01-18 15:06:37.078"</f>
        <v>2026-01-18 15:06:37.078</v>
      </c>
      <c r="H388" t="s">
        <v>21</v>
      </c>
      <c r="I388">
        <v>0</v>
      </c>
      <c r="J388" t="s">
        <v>33</v>
      </c>
    </row>
    <row r="389" spans="1:10" x14ac:dyDescent="0.25">
      <c r="A389" s="1">
        <v>99</v>
      </c>
      <c r="B389" t="s">
        <v>19</v>
      </c>
      <c r="C389">
        <v>706</v>
      </c>
      <c r="D389">
        <v>4</v>
      </c>
      <c r="E389" t="s">
        <v>30</v>
      </c>
      <c r="F389" t="s">
        <v>34</v>
      </c>
      <c r="G389" t="str">
        <f>"2026-01-18 14:52:43.235"</f>
        <v>2026-01-18 14:52:43.235</v>
      </c>
      <c r="H389" t="s">
        <v>21</v>
      </c>
      <c r="I389">
        <v>0</v>
      </c>
      <c r="J389" t="s">
        <v>32</v>
      </c>
    </row>
    <row r="390" spans="1:10" x14ac:dyDescent="0.25">
      <c r="A390" s="1">
        <v>0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"2026-01-18 14:44:43.085"</f>
        <v>2026-01-18 14:44:43.085</v>
      </c>
      <c r="H390" t="s">
        <v>21</v>
      </c>
      <c r="I390">
        <v>0</v>
      </c>
      <c r="J390" t="s">
        <v>33</v>
      </c>
    </row>
    <row r="391" spans="1:10" x14ac:dyDescent="0.25">
      <c r="A391" s="1">
        <v>1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"2026-01-18 14:15:20.259"</f>
        <v>2026-01-18 14:15:20.259</v>
      </c>
      <c r="H391" t="s">
        <v>21</v>
      </c>
    </row>
    <row r="392" spans="1:10" s="3" customFormat="1" x14ac:dyDescent="0.25">
      <c r="A392" s="2">
        <v>2</v>
      </c>
      <c r="B392" s="3" t="s">
        <v>22</v>
      </c>
      <c r="C392" s="3">
        <v>647</v>
      </c>
      <c r="D392" s="3">
        <v>1</v>
      </c>
      <c r="E392" s="3" t="s">
        <v>23</v>
      </c>
      <c r="F392" s="3" t="s">
        <v>24</v>
      </c>
      <c r="G392" s="3" t="str">
        <f>"2026-01-17 20:28:39.047"</f>
        <v>2026-01-17 20:28:39.047</v>
      </c>
      <c r="H392" s="3" t="s">
        <v>21</v>
      </c>
    </row>
    <row r="393" spans="1:10" s="3" customFormat="1" x14ac:dyDescent="0.25">
      <c r="A393" s="2">
        <v>3</v>
      </c>
      <c r="B393" s="3" t="s">
        <v>25</v>
      </c>
      <c r="C393" s="3">
        <v>647</v>
      </c>
      <c r="D393" s="3">
        <v>1</v>
      </c>
      <c r="E393" s="3" t="s">
        <v>23</v>
      </c>
      <c r="F393" s="3" t="s">
        <v>24</v>
      </c>
      <c r="G393" s="3" t="str">
        <f>"2026-01-17 20:28:37.546"</f>
        <v>2026-01-17 20:28:37.546</v>
      </c>
      <c r="H393" s="3" t="s">
        <v>21</v>
      </c>
      <c r="I393" s="3">
        <v>18.510000000000002</v>
      </c>
      <c r="J393" s="3" t="s">
        <v>26</v>
      </c>
    </row>
    <row r="394" spans="1:10" s="3" customFormat="1" x14ac:dyDescent="0.25">
      <c r="A394" s="2">
        <v>4</v>
      </c>
      <c r="B394" s="3" t="s">
        <v>22</v>
      </c>
      <c r="C394" s="3">
        <v>647</v>
      </c>
      <c r="D394" s="3">
        <v>1</v>
      </c>
      <c r="E394" s="3" t="s">
        <v>23</v>
      </c>
      <c r="F394" s="3" t="s">
        <v>24</v>
      </c>
      <c r="G394" s="3" t="str">
        <f>"2026-01-17 19:24:09.946"</f>
        <v>2026-01-17 19:24:09.946</v>
      </c>
      <c r="H394" s="3" t="s">
        <v>21</v>
      </c>
    </row>
    <row r="395" spans="1:10" s="3" customFormat="1" x14ac:dyDescent="0.25">
      <c r="A395" s="2">
        <v>5</v>
      </c>
      <c r="B395" s="3" t="s">
        <v>25</v>
      </c>
      <c r="C395" s="3">
        <v>647</v>
      </c>
      <c r="D395" s="3">
        <v>1</v>
      </c>
      <c r="E395" s="3" t="s">
        <v>23</v>
      </c>
      <c r="F395" s="3" t="s">
        <v>24</v>
      </c>
      <c r="G395" s="3" t="str">
        <f>"2026-01-17 19:24:02.846"</f>
        <v>2026-01-17 19:24:02.846</v>
      </c>
      <c r="H395" s="3" t="s">
        <v>21</v>
      </c>
      <c r="I395" s="3">
        <v>9.5</v>
      </c>
      <c r="J395" s="3" t="s">
        <v>35</v>
      </c>
    </row>
    <row r="396" spans="1:10" x14ac:dyDescent="0.25">
      <c r="A396" s="1">
        <v>6</v>
      </c>
      <c r="B396" t="s">
        <v>19</v>
      </c>
      <c r="C396">
        <v>706</v>
      </c>
      <c r="D396">
        <v>4</v>
      </c>
      <c r="E396" t="s">
        <v>30</v>
      </c>
      <c r="F396" t="s">
        <v>34</v>
      </c>
      <c r="G396" t="str">
        <f>"2026-01-17 08:21:03.329"</f>
        <v>2026-01-17 08:21:03.329</v>
      </c>
      <c r="H396" t="s">
        <v>21</v>
      </c>
      <c r="I396">
        <v>0</v>
      </c>
      <c r="J396" t="s">
        <v>32</v>
      </c>
    </row>
    <row r="397" spans="1:10" x14ac:dyDescent="0.25">
      <c r="A397" s="1">
        <v>8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"2026-01-16 23:13:28.059"</f>
        <v>2026-01-16 23:13:28.059</v>
      </c>
      <c r="H397" t="s">
        <v>21</v>
      </c>
    </row>
    <row r="398" spans="1:10" x14ac:dyDescent="0.25">
      <c r="A398" s="1">
        <v>9</v>
      </c>
      <c r="B398" t="s">
        <v>22</v>
      </c>
      <c r="C398">
        <v>635</v>
      </c>
      <c r="D398">
        <v>1</v>
      </c>
      <c r="E398" t="s">
        <v>27</v>
      </c>
      <c r="F398" t="s">
        <v>28</v>
      </c>
      <c r="G398" t="str">
        <f>"2026-01-16 22:18:59.368"</f>
        <v>2026-01-16 22:18:59.368</v>
      </c>
      <c r="H398" t="s">
        <v>21</v>
      </c>
    </row>
    <row r="399" spans="1:10" x14ac:dyDescent="0.25">
      <c r="A399" s="1">
        <v>10</v>
      </c>
      <c r="B399" t="s">
        <v>25</v>
      </c>
      <c r="C399">
        <v>635</v>
      </c>
      <c r="D399">
        <v>1</v>
      </c>
      <c r="E399" t="s">
        <v>27</v>
      </c>
      <c r="F399" t="s">
        <v>28</v>
      </c>
      <c r="G399" t="str">
        <f>"2026-01-16 22:04:33.968"</f>
        <v>2026-01-16 22:04:33.968</v>
      </c>
      <c r="H399" t="s">
        <v>21</v>
      </c>
      <c r="I399">
        <v>8.0399999999999991</v>
      </c>
      <c r="J399" t="s">
        <v>29</v>
      </c>
    </row>
    <row r="400" spans="1:10" x14ac:dyDescent="0.25">
      <c r="A400" s="1">
        <v>11</v>
      </c>
      <c r="B400" t="s">
        <v>19</v>
      </c>
      <c r="C400">
        <v>706</v>
      </c>
      <c r="D400">
        <v>2</v>
      </c>
      <c r="E400" t="s">
        <v>30</v>
      </c>
      <c r="F400" t="s">
        <v>31</v>
      </c>
      <c r="G400" t="str">
        <f>"2026-01-16 21:41:40.927"</f>
        <v>2026-01-16 21:41:40.927</v>
      </c>
      <c r="H400" t="s">
        <v>21</v>
      </c>
      <c r="I400">
        <v>0</v>
      </c>
      <c r="J400" t="s">
        <v>32</v>
      </c>
    </row>
    <row r="401" spans="1:10" x14ac:dyDescent="0.25">
      <c r="A401" s="1">
        <v>12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"2026-01-16 21:41:07.067"</f>
        <v>2026-01-16 21:41:07.067</v>
      </c>
      <c r="H401" t="s">
        <v>21</v>
      </c>
      <c r="I401">
        <v>0</v>
      </c>
      <c r="J401" t="s">
        <v>33</v>
      </c>
    </row>
    <row r="402" spans="1:10" x14ac:dyDescent="0.25">
      <c r="A402" s="1">
        <v>13</v>
      </c>
      <c r="B402" t="s">
        <v>22</v>
      </c>
      <c r="C402">
        <v>61</v>
      </c>
      <c r="D402">
        <v>2</v>
      </c>
      <c r="E402" t="s">
        <v>41</v>
      </c>
      <c r="F402" t="s">
        <v>42</v>
      </c>
      <c r="G402" t="str">
        <f>"2026-01-16 16:07:25.334"</f>
        <v>2026-01-16 16:07:25.334</v>
      </c>
      <c r="H402" t="s">
        <v>21</v>
      </c>
    </row>
    <row r="403" spans="1:10" x14ac:dyDescent="0.25">
      <c r="A403" s="1">
        <v>14</v>
      </c>
      <c r="B403" t="s">
        <v>40</v>
      </c>
      <c r="C403">
        <v>61</v>
      </c>
      <c r="D403">
        <v>2</v>
      </c>
      <c r="E403" t="s">
        <v>41</v>
      </c>
      <c r="F403" t="s">
        <v>42</v>
      </c>
      <c r="G403" t="str">
        <f>"2026-01-16 16:07:14.834"</f>
        <v>2026-01-16 16:07:14.834</v>
      </c>
      <c r="H403" t="s">
        <v>21</v>
      </c>
      <c r="I403">
        <v>37.090000000000003</v>
      </c>
      <c r="J403" t="s">
        <v>26</v>
      </c>
    </row>
    <row r="404" spans="1:10" x14ac:dyDescent="0.25">
      <c r="A404" s="1">
        <v>15</v>
      </c>
      <c r="B404" t="s">
        <v>19</v>
      </c>
      <c r="C404">
        <v>706</v>
      </c>
      <c r="D404">
        <v>2</v>
      </c>
      <c r="E404" t="s">
        <v>30</v>
      </c>
      <c r="F404" t="s">
        <v>31</v>
      </c>
      <c r="G404" t="str">
        <f>"2026-01-16 14:51:04.669"</f>
        <v>2026-01-16 14:51:04.669</v>
      </c>
      <c r="H404" t="s">
        <v>21</v>
      </c>
      <c r="I404">
        <v>0</v>
      </c>
      <c r="J404" t="s">
        <v>32</v>
      </c>
    </row>
    <row r="405" spans="1:10" x14ac:dyDescent="0.25">
      <c r="A405" s="1">
        <v>16</v>
      </c>
      <c r="B405" t="s">
        <v>22</v>
      </c>
      <c r="C405">
        <v>61</v>
      </c>
      <c r="D405">
        <v>2</v>
      </c>
      <c r="E405" t="s">
        <v>41</v>
      </c>
      <c r="F405" t="s">
        <v>42</v>
      </c>
      <c r="G405" t="str">
        <f>"2026-01-15 14:35:26.334"</f>
        <v>2026-01-15 14:35:26.334</v>
      </c>
      <c r="H405" t="s">
        <v>21</v>
      </c>
    </row>
    <row r="406" spans="1:10" x14ac:dyDescent="0.25">
      <c r="A406" s="1">
        <v>17</v>
      </c>
      <c r="B406" t="s">
        <v>40</v>
      </c>
      <c r="C406">
        <v>61</v>
      </c>
      <c r="D406">
        <v>2</v>
      </c>
      <c r="E406" t="s">
        <v>41</v>
      </c>
      <c r="F406" t="s">
        <v>42</v>
      </c>
      <c r="G406" t="str">
        <f>"2026-01-15 14:35:13.834"</f>
        <v>2026-01-15 14:35:13.834</v>
      </c>
      <c r="H406" t="s">
        <v>21</v>
      </c>
      <c r="I406">
        <v>36.65</v>
      </c>
      <c r="J406" t="s">
        <v>26</v>
      </c>
    </row>
    <row r="407" spans="1:10" s="3" customFormat="1" x14ac:dyDescent="0.25">
      <c r="A407" s="2">
        <v>18</v>
      </c>
      <c r="B407" s="3" t="s">
        <v>22</v>
      </c>
      <c r="C407" s="3">
        <v>647</v>
      </c>
      <c r="D407" s="3">
        <v>1</v>
      </c>
      <c r="E407" s="3" t="s">
        <v>23</v>
      </c>
      <c r="F407" s="3" t="s">
        <v>24</v>
      </c>
      <c r="G407" s="3" t="str">
        <f>"2026-01-14 22:50:04.614"</f>
        <v>2026-01-14 22:50:04.614</v>
      </c>
      <c r="H407" s="3" t="s">
        <v>21</v>
      </c>
    </row>
    <row r="408" spans="1:10" s="3" customFormat="1" x14ac:dyDescent="0.25">
      <c r="A408" s="2">
        <v>19</v>
      </c>
      <c r="B408" s="3" t="s">
        <v>25</v>
      </c>
      <c r="C408" s="3">
        <v>647</v>
      </c>
      <c r="D408" s="3">
        <v>1</v>
      </c>
      <c r="E408" s="3" t="s">
        <v>23</v>
      </c>
      <c r="F408" s="3" t="s">
        <v>24</v>
      </c>
      <c r="G408" s="3" t="str">
        <f>"2026-01-14 22:49:59.714"</f>
        <v>2026-01-14 22:49:59.714</v>
      </c>
      <c r="H408" s="3" t="s">
        <v>21</v>
      </c>
      <c r="I408" s="3">
        <v>9.57</v>
      </c>
      <c r="J408" s="3" t="s">
        <v>26</v>
      </c>
    </row>
    <row r="409" spans="1:10" x14ac:dyDescent="0.25">
      <c r="A409" s="1">
        <v>20</v>
      </c>
      <c r="B409" t="s">
        <v>19</v>
      </c>
      <c r="C409">
        <v>706</v>
      </c>
      <c r="D409">
        <v>4</v>
      </c>
      <c r="E409" t="s">
        <v>30</v>
      </c>
      <c r="F409" t="s">
        <v>34</v>
      </c>
      <c r="G409" t="str">
        <f>"2026-01-14 21:59:54.959"</f>
        <v>2026-01-14 21:59:54.959</v>
      </c>
      <c r="H409" t="s">
        <v>21</v>
      </c>
      <c r="I409">
        <v>0</v>
      </c>
      <c r="J409" t="s">
        <v>32</v>
      </c>
    </row>
    <row r="410" spans="1:10" x14ac:dyDescent="0.25">
      <c r="A410" s="1">
        <v>21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"2026-01-14 21:59:36.319"</f>
        <v>2026-01-14 21:59:36.319</v>
      </c>
      <c r="H410" t="s">
        <v>21</v>
      </c>
      <c r="I410">
        <v>0</v>
      </c>
      <c r="J410" t="s">
        <v>33</v>
      </c>
    </row>
    <row r="411" spans="1:10" x14ac:dyDescent="0.25">
      <c r="A411" s="1">
        <v>22</v>
      </c>
      <c r="B411" t="s">
        <v>22</v>
      </c>
      <c r="C411">
        <v>61</v>
      </c>
      <c r="D411">
        <v>2</v>
      </c>
      <c r="E411" t="s">
        <v>41</v>
      </c>
      <c r="F411" t="s">
        <v>42</v>
      </c>
      <c r="G411" t="str">
        <f>"2026-01-14 11:26:30.071"</f>
        <v>2026-01-14 11:26:30.071</v>
      </c>
      <c r="H411" t="s">
        <v>21</v>
      </c>
    </row>
    <row r="412" spans="1:10" x14ac:dyDescent="0.25">
      <c r="A412" s="1">
        <v>23</v>
      </c>
      <c r="B412" t="s">
        <v>40</v>
      </c>
      <c r="C412">
        <v>61</v>
      </c>
      <c r="D412">
        <v>2</v>
      </c>
      <c r="E412" t="s">
        <v>41</v>
      </c>
      <c r="F412" t="s">
        <v>42</v>
      </c>
      <c r="G412" t="str">
        <f>"2026-01-14 11:26:16.571"</f>
        <v>2026-01-14 11:26:16.571</v>
      </c>
      <c r="H412" t="s">
        <v>21</v>
      </c>
      <c r="I412">
        <v>36.74</v>
      </c>
      <c r="J412" t="s">
        <v>26</v>
      </c>
    </row>
    <row r="413" spans="1:10" x14ac:dyDescent="0.25">
      <c r="A413" s="1">
        <v>24</v>
      </c>
      <c r="B413" t="s">
        <v>22</v>
      </c>
      <c r="C413">
        <v>635</v>
      </c>
      <c r="D413">
        <v>1</v>
      </c>
      <c r="E413" t="s">
        <v>27</v>
      </c>
      <c r="F413" t="s">
        <v>28</v>
      </c>
      <c r="G413" t="str">
        <f>"2026-01-14 09:50:04.617"</f>
        <v>2026-01-14 09:50:04.617</v>
      </c>
      <c r="H413" t="s">
        <v>21</v>
      </c>
    </row>
    <row r="414" spans="1:10" x14ac:dyDescent="0.25">
      <c r="A414" s="1">
        <v>25</v>
      </c>
      <c r="B414" t="s">
        <v>25</v>
      </c>
      <c r="C414">
        <v>635</v>
      </c>
      <c r="D414">
        <v>1</v>
      </c>
      <c r="E414" t="s">
        <v>27</v>
      </c>
      <c r="F414" t="s">
        <v>28</v>
      </c>
      <c r="G414" t="str">
        <f>"2026-01-14 09:44:36.617"</f>
        <v>2026-01-14 09:44:36.617</v>
      </c>
      <c r="H414" t="s">
        <v>21</v>
      </c>
      <c r="I414">
        <v>0.15</v>
      </c>
      <c r="J414" t="s">
        <v>35</v>
      </c>
    </row>
    <row r="415" spans="1:10" x14ac:dyDescent="0.25">
      <c r="A415" s="1">
        <v>26</v>
      </c>
      <c r="B415" t="s">
        <v>22</v>
      </c>
      <c r="C415">
        <v>635</v>
      </c>
      <c r="D415">
        <v>1</v>
      </c>
      <c r="E415" t="s">
        <v>27</v>
      </c>
      <c r="F415" t="s">
        <v>28</v>
      </c>
      <c r="G415" t="str">
        <f>"2026-01-14 07:48:57.817"</f>
        <v>2026-01-14 07:48:57.817</v>
      </c>
      <c r="H415" t="s">
        <v>21</v>
      </c>
    </row>
    <row r="416" spans="1:10" x14ac:dyDescent="0.25">
      <c r="A416" s="1">
        <v>27</v>
      </c>
      <c r="B416" t="s">
        <v>25</v>
      </c>
      <c r="C416">
        <v>635</v>
      </c>
      <c r="D416">
        <v>1</v>
      </c>
      <c r="E416" t="s">
        <v>27</v>
      </c>
      <c r="F416" t="s">
        <v>28</v>
      </c>
      <c r="G416" t="str">
        <f>"2026-01-14 07:45:26.317"</f>
        <v>2026-01-14 07:45:26.317</v>
      </c>
      <c r="H416" t="s">
        <v>21</v>
      </c>
      <c r="I416">
        <v>2.46</v>
      </c>
      <c r="J416" t="s">
        <v>26</v>
      </c>
    </row>
    <row r="417" spans="1:10" s="3" customFormat="1" x14ac:dyDescent="0.25">
      <c r="A417" s="2">
        <v>28</v>
      </c>
      <c r="B417" s="3" t="s">
        <v>22</v>
      </c>
      <c r="C417" s="3">
        <v>647</v>
      </c>
      <c r="D417" s="3">
        <v>1</v>
      </c>
      <c r="E417" s="3" t="s">
        <v>23</v>
      </c>
      <c r="F417" s="3" t="s">
        <v>24</v>
      </c>
      <c r="G417" s="3" t="str">
        <f>"2026-01-13 20:45:35.072"</f>
        <v>2026-01-13 20:45:35.072</v>
      </c>
      <c r="H417" s="3" t="s">
        <v>21</v>
      </c>
    </row>
    <row r="418" spans="1:10" s="3" customFormat="1" x14ac:dyDescent="0.25">
      <c r="A418" s="2">
        <v>29</v>
      </c>
      <c r="B418" s="3" t="s">
        <v>25</v>
      </c>
      <c r="C418" s="3">
        <v>647</v>
      </c>
      <c r="D418" s="3">
        <v>1</v>
      </c>
      <c r="E418" s="3" t="s">
        <v>23</v>
      </c>
      <c r="F418" s="3" t="s">
        <v>24</v>
      </c>
      <c r="G418" s="3" t="str">
        <f>"2026-01-13 20:45:33.771"</f>
        <v>2026-01-13 20:45:33.771</v>
      </c>
      <c r="H418" s="3" t="s">
        <v>21</v>
      </c>
      <c r="I418" s="3">
        <v>19.43</v>
      </c>
      <c r="J418" s="3" t="s">
        <v>26</v>
      </c>
    </row>
    <row r="419" spans="1:10" s="3" customFormat="1" x14ac:dyDescent="0.25">
      <c r="A419" s="2">
        <v>30</v>
      </c>
      <c r="B419" s="3" t="s">
        <v>22</v>
      </c>
      <c r="C419" s="3">
        <v>647</v>
      </c>
      <c r="D419" s="3">
        <v>1</v>
      </c>
      <c r="E419" s="3" t="s">
        <v>23</v>
      </c>
      <c r="F419" s="3" t="s">
        <v>24</v>
      </c>
      <c r="G419" s="3" t="str">
        <f>"2026-01-13 15:33:35.571"</f>
        <v>2026-01-13 15:33:35.571</v>
      </c>
      <c r="H419" s="3" t="s">
        <v>21</v>
      </c>
    </row>
    <row r="420" spans="1:10" s="3" customFormat="1" x14ac:dyDescent="0.25">
      <c r="A420" s="2">
        <v>31</v>
      </c>
      <c r="B420" s="3" t="s">
        <v>25</v>
      </c>
      <c r="C420" s="3">
        <v>647</v>
      </c>
      <c r="D420" s="3">
        <v>1</v>
      </c>
      <c r="E420" s="3" t="s">
        <v>23</v>
      </c>
      <c r="F420" s="3" t="s">
        <v>24</v>
      </c>
      <c r="G420" s="3" t="str">
        <f>"2026-01-13 15:33:31.272"</f>
        <v>2026-01-13 15:33:31.272</v>
      </c>
      <c r="H420" s="3" t="s">
        <v>21</v>
      </c>
      <c r="I420" s="3">
        <v>8.84</v>
      </c>
      <c r="J420" s="3" t="s">
        <v>26</v>
      </c>
    </row>
    <row r="421" spans="1:10" x14ac:dyDescent="0.25">
      <c r="A421" s="1">
        <v>32</v>
      </c>
      <c r="B421" t="s">
        <v>22</v>
      </c>
      <c r="C421">
        <v>635</v>
      </c>
      <c r="D421">
        <v>1</v>
      </c>
      <c r="E421" t="s">
        <v>27</v>
      </c>
      <c r="F421" t="s">
        <v>28</v>
      </c>
      <c r="G421" t="str">
        <f>"2026-01-12 15:19:02.617"</f>
        <v>2026-01-12 15:19:02.617</v>
      </c>
      <c r="H421" t="s">
        <v>21</v>
      </c>
    </row>
    <row r="422" spans="1:10" x14ac:dyDescent="0.25">
      <c r="A422" s="1">
        <v>33</v>
      </c>
      <c r="B422" t="s">
        <v>25</v>
      </c>
      <c r="C422">
        <v>635</v>
      </c>
      <c r="D422">
        <v>1</v>
      </c>
      <c r="E422" t="s">
        <v>27</v>
      </c>
      <c r="F422" t="s">
        <v>28</v>
      </c>
      <c r="G422" t="str">
        <f>"2026-01-12 15:16:06.117"</f>
        <v>2026-01-12 15:16:06.117</v>
      </c>
      <c r="H422" t="s">
        <v>21</v>
      </c>
      <c r="I422">
        <v>-0.63</v>
      </c>
      <c r="J422" t="s">
        <v>35</v>
      </c>
    </row>
    <row r="423" spans="1:10" x14ac:dyDescent="0.25">
      <c r="A423" s="1">
        <v>34</v>
      </c>
      <c r="B423" t="s">
        <v>19</v>
      </c>
      <c r="C423">
        <v>706</v>
      </c>
      <c r="D423">
        <v>2</v>
      </c>
      <c r="E423" t="s">
        <v>30</v>
      </c>
      <c r="F423" t="s">
        <v>31</v>
      </c>
      <c r="G423" t="str">
        <f>"2026-01-11 11:00:28.405"</f>
        <v>2026-01-11 11:00:28.405</v>
      </c>
      <c r="H423" t="s">
        <v>21</v>
      </c>
      <c r="I423">
        <v>0</v>
      </c>
      <c r="J423" t="s">
        <v>32</v>
      </c>
    </row>
    <row r="424" spans="1:10" x14ac:dyDescent="0.25">
      <c r="A424" s="1">
        <v>37</v>
      </c>
      <c r="B424" t="s">
        <v>22</v>
      </c>
      <c r="C424">
        <v>635</v>
      </c>
      <c r="D424">
        <v>1</v>
      </c>
      <c r="E424" t="s">
        <v>27</v>
      </c>
      <c r="F424" t="s">
        <v>28</v>
      </c>
      <c r="G424" t="str">
        <f>"2026-01-10 08:19:23.817"</f>
        <v>2026-01-10 08:19:23.817</v>
      </c>
      <c r="H424" t="s">
        <v>21</v>
      </c>
    </row>
    <row r="425" spans="1:10" x14ac:dyDescent="0.25">
      <c r="A425" s="1">
        <v>38</v>
      </c>
      <c r="B425" t="s">
        <v>25</v>
      </c>
      <c r="C425">
        <v>635</v>
      </c>
      <c r="D425">
        <v>1</v>
      </c>
      <c r="E425" t="s">
        <v>27</v>
      </c>
      <c r="F425" t="s">
        <v>28</v>
      </c>
      <c r="G425" t="str">
        <f>"2026-01-10 08:16:14.317"</f>
        <v>2026-01-10 08:16:14.317</v>
      </c>
      <c r="H425" t="s">
        <v>21</v>
      </c>
      <c r="I425">
        <v>3.06</v>
      </c>
      <c r="J425" t="s">
        <v>26</v>
      </c>
    </row>
    <row r="426" spans="1:10" s="3" customFormat="1" x14ac:dyDescent="0.25">
      <c r="A426" s="2">
        <v>39</v>
      </c>
      <c r="B426" s="3" t="s">
        <v>22</v>
      </c>
      <c r="C426" s="3">
        <v>647</v>
      </c>
      <c r="D426" s="3">
        <v>1</v>
      </c>
      <c r="E426" s="3" t="s">
        <v>23</v>
      </c>
      <c r="F426" s="3" t="s">
        <v>24</v>
      </c>
      <c r="G426" s="3" t="str">
        <f>"2026-01-09 23:24:31.871"</f>
        <v>2026-01-09 23:24:31.871</v>
      </c>
      <c r="H426" s="3" t="s">
        <v>21</v>
      </c>
    </row>
    <row r="427" spans="1:10" s="3" customFormat="1" x14ac:dyDescent="0.25">
      <c r="A427" s="2">
        <v>40</v>
      </c>
      <c r="B427" s="3" t="s">
        <v>25</v>
      </c>
      <c r="C427" s="3">
        <v>647</v>
      </c>
      <c r="D427" s="3">
        <v>1</v>
      </c>
      <c r="E427" s="3" t="s">
        <v>23</v>
      </c>
      <c r="F427" s="3" t="s">
        <v>24</v>
      </c>
      <c r="G427" s="3" t="str">
        <f>"2026-01-09 23:24:30.371"</f>
        <v>2026-01-09 23:24:30.371</v>
      </c>
      <c r="H427" s="3" t="s">
        <v>21</v>
      </c>
      <c r="I427" s="3">
        <v>10.6</v>
      </c>
      <c r="J427" s="3" t="s">
        <v>26</v>
      </c>
    </row>
    <row r="428" spans="1:10" x14ac:dyDescent="0.25">
      <c r="A428" s="1">
        <v>41</v>
      </c>
      <c r="B428" t="s">
        <v>22</v>
      </c>
      <c r="C428">
        <v>61</v>
      </c>
      <c r="D428">
        <v>2</v>
      </c>
      <c r="E428" t="s">
        <v>41</v>
      </c>
      <c r="F428" t="s">
        <v>42</v>
      </c>
      <c r="G428" t="str">
        <f>"2026-01-09 14:52:21.371"</f>
        <v>2026-01-09 14:52:21.371</v>
      </c>
      <c r="H428" t="s">
        <v>21</v>
      </c>
    </row>
    <row r="429" spans="1:10" x14ac:dyDescent="0.25">
      <c r="A429" s="1">
        <v>42</v>
      </c>
      <c r="B429" t="s">
        <v>40</v>
      </c>
      <c r="C429">
        <v>61</v>
      </c>
      <c r="D429">
        <v>2</v>
      </c>
      <c r="E429" t="s">
        <v>41</v>
      </c>
      <c r="F429" t="s">
        <v>42</v>
      </c>
      <c r="G429" t="str">
        <f>"2026-01-09 14:52:08.771"</f>
        <v>2026-01-09 14:52:08.771</v>
      </c>
      <c r="H429" t="s">
        <v>21</v>
      </c>
      <c r="I429">
        <v>37.71</v>
      </c>
      <c r="J429" t="s">
        <v>26</v>
      </c>
    </row>
    <row r="430" spans="1:10" x14ac:dyDescent="0.25">
      <c r="A430" s="1">
        <v>43</v>
      </c>
      <c r="B430" t="s">
        <v>22</v>
      </c>
      <c r="C430">
        <v>635</v>
      </c>
      <c r="D430">
        <v>1</v>
      </c>
      <c r="E430" t="s">
        <v>27</v>
      </c>
      <c r="F430" t="s">
        <v>28</v>
      </c>
      <c r="G430" t="str">
        <f>"2026-01-09 01:23:38.217"</f>
        <v>2026-01-09 01:23:38.217</v>
      </c>
      <c r="H430" t="s">
        <v>21</v>
      </c>
    </row>
    <row r="431" spans="1:10" x14ac:dyDescent="0.25">
      <c r="A431" s="1">
        <v>44</v>
      </c>
      <c r="B431" t="s">
        <v>25</v>
      </c>
      <c r="C431">
        <v>635</v>
      </c>
      <c r="D431">
        <v>1</v>
      </c>
      <c r="E431" t="s">
        <v>27</v>
      </c>
      <c r="F431" t="s">
        <v>28</v>
      </c>
      <c r="G431" t="str">
        <f>"2026-01-09 00:49:29.217"</f>
        <v>2026-01-09 00:49:29.217</v>
      </c>
      <c r="H431" t="s">
        <v>21</v>
      </c>
      <c r="I431">
        <v>8.7100000000000009</v>
      </c>
      <c r="J431" t="s">
        <v>26</v>
      </c>
    </row>
    <row r="432" spans="1:10" x14ac:dyDescent="0.25">
      <c r="A432" s="1">
        <v>45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"2026-01-08 16:55:14.035"</f>
        <v>2026-01-08 16:55:14.035</v>
      </c>
      <c r="H432" t="s">
        <v>21</v>
      </c>
      <c r="I432">
        <v>0</v>
      </c>
      <c r="J432" t="s">
        <v>33</v>
      </c>
    </row>
    <row r="433" spans="1:10" x14ac:dyDescent="0.25">
      <c r="A433" s="1">
        <v>46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"2026-01-08 16:49:23.042"</f>
        <v>2026-01-08 16:49:23.042</v>
      </c>
      <c r="H433" t="s">
        <v>21</v>
      </c>
    </row>
    <row r="434" spans="1:10" x14ac:dyDescent="0.25">
      <c r="A434" s="1">
        <v>47</v>
      </c>
      <c r="B434" t="s">
        <v>19</v>
      </c>
      <c r="C434">
        <v>706</v>
      </c>
      <c r="D434">
        <v>4</v>
      </c>
      <c r="E434" t="s">
        <v>30</v>
      </c>
      <c r="F434" t="s">
        <v>34</v>
      </c>
      <c r="G434" t="str">
        <f>"2026-01-08 16:45:18.556"</f>
        <v>2026-01-08 16:45:18.556</v>
      </c>
      <c r="H434" t="s">
        <v>21</v>
      </c>
      <c r="I434">
        <v>0</v>
      </c>
      <c r="J434" t="s">
        <v>32</v>
      </c>
    </row>
    <row r="435" spans="1:10" x14ac:dyDescent="0.25">
      <c r="A435" s="1">
        <v>48</v>
      </c>
      <c r="B435" t="s">
        <v>19</v>
      </c>
      <c r="C435">
        <v>706</v>
      </c>
      <c r="D435">
        <v>3</v>
      </c>
      <c r="E435" t="s">
        <v>30</v>
      </c>
      <c r="F435" t="s">
        <v>36</v>
      </c>
      <c r="G435" t="str">
        <f>"2026-01-08 16:45:09.496"</f>
        <v>2026-01-08 16:45:09.496</v>
      </c>
      <c r="H435" t="s">
        <v>21</v>
      </c>
      <c r="I435">
        <v>0</v>
      </c>
      <c r="J435" t="s">
        <v>32</v>
      </c>
    </row>
    <row r="436" spans="1:10" x14ac:dyDescent="0.25">
      <c r="A436" s="1">
        <v>49</v>
      </c>
      <c r="B436" t="s">
        <v>19</v>
      </c>
      <c r="C436">
        <v>706</v>
      </c>
      <c r="D436">
        <v>2</v>
      </c>
      <c r="E436" t="s">
        <v>30</v>
      </c>
      <c r="F436" t="s">
        <v>31</v>
      </c>
      <c r="G436" t="str">
        <f>"2026-01-08 10:36:19.396"</f>
        <v>2026-01-08 10:36:19.396</v>
      </c>
      <c r="H436" t="s">
        <v>21</v>
      </c>
      <c r="I436">
        <v>0</v>
      </c>
      <c r="J436" t="s">
        <v>32</v>
      </c>
    </row>
    <row r="437" spans="1:10" x14ac:dyDescent="0.25">
      <c r="A437" s="1">
        <v>50</v>
      </c>
      <c r="B437" t="s">
        <v>19</v>
      </c>
      <c r="C437">
        <v>706</v>
      </c>
      <c r="D437">
        <v>2</v>
      </c>
      <c r="E437" t="s">
        <v>30</v>
      </c>
      <c r="F437" t="s">
        <v>31</v>
      </c>
      <c r="G437" t="str">
        <f>"2026-01-08 10:30:48.596"</f>
        <v>2026-01-08 10:30:48.596</v>
      </c>
      <c r="H437" t="s">
        <v>21</v>
      </c>
      <c r="I437">
        <v>0</v>
      </c>
      <c r="J437" t="s">
        <v>32</v>
      </c>
    </row>
    <row r="438" spans="1:10" x14ac:dyDescent="0.25">
      <c r="A438" s="1">
        <v>51</v>
      </c>
      <c r="B438" t="s">
        <v>19</v>
      </c>
      <c r="C438">
        <v>706</v>
      </c>
      <c r="D438">
        <v>2</v>
      </c>
      <c r="E438" t="s">
        <v>30</v>
      </c>
      <c r="F438" t="s">
        <v>31</v>
      </c>
      <c r="G438" t="str">
        <f>"2026-01-08 10:30:38.396"</f>
        <v>2026-01-08 10:30:38.396</v>
      </c>
      <c r="H438" t="s">
        <v>21</v>
      </c>
      <c r="I438">
        <v>0</v>
      </c>
      <c r="J438" t="s">
        <v>32</v>
      </c>
    </row>
    <row r="439" spans="1:10" x14ac:dyDescent="0.25">
      <c r="A439" s="1">
        <v>52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"2026-01-08 09:20:59.436"</f>
        <v>2026-01-08 09:20:59.436</v>
      </c>
      <c r="H439" t="s">
        <v>21</v>
      </c>
      <c r="I439">
        <v>0</v>
      </c>
      <c r="J439" t="s">
        <v>33</v>
      </c>
    </row>
    <row r="440" spans="1:10" s="3" customFormat="1" x14ac:dyDescent="0.25">
      <c r="A440" s="2">
        <v>53</v>
      </c>
      <c r="B440" s="3" t="s">
        <v>22</v>
      </c>
      <c r="C440" s="3">
        <v>647</v>
      </c>
      <c r="D440" s="3">
        <v>1</v>
      </c>
      <c r="E440" s="3" t="s">
        <v>23</v>
      </c>
      <c r="F440" s="3" t="s">
        <v>24</v>
      </c>
      <c r="G440" s="3" t="str">
        <f>"2026-01-08 06:06:04.186"</f>
        <v>2026-01-08 06:06:04.186</v>
      </c>
      <c r="H440" s="3" t="s">
        <v>21</v>
      </c>
    </row>
    <row r="441" spans="1:10" s="3" customFormat="1" x14ac:dyDescent="0.25">
      <c r="A441" s="2">
        <v>54</v>
      </c>
      <c r="B441" s="3" t="s">
        <v>25</v>
      </c>
      <c r="C441" s="3">
        <v>647</v>
      </c>
      <c r="D441" s="3">
        <v>1</v>
      </c>
      <c r="E441" s="3" t="s">
        <v>23</v>
      </c>
      <c r="F441" s="3" t="s">
        <v>24</v>
      </c>
      <c r="G441" s="3" t="str">
        <f>"2026-01-08 06:05:58.686"</f>
        <v>2026-01-08 06:05:58.686</v>
      </c>
      <c r="H441" s="3" t="s">
        <v>21</v>
      </c>
      <c r="I441" s="3">
        <v>18.07</v>
      </c>
      <c r="J441" s="3" t="s">
        <v>26</v>
      </c>
    </row>
    <row r="442" spans="1:10" x14ac:dyDescent="0.25">
      <c r="A442" s="1">
        <v>55</v>
      </c>
      <c r="B442" t="s">
        <v>22</v>
      </c>
      <c r="C442">
        <v>635</v>
      </c>
      <c r="D442">
        <v>1</v>
      </c>
      <c r="E442" t="s">
        <v>27</v>
      </c>
      <c r="F442" t="s">
        <v>28</v>
      </c>
      <c r="G442" t="str">
        <f>"2026-01-08 05:22:14.485"</f>
        <v>2026-01-08 05:22:14.485</v>
      </c>
      <c r="H442" t="s">
        <v>21</v>
      </c>
    </row>
    <row r="443" spans="1:10" x14ac:dyDescent="0.25">
      <c r="A443" s="1">
        <v>56</v>
      </c>
      <c r="B443" t="s">
        <v>25</v>
      </c>
      <c r="C443">
        <v>635</v>
      </c>
      <c r="D443">
        <v>1</v>
      </c>
      <c r="E443" t="s">
        <v>27</v>
      </c>
      <c r="F443" t="s">
        <v>28</v>
      </c>
      <c r="G443" t="str">
        <f>"2026-01-08 05:18:43.986"</f>
        <v>2026-01-08 05:18:43.986</v>
      </c>
      <c r="H443" t="s">
        <v>21</v>
      </c>
      <c r="I443">
        <v>7.42</v>
      </c>
      <c r="J443" t="s">
        <v>29</v>
      </c>
    </row>
    <row r="444" spans="1:10" x14ac:dyDescent="0.25">
      <c r="A444" s="1">
        <v>57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"2026-01-07 13:11:49.257"</f>
        <v>2026-01-07 13:11:49.257</v>
      </c>
      <c r="H444" t="s">
        <v>21</v>
      </c>
      <c r="I444">
        <v>0</v>
      </c>
      <c r="J444" t="s">
        <v>33</v>
      </c>
    </row>
    <row r="445" spans="1:10" x14ac:dyDescent="0.25">
      <c r="A445" s="1">
        <v>58</v>
      </c>
      <c r="B445" t="s">
        <v>19</v>
      </c>
      <c r="C445">
        <v>706</v>
      </c>
      <c r="D445">
        <v>4</v>
      </c>
      <c r="E445" t="s">
        <v>30</v>
      </c>
      <c r="F445" t="s">
        <v>34</v>
      </c>
      <c r="G445" t="str">
        <f>"2026-01-07 09:01:54.881"</f>
        <v>2026-01-07 09:01:54.881</v>
      </c>
      <c r="H445" t="s">
        <v>21</v>
      </c>
      <c r="I445">
        <v>0</v>
      </c>
      <c r="J445" t="s">
        <v>32</v>
      </c>
    </row>
    <row r="446" spans="1:10" x14ac:dyDescent="0.25">
      <c r="A446" s="1">
        <v>59</v>
      </c>
      <c r="B446" t="s">
        <v>22</v>
      </c>
      <c r="C446">
        <v>61</v>
      </c>
      <c r="D446">
        <v>2</v>
      </c>
      <c r="E446" t="s">
        <v>41</v>
      </c>
      <c r="F446" t="s">
        <v>42</v>
      </c>
      <c r="G446" t="str">
        <f>"2026-01-07 05:16:58.070"</f>
        <v>2026-01-07 05:16:58.070</v>
      </c>
      <c r="H446" t="s">
        <v>21</v>
      </c>
    </row>
    <row r="447" spans="1:10" x14ac:dyDescent="0.25">
      <c r="A447" s="1">
        <v>60</v>
      </c>
      <c r="B447" t="s">
        <v>40</v>
      </c>
      <c r="C447">
        <v>61</v>
      </c>
      <c r="D447">
        <v>2</v>
      </c>
      <c r="E447" t="s">
        <v>41</v>
      </c>
      <c r="F447" t="s">
        <v>42</v>
      </c>
      <c r="G447" t="str">
        <f>"2026-01-07 05:16:50.271"</f>
        <v>2026-01-07 05:16:50.271</v>
      </c>
      <c r="H447" t="s">
        <v>21</v>
      </c>
      <c r="I447">
        <v>35.14</v>
      </c>
      <c r="J447" t="s">
        <v>26</v>
      </c>
    </row>
    <row r="448" spans="1:10" s="3" customFormat="1" x14ac:dyDescent="0.25">
      <c r="A448" s="2">
        <v>61</v>
      </c>
      <c r="B448" s="3" t="s">
        <v>22</v>
      </c>
      <c r="C448" s="3">
        <v>647</v>
      </c>
      <c r="D448" s="3">
        <v>1</v>
      </c>
      <c r="E448" s="3" t="s">
        <v>23</v>
      </c>
      <c r="F448" s="3" t="s">
        <v>24</v>
      </c>
      <c r="G448" s="3" t="str">
        <f>"2026-01-07 03:45:09.558"</f>
        <v>2026-01-07 03:45:09.558</v>
      </c>
      <c r="H448" s="3" t="s">
        <v>21</v>
      </c>
    </row>
    <row r="449" spans="1:10" s="3" customFormat="1" x14ac:dyDescent="0.25">
      <c r="A449" s="2">
        <v>62</v>
      </c>
      <c r="B449" s="3" t="s">
        <v>25</v>
      </c>
      <c r="C449" s="3">
        <v>647</v>
      </c>
      <c r="D449" s="3">
        <v>1</v>
      </c>
      <c r="E449" s="3" t="s">
        <v>23</v>
      </c>
      <c r="F449" s="3" t="s">
        <v>24</v>
      </c>
      <c r="G449" s="3" t="str">
        <f>"2026-01-07 03:44:54.458"</f>
        <v>2026-01-07 03:44:54.458</v>
      </c>
      <c r="H449" s="3" t="s">
        <v>21</v>
      </c>
      <c r="I449" s="3">
        <v>12.26</v>
      </c>
      <c r="J449" s="3" t="s">
        <v>26</v>
      </c>
    </row>
    <row r="450" spans="1:10" x14ac:dyDescent="0.25">
      <c r="A450" s="1">
        <v>63</v>
      </c>
      <c r="B450" t="s">
        <v>19</v>
      </c>
      <c r="C450">
        <v>706</v>
      </c>
      <c r="D450">
        <v>4</v>
      </c>
      <c r="E450" t="s">
        <v>30</v>
      </c>
      <c r="F450" t="s">
        <v>34</v>
      </c>
      <c r="G450" t="str">
        <f>"2026-01-05 19:59:30.641"</f>
        <v>2026-01-05 19:59:30.641</v>
      </c>
      <c r="H450" t="s">
        <v>21</v>
      </c>
      <c r="I450">
        <v>0</v>
      </c>
      <c r="J450" t="s">
        <v>32</v>
      </c>
    </row>
    <row r="451" spans="1:10" x14ac:dyDescent="0.25">
      <c r="A451" s="1">
        <v>64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"2026-01-05 19:54:03.021"</f>
        <v>2026-01-05 19:54:03.021</v>
      </c>
      <c r="H451" t="s">
        <v>21</v>
      </c>
    </row>
    <row r="452" spans="1:10" s="3" customFormat="1" x14ac:dyDescent="0.25">
      <c r="A452" s="2">
        <v>65</v>
      </c>
      <c r="B452" s="3" t="s">
        <v>22</v>
      </c>
      <c r="C452" s="3">
        <v>647</v>
      </c>
      <c r="D452" s="3">
        <v>1</v>
      </c>
      <c r="E452" s="3" t="s">
        <v>23</v>
      </c>
      <c r="F452" s="3" t="s">
        <v>24</v>
      </c>
      <c r="G452" s="3" t="str">
        <f>"2026-01-04 19:25:11.118"</f>
        <v>2026-01-04 19:25:11.118</v>
      </c>
      <c r="H452" s="3" t="s">
        <v>21</v>
      </c>
    </row>
    <row r="453" spans="1:10" s="3" customFormat="1" x14ac:dyDescent="0.25">
      <c r="A453" s="2">
        <v>66</v>
      </c>
      <c r="B453" s="3" t="s">
        <v>25</v>
      </c>
      <c r="C453" s="3">
        <v>647</v>
      </c>
      <c r="D453" s="3">
        <v>1</v>
      </c>
      <c r="E453" s="3" t="s">
        <v>23</v>
      </c>
      <c r="F453" s="3" t="s">
        <v>24</v>
      </c>
      <c r="G453" s="3" t="str">
        <f>"2026-01-04 19:25:03.918"</f>
        <v>2026-01-04 19:25:03.918</v>
      </c>
      <c r="H453" s="3" t="s">
        <v>21</v>
      </c>
      <c r="I453" s="3">
        <v>11.18</v>
      </c>
      <c r="J453" s="3" t="s">
        <v>35</v>
      </c>
    </row>
    <row r="454" spans="1:10" s="3" customFormat="1" x14ac:dyDescent="0.25">
      <c r="A454" s="2">
        <v>67</v>
      </c>
      <c r="B454" s="3" t="s">
        <v>22</v>
      </c>
      <c r="C454" s="3">
        <v>647</v>
      </c>
      <c r="D454" s="3">
        <v>1</v>
      </c>
      <c r="E454" s="3" t="s">
        <v>23</v>
      </c>
      <c r="F454" s="3" t="s">
        <v>24</v>
      </c>
      <c r="G454" s="3" t="str">
        <f>"2026-01-03 17:45:11.318"</f>
        <v>2026-01-03 17:45:11.318</v>
      </c>
      <c r="H454" s="3" t="s">
        <v>21</v>
      </c>
    </row>
    <row r="455" spans="1:10" s="3" customFormat="1" x14ac:dyDescent="0.25">
      <c r="A455" s="2">
        <v>68</v>
      </c>
      <c r="B455" s="3" t="s">
        <v>25</v>
      </c>
      <c r="C455" s="3">
        <v>647</v>
      </c>
      <c r="D455" s="3">
        <v>1</v>
      </c>
      <c r="E455" s="3" t="s">
        <v>23</v>
      </c>
      <c r="F455" s="3" t="s">
        <v>24</v>
      </c>
      <c r="G455" s="3" t="str">
        <f>"2026-01-03 17:45:09.018"</f>
        <v>2026-01-03 17:45:09.018</v>
      </c>
      <c r="H455" s="3" t="s">
        <v>21</v>
      </c>
      <c r="I455" s="3">
        <v>9.23</v>
      </c>
      <c r="J455" s="3" t="s">
        <v>26</v>
      </c>
    </row>
    <row r="456" spans="1:10" s="3" customFormat="1" x14ac:dyDescent="0.25">
      <c r="A456" s="2">
        <v>69</v>
      </c>
      <c r="B456" s="3" t="s">
        <v>22</v>
      </c>
      <c r="C456" s="3">
        <v>647</v>
      </c>
      <c r="D456" s="3">
        <v>1</v>
      </c>
      <c r="E456" s="3" t="s">
        <v>23</v>
      </c>
      <c r="F456" s="3" t="s">
        <v>24</v>
      </c>
      <c r="G456" s="3" t="str">
        <f>"2026-01-02 21:23:09.319"</f>
        <v>2026-01-02 21:23:09.319</v>
      </c>
      <c r="H456" s="3" t="s">
        <v>21</v>
      </c>
    </row>
    <row r="457" spans="1:10" s="3" customFormat="1" x14ac:dyDescent="0.25">
      <c r="A457" s="2">
        <v>70</v>
      </c>
      <c r="B457" s="3" t="s">
        <v>25</v>
      </c>
      <c r="C457" s="3">
        <v>647</v>
      </c>
      <c r="D457" s="3">
        <v>1</v>
      </c>
      <c r="E457" s="3" t="s">
        <v>23</v>
      </c>
      <c r="F457" s="3" t="s">
        <v>24</v>
      </c>
      <c r="G457" s="3" t="str">
        <f>"2026-01-02 21:23:06.918"</f>
        <v>2026-01-02 21:23:06.918</v>
      </c>
      <c r="H457" s="3" t="s">
        <v>21</v>
      </c>
      <c r="I457" s="3">
        <v>12.89</v>
      </c>
      <c r="J457" s="3" t="s">
        <v>26</v>
      </c>
    </row>
    <row r="458" spans="1:10" x14ac:dyDescent="0.25">
      <c r="A458" s="1">
        <v>75</v>
      </c>
      <c r="B458" t="s">
        <v>22</v>
      </c>
      <c r="C458">
        <v>61</v>
      </c>
      <c r="D458">
        <v>2</v>
      </c>
      <c r="E458" t="s">
        <v>41</v>
      </c>
      <c r="F458" t="s">
        <v>42</v>
      </c>
      <c r="G458" t="str">
        <f>"2026-01-02 19:09:51.439"</f>
        <v>2026-01-02 19:09:51.439</v>
      </c>
      <c r="H458" t="s">
        <v>21</v>
      </c>
    </row>
    <row r="459" spans="1:10" x14ac:dyDescent="0.25">
      <c r="A459" s="1">
        <v>76</v>
      </c>
      <c r="B459" t="s">
        <v>40</v>
      </c>
      <c r="C459">
        <v>61</v>
      </c>
      <c r="D459">
        <v>2</v>
      </c>
      <c r="E459" t="s">
        <v>41</v>
      </c>
      <c r="F459" t="s">
        <v>42</v>
      </c>
      <c r="G459" t="str">
        <f>"2026-01-02 19:09:42.139"</f>
        <v>2026-01-02 19:09:42.139</v>
      </c>
      <c r="H459" t="s">
        <v>21</v>
      </c>
      <c r="I459">
        <v>35.85</v>
      </c>
      <c r="J459" t="s">
        <v>26</v>
      </c>
    </row>
    <row r="460" spans="1:10" s="3" customFormat="1" x14ac:dyDescent="0.25">
      <c r="A460" s="2">
        <v>77</v>
      </c>
      <c r="B460" s="3" t="s">
        <v>22</v>
      </c>
      <c r="C460" s="3">
        <v>647</v>
      </c>
      <c r="D460" s="3">
        <v>1</v>
      </c>
      <c r="E460" s="3" t="s">
        <v>23</v>
      </c>
      <c r="F460" s="3" t="s">
        <v>24</v>
      </c>
      <c r="G460" s="3" t="str">
        <f>"2026-01-02 02:44:45.018"</f>
        <v>2026-01-02 02:44:45.018</v>
      </c>
      <c r="H460" s="3" t="s">
        <v>21</v>
      </c>
    </row>
    <row r="461" spans="1:10" s="3" customFormat="1" x14ac:dyDescent="0.25">
      <c r="A461" s="2">
        <v>78</v>
      </c>
      <c r="B461" s="3" t="s">
        <v>25</v>
      </c>
      <c r="C461" s="3">
        <v>647</v>
      </c>
      <c r="D461" s="3">
        <v>1</v>
      </c>
      <c r="E461" s="3" t="s">
        <v>23</v>
      </c>
      <c r="F461" s="3" t="s">
        <v>24</v>
      </c>
      <c r="G461" s="3" t="str">
        <f>"2026-01-02 02:44:42.819"</f>
        <v>2026-01-02 02:44:42.819</v>
      </c>
      <c r="H461" s="3" t="s">
        <v>21</v>
      </c>
      <c r="I461" s="3">
        <v>11.83</v>
      </c>
      <c r="J461" s="3" t="s">
        <v>26</v>
      </c>
    </row>
    <row r="462" spans="1:10" s="3" customFormat="1" x14ac:dyDescent="0.25">
      <c r="A462" s="2">
        <v>83</v>
      </c>
      <c r="B462" s="3" t="s">
        <v>22</v>
      </c>
      <c r="C462" s="3">
        <v>647</v>
      </c>
      <c r="D462" s="3">
        <v>1</v>
      </c>
      <c r="E462" s="3" t="s">
        <v>23</v>
      </c>
      <c r="F462" s="3" t="s">
        <v>24</v>
      </c>
      <c r="G462" s="3" t="str">
        <f>"2026-01-02 00:57:15.219"</f>
        <v>2026-01-02 00:57:15.219</v>
      </c>
      <c r="H462" s="3" t="s">
        <v>21</v>
      </c>
    </row>
    <row r="463" spans="1:10" s="3" customFormat="1" x14ac:dyDescent="0.25">
      <c r="A463" s="2">
        <v>84</v>
      </c>
      <c r="B463" s="3" t="s">
        <v>25</v>
      </c>
      <c r="C463" s="3">
        <v>647</v>
      </c>
      <c r="D463" s="3">
        <v>1</v>
      </c>
      <c r="E463" s="3" t="s">
        <v>23</v>
      </c>
      <c r="F463" s="3" t="s">
        <v>24</v>
      </c>
      <c r="G463" s="3" t="str">
        <f>"2026-01-02 00:57:09.819"</f>
        <v>2026-01-02 00:57:09.819</v>
      </c>
      <c r="H463" s="3" t="s">
        <v>21</v>
      </c>
      <c r="I463" s="3">
        <v>15.88</v>
      </c>
      <c r="J463" s="3" t="s">
        <v>26</v>
      </c>
    </row>
    <row r="464" spans="1:10" x14ac:dyDescent="0.25">
      <c r="A464" s="1">
        <v>85</v>
      </c>
      <c r="B464" t="s">
        <v>22</v>
      </c>
      <c r="C464">
        <v>635</v>
      </c>
      <c r="D464">
        <v>1</v>
      </c>
      <c r="E464" t="s">
        <v>27</v>
      </c>
      <c r="F464" t="s">
        <v>28</v>
      </c>
      <c r="G464" t="str">
        <f>"2026-01-01 23:56:11.918"</f>
        <v>2026-01-01 23:56:11.918</v>
      </c>
      <c r="H464" t="s">
        <v>21</v>
      </c>
    </row>
    <row r="465" spans="1:10" x14ac:dyDescent="0.25">
      <c r="A465" s="1">
        <v>86</v>
      </c>
      <c r="B465" t="s">
        <v>25</v>
      </c>
      <c r="C465">
        <v>635</v>
      </c>
      <c r="D465">
        <v>1</v>
      </c>
      <c r="E465" t="s">
        <v>27</v>
      </c>
      <c r="F465" t="s">
        <v>28</v>
      </c>
      <c r="G465" t="str">
        <f>"2026-01-01 23:51:54.918"</f>
        <v>2026-01-01 23:51:54.918</v>
      </c>
      <c r="H465" t="s">
        <v>21</v>
      </c>
      <c r="I465">
        <v>7.82</v>
      </c>
      <c r="J465" t="s">
        <v>26</v>
      </c>
    </row>
    <row r="466" spans="1:10" x14ac:dyDescent="0.25">
      <c r="A466" s="1">
        <v>99</v>
      </c>
      <c r="B466" t="s">
        <v>22</v>
      </c>
      <c r="C466">
        <v>635</v>
      </c>
      <c r="D466">
        <v>1</v>
      </c>
      <c r="E466" t="s">
        <v>27</v>
      </c>
      <c r="F466" t="s">
        <v>28</v>
      </c>
      <c r="G466" t="str">
        <f>"2026-01-01 12:19:56.418"</f>
        <v>2026-01-01 12:19:56.418</v>
      </c>
      <c r="H466" t="s">
        <v>21</v>
      </c>
    </row>
    <row r="467" spans="1:10" x14ac:dyDescent="0.25">
      <c r="A467" s="1">
        <v>0</v>
      </c>
      <c r="B467" t="s">
        <v>25</v>
      </c>
      <c r="C467">
        <v>635</v>
      </c>
      <c r="D467">
        <v>1</v>
      </c>
      <c r="E467" t="s">
        <v>27</v>
      </c>
      <c r="F467" t="s">
        <v>28</v>
      </c>
      <c r="G467" t="str">
        <f>"2026-01-01 12:15:50.918"</f>
        <v>2026-01-01 12:15:50.918</v>
      </c>
      <c r="H467" t="s">
        <v>21</v>
      </c>
      <c r="I467">
        <v>0</v>
      </c>
      <c r="J467" t="s">
        <v>35</v>
      </c>
    </row>
    <row r="468" spans="1:10" x14ac:dyDescent="0.25">
      <c r="A468" s="1">
        <v>7</v>
      </c>
      <c r="B468" t="s">
        <v>22</v>
      </c>
      <c r="C468">
        <v>635</v>
      </c>
      <c r="D468">
        <v>1</v>
      </c>
      <c r="E468" t="s">
        <v>27</v>
      </c>
      <c r="F468" t="s">
        <v>28</v>
      </c>
      <c r="G468" t="str">
        <f>"2025-12-30 21:50:08.418"</f>
        <v>2025-12-30 21:50:08.418</v>
      </c>
      <c r="H468" t="s">
        <v>21</v>
      </c>
    </row>
    <row r="469" spans="1:10" x14ac:dyDescent="0.25">
      <c r="A469" s="1">
        <v>8</v>
      </c>
      <c r="B469" t="s">
        <v>25</v>
      </c>
      <c r="C469">
        <v>635</v>
      </c>
      <c r="D469">
        <v>1</v>
      </c>
      <c r="E469" t="s">
        <v>27</v>
      </c>
      <c r="F469" t="s">
        <v>28</v>
      </c>
      <c r="G469" t="str">
        <f>"2025-12-30 21:15:06.918"</f>
        <v>2025-12-30 21:15:06.918</v>
      </c>
      <c r="H469" t="s">
        <v>21</v>
      </c>
      <c r="I469">
        <v>4.4000000000000004</v>
      </c>
      <c r="J469" t="s">
        <v>29</v>
      </c>
    </row>
    <row r="470" spans="1:10" x14ac:dyDescent="0.25">
      <c r="A470" s="1">
        <v>17</v>
      </c>
      <c r="B470" t="s">
        <v>19</v>
      </c>
      <c r="C470">
        <v>706</v>
      </c>
      <c r="D470">
        <v>4</v>
      </c>
      <c r="E470" t="s">
        <v>30</v>
      </c>
      <c r="F470" t="s">
        <v>34</v>
      </c>
      <c r="G470" t="str">
        <f>"2025-12-30 08:06:35.571"</f>
        <v>2025-12-30 08:06:35.571</v>
      </c>
      <c r="H470" t="s">
        <v>21</v>
      </c>
      <c r="I470">
        <v>0</v>
      </c>
      <c r="J470" t="s">
        <v>32</v>
      </c>
    </row>
    <row r="471" spans="1:10" x14ac:dyDescent="0.25">
      <c r="A471" s="1">
        <v>18</v>
      </c>
      <c r="B471" t="s">
        <v>22</v>
      </c>
      <c r="C471">
        <v>635</v>
      </c>
      <c r="D471">
        <v>1</v>
      </c>
      <c r="E471" t="s">
        <v>27</v>
      </c>
      <c r="F471" t="s">
        <v>28</v>
      </c>
      <c r="G471" t="str">
        <f>"2025-12-30 05:25:51.918"</f>
        <v>2025-12-30 05:25:51.918</v>
      </c>
      <c r="H471" t="s">
        <v>21</v>
      </c>
    </row>
    <row r="472" spans="1:10" x14ac:dyDescent="0.25">
      <c r="A472" s="1">
        <v>19</v>
      </c>
      <c r="B472" t="s">
        <v>25</v>
      </c>
      <c r="C472">
        <v>635</v>
      </c>
      <c r="D472">
        <v>1</v>
      </c>
      <c r="E472" t="s">
        <v>27</v>
      </c>
      <c r="F472" t="s">
        <v>28</v>
      </c>
      <c r="G472" t="str">
        <f>"2025-12-30 05:09:13.418"</f>
        <v>2025-12-30 05:09:13.418</v>
      </c>
      <c r="H472" t="s">
        <v>21</v>
      </c>
      <c r="I472">
        <v>8.66</v>
      </c>
      <c r="J472" t="s">
        <v>26</v>
      </c>
    </row>
    <row r="473" spans="1:10" x14ac:dyDescent="0.25">
      <c r="A473" s="1">
        <v>20</v>
      </c>
      <c r="B473" t="s">
        <v>19</v>
      </c>
      <c r="C473">
        <v>706</v>
      </c>
      <c r="D473">
        <v>2</v>
      </c>
      <c r="E473" t="s">
        <v>30</v>
      </c>
      <c r="F473" t="s">
        <v>31</v>
      </c>
      <c r="G473" t="str">
        <f>"2025-12-28 11:40:52.611"</f>
        <v>2025-12-28 11:40:52.611</v>
      </c>
      <c r="H473" t="s">
        <v>21</v>
      </c>
      <c r="I473">
        <v>0</v>
      </c>
      <c r="J473" t="s">
        <v>32</v>
      </c>
    </row>
    <row r="474" spans="1:10" x14ac:dyDescent="0.25">
      <c r="A474" s="1">
        <v>21</v>
      </c>
      <c r="B474" t="s">
        <v>19</v>
      </c>
      <c r="C474">
        <v>706</v>
      </c>
      <c r="D474">
        <v>4</v>
      </c>
      <c r="E474" t="s">
        <v>30</v>
      </c>
      <c r="F474" t="s">
        <v>34</v>
      </c>
      <c r="G474" t="str">
        <f>"2025-12-28 11:40:38.361"</f>
        <v>2025-12-28 11:40:38.361</v>
      </c>
      <c r="H474" t="s">
        <v>21</v>
      </c>
      <c r="I474">
        <v>0</v>
      </c>
      <c r="J474" t="s">
        <v>32</v>
      </c>
    </row>
    <row r="475" spans="1:10" x14ac:dyDescent="0.25">
      <c r="A475" s="1">
        <v>22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"2025-12-28 10:37:54.011"</f>
        <v>2025-12-28 10:37:54.011</v>
      </c>
      <c r="H475" t="s">
        <v>21</v>
      </c>
    </row>
    <row r="476" spans="1:10" x14ac:dyDescent="0.25">
      <c r="A476" s="1">
        <v>23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"2025-12-28 10:15:21.013"</f>
        <v>2025-12-28 10:15:21.013</v>
      </c>
      <c r="H476" t="s">
        <v>21</v>
      </c>
    </row>
    <row r="477" spans="1:10" x14ac:dyDescent="0.25">
      <c r="A477" s="1">
        <v>26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"2025-12-28 09:12:38.999"</f>
        <v>2025-12-28 09:12:38.999</v>
      </c>
      <c r="H477" t="s">
        <v>21</v>
      </c>
      <c r="I477">
        <v>0</v>
      </c>
      <c r="J477" t="s">
        <v>33</v>
      </c>
    </row>
    <row r="478" spans="1:10" x14ac:dyDescent="0.25">
      <c r="A478" s="1">
        <v>27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"2025-12-28 09:07:55.290"</f>
        <v>2025-12-28 09:07:55.290</v>
      </c>
      <c r="H478" t="s">
        <v>21</v>
      </c>
      <c r="I478">
        <v>0</v>
      </c>
      <c r="J478" t="s">
        <v>33</v>
      </c>
    </row>
    <row r="479" spans="1:10" s="3" customFormat="1" x14ac:dyDescent="0.25">
      <c r="A479" s="2">
        <v>28</v>
      </c>
      <c r="B479" s="3" t="s">
        <v>22</v>
      </c>
      <c r="C479" s="3">
        <v>647</v>
      </c>
      <c r="D479" s="3">
        <v>1</v>
      </c>
      <c r="E479" s="3" t="s">
        <v>23</v>
      </c>
      <c r="F479" s="3" t="s">
        <v>24</v>
      </c>
      <c r="G479" s="3" t="str">
        <f>"2025-12-28 03:03:31.329"</f>
        <v>2025-12-28 03:03:31.329</v>
      </c>
      <c r="H479" s="3" t="s">
        <v>21</v>
      </c>
    </row>
    <row r="480" spans="1:10" s="3" customFormat="1" x14ac:dyDescent="0.25">
      <c r="A480" s="2">
        <v>29</v>
      </c>
      <c r="B480" s="3" t="s">
        <v>25</v>
      </c>
      <c r="C480" s="3">
        <v>647</v>
      </c>
      <c r="D480" s="3">
        <v>1</v>
      </c>
      <c r="E480" s="3" t="s">
        <v>23</v>
      </c>
      <c r="F480" s="3" t="s">
        <v>24</v>
      </c>
      <c r="G480" s="3" t="str">
        <f>"2025-12-28 03:03:29.929"</f>
        <v>2025-12-28 03:03:29.929</v>
      </c>
      <c r="H480" s="3" t="s">
        <v>21</v>
      </c>
      <c r="I480" s="3">
        <v>17.25</v>
      </c>
      <c r="J480" s="3" t="s">
        <v>26</v>
      </c>
    </row>
    <row r="481" spans="1:10" s="3" customFormat="1" x14ac:dyDescent="0.25">
      <c r="A481" s="2">
        <v>30</v>
      </c>
      <c r="B481" s="3" t="s">
        <v>22</v>
      </c>
      <c r="C481" s="3">
        <v>647</v>
      </c>
      <c r="D481" s="3">
        <v>1</v>
      </c>
      <c r="E481" s="3" t="s">
        <v>23</v>
      </c>
      <c r="F481" s="3" t="s">
        <v>24</v>
      </c>
      <c r="G481" s="3" t="str">
        <f>"2025-12-28 02:37:47.029"</f>
        <v>2025-12-28 02:37:47.029</v>
      </c>
      <c r="H481" s="3" t="s">
        <v>21</v>
      </c>
    </row>
    <row r="482" spans="1:10" s="3" customFormat="1" x14ac:dyDescent="0.25">
      <c r="A482" s="2">
        <v>31</v>
      </c>
      <c r="B482" s="3" t="s">
        <v>25</v>
      </c>
      <c r="C482" s="3">
        <v>647</v>
      </c>
      <c r="D482" s="3">
        <v>1</v>
      </c>
      <c r="E482" s="3" t="s">
        <v>23</v>
      </c>
      <c r="F482" s="3" t="s">
        <v>24</v>
      </c>
      <c r="G482" s="3" t="str">
        <f>"2025-12-28 02:37:32.129"</f>
        <v>2025-12-28 02:37:32.129</v>
      </c>
      <c r="H482" s="3" t="s">
        <v>21</v>
      </c>
      <c r="I482" s="3">
        <v>12.23</v>
      </c>
      <c r="J482" s="3" t="s">
        <v>26</v>
      </c>
    </row>
    <row r="483" spans="1:10" s="3" customFormat="1" x14ac:dyDescent="0.25">
      <c r="A483" s="2">
        <v>32</v>
      </c>
      <c r="B483" s="3" t="s">
        <v>22</v>
      </c>
      <c r="C483" s="3">
        <v>647</v>
      </c>
      <c r="D483" s="3">
        <v>1</v>
      </c>
      <c r="E483" s="3" t="s">
        <v>23</v>
      </c>
      <c r="F483" s="3" t="s">
        <v>24</v>
      </c>
      <c r="G483" s="3" t="str">
        <f>"2025-12-27 11:18:00.029"</f>
        <v>2025-12-27 11:18:00.029</v>
      </c>
      <c r="H483" s="3" t="s">
        <v>21</v>
      </c>
    </row>
    <row r="484" spans="1:10" s="3" customFormat="1" x14ac:dyDescent="0.25">
      <c r="A484" s="2">
        <v>33</v>
      </c>
      <c r="B484" s="3" t="s">
        <v>25</v>
      </c>
      <c r="C484" s="3">
        <v>647</v>
      </c>
      <c r="D484" s="3">
        <v>1</v>
      </c>
      <c r="E484" s="3" t="s">
        <v>23</v>
      </c>
      <c r="F484" s="3" t="s">
        <v>24</v>
      </c>
      <c r="G484" s="3" t="str">
        <f>"2025-12-27 11:17:58.029"</f>
        <v>2025-12-27 11:17:58.029</v>
      </c>
      <c r="H484" s="3" t="s">
        <v>21</v>
      </c>
      <c r="I484" s="3">
        <v>8.2200000000000006</v>
      </c>
      <c r="J484" s="3" t="s">
        <v>26</v>
      </c>
    </row>
    <row r="485" spans="1:10" x14ac:dyDescent="0.25">
      <c r="A485" s="1">
        <v>34</v>
      </c>
      <c r="B485" t="s">
        <v>19</v>
      </c>
      <c r="C485">
        <v>706</v>
      </c>
      <c r="D485">
        <v>4</v>
      </c>
      <c r="E485" t="s">
        <v>30</v>
      </c>
      <c r="F485" t="s">
        <v>34</v>
      </c>
      <c r="G485" t="str">
        <f>"2025-12-27 10:04:17.178"</f>
        <v>2025-12-27 10:04:17.178</v>
      </c>
      <c r="H485" t="s">
        <v>21</v>
      </c>
      <c r="I485">
        <v>0</v>
      </c>
      <c r="J485" t="s">
        <v>32</v>
      </c>
    </row>
    <row r="486" spans="1:10" x14ac:dyDescent="0.25">
      <c r="A486" s="1">
        <v>35</v>
      </c>
      <c r="B486" t="s">
        <v>22</v>
      </c>
      <c r="C486">
        <v>61</v>
      </c>
      <c r="D486">
        <v>2</v>
      </c>
      <c r="E486" t="s">
        <v>41</v>
      </c>
      <c r="F486" t="s">
        <v>42</v>
      </c>
      <c r="G486" t="str">
        <f>"2025-12-26 19:04:09.243"</f>
        <v>2025-12-26 19:04:09.243</v>
      </c>
      <c r="H486" t="s">
        <v>21</v>
      </c>
    </row>
    <row r="487" spans="1:10" x14ac:dyDescent="0.25">
      <c r="A487" s="1">
        <v>36</v>
      </c>
      <c r="B487" t="s">
        <v>40</v>
      </c>
      <c r="C487">
        <v>61</v>
      </c>
      <c r="D487">
        <v>2</v>
      </c>
      <c r="E487" t="s">
        <v>41</v>
      </c>
      <c r="F487" t="s">
        <v>42</v>
      </c>
      <c r="G487" t="str">
        <f>"2025-12-26 19:04:00.443"</f>
        <v>2025-12-26 19:04:00.443</v>
      </c>
      <c r="H487" t="s">
        <v>21</v>
      </c>
      <c r="I487">
        <v>35.659999999999997</v>
      </c>
      <c r="J487" t="s">
        <v>26</v>
      </c>
    </row>
    <row r="488" spans="1:10" s="3" customFormat="1" x14ac:dyDescent="0.25">
      <c r="A488" s="2">
        <v>37</v>
      </c>
      <c r="B488" s="3" t="s">
        <v>22</v>
      </c>
      <c r="C488" s="3">
        <v>647</v>
      </c>
      <c r="D488" s="3">
        <v>1</v>
      </c>
      <c r="E488" s="3" t="s">
        <v>23</v>
      </c>
      <c r="F488" s="3" t="s">
        <v>24</v>
      </c>
      <c r="G488" s="3" t="str">
        <f>"2025-12-26 10:11:54.429"</f>
        <v>2025-12-26 10:11:54.429</v>
      </c>
      <c r="H488" s="3" t="s">
        <v>21</v>
      </c>
    </row>
    <row r="489" spans="1:10" s="3" customFormat="1" x14ac:dyDescent="0.25">
      <c r="A489" s="2">
        <v>38</v>
      </c>
      <c r="B489" s="3" t="s">
        <v>25</v>
      </c>
      <c r="C489" s="3">
        <v>647</v>
      </c>
      <c r="D489" s="3">
        <v>1</v>
      </c>
      <c r="E489" s="3" t="s">
        <v>23</v>
      </c>
      <c r="F489" s="3" t="s">
        <v>24</v>
      </c>
      <c r="G489" s="3" t="str">
        <f>"2025-12-26 10:11:48.729"</f>
        <v>2025-12-26 10:11:48.729</v>
      </c>
      <c r="H489" s="3" t="s">
        <v>21</v>
      </c>
      <c r="I489" s="3">
        <v>16.93</v>
      </c>
      <c r="J489" s="3" t="s">
        <v>26</v>
      </c>
    </row>
    <row r="490" spans="1:10" x14ac:dyDescent="0.25">
      <c r="A490" s="1">
        <v>39</v>
      </c>
      <c r="B490" t="s">
        <v>22</v>
      </c>
      <c r="C490">
        <v>635</v>
      </c>
      <c r="D490">
        <v>1</v>
      </c>
      <c r="E490" t="s">
        <v>27</v>
      </c>
      <c r="F490" t="s">
        <v>28</v>
      </c>
      <c r="G490" t="str">
        <f>"2025-12-25 21:28:30.281"</f>
        <v>2025-12-25 21:28:30.281</v>
      </c>
      <c r="H490" t="s">
        <v>21</v>
      </c>
    </row>
    <row r="491" spans="1:10" x14ac:dyDescent="0.25">
      <c r="A491" s="1">
        <v>40</v>
      </c>
      <c r="B491" t="s">
        <v>25</v>
      </c>
      <c r="C491">
        <v>635</v>
      </c>
      <c r="D491">
        <v>1</v>
      </c>
      <c r="E491" t="s">
        <v>27</v>
      </c>
      <c r="F491" t="s">
        <v>28</v>
      </c>
      <c r="G491" t="str">
        <f>"2025-12-25 21:02:54.281"</f>
        <v>2025-12-25 21:02:54.281</v>
      </c>
      <c r="H491" t="s">
        <v>21</v>
      </c>
      <c r="I491">
        <v>7.51</v>
      </c>
      <c r="J491" t="s">
        <v>29</v>
      </c>
    </row>
    <row r="492" spans="1:10" s="3" customFormat="1" x14ac:dyDescent="0.25">
      <c r="A492" s="2">
        <v>41</v>
      </c>
      <c r="B492" s="3" t="s">
        <v>22</v>
      </c>
      <c r="C492" s="3">
        <v>647</v>
      </c>
      <c r="D492" s="3">
        <v>1</v>
      </c>
      <c r="E492" s="3" t="s">
        <v>23</v>
      </c>
      <c r="F492" s="3" t="s">
        <v>24</v>
      </c>
      <c r="G492" s="3" t="str">
        <f>"2025-12-25 03:25:01.429"</f>
        <v>2025-12-25 03:25:01.429</v>
      </c>
      <c r="H492" s="3" t="s">
        <v>21</v>
      </c>
    </row>
    <row r="493" spans="1:10" s="3" customFormat="1" x14ac:dyDescent="0.25">
      <c r="A493" s="2">
        <v>42</v>
      </c>
      <c r="B493" s="3" t="s">
        <v>25</v>
      </c>
      <c r="C493" s="3">
        <v>647</v>
      </c>
      <c r="D493" s="3">
        <v>1</v>
      </c>
      <c r="E493" s="3" t="s">
        <v>23</v>
      </c>
      <c r="F493" s="3" t="s">
        <v>24</v>
      </c>
      <c r="G493" s="3" t="str">
        <f>"2025-12-25 03:24:56.129"</f>
        <v>2025-12-25 03:24:56.129</v>
      </c>
      <c r="H493" s="3" t="s">
        <v>21</v>
      </c>
      <c r="I493" s="3">
        <v>15.43</v>
      </c>
      <c r="J493" s="3" t="s">
        <v>26</v>
      </c>
    </row>
    <row r="494" spans="1:10" x14ac:dyDescent="0.25">
      <c r="A494" s="1">
        <v>43</v>
      </c>
      <c r="B494" t="s">
        <v>22</v>
      </c>
      <c r="C494">
        <v>635</v>
      </c>
      <c r="D494">
        <v>1</v>
      </c>
      <c r="E494" t="s">
        <v>27</v>
      </c>
      <c r="F494" t="s">
        <v>28</v>
      </c>
      <c r="G494" t="str">
        <f>"2025-12-25 03:16:46.881"</f>
        <v>2025-12-25 03:16:46.881</v>
      </c>
      <c r="H494" t="s">
        <v>21</v>
      </c>
    </row>
    <row r="495" spans="1:10" x14ac:dyDescent="0.25">
      <c r="A495" s="1">
        <v>44</v>
      </c>
      <c r="B495" t="s">
        <v>25</v>
      </c>
      <c r="C495">
        <v>635</v>
      </c>
      <c r="D495">
        <v>1</v>
      </c>
      <c r="E495" t="s">
        <v>27</v>
      </c>
      <c r="F495" t="s">
        <v>28</v>
      </c>
      <c r="G495" t="str">
        <f>"2025-12-25 03:14:40.881"</f>
        <v>2025-12-25 03:14:40.881</v>
      </c>
      <c r="H495" t="s">
        <v>21</v>
      </c>
      <c r="I495">
        <v>5.86</v>
      </c>
      <c r="J495" t="s">
        <v>26</v>
      </c>
    </row>
    <row r="496" spans="1:10" s="3" customFormat="1" x14ac:dyDescent="0.25">
      <c r="A496" s="2">
        <v>53</v>
      </c>
      <c r="B496" s="3" t="s">
        <v>22</v>
      </c>
      <c r="C496" s="3">
        <v>647</v>
      </c>
      <c r="D496" s="3">
        <v>1</v>
      </c>
      <c r="E496" s="3" t="s">
        <v>23</v>
      </c>
      <c r="F496" s="3" t="s">
        <v>24</v>
      </c>
      <c r="G496" s="3" t="str">
        <f>"2025-12-24 19:06:14.729"</f>
        <v>2025-12-24 19:06:14.729</v>
      </c>
      <c r="H496" s="3" t="s">
        <v>21</v>
      </c>
    </row>
    <row r="497" spans="1:10" s="3" customFormat="1" x14ac:dyDescent="0.25">
      <c r="A497" s="2">
        <v>54</v>
      </c>
      <c r="B497" s="3" t="s">
        <v>25</v>
      </c>
      <c r="C497" s="3">
        <v>647</v>
      </c>
      <c r="D497" s="3">
        <v>1</v>
      </c>
      <c r="E497" s="3" t="s">
        <v>23</v>
      </c>
      <c r="F497" s="3" t="s">
        <v>24</v>
      </c>
      <c r="G497" s="3" t="str">
        <f>"2025-12-24 19:06:12.429"</f>
        <v>2025-12-24 19:06:12.429</v>
      </c>
      <c r="H497" s="3" t="s">
        <v>21</v>
      </c>
      <c r="I497" s="3">
        <v>24.62</v>
      </c>
      <c r="J497" s="3" t="s">
        <v>26</v>
      </c>
    </row>
    <row r="498" spans="1:10" x14ac:dyDescent="0.25">
      <c r="A498" s="1">
        <v>55</v>
      </c>
      <c r="B498" t="s">
        <v>22</v>
      </c>
      <c r="C498">
        <v>635</v>
      </c>
      <c r="D498">
        <v>1</v>
      </c>
      <c r="E498" t="s">
        <v>27</v>
      </c>
      <c r="F498" t="s">
        <v>28</v>
      </c>
      <c r="G498" t="str">
        <f>"2025-12-24 17:11:33.281"</f>
        <v>2025-12-24 17:11:33.281</v>
      </c>
      <c r="H498" t="s">
        <v>21</v>
      </c>
    </row>
    <row r="499" spans="1:10" x14ac:dyDescent="0.25">
      <c r="A499" s="1">
        <v>56</v>
      </c>
      <c r="B499" t="s">
        <v>25</v>
      </c>
      <c r="C499">
        <v>635</v>
      </c>
      <c r="D499">
        <v>1</v>
      </c>
      <c r="E499" t="s">
        <v>27</v>
      </c>
      <c r="F499" t="s">
        <v>28</v>
      </c>
      <c r="G499" t="str">
        <f>"2025-12-24 17:07:42.781"</f>
        <v>2025-12-24 17:07:42.781</v>
      </c>
      <c r="H499" t="s">
        <v>21</v>
      </c>
      <c r="I499">
        <v>1.32</v>
      </c>
      <c r="J499" t="s">
        <v>35</v>
      </c>
    </row>
    <row r="500" spans="1:10" x14ac:dyDescent="0.25">
      <c r="A500" s="1">
        <v>65</v>
      </c>
      <c r="B500" t="s">
        <v>22</v>
      </c>
      <c r="C500">
        <v>635</v>
      </c>
      <c r="D500">
        <v>1</v>
      </c>
      <c r="E500" t="s">
        <v>27</v>
      </c>
      <c r="F500" t="s">
        <v>28</v>
      </c>
      <c r="G500" t="str">
        <f>"2025-12-23 21:55:12.481"</f>
        <v>2025-12-23 21:55:12.481</v>
      </c>
      <c r="H500" t="s">
        <v>21</v>
      </c>
    </row>
    <row r="501" spans="1:10" x14ac:dyDescent="0.25">
      <c r="A501" s="1">
        <v>66</v>
      </c>
      <c r="B501" t="s">
        <v>25</v>
      </c>
      <c r="C501">
        <v>635</v>
      </c>
      <c r="D501">
        <v>1</v>
      </c>
      <c r="E501" t="s">
        <v>27</v>
      </c>
      <c r="F501" t="s">
        <v>28</v>
      </c>
      <c r="G501" t="str">
        <f>"2025-12-23 21:53:15.481"</f>
        <v>2025-12-23 21:53:15.481</v>
      </c>
      <c r="H501" t="s">
        <v>21</v>
      </c>
      <c r="I501">
        <v>5.98</v>
      </c>
      <c r="J501" t="s">
        <v>29</v>
      </c>
    </row>
    <row r="502" spans="1:10" x14ac:dyDescent="0.25">
      <c r="A502" s="1">
        <v>67</v>
      </c>
      <c r="B502" t="s">
        <v>22</v>
      </c>
      <c r="C502">
        <v>635</v>
      </c>
      <c r="D502">
        <v>1</v>
      </c>
      <c r="E502" t="s">
        <v>27</v>
      </c>
      <c r="F502" t="s">
        <v>28</v>
      </c>
      <c r="G502" t="str">
        <f>"2025-12-23 11:58:12.981"</f>
        <v>2025-12-23 11:58:12.981</v>
      </c>
      <c r="H502" t="s">
        <v>21</v>
      </c>
    </row>
    <row r="503" spans="1:10" x14ac:dyDescent="0.25">
      <c r="A503" s="1">
        <v>68</v>
      </c>
      <c r="B503" t="s">
        <v>25</v>
      </c>
      <c r="C503">
        <v>635</v>
      </c>
      <c r="D503">
        <v>1</v>
      </c>
      <c r="E503" t="s">
        <v>27</v>
      </c>
      <c r="F503" t="s">
        <v>28</v>
      </c>
      <c r="G503" t="str">
        <f>"2025-12-23 11:54:56.981"</f>
        <v>2025-12-23 11:54:56.981</v>
      </c>
      <c r="H503" t="s">
        <v>21</v>
      </c>
      <c r="I503">
        <v>0</v>
      </c>
      <c r="J503" t="s">
        <v>35</v>
      </c>
    </row>
    <row r="504" spans="1:10" x14ac:dyDescent="0.25">
      <c r="A504" s="1">
        <v>69</v>
      </c>
      <c r="B504" t="s">
        <v>19</v>
      </c>
      <c r="C504">
        <v>706</v>
      </c>
      <c r="D504">
        <v>4</v>
      </c>
      <c r="E504" t="s">
        <v>30</v>
      </c>
      <c r="F504" t="s">
        <v>34</v>
      </c>
      <c r="G504" t="str">
        <f>"2025-12-23 09:23:56.158"</f>
        <v>2025-12-23 09:23:56.158</v>
      </c>
      <c r="H504" t="s">
        <v>21</v>
      </c>
      <c r="I504">
        <v>0</v>
      </c>
      <c r="J504" t="s">
        <v>32</v>
      </c>
    </row>
    <row r="505" spans="1:10" s="3" customFormat="1" x14ac:dyDescent="0.25">
      <c r="A505" s="2">
        <v>70</v>
      </c>
      <c r="B505" s="3" t="s">
        <v>22</v>
      </c>
      <c r="C505" s="3">
        <v>647</v>
      </c>
      <c r="D505" s="3">
        <v>1</v>
      </c>
      <c r="E505" s="3" t="s">
        <v>23</v>
      </c>
      <c r="F505" s="3" t="s">
        <v>24</v>
      </c>
      <c r="G505" s="3" t="str">
        <f>"2025-12-23 03:38:47.129"</f>
        <v>2025-12-23 03:38:47.129</v>
      </c>
      <c r="H505" s="3" t="s">
        <v>21</v>
      </c>
    </row>
    <row r="506" spans="1:10" s="3" customFormat="1" x14ac:dyDescent="0.25">
      <c r="A506" s="2">
        <v>71</v>
      </c>
      <c r="B506" s="3" t="s">
        <v>25</v>
      </c>
      <c r="C506" s="3">
        <v>647</v>
      </c>
      <c r="D506" s="3">
        <v>1</v>
      </c>
      <c r="E506" s="3" t="s">
        <v>23</v>
      </c>
      <c r="F506" s="3" t="s">
        <v>24</v>
      </c>
      <c r="G506" s="3" t="str">
        <f>"2025-12-23 03:38:43.629"</f>
        <v>2025-12-23 03:38:43.629</v>
      </c>
      <c r="H506" s="3" t="s">
        <v>21</v>
      </c>
      <c r="I506" s="3">
        <v>20.65</v>
      </c>
      <c r="J506" s="3" t="s">
        <v>26</v>
      </c>
    </row>
    <row r="507" spans="1:10" x14ac:dyDescent="0.25">
      <c r="A507" s="1">
        <v>72</v>
      </c>
      <c r="B507" t="s">
        <v>19</v>
      </c>
      <c r="C507">
        <v>706</v>
      </c>
      <c r="D507">
        <v>4</v>
      </c>
      <c r="E507" t="s">
        <v>30</v>
      </c>
      <c r="F507" t="s">
        <v>34</v>
      </c>
      <c r="G507" t="str">
        <f>"2025-12-22 08:24:15.818"</f>
        <v>2025-12-22 08:24:15.818</v>
      </c>
      <c r="H507" t="s">
        <v>21</v>
      </c>
      <c r="I507">
        <v>0</v>
      </c>
      <c r="J507" t="s">
        <v>32</v>
      </c>
    </row>
    <row r="508" spans="1:10" x14ac:dyDescent="0.25">
      <c r="A508" s="1">
        <v>73</v>
      </c>
      <c r="B508" t="s">
        <v>19</v>
      </c>
      <c r="C508">
        <v>706</v>
      </c>
      <c r="D508">
        <v>3</v>
      </c>
      <c r="E508" t="s">
        <v>30</v>
      </c>
      <c r="F508" t="s">
        <v>36</v>
      </c>
      <c r="G508" t="str">
        <f>"2025-12-22 08:24:03.948"</f>
        <v>2025-12-22 08:24:03.948</v>
      </c>
      <c r="H508" t="s">
        <v>21</v>
      </c>
      <c r="I508">
        <v>0</v>
      </c>
      <c r="J508" t="s">
        <v>32</v>
      </c>
    </row>
    <row r="509" spans="1:10" s="3" customFormat="1" x14ac:dyDescent="0.25">
      <c r="A509" s="2">
        <v>74</v>
      </c>
      <c r="B509" s="3" t="s">
        <v>22</v>
      </c>
      <c r="C509" s="3">
        <v>647</v>
      </c>
      <c r="D509" s="3">
        <v>1</v>
      </c>
      <c r="E509" s="3" t="s">
        <v>23</v>
      </c>
      <c r="F509" s="3" t="s">
        <v>24</v>
      </c>
      <c r="G509" s="3" t="str">
        <f>"2025-12-22 05:14:30.529"</f>
        <v>2025-12-22 05:14:30.529</v>
      </c>
      <c r="H509" s="3" t="s">
        <v>21</v>
      </c>
    </row>
    <row r="510" spans="1:10" s="3" customFormat="1" x14ac:dyDescent="0.25">
      <c r="A510" s="2">
        <v>75</v>
      </c>
      <c r="B510" s="3" t="s">
        <v>25</v>
      </c>
      <c r="C510" s="3">
        <v>647</v>
      </c>
      <c r="D510" s="3">
        <v>1</v>
      </c>
      <c r="E510" s="3" t="s">
        <v>23</v>
      </c>
      <c r="F510" s="3" t="s">
        <v>24</v>
      </c>
      <c r="G510" s="3" t="str">
        <f>"2025-12-22 05:14:12.829"</f>
        <v>2025-12-22 05:14:12.829</v>
      </c>
      <c r="H510" s="3" t="s">
        <v>21</v>
      </c>
      <c r="I510" s="3">
        <v>13.61</v>
      </c>
      <c r="J510" s="3" t="s">
        <v>26</v>
      </c>
    </row>
    <row r="511" spans="1:10" x14ac:dyDescent="0.25">
      <c r="A511" s="1">
        <v>76</v>
      </c>
      <c r="B511" t="s">
        <v>22</v>
      </c>
      <c r="C511">
        <v>635</v>
      </c>
      <c r="D511">
        <v>1</v>
      </c>
      <c r="E511" t="s">
        <v>27</v>
      </c>
      <c r="F511" t="s">
        <v>28</v>
      </c>
      <c r="G511" t="str">
        <f>"2025-12-20 23:55:16.581"</f>
        <v>2025-12-20 23:55:16.581</v>
      </c>
      <c r="H511" t="s">
        <v>21</v>
      </c>
    </row>
    <row r="512" spans="1:10" x14ac:dyDescent="0.25">
      <c r="A512" s="1">
        <v>77</v>
      </c>
      <c r="B512" t="s">
        <v>25</v>
      </c>
      <c r="C512">
        <v>635</v>
      </c>
      <c r="D512">
        <v>1</v>
      </c>
      <c r="E512" t="s">
        <v>27</v>
      </c>
      <c r="F512" t="s">
        <v>28</v>
      </c>
      <c r="G512" t="str">
        <f>"2025-12-20 23:52:30.581"</f>
        <v>2025-12-20 23:52:30.581</v>
      </c>
      <c r="H512" t="s">
        <v>21</v>
      </c>
      <c r="I512">
        <v>3.83</v>
      </c>
      <c r="J512" t="s">
        <v>29</v>
      </c>
    </row>
    <row r="513" spans="1:10" x14ac:dyDescent="0.25">
      <c r="A513" s="1">
        <v>87</v>
      </c>
      <c r="B513" t="s">
        <v>37</v>
      </c>
      <c r="C513">
        <v>47</v>
      </c>
      <c r="D513">
        <v>2</v>
      </c>
      <c r="E513" t="s">
        <v>56</v>
      </c>
      <c r="F513" t="s">
        <v>57</v>
      </c>
      <c r="G513" t="str">
        <f>"2025-12-20 02:02:07.341"</f>
        <v>2025-12-20 02:02:07.341</v>
      </c>
      <c r="H513" t="s">
        <v>49</v>
      </c>
    </row>
    <row r="514" spans="1:10" x14ac:dyDescent="0.25">
      <c r="A514" s="1">
        <v>88</v>
      </c>
      <c r="B514" t="s">
        <v>19</v>
      </c>
      <c r="C514">
        <v>706</v>
      </c>
      <c r="D514">
        <v>4</v>
      </c>
      <c r="E514" t="s">
        <v>30</v>
      </c>
      <c r="F514" t="s">
        <v>34</v>
      </c>
      <c r="G514" t="str">
        <f>"2025-12-20 02:02:05.058"</f>
        <v>2025-12-20 02:02:05.058</v>
      </c>
      <c r="H514" t="s">
        <v>21</v>
      </c>
      <c r="I514">
        <v>0</v>
      </c>
      <c r="J514" t="s">
        <v>32</v>
      </c>
    </row>
    <row r="515" spans="1:10" x14ac:dyDescent="0.25">
      <c r="A515" s="1">
        <v>89</v>
      </c>
      <c r="B515" t="s">
        <v>19</v>
      </c>
      <c r="C515">
        <v>706</v>
      </c>
      <c r="D515">
        <v>3</v>
      </c>
      <c r="E515" t="s">
        <v>30</v>
      </c>
      <c r="F515" t="s">
        <v>36</v>
      </c>
      <c r="G515" t="str">
        <f>"2025-12-20 02:01:38.038"</f>
        <v>2025-12-20 02:01:38.038</v>
      </c>
      <c r="H515" t="s">
        <v>21</v>
      </c>
      <c r="I515">
        <v>0</v>
      </c>
      <c r="J515" t="s">
        <v>32</v>
      </c>
    </row>
    <row r="516" spans="1:10" x14ac:dyDescent="0.25">
      <c r="A516" s="1">
        <v>90</v>
      </c>
      <c r="B516" t="s">
        <v>40</v>
      </c>
      <c r="C516">
        <v>47</v>
      </c>
      <c r="D516">
        <v>2</v>
      </c>
      <c r="E516" t="s">
        <v>56</v>
      </c>
      <c r="F516" t="s">
        <v>57</v>
      </c>
      <c r="G516" t="str">
        <f>"2025-12-20 02:01:11.442"</f>
        <v>2025-12-20 02:01:11.442</v>
      </c>
      <c r="H516" t="s">
        <v>49</v>
      </c>
      <c r="I516">
        <v>0</v>
      </c>
      <c r="J516" t="s">
        <v>35</v>
      </c>
    </row>
    <row r="517" spans="1:10" x14ac:dyDescent="0.25">
      <c r="A517" s="1">
        <v>98</v>
      </c>
      <c r="B517" t="s">
        <v>22</v>
      </c>
      <c r="C517">
        <v>635</v>
      </c>
      <c r="D517">
        <v>1</v>
      </c>
      <c r="E517" t="s">
        <v>27</v>
      </c>
      <c r="F517" t="s">
        <v>28</v>
      </c>
      <c r="G517" t="str">
        <f>"2025-12-19 16:04:42.181"</f>
        <v>2025-12-19 16:04:42.181</v>
      </c>
      <c r="H517" t="s">
        <v>21</v>
      </c>
    </row>
    <row r="518" spans="1:10" x14ac:dyDescent="0.25">
      <c r="A518" s="1">
        <v>99</v>
      </c>
      <c r="B518" t="s">
        <v>25</v>
      </c>
      <c r="C518">
        <v>635</v>
      </c>
      <c r="D518">
        <v>1</v>
      </c>
      <c r="E518" t="s">
        <v>27</v>
      </c>
      <c r="F518" t="s">
        <v>28</v>
      </c>
      <c r="G518" t="str">
        <f>"2025-12-19 16:01:07.681"</f>
        <v>2025-12-19 16:01:07.681</v>
      </c>
      <c r="H518" t="s">
        <v>21</v>
      </c>
      <c r="I518">
        <v>0</v>
      </c>
      <c r="J518" t="s">
        <v>35</v>
      </c>
    </row>
    <row r="519" spans="1:10" x14ac:dyDescent="0.25">
      <c r="A519" s="1">
        <v>2</v>
      </c>
      <c r="B519" t="s">
        <v>22</v>
      </c>
      <c r="C519">
        <v>635</v>
      </c>
      <c r="D519">
        <v>1</v>
      </c>
      <c r="E519" t="s">
        <v>27</v>
      </c>
      <c r="F519" t="s">
        <v>28</v>
      </c>
      <c r="G519" t="str">
        <f>"2025-12-19 12:15:36.081"</f>
        <v>2025-12-19 12:15:36.081</v>
      </c>
      <c r="H519" t="s">
        <v>21</v>
      </c>
    </row>
    <row r="520" spans="1:10" x14ac:dyDescent="0.25">
      <c r="A520" s="1">
        <v>3</v>
      </c>
      <c r="B520" t="s">
        <v>25</v>
      </c>
      <c r="C520">
        <v>635</v>
      </c>
      <c r="D520">
        <v>1</v>
      </c>
      <c r="E520" t="s">
        <v>27</v>
      </c>
      <c r="F520" t="s">
        <v>28</v>
      </c>
      <c r="G520" t="str">
        <f>"2025-12-19 12:11:44.582"</f>
        <v>2025-12-19 12:11:44.582</v>
      </c>
      <c r="H520" t="s">
        <v>21</v>
      </c>
      <c r="I520">
        <v>0.64</v>
      </c>
      <c r="J520" t="s">
        <v>35</v>
      </c>
    </row>
    <row r="521" spans="1:10" x14ac:dyDescent="0.25">
      <c r="A521" s="1">
        <v>20</v>
      </c>
      <c r="B521" t="s">
        <v>19</v>
      </c>
      <c r="C521">
        <v>706</v>
      </c>
      <c r="D521">
        <v>4</v>
      </c>
      <c r="E521" t="s">
        <v>30</v>
      </c>
      <c r="F521" t="s">
        <v>34</v>
      </c>
      <c r="G521" t="str">
        <f>"2025-12-17 23:10:01.278"</f>
        <v>2025-12-17 23:10:01.278</v>
      </c>
      <c r="H521" t="s">
        <v>21</v>
      </c>
      <c r="I521">
        <v>0</v>
      </c>
      <c r="J521" t="s">
        <v>32</v>
      </c>
    </row>
    <row r="522" spans="1:10" x14ac:dyDescent="0.25">
      <c r="A522" s="1">
        <v>21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"2025-12-17 23:05:06.948"</f>
        <v>2025-12-17 23:05:06.948</v>
      </c>
      <c r="H522" t="s">
        <v>21</v>
      </c>
      <c r="I522">
        <v>0</v>
      </c>
      <c r="J522" t="s">
        <v>33</v>
      </c>
    </row>
    <row r="523" spans="1:10" x14ac:dyDescent="0.25">
      <c r="A523" s="1">
        <v>22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"2025-12-17 21:33:22.954"</f>
        <v>2025-12-17 21:33:22.954</v>
      </c>
      <c r="H523" t="s">
        <v>21</v>
      </c>
      <c r="I523">
        <v>0</v>
      </c>
      <c r="J523" t="s">
        <v>33</v>
      </c>
    </row>
    <row r="524" spans="1:10" x14ac:dyDescent="0.25">
      <c r="A524" s="1">
        <v>23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"2025-12-17 21:04:55.942"</f>
        <v>2025-12-17 21:04:55.942</v>
      </c>
      <c r="H524" t="s">
        <v>21</v>
      </c>
    </row>
    <row r="525" spans="1:10" x14ac:dyDescent="0.25">
      <c r="A525" s="1">
        <v>24</v>
      </c>
      <c r="B525" t="s">
        <v>22</v>
      </c>
      <c r="C525">
        <v>635</v>
      </c>
      <c r="D525">
        <v>1</v>
      </c>
      <c r="E525" t="s">
        <v>27</v>
      </c>
      <c r="F525" t="s">
        <v>28</v>
      </c>
      <c r="G525" t="str">
        <f>"2025-12-17 17:49:33.679"</f>
        <v>2025-12-17 17:49:33.679</v>
      </c>
      <c r="H525" t="s">
        <v>21</v>
      </c>
    </row>
    <row r="526" spans="1:10" x14ac:dyDescent="0.25">
      <c r="A526" s="1">
        <v>25</v>
      </c>
      <c r="B526" t="s">
        <v>25</v>
      </c>
      <c r="C526">
        <v>635</v>
      </c>
      <c r="D526">
        <v>1</v>
      </c>
      <c r="E526" t="s">
        <v>27</v>
      </c>
      <c r="F526" t="s">
        <v>28</v>
      </c>
      <c r="G526" t="str">
        <f>"2025-12-17 17:46:50.679"</f>
        <v>2025-12-17 17:46:50.679</v>
      </c>
      <c r="H526" t="s">
        <v>21</v>
      </c>
      <c r="I526">
        <v>8.94</v>
      </c>
      <c r="J526" t="s">
        <v>29</v>
      </c>
    </row>
    <row r="527" spans="1:10" s="3" customFormat="1" x14ac:dyDescent="0.25">
      <c r="A527" s="2">
        <v>30</v>
      </c>
      <c r="B527" s="3" t="s">
        <v>22</v>
      </c>
      <c r="C527" s="3">
        <v>647</v>
      </c>
      <c r="D527" s="3">
        <v>1</v>
      </c>
      <c r="E527" s="3" t="s">
        <v>23</v>
      </c>
      <c r="F527" s="3" t="s">
        <v>24</v>
      </c>
      <c r="G527" s="3" t="str">
        <f>"2025-12-16 03:00:33.481"</f>
        <v>2025-12-16 03:00:33.481</v>
      </c>
      <c r="H527" s="3" t="s">
        <v>21</v>
      </c>
    </row>
    <row r="528" spans="1:10" s="3" customFormat="1" x14ac:dyDescent="0.25">
      <c r="A528" s="2">
        <v>31</v>
      </c>
      <c r="B528" s="3" t="s">
        <v>25</v>
      </c>
      <c r="C528" s="3">
        <v>647</v>
      </c>
      <c r="D528" s="3">
        <v>1</v>
      </c>
      <c r="E528" s="3" t="s">
        <v>23</v>
      </c>
      <c r="F528" s="3" t="s">
        <v>24</v>
      </c>
      <c r="G528" s="3" t="str">
        <f>"2025-12-16 03:00:27.081"</f>
        <v>2025-12-16 03:00:27.081</v>
      </c>
      <c r="H528" s="3" t="s">
        <v>21</v>
      </c>
      <c r="I528" s="3">
        <v>9.74</v>
      </c>
      <c r="J528" s="3" t="s">
        <v>26</v>
      </c>
    </row>
    <row r="529" spans="1:10" s="3" customFormat="1" x14ac:dyDescent="0.25">
      <c r="A529" s="2">
        <v>32</v>
      </c>
      <c r="B529" s="3" t="s">
        <v>22</v>
      </c>
      <c r="C529" s="3">
        <v>647</v>
      </c>
      <c r="D529" s="3">
        <v>1</v>
      </c>
      <c r="E529" s="3" t="s">
        <v>23</v>
      </c>
      <c r="F529" s="3" t="s">
        <v>24</v>
      </c>
      <c r="G529" s="3" t="str">
        <f>"2025-12-15 09:15:03.881"</f>
        <v>2025-12-15 09:15:03.881</v>
      </c>
      <c r="H529" s="3" t="s">
        <v>21</v>
      </c>
    </row>
    <row r="530" spans="1:10" s="3" customFormat="1" x14ac:dyDescent="0.25">
      <c r="A530" s="2">
        <v>33</v>
      </c>
      <c r="B530" s="3" t="s">
        <v>25</v>
      </c>
      <c r="C530" s="3">
        <v>647</v>
      </c>
      <c r="D530" s="3">
        <v>1</v>
      </c>
      <c r="E530" s="3" t="s">
        <v>23</v>
      </c>
      <c r="F530" s="3" t="s">
        <v>24</v>
      </c>
      <c r="G530" s="3" t="str">
        <f>"2025-12-15 09:14:53.481"</f>
        <v>2025-12-15 09:14:53.481</v>
      </c>
      <c r="H530" s="3" t="s">
        <v>21</v>
      </c>
      <c r="I530" s="3">
        <v>13.19</v>
      </c>
      <c r="J530" s="3" t="s">
        <v>26</v>
      </c>
    </row>
    <row r="531" spans="1:10" x14ac:dyDescent="0.25">
      <c r="A531" s="1">
        <v>40</v>
      </c>
      <c r="B531" t="s">
        <v>22</v>
      </c>
      <c r="C531">
        <v>49</v>
      </c>
      <c r="D531">
        <v>1</v>
      </c>
      <c r="E531" t="s">
        <v>58</v>
      </c>
      <c r="F531" t="s">
        <v>59</v>
      </c>
      <c r="G531" t="str">
        <f>"2025-12-14 19:51:17.001"</f>
        <v>2025-12-14 19:51:17.001</v>
      </c>
      <c r="H531" t="s">
        <v>60</v>
      </c>
    </row>
    <row r="532" spans="1:10" x14ac:dyDescent="0.25">
      <c r="A532" s="1">
        <v>41</v>
      </c>
      <c r="B532" t="s">
        <v>19</v>
      </c>
      <c r="C532">
        <v>706</v>
      </c>
      <c r="D532">
        <v>2</v>
      </c>
      <c r="E532" t="s">
        <v>30</v>
      </c>
      <c r="F532" t="s">
        <v>31</v>
      </c>
      <c r="G532" t="str">
        <f>"2025-12-14 19:51:11.246"</f>
        <v>2025-12-14 19:51:11.246</v>
      </c>
      <c r="H532" t="s">
        <v>21</v>
      </c>
      <c r="I532">
        <v>0</v>
      </c>
      <c r="J532" t="s">
        <v>32</v>
      </c>
    </row>
    <row r="533" spans="1:10" x14ac:dyDescent="0.25">
      <c r="A533" s="1">
        <v>45</v>
      </c>
      <c r="B533" t="s">
        <v>25</v>
      </c>
      <c r="C533">
        <v>49</v>
      </c>
      <c r="D533">
        <v>1</v>
      </c>
      <c r="E533" t="s">
        <v>58</v>
      </c>
      <c r="F533" t="s">
        <v>59</v>
      </c>
      <c r="G533" t="str">
        <f>"2025-12-14 19:47:28.000"</f>
        <v>2025-12-14 19:47:28.000</v>
      </c>
      <c r="H533" t="s">
        <v>60</v>
      </c>
      <c r="I533">
        <v>0</v>
      </c>
      <c r="J533" t="s">
        <v>32</v>
      </c>
    </row>
    <row r="534" spans="1:10" s="3" customFormat="1" x14ac:dyDescent="0.25">
      <c r="A534" s="2">
        <v>63</v>
      </c>
      <c r="B534" s="3" t="s">
        <v>22</v>
      </c>
      <c r="C534" s="3">
        <v>647</v>
      </c>
      <c r="D534" s="3">
        <v>1</v>
      </c>
      <c r="E534" s="3" t="s">
        <v>23</v>
      </c>
      <c r="F534" s="3" t="s">
        <v>24</v>
      </c>
      <c r="G534" s="3" t="str">
        <f>"2025-12-12 22:32:11.781"</f>
        <v>2025-12-12 22:32:11.781</v>
      </c>
      <c r="H534" s="3" t="s">
        <v>21</v>
      </c>
    </row>
    <row r="535" spans="1:10" s="3" customFormat="1" x14ac:dyDescent="0.25">
      <c r="A535" s="2">
        <v>64</v>
      </c>
      <c r="B535" s="3" t="s">
        <v>25</v>
      </c>
      <c r="C535" s="3">
        <v>647</v>
      </c>
      <c r="D535" s="3">
        <v>1</v>
      </c>
      <c r="E535" s="3" t="s">
        <v>23</v>
      </c>
      <c r="F535" s="3" t="s">
        <v>24</v>
      </c>
      <c r="G535" s="3" t="str">
        <f>"2025-12-12 22:32:06.881"</f>
        <v>2025-12-12 22:32:06.881</v>
      </c>
      <c r="H535" s="3" t="s">
        <v>21</v>
      </c>
      <c r="I535" s="3">
        <v>11.39</v>
      </c>
      <c r="J535" s="3" t="s">
        <v>26</v>
      </c>
    </row>
    <row r="536" spans="1:10" x14ac:dyDescent="0.25">
      <c r="A536" s="1">
        <v>65</v>
      </c>
      <c r="B536" t="s">
        <v>22</v>
      </c>
      <c r="C536">
        <v>635</v>
      </c>
      <c r="D536">
        <v>1</v>
      </c>
      <c r="E536" t="s">
        <v>27</v>
      </c>
      <c r="F536" t="s">
        <v>28</v>
      </c>
      <c r="G536" t="str">
        <f>"2025-12-12 00:29:29.779"</f>
        <v>2025-12-12 00:29:29.779</v>
      </c>
      <c r="H536" t="s">
        <v>21</v>
      </c>
    </row>
    <row r="537" spans="1:10" x14ac:dyDescent="0.25">
      <c r="A537" s="1">
        <v>66</v>
      </c>
      <c r="B537" t="s">
        <v>25</v>
      </c>
      <c r="C537">
        <v>635</v>
      </c>
      <c r="D537">
        <v>1</v>
      </c>
      <c r="E537" t="s">
        <v>27</v>
      </c>
      <c r="F537" t="s">
        <v>28</v>
      </c>
      <c r="G537" t="str">
        <f>"2025-12-12 00:25:58.279"</f>
        <v>2025-12-12 00:25:58.279</v>
      </c>
      <c r="H537" t="s">
        <v>21</v>
      </c>
      <c r="I537">
        <v>0</v>
      </c>
      <c r="J537" t="s">
        <v>35</v>
      </c>
    </row>
    <row r="538" spans="1:10" x14ac:dyDescent="0.25">
      <c r="A538" s="1">
        <v>67</v>
      </c>
      <c r="B538" t="s">
        <v>22</v>
      </c>
      <c r="C538">
        <v>635</v>
      </c>
      <c r="D538">
        <v>1</v>
      </c>
      <c r="E538" t="s">
        <v>27</v>
      </c>
      <c r="F538" t="s">
        <v>28</v>
      </c>
      <c r="G538" t="str">
        <f>"2025-12-11 16:00:54.079"</f>
        <v>2025-12-11 16:00:54.079</v>
      </c>
      <c r="H538" t="s">
        <v>21</v>
      </c>
    </row>
    <row r="539" spans="1:10" x14ac:dyDescent="0.25">
      <c r="A539" s="1">
        <v>68</v>
      </c>
      <c r="B539" t="s">
        <v>25</v>
      </c>
      <c r="C539">
        <v>635</v>
      </c>
      <c r="D539">
        <v>1</v>
      </c>
      <c r="E539" t="s">
        <v>27</v>
      </c>
      <c r="F539" t="s">
        <v>28</v>
      </c>
      <c r="G539" t="str">
        <f>"2025-12-11 15:54:59.581"</f>
        <v>2025-12-11 15:54:59.581</v>
      </c>
      <c r="H539" t="s">
        <v>21</v>
      </c>
      <c r="I539">
        <v>10.050000000000001</v>
      </c>
      <c r="J539" t="s">
        <v>26</v>
      </c>
    </row>
    <row r="540" spans="1:10" x14ac:dyDescent="0.25">
      <c r="A540" s="1">
        <v>74</v>
      </c>
      <c r="B540" t="s">
        <v>19</v>
      </c>
      <c r="C540">
        <v>706</v>
      </c>
      <c r="D540">
        <v>4</v>
      </c>
      <c r="E540" t="s">
        <v>30</v>
      </c>
      <c r="F540" t="s">
        <v>34</v>
      </c>
      <c r="G540" t="str">
        <f>"2025-12-10 20:10:41.426"</f>
        <v>2025-12-10 20:10:41.426</v>
      </c>
      <c r="H540" t="s">
        <v>21</v>
      </c>
      <c r="I540">
        <v>0</v>
      </c>
      <c r="J540" t="s">
        <v>32</v>
      </c>
    </row>
    <row r="541" spans="1:10" x14ac:dyDescent="0.25">
      <c r="A541" s="1">
        <v>75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"2025-12-10 19:59:49.926"</f>
        <v>2025-12-10 19:59:49.926</v>
      </c>
      <c r="H541" t="s">
        <v>21</v>
      </c>
    </row>
    <row r="542" spans="1:10" s="3" customFormat="1" x14ac:dyDescent="0.25">
      <c r="A542" s="2">
        <v>76</v>
      </c>
      <c r="B542" s="3" t="s">
        <v>22</v>
      </c>
      <c r="C542" s="3">
        <v>647</v>
      </c>
      <c r="D542" s="3">
        <v>1</v>
      </c>
      <c r="E542" s="3" t="s">
        <v>23</v>
      </c>
      <c r="F542" s="3" t="s">
        <v>24</v>
      </c>
      <c r="G542" s="3" t="str">
        <f>"2025-12-10 03:37:44.319"</f>
        <v>2025-12-10 03:37:44.319</v>
      </c>
      <c r="H542" s="3" t="s">
        <v>21</v>
      </c>
    </row>
    <row r="543" spans="1:10" s="3" customFormat="1" x14ac:dyDescent="0.25">
      <c r="A543" s="2">
        <v>77</v>
      </c>
      <c r="B543" s="3" t="s">
        <v>25</v>
      </c>
      <c r="C543" s="3">
        <v>647</v>
      </c>
      <c r="D543" s="3">
        <v>1</v>
      </c>
      <c r="E543" s="3" t="s">
        <v>23</v>
      </c>
      <c r="F543" s="3" t="s">
        <v>24</v>
      </c>
      <c r="G543" s="3" t="str">
        <f>"2025-12-10 03:37:42.219"</f>
        <v>2025-12-10 03:37:42.219</v>
      </c>
      <c r="H543" s="3" t="s">
        <v>21</v>
      </c>
      <c r="I543" s="3">
        <v>15.15</v>
      </c>
      <c r="J543" s="3" t="s">
        <v>26</v>
      </c>
    </row>
    <row r="544" spans="1:10" s="3" customFormat="1" x14ac:dyDescent="0.25">
      <c r="A544" s="2">
        <v>78</v>
      </c>
      <c r="B544" s="3" t="s">
        <v>22</v>
      </c>
      <c r="C544" s="3">
        <v>647</v>
      </c>
      <c r="D544" s="3">
        <v>1</v>
      </c>
      <c r="E544" s="3" t="s">
        <v>23</v>
      </c>
      <c r="F544" s="3" t="s">
        <v>24</v>
      </c>
      <c r="G544" s="3" t="str">
        <f>"2025-12-10 02:42:27.419"</f>
        <v>2025-12-10 02:42:27.419</v>
      </c>
      <c r="H544" s="3" t="s">
        <v>21</v>
      </c>
    </row>
    <row r="545" spans="1:10" s="3" customFormat="1" x14ac:dyDescent="0.25">
      <c r="A545" s="2">
        <v>79</v>
      </c>
      <c r="B545" s="3" t="s">
        <v>25</v>
      </c>
      <c r="C545" s="3">
        <v>647</v>
      </c>
      <c r="D545" s="3">
        <v>1</v>
      </c>
      <c r="E545" s="3" t="s">
        <v>23</v>
      </c>
      <c r="F545" s="3" t="s">
        <v>24</v>
      </c>
      <c r="G545" s="3" t="str">
        <f>"2025-12-10 02:42:21.919"</f>
        <v>2025-12-10 02:42:21.919</v>
      </c>
      <c r="H545" s="3" t="s">
        <v>21</v>
      </c>
      <c r="I545" s="3">
        <v>13.44</v>
      </c>
      <c r="J545" s="3" t="s">
        <v>26</v>
      </c>
    </row>
    <row r="546" spans="1:10" x14ac:dyDescent="0.25">
      <c r="A546" s="1">
        <v>81</v>
      </c>
      <c r="B546" t="s">
        <v>22</v>
      </c>
      <c r="C546">
        <v>635</v>
      </c>
      <c r="D546">
        <v>1</v>
      </c>
      <c r="E546" t="s">
        <v>27</v>
      </c>
      <c r="F546" t="s">
        <v>28</v>
      </c>
      <c r="G546" t="str">
        <f>"2025-12-08 20:29:06.919"</f>
        <v>2025-12-08 20:29:06.919</v>
      </c>
      <c r="H546" t="s">
        <v>21</v>
      </c>
    </row>
    <row r="547" spans="1:10" x14ac:dyDescent="0.25">
      <c r="A547" s="1">
        <v>82</v>
      </c>
      <c r="B547" t="s">
        <v>25</v>
      </c>
      <c r="C547">
        <v>635</v>
      </c>
      <c r="D547">
        <v>1</v>
      </c>
      <c r="E547" t="s">
        <v>27</v>
      </c>
      <c r="F547" t="s">
        <v>28</v>
      </c>
      <c r="G547" t="str">
        <f>"2025-12-08 20:24:02.419"</f>
        <v>2025-12-08 20:24:02.419</v>
      </c>
      <c r="H547" t="s">
        <v>21</v>
      </c>
      <c r="I547">
        <v>0.02</v>
      </c>
      <c r="J547" t="s">
        <v>35</v>
      </c>
    </row>
    <row r="548" spans="1:10" x14ac:dyDescent="0.25">
      <c r="A548" s="1">
        <v>83</v>
      </c>
      <c r="B548" t="s">
        <v>19</v>
      </c>
      <c r="C548">
        <v>706</v>
      </c>
      <c r="D548">
        <v>2</v>
      </c>
      <c r="E548" t="s">
        <v>30</v>
      </c>
      <c r="F548" t="s">
        <v>31</v>
      </c>
      <c r="G548" t="str">
        <f>"2025-12-07 13:01:39.708"</f>
        <v>2025-12-07 13:01:39.708</v>
      </c>
      <c r="H548" t="s">
        <v>21</v>
      </c>
      <c r="I548">
        <v>0</v>
      </c>
      <c r="J548" t="s">
        <v>32</v>
      </c>
    </row>
    <row r="549" spans="1:10" x14ac:dyDescent="0.25">
      <c r="A549" s="1">
        <v>84</v>
      </c>
      <c r="B549" t="s">
        <v>19</v>
      </c>
      <c r="C549">
        <v>706</v>
      </c>
      <c r="D549">
        <v>4</v>
      </c>
      <c r="E549" t="s">
        <v>30</v>
      </c>
      <c r="F549" t="s">
        <v>34</v>
      </c>
      <c r="G549" t="str">
        <f>"2025-12-07 12:45:06.248"</f>
        <v>2025-12-07 12:45:06.248</v>
      </c>
      <c r="H549" t="s">
        <v>21</v>
      </c>
      <c r="I549">
        <v>0</v>
      </c>
      <c r="J549" t="s">
        <v>32</v>
      </c>
    </row>
    <row r="550" spans="1:10" x14ac:dyDescent="0.25">
      <c r="A550" s="1">
        <v>85</v>
      </c>
      <c r="B550" t="s">
        <v>19</v>
      </c>
      <c r="C550">
        <v>706</v>
      </c>
      <c r="D550">
        <v>2</v>
      </c>
      <c r="E550" t="s">
        <v>30</v>
      </c>
      <c r="F550" t="s">
        <v>31</v>
      </c>
      <c r="G550" t="str">
        <f>"2025-12-07 12:44:48.908"</f>
        <v>2025-12-07 12:44:48.908</v>
      </c>
      <c r="H550" t="s">
        <v>21</v>
      </c>
      <c r="I550">
        <v>0</v>
      </c>
      <c r="J550" t="s">
        <v>32</v>
      </c>
    </row>
    <row r="551" spans="1:10" x14ac:dyDescent="0.25">
      <c r="A551" s="1">
        <v>86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"2025-12-07 12:29:48.908"</f>
        <v>2025-12-07 12:29:48.908</v>
      </c>
      <c r="H551" t="s">
        <v>21</v>
      </c>
    </row>
    <row r="552" spans="1:10" x14ac:dyDescent="0.25">
      <c r="A552" s="1">
        <v>87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"2025-12-07 12:23:08.924"</f>
        <v>2025-12-07 12:23:08.924</v>
      </c>
      <c r="H552" t="s">
        <v>21</v>
      </c>
      <c r="I552">
        <v>0</v>
      </c>
      <c r="J552" t="s">
        <v>33</v>
      </c>
    </row>
    <row r="553" spans="1:10" x14ac:dyDescent="0.25">
      <c r="A553" s="1">
        <v>88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"2025-12-07 09:47:29.937"</f>
        <v>2025-12-07 09:47:29.937</v>
      </c>
      <c r="H553" t="s">
        <v>21</v>
      </c>
      <c r="I553">
        <v>0</v>
      </c>
      <c r="J553" t="s">
        <v>33</v>
      </c>
    </row>
    <row r="554" spans="1:10" x14ac:dyDescent="0.25">
      <c r="A554" s="1">
        <v>89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"2025-12-07 09:17:20.066"</f>
        <v>2025-12-07 09:17:20.066</v>
      </c>
      <c r="H554" t="s">
        <v>21</v>
      </c>
      <c r="I554">
        <v>0</v>
      </c>
      <c r="J554" t="s">
        <v>33</v>
      </c>
    </row>
    <row r="555" spans="1:10" s="3" customFormat="1" x14ac:dyDescent="0.25">
      <c r="A555" s="2">
        <v>90</v>
      </c>
      <c r="B555" s="3" t="s">
        <v>22</v>
      </c>
      <c r="C555" s="3">
        <v>647</v>
      </c>
      <c r="D555" s="3">
        <v>1</v>
      </c>
      <c r="E555" s="3" t="s">
        <v>23</v>
      </c>
      <c r="F555" s="3" t="s">
        <v>24</v>
      </c>
      <c r="G555" s="3" t="str">
        <f>"2025-12-07 05:01:13.712"</f>
        <v>2025-12-07 05:01:13.712</v>
      </c>
      <c r="H555" s="3" t="s">
        <v>21</v>
      </c>
    </row>
    <row r="556" spans="1:10" s="3" customFormat="1" x14ac:dyDescent="0.25">
      <c r="A556" s="2">
        <v>91</v>
      </c>
      <c r="B556" s="3" t="s">
        <v>25</v>
      </c>
      <c r="C556" s="3">
        <v>647</v>
      </c>
      <c r="D556" s="3">
        <v>1</v>
      </c>
      <c r="E556" s="3" t="s">
        <v>23</v>
      </c>
      <c r="F556" s="3" t="s">
        <v>24</v>
      </c>
      <c r="G556" s="3" t="str">
        <f>"2025-12-07 05:01:10.812"</f>
        <v>2025-12-07 05:01:10.812</v>
      </c>
      <c r="H556" s="3" t="s">
        <v>21</v>
      </c>
      <c r="I556" s="3">
        <v>13.24</v>
      </c>
      <c r="J556" s="3" t="s">
        <v>26</v>
      </c>
    </row>
    <row r="557" spans="1:10" s="3" customFormat="1" x14ac:dyDescent="0.25">
      <c r="A557" s="2">
        <v>92</v>
      </c>
      <c r="B557" s="3" t="s">
        <v>22</v>
      </c>
      <c r="C557" s="3">
        <v>647</v>
      </c>
      <c r="D557" s="3">
        <v>1</v>
      </c>
      <c r="E557" s="3" t="s">
        <v>23</v>
      </c>
      <c r="F557" s="3" t="s">
        <v>24</v>
      </c>
      <c r="G557" s="3" t="str">
        <f>"2025-12-07 05:01:07.812"</f>
        <v>2025-12-07 05:01:07.812</v>
      </c>
      <c r="H557" s="3" t="s">
        <v>21</v>
      </c>
    </row>
    <row r="558" spans="1:10" s="3" customFormat="1" x14ac:dyDescent="0.25">
      <c r="A558" s="2">
        <v>93</v>
      </c>
      <c r="B558" s="3" t="s">
        <v>25</v>
      </c>
      <c r="C558" s="3">
        <v>647</v>
      </c>
      <c r="D558" s="3">
        <v>1</v>
      </c>
      <c r="E558" s="3" t="s">
        <v>23</v>
      </c>
      <c r="F558" s="3" t="s">
        <v>24</v>
      </c>
      <c r="G558" s="3" t="str">
        <f>"2025-12-07 05:01:06.012"</f>
        <v>2025-12-07 05:01:06.012</v>
      </c>
      <c r="H558" s="3" t="s">
        <v>21</v>
      </c>
      <c r="I558" s="3">
        <v>14.03</v>
      </c>
      <c r="J558" s="3" t="s">
        <v>26</v>
      </c>
    </row>
    <row r="559" spans="1:10" s="3" customFormat="1" x14ac:dyDescent="0.25">
      <c r="A559" s="2">
        <v>94</v>
      </c>
      <c r="B559" s="3" t="s">
        <v>22</v>
      </c>
      <c r="C559" s="3">
        <v>647</v>
      </c>
      <c r="D559" s="3">
        <v>1</v>
      </c>
      <c r="E559" s="3" t="s">
        <v>23</v>
      </c>
      <c r="F559" s="3" t="s">
        <v>24</v>
      </c>
      <c r="G559" s="3" t="str">
        <f>"2025-12-07 03:22:02.412"</f>
        <v>2025-12-07 03:22:02.412</v>
      </c>
      <c r="H559" s="3" t="s">
        <v>21</v>
      </c>
    </row>
    <row r="560" spans="1:10" s="3" customFormat="1" x14ac:dyDescent="0.25">
      <c r="A560" s="2">
        <v>95</v>
      </c>
      <c r="B560" s="3" t="s">
        <v>25</v>
      </c>
      <c r="C560" s="3">
        <v>647</v>
      </c>
      <c r="D560" s="3">
        <v>1</v>
      </c>
      <c r="E560" s="3" t="s">
        <v>23</v>
      </c>
      <c r="F560" s="3" t="s">
        <v>24</v>
      </c>
      <c r="G560" s="3" t="str">
        <f>"2025-12-07 03:22:00.912"</f>
        <v>2025-12-07 03:22:00.912</v>
      </c>
      <c r="H560" s="3" t="s">
        <v>21</v>
      </c>
      <c r="I560" s="3">
        <v>13.19</v>
      </c>
      <c r="J560" s="3" t="s">
        <v>26</v>
      </c>
    </row>
    <row r="561" spans="1:10" s="3" customFormat="1" x14ac:dyDescent="0.25">
      <c r="A561" s="2">
        <v>96</v>
      </c>
      <c r="B561" s="3" t="s">
        <v>22</v>
      </c>
      <c r="C561" s="3">
        <v>647</v>
      </c>
      <c r="D561" s="3">
        <v>1</v>
      </c>
      <c r="E561" s="3" t="s">
        <v>23</v>
      </c>
      <c r="F561" s="3" t="s">
        <v>24</v>
      </c>
      <c r="G561" s="3" t="str">
        <f>"2025-12-06 05:44:36.311"</f>
        <v>2025-12-06 05:44:36.311</v>
      </c>
      <c r="H561" s="3" t="s">
        <v>21</v>
      </c>
    </row>
    <row r="562" spans="1:10" s="3" customFormat="1" x14ac:dyDescent="0.25">
      <c r="A562" s="2">
        <v>97</v>
      </c>
      <c r="B562" s="3" t="s">
        <v>25</v>
      </c>
      <c r="C562" s="3">
        <v>647</v>
      </c>
      <c r="D562" s="3">
        <v>1</v>
      </c>
      <c r="E562" s="3" t="s">
        <v>23</v>
      </c>
      <c r="F562" s="3" t="s">
        <v>24</v>
      </c>
      <c r="G562" s="3" t="str">
        <f>"2025-12-06 05:44:32.212"</f>
        <v>2025-12-06 05:44:32.212</v>
      </c>
      <c r="H562" s="3" t="s">
        <v>21</v>
      </c>
      <c r="I562" s="3">
        <v>8.51</v>
      </c>
      <c r="J562" s="3" t="s">
        <v>26</v>
      </c>
    </row>
    <row r="563" spans="1:10" x14ac:dyDescent="0.25">
      <c r="A563" s="1">
        <v>98</v>
      </c>
      <c r="B563" t="s">
        <v>43</v>
      </c>
      <c r="C563">
        <v>215</v>
      </c>
      <c r="D563">
        <v>6</v>
      </c>
      <c r="E563" t="s">
        <v>44</v>
      </c>
      <c r="F563" t="s">
        <v>45</v>
      </c>
      <c r="G563" t="str">
        <f>"2025-12-05 10:47:02.478"</f>
        <v>2025-12-05 10:47:02.478</v>
      </c>
      <c r="H563" t="s">
        <v>21</v>
      </c>
    </row>
    <row r="564" spans="1:10" x14ac:dyDescent="0.25">
      <c r="A564" s="1">
        <v>99</v>
      </c>
      <c r="B564" t="s">
        <v>43</v>
      </c>
      <c r="C564">
        <v>115</v>
      </c>
      <c r="D564">
        <v>6</v>
      </c>
      <c r="E564" t="s">
        <v>46</v>
      </c>
      <c r="F564" t="s">
        <v>45</v>
      </c>
      <c r="G564" t="str">
        <f>"2025-12-05 10:47:02.378"</f>
        <v>2025-12-05 10:47:02.378</v>
      </c>
      <c r="H564" t="s">
        <v>21</v>
      </c>
    </row>
    <row r="565" spans="1:10" x14ac:dyDescent="0.25">
      <c r="A565" s="1">
        <v>0</v>
      </c>
      <c r="B565" t="s">
        <v>40</v>
      </c>
      <c r="C565">
        <v>215</v>
      </c>
      <c r="D565">
        <v>6</v>
      </c>
      <c r="E565" t="s">
        <v>44</v>
      </c>
      <c r="F565" t="s">
        <v>45</v>
      </c>
      <c r="G565" t="str">
        <f>"2025-12-05 10:46:57.337"</f>
        <v>2025-12-05 10:46:57.337</v>
      </c>
      <c r="H565" t="s">
        <v>21</v>
      </c>
      <c r="I565">
        <v>0</v>
      </c>
      <c r="J565" t="s">
        <v>32</v>
      </c>
    </row>
    <row r="566" spans="1:10" x14ac:dyDescent="0.25">
      <c r="A566" s="1">
        <v>1</v>
      </c>
      <c r="B566" t="s">
        <v>40</v>
      </c>
      <c r="C566">
        <v>115</v>
      </c>
      <c r="D566">
        <v>6</v>
      </c>
      <c r="E566" t="s">
        <v>46</v>
      </c>
      <c r="F566" t="s">
        <v>45</v>
      </c>
      <c r="G566" t="str">
        <f>"2025-12-05 10:46:57.320"</f>
        <v>2025-12-05 10:46:57.320</v>
      </c>
      <c r="H566" t="s">
        <v>21</v>
      </c>
      <c r="I566">
        <v>0</v>
      </c>
      <c r="J566" t="s">
        <v>32</v>
      </c>
    </row>
    <row r="567" spans="1:10" x14ac:dyDescent="0.25">
      <c r="A567" s="1">
        <v>2</v>
      </c>
      <c r="B567" t="s">
        <v>22</v>
      </c>
      <c r="C567">
        <v>6</v>
      </c>
      <c r="D567">
        <v>1</v>
      </c>
      <c r="E567" t="s">
        <v>47</v>
      </c>
      <c r="F567" t="s">
        <v>48</v>
      </c>
      <c r="G567" t="str">
        <f>"2025-12-05 10:46:57.215"</f>
        <v>2025-12-05 10:46:57.215</v>
      </c>
      <c r="H567" t="s">
        <v>49</v>
      </c>
    </row>
    <row r="568" spans="1:10" x14ac:dyDescent="0.25">
      <c r="A568" s="1">
        <v>3</v>
      </c>
      <c r="B568" t="s">
        <v>22</v>
      </c>
      <c r="C568">
        <v>75</v>
      </c>
      <c r="D568">
        <v>1</v>
      </c>
      <c r="E568" t="s">
        <v>50</v>
      </c>
      <c r="F568" t="s">
        <v>51</v>
      </c>
      <c r="G568" t="str">
        <f>"2025-12-05 10:46:57.213"</f>
        <v>2025-12-05 10:46:57.213</v>
      </c>
      <c r="H568" t="s">
        <v>52</v>
      </c>
    </row>
    <row r="569" spans="1:10" x14ac:dyDescent="0.25">
      <c r="A569" s="1">
        <v>4</v>
      </c>
      <c r="B569" t="s">
        <v>22</v>
      </c>
      <c r="C569">
        <v>74</v>
      </c>
      <c r="D569">
        <v>1</v>
      </c>
      <c r="E569" t="s">
        <v>53</v>
      </c>
      <c r="F569" t="s">
        <v>54</v>
      </c>
      <c r="G569" t="str">
        <f>"2025-12-05 10:46:57.211"</f>
        <v>2025-12-05 10:46:57.211</v>
      </c>
      <c r="H569" t="s">
        <v>55</v>
      </c>
    </row>
    <row r="570" spans="1:10" x14ac:dyDescent="0.25">
      <c r="A570" s="1">
        <v>5</v>
      </c>
      <c r="B570" t="s">
        <v>25</v>
      </c>
      <c r="C570">
        <v>75</v>
      </c>
      <c r="D570">
        <v>1</v>
      </c>
      <c r="E570" t="s">
        <v>50</v>
      </c>
      <c r="F570" t="s">
        <v>51</v>
      </c>
      <c r="G570" t="str">
        <f>"2025-12-05 10:46:45.695"</f>
        <v>2025-12-05 10:46:45.695</v>
      </c>
      <c r="H570" t="s">
        <v>52</v>
      </c>
      <c r="I570">
        <v>0</v>
      </c>
      <c r="J570" t="s">
        <v>32</v>
      </c>
    </row>
    <row r="571" spans="1:10" x14ac:dyDescent="0.25">
      <c r="A571" s="1">
        <v>6</v>
      </c>
      <c r="B571" t="s">
        <v>25</v>
      </c>
      <c r="C571">
        <v>74</v>
      </c>
      <c r="D571">
        <v>1</v>
      </c>
      <c r="E571" t="s">
        <v>53</v>
      </c>
      <c r="F571" t="s">
        <v>54</v>
      </c>
      <c r="G571" t="str">
        <f>"2025-12-05 10:46:45.678"</f>
        <v>2025-12-05 10:46:45.678</v>
      </c>
      <c r="H571" t="s">
        <v>55</v>
      </c>
      <c r="I571">
        <v>0</v>
      </c>
      <c r="J571" t="s">
        <v>32</v>
      </c>
    </row>
    <row r="572" spans="1:10" x14ac:dyDescent="0.25">
      <c r="A572" s="1">
        <v>7</v>
      </c>
      <c r="B572" t="s">
        <v>40</v>
      </c>
      <c r="C572">
        <v>6</v>
      </c>
      <c r="D572">
        <v>1</v>
      </c>
      <c r="E572" t="s">
        <v>47</v>
      </c>
      <c r="F572" t="s">
        <v>48</v>
      </c>
      <c r="G572" t="str">
        <f>"2025-12-05 10:46:45.658"</f>
        <v>2025-12-05 10:46:45.658</v>
      </c>
      <c r="H572" t="s">
        <v>49</v>
      </c>
      <c r="I572">
        <v>0</v>
      </c>
      <c r="J572" t="s">
        <v>32</v>
      </c>
    </row>
    <row r="573" spans="1:10" x14ac:dyDescent="0.25">
      <c r="A573" s="1">
        <v>13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"2025-12-04 14:19:36.907"</f>
        <v>2025-12-04 14:19:36.907</v>
      </c>
      <c r="H573" t="s">
        <v>21</v>
      </c>
    </row>
    <row r="574" spans="1:10" s="3" customFormat="1" x14ac:dyDescent="0.25">
      <c r="A574" s="2">
        <v>14</v>
      </c>
      <c r="B574" s="3" t="s">
        <v>22</v>
      </c>
      <c r="C574" s="3">
        <v>647</v>
      </c>
      <c r="D574" s="3">
        <v>1</v>
      </c>
      <c r="E574" s="3" t="s">
        <v>23</v>
      </c>
      <c r="F574" s="3" t="s">
        <v>24</v>
      </c>
      <c r="G574" s="3" t="str">
        <f>"2025-12-04 05:48:56.131"</f>
        <v>2025-12-04 05:48:56.131</v>
      </c>
      <c r="H574" s="3" t="s">
        <v>21</v>
      </c>
    </row>
    <row r="575" spans="1:10" s="3" customFormat="1" x14ac:dyDescent="0.25">
      <c r="A575" s="2">
        <v>15</v>
      </c>
      <c r="B575" s="3" t="s">
        <v>25</v>
      </c>
      <c r="C575" s="3">
        <v>647</v>
      </c>
      <c r="D575" s="3">
        <v>1</v>
      </c>
      <c r="E575" s="3" t="s">
        <v>23</v>
      </c>
      <c r="F575" s="3" t="s">
        <v>24</v>
      </c>
      <c r="G575" s="3" t="str">
        <f>"2025-12-04 05:48:50.231"</f>
        <v>2025-12-04 05:48:50.231</v>
      </c>
      <c r="H575" s="3" t="s">
        <v>21</v>
      </c>
      <c r="I575" s="3">
        <v>11</v>
      </c>
      <c r="J575" s="3" t="s">
        <v>26</v>
      </c>
    </row>
    <row r="576" spans="1:10" s="3" customFormat="1" x14ac:dyDescent="0.25">
      <c r="A576" s="2">
        <v>22</v>
      </c>
      <c r="B576" s="3" t="s">
        <v>22</v>
      </c>
      <c r="C576" s="3">
        <v>647</v>
      </c>
      <c r="D576" s="3">
        <v>1</v>
      </c>
      <c r="E576" s="3" t="s">
        <v>23</v>
      </c>
      <c r="F576" s="3" t="s">
        <v>24</v>
      </c>
      <c r="G576" s="3" t="str">
        <f>"2025-12-01 09:39:54.531"</f>
        <v>2025-12-01 09:39:54.531</v>
      </c>
      <c r="H576" s="3" t="s">
        <v>21</v>
      </c>
    </row>
    <row r="577" spans="1:10" s="3" customFormat="1" x14ac:dyDescent="0.25">
      <c r="A577" s="2">
        <v>23</v>
      </c>
      <c r="B577" s="3" t="s">
        <v>25</v>
      </c>
      <c r="C577" s="3">
        <v>647</v>
      </c>
      <c r="D577" s="3">
        <v>1</v>
      </c>
      <c r="E577" s="3" t="s">
        <v>23</v>
      </c>
      <c r="F577" s="3" t="s">
        <v>24</v>
      </c>
      <c r="G577" s="3" t="str">
        <f>"2025-12-01 09:39:50.831"</f>
        <v>2025-12-01 09:39:50.831</v>
      </c>
      <c r="H577" s="3" t="s">
        <v>21</v>
      </c>
      <c r="I577" s="3">
        <v>22.29</v>
      </c>
      <c r="J577" s="3" t="s">
        <v>26</v>
      </c>
    </row>
    <row r="578" spans="1:10" s="3" customFormat="1" x14ac:dyDescent="0.25">
      <c r="A578" s="2">
        <v>24</v>
      </c>
      <c r="B578" s="3" t="s">
        <v>22</v>
      </c>
      <c r="C578" s="3">
        <v>647</v>
      </c>
      <c r="D578" s="3">
        <v>1</v>
      </c>
      <c r="E578" s="3" t="s">
        <v>23</v>
      </c>
      <c r="F578" s="3" t="s">
        <v>24</v>
      </c>
      <c r="G578" s="3" t="str">
        <f>"2025-12-01 09:39:21.931"</f>
        <v>2025-12-01 09:39:21.931</v>
      </c>
      <c r="H578" s="3" t="s">
        <v>21</v>
      </c>
    </row>
    <row r="579" spans="1:10" s="3" customFormat="1" x14ac:dyDescent="0.25">
      <c r="A579" s="2">
        <v>25</v>
      </c>
      <c r="B579" s="3" t="s">
        <v>25</v>
      </c>
      <c r="C579" s="3">
        <v>647</v>
      </c>
      <c r="D579" s="3">
        <v>1</v>
      </c>
      <c r="E579" s="3" t="s">
        <v>23</v>
      </c>
      <c r="F579" s="3" t="s">
        <v>24</v>
      </c>
      <c r="G579" s="3" t="str">
        <f>"2025-12-01 09:39:20.831"</f>
        <v>2025-12-01 09:39:20.831</v>
      </c>
      <c r="H579" s="3" t="s">
        <v>21</v>
      </c>
      <c r="I579" s="3">
        <v>21.1</v>
      </c>
      <c r="J579" s="3" t="s">
        <v>26</v>
      </c>
    </row>
    <row r="580" spans="1:10" x14ac:dyDescent="0.25">
      <c r="A580" s="1">
        <v>26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"2025-11-30 13:44:35.929"</f>
        <v>2025-11-30 13:44:35.929</v>
      </c>
      <c r="H580" t="s">
        <v>21</v>
      </c>
      <c r="I580">
        <v>0</v>
      </c>
      <c r="J580" t="s">
        <v>33</v>
      </c>
    </row>
    <row r="581" spans="1:10" s="3" customFormat="1" x14ac:dyDescent="0.25">
      <c r="A581" s="2">
        <v>27</v>
      </c>
      <c r="B581" s="3" t="s">
        <v>22</v>
      </c>
      <c r="C581" s="3">
        <v>647</v>
      </c>
      <c r="D581" s="3">
        <v>1</v>
      </c>
      <c r="E581" s="3" t="s">
        <v>23</v>
      </c>
      <c r="F581" s="3" t="s">
        <v>24</v>
      </c>
      <c r="G581" s="3" t="str">
        <f>"2025-11-29 21:13:36.942"</f>
        <v>2025-11-29 21:13:36.942</v>
      </c>
      <c r="H581" s="3" t="s">
        <v>21</v>
      </c>
    </row>
    <row r="582" spans="1:10" s="3" customFormat="1" x14ac:dyDescent="0.25">
      <c r="A582" s="2">
        <v>28</v>
      </c>
      <c r="B582" s="3" t="s">
        <v>25</v>
      </c>
      <c r="C582" s="3">
        <v>647</v>
      </c>
      <c r="D582" s="3">
        <v>1</v>
      </c>
      <c r="E582" s="3" t="s">
        <v>23</v>
      </c>
      <c r="F582" s="3" t="s">
        <v>24</v>
      </c>
      <c r="G582" s="3" t="str">
        <f>"2025-11-29 21:13:33.642"</f>
        <v>2025-11-29 21:13:33.642</v>
      </c>
      <c r="H582" s="3" t="s">
        <v>21</v>
      </c>
      <c r="I582" s="3">
        <v>17.25</v>
      </c>
      <c r="J582" s="3" t="s">
        <v>26</v>
      </c>
    </row>
    <row r="583" spans="1:10" s="3" customFormat="1" x14ac:dyDescent="0.25">
      <c r="A583" s="2">
        <v>29</v>
      </c>
      <c r="B583" s="3" t="s">
        <v>22</v>
      </c>
      <c r="C583" s="3">
        <v>647</v>
      </c>
      <c r="D583" s="3">
        <v>1</v>
      </c>
      <c r="E583" s="3" t="s">
        <v>23</v>
      </c>
      <c r="F583" s="3" t="s">
        <v>24</v>
      </c>
      <c r="G583" s="3" t="str">
        <f>"2025-11-29 18:11:31.242"</f>
        <v>2025-11-29 18:11:31.242</v>
      </c>
      <c r="H583" s="3" t="s">
        <v>21</v>
      </c>
    </row>
    <row r="584" spans="1:10" s="3" customFormat="1" x14ac:dyDescent="0.25">
      <c r="A584" s="2">
        <v>30</v>
      </c>
      <c r="B584" s="3" t="s">
        <v>25</v>
      </c>
      <c r="C584" s="3">
        <v>647</v>
      </c>
      <c r="D584" s="3">
        <v>1</v>
      </c>
      <c r="E584" s="3" t="s">
        <v>23</v>
      </c>
      <c r="F584" s="3" t="s">
        <v>24</v>
      </c>
      <c r="G584" s="3" t="str">
        <f>"2025-11-29 18:11:27.542"</f>
        <v>2025-11-29 18:11:27.542</v>
      </c>
      <c r="H584" s="3" t="s">
        <v>21</v>
      </c>
      <c r="I584" s="3">
        <v>8.8699999999999992</v>
      </c>
      <c r="J584" s="3" t="s">
        <v>26</v>
      </c>
    </row>
    <row r="585" spans="1:10" s="3" customFormat="1" x14ac:dyDescent="0.25">
      <c r="A585" s="2">
        <v>31</v>
      </c>
      <c r="B585" s="3" t="s">
        <v>22</v>
      </c>
      <c r="C585" s="3">
        <v>647</v>
      </c>
      <c r="D585" s="3">
        <v>1</v>
      </c>
      <c r="E585" s="3" t="s">
        <v>23</v>
      </c>
      <c r="F585" s="3" t="s">
        <v>24</v>
      </c>
      <c r="G585" s="3" t="str">
        <f>"2025-11-28 12:46:44.342"</f>
        <v>2025-11-28 12:46:44.342</v>
      </c>
      <c r="H585" s="3" t="s">
        <v>21</v>
      </c>
    </row>
    <row r="586" spans="1:10" s="3" customFormat="1" x14ac:dyDescent="0.25">
      <c r="A586" s="2">
        <v>32</v>
      </c>
      <c r="B586" s="3" t="s">
        <v>25</v>
      </c>
      <c r="C586" s="3">
        <v>647</v>
      </c>
      <c r="D586" s="3">
        <v>1</v>
      </c>
      <c r="E586" s="3" t="s">
        <v>23</v>
      </c>
      <c r="F586" s="3" t="s">
        <v>24</v>
      </c>
      <c r="G586" s="3" t="str">
        <f>"2025-11-28 12:46:42.742"</f>
        <v>2025-11-28 12:46:42.742</v>
      </c>
      <c r="H586" s="3" t="s">
        <v>21</v>
      </c>
      <c r="I586" s="3">
        <v>15.75</v>
      </c>
      <c r="J586" s="3" t="s">
        <v>26</v>
      </c>
    </row>
    <row r="587" spans="1:10" s="3" customFormat="1" x14ac:dyDescent="0.25">
      <c r="A587" s="2">
        <v>33</v>
      </c>
      <c r="B587" s="3" t="s">
        <v>22</v>
      </c>
      <c r="C587" s="3">
        <v>647</v>
      </c>
      <c r="D587" s="3">
        <v>1</v>
      </c>
      <c r="E587" s="3" t="s">
        <v>23</v>
      </c>
      <c r="F587" s="3" t="s">
        <v>24</v>
      </c>
      <c r="G587" s="3" t="str">
        <f>"2025-11-28 08:00:58.442"</f>
        <v>2025-11-28 08:00:58.442</v>
      </c>
      <c r="H587" s="3" t="s">
        <v>21</v>
      </c>
    </row>
    <row r="588" spans="1:10" s="3" customFormat="1" x14ac:dyDescent="0.25">
      <c r="A588" s="2">
        <v>34</v>
      </c>
      <c r="B588" s="3" t="s">
        <v>25</v>
      </c>
      <c r="C588" s="3">
        <v>647</v>
      </c>
      <c r="D588" s="3">
        <v>1</v>
      </c>
      <c r="E588" s="3" t="s">
        <v>23</v>
      </c>
      <c r="F588" s="3" t="s">
        <v>24</v>
      </c>
      <c r="G588" s="3" t="str">
        <f>"2025-11-28 08:00:54.942"</f>
        <v>2025-11-28 08:00:54.942</v>
      </c>
      <c r="H588" s="3" t="s">
        <v>21</v>
      </c>
      <c r="I588" s="3">
        <v>9.9499999999999993</v>
      </c>
      <c r="J588" s="3" t="s">
        <v>26</v>
      </c>
    </row>
    <row r="589" spans="1:10" x14ac:dyDescent="0.25">
      <c r="A589" s="1">
        <v>35</v>
      </c>
      <c r="B589" t="s">
        <v>19</v>
      </c>
      <c r="C589">
        <v>706</v>
      </c>
      <c r="D589">
        <v>2</v>
      </c>
      <c r="E589" t="s">
        <v>30</v>
      </c>
      <c r="F589" t="s">
        <v>31</v>
      </c>
      <c r="G589" t="str">
        <f>"2025-11-26 23:14:08.561"</f>
        <v>2025-11-26 23:14:08.561</v>
      </c>
      <c r="H589" t="s">
        <v>21</v>
      </c>
      <c r="I589">
        <v>0</v>
      </c>
      <c r="J589" t="s">
        <v>32</v>
      </c>
    </row>
    <row r="590" spans="1:10" x14ac:dyDescent="0.25">
      <c r="A590" s="1">
        <v>36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"2025-11-26 23:09:05.921"</f>
        <v>2025-11-26 23:09:05.921</v>
      </c>
      <c r="H590" t="s">
        <v>21</v>
      </c>
      <c r="I590">
        <v>0</v>
      </c>
      <c r="J590" t="s">
        <v>33</v>
      </c>
    </row>
    <row r="591" spans="1:10" x14ac:dyDescent="0.25">
      <c r="A591" s="1">
        <v>37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"2025-11-26 20:55:52.928"</f>
        <v>2025-11-26 20:55:52.928</v>
      </c>
      <c r="H591" t="s">
        <v>21</v>
      </c>
      <c r="I591">
        <v>0</v>
      </c>
      <c r="J591" t="s">
        <v>33</v>
      </c>
    </row>
    <row r="592" spans="1:10" x14ac:dyDescent="0.25">
      <c r="A592" s="1">
        <v>38</v>
      </c>
      <c r="B592" t="s">
        <v>22</v>
      </c>
      <c r="C592">
        <v>635</v>
      </c>
      <c r="D592">
        <v>1</v>
      </c>
      <c r="E592" t="s">
        <v>27</v>
      </c>
      <c r="F592" t="s">
        <v>28</v>
      </c>
      <c r="G592" t="str">
        <f>"2025-11-26 09:15:42.630"</f>
        <v>2025-11-26 09:15:42.630</v>
      </c>
      <c r="H592" t="s">
        <v>21</v>
      </c>
    </row>
    <row r="593" spans="1:10" x14ac:dyDescent="0.25">
      <c r="A593" s="1">
        <v>39</v>
      </c>
      <c r="B593" t="s">
        <v>25</v>
      </c>
      <c r="C593">
        <v>635</v>
      </c>
      <c r="D593">
        <v>1</v>
      </c>
      <c r="E593" t="s">
        <v>27</v>
      </c>
      <c r="F593" t="s">
        <v>28</v>
      </c>
      <c r="G593" t="str">
        <f>"2025-11-26 09:12:28.130"</f>
        <v>2025-11-26 09:12:28.130</v>
      </c>
      <c r="H593" t="s">
        <v>21</v>
      </c>
      <c r="I593">
        <v>9.19</v>
      </c>
      <c r="J593" t="s">
        <v>26</v>
      </c>
    </row>
    <row r="594" spans="1:10" x14ac:dyDescent="0.25">
      <c r="A594" s="1">
        <v>40</v>
      </c>
      <c r="B594" t="s">
        <v>22</v>
      </c>
      <c r="C594">
        <v>61</v>
      </c>
      <c r="D594">
        <v>2</v>
      </c>
      <c r="E594" t="s">
        <v>41</v>
      </c>
      <c r="F594" t="s">
        <v>42</v>
      </c>
      <c r="G594" t="str">
        <f>"2025-11-25 22:05:58.391"</f>
        <v>2025-11-25 22:05:58.391</v>
      </c>
      <c r="H594" t="s">
        <v>21</v>
      </c>
    </row>
    <row r="595" spans="1:10" x14ac:dyDescent="0.25">
      <c r="A595" s="1">
        <v>41</v>
      </c>
      <c r="B595" t="s">
        <v>40</v>
      </c>
      <c r="C595">
        <v>61</v>
      </c>
      <c r="D595">
        <v>2</v>
      </c>
      <c r="E595" t="s">
        <v>41</v>
      </c>
      <c r="F595" t="s">
        <v>42</v>
      </c>
      <c r="G595" t="str">
        <f>"2025-11-25 22:05:44.291"</f>
        <v>2025-11-25 22:05:44.291</v>
      </c>
      <c r="H595" t="s">
        <v>21</v>
      </c>
      <c r="I595">
        <v>37.07</v>
      </c>
      <c r="J595" t="s">
        <v>26</v>
      </c>
    </row>
    <row r="596" spans="1:10" x14ac:dyDescent="0.25">
      <c r="A596" s="1">
        <v>42</v>
      </c>
      <c r="B596" t="s">
        <v>22</v>
      </c>
      <c r="C596">
        <v>635</v>
      </c>
      <c r="D596">
        <v>1</v>
      </c>
      <c r="E596" t="s">
        <v>27</v>
      </c>
      <c r="F596" t="s">
        <v>28</v>
      </c>
      <c r="G596" t="str">
        <f>"2025-11-25 21:30:36.630"</f>
        <v>2025-11-25 21:30:36.630</v>
      </c>
      <c r="H596" t="s">
        <v>21</v>
      </c>
    </row>
    <row r="597" spans="1:10" x14ac:dyDescent="0.25">
      <c r="A597" s="1">
        <v>43</v>
      </c>
      <c r="B597" t="s">
        <v>25</v>
      </c>
      <c r="C597">
        <v>635</v>
      </c>
      <c r="D597">
        <v>1</v>
      </c>
      <c r="E597" t="s">
        <v>27</v>
      </c>
      <c r="F597" t="s">
        <v>28</v>
      </c>
      <c r="G597" t="str">
        <f>"2025-11-25 21:06:24.730"</f>
        <v>2025-11-25 21:06:24.730</v>
      </c>
      <c r="H597" t="s">
        <v>21</v>
      </c>
      <c r="I597">
        <v>8.84</v>
      </c>
      <c r="J597" t="s">
        <v>29</v>
      </c>
    </row>
    <row r="598" spans="1:10" x14ac:dyDescent="0.25">
      <c r="A598" s="1">
        <v>44</v>
      </c>
      <c r="B598" t="s">
        <v>19</v>
      </c>
      <c r="C598">
        <v>706</v>
      </c>
      <c r="D598">
        <v>2</v>
      </c>
      <c r="E598" t="s">
        <v>30</v>
      </c>
      <c r="F598" t="s">
        <v>31</v>
      </c>
      <c r="G598" t="str">
        <f>"2025-11-24 19:58:23.287"</f>
        <v>2025-11-24 19:58:23.287</v>
      </c>
      <c r="H598" t="s">
        <v>21</v>
      </c>
      <c r="I598">
        <v>0</v>
      </c>
      <c r="J598" t="s">
        <v>32</v>
      </c>
    </row>
    <row r="599" spans="1:10" x14ac:dyDescent="0.25">
      <c r="A599" s="1">
        <v>45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"2025-11-24 19:47:49.067"</f>
        <v>2025-11-24 19:47:49.067</v>
      </c>
      <c r="H599" t="s">
        <v>21</v>
      </c>
    </row>
    <row r="600" spans="1:10" x14ac:dyDescent="0.25">
      <c r="A600" s="1">
        <v>46</v>
      </c>
      <c r="B600" t="s">
        <v>22</v>
      </c>
      <c r="C600">
        <v>635</v>
      </c>
      <c r="D600">
        <v>1</v>
      </c>
      <c r="E600" t="s">
        <v>27</v>
      </c>
      <c r="F600" t="s">
        <v>28</v>
      </c>
      <c r="G600" t="str">
        <f>"2025-11-23 15:22:05.211"</f>
        <v>2025-11-23 15:22:05.211</v>
      </c>
      <c r="H600" t="s">
        <v>21</v>
      </c>
    </row>
    <row r="601" spans="1:10" x14ac:dyDescent="0.25">
      <c r="A601" s="1">
        <v>47</v>
      </c>
      <c r="B601" t="s">
        <v>25</v>
      </c>
      <c r="C601">
        <v>635</v>
      </c>
      <c r="D601">
        <v>1</v>
      </c>
      <c r="E601" t="s">
        <v>27</v>
      </c>
      <c r="F601" t="s">
        <v>28</v>
      </c>
      <c r="G601" t="str">
        <f>"2025-11-23 15:18:05.211"</f>
        <v>2025-11-23 15:18:05.211</v>
      </c>
      <c r="H601" t="s">
        <v>21</v>
      </c>
      <c r="I601">
        <v>6.67</v>
      </c>
      <c r="J601" t="s">
        <v>29</v>
      </c>
    </row>
    <row r="602" spans="1:10" s="3" customFormat="1" x14ac:dyDescent="0.25">
      <c r="A602" s="2">
        <v>48</v>
      </c>
      <c r="B602" s="3" t="s">
        <v>22</v>
      </c>
      <c r="C602" s="3">
        <v>647</v>
      </c>
      <c r="D602" s="3">
        <v>1</v>
      </c>
      <c r="E602" s="3" t="s">
        <v>23</v>
      </c>
      <c r="F602" s="3" t="s">
        <v>24</v>
      </c>
      <c r="G602" s="3" t="str">
        <f>"2025-11-23 06:42:15.211"</f>
        <v>2025-11-23 06:42:15.211</v>
      </c>
      <c r="H602" s="3" t="s">
        <v>21</v>
      </c>
    </row>
    <row r="603" spans="1:10" s="3" customFormat="1" x14ac:dyDescent="0.25">
      <c r="A603" s="2">
        <v>49</v>
      </c>
      <c r="B603" s="3" t="s">
        <v>25</v>
      </c>
      <c r="C603" s="3">
        <v>647</v>
      </c>
      <c r="D603" s="3">
        <v>1</v>
      </c>
      <c r="E603" s="3" t="s">
        <v>23</v>
      </c>
      <c r="F603" s="3" t="s">
        <v>24</v>
      </c>
      <c r="G603" s="3" t="str">
        <f>"2025-11-23 06:42:10.312"</f>
        <v>2025-11-23 06:42:10.312</v>
      </c>
      <c r="H603" s="3" t="s">
        <v>21</v>
      </c>
      <c r="I603" s="3">
        <v>8.75</v>
      </c>
      <c r="J603" s="3" t="s">
        <v>26</v>
      </c>
    </row>
    <row r="604" spans="1:10" x14ac:dyDescent="0.25">
      <c r="A604" s="1">
        <v>50</v>
      </c>
      <c r="B604" t="s">
        <v>19</v>
      </c>
      <c r="C604">
        <v>706</v>
      </c>
      <c r="D604">
        <v>2</v>
      </c>
      <c r="E604" t="s">
        <v>30</v>
      </c>
      <c r="F604" t="s">
        <v>31</v>
      </c>
      <c r="G604" t="str">
        <f>"2025-11-22 04:45:57.613"</f>
        <v>2025-11-22 04:45:57.613</v>
      </c>
      <c r="H604" t="s">
        <v>21</v>
      </c>
      <c r="I604">
        <v>0</v>
      </c>
      <c r="J604" t="s">
        <v>32</v>
      </c>
    </row>
    <row r="605" spans="1:10" x14ac:dyDescent="0.25">
      <c r="A605" s="1">
        <v>51</v>
      </c>
      <c r="B605" t="s">
        <v>19</v>
      </c>
      <c r="C605">
        <v>706</v>
      </c>
      <c r="D605">
        <v>4</v>
      </c>
      <c r="E605" t="s">
        <v>30</v>
      </c>
      <c r="F605" t="s">
        <v>34</v>
      </c>
      <c r="G605" t="str">
        <f>"2025-11-22 04:30:47.223"</f>
        <v>2025-11-22 04:30:47.223</v>
      </c>
      <c r="H605" t="s">
        <v>21</v>
      </c>
      <c r="I605">
        <v>0</v>
      </c>
      <c r="J605" t="s">
        <v>32</v>
      </c>
    </row>
    <row r="606" spans="1:10" x14ac:dyDescent="0.25">
      <c r="A606" s="1">
        <v>52</v>
      </c>
      <c r="B606" t="s">
        <v>19</v>
      </c>
      <c r="C606">
        <v>706</v>
      </c>
      <c r="D606">
        <v>4</v>
      </c>
      <c r="E606" t="s">
        <v>30</v>
      </c>
      <c r="F606" t="s">
        <v>34</v>
      </c>
      <c r="G606" t="str">
        <f>"2025-11-22 04:26:14.013"</f>
        <v>2025-11-22 04:26:14.013</v>
      </c>
      <c r="H606" t="s">
        <v>21</v>
      </c>
      <c r="I606">
        <v>0</v>
      </c>
      <c r="J606" t="s">
        <v>32</v>
      </c>
    </row>
    <row r="607" spans="1:10" x14ac:dyDescent="0.25">
      <c r="A607" s="1">
        <v>53</v>
      </c>
      <c r="B607" t="s">
        <v>19</v>
      </c>
      <c r="C607">
        <v>706</v>
      </c>
      <c r="D607">
        <v>2</v>
      </c>
      <c r="E607" t="s">
        <v>30</v>
      </c>
      <c r="F607" t="s">
        <v>31</v>
      </c>
      <c r="G607" t="str">
        <f>"2025-11-22 04:20:29.513"</f>
        <v>2025-11-22 04:20:29.513</v>
      </c>
      <c r="H607" t="s">
        <v>21</v>
      </c>
      <c r="I607">
        <v>0</v>
      </c>
      <c r="J607" t="s">
        <v>32</v>
      </c>
    </row>
    <row r="608" spans="1:10" x14ac:dyDescent="0.25">
      <c r="A608" s="1">
        <v>54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"2025-11-22 04:06:52.883"</f>
        <v>2025-11-22 04:06:52.883</v>
      </c>
      <c r="H608" t="s">
        <v>21</v>
      </c>
    </row>
    <row r="609" spans="1:10" x14ac:dyDescent="0.25">
      <c r="A609" s="1">
        <v>55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"2025-11-22 02:53:35.891"</f>
        <v>2025-11-22 02:53:35.891</v>
      </c>
      <c r="H609" t="s">
        <v>21</v>
      </c>
      <c r="I609">
        <v>0</v>
      </c>
      <c r="J609" t="s">
        <v>33</v>
      </c>
    </row>
    <row r="610" spans="1:10" x14ac:dyDescent="0.25">
      <c r="A610" s="1">
        <v>56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"2025-11-22 02:18:04.889"</f>
        <v>2025-11-22 02:18:04.889</v>
      </c>
      <c r="H610" t="s">
        <v>21</v>
      </c>
    </row>
    <row r="611" spans="1:10" x14ac:dyDescent="0.25">
      <c r="A611" s="1">
        <v>57</v>
      </c>
      <c r="B611" t="s">
        <v>19</v>
      </c>
      <c r="C611">
        <v>706</v>
      </c>
      <c r="D611">
        <v>4</v>
      </c>
      <c r="E611" t="s">
        <v>30</v>
      </c>
      <c r="F611" t="s">
        <v>34</v>
      </c>
      <c r="G611" t="str">
        <f>"2025-11-21 22:11:11.673"</f>
        <v>2025-11-21 22:11:11.673</v>
      </c>
      <c r="H611" t="s">
        <v>21</v>
      </c>
      <c r="I611">
        <v>0</v>
      </c>
      <c r="J611" t="s">
        <v>32</v>
      </c>
    </row>
    <row r="612" spans="1:10" x14ac:dyDescent="0.25">
      <c r="A612" s="1">
        <v>58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"2025-11-21 22:10:57.883"</f>
        <v>2025-11-21 22:10:57.883</v>
      </c>
      <c r="H612" t="s">
        <v>21</v>
      </c>
    </row>
    <row r="613" spans="1:10" x14ac:dyDescent="0.25">
      <c r="A613" s="1">
        <v>59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"2025-11-21 20:09:52.885"</f>
        <v>2025-11-21 20:09:52.885</v>
      </c>
      <c r="H613" t="s">
        <v>21</v>
      </c>
      <c r="I613">
        <v>0</v>
      </c>
      <c r="J613" t="s">
        <v>33</v>
      </c>
    </row>
    <row r="614" spans="1:10" x14ac:dyDescent="0.25">
      <c r="A614" s="1">
        <v>60</v>
      </c>
      <c r="B614" t="s">
        <v>19</v>
      </c>
      <c r="C614">
        <v>700</v>
      </c>
      <c r="D614">
        <v>0</v>
      </c>
      <c r="E614" t="s">
        <v>20</v>
      </c>
      <c r="F614" t="s">
        <v>20</v>
      </c>
      <c r="G614" t="str">
        <f>"2025-11-21 18:46:52.011"</f>
        <v>2025-11-21 18:46:52.011</v>
      </c>
      <c r="H614" t="s">
        <v>21</v>
      </c>
      <c r="I614">
        <v>0</v>
      </c>
      <c r="J614" t="s">
        <v>33</v>
      </c>
    </row>
    <row r="615" spans="1:10" x14ac:dyDescent="0.25">
      <c r="A615" s="1">
        <v>61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"2025-11-21 17:26:01.892"</f>
        <v>2025-11-21 17:26:01.892</v>
      </c>
      <c r="H615" t="s">
        <v>21</v>
      </c>
    </row>
    <row r="616" spans="1:10" x14ac:dyDescent="0.25">
      <c r="A616" s="1">
        <v>62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"2025-11-21 16:53:33.985"</f>
        <v>2025-11-21 16:53:33.985</v>
      </c>
      <c r="H616" t="s">
        <v>21</v>
      </c>
    </row>
    <row r="617" spans="1:10" x14ac:dyDescent="0.25">
      <c r="A617" s="1">
        <v>63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"2025-11-21 14:49:39.882"</f>
        <v>2025-11-21 14:49:39.882</v>
      </c>
      <c r="H617" t="s">
        <v>21</v>
      </c>
      <c r="I617">
        <v>0</v>
      </c>
      <c r="J617" t="s">
        <v>33</v>
      </c>
    </row>
    <row r="618" spans="1:10" x14ac:dyDescent="0.25">
      <c r="A618" s="1">
        <v>64</v>
      </c>
      <c r="B618" t="s">
        <v>19</v>
      </c>
      <c r="C618">
        <v>706</v>
      </c>
      <c r="D618">
        <v>3</v>
      </c>
      <c r="E618" t="s">
        <v>30</v>
      </c>
      <c r="F618" t="s">
        <v>36</v>
      </c>
      <c r="G618" t="str">
        <f>"2025-11-21 14:13:47.762"</f>
        <v>2025-11-21 14:13:47.762</v>
      </c>
      <c r="H618" t="s">
        <v>21</v>
      </c>
      <c r="I618">
        <v>0</v>
      </c>
      <c r="J618" t="s">
        <v>32</v>
      </c>
    </row>
    <row r="619" spans="1:10" x14ac:dyDescent="0.25">
      <c r="A619" s="1">
        <v>65</v>
      </c>
      <c r="B619" t="s">
        <v>19</v>
      </c>
      <c r="C619">
        <v>706</v>
      </c>
      <c r="D619">
        <v>4</v>
      </c>
      <c r="E619" t="s">
        <v>30</v>
      </c>
      <c r="F619" t="s">
        <v>34</v>
      </c>
      <c r="G619" t="str">
        <f>"2025-11-21 13:36:46.262"</f>
        <v>2025-11-21 13:36:46.262</v>
      </c>
      <c r="H619" t="s">
        <v>21</v>
      </c>
      <c r="I619">
        <v>0</v>
      </c>
      <c r="J619" t="s">
        <v>32</v>
      </c>
    </row>
    <row r="620" spans="1:10" x14ac:dyDescent="0.25">
      <c r="A620" s="1">
        <v>66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"2025-11-21 13:35:52.892"</f>
        <v>2025-11-21 13:35:52.892</v>
      </c>
      <c r="H620" t="s">
        <v>21</v>
      </c>
      <c r="I620">
        <v>0</v>
      </c>
      <c r="J620" t="s">
        <v>33</v>
      </c>
    </row>
    <row r="621" spans="1:10" x14ac:dyDescent="0.25">
      <c r="A621" s="1">
        <v>67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"2025-11-21 09:58:56.925"</f>
        <v>2025-11-21 09:58:56.925</v>
      </c>
      <c r="H621" t="s">
        <v>21</v>
      </c>
      <c r="I621">
        <v>0</v>
      </c>
      <c r="J621" t="s">
        <v>33</v>
      </c>
    </row>
    <row r="622" spans="1:10" s="3" customFormat="1" x14ac:dyDescent="0.25">
      <c r="A622" s="2">
        <v>68</v>
      </c>
      <c r="B622" s="3" t="s">
        <v>22</v>
      </c>
      <c r="C622" s="3">
        <v>647</v>
      </c>
      <c r="D622" s="3">
        <v>1</v>
      </c>
      <c r="E622" s="3" t="s">
        <v>23</v>
      </c>
      <c r="F622" s="3" t="s">
        <v>24</v>
      </c>
      <c r="G622" s="3" t="str">
        <f>"2025-11-20 06:35:29.826"</f>
        <v>2025-11-20 06:35:29.826</v>
      </c>
      <c r="H622" s="3" t="s">
        <v>21</v>
      </c>
    </row>
    <row r="623" spans="1:10" s="3" customFormat="1" x14ac:dyDescent="0.25">
      <c r="A623" s="2">
        <v>69</v>
      </c>
      <c r="B623" s="3" t="s">
        <v>25</v>
      </c>
      <c r="C623" s="3">
        <v>647</v>
      </c>
      <c r="D623" s="3">
        <v>1</v>
      </c>
      <c r="E623" s="3" t="s">
        <v>23</v>
      </c>
      <c r="F623" s="3" t="s">
        <v>24</v>
      </c>
      <c r="G623" s="3" t="str">
        <f>"2025-11-20 06:35:22.326"</f>
        <v>2025-11-20 06:35:22.326</v>
      </c>
      <c r="H623" s="3" t="s">
        <v>21</v>
      </c>
      <c r="I623" s="3">
        <v>12.69</v>
      </c>
      <c r="J623" s="3" t="s">
        <v>26</v>
      </c>
    </row>
    <row r="624" spans="1:10" x14ac:dyDescent="0.25">
      <c r="A624" s="1">
        <v>70</v>
      </c>
      <c r="B624" t="s">
        <v>22</v>
      </c>
      <c r="C624">
        <v>635</v>
      </c>
      <c r="D624">
        <v>1</v>
      </c>
      <c r="E624" t="s">
        <v>27</v>
      </c>
      <c r="F624" t="s">
        <v>28</v>
      </c>
      <c r="G624" t="str">
        <f>"2025-11-18 14:47:25.772"</f>
        <v>2025-11-18 14:47:25.772</v>
      </c>
      <c r="H624" t="s">
        <v>21</v>
      </c>
    </row>
    <row r="625" spans="1:10" x14ac:dyDescent="0.25">
      <c r="A625" s="1">
        <v>71</v>
      </c>
      <c r="B625" t="s">
        <v>25</v>
      </c>
      <c r="C625">
        <v>635</v>
      </c>
      <c r="D625">
        <v>1</v>
      </c>
      <c r="E625" t="s">
        <v>27</v>
      </c>
      <c r="F625" t="s">
        <v>28</v>
      </c>
      <c r="G625" t="str">
        <f>"2025-11-18 14:40:05.772"</f>
        <v>2025-11-18 14:40:05.772</v>
      </c>
      <c r="H625" t="s">
        <v>21</v>
      </c>
      <c r="I625">
        <v>1.1200000000000001</v>
      </c>
      <c r="J625" t="s">
        <v>29</v>
      </c>
    </row>
    <row r="626" spans="1:10" x14ac:dyDescent="0.25">
      <c r="A626" s="1">
        <v>75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"2025-11-16 00:16:23.901"</f>
        <v>2025-11-16 00:16:23.901</v>
      </c>
      <c r="H626" t="s">
        <v>21</v>
      </c>
    </row>
    <row r="627" spans="1:10" x14ac:dyDescent="0.25">
      <c r="A627" s="1">
        <v>76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"2025-11-15 23:45:43.886"</f>
        <v>2025-11-15 23:45:43.886</v>
      </c>
      <c r="H627" t="s">
        <v>21</v>
      </c>
    </row>
    <row r="628" spans="1:10" x14ac:dyDescent="0.25">
      <c r="A628" s="1">
        <v>77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"2025-11-15 23:21:58.880"</f>
        <v>2025-11-15 23:21:58.880</v>
      </c>
      <c r="H628" t="s">
        <v>21</v>
      </c>
    </row>
    <row r="629" spans="1:10" x14ac:dyDescent="0.25">
      <c r="A629" s="1">
        <v>78</v>
      </c>
      <c r="B629" t="s">
        <v>19</v>
      </c>
      <c r="C629">
        <v>706</v>
      </c>
      <c r="D629">
        <v>4</v>
      </c>
      <c r="E629" t="s">
        <v>30</v>
      </c>
      <c r="F629" t="s">
        <v>34</v>
      </c>
      <c r="G629" t="str">
        <f>"2025-11-15 22:57:54.273"</f>
        <v>2025-11-15 22:57:54.273</v>
      </c>
      <c r="H629" t="s">
        <v>21</v>
      </c>
      <c r="I629">
        <v>0</v>
      </c>
      <c r="J629" t="s">
        <v>32</v>
      </c>
    </row>
    <row r="630" spans="1:10" x14ac:dyDescent="0.25">
      <c r="A630" s="1">
        <v>79</v>
      </c>
      <c r="B630" t="s">
        <v>19</v>
      </c>
      <c r="C630">
        <v>706</v>
      </c>
      <c r="D630">
        <v>4</v>
      </c>
      <c r="E630" t="s">
        <v>30</v>
      </c>
      <c r="F630" t="s">
        <v>34</v>
      </c>
      <c r="G630" t="str">
        <f>"2025-11-15 22:57:29.273"</f>
        <v>2025-11-15 22:57:29.273</v>
      </c>
      <c r="H630" t="s">
        <v>21</v>
      </c>
      <c r="I630">
        <v>0</v>
      </c>
      <c r="J630" t="s">
        <v>32</v>
      </c>
    </row>
    <row r="631" spans="1:10" x14ac:dyDescent="0.25">
      <c r="A631" s="1">
        <v>80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"2025-11-15 22:50:23.893"</f>
        <v>2025-11-15 22:50:23.893</v>
      </c>
      <c r="H631" t="s">
        <v>21</v>
      </c>
      <c r="I631">
        <v>0</v>
      </c>
      <c r="J631" t="s">
        <v>33</v>
      </c>
    </row>
    <row r="632" spans="1:10" x14ac:dyDescent="0.25">
      <c r="A632" s="1">
        <v>81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"2025-11-15 22:10:32.130"</f>
        <v>2025-11-15 22:10:32.130</v>
      </c>
      <c r="H632" t="s">
        <v>21</v>
      </c>
    </row>
    <row r="633" spans="1:10" x14ac:dyDescent="0.25">
      <c r="A633" s="1">
        <v>82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"2025-11-15 20:27:12.028"</f>
        <v>2025-11-15 20:27:12.028</v>
      </c>
      <c r="H633" t="s">
        <v>21</v>
      </c>
      <c r="I633">
        <v>0</v>
      </c>
      <c r="J633" t="s">
        <v>33</v>
      </c>
    </row>
    <row r="634" spans="1:10" s="3" customFormat="1" x14ac:dyDescent="0.25">
      <c r="A634" s="2">
        <v>84</v>
      </c>
      <c r="B634" s="3" t="s">
        <v>22</v>
      </c>
      <c r="C634" s="3">
        <v>647</v>
      </c>
      <c r="D634" s="3">
        <v>1</v>
      </c>
      <c r="E634" s="3" t="s">
        <v>23</v>
      </c>
      <c r="F634" s="3" t="s">
        <v>24</v>
      </c>
      <c r="G634" s="3" t="str">
        <f>"2025-11-11 23:37:26.925"</f>
        <v>2025-11-11 23:37:26.925</v>
      </c>
      <c r="H634" s="3" t="s">
        <v>21</v>
      </c>
    </row>
    <row r="635" spans="1:10" s="3" customFormat="1" x14ac:dyDescent="0.25">
      <c r="A635" s="2">
        <v>85</v>
      </c>
      <c r="B635" s="3" t="s">
        <v>25</v>
      </c>
      <c r="C635" s="3">
        <v>647</v>
      </c>
      <c r="D635" s="3">
        <v>1</v>
      </c>
      <c r="E635" s="3" t="s">
        <v>23</v>
      </c>
      <c r="F635" s="3" t="s">
        <v>24</v>
      </c>
      <c r="G635" s="3" t="str">
        <f>"2025-11-11 23:37:23.025"</f>
        <v>2025-11-11 23:37:23.025</v>
      </c>
      <c r="H635" s="3" t="s">
        <v>21</v>
      </c>
      <c r="I635" s="3">
        <v>8.41</v>
      </c>
      <c r="J635" s="3" t="s">
        <v>26</v>
      </c>
    </row>
    <row r="636" spans="1:10" x14ac:dyDescent="0.25">
      <c r="A636" s="1">
        <v>87</v>
      </c>
      <c r="B636" t="s">
        <v>22</v>
      </c>
      <c r="C636">
        <v>635</v>
      </c>
      <c r="D636">
        <v>1</v>
      </c>
      <c r="E636" t="s">
        <v>27</v>
      </c>
      <c r="F636" t="s">
        <v>28</v>
      </c>
      <c r="G636" t="str">
        <f>"2025-11-11 04:19:06.225"</f>
        <v>2025-11-11 04:19:06.225</v>
      </c>
      <c r="H636" t="s">
        <v>21</v>
      </c>
    </row>
    <row r="637" spans="1:10" x14ac:dyDescent="0.25">
      <c r="A637" s="1">
        <v>88</v>
      </c>
      <c r="B637" t="s">
        <v>25</v>
      </c>
      <c r="C637">
        <v>635</v>
      </c>
      <c r="D637">
        <v>1</v>
      </c>
      <c r="E637" t="s">
        <v>27</v>
      </c>
      <c r="F637" t="s">
        <v>28</v>
      </c>
      <c r="G637" t="str">
        <f>"2025-11-11 04:12:04.725"</f>
        <v>2025-11-11 04:12:04.725</v>
      </c>
      <c r="H637" t="s">
        <v>21</v>
      </c>
      <c r="I637">
        <v>6.84</v>
      </c>
      <c r="J637" t="s">
        <v>35</v>
      </c>
    </row>
    <row r="638" spans="1:10" x14ac:dyDescent="0.25">
      <c r="A638" s="1">
        <v>89</v>
      </c>
      <c r="B638" t="s">
        <v>22</v>
      </c>
      <c r="C638">
        <v>635</v>
      </c>
      <c r="D638">
        <v>1</v>
      </c>
      <c r="E638" t="s">
        <v>27</v>
      </c>
      <c r="F638" t="s">
        <v>28</v>
      </c>
      <c r="G638" t="str">
        <f>"2025-11-07 00:14:49.224"</f>
        <v>2025-11-07 00:14:49.224</v>
      </c>
      <c r="H638" t="s">
        <v>21</v>
      </c>
    </row>
    <row r="639" spans="1:10" x14ac:dyDescent="0.25">
      <c r="A639" s="1">
        <v>90</v>
      </c>
      <c r="B639" t="s">
        <v>25</v>
      </c>
      <c r="C639">
        <v>635</v>
      </c>
      <c r="D639">
        <v>1</v>
      </c>
      <c r="E639" t="s">
        <v>27</v>
      </c>
      <c r="F639" t="s">
        <v>28</v>
      </c>
      <c r="G639" t="str">
        <f>"2025-11-07 00:09:46.225"</f>
        <v>2025-11-07 00:09:46.225</v>
      </c>
      <c r="H639" t="s">
        <v>21</v>
      </c>
      <c r="I639">
        <v>7.94</v>
      </c>
      <c r="J639" t="s">
        <v>35</v>
      </c>
    </row>
    <row r="640" spans="1:10" x14ac:dyDescent="0.25">
      <c r="A640" s="1">
        <v>91</v>
      </c>
      <c r="B640" t="s">
        <v>22</v>
      </c>
      <c r="C640">
        <v>635</v>
      </c>
      <c r="D640">
        <v>1</v>
      </c>
      <c r="E640" t="s">
        <v>27</v>
      </c>
      <c r="F640" t="s">
        <v>28</v>
      </c>
      <c r="G640" t="str">
        <f>"2025-11-06 14:58:18.525"</f>
        <v>2025-11-06 14:58:18.525</v>
      </c>
      <c r="H640" t="s">
        <v>21</v>
      </c>
    </row>
    <row r="641" spans="1:10" x14ac:dyDescent="0.25">
      <c r="A641" s="1">
        <v>92</v>
      </c>
      <c r="B641" t="s">
        <v>25</v>
      </c>
      <c r="C641">
        <v>635</v>
      </c>
      <c r="D641">
        <v>1</v>
      </c>
      <c r="E641" t="s">
        <v>27</v>
      </c>
      <c r="F641" t="s">
        <v>28</v>
      </c>
      <c r="G641" t="str">
        <f>"2025-11-06 14:55:15.525"</f>
        <v>2025-11-06 14:55:15.525</v>
      </c>
      <c r="H641" t="s">
        <v>21</v>
      </c>
      <c r="I641">
        <v>5.49</v>
      </c>
      <c r="J641" t="s">
        <v>29</v>
      </c>
    </row>
    <row r="642" spans="1:10" x14ac:dyDescent="0.25">
      <c r="A642" s="1">
        <v>93</v>
      </c>
      <c r="B642" t="s">
        <v>19</v>
      </c>
      <c r="C642">
        <v>706</v>
      </c>
      <c r="D642">
        <v>2</v>
      </c>
      <c r="E642" t="s">
        <v>30</v>
      </c>
      <c r="F642" t="s">
        <v>31</v>
      </c>
      <c r="G642" t="str">
        <f>"2025-11-05 18:20:23.502"</f>
        <v>2025-11-05 18:20:23.502</v>
      </c>
      <c r="H642" t="s">
        <v>21</v>
      </c>
      <c r="I642">
        <v>0</v>
      </c>
      <c r="J642" t="s">
        <v>32</v>
      </c>
    </row>
    <row r="643" spans="1:10" x14ac:dyDescent="0.25">
      <c r="A643" s="1">
        <v>94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"2025-11-05 17:58:12.992"</f>
        <v>2025-11-05 17:58:12.992</v>
      </c>
      <c r="H643" t="s">
        <v>21</v>
      </c>
    </row>
    <row r="644" spans="1:10" x14ac:dyDescent="0.25">
      <c r="A644" s="1">
        <v>95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"2025-11-05 16:04:36.888"</f>
        <v>2025-11-05 16:04:36.888</v>
      </c>
      <c r="H644" t="s">
        <v>21</v>
      </c>
      <c r="I644">
        <v>0</v>
      </c>
      <c r="J644" t="s">
        <v>33</v>
      </c>
    </row>
    <row r="645" spans="1:10" x14ac:dyDescent="0.25">
      <c r="A645" s="1">
        <v>96</v>
      </c>
      <c r="B645" t="s">
        <v>22</v>
      </c>
      <c r="C645">
        <v>635</v>
      </c>
      <c r="D645">
        <v>1</v>
      </c>
      <c r="E645" t="s">
        <v>27</v>
      </c>
      <c r="F645" t="s">
        <v>28</v>
      </c>
      <c r="G645" t="str">
        <f>"2025-11-05 09:02:55.809"</f>
        <v>2025-11-05 09:02:55.809</v>
      </c>
      <c r="H645" t="s">
        <v>21</v>
      </c>
    </row>
    <row r="646" spans="1:10" x14ac:dyDescent="0.25">
      <c r="A646" s="1">
        <v>97</v>
      </c>
      <c r="B646" t="s">
        <v>25</v>
      </c>
      <c r="C646">
        <v>635</v>
      </c>
      <c r="D646">
        <v>1</v>
      </c>
      <c r="E646" t="s">
        <v>27</v>
      </c>
      <c r="F646" t="s">
        <v>28</v>
      </c>
      <c r="G646" t="str">
        <f>"2025-11-05 08:59:04.808"</f>
        <v>2025-11-05 08:59:04.808</v>
      </c>
      <c r="H646" t="s">
        <v>21</v>
      </c>
      <c r="I646">
        <v>4.6900000000000004</v>
      </c>
      <c r="J646" t="s">
        <v>29</v>
      </c>
    </row>
    <row r="647" spans="1:10" x14ac:dyDescent="0.25">
      <c r="A647" s="1">
        <v>98</v>
      </c>
      <c r="B647" t="s">
        <v>22</v>
      </c>
      <c r="C647">
        <v>635</v>
      </c>
      <c r="D647">
        <v>1</v>
      </c>
      <c r="E647" t="s">
        <v>27</v>
      </c>
      <c r="F647" t="s">
        <v>28</v>
      </c>
      <c r="G647" t="str">
        <f>"2025-11-04 18:51:54.109"</f>
        <v>2025-11-04 18:51:54.109</v>
      </c>
      <c r="H647" t="s">
        <v>21</v>
      </c>
    </row>
    <row r="648" spans="1:10" x14ac:dyDescent="0.25">
      <c r="A648" s="1">
        <v>99</v>
      </c>
      <c r="B648" t="s">
        <v>25</v>
      </c>
      <c r="C648">
        <v>635</v>
      </c>
      <c r="D648">
        <v>1</v>
      </c>
      <c r="E648" t="s">
        <v>27</v>
      </c>
      <c r="F648" t="s">
        <v>28</v>
      </c>
      <c r="G648" t="str">
        <f>"2025-11-04 18:46:07.609"</f>
        <v>2025-11-04 18:46:07.609</v>
      </c>
      <c r="H648" t="s">
        <v>21</v>
      </c>
      <c r="I648">
        <v>4.0999999999999996</v>
      </c>
      <c r="J648" t="s">
        <v>29</v>
      </c>
    </row>
    <row r="649" spans="1:10" s="3" customFormat="1" x14ac:dyDescent="0.25">
      <c r="A649" s="2">
        <v>0</v>
      </c>
      <c r="B649" s="3" t="s">
        <v>22</v>
      </c>
      <c r="C649" s="3">
        <v>647</v>
      </c>
      <c r="D649" s="3">
        <v>1</v>
      </c>
      <c r="E649" s="3" t="s">
        <v>23</v>
      </c>
      <c r="F649" s="3" t="s">
        <v>24</v>
      </c>
      <c r="G649" s="3" t="str">
        <f>"2025-11-03 23:20:42.309"</f>
        <v>2025-11-03 23:20:42.309</v>
      </c>
      <c r="H649" s="3" t="s">
        <v>21</v>
      </c>
    </row>
    <row r="650" spans="1:10" s="3" customFormat="1" x14ac:dyDescent="0.25">
      <c r="A650" s="2">
        <v>1</v>
      </c>
      <c r="B650" s="3" t="s">
        <v>25</v>
      </c>
      <c r="C650" s="3">
        <v>647</v>
      </c>
      <c r="D650" s="3">
        <v>1</v>
      </c>
      <c r="E650" s="3" t="s">
        <v>23</v>
      </c>
      <c r="F650" s="3" t="s">
        <v>24</v>
      </c>
      <c r="G650" s="3" t="str">
        <f>"2025-11-03 23:20:40.009"</f>
        <v>2025-11-03 23:20:40.009</v>
      </c>
      <c r="H650" s="3" t="s">
        <v>21</v>
      </c>
      <c r="I650" s="3">
        <v>20.170000000000002</v>
      </c>
      <c r="J650" s="3" t="s">
        <v>26</v>
      </c>
    </row>
    <row r="651" spans="1:10" x14ac:dyDescent="0.25">
      <c r="A651" s="1">
        <v>2</v>
      </c>
      <c r="B651" t="s">
        <v>19</v>
      </c>
      <c r="C651">
        <v>706</v>
      </c>
      <c r="D651">
        <v>2</v>
      </c>
      <c r="E651" t="s">
        <v>30</v>
      </c>
      <c r="F651" t="s">
        <v>31</v>
      </c>
      <c r="G651" t="str">
        <f>"2025-11-02 20:32:23.403"</f>
        <v>2025-11-02 20:32:23.403</v>
      </c>
      <c r="H651" t="s">
        <v>21</v>
      </c>
      <c r="I651">
        <v>0</v>
      </c>
      <c r="J651" t="s">
        <v>32</v>
      </c>
    </row>
    <row r="652" spans="1:10" s="3" customFormat="1" x14ac:dyDescent="0.25">
      <c r="A652" s="2">
        <v>3</v>
      </c>
      <c r="B652" s="3" t="s">
        <v>22</v>
      </c>
      <c r="C652" s="3">
        <v>647</v>
      </c>
      <c r="D652" s="3">
        <v>1</v>
      </c>
      <c r="E652" s="3" t="s">
        <v>23</v>
      </c>
      <c r="F652" s="3" t="s">
        <v>24</v>
      </c>
      <c r="G652" s="3" t="str">
        <f>"2025-11-02 06:38:21.209"</f>
        <v>2025-11-02 06:38:21.209</v>
      </c>
      <c r="H652" s="3" t="s">
        <v>21</v>
      </c>
    </row>
    <row r="653" spans="1:10" s="3" customFormat="1" x14ac:dyDescent="0.25">
      <c r="A653" s="2">
        <v>4</v>
      </c>
      <c r="B653" s="3" t="s">
        <v>25</v>
      </c>
      <c r="C653" s="3">
        <v>647</v>
      </c>
      <c r="D653" s="3">
        <v>1</v>
      </c>
      <c r="E653" s="3" t="s">
        <v>23</v>
      </c>
      <c r="F653" s="3" t="s">
        <v>24</v>
      </c>
      <c r="G653" s="3" t="str">
        <f>"2025-11-02 06:38:19.410"</f>
        <v>2025-11-02 06:38:19.410</v>
      </c>
      <c r="H653" s="3" t="s">
        <v>21</v>
      </c>
      <c r="I653" s="3">
        <v>12.11</v>
      </c>
      <c r="J653" s="3" t="s">
        <v>26</v>
      </c>
    </row>
    <row r="654" spans="1:10" x14ac:dyDescent="0.25">
      <c r="A654" s="1">
        <v>5</v>
      </c>
      <c r="B654" t="s">
        <v>19</v>
      </c>
      <c r="C654">
        <v>706</v>
      </c>
      <c r="D654">
        <v>2</v>
      </c>
      <c r="E654" t="s">
        <v>30</v>
      </c>
      <c r="F654" t="s">
        <v>31</v>
      </c>
      <c r="G654" t="str">
        <f>"2025-11-01 09:26:31.703"</f>
        <v>2025-11-01 09:26:31.703</v>
      </c>
      <c r="H654" t="s">
        <v>21</v>
      </c>
      <c r="I654">
        <v>0</v>
      </c>
      <c r="J654" t="s">
        <v>32</v>
      </c>
    </row>
    <row r="655" spans="1:10" x14ac:dyDescent="0.25">
      <c r="A655" s="1">
        <v>6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"2025-11-01 09:25:57.893"</f>
        <v>2025-11-01 09:25:57.893</v>
      </c>
      <c r="H655" t="s">
        <v>21</v>
      </c>
      <c r="I655">
        <v>0</v>
      </c>
      <c r="J655" t="s">
        <v>33</v>
      </c>
    </row>
    <row r="656" spans="1:10" x14ac:dyDescent="0.25">
      <c r="A656" s="1">
        <v>7</v>
      </c>
      <c r="B656" t="s">
        <v>22</v>
      </c>
      <c r="C656">
        <v>635</v>
      </c>
      <c r="D656">
        <v>1</v>
      </c>
      <c r="E656" t="s">
        <v>27</v>
      </c>
      <c r="F656" t="s">
        <v>28</v>
      </c>
      <c r="G656" t="str">
        <f>"2025-11-01 08:14:24.022"</f>
        <v>2025-11-01 08:14:24.022</v>
      </c>
      <c r="H656" t="s">
        <v>21</v>
      </c>
    </row>
    <row r="657" spans="1:10" x14ac:dyDescent="0.25">
      <c r="A657" s="1">
        <v>8</v>
      </c>
      <c r="B657" t="s">
        <v>25</v>
      </c>
      <c r="C657">
        <v>635</v>
      </c>
      <c r="D657">
        <v>1</v>
      </c>
      <c r="E657" t="s">
        <v>27</v>
      </c>
      <c r="F657" t="s">
        <v>28</v>
      </c>
      <c r="G657" t="str">
        <f>"2025-11-01 08:09:56.522"</f>
        <v>2025-11-01 08:09:56.522</v>
      </c>
      <c r="H657" t="s">
        <v>21</v>
      </c>
      <c r="I657">
        <v>3.08</v>
      </c>
      <c r="J657" t="s">
        <v>29</v>
      </c>
    </row>
    <row r="658" spans="1:10" x14ac:dyDescent="0.25">
      <c r="A658" s="1">
        <v>9</v>
      </c>
      <c r="B658" t="s">
        <v>22</v>
      </c>
      <c r="C658">
        <v>635</v>
      </c>
      <c r="D658">
        <v>1</v>
      </c>
      <c r="E658" t="s">
        <v>27</v>
      </c>
      <c r="F658" t="s">
        <v>28</v>
      </c>
      <c r="G658" t="str">
        <f>"2025-10-30 21:27:15.222"</f>
        <v>2025-10-30 21:27:15.222</v>
      </c>
      <c r="H658" t="s">
        <v>21</v>
      </c>
    </row>
    <row r="659" spans="1:10" x14ac:dyDescent="0.25">
      <c r="A659" s="1">
        <v>10</v>
      </c>
      <c r="B659" t="s">
        <v>25</v>
      </c>
      <c r="C659">
        <v>635</v>
      </c>
      <c r="D659">
        <v>1</v>
      </c>
      <c r="E659" t="s">
        <v>27</v>
      </c>
      <c r="F659" t="s">
        <v>28</v>
      </c>
      <c r="G659" t="str">
        <f>"2025-10-30 21:18:42.222"</f>
        <v>2025-10-30 21:18:42.222</v>
      </c>
      <c r="H659" t="s">
        <v>21</v>
      </c>
      <c r="I659">
        <v>7.34</v>
      </c>
      <c r="J659" t="s">
        <v>29</v>
      </c>
    </row>
    <row r="660" spans="1:10" x14ac:dyDescent="0.25">
      <c r="A660" s="1">
        <v>13</v>
      </c>
      <c r="B660" t="s">
        <v>19</v>
      </c>
      <c r="C660">
        <v>706</v>
      </c>
      <c r="D660">
        <v>2</v>
      </c>
      <c r="E660" t="s">
        <v>30</v>
      </c>
      <c r="F660" t="s">
        <v>31</v>
      </c>
      <c r="G660" t="str">
        <f>"2025-10-28 18:26:43.124"</f>
        <v>2025-10-28 18:26:43.124</v>
      </c>
      <c r="H660" t="s">
        <v>21</v>
      </c>
      <c r="I660">
        <v>0</v>
      </c>
      <c r="J660" t="s">
        <v>32</v>
      </c>
    </row>
    <row r="661" spans="1:10" x14ac:dyDescent="0.25">
      <c r="A661" s="1">
        <v>14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"2025-10-28 18:24:12.904"</f>
        <v>2025-10-28 18:24:12.904</v>
      </c>
      <c r="H661" t="s">
        <v>21</v>
      </c>
    </row>
    <row r="662" spans="1:10" x14ac:dyDescent="0.25">
      <c r="A662" s="1">
        <v>15</v>
      </c>
      <c r="B662" t="s">
        <v>22</v>
      </c>
      <c r="C662">
        <v>635</v>
      </c>
      <c r="D662">
        <v>1</v>
      </c>
      <c r="E662" t="s">
        <v>27</v>
      </c>
      <c r="F662" t="s">
        <v>28</v>
      </c>
      <c r="G662" t="str">
        <f>"2025-10-28 05:02:05.828"</f>
        <v>2025-10-28 05:02:05.828</v>
      </c>
      <c r="H662" t="s">
        <v>21</v>
      </c>
    </row>
    <row r="663" spans="1:10" x14ac:dyDescent="0.25">
      <c r="A663" s="1">
        <v>16</v>
      </c>
      <c r="B663" t="s">
        <v>25</v>
      </c>
      <c r="C663">
        <v>635</v>
      </c>
      <c r="D663">
        <v>1</v>
      </c>
      <c r="E663" t="s">
        <v>27</v>
      </c>
      <c r="F663" t="s">
        <v>28</v>
      </c>
      <c r="G663" t="str">
        <f>"2025-10-28 05:00:36.327"</f>
        <v>2025-10-28 05:00:36.327</v>
      </c>
      <c r="H663" t="s">
        <v>21</v>
      </c>
      <c r="I663">
        <v>4.1399999999999997</v>
      </c>
      <c r="J663" t="s">
        <v>29</v>
      </c>
    </row>
    <row r="664" spans="1:10" x14ac:dyDescent="0.25">
      <c r="A664" s="1">
        <v>17</v>
      </c>
      <c r="B664" t="s">
        <v>22</v>
      </c>
      <c r="C664">
        <v>635</v>
      </c>
      <c r="D664">
        <v>1</v>
      </c>
      <c r="E664" t="s">
        <v>27</v>
      </c>
      <c r="F664" t="s">
        <v>28</v>
      </c>
      <c r="G664" t="str">
        <f>"2025-10-26 08:58:22.428"</f>
        <v>2025-10-26 08:58:22.428</v>
      </c>
      <c r="H664" t="s">
        <v>21</v>
      </c>
    </row>
    <row r="665" spans="1:10" x14ac:dyDescent="0.25">
      <c r="A665" s="1">
        <v>18</v>
      </c>
      <c r="B665" t="s">
        <v>25</v>
      </c>
      <c r="C665">
        <v>635</v>
      </c>
      <c r="D665">
        <v>1</v>
      </c>
      <c r="E665" t="s">
        <v>27</v>
      </c>
      <c r="F665" t="s">
        <v>28</v>
      </c>
      <c r="G665" t="str">
        <f>"2025-10-26 08:55:41.928"</f>
        <v>2025-10-26 08:55:41.928</v>
      </c>
      <c r="H665" t="s">
        <v>21</v>
      </c>
      <c r="I665">
        <v>2.4700000000000002</v>
      </c>
      <c r="J665" t="s">
        <v>29</v>
      </c>
    </row>
    <row r="666" spans="1:10" x14ac:dyDescent="0.25">
      <c r="A666" s="1">
        <v>19</v>
      </c>
      <c r="B666" t="s">
        <v>22</v>
      </c>
      <c r="C666">
        <v>635</v>
      </c>
      <c r="D666">
        <v>1</v>
      </c>
      <c r="E666" t="s">
        <v>27</v>
      </c>
      <c r="F666" t="s">
        <v>28</v>
      </c>
      <c r="G666" t="str">
        <f>"2025-10-26 02:53:52.528"</f>
        <v>2025-10-26 02:53:52.528</v>
      </c>
      <c r="H666" t="s">
        <v>21</v>
      </c>
    </row>
    <row r="667" spans="1:10" x14ac:dyDescent="0.25">
      <c r="A667" s="1">
        <v>20</v>
      </c>
      <c r="B667" t="s">
        <v>25</v>
      </c>
      <c r="C667">
        <v>635</v>
      </c>
      <c r="D667">
        <v>1</v>
      </c>
      <c r="E667" t="s">
        <v>27</v>
      </c>
      <c r="F667" t="s">
        <v>28</v>
      </c>
      <c r="G667" t="str">
        <f>"2025-10-26 02:50:28.528"</f>
        <v>2025-10-26 02:50:28.528</v>
      </c>
      <c r="H667" t="s">
        <v>21</v>
      </c>
      <c r="I667">
        <v>7.75</v>
      </c>
      <c r="J667" t="s">
        <v>29</v>
      </c>
    </row>
    <row r="668" spans="1:10" x14ac:dyDescent="0.25">
      <c r="A668" s="1">
        <v>21</v>
      </c>
      <c r="B668" t="s">
        <v>19</v>
      </c>
      <c r="C668">
        <v>706</v>
      </c>
      <c r="D668">
        <v>2</v>
      </c>
      <c r="E668" t="s">
        <v>30</v>
      </c>
      <c r="F668" t="s">
        <v>31</v>
      </c>
      <c r="G668" t="str">
        <f>"2025-10-25 12:23:27.023"</f>
        <v>2025-10-25 12:23:27.023</v>
      </c>
      <c r="H668" t="s">
        <v>21</v>
      </c>
      <c r="I668">
        <v>0</v>
      </c>
      <c r="J668" t="s">
        <v>32</v>
      </c>
    </row>
    <row r="669" spans="1:10" x14ac:dyDescent="0.25">
      <c r="A669" s="1">
        <v>22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"2025-10-25 11:44:00.903"</f>
        <v>2025-10-25 11:44:00.903</v>
      </c>
      <c r="H669" t="s">
        <v>21</v>
      </c>
      <c r="I669">
        <v>0</v>
      </c>
      <c r="J669" t="s">
        <v>33</v>
      </c>
    </row>
    <row r="670" spans="1:10" x14ac:dyDescent="0.25">
      <c r="A670" s="1">
        <v>23</v>
      </c>
      <c r="B670" t="s">
        <v>19</v>
      </c>
      <c r="C670">
        <v>706</v>
      </c>
      <c r="D670">
        <v>2</v>
      </c>
      <c r="E670" t="s">
        <v>30</v>
      </c>
      <c r="F670" t="s">
        <v>31</v>
      </c>
      <c r="G670" t="str">
        <f>"2025-10-25 11:41:31.298"</f>
        <v>2025-10-25 11:41:31.298</v>
      </c>
      <c r="H670" t="s">
        <v>21</v>
      </c>
      <c r="I670">
        <v>0</v>
      </c>
      <c r="J670" t="s">
        <v>32</v>
      </c>
    </row>
    <row r="671" spans="1:10" x14ac:dyDescent="0.25">
      <c r="A671" s="1">
        <v>24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"2025-10-25 11:40:43.888"</f>
        <v>2025-10-25 11:40:43.888</v>
      </c>
      <c r="H671" t="s">
        <v>21</v>
      </c>
      <c r="I671">
        <v>0</v>
      </c>
      <c r="J671" t="s">
        <v>33</v>
      </c>
    </row>
    <row r="672" spans="1:10" x14ac:dyDescent="0.25">
      <c r="A672" s="1">
        <v>25</v>
      </c>
      <c r="B672" t="s">
        <v>19</v>
      </c>
      <c r="C672">
        <v>706</v>
      </c>
      <c r="D672">
        <v>3</v>
      </c>
      <c r="E672" t="s">
        <v>30</v>
      </c>
      <c r="F672" t="s">
        <v>36</v>
      </c>
      <c r="G672" t="str">
        <f>"2025-10-25 11:37:59.462"</f>
        <v>2025-10-25 11:37:59.462</v>
      </c>
      <c r="H672" t="s">
        <v>21</v>
      </c>
      <c r="I672">
        <v>0</v>
      </c>
      <c r="J672" t="s">
        <v>32</v>
      </c>
    </row>
    <row r="673" spans="1:10" x14ac:dyDescent="0.25">
      <c r="A673" s="1">
        <v>26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"2025-10-25 11:36:17.892"</f>
        <v>2025-10-25 11:36:17.892</v>
      </c>
      <c r="H673" t="s">
        <v>21</v>
      </c>
    </row>
    <row r="674" spans="1:10" x14ac:dyDescent="0.25">
      <c r="A674" s="1">
        <v>27</v>
      </c>
      <c r="B674" t="s">
        <v>19</v>
      </c>
      <c r="C674">
        <v>719</v>
      </c>
      <c r="D674">
        <v>5</v>
      </c>
      <c r="E674" t="s">
        <v>61</v>
      </c>
      <c r="F674" t="s">
        <v>62</v>
      </c>
      <c r="G674" t="str">
        <f>"2025-10-25 11:25:00.775"</f>
        <v>2025-10-25 11:25:00.775</v>
      </c>
      <c r="H674" t="s">
        <v>21</v>
      </c>
      <c r="I674">
        <v>0</v>
      </c>
      <c r="J674" t="s">
        <v>32</v>
      </c>
    </row>
    <row r="675" spans="1:10" x14ac:dyDescent="0.25">
      <c r="A675" s="1">
        <v>28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"2025-10-25 11:17:19.978"</f>
        <v>2025-10-25 11:17:19.978</v>
      </c>
      <c r="H675" t="s">
        <v>21</v>
      </c>
    </row>
    <row r="676" spans="1:10" x14ac:dyDescent="0.25">
      <c r="A676" s="1">
        <v>29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"2025-10-25 11:07:06.885"</f>
        <v>2025-10-25 11:07:06.885</v>
      </c>
      <c r="H676" t="s">
        <v>21</v>
      </c>
      <c r="I676">
        <v>0</v>
      </c>
      <c r="J676" t="s">
        <v>33</v>
      </c>
    </row>
    <row r="677" spans="1:10" x14ac:dyDescent="0.25">
      <c r="A677" s="1">
        <v>30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"2025-10-25 08:33:20.918"</f>
        <v>2025-10-25 08:33:20.918</v>
      </c>
      <c r="H677" t="s">
        <v>21</v>
      </c>
      <c r="I677">
        <v>0</v>
      </c>
      <c r="J677" t="s">
        <v>33</v>
      </c>
    </row>
    <row r="678" spans="1:10" x14ac:dyDescent="0.25">
      <c r="A678" s="1">
        <v>31</v>
      </c>
      <c r="B678" t="s">
        <v>22</v>
      </c>
      <c r="C678">
        <v>635</v>
      </c>
      <c r="D678">
        <v>1</v>
      </c>
      <c r="E678" t="s">
        <v>27</v>
      </c>
      <c r="F678" t="s">
        <v>28</v>
      </c>
      <c r="G678" t="str">
        <f>"2025-10-23 16:19:36.442"</f>
        <v>2025-10-23 16:19:36.442</v>
      </c>
      <c r="H678" t="s">
        <v>21</v>
      </c>
    </row>
    <row r="679" spans="1:10" x14ac:dyDescent="0.25">
      <c r="A679" s="1">
        <v>32</v>
      </c>
      <c r="B679" t="s">
        <v>25</v>
      </c>
      <c r="C679">
        <v>635</v>
      </c>
      <c r="D679">
        <v>1</v>
      </c>
      <c r="E679" t="s">
        <v>27</v>
      </c>
      <c r="F679" t="s">
        <v>28</v>
      </c>
      <c r="G679" t="str">
        <f>"2025-10-23 16:07:04.442"</f>
        <v>2025-10-23 16:07:04.442</v>
      </c>
      <c r="H679" t="s">
        <v>21</v>
      </c>
      <c r="I679">
        <v>8.26</v>
      </c>
      <c r="J679" t="s">
        <v>29</v>
      </c>
    </row>
    <row r="680" spans="1:10" x14ac:dyDescent="0.25">
      <c r="A680" s="1">
        <v>33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"2025-10-23 10:47:27.891"</f>
        <v>2025-10-23 10:47:27.891</v>
      </c>
      <c r="H680" t="s">
        <v>21</v>
      </c>
    </row>
    <row r="681" spans="1:10" x14ac:dyDescent="0.25">
      <c r="A681" s="1">
        <v>34</v>
      </c>
      <c r="B681" t="s">
        <v>22</v>
      </c>
      <c r="C681">
        <v>635</v>
      </c>
      <c r="D681">
        <v>1</v>
      </c>
      <c r="E681" t="s">
        <v>27</v>
      </c>
      <c r="F681" t="s">
        <v>28</v>
      </c>
      <c r="G681" t="str">
        <f>"2025-10-23 01:29:07.448"</f>
        <v>2025-10-23 01:29:07.448</v>
      </c>
      <c r="H681" t="s">
        <v>21</v>
      </c>
    </row>
    <row r="682" spans="1:10" x14ac:dyDescent="0.25">
      <c r="A682" s="1">
        <v>35</v>
      </c>
      <c r="B682" t="s">
        <v>25</v>
      </c>
      <c r="C682">
        <v>635</v>
      </c>
      <c r="D682">
        <v>1</v>
      </c>
      <c r="E682" t="s">
        <v>27</v>
      </c>
      <c r="F682" t="s">
        <v>28</v>
      </c>
      <c r="G682" t="str">
        <f>"2025-10-23 01:26:04.948"</f>
        <v>2025-10-23 01:26:04.948</v>
      </c>
      <c r="H682" t="s">
        <v>21</v>
      </c>
      <c r="I682">
        <v>4.83</v>
      </c>
      <c r="J682" t="s">
        <v>29</v>
      </c>
    </row>
    <row r="683" spans="1:10" x14ac:dyDescent="0.25">
      <c r="A683" s="1">
        <v>36</v>
      </c>
      <c r="B683" t="s">
        <v>22</v>
      </c>
      <c r="C683">
        <v>635</v>
      </c>
      <c r="D683">
        <v>1</v>
      </c>
      <c r="E683" t="s">
        <v>27</v>
      </c>
      <c r="F683" t="s">
        <v>28</v>
      </c>
      <c r="G683" t="str">
        <f>"2025-10-22 08:14:41.648"</f>
        <v>2025-10-22 08:14:41.648</v>
      </c>
      <c r="H683" t="s">
        <v>21</v>
      </c>
    </row>
    <row r="684" spans="1:10" x14ac:dyDescent="0.25">
      <c r="A684" s="1">
        <v>37</v>
      </c>
      <c r="B684" t="s">
        <v>25</v>
      </c>
      <c r="C684">
        <v>635</v>
      </c>
      <c r="D684">
        <v>1</v>
      </c>
      <c r="E684" t="s">
        <v>27</v>
      </c>
      <c r="F684" t="s">
        <v>28</v>
      </c>
      <c r="G684" t="str">
        <f>"2025-10-22 08:11:08.648"</f>
        <v>2025-10-22 08:11:08.648</v>
      </c>
      <c r="H684" t="s">
        <v>21</v>
      </c>
      <c r="I684">
        <v>3.81</v>
      </c>
      <c r="J684" t="s">
        <v>29</v>
      </c>
    </row>
    <row r="685" spans="1:10" x14ac:dyDescent="0.25">
      <c r="A685" s="1">
        <v>39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"2025-10-20 20:48:44.907"</f>
        <v>2025-10-20 20:48:44.907</v>
      </c>
      <c r="H685" t="s">
        <v>21</v>
      </c>
      <c r="I685">
        <v>0</v>
      </c>
      <c r="J685" t="s">
        <v>33</v>
      </c>
    </row>
    <row r="686" spans="1:10" x14ac:dyDescent="0.25">
      <c r="A686" s="1">
        <v>40</v>
      </c>
      <c r="B686" t="s">
        <v>22</v>
      </c>
      <c r="C686">
        <v>635</v>
      </c>
      <c r="D686">
        <v>1</v>
      </c>
      <c r="E686" t="s">
        <v>27</v>
      </c>
      <c r="F686" t="s">
        <v>28</v>
      </c>
      <c r="G686" t="str">
        <f>"2025-10-18 03:55:37.482"</f>
        <v>2025-10-18 03:55:37.482</v>
      </c>
      <c r="H686" t="s">
        <v>21</v>
      </c>
    </row>
    <row r="687" spans="1:10" x14ac:dyDescent="0.25">
      <c r="A687" s="1">
        <v>41</v>
      </c>
      <c r="B687" t="s">
        <v>25</v>
      </c>
      <c r="C687">
        <v>635</v>
      </c>
      <c r="D687">
        <v>1</v>
      </c>
      <c r="E687" t="s">
        <v>27</v>
      </c>
      <c r="F687" t="s">
        <v>28</v>
      </c>
      <c r="G687" t="str">
        <f>"2025-10-18 03:42:42.982"</f>
        <v>2025-10-18 03:42:42.982</v>
      </c>
      <c r="H687" t="s">
        <v>21</v>
      </c>
      <c r="I687">
        <v>3.01</v>
      </c>
      <c r="J687" t="s">
        <v>29</v>
      </c>
    </row>
    <row r="688" spans="1:10" x14ac:dyDescent="0.25">
      <c r="A688" s="1">
        <v>42</v>
      </c>
      <c r="B688" t="s">
        <v>22</v>
      </c>
      <c r="C688">
        <v>635</v>
      </c>
      <c r="D688">
        <v>1</v>
      </c>
      <c r="E688" t="s">
        <v>27</v>
      </c>
      <c r="F688" t="s">
        <v>28</v>
      </c>
      <c r="G688" t="str">
        <f>"2025-10-17 15:20:56.083"</f>
        <v>2025-10-17 15:20:56.083</v>
      </c>
      <c r="H688" t="s">
        <v>21</v>
      </c>
    </row>
    <row r="689" spans="1:10" x14ac:dyDescent="0.25">
      <c r="A689" s="1">
        <v>43</v>
      </c>
      <c r="B689" t="s">
        <v>25</v>
      </c>
      <c r="C689">
        <v>635</v>
      </c>
      <c r="D689">
        <v>1</v>
      </c>
      <c r="E689" t="s">
        <v>27</v>
      </c>
      <c r="F689" t="s">
        <v>28</v>
      </c>
      <c r="G689" t="str">
        <f>"2025-10-17 14:48:50.682"</f>
        <v>2025-10-17 14:48:50.682</v>
      </c>
      <c r="H689" t="s">
        <v>21</v>
      </c>
      <c r="I689">
        <v>7.05</v>
      </c>
      <c r="J689" t="s">
        <v>29</v>
      </c>
    </row>
    <row r="690" spans="1:10" x14ac:dyDescent="0.25">
      <c r="A690" s="1">
        <v>44</v>
      </c>
      <c r="B690" t="s">
        <v>22</v>
      </c>
      <c r="C690">
        <v>635</v>
      </c>
      <c r="D690">
        <v>1</v>
      </c>
      <c r="E690" t="s">
        <v>27</v>
      </c>
      <c r="F690" t="s">
        <v>28</v>
      </c>
      <c r="G690" t="str">
        <f>"2025-10-17 05:14:00.582"</f>
        <v>2025-10-17 05:14:00.582</v>
      </c>
      <c r="H690" t="s">
        <v>21</v>
      </c>
    </row>
    <row r="691" spans="1:10" x14ac:dyDescent="0.25">
      <c r="A691" s="1">
        <v>45</v>
      </c>
      <c r="B691" t="s">
        <v>25</v>
      </c>
      <c r="C691">
        <v>635</v>
      </c>
      <c r="D691">
        <v>1</v>
      </c>
      <c r="E691" t="s">
        <v>27</v>
      </c>
      <c r="F691" t="s">
        <v>28</v>
      </c>
      <c r="G691" t="str">
        <f>"2025-10-17 05:09:41.582"</f>
        <v>2025-10-17 05:09:41.582</v>
      </c>
      <c r="H691" t="s">
        <v>21</v>
      </c>
      <c r="I691">
        <v>4</v>
      </c>
      <c r="J691" t="s">
        <v>26</v>
      </c>
    </row>
    <row r="692" spans="1:10" x14ac:dyDescent="0.25">
      <c r="A692" s="1">
        <v>46</v>
      </c>
      <c r="B692" t="s">
        <v>22</v>
      </c>
      <c r="C692">
        <v>635</v>
      </c>
      <c r="D692">
        <v>1</v>
      </c>
      <c r="E692" t="s">
        <v>27</v>
      </c>
      <c r="F692" t="s">
        <v>28</v>
      </c>
      <c r="G692" t="str">
        <f>"2025-10-16 10:31:57.782"</f>
        <v>2025-10-16 10:31:57.782</v>
      </c>
      <c r="H692" t="s">
        <v>21</v>
      </c>
    </row>
    <row r="693" spans="1:10" x14ac:dyDescent="0.25">
      <c r="A693" s="1">
        <v>47</v>
      </c>
      <c r="B693" t="s">
        <v>25</v>
      </c>
      <c r="C693">
        <v>635</v>
      </c>
      <c r="D693">
        <v>1</v>
      </c>
      <c r="E693" t="s">
        <v>27</v>
      </c>
      <c r="F693" t="s">
        <v>28</v>
      </c>
      <c r="G693" t="str">
        <f>"2025-10-16 10:06:39.382"</f>
        <v>2025-10-16 10:06:39.382</v>
      </c>
      <c r="H693" t="s">
        <v>21</v>
      </c>
      <c r="I693">
        <v>6.47</v>
      </c>
      <c r="J693" t="s">
        <v>29</v>
      </c>
    </row>
    <row r="694" spans="1:10" x14ac:dyDescent="0.25">
      <c r="A694" s="1">
        <v>48</v>
      </c>
      <c r="B694" t="s">
        <v>43</v>
      </c>
      <c r="C694">
        <v>215</v>
      </c>
      <c r="D694">
        <v>6</v>
      </c>
      <c r="E694" t="s">
        <v>44</v>
      </c>
      <c r="F694" t="s">
        <v>45</v>
      </c>
      <c r="G694" t="str">
        <f>"2025-10-15 08:44:58.969"</f>
        <v>2025-10-15 08:44:58.969</v>
      </c>
      <c r="H694" t="s">
        <v>21</v>
      </c>
    </row>
    <row r="695" spans="1:10" x14ac:dyDescent="0.25">
      <c r="A695" s="1">
        <v>49</v>
      </c>
      <c r="B695" t="s">
        <v>43</v>
      </c>
      <c r="C695">
        <v>115</v>
      </c>
      <c r="D695">
        <v>6</v>
      </c>
      <c r="E695" t="s">
        <v>46</v>
      </c>
      <c r="F695" t="s">
        <v>45</v>
      </c>
      <c r="G695" t="str">
        <f>"2025-10-15 08:44:58.869"</f>
        <v>2025-10-15 08:44:58.869</v>
      </c>
      <c r="H695" t="s">
        <v>21</v>
      </c>
    </row>
    <row r="696" spans="1:10" x14ac:dyDescent="0.25">
      <c r="A696" s="1">
        <v>50</v>
      </c>
      <c r="B696" t="s">
        <v>40</v>
      </c>
      <c r="C696">
        <v>215</v>
      </c>
      <c r="D696">
        <v>6</v>
      </c>
      <c r="E696" t="s">
        <v>44</v>
      </c>
      <c r="F696" t="s">
        <v>45</v>
      </c>
      <c r="G696" t="str">
        <f>"2025-10-15 08:44:53.798"</f>
        <v>2025-10-15 08:44:53.798</v>
      </c>
      <c r="H696" t="s">
        <v>21</v>
      </c>
      <c r="I696">
        <v>3.94</v>
      </c>
      <c r="J696" t="s">
        <v>32</v>
      </c>
    </row>
    <row r="697" spans="1:10" x14ac:dyDescent="0.25">
      <c r="A697" s="1">
        <v>51</v>
      </c>
      <c r="B697" t="s">
        <v>40</v>
      </c>
      <c r="C697">
        <v>115</v>
      </c>
      <c r="D697">
        <v>6</v>
      </c>
      <c r="E697" t="s">
        <v>46</v>
      </c>
      <c r="F697" t="s">
        <v>45</v>
      </c>
      <c r="G697" t="str">
        <f>"2025-10-15 08:44:53.781"</f>
        <v>2025-10-15 08:44:53.781</v>
      </c>
      <c r="H697" t="s">
        <v>21</v>
      </c>
      <c r="I697">
        <v>3.94</v>
      </c>
      <c r="J697" t="s">
        <v>32</v>
      </c>
    </row>
    <row r="698" spans="1:10" x14ac:dyDescent="0.25">
      <c r="A698" s="1">
        <v>52</v>
      </c>
      <c r="B698" t="s">
        <v>22</v>
      </c>
      <c r="C698">
        <v>6</v>
      </c>
      <c r="D698">
        <v>1</v>
      </c>
      <c r="E698" t="s">
        <v>47</v>
      </c>
      <c r="F698" t="s">
        <v>48</v>
      </c>
      <c r="G698" t="str">
        <f>"2025-10-15 08:44:53.674"</f>
        <v>2025-10-15 08:44:53.674</v>
      </c>
      <c r="H698" t="s">
        <v>49</v>
      </c>
    </row>
    <row r="699" spans="1:10" x14ac:dyDescent="0.25">
      <c r="A699" s="1">
        <v>53</v>
      </c>
      <c r="B699" t="s">
        <v>22</v>
      </c>
      <c r="C699">
        <v>75</v>
      </c>
      <c r="D699">
        <v>1</v>
      </c>
      <c r="E699" t="s">
        <v>50</v>
      </c>
      <c r="F699" t="s">
        <v>51</v>
      </c>
      <c r="G699" t="str">
        <f>"2025-10-15 08:44:53.672"</f>
        <v>2025-10-15 08:44:53.672</v>
      </c>
      <c r="H699" t="s">
        <v>52</v>
      </c>
    </row>
    <row r="700" spans="1:10" x14ac:dyDescent="0.25">
      <c r="A700" s="1">
        <v>54</v>
      </c>
      <c r="B700" t="s">
        <v>22</v>
      </c>
      <c r="C700">
        <v>74</v>
      </c>
      <c r="D700">
        <v>1</v>
      </c>
      <c r="E700" t="s">
        <v>53</v>
      </c>
      <c r="F700" t="s">
        <v>54</v>
      </c>
      <c r="G700" t="str">
        <f>"2025-10-15 08:44:53.670"</f>
        <v>2025-10-15 08:44:53.670</v>
      </c>
      <c r="H700" t="s">
        <v>55</v>
      </c>
    </row>
    <row r="701" spans="1:10" x14ac:dyDescent="0.25">
      <c r="A701" s="1">
        <v>55</v>
      </c>
      <c r="B701" t="s">
        <v>25</v>
      </c>
      <c r="C701">
        <v>75</v>
      </c>
      <c r="D701">
        <v>1</v>
      </c>
      <c r="E701" t="s">
        <v>50</v>
      </c>
      <c r="F701" t="s">
        <v>51</v>
      </c>
      <c r="G701" t="str">
        <f>"2025-10-15 08:44:42.156"</f>
        <v>2025-10-15 08:44:42.156</v>
      </c>
      <c r="H701" t="s">
        <v>52</v>
      </c>
      <c r="I701">
        <v>1.73</v>
      </c>
      <c r="J701" t="s">
        <v>32</v>
      </c>
    </row>
    <row r="702" spans="1:10" x14ac:dyDescent="0.25">
      <c r="A702" s="1">
        <v>56</v>
      </c>
      <c r="B702" t="s">
        <v>25</v>
      </c>
      <c r="C702">
        <v>74</v>
      </c>
      <c r="D702">
        <v>1</v>
      </c>
      <c r="E702" t="s">
        <v>53</v>
      </c>
      <c r="F702" t="s">
        <v>54</v>
      </c>
      <c r="G702" t="str">
        <f>"2025-10-15 08:44:42.139"</f>
        <v>2025-10-15 08:44:42.139</v>
      </c>
      <c r="H702" t="s">
        <v>55</v>
      </c>
      <c r="I702">
        <v>1.73</v>
      </c>
      <c r="J702" t="s">
        <v>32</v>
      </c>
    </row>
    <row r="703" spans="1:10" x14ac:dyDescent="0.25">
      <c r="A703" s="1">
        <v>57</v>
      </c>
      <c r="B703" t="s">
        <v>40</v>
      </c>
      <c r="C703">
        <v>6</v>
      </c>
      <c r="D703">
        <v>1</v>
      </c>
      <c r="E703" t="s">
        <v>47</v>
      </c>
      <c r="F703" t="s">
        <v>48</v>
      </c>
      <c r="G703" t="str">
        <f>"2025-10-15 08:44:42.118"</f>
        <v>2025-10-15 08:44:42.118</v>
      </c>
      <c r="H703" t="s">
        <v>49</v>
      </c>
      <c r="I703">
        <v>1.73</v>
      </c>
      <c r="J703" t="s">
        <v>32</v>
      </c>
    </row>
    <row r="704" spans="1:10" x14ac:dyDescent="0.25">
      <c r="A704" s="1">
        <v>62</v>
      </c>
      <c r="B704" t="s">
        <v>19</v>
      </c>
      <c r="C704">
        <v>706</v>
      </c>
      <c r="D704">
        <v>2</v>
      </c>
      <c r="E704" t="s">
        <v>30</v>
      </c>
      <c r="F704" t="s">
        <v>31</v>
      </c>
      <c r="G704" t="str">
        <f>"2025-10-15 01:07:16.567"</f>
        <v>2025-10-15 01:07:16.567</v>
      </c>
      <c r="H704" t="s">
        <v>21</v>
      </c>
      <c r="I704">
        <v>0</v>
      </c>
      <c r="J704" t="s">
        <v>32</v>
      </c>
    </row>
    <row r="705" spans="1:10" x14ac:dyDescent="0.25">
      <c r="A705" s="1">
        <v>63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"2025-10-15 01:07:00.867"</f>
        <v>2025-10-15 01:07:00.867</v>
      </c>
      <c r="H705" t="s">
        <v>21</v>
      </c>
      <c r="I705">
        <v>0</v>
      </c>
      <c r="J705" t="s">
        <v>33</v>
      </c>
    </row>
    <row r="706" spans="1:10" x14ac:dyDescent="0.25">
      <c r="A706" s="1">
        <v>64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"2025-10-15 01:06:08.870"</f>
        <v>2025-10-15 01:06:08.870</v>
      </c>
      <c r="H706" t="s">
        <v>21</v>
      </c>
    </row>
    <row r="707" spans="1:10" x14ac:dyDescent="0.25">
      <c r="A707" s="1">
        <v>65</v>
      </c>
      <c r="B707" t="s">
        <v>19</v>
      </c>
      <c r="C707">
        <v>706</v>
      </c>
      <c r="D707">
        <v>4</v>
      </c>
      <c r="E707" t="s">
        <v>30</v>
      </c>
      <c r="F707" t="s">
        <v>34</v>
      </c>
      <c r="G707" t="str">
        <f>"2025-10-15 00:33:40.234"</f>
        <v>2025-10-15 00:33:40.234</v>
      </c>
      <c r="H707" t="s">
        <v>21</v>
      </c>
      <c r="I707">
        <v>0</v>
      </c>
      <c r="J707" t="s">
        <v>32</v>
      </c>
    </row>
    <row r="708" spans="1:10" x14ac:dyDescent="0.25">
      <c r="A708" s="1">
        <v>66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"2025-10-15 00:02:35.904"</f>
        <v>2025-10-15 00:02:35.904</v>
      </c>
      <c r="H708" t="s">
        <v>21</v>
      </c>
    </row>
    <row r="709" spans="1:10" x14ac:dyDescent="0.25">
      <c r="A709" s="1">
        <v>67</v>
      </c>
      <c r="B709" t="s">
        <v>22</v>
      </c>
      <c r="C709">
        <v>635</v>
      </c>
      <c r="D709">
        <v>1</v>
      </c>
      <c r="E709" t="s">
        <v>27</v>
      </c>
      <c r="F709" t="s">
        <v>28</v>
      </c>
      <c r="G709" t="str">
        <f>"2025-10-14 14:38:40.428"</f>
        <v>2025-10-14 14:38:40.428</v>
      </c>
      <c r="H709" t="s">
        <v>21</v>
      </c>
    </row>
    <row r="710" spans="1:10" x14ac:dyDescent="0.25">
      <c r="A710" s="1">
        <v>68</v>
      </c>
      <c r="B710" t="s">
        <v>25</v>
      </c>
      <c r="C710">
        <v>635</v>
      </c>
      <c r="D710">
        <v>1</v>
      </c>
      <c r="E710" t="s">
        <v>27</v>
      </c>
      <c r="F710" t="s">
        <v>28</v>
      </c>
      <c r="G710" t="str">
        <f>"2025-10-14 14:12:33.028"</f>
        <v>2025-10-14 14:12:33.028</v>
      </c>
      <c r="H710" t="s">
        <v>21</v>
      </c>
      <c r="I710">
        <v>7.16</v>
      </c>
      <c r="J710" t="s">
        <v>29</v>
      </c>
    </row>
    <row r="711" spans="1:10" x14ac:dyDescent="0.25">
      <c r="A711" s="1">
        <v>69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"2025-10-13 11:33:57.886"</f>
        <v>2025-10-13 11:33:57.886</v>
      </c>
      <c r="H711" t="s">
        <v>21</v>
      </c>
      <c r="I711">
        <v>0</v>
      </c>
      <c r="J711" t="s">
        <v>33</v>
      </c>
    </row>
    <row r="712" spans="1:10" x14ac:dyDescent="0.25">
      <c r="A712" s="1">
        <v>70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"2025-10-13 09:24:55.874"</f>
        <v>2025-10-13 09:24:55.874</v>
      </c>
      <c r="H712" t="s">
        <v>21</v>
      </c>
    </row>
    <row r="713" spans="1:10" x14ac:dyDescent="0.25">
      <c r="A713" s="1">
        <v>71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"2025-10-12 23:14:42.846"</f>
        <v>2025-10-12 23:14:42.846</v>
      </c>
      <c r="H713" t="s">
        <v>21</v>
      </c>
      <c r="I713">
        <v>0</v>
      </c>
      <c r="J713" t="s">
        <v>33</v>
      </c>
    </row>
    <row r="714" spans="1:10" x14ac:dyDescent="0.25">
      <c r="A714" s="1">
        <v>72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"2025-10-12 22:14:28.855"</f>
        <v>2025-10-12 22:14:28.855</v>
      </c>
      <c r="H714" t="s">
        <v>21</v>
      </c>
      <c r="I714">
        <v>0</v>
      </c>
      <c r="J714" t="s">
        <v>33</v>
      </c>
    </row>
    <row r="715" spans="1:10" x14ac:dyDescent="0.25">
      <c r="A715" s="1">
        <v>73</v>
      </c>
      <c r="B715" t="s">
        <v>19</v>
      </c>
      <c r="C715">
        <v>706</v>
      </c>
      <c r="D715">
        <v>2</v>
      </c>
      <c r="E715" t="s">
        <v>30</v>
      </c>
      <c r="F715" t="s">
        <v>31</v>
      </c>
      <c r="G715" t="str">
        <f>"2025-10-12 21:35:25.481"</f>
        <v>2025-10-12 21:35:25.481</v>
      </c>
      <c r="H715" t="s">
        <v>21</v>
      </c>
      <c r="I715">
        <v>0</v>
      </c>
      <c r="J715" t="s">
        <v>32</v>
      </c>
    </row>
    <row r="716" spans="1:10" x14ac:dyDescent="0.25">
      <c r="A716" s="1">
        <v>74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"2025-10-12 20:56:15.861"</f>
        <v>2025-10-12 20:56:15.861</v>
      </c>
      <c r="H716" t="s">
        <v>21</v>
      </c>
    </row>
    <row r="717" spans="1:10" x14ac:dyDescent="0.25">
      <c r="A717" s="1">
        <v>75</v>
      </c>
      <c r="B717" t="s">
        <v>19</v>
      </c>
      <c r="C717">
        <v>706</v>
      </c>
      <c r="D717">
        <v>4</v>
      </c>
      <c r="E717" t="s">
        <v>30</v>
      </c>
      <c r="F717" t="s">
        <v>34</v>
      </c>
      <c r="G717" t="str">
        <f>"2025-10-12 07:58:42.554"</f>
        <v>2025-10-12 07:58:42.554</v>
      </c>
      <c r="H717" t="s">
        <v>21</v>
      </c>
      <c r="I717">
        <v>0</v>
      </c>
      <c r="J717" t="s">
        <v>32</v>
      </c>
    </row>
    <row r="718" spans="1:10" x14ac:dyDescent="0.25">
      <c r="A718" s="1">
        <v>76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"2025-10-12 07:58:07.864"</f>
        <v>2025-10-12 07:58:07.864</v>
      </c>
      <c r="H718" t="s">
        <v>21</v>
      </c>
    </row>
    <row r="719" spans="1:10" x14ac:dyDescent="0.25">
      <c r="A719" s="1">
        <v>77</v>
      </c>
      <c r="B719" t="s">
        <v>22</v>
      </c>
      <c r="C719">
        <v>635</v>
      </c>
      <c r="D719">
        <v>1</v>
      </c>
      <c r="E719" t="s">
        <v>27</v>
      </c>
      <c r="F719" t="s">
        <v>28</v>
      </c>
      <c r="G719" t="str">
        <f>"2025-10-11 11:13:19.717"</f>
        <v>2025-10-11 11:13:19.717</v>
      </c>
      <c r="H719" t="s">
        <v>21</v>
      </c>
    </row>
    <row r="720" spans="1:10" x14ac:dyDescent="0.25">
      <c r="A720" s="1">
        <v>78</v>
      </c>
      <c r="B720" t="s">
        <v>25</v>
      </c>
      <c r="C720">
        <v>635</v>
      </c>
      <c r="D720">
        <v>1</v>
      </c>
      <c r="E720" t="s">
        <v>27</v>
      </c>
      <c r="F720" t="s">
        <v>28</v>
      </c>
      <c r="G720" t="str">
        <f>"2025-10-11 11:09:57.717"</f>
        <v>2025-10-11 11:09:57.717</v>
      </c>
      <c r="H720" t="s">
        <v>21</v>
      </c>
      <c r="I720">
        <v>4.74</v>
      </c>
      <c r="J720" t="s">
        <v>26</v>
      </c>
    </row>
    <row r="721" spans="1:10" x14ac:dyDescent="0.25">
      <c r="A721" s="1">
        <v>79</v>
      </c>
      <c r="B721" t="s">
        <v>22</v>
      </c>
      <c r="C721">
        <v>635</v>
      </c>
      <c r="D721">
        <v>1</v>
      </c>
      <c r="E721" t="s">
        <v>27</v>
      </c>
      <c r="F721" t="s">
        <v>28</v>
      </c>
      <c r="G721" t="str">
        <f>"2025-10-10 13:28:28.717"</f>
        <v>2025-10-10 13:28:28.717</v>
      </c>
      <c r="H721" t="s">
        <v>21</v>
      </c>
    </row>
    <row r="722" spans="1:10" x14ac:dyDescent="0.25">
      <c r="A722" s="1">
        <v>80</v>
      </c>
      <c r="B722" t="s">
        <v>25</v>
      </c>
      <c r="C722">
        <v>635</v>
      </c>
      <c r="D722">
        <v>1</v>
      </c>
      <c r="E722" t="s">
        <v>27</v>
      </c>
      <c r="F722" t="s">
        <v>28</v>
      </c>
      <c r="G722" t="str">
        <f>"2025-10-10 13:24:55.818"</f>
        <v>2025-10-10 13:24:55.818</v>
      </c>
      <c r="H722" t="s">
        <v>21</v>
      </c>
      <c r="I722">
        <v>8.84</v>
      </c>
      <c r="J722" t="s">
        <v>26</v>
      </c>
    </row>
    <row r="723" spans="1:10" x14ac:dyDescent="0.25">
      <c r="A723" s="1">
        <v>81</v>
      </c>
      <c r="B723" t="s">
        <v>22</v>
      </c>
      <c r="C723">
        <v>635</v>
      </c>
      <c r="D723">
        <v>1</v>
      </c>
      <c r="E723" t="s">
        <v>27</v>
      </c>
      <c r="F723" t="s">
        <v>28</v>
      </c>
      <c r="G723" t="str">
        <f>"2025-10-09 22:40:17.117"</f>
        <v>2025-10-09 22:40:17.117</v>
      </c>
      <c r="H723" t="s">
        <v>21</v>
      </c>
    </row>
    <row r="724" spans="1:10" x14ac:dyDescent="0.25">
      <c r="A724" s="1">
        <v>82</v>
      </c>
      <c r="B724" t="s">
        <v>25</v>
      </c>
      <c r="C724">
        <v>635</v>
      </c>
      <c r="D724">
        <v>1</v>
      </c>
      <c r="E724" t="s">
        <v>27</v>
      </c>
      <c r="F724" t="s">
        <v>28</v>
      </c>
      <c r="G724" t="str">
        <f>"2025-10-09 22:36:01.618"</f>
        <v>2025-10-09 22:36:01.618</v>
      </c>
      <c r="H724" t="s">
        <v>21</v>
      </c>
      <c r="I724">
        <v>10.220000000000001</v>
      </c>
      <c r="J724" t="s">
        <v>35</v>
      </c>
    </row>
    <row r="725" spans="1:10" x14ac:dyDescent="0.25">
      <c r="A725" s="1">
        <v>83</v>
      </c>
      <c r="B725" t="s">
        <v>19</v>
      </c>
      <c r="C725">
        <v>706</v>
      </c>
      <c r="D725">
        <v>2</v>
      </c>
      <c r="E725" t="s">
        <v>30</v>
      </c>
      <c r="F725" t="s">
        <v>31</v>
      </c>
      <c r="G725" t="str">
        <f>"2025-10-09 07:55:48.980"</f>
        <v>2025-10-09 07:55:48.980</v>
      </c>
      <c r="H725" t="s">
        <v>21</v>
      </c>
      <c r="I725">
        <v>0</v>
      </c>
      <c r="J725" t="s">
        <v>32</v>
      </c>
    </row>
    <row r="726" spans="1:10" x14ac:dyDescent="0.25">
      <c r="A726" s="1">
        <v>84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"2025-10-09 07:55:26.870"</f>
        <v>2025-10-09 07:55:26.870</v>
      </c>
      <c r="H726" t="s">
        <v>21</v>
      </c>
      <c r="I726">
        <v>0</v>
      </c>
      <c r="J726" t="s">
        <v>33</v>
      </c>
    </row>
    <row r="727" spans="1:10" x14ac:dyDescent="0.25">
      <c r="A727" s="1">
        <v>85</v>
      </c>
      <c r="B727" t="s">
        <v>22</v>
      </c>
      <c r="C727">
        <v>635</v>
      </c>
      <c r="D727">
        <v>1</v>
      </c>
      <c r="E727" t="s">
        <v>27</v>
      </c>
      <c r="F727" t="s">
        <v>28</v>
      </c>
      <c r="G727" t="str">
        <f>"2025-10-04 18:16:56.965"</f>
        <v>2025-10-04 18:16:56.965</v>
      </c>
      <c r="H727" t="s">
        <v>21</v>
      </c>
    </row>
    <row r="728" spans="1:10" x14ac:dyDescent="0.25">
      <c r="A728" s="1">
        <v>86</v>
      </c>
      <c r="B728" t="s">
        <v>25</v>
      </c>
      <c r="C728">
        <v>635</v>
      </c>
      <c r="D728">
        <v>1</v>
      </c>
      <c r="E728" t="s">
        <v>27</v>
      </c>
      <c r="F728" t="s">
        <v>28</v>
      </c>
      <c r="G728" t="str">
        <f>"2025-10-04 17:47:52.465"</f>
        <v>2025-10-04 17:47:52.465</v>
      </c>
      <c r="H728" t="s">
        <v>21</v>
      </c>
      <c r="I728">
        <v>4.09</v>
      </c>
      <c r="J728" t="s">
        <v>29</v>
      </c>
    </row>
    <row r="729" spans="1:10" x14ac:dyDescent="0.25">
      <c r="A729" s="1">
        <v>87</v>
      </c>
      <c r="B729" t="s">
        <v>19</v>
      </c>
      <c r="C729">
        <v>706</v>
      </c>
      <c r="D729">
        <v>2</v>
      </c>
      <c r="E729" t="s">
        <v>30</v>
      </c>
      <c r="F729" t="s">
        <v>31</v>
      </c>
      <c r="G729" t="str">
        <f>"2025-10-04 08:14:39.948"</f>
        <v>2025-10-04 08:14:39.948</v>
      </c>
      <c r="H729" t="s">
        <v>21</v>
      </c>
      <c r="I729">
        <v>0</v>
      </c>
      <c r="J729" t="s">
        <v>32</v>
      </c>
    </row>
    <row r="730" spans="1:10" x14ac:dyDescent="0.25">
      <c r="A730" s="1">
        <v>88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"2025-10-04 08:11:47.858"</f>
        <v>2025-10-04 08:11:47.858</v>
      </c>
      <c r="H730" t="s">
        <v>21</v>
      </c>
    </row>
    <row r="731" spans="1:10" x14ac:dyDescent="0.25">
      <c r="A731" s="1">
        <v>89</v>
      </c>
      <c r="B731" t="s">
        <v>19</v>
      </c>
      <c r="C731">
        <v>706</v>
      </c>
      <c r="D731">
        <v>2</v>
      </c>
      <c r="E731" t="s">
        <v>30</v>
      </c>
      <c r="F731" t="s">
        <v>31</v>
      </c>
      <c r="G731" t="str">
        <f>"2025-10-04 03:53:41.156"</f>
        <v>2025-10-04 03:53:41.156</v>
      </c>
      <c r="H731" t="s">
        <v>21</v>
      </c>
      <c r="I731">
        <v>0</v>
      </c>
      <c r="J731" t="s">
        <v>32</v>
      </c>
    </row>
    <row r="732" spans="1:10" x14ac:dyDescent="0.25">
      <c r="A732" s="1">
        <v>90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"2025-10-04 03:52:46.846"</f>
        <v>2025-10-04 03:52:46.846</v>
      </c>
      <c r="H732" t="s">
        <v>21</v>
      </c>
      <c r="I732">
        <v>0</v>
      </c>
      <c r="J732" t="s">
        <v>33</v>
      </c>
    </row>
    <row r="733" spans="1:10" x14ac:dyDescent="0.25">
      <c r="A733" s="1">
        <v>91</v>
      </c>
      <c r="B733" t="s">
        <v>19</v>
      </c>
      <c r="C733">
        <v>706</v>
      </c>
      <c r="D733">
        <v>4</v>
      </c>
      <c r="E733" t="s">
        <v>30</v>
      </c>
      <c r="F733" t="s">
        <v>34</v>
      </c>
      <c r="G733" t="str">
        <f>"2025-10-04 03:11:42.316"</f>
        <v>2025-10-04 03:11:42.316</v>
      </c>
      <c r="H733" t="s">
        <v>21</v>
      </c>
      <c r="I733">
        <v>0</v>
      </c>
      <c r="J733" t="s">
        <v>32</v>
      </c>
    </row>
    <row r="734" spans="1:10" x14ac:dyDescent="0.25">
      <c r="A734" s="1">
        <v>92</v>
      </c>
      <c r="B734" t="s">
        <v>19</v>
      </c>
      <c r="C734">
        <v>706</v>
      </c>
      <c r="D734">
        <v>2</v>
      </c>
      <c r="E734" t="s">
        <v>30</v>
      </c>
      <c r="F734" t="s">
        <v>31</v>
      </c>
      <c r="G734" t="str">
        <f>"2025-10-04 02:27:19.036"</f>
        <v>2025-10-04 02:27:19.036</v>
      </c>
      <c r="H734" t="s">
        <v>21</v>
      </c>
      <c r="I734">
        <v>0</v>
      </c>
      <c r="J734" t="s">
        <v>32</v>
      </c>
    </row>
    <row r="735" spans="1:10" x14ac:dyDescent="0.25">
      <c r="A735" s="1">
        <v>93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"2025-10-04 02:00:39.876"</f>
        <v>2025-10-04 02:00:39.876</v>
      </c>
      <c r="H735" t="s">
        <v>21</v>
      </c>
    </row>
    <row r="736" spans="1:10" x14ac:dyDescent="0.25">
      <c r="A736" s="1">
        <v>94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"2025-10-04 00:14:31.878"</f>
        <v>2025-10-04 00:14:31.878</v>
      </c>
      <c r="H736" t="s">
        <v>21</v>
      </c>
      <c r="I736">
        <v>0</v>
      </c>
      <c r="J736" t="s">
        <v>33</v>
      </c>
    </row>
    <row r="737" spans="1:10" x14ac:dyDescent="0.25">
      <c r="A737" s="1">
        <v>95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"2025-10-03 17:12:53.888"</f>
        <v>2025-10-03 17:12:53.888</v>
      </c>
      <c r="H737" t="s">
        <v>21</v>
      </c>
    </row>
    <row r="738" spans="1:10" x14ac:dyDescent="0.25">
      <c r="A738" s="1">
        <v>96</v>
      </c>
      <c r="B738" t="s">
        <v>22</v>
      </c>
      <c r="C738">
        <v>635</v>
      </c>
      <c r="D738">
        <v>1</v>
      </c>
      <c r="E738" t="s">
        <v>27</v>
      </c>
      <c r="F738" t="s">
        <v>28</v>
      </c>
      <c r="G738" t="str">
        <f>"2025-10-02 19:05:24.351"</f>
        <v>2025-10-02 19:05:24.351</v>
      </c>
      <c r="H738" t="s">
        <v>21</v>
      </c>
    </row>
    <row r="739" spans="1:10" x14ac:dyDescent="0.25">
      <c r="A739" s="1">
        <v>97</v>
      </c>
      <c r="B739" t="s">
        <v>25</v>
      </c>
      <c r="C739">
        <v>635</v>
      </c>
      <c r="D739">
        <v>1</v>
      </c>
      <c r="E739" t="s">
        <v>27</v>
      </c>
      <c r="F739" t="s">
        <v>28</v>
      </c>
      <c r="G739" t="str">
        <f>"2025-10-02 19:02:09.851"</f>
        <v>2025-10-02 19:02:09.851</v>
      </c>
      <c r="H739" t="s">
        <v>21</v>
      </c>
      <c r="I739">
        <v>8.3699999999999992</v>
      </c>
      <c r="J739" t="s">
        <v>26</v>
      </c>
    </row>
    <row r="740" spans="1:10" x14ac:dyDescent="0.25">
      <c r="A740" s="1">
        <v>98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"2025-10-02 07:59:09.850"</f>
        <v>2025-10-02 07:59:09.850</v>
      </c>
      <c r="H740" t="s">
        <v>21</v>
      </c>
      <c r="I740">
        <v>0</v>
      </c>
      <c r="J740" t="s">
        <v>33</v>
      </c>
    </row>
    <row r="741" spans="1:10" x14ac:dyDescent="0.25">
      <c r="A741" s="1">
        <v>99</v>
      </c>
      <c r="B741" t="s">
        <v>19</v>
      </c>
      <c r="C741">
        <v>706</v>
      </c>
      <c r="D741">
        <v>4</v>
      </c>
      <c r="E741" t="s">
        <v>30</v>
      </c>
      <c r="F741" t="s">
        <v>34</v>
      </c>
      <c r="G741" t="str">
        <f>"2025-09-30 16:56:53.780"</f>
        <v>2025-09-30 16:56:53.780</v>
      </c>
      <c r="H741" t="s">
        <v>21</v>
      </c>
      <c r="I741">
        <v>0</v>
      </c>
      <c r="J741" t="s">
        <v>32</v>
      </c>
    </row>
    <row r="742" spans="1:10" x14ac:dyDescent="0.25">
      <c r="A742" s="1">
        <v>0</v>
      </c>
      <c r="B742" t="s">
        <v>22</v>
      </c>
      <c r="C742">
        <v>635</v>
      </c>
      <c r="D742">
        <v>1</v>
      </c>
      <c r="E742" t="s">
        <v>27</v>
      </c>
      <c r="F742" t="s">
        <v>28</v>
      </c>
      <c r="G742" t="str">
        <f>"2025-09-25 20:09:48.343"</f>
        <v>2025-09-25 20:09:48.343</v>
      </c>
      <c r="H742" t="s">
        <v>21</v>
      </c>
    </row>
    <row r="743" spans="1:10" x14ac:dyDescent="0.25">
      <c r="A743" s="1">
        <v>1</v>
      </c>
      <c r="B743" t="s">
        <v>25</v>
      </c>
      <c r="C743">
        <v>635</v>
      </c>
      <c r="D743">
        <v>1</v>
      </c>
      <c r="E743" t="s">
        <v>27</v>
      </c>
      <c r="F743" t="s">
        <v>28</v>
      </c>
      <c r="G743" t="str">
        <f>"2025-09-25 20:05:56.343"</f>
        <v>2025-09-25 20:05:56.343</v>
      </c>
      <c r="H743" t="s">
        <v>21</v>
      </c>
      <c r="I743">
        <v>4.8600000000000003</v>
      </c>
      <c r="J743" t="s">
        <v>26</v>
      </c>
    </row>
    <row r="744" spans="1:10" x14ac:dyDescent="0.25">
      <c r="A744" s="1">
        <v>2</v>
      </c>
      <c r="B744" t="s">
        <v>19</v>
      </c>
      <c r="C744">
        <v>706</v>
      </c>
      <c r="D744">
        <v>4</v>
      </c>
      <c r="E744" t="s">
        <v>30</v>
      </c>
      <c r="F744" t="s">
        <v>34</v>
      </c>
      <c r="G744" t="str">
        <f>"2025-09-23 12:02:04.840"</f>
        <v>2025-09-23 12:02:04.840</v>
      </c>
      <c r="H744" t="s">
        <v>21</v>
      </c>
      <c r="I744">
        <v>0</v>
      </c>
      <c r="J744" t="s">
        <v>32</v>
      </c>
    </row>
    <row r="745" spans="1:10" x14ac:dyDescent="0.25">
      <c r="A745" s="1">
        <v>3</v>
      </c>
      <c r="B745" t="s">
        <v>19</v>
      </c>
      <c r="C745">
        <v>700</v>
      </c>
      <c r="D745">
        <v>0</v>
      </c>
      <c r="E745" t="s">
        <v>20</v>
      </c>
      <c r="F745" t="s">
        <v>20</v>
      </c>
      <c r="G745" t="str">
        <f>"2025-09-23 11:58:01.910"</f>
        <v>2025-09-23 11:58:01.910</v>
      </c>
      <c r="H745" t="s">
        <v>21</v>
      </c>
      <c r="I745">
        <v>0</v>
      </c>
      <c r="J745" t="s">
        <v>33</v>
      </c>
    </row>
    <row r="746" spans="1:10" x14ac:dyDescent="0.25">
      <c r="A746" s="1">
        <v>4</v>
      </c>
      <c r="B746" t="s">
        <v>19</v>
      </c>
      <c r="C746">
        <v>706</v>
      </c>
      <c r="D746">
        <v>2</v>
      </c>
      <c r="E746" t="s">
        <v>30</v>
      </c>
      <c r="F746" t="s">
        <v>31</v>
      </c>
      <c r="G746" t="str">
        <f>"2025-09-23 11:49:28.980"</f>
        <v>2025-09-23 11:49:28.980</v>
      </c>
      <c r="H746" t="s">
        <v>21</v>
      </c>
      <c r="I746">
        <v>0</v>
      </c>
      <c r="J746" t="s">
        <v>32</v>
      </c>
    </row>
    <row r="747" spans="1:10" x14ac:dyDescent="0.25">
      <c r="A747" s="1">
        <v>5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"2025-09-23 11:45:01.870"</f>
        <v>2025-09-23 11:45:01.870</v>
      </c>
      <c r="H747" t="s">
        <v>21</v>
      </c>
    </row>
    <row r="748" spans="1:10" x14ac:dyDescent="0.25">
      <c r="A748" s="1">
        <v>6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"2025-09-23 11:18:29.899"</f>
        <v>2025-09-23 11:18:29.899</v>
      </c>
      <c r="H748" t="s">
        <v>21</v>
      </c>
      <c r="I748">
        <v>0</v>
      </c>
      <c r="J748" t="s">
        <v>33</v>
      </c>
    </row>
    <row r="749" spans="1:10" x14ac:dyDescent="0.25">
      <c r="A749" s="1">
        <v>7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"2025-09-23 10:46:00.844"</f>
        <v>2025-09-23 10:46:00.844</v>
      </c>
      <c r="H749" t="s">
        <v>21</v>
      </c>
      <c r="I749">
        <v>0</v>
      </c>
      <c r="J749" t="s">
        <v>33</v>
      </c>
    </row>
    <row r="750" spans="1:10" x14ac:dyDescent="0.25">
      <c r="A750" s="1">
        <v>8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"2025-09-23 10:40:02.867"</f>
        <v>2025-09-23 10:40:02.867</v>
      </c>
      <c r="H750" t="s">
        <v>21</v>
      </c>
    </row>
    <row r="751" spans="1:10" x14ac:dyDescent="0.25">
      <c r="A751" s="1">
        <v>9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"2025-09-23 10:21:12.857"</f>
        <v>2025-09-23 10:21:12.857</v>
      </c>
      <c r="H751" t="s">
        <v>21</v>
      </c>
    </row>
    <row r="752" spans="1:10" x14ac:dyDescent="0.25">
      <c r="A752" s="1">
        <v>10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"2025-09-23 09:39:28.116"</f>
        <v>2025-09-23 09:39:28.116</v>
      </c>
      <c r="H752" t="s">
        <v>21</v>
      </c>
      <c r="I752">
        <v>0</v>
      </c>
      <c r="J752" t="s">
        <v>33</v>
      </c>
    </row>
    <row r="753" spans="1:10" x14ac:dyDescent="0.25">
      <c r="A753" s="1">
        <v>11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"2025-09-23 08:39:55.891"</f>
        <v>2025-09-23 08:39:55.891</v>
      </c>
      <c r="H753" t="s">
        <v>21</v>
      </c>
      <c r="I753">
        <v>0</v>
      </c>
      <c r="J753" t="s">
        <v>33</v>
      </c>
    </row>
    <row r="754" spans="1:10" x14ac:dyDescent="0.25">
      <c r="A754" s="1">
        <v>12</v>
      </c>
      <c r="B754" t="s">
        <v>22</v>
      </c>
      <c r="C754">
        <v>635</v>
      </c>
      <c r="D754">
        <v>1</v>
      </c>
      <c r="E754" t="s">
        <v>27</v>
      </c>
      <c r="F754" t="s">
        <v>28</v>
      </c>
      <c r="G754" t="str">
        <f>"2025-09-22 21:06:22.824"</f>
        <v>2025-09-22 21:06:22.824</v>
      </c>
      <c r="H754" t="s">
        <v>21</v>
      </c>
    </row>
    <row r="755" spans="1:10" x14ac:dyDescent="0.25">
      <c r="A755" s="1">
        <v>13</v>
      </c>
      <c r="B755" t="s">
        <v>25</v>
      </c>
      <c r="C755">
        <v>635</v>
      </c>
      <c r="D755">
        <v>1</v>
      </c>
      <c r="E755" t="s">
        <v>27</v>
      </c>
      <c r="F755" t="s">
        <v>28</v>
      </c>
      <c r="G755" t="str">
        <f>"2025-09-22 21:03:28.324"</f>
        <v>2025-09-22 21:03:28.324</v>
      </c>
      <c r="H755" t="s">
        <v>21</v>
      </c>
      <c r="I755">
        <v>7.99</v>
      </c>
      <c r="J755" t="s">
        <v>29</v>
      </c>
    </row>
    <row r="756" spans="1:10" x14ac:dyDescent="0.25">
      <c r="A756" s="1">
        <v>14</v>
      </c>
      <c r="B756" t="s">
        <v>22</v>
      </c>
      <c r="C756">
        <v>635</v>
      </c>
      <c r="D756">
        <v>1</v>
      </c>
      <c r="E756" t="s">
        <v>27</v>
      </c>
      <c r="F756" t="s">
        <v>28</v>
      </c>
      <c r="G756" t="str">
        <f>"2025-09-22 20:02:42.424"</f>
        <v>2025-09-22 20:02:42.424</v>
      </c>
      <c r="H756" t="s">
        <v>21</v>
      </c>
    </row>
    <row r="757" spans="1:10" x14ac:dyDescent="0.25">
      <c r="A757" s="1">
        <v>15</v>
      </c>
      <c r="B757" t="s">
        <v>25</v>
      </c>
      <c r="C757">
        <v>635</v>
      </c>
      <c r="D757">
        <v>1</v>
      </c>
      <c r="E757" t="s">
        <v>27</v>
      </c>
      <c r="F757" t="s">
        <v>28</v>
      </c>
      <c r="G757" t="str">
        <f>"2025-09-22 19:59:25.424"</f>
        <v>2025-09-22 19:59:25.424</v>
      </c>
      <c r="H757" t="s">
        <v>21</v>
      </c>
      <c r="I757">
        <v>5.33</v>
      </c>
      <c r="J757" t="s">
        <v>26</v>
      </c>
    </row>
    <row r="758" spans="1:10" x14ac:dyDescent="0.25">
      <c r="A758" s="1">
        <v>16</v>
      </c>
      <c r="B758" t="s">
        <v>19</v>
      </c>
      <c r="C758">
        <v>706</v>
      </c>
      <c r="D758">
        <v>4</v>
      </c>
      <c r="E758" t="s">
        <v>30</v>
      </c>
      <c r="F758" t="s">
        <v>34</v>
      </c>
      <c r="G758" t="str">
        <f>"2025-09-21 08:19:36.963"</f>
        <v>2025-09-21 08:19:36.963</v>
      </c>
      <c r="H758" t="s">
        <v>21</v>
      </c>
      <c r="I758">
        <v>0</v>
      </c>
      <c r="J758" t="s">
        <v>32</v>
      </c>
    </row>
    <row r="759" spans="1:10" x14ac:dyDescent="0.25">
      <c r="A759" s="1">
        <v>17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"2025-09-21 08:19:22.863"</f>
        <v>2025-09-21 08:19:22.863</v>
      </c>
      <c r="H759" t="s">
        <v>21</v>
      </c>
    </row>
    <row r="760" spans="1:10" x14ac:dyDescent="0.25">
      <c r="A760" s="1">
        <v>18</v>
      </c>
      <c r="B760" t="s">
        <v>22</v>
      </c>
      <c r="C760">
        <v>635</v>
      </c>
      <c r="D760">
        <v>1</v>
      </c>
      <c r="E760" t="s">
        <v>27</v>
      </c>
      <c r="F760" t="s">
        <v>28</v>
      </c>
      <c r="G760" t="str">
        <f>"2025-09-20 10:29:52.727"</f>
        <v>2025-09-20 10:29:52.727</v>
      </c>
      <c r="H760" t="s">
        <v>21</v>
      </c>
    </row>
    <row r="761" spans="1:10" x14ac:dyDescent="0.25">
      <c r="A761" s="1">
        <v>19</v>
      </c>
      <c r="B761" t="s">
        <v>25</v>
      </c>
      <c r="C761">
        <v>635</v>
      </c>
      <c r="D761">
        <v>1</v>
      </c>
      <c r="E761" t="s">
        <v>27</v>
      </c>
      <c r="F761" t="s">
        <v>28</v>
      </c>
      <c r="G761" t="str">
        <f>"2025-09-20 10:04:06.327"</f>
        <v>2025-09-20 10:04:06.327</v>
      </c>
      <c r="H761" t="s">
        <v>21</v>
      </c>
      <c r="I761">
        <v>5.68</v>
      </c>
      <c r="J761" t="s">
        <v>29</v>
      </c>
    </row>
    <row r="762" spans="1:10" x14ac:dyDescent="0.25">
      <c r="A762" s="1">
        <v>20</v>
      </c>
      <c r="B762" t="s">
        <v>22</v>
      </c>
      <c r="C762">
        <v>635</v>
      </c>
      <c r="D762">
        <v>1</v>
      </c>
      <c r="E762" t="s">
        <v>27</v>
      </c>
      <c r="F762" t="s">
        <v>28</v>
      </c>
      <c r="G762" t="str">
        <f>"2025-09-19 01:26:42.227"</f>
        <v>2025-09-19 01:26:42.227</v>
      </c>
      <c r="H762" t="s">
        <v>21</v>
      </c>
    </row>
    <row r="763" spans="1:10" x14ac:dyDescent="0.25">
      <c r="A763" s="1">
        <v>21</v>
      </c>
      <c r="B763" t="s">
        <v>25</v>
      </c>
      <c r="C763">
        <v>635</v>
      </c>
      <c r="D763">
        <v>1</v>
      </c>
      <c r="E763" t="s">
        <v>27</v>
      </c>
      <c r="F763" t="s">
        <v>28</v>
      </c>
      <c r="G763" t="str">
        <f>"2025-09-19 01:22:50.227"</f>
        <v>2025-09-19 01:22:50.227</v>
      </c>
      <c r="H763" t="s">
        <v>21</v>
      </c>
      <c r="I763">
        <v>3.25</v>
      </c>
      <c r="J763" t="s">
        <v>35</v>
      </c>
    </row>
    <row r="764" spans="1:10" x14ac:dyDescent="0.25">
      <c r="A764" s="1">
        <v>22</v>
      </c>
      <c r="B764" t="s">
        <v>22</v>
      </c>
      <c r="C764">
        <v>635</v>
      </c>
      <c r="D764">
        <v>1</v>
      </c>
      <c r="E764" t="s">
        <v>27</v>
      </c>
      <c r="F764" t="s">
        <v>28</v>
      </c>
      <c r="G764" t="str">
        <f>"2025-09-18 01:07:26.327"</f>
        <v>2025-09-18 01:07:26.327</v>
      </c>
      <c r="H764" t="s">
        <v>21</v>
      </c>
    </row>
    <row r="765" spans="1:10" x14ac:dyDescent="0.25">
      <c r="A765" s="1">
        <v>23</v>
      </c>
      <c r="B765" t="s">
        <v>25</v>
      </c>
      <c r="C765">
        <v>635</v>
      </c>
      <c r="D765">
        <v>1</v>
      </c>
      <c r="E765" t="s">
        <v>27</v>
      </c>
      <c r="F765" t="s">
        <v>28</v>
      </c>
      <c r="G765" t="str">
        <f>"2025-09-18 00:53:49.327"</f>
        <v>2025-09-18 00:53:49.327</v>
      </c>
      <c r="H765" t="s">
        <v>21</v>
      </c>
      <c r="I765">
        <v>6.4</v>
      </c>
      <c r="J765" t="s">
        <v>29</v>
      </c>
    </row>
    <row r="766" spans="1:10" x14ac:dyDescent="0.25">
      <c r="A766" s="1">
        <v>24</v>
      </c>
      <c r="B766" t="s">
        <v>22</v>
      </c>
      <c r="C766">
        <v>635</v>
      </c>
      <c r="D766">
        <v>1</v>
      </c>
      <c r="E766" t="s">
        <v>27</v>
      </c>
      <c r="F766" t="s">
        <v>28</v>
      </c>
      <c r="G766" t="str">
        <f>"2025-09-16 20:07:01.927"</f>
        <v>2025-09-16 20:07:01.927</v>
      </c>
      <c r="H766" t="s">
        <v>21</v>
      </c>
    </row>
    <row r="767" spans="1:10" x14ac:dyDescent="0.25">
      <c r="A767" s="1">
        <v>25</v>
      </c>
      <c r="B767" t="s">
        <v>25</v>
      </c>
      <c r="C767">
        <v>635</v>
      </c>
      <c r="D767">
        <v>1</v>
      </c>
      <c r="E767" t="s">
        <v>27</v>
      </c>
      <c r="F767" t="s">
        <v>28</v>
      </c>
      <c r="G767" t="str">
        <f>"2025-09-16 20:04:23.427"</f>
        <v>2025-09-16 20:04:23.427</v>
      </c>
      <c r="H767" t="s">
        <v>21</v>
      </c>
      <c r="I767">
        <v>1.97</v>
      </c>
      <c r="J767" t="s">
        <v>26</v>
      </c>
    </row>
    <row r="768" spans="1:10" x14ac:dyDescent="0.25">
      <c r="A768" s="1">
        <v>27</v>
      </c>
      <c r="B768" t="s">
        <v>22</v>
      </c>
      <c r="C768">
        <v>635</v>
      </c>
      <c r="D768">
        <v>1</v>
      </c>
      <c r="E768" t="s">
        <v>27</v>
      </c>
      <c r="F768" t="s">
        <v>28</v>
      </c>
      <c r="G768" t="str">
        <f>"2025-09-16 02:52:31.327"</f>
        <v>2025-09-16 02:52:31.327</v>
      </c>
      <c r="H768" t="s">
        <v>21</v>
      </c>
    </row>
    <row r="769" spans="1:10" x14ac:dyDescent="0.25">
      <c r="A769" s="1">
        <v>28</v>
      </c>
      <c r="B769" t="s">
        <v>25</v>
      </c>
      <c r="C769">
        <v>635</v>
      </c>
      <c r="D769">
        <v>1</v>
      </c>
      <c r="E769" t="s">
        <v>27</v>
      </c>
      <c r="F769" t="s">
        <v>28</v>
      </c>
      <c r="G769" t="str">
        <f>"2025-09-16 02:37:29.827"</f>
        <v>2025-09-16 02:37:29.827</v>
      </c>
      <c r="H769" t="s">
        <v>21</v>
      </c>
      <c r="I769">
        <v>9.57</v>
      </c>
      <c r="J769" t="s">
        <v>35</v>
      </c>
    </row>
    <row r="770" spans="1:10" x14ac:dyDescent="0.25">
      <c r="A770" s="1">
        <v>29</v>
      </c>
      <c r="B770" t="s">
        <v>22</v>
      </c>
      <c r="C770">
        <v>61</v>
      </c>
      <c r="D770">
        <v>2</v>
      </c>
      <c r="E770" t="s">
        <v>41</v>
      </c>
      <c r="F770" t="s">
        <v>42</v>
      </c>
      <c r="G770" t="str">
        <f>"2025-09-15 08:34:32.347"</f>
        <v>2025-09-15 08:34:32.347</v>
      </c>
      <c r="H770" t="s">
        <v>21</v>
      </c>
    </row>
    <row r="771" spans="1:10" x14ac:dyDescent="0.25">
      <c r="A771" s="1">
        <v>30</v>
      </c>
      <c r="B771" t="s">
        <v>40</v>
      </c>
      <c r="C771">
        <v>61</v>
      </c>
      <c r="D771">
        <v>2</v>
      </c>
      <c r="E771" t="s">
        <v>41</v>
      </c>
      <c r="F771" t="s">
        <v>42</v>
      </c>
      <c r="G771" t="str">
        <f>"2025-09-15 08:34:25.848"</f>
        <v>2025-09-15 08:34:25.848</v>
      </c>
      <c r="H771" t="s">
        <v>21</v>
      </c>
      <c r="I771">
        <v>35.18</v>
      </c>
      <c r="J771" t="s">
        <v>26</v>
      </c>
    </row>
    <row r="772" spans="1:10" x14ac:dyDescent="0.25">
      <c r="A772" s="1">
        <v>31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"2025-09-15 02:24:21.869"</f>
        <v>2025-09-15 02:24:21.869</v>
      </c>
      <c r="H772" t="s">
        <v>21</v>
      </c>
    </row>
    <row r="773" spans="1:10" x14ac:dyDescent="0.25">
      <c r="A773" s="1">
        <v>33</v>
      </c>
      <c r="B773" t="s">
        <v>22</v>
      </c>
      <c r="C773">
        <v>635</v>
      </c>
      <c r="D773">
        <v>1</v>
      </c>
      <c r="E773" t="s">
        <v>27</v>
      </c>
      <c r="F773" t="s">
        <v>28</v>
      </c>
      <c r="G773" t="str">
        <f>"2025-09-14 10:29:09.752"</f>
        <v>2025-09-14 10:29:09.752</v>
      </c>
      <c r="H773" t="s">
        <v>21</v>
      </c>
    </row>
    <row r="774" spans="1:10" x14ac:dyDescent="0.25">
      <c r="A774" s="1">
        <v>34</v>
      </c>
      <c r="B774" t="s">
        <v>25</v>
      </c>
      <c r="C774">
        <v>635</v>
      </c>
      <c r="D774">
        <v>1</v>
      </c>
      <c r="E774" t="s">
        <v>27</v>
      </c>
      <c r="F774" t="s">
        <v>28</v>
      </c>
      <c r="G774" t="str">
        <f>"2025-09-14 10:21:41.252"</f>
        <v>2025-09-14 10:21:41.252</v>
      </c>
      <c r="H774" t="s">
        <v>21</v>
      </c>
      <c r="I774">
        <v>0.76</v>
      </c>
      <c r="J774" t="s">
        <v>29</v>
      </c>
    </row>
    <row r="775" spans="1:10" x14ac:dyDescent="0.25">
      <c r="A775" s="1">
        <v>35</v>
      </c>
      <c r="B775" t="s">
        <v>37</v>
      </c>
      <c r="C775">
        <v>33</v>
      </c>
      <c r="D775">
        <v>1</v>
      </c>
      <c r="E775" t="s">
        <v>63</v>
      </c>
      <c r="F775" t="s">
        <v>64</v>
      </c>
      <c r="G775" t="str">
        <f>"2025-09-14 09:46:22.452"</f>
        <v>2025-09-14 09:46:22.452</v>
      </c>
      <c r="H775" t="s">
        <v>65</v>
      </c>
    </row>
    <row r="776" spans="1:10" x14ac:dyDescent="0.25">
      <c r="A776" s="1">
        <v>36</v>
      </c>
      <c r="B776" t="s">
        <v>40</v>
      </c>
      <c r="C776">
        <v>33</v>
      </c>
      <c r="D776">
        <v>1</v>
      </c>
      <c r="E776" t="s">
        <v>63</v>
      </c>
      <c r="F776" t="s">
        <v>64</v>
      </c>
      <c r="G776" t="str">
        <f>"2025-09-14 09:43:05.911"</f>
        <v>2025-09-14 09:43:05.911</v>
      </c>
      <c r="H776" t="s">
        <v>65</v>
      </c>
      <c r="I776">
        <v>11.07</v>
      </c>
      <c r="J776" t="s">
        <v>29</v>
      </c>
    </row>
    <row r="777" spans="1:10" x14ac:dyDescent="0.25">
      <c r="A777" s="1">
        <v>37</v>
      </c>
      <c r="B777" t="s">
        <v>19</v>
      </c>
      <c r="C777">
        <v>706</v>
      </c>
      <c r="D777">
        <v>4</v>
      </c>
      <c r="E777" t="s">
        <v>30</v>
      </c>
      <c r="F777" t="s">
        <v>34</v>
      </c>
      <c r="G777" t="str">
        <f>"2025-09-12 19:50:25.478"</f>
        <v>2025-09-12 19:50:25.478</v>
      </c>
      <c r="H777" t="s">
        <v>21</v>
      </c>
      <c r="I777">
        <v>0</v>
      </c>
      <c r="J777" t="s">
        <v>32</v>
      </c>
    </row>
    <row r="778" spans="1:10" x14ac:dyDescent="0.25">
      <c r="A778" s="1">
        <v>38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"2025-09-12 19:49:29.848"</f>
        <v>2025-09-12 19:49:29.848</v>
      </c>
      <c r="H778" t="s">
        <v>21</v>
      </c>
      <c r="I778">
        <v>0</v>
      </c>
      <c r="J778" t="s">
        <v>33</v>
      </c>
    </row>
    <row r="779" spans="1:10" x14ac:dyDescent="0.25">
      <c r="A779" s="1">
        <v>39</v>
      </c>
      <c r="B779" t="s">
        <v>19</v>
      </c>
      <c r="C779">
        <v>706</v>
      </c>
      <c r="D779">
        <v>4</v>
      </c>
      <c r="E779" t="s">
        <v>30</v>
      </c>
      <c r="F779" t="s">
        <v>34</v>
      </c>
      <c r="G779" t="str">
        <f>"2025-09-12 16:35:48.790"</f>
        <v>2025-09-12 16:35:48.790</v>
      </c>
      <c r="H779" t="s">
        <v>21</v>
      </c>
      <c r="I779">
        <v>0</v>
      </c>
      <c r="J779" t="s">
        <v>32</v>
      </c>
    </row>
    <row r="780" spans="1:10" x14ac:dyDescent="0.25">
      <c r="A780" s="1">
        <v>40</v>
      </c>
      <c r="B780" t="s">
        <v>22</v>
      </c>
      <c r="C780">
        <v>630</v>
      </c>
      <c r="D780">
        <v>5</v>
      </c>
      <c r="E780" t="s">
        <v>66</v>
      </c>
      <c r="F780" t="s">
        <v>67</v>
      </c>
      <c r="G780" t="str">
        <f>"2025-09-12 16:33:22.802"</f>
        <v>2025-09-12 16:33:22.802</v>
      </c>
      <c r="H780" t="s">
        <v>68</v>
      </c>
    </row>
    <row r="781" spans="1:10" x14ac:dyDescent="0.25">
      <c r="A781" s="1">
        <v>41</v>
      </c>
      <c r="B781" t="s">
        <v>19</v>
      </c>
      <c r="C781">
        <v>706</v>
      </c>
      <c r="D781">
        <v>4</v>
      </c>
      <c r="E781" t="s">
        <v>30</v>
      </c>
      <c r="F781" t="s">
        <v>34</v>
      </c>
      <c r="G781" t="str">
        <f>"2025-09-12 16:33:21.800"</f>
        <v>2025-09-12 16:33:21.800</v>
      </c>
      <c r="H781" t="s">
        <v>21</v>
      </c>
      <c r="I781">
        <v>0</v>
      </c>
      <c r="J781" t="s">
        <v>32</v>
      </c>
    </row>
    <row r="782" spans="1:10" x14ac:dyDescent="0.25">
      <c r="A782" s="1">
        <v>42</v>
      </c>
      <c r="B782" t="s">
        <v>40</v>
      </c>
      <c r="C782">
        <v>630</v>
      </c>
      <c r="D782">
        <v>5</v>
      </c>
      <c r="E782" t="s">
        <v>66</v>
      </c>
      <c r="F782" t="s">
        <v>67</v>
      </c>
      <c r="G782" t="str">
        <f>"2025-09-12 16:31:14.902"</f>
        <v>2025-09-12 16:31:14.902</v>
      </c>
      <c r="H782" t="s">
        <v>68</v>
      </c>
      <c r="I782">
        <v>0</v>
      </c>
      <c r="J782" t="s">
        <v>32</v>
      </c>
    </row>
    <row r="783" spans="1:10" x14ac:dyDescent="0.25">
      <c r="A783" s="1">
        <v>43</v>
      </c>
      <c r="B783" t="s">
        <v>22</v>
      </c>
      <c r="C783">
        <v>630</v>
      </c>
      <c r="D783">
        <v>5</v>
      </c>
      <c r="E783" t="s">
        <v>66</v>
      </c>
      <c r="F783" t="s">
        <v>67</v>
      </c>
      <c r="G783" t="str">
        <f>"2025-09-12 16:23:30.302"</f>
        <v>2025-09-12 16:23:30.302</v>
      </c>
      <c r="H783" t="s">
        <v>68</v>
      </c>
    </row>
    <row r="784" spans="1:10" x14ac:dyDescent="0.25">
      <c r="A784" s="1">
        <v>44</v>
      </c>
      <c r="B784" t="s">
        <v>37</v>
      </c>
      <c r="C784">
        <v>47</v>
      </c>
      <c r="D784">
        <v>2</v>
      </c>
      <c r="E784" t="s">
        <v>56</v>
      </c>
      <c r="F784" t="s">
        <v>57</v>
      </c>
      <c r="G784" t="str">
        <f>"2025-09-12 16:23:08.115"</f>
        <v>2025-09-12 16:23:08.115</v>
      </c>
      <c r="H784" t="s">
        <v>49</v>
      </c>
    </row>
    <row r="785" spans="1:10" x14ac:dyDescent="0.25">
      <c r="A785" s="1">
        <v>45</v>
      </c>
      <c r="B785" t="s">
        <v>19</v>
      </c>
      <c r="C785">
        <v>706</v>
      </c>
      <c r="D785">
        <v>4</v>
      </c>
      <c r="E785" t="s">
        <v>30</v>
      </c>
      <c r="F785" t="s">
        <v>34</v>
      </c>
      <c r="G785" t="str">
        <f>"2025-09-12 16:23:00.220"</f>
        <v>2025-09-12 16:23:00.220</v>
      </c>
      <c r="H785" t="s">
        <v>21</v>
      </c>
      <c r="I785">
        <v>0</v>
      </c>
      <c r="J785" t="s">
        <v>32</v>
      </c>
    </row>
    <row r="786" spans="1:10" x14ac:dyDescent="0.25">
      <c r="A786" s="1">
        <v>46</v>
      </c>
      <c r="B786" t="s">
        <v>19</v>
      </c>
      <c r="C786">
        <v>706</v>
      </c>
      <c r="D786">
        <v>2</v>
      </c>
      <c r="E786" t="s">
        <v>30</v>
      </c>
      <c r="F786" t="s">
        <v>31</v>
      </c>
      <c r="G786" t="str">
        <f>"2025-09-12 16:17:45.730"</f>
        <v>2025-09-12 16:17:45.730</v>
      </c>
      <c r="H786" t="s">
        <v>21</v>
      </c>
      <c r="I786">
        <v>0</v>
      </c>
      <c r="J786" t="s">
        <v>32</v>
      </c>
    </row>
    <row r="787" spans="1:10" x14ac:dyDescent="0.25">
      <c r="A787" s="1">
        <v>47</v>
      </c>
      <c r="B787" t="s">
        <v>19</v>
      </c>
      <c r="C787">
        <v>706</v>
      </c>
      <c r="D787">
        <v>2</v>
      </c>
      <c r="E787" t="s">
        <v>30</v>
      </c>
      <c r="F787" t="s">
        <v>31</v>
      </c>
      <c r="G787" t="str">
        <f>"2025-09-12 16:13:44.130"</f>
        <v>2025-09-12 16:13:44.130</v>
      </c>
      <c r="H787" t="s">
        <v>21</v>
      </c>
      <c r="I787">
        <v>0</v>
      </c>
      <c r="J787" t="s">
        <v>32</v>
      </c>
    </row>
    <row r="788" spans="1:10" x14ac:dyDescent="0.25">
      <c r="A788" s="1">
        <v>48</v>
      </c>
      <c r="B788" t="s">
        <v>19</v>
      </c>
      <c r="C788">
        <v>706</v>
      </c>
      <c r="D788">
        <v>2</v>
      </c>
      <c r="E788" t="s">
        <v>30</v>
      </c>
      <c r="F788" t="s">
        <v>31</v>
      </c>
      <c r="G788" t="str">
        <f>"2025-09-12 16:11:29.930"</f>
        <v>2025-09-12 16:11:29.930</v>
      </c>
      <c r="H788" t="s">
        <v>21</v>
      </c>
      <c r="I788">
        <v>0</v>
      </c>
      <c r="J788" t="s">
        <v>32</v>
      </c>
    </row>
    <row r="789" spans="1:10" x14ac:dyDescent="0.25">
      <c r="A789" s="1">
        <v>49</v>
      </c>
      <c r="B789" t="s">
        <v>40</v>
      </c>
      <c r="C789">
        <v>47</v>
      </c>
      <c r="D789">
        <v>2</v>
      </c>
      <c r="E789" t="s">
        <v>56</v>
      </c>
      <c r="F789" t="s">
        <v>57</v>
      </c>
      <c r="G789" t="str">
        <f>"2025-09-12 16:11:23.716"</f>
        <v>2025-09-12 16:11:23.716</v>
      </c>
      <c r="H789" t="s">
        <v>49</v>
      </c>
      <c r="I789">
        <v>0</v>
      </c>
      <c r="J789" t="s">
        <v>32</v>
      </c>
    </row>
    <row r="790" spans="1:10" x14ac:dyDescent="0.25">
      <c r="A790" s="1">
        <v>50</v>
      </c>
      <c r="B790" t="s">
        <v>19</v>
      </c>
      <c r="C790">
        <v>706</v>
      </c>
      <c r="D790">
        <v>2</v>
      </c>
      <c r="E790" t="s">
        <v>30</v>
      </c>
      <c r="F790" t="s">
        <v>31</v>
      </c>
      <c r="G790" t="str">
        <f>"2025-09-12 16:11:18.730"</f>
        <v>2025-09-12 16:11:18.730</v>
      </c>
      <c r="H790" t="s">
        <v>21</v>
      </c>
      <c r="I790">
        <v>0</v>
      </c>
      <c r="J790" t="s">
        <v>32</v>
      </c>
    </row>
    <row r="791" spans="1:10" x14ac:dyDescent="0.25">
      <c r="A791" s="1">
        <v>51</v>
      </c>
      <c r="B791" t="s">
        <v>40</v>
      </c>
      <c r="C791">
        <v>630</v>
      </c>
      <c r="D791">
        <v>5</v>
      </c>
      <c r="E791" t="s">
        <v>66</v>
      </c>
      <c r="F791" t="s">
        <v>67</v>
      </c>
      <c r="G791" t="str">
        <f>"2025-09-12 16:05:56.602"</f>
        <v>2025-09-12 16:05:56.602</v>
      </c>
      <c r="H791" t="s">
        <v>68</v>
      </c>
      <c r="I791">
        <v>0</v>
      </c>
      <c r="J791" t="s">
        <v>32</v>
      </c>
    </row>
    <row r="792" spans="1:10" x14ac:dyDescent="0.25">
      <c r="A792" s="1">
        <v>52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"2025-09-12 16:00:53.830"</f>
        <v>2025-09-12 16:00:53.830</v>
      </c>
      <c r="H792" t="s">
        <v>21</v>
      </c>
    </row>
    <row r="793" spans="1:10" x14ac:dyDescent="0.25">
      <c r="A793" s="1">
        <v>53</v>
      </c>
      <c r="B793" t="s">
        <v>19</v>
      </c>
      <c r="C793">
        <v>706</v>
      </c>
      <c r="D793">
        <v>3</v>
      </c>
      <c r="E793" t="s">
        <v>30</v>
      </c>
      <c r="F793" t="s">
        <v>36</v>
      </c>
      <c r="G793" t="str">
        <f>"2025-09-12 14:48:46.545"</f>
        <v>2025-09-12 14:48:46.545</v>
      </c>
      <c r="H793" t="s">
        <v>21</v>
      </c>
      <c r="I793">
        <v>0</v>
      </c>
      <c r="J793" t="s">
        <v>32</v>
      </c>
    </row>
    <row r="794" spans="1:10" x14ac:dyDescent="0.25">
      <c r="A794" s="1">
        <v>54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"2025-09-12 14:48:14.835"</f>
        <v>2025-09-12 14:48:14.835</v>
      </c>
      <c r="H794" t="s">
        <v>21</v>
      </c>
      <c r="I794">
        <v>0</v>
      </c>
      <c r="J794" t="s">
        <v>33</v>
      </c>
    </row>
    <row r="795" spans="1:10" x14ac:dyDescent="0.25">
      <c r="A795" s="1">
        <v>55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"2025-09-12 14:43:32.078"</f>
        <v>2025-09-12 14:43:32.078</v>
      </c>
      <c r="H795" t="s">
        <v>21</v>
      </c>
      <c r="I795">
        <v>0</v>
      </c>
      <c r="J795" t="s">
        <v>33</v>
      </c>
    </row>
    <row r="796" spans="1:10" x14ac:dyDescent="0.25">
      <c r="A796" s="1">
        <v>56</v>
      </c>
      <c r="B796" t="s">
        <v>19</v>
      </c>
      <c r="C796">
        <v>706</v>
      </c>
      <c r="D796">
        <v>2</v>
      </c>
      <c r="E796" t="s">
        <v>30</v>
      </c>
      <c r="F796" t="s">
        <v>31</v>
      </c>
      <c r="G796" t="str">
        <f>"2025-09-12 14:41:20.421"</f>
        <v>2025-09-12 14:41:20.421</v>
      </c>
      <c r="H796" t="s">
        <v>21</v>
      </c>
      <c r="I796">
        <v>0</v>
      </c>
      <c r="J796" t="s">
        <v>32</v>
      </c>
    </row>
    <row r="797" spans="1:10" x14ac:dyDescent="0.25">
      <c r="A797" s="1">
        <v>57</v>
      </c>
      <c r="B797" t="s">
        <v>19</v>
      </c>
      <c r="C797">
        <v>706</v>
      </c>
      <c r="D797">
        <v>3</v>
      </c>
      <c r="E797" t="s">
        <v>30</v>
      </c>
      <c r="F797" t="s">
        <v>36</v>
      </c>
      <c r="G797" t="str">
        <f>"2025-09-12 14:40:26.231"</f>
        <v>2025-09-12 14:40:26.231</v>
      </c>
      <c r="H797" t="s">
        <v>21</v>
      </c>
      <c r="I797">
        <v>0</v>
      </c>
      <c r="J797" t="s">
        <v>32</v>
      </c>
    </row>
    <row r="798" spans="1:10" x14ac:dyDescent="0.25">
      <c r="A798" s="1">
        <v>58</v>
      </c>
      <c r="B798" t="s">
        <v>22</v>
      </c>
      <c r="C798">
        <v>635</v>
      </c>
      <c r="D798">
        <v>1</v>
      </c>
      <c r="E798" t="s">
        <v>27</v>
      </c>
      <c r="F798" t="s">
        <v>28</v>
      </c>
      <c r="G798" t="str">
        <f>"2025-09-12 10:13:53.232"</f>
        <v>2025-09-12 10:13:53.232</v>
      </c>
      <c r="H798" t="s">
        <v>21</v>
      </c>
    </row>
    <row r="799" spans="1:10" x14ac:dyDescent="0.25">
      <c r="A799" s="1">
        <v>59</v>
      </c>
      <c r="B799" t="s">
        <v>25</v>
      </c>
      <c r="C799">
        <v>635</v>
      </c>
      <c r="D799">
        <v>1</v>
      </c>
      <c r="E799" t="s">
        <v>27</v>
      </c>
      <c r="F799" t="s">
        <v>28</v>
      </c>
      <c r="G799" t="str">
        <f>"2025-09-12 10:10:12.232"</f>
        <v>2025-09-12 10:10:12.232</v>
      </c>
      <c r="H799" t="s">
        <v>21</v>
      </c>
      <c r="I799">
        <v>5.95</v>
      </c>
      <c r="J799" t="s">
        <v>26</v>
      </c>
    </row>
    <row r="800" spans="1:10" x14ac:dyDescent="0.25">
      <c r="A800" s="1">
        <v>60</v>
      </c>
      <c r="B800" t="s">
        <v>22</v>
      </c>
      <c r="C800">
        <v>635</v>
      </c>
      <c r="D800">
        <v>1</v>
      </c>
      <c r="E800" t="s">
        <v>27</v>
      </c>
      <c r="F800" t="s">
        <v>28</v>
      </c>
      <c r="G800" t="str">
        <f>"2025-09-11 06:05:07.732"</f>
        <v>2025-09-11 06:05:07.732</v>
      </c>
      <c r="H800" t="s">
        <v>21</v>
      </c>
    </row>
    <row r="801" spans="1:10" x14ac:dyDescent="0.25">
      <c r="A801" s="1">
        <v>61</v>
      </c>
      <c r="B801" t="s">
        <v>25</v>
      </c>
      <c r="C801">
        <v>635</v>
      </c>
      <c r="D801">
        <v>1</v>
      </c>
      <c r="E801" t="s">
        <v>27</v>
      </c>
      <c r="F801" t="s">
        <v>28</v>
      </c>
      <c r="G801" t="str">
        <f>"2025-09-11 05:56:30.732"</f>
        <v>2025-09-11 05:56:30.732</v>
      </c>
      <c r="H801" t="s">
        <v>21</v>
      </c>
      <c r="I801">
        <v>9.26</v>
      </c>
      <c r="J801" t="s">
        <v>29</v>
      </c>
    </row>
    <row r="802" spans="1:10" x14ac:dyDescent="0.25">
      <c r="A802" s="1">
        <v>62</v>
      </c>
      <c r="B802" t="s">
        <v>22</v>
      </c>
      <c r="C802">
        <v>635</v>
      </c>
      <c r="D802">
        <v>1</v>
      </c>
      <c r="E802" t="s">
        <v>27</v>
      </c>
      <c r="F802" t="s">
        <v>28</v>
      </c>
      <c r="G802" t="str">
        <f>"2025-09-10 05:28:53.432"</f>
        <v>2025-09-10 05:28:53.432</v>
      </c>
      <c r="H802" t="s">
        <v>21</v>
      </c>
    </row>
    <row r="803" spans="1:10" x14ac:dyDescent="0.25">
      <c r="A803" s="1">
        <v>63</v>
      </c>
      <c r="B803" t="s">
        <v>25</v>
      </c>
      <c r="C803">
        <v>635</v>
      </c>
      <c r="D803">
        <v>1</v>
      </c>
      <c r="E803" t="s">
        <v>27</v>
      </c>
      <c r="F803" t="s">
        <v>28</v>
      </c>
      <c r="G803" t="str">
        <f>"2025-09-10 05:20:26.932"</f>
        <v>2025-09-10 05:20:26.932</v>
      </c>
      <c r="H803" t="s">
        <v>21</v>
      </c>
      <c r="I803">
        <v>8.32</v>
      </c>
      <c r="J803" t="s">
        <v>29</v>
      </c>
    </row>
    <row r="804" spans="1:10" x14ac:dyDescent="0.25">
      <c r="A804" s="1">
        <v>64</v>
      </c>
      <c r="B804" t="s">
        <v>22</v>
      </c>
      <c r="C804">
        <v>635</v>
      </c>
      <c r="D804">
        <v>1</v>
      </c>
      <c r="E804" t="s">
        <v>27</v>
      </c>
      <c r="F804" t="s">
        <v>28</v>
      </c>
      <c r="G804" t="str">
        <f>"2025-09-09 06:43:09.832"</f>
        <v>2025-09-09 06:43:09.832</v>
      </c>
      <c r="H804" t="s">
        <v>21</v>
      </c>
    </row>
    <row r="805" spans="1:10" x14ac:dyDescent="0.25">
      <c r="A805" s="1">
        <v>65</v>
      </c>
      <c r="B805" t="s">
        <v>25</v>
      </c>
      <c r="C805">
        <v>635</v>
      </c>
      <c r="D805">
        <v>1</v>
      </c>
      <c r="E805" t="s">
        <v>27</v>
      </c>
      <c r="F805" t="s">
        <v>28</v>
      </c>
      <c r="G805" t="str">
        <f>"2025-09-09 06:26:03.932"</f>
        <v>2025-09-09 06:26:03.932</v>
      </c>
      <c r="H805" t="s">
        <v>21</v>
      </c>
      <c r="I805">
        <v>6.35</v>
      </c>
      <c r="J805" t="s">
        <v>29</v>
      </c>
    </row>
    <row r="806" spans="1:10" x14ac:dyDescent="0.25">
      <c r="A806" s="1">
        <v>66</v>
      </c>
      <c r="B806" t="s">
        <v>22</v>
      </c>
      <c r="C806">
        <v>61</v>
      </c>
      <c r="D806">
        <v>2</v>
      </c>
      <c r="E806" t="s">
        <v>41</v>
      </c>
      <c r="F806" t="s">
        <v>42</v>
      </c>
      <c r="G806" t="str">
        <f>"2025-09-09 04:43:15.025"</f>
        <v>2025-09-09 04:43:15.025</v>
      </c>
      <c r="H806" t="s">
        <v>21</v>
      </c>
    </row>
    <row r="807" spans="1:10" x14ac:dyDescent="0.25">
      <c r="A807" s="1">
        <v>67</v>
      </c>
      <c r="B807" t="s">
        <v>40</v>
      </c>
      <c r="C807">
        <v>61</v>
      </c>
      <c r="D807">
        <v>2</v>
      </c>
      <c r="E807" t="s">
        <v>41</v>
      </c>
      <c r="F807" t="s">
        <v>42</v>
      </c>
      <c r="G807" t="str">
        <f>"2025-09-09 04:43:07.425"</f>
        <v>2025-09-09 04:43:07.425</v>
      </c>
      <c r="H807" t="s">
        <v>21</v>
      </c>
      <c r="I807">
        <v>35.21</v>
      </c>
      <c r="J807" t="s">
        <v>26</v>
      </c>
    </row>
    <row r="808" spans="1:10" x14ac:dyDescent="0.25">
      <c r="A808" s="1">
        <v>68</v>
      </c>
      <c r="B808" t="s">
        <v>22</v>
      </c>
      <c r="C808">
        <v>635</v>
      </c>
      <c r="D808">
        <v>1</v>
      </c>
      <c r="E808" t="s">
        <v>27</v>
      </c>
      <c r="F808" t="s">
        <v>28</v>
      </c>
      <c r="G808" t="str">
        <f>"2025-09-08 21:37:41.332"</f>
        <v>2025-09-08 21:37:41.332</v>
      </c>
      <c r="H808" t="s">
        <v>21</v>
      </c>
    </row>
    <row r="809" spans="1:10" x14ac:dyDescent="0.25">
      <c r="A809" s="1">
        <v>69</v>
      </c>
      <c r="B809" t="s">
        <v>25</v>
      </c>
      <c r="C809">
        <v>635</v>
      </c>
      <c r="D809">
        <v>1</v>
      </c>
      <c r="E809" t="s">
        <v>27</v>
      </c>
      <c r="F809" t="s">
        <v>28</v>
      </c>
      <c r="G809" t="str">
        <f>"2025-09-08 21:26:33.832"</f>
        <v>2025-09-08 21:26:33.832</v>
      </c>
      <c r="H809" t="s">
        <v>21</v>
      </c>
      <c r="I809">
        <v>5.7</v>
      </c>
      <c r="J809" t="s">
        <v>29</v>
      </c>
    </row>
    <row r="810" spans="1:10" x14ac:dyDescent="0.25">
      <c r="A810" s="1">
        <v>70</v>
      </c>
      <c r="B810" t="s">
        <v>22</v>
      </c>
      <c r="C810">
        <v>635</v>
      </c>
      <c r="D810">
        <v>1</v>
      </c>
      <c r="E810" t="s">
        <v>27</v>
      </c>
      <c r="F810" t="s">
        <v>28</v>
      </c>
      <c r="G810" t="str">
        <f>"2025-09-08 18:03:09.232"</f>
        <v>2025-09-08 18:03:09.232</v>
      </c>
      <c r="H810" t="s">
        <v>21</v>
      </c>
    </row>
    <row r="811" spans="1:10" x14ac:dyDescent="0.25">
      <c r="A811" s="1">
        <v>71</v>
      </c>
      <c r="B811" t="s">
        <v>25</v>
      </c>
      <c r="C811">
        <v>635</v>
      </c>
      <c r="D811">
        <v>1</v>
      </c>
      <c r="E811" t="s">
        <v>27</v>
      </c>
      <c r="F811" t="s">
        <v>28</v>
      </c>
      <c r="G811" t="str">
        <f>"2025-09-08 18:00:51.732"</f>
        <v>2025-09-08 18:00:51.732</v>
      </c>
      <c r="H811" t="s">
        <v>21</v>
      </c>
      <c r="I811">
        <v>0.81</v>
      </c>
      <c r="J811" t="s">
        <v>26</v>
      </c>
    </row>
    <row r="812" spans="1:10" x14ac:dyDescent="0.25">
      <c r="A812" s="1">
        <v>72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"2025-09-07 21:54:34.851"</f>
        <v>2025-09-07 21:54:34.851</v>
      </c>
      <c r="H812" t="s">
        <v>21</v>
      </c>
      <c r="I812">
        <v>0</v>
      </c>
      <c r="J812" t="s">
        <v>33</v>
      </c>
    </row>
    <row r="813" spans="1:10" x14ac:dyDescent="0.25">
      <c r="A813" s="1">
        <v>73</v>
      </c>
      <c r="B813" t="s">
        <v>22</v>
      </c>
      <c r="C813">
        <v>635</v>
      </c>
      <c r="D813">
        <v>1</v>
      </c>
      <c r="E813" t="s">
        <v>27</v>
      </c>
      <c r="F813" t="s">
        <v>28</v>
      </c>
      <c r="G813" t="str">
        <f>"2025-09-07 20:49:56.215"</f>
        <v>2025-09-07 20:49:56.215</v>
      </c>
      <c r="H813" t="s">
        <v>21</v>
      </c>
    </row>
    <row r="814" spans="1:10" x14ac:dyDescent="0.25">
      <c r="A814" s="1">
        <v>74</v>
      </c>
      <c r="B814" t="s">
        <v>25</v>
      </c>
      <c r="C814">
        <v>635</v>
      </c>
      <c r="D814">
        <v>1</v>
      </c>
      <c r="E814" t="s">
        <v>27</v>
      </c>
      <c r="F814" t="s">
        <v>28</v>
      </c>
      <c r="G814" t="str">
        <f>"2025-09-07 20:30:25.715"</f>
        <v>2025-09-07 20:30:25.715</v>
      </c>
      <c r="H814" t="s">
        <v>21</v>
      </c>
      <c r="I814">
        <v>7.74</v>
      </c>
      <c r="J814" t="s">
        <v>29</v>
      </c>
    </row>
    <row r="815" spans="1:10" x14ac:dyDescent="0.25">
      <c r="A815" s="1">
        <v>75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"2025-09-06 14:42:31.001"</f>
        <v>2025-09-06 14:42:31.001</v>
      </c>
      <c r="H815" t="s">
        <v>21</v>
      </c>
      <c r="I815">
        <v>0</v>
      </c>
      <c r="J815" t="s">
        <v>33</v>
      </c>
    </row>
    <row r="816" spans="1:10" x14ac:dyDescent="0.25">
      <c r="A816" s="1">
        <v>76</v>
      </c>
      <c r="B816" t="s">
        <v>22</v>
      </c>
      <c r="C816">
        <v>635</v>
      </c>
      <c r="D816">
        <v>1</v>
      </c>
      <c r="E816" t="s">
        <v>27</v>
      </c>
      <c r="F816" t="s">
        <v>28</v>
      </c>
      <c r="G816" t="str">
        <f>"2025-09-05 16:16:34.460"</f>
        <v>2025-09-05 16:16:34.460</v>
      </c>
      <c r="H816" t="s">
        <v>21</v>
      </c>
    </row>
    <row r="817" spans="1:10" x14ac:dyDescent="0.25">
      <c r="A817" s="1">
        <v>77</v>
      </c>
      <c r="B817" t="s">
        <v>25</v>
      </c>
      <c r="C817">
        <v>635</v>
      </c>
      <c r="D817">
        <v>1</v>
      </c>
      <c r="E817" t="s">
        <v>27</v>
      </c>
      <c r="F817" t="s">
        <v>28</v>
      </c>
      <c r="G817" t="str">
        <f>"2025-09-05 16:12:47.460"</f>
        <v>2025-09-05 16:12:47.460</v>
      </c>
      <c r="H817" t="s">
        <v>21</v>
      </c>
      <c r="I817">
        <v>2.1</v>
      </c>
      <c r="J817" t="s">
        <v>29</v>
      </c>
    </row>
    <row r="818" spans="1:10" x14ac:dyDescent="0.25">
      <c r="A818" s="1">
        <v>78</v>
      </c>
      <c r="B818" t="s">
        <v>22</v>
      </c>
      <c r="C818">
        <v>635</v>
      </c>
      <c r="D818">
        <v>1</v>
      </c>
      <c r="E818" t="s">
        <v>27</v>
      </c>
      <c r="F818" t="s">
        <v>28</v>
      </c>
      <c r="G818" t="str">
        <f>"2025-09-04 09:52:01.660"</f>
        <v>2025-09-04 09:52:01.660</v>
      </c>
      <c r="H818" t="s">
        <v>21</v>
      </c>
    </row>
    <row r="819" spans="1:10" x14ac:dyDescent="0.25">
      <c r="A819" s="1">
        <v>79</v>
      </c>
      <c r="B819" t="s">
        <v>25</v>
      </c>
      <c r="C819">
        <v>635</v>
      </c>
      <c r="D819">
        <v>1</v>
      </c>
      <c r="E819" t="s">
        <v>27</v>
      </c>
      <c r="F819" t="s">
        <v>28</v>
      </c>
      <c r="G819" t="str">
        <f>"2025-09-04 09:30:08.760"</f>
        <v>2025-09-04 09:30:08.760</v>
      </c>
      <c r="H819" t="s">
        <v>21</v>
      </c>
      <c r="I819">
        <v>0.27</v>
      </c>
      <c r="J819" t="s">
        <v>29</v>
      </c>
    </row>
    <row r="820" spans="1:10" x14ac:dyDescent="0.25">
      <c r="A820" s="1">
        <v>80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"2025-09-02 09:46:23.849"</f>
        <v>2025-09-02 09:46:23.849</v>
      </c>
      <c r="H820" t="s">
        <v>21</v>
      </c>
      <c r="I820">
        <v>0</v>
      </c>
      <c r="J820" t="s">
        <v>33</v>
      </c>
    </row>
    <row r="821" spans="1:10" x14ac:dyDescent="0.25">
      <c r="A821" s="1">
        <v>81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"2025-09-02 08:48:13.839"</f>
        <v>2025-09-02 08:48:13.839</v>
      </c>
      <c r="H821" t="s">
        <v>21</v>
      </c>
    </row>
    <row r="822" spans="1:10" x14ac:dyDescent="0.25">
      <c r="A822" s="1">
        <v>82</v>
      </c>
      <c r="B822" t="s">
        <v>19</v>
      </c>
      <c r="C822">
        <v>706</v>
      </c>
      <c r="D822">
        <v>4</v>
      </c>
      <c r="E822" t="s">
        <v>30</v>
      </c>
      <c r="F822" t="s">
        <v>34</v>
      </c>
      <c r="G822" t="str">
        <f>"2025-09-02 08:21:01.969"</f>
        <v>2025-09-02 08:21:01.969</v>
      </c>
      <c r="H822" t="s">
        <v>21</v>
      </c>
      <c r="I822">
        <v>0</v>
      </c>
      <c r="J822" t="s">
        <v>32</v>
      </c>
    </row>
    <row r="823" spans="1:10" x14ac:dyDescent="0.25">
      <c r="A823" s="1">
        <v>83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"2025-09-02 08:13:59.839"</f>
        <v>2025-09-02 08:13:59.839</v>
      </c>
      <c r="H823" t="s">
        <v>21</v>
      </c>
    </row>
    <row r="824" spans="1:10" x14ac:dyDescent="0.25">
      <c r="A824" s="1">
        <v>84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"2025-09-02 06:55:13.828"</f>
        <v>2025-09-02 06:55:13.828</v>
      </c>
      <c r="H824" t="s">
        <v>21</v>
      </c>
    </row>
    <row r="825" spans="1:10" x14ac:dyDescent="0.25">
      <c r="A825" s="1">
        <v>85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"2025-09-02 04:44:10.825"</f>
        <v>2025-09-02 04:44:10.825</v>
      </c>
      <c r="H825" t="s">
        <v>21</v>
      </c>
      <c r="I825">
        <v>0</v>
      </c>
      <c r="J825" t="s">
        <v>33</v>
      </c>
    </row>
    <row r="826" spans="1:10" x14ac:dyDescent="0.25">
      <c r="A826" s="1">
        <v>86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"2025-09-02 04:32:36.820"</f>
        <v>2025-09-02 04:32:36.820</v>
      </c>
      <c r="H826" t="s">
        <v>21</v>
      </c>
      <c r="I826">
        <v>0</v>
      </c>
      <c r="J826" t="s">
        <v>33</v>
      </c>
    </row>
    <row r="827" spans="1:10" x14ac:dyDescent="0.25">
      <c r="A827" s="1">
        <v>87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"2025-09-02 03:54:44.834"</f>
        <v>2025-09-02 03:54:44.834</v>
      </c>
      <c r="H827" t="s">
        <v>21</v>
      </c>
      <c r="I827">
        <v>0</v>
      </c>
      <c r="J827" t="s">
        <v>33</v>
      </c>
    </row>
    <row r="828" spans="1:10" x14ac:dyDescent="0.25">
      <c r="A828" s="1">
        <v>88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"2025-09-02 03:40:31.835"</f>
        <v>2025-09-02 03:40:31.835</v>
      </c>
      <c r="H828" t="s">
        <v>21</v>
      </c>
      <c r="I828">
        <v>0</v>
      </c>
      <c r="J828" t="s">
        <v>33</v>
      </c>
    </row>
    <row r="829" spans="1:10" x14ac:dyDescent="0.25">
      <c r="A829" s="1">
        <v>89</v>
      </c>
      <c r="B829" t="s">
        <v>22</v>
      </c>
      <c r="C829">
        <v>630</v>
      </c>
      <c r="D829">
        <v>5</v>
      </c>
      <c r="E829" t="s">
        <v>66</v>
      </c>
      <c r="F829" t="s">
        <v>67</v>
      </c>
      <c r="G829" t="str">
        <f>"2025-09-02 03:18:23.559"</f>
        <v>2025-09-02 03:18:23.559</v>
      </c>
      <c r="H829" t="s">
        <v>68</v>
      </c>
    </row>
    <row r="830" spans="1:10" x14ac:dyDescent="0.25">
      <c r="A830" s="1">
        <v>90</v>
      </c>
      <c r="B830" t="s">
        <v>40</v>
      </c>
      <c r="C830">
        <v>630</v>
      </c>
      <c r="D830">
        <v>5</v>
      </c>
      <c r="E830" t="s">
        <v>66</v>
      </c>
      <c r="F830" t="s">
        <v>67</v>
      </c>
      <c r="G830" t="str">
        <f>"2025-09-02 03:14:51.059"</f>
        <v>2025-09-02 03:14:51.059</v>
      </c>
      <c r="H830" t="s">
        <v>68</v>
      </c>
      <c r="I830">
        <v>0</v>
      </c>
      <c r="J830" t="s">
        <v>32</v>
      </c>
    </row>
    <row r="831" spans="1:10" x14ac:dyDescent="0.25">
      <c r="A831" s="1">
        <v>91</v>
      </c>
      <c r="B831" t="s">
        <v>22</v>
      </c>
      <c r="C831">
        <v>630</v>
      </c>
      <c r="D831">
        <v>5</v>
      </c>
      <c r="E831" t="s">
        <v>66</v>
      </c>
      <c r="F831" t="s">
        <v>67</v>
      </c>
      <c r="G831" t="str">
        <f>"2025-09-02 03:08:40.659"</f>
        <v>2025-09-02 03:08:40.659</v>
      </c>
      <c r="H831" t="s">
        <v>68</v>
      </c>
    </row>
    <row r="832" spans="1:10" x14ac:dyDescent="0.25">
      <c r="A832" s="1">
        <v>92</v>
      </c>
      <c r="B832" t="s">
        <v>19</v>
      </c>
      <c r="C832">
        <v>706</v>
      </c>
      <c r="D832">
        <v>2</v>
      </c>
      <c r="E832" t="s">
        <v>30</v>
      </c>
      <c r="F832" t="s">
        <v>31</v>
      </c>
      <c r="G832" t="str">
        <f>"2025-09-02 03:08:10.637"</f>
        <v>2025-09-02 03:08:10.637</v>
      </c>
      <c r="H832" t="s">
        <v>21</v>
      </c>
      <c r="I832">
        <v>0</v>
      </c>
      <c r="J832" t="s">
        <v>32</v>
      </c>
    </row>
    <row r="833" spans="1:10" x14ac:dyDescent="0.25">
      <c r="A833" s="1">
        <v>93</v>
      </c>
      <c r="B833" t="s">
        <v>40</v>
      </c>
      <c r="C833">
        <v>630</v>
      </c>
      <c r="D833">
        <v>5</v>
      </c>
      <c r="E833" t="s">
        <v>66</v>
      </c>
      <c r="F833" t="s">
        <v>67</v>
      </c>
      <c r="G833" t="str">
        <f>"2025-09-02 02:24:30.559"</f>
        <v>2025-09-02 02:24:30.559</v>
      </c>
      <c r="H833" t="s">
        <v>68</v>
      </c>
      <c r="I833">
        <v>0</v>
      </c>
      <c r="J833" t="s">
        <v>32</v>
      </c>
    </row>
    <row r="834" spans="1:10" x14ac:dyDescent="0.25">
      <c r="A834" s="1">
        <v>94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"2025-09-02 02:19:27.847"</f>
        <v>2025-09-02 02:19:27.847</v>
      </c>
      <c r="H834" t="s">
        <v>21</v>
      </c>
      <c r="I834">
        <v>0</v>
      </c>
      <c r="J834" t="s">
        <v>33</v>
      </c>
    </row>
    <row r="835" spans="1:10" x14ac:dyDescent="0.25">
      <c r="A835" s="1">
        <v>95</v>
      </c>
      <c r="B835" t="s">
        <v>40</v>
      </c>
      <c r="C835">
        <v>630</v>
      </c>
      <c r="D835">
        <v>5</v>
      </c>
      <c r="E835" t="s">
        <v>66</v>
      </c>
      <c r="F835" t="s">
        <v>67</v>
      </c>
      <c r="G835" t="str">
        <f>"2025-09-02 01:41:21.757"</f>
        <v>2025-09-02 01:41:21.757</v>
      </c>
      <c r="H835" t="s">
        <v>68</v>
      </c>
      <c r="I835">
        <v>0</v>
      </c>
      <c r="J835" t="s">
        <v>32</v>
      </c>
    </row>
    <row r="836" spans="1:10" x14ac:dyDescent="0.25">
      <c r="A836" s="1">
        <v>96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"2025-09-02 01:36:19.055"</f>
        <v>2025-09-02 01:36:19.055</v>
      </c>
      <c r="H836" t="s">
        <v>21</v>
      </c>
    </row>
    <row r="837" spans="1:10" x14ac:dyDescent="0.25">
      <c r="A837" s="1">
        <v>97</v>
      </c>
      <c r="B837" t="s">
        <v>22</v>
      </c>
      <c r="C837">
        <v>635</v>
      </c>
      <c r="D837">
        <v>1</v>
      </c>
      <c r="E837" t="s">
        <v>27</v>
      </c>
      <c r="F837" t="s">
        <v>28</v>
      </c>
      <c r="G837" t="str">
        <f>"2025-08-31 19:06:52.550"</f>
        <v>2025-08-31 19:06:52.550</v>
      </c>
      <c r="H837" t="s">
        <v>21</v>
      </c>
    </row>
    <row r="838" spans="1:10" x14ac:dyDescent="0.25">
      <c r="A838" s="1">
        <v>98</v>
      </c>
      <c r="B838" t="s">
        <v>25</v>
      </c>
      <c r="C838">
        <v>635</v>
      </c>
      <c r="D838">
        <v>1</v>
      </c>
      <c r="E838" t="s">
        <v>27</v>
      </c>
      <c r="F838" t="s">
        <v>28</v>
      </c>
      <c r="G838" t="str">
        <f>"2025-08-31 19:03:59.050"</f>
        <v>2025-08-31 19:03:59.050</v>
      </c>
      <c r="H838" t="s">
        <v>21</v>
      </c>
      <c r="I838">
        <v>4.78</v>
      </c>
      <c r="J838" t="s">
        <v>29</v>
      </c>
    </row>
    <row r="839" spans="1:10" x14ac:dyDescent="0.25">
      <c r="A839" s="1">
        <v>99</v>
      </c>
      <c r="B839" t="s">
        <v>22</v>
      </c>
      <c r="C839">
        <v>61</v>
      </c>
      <c r="D839">
        <v>2</v>
      </c>
      <c r="E839" t="s">
        <v>41</v>
      </c>
      <c r="F839" t="s">
        <v>42</v>
      </c>
      <c r="G839" t="str">
        <f>"2025-08-30 23:28:01.424"</f>
        <v>2025-08-30 23:28:01.424</v>
      </c>
      <c r="H839" t="s">
        <v>21</v>
      </c>
    </row>
    <row r="840" spans="1:10" x14ac:dyDescent="0.25">
      <c r="A840" s="1">
        <v>0</v>
      </c>
      <c r="B840" t="s">
        <v>40</v>
      </c>
      <c r="C840">
        <v>61</v>
      </c>
      <c r="D840">
        <v>2</v>
      </c>
      <c r="E840" t="s">
        <v>41</v>
      </c>
      <c r="F840" t="s">
        <v>42</v>
      </c>
      <c r="G840" t="str">
        <f>"2025-08-30 23:27:55.224"</f>
        <v>2025-08-30 23:27:55.224</v>
      </c>
      <c r="H840" t="s">
        <v>21</v>
      </c>
      <c r="I840">
        <v>35.11</v>
      </c>
      <c r="J840" t="s">
        <v>26</v>
      </c>
    </row>
    <row r="841" spans="1:10" x14ac:dyDescent="0.25">
      <c r="A841" s="1">
        <v>1</v>
      </c>
      <c r="B841" t="s">
        <v>22</v>
      </c>
      <c r="C841">
        <v>635</v>
      </c>
      <c r="D841">
        <v>1</v>
      </c>
      <c r="E841" t="s">
        <v>27</v>
      </c>
      <c r="F841" t="s">
        <v>28</v>
      </c>
      <c r="G841" t="str">
        <f>"2025-08-30 22:32:26.350"</f>
        <v>2025-08-30 22:32:26.350</v>
      </c>
      <c r="H841" t="s">
        <v>21</v>
      </c>
    </row>
    <row r="842" spans="1:10" x14ac:dyDescent="0.25">
      <c r="A842" s="1">
        <v>2</v>
      </c>
      <c r="B842" t="s">
        <v>25</v>
      </c>
      <c r="C842">
        <v>635</v>
      </c>
      <c r="D842">
        <v>1</v>
      </c>
      <c r="E842" t="s">
        <v>27</v>
      </c>
      <c r="F842" t="s">
        <v>28</v>
      </c>
      <c r="G842" t="str">
        <f>"2025-08-30 22:28:50.850"</f>
        <v>2025-08-30 22:28:50.850</v>
      </c>
      <c r="H842" t="s">
        <v>21</v>
      </c>
      <c r="I842">
        <v>4.71</v>
      </c>
      <c r="J842" t="s">
        <v>29</v>
      </c>
    </row>
    <row r="843" spans="1:10" x14ac:dyDescent="0.25">
      <c r="A843" s="1">
        <v>3</v>
      </c>
      <c r="B843" t="s">
        <v>22</v>
      </c>
      <c r="C843">
        <v>635</v>
      </c>
      <c r="D843">
        <v>1</v>
      </c>
      <c r="E843" t="s">
        <v>27</v>
      </c>
      <c r="F843" t="s">
        <v>28</v>
      </c>
      <c r="G843" t="str">
        <f>"2025-08-30 22:15:07.350"</f>
        <v>2025-08-30 22:15:07.350</v>
      </c>
      <c r="H843" t="s">
        <v>21</v>
      </c>
    </row>
    <row r="844" spans="1:10" x14ac:dyDescent="0.25">
      <c r="A844" s="1">
        <v>4</v>
      </c>
      <c r="B844" t="s">
        <v>25</v>
      </c>
      <c r="C844">
        <v>635</v>
      </c>
      <c r="D844">
        <v>1</v>
      </c>
      <c r="E844" t="s">
        <v>27</v>
      </c>
      <c r="F844" t="s">
        <v>28</v>
      </c>
      <c r="G844" t="str">
        <f>"2025-08-30 21:52:20.450"</f>
        <v>2025-08-30 21:52:20.450</v>
      </c>
      <c r="H844" t="s">
        <v>21</v>
      </c>
      <c r="I844">
        <v>6.89</v>
      </c>
      <c r="J844" t="s">
        <v>35</v>
      </c>
    </row>
    <row r="845" spans="1:10" x14ac:dyDescent="0.25">
      <c r="A845" s="1">
        <v>5</v>
      </c>
      <c r="B845" t="s">
        <v>22</v>
      </c>
      <c r="C845">
        <v>635</v>
      </c>
      <c r="D845">
        <v>1</v>
      </c>
      <c r="E845" t="s">
        <v>27</v>
      </c>
      <c r="F845" t="s">
        <v>28</v>
      </c>
      <c r="G845" t="str">
        <f>"2025-08-30 17:29:34.850"</f>
        <v>2025-08-30 17:29:34.850</v>
      </c>
      <c r="H845" t="s">
        <v>21</v>
      </c>
    </row>
    <row r="846" spans="1:10" x14ac:dyDescent="0.25">
      <c r="A846" s="1">
        <v>6</v>
      </c>
      <c r="B846" t="s">
        <v>25</v>
      </c>
      <c r="C846">
        <v>635</v>
      </c>
      <c r="D846">
        <v>1</v>
      </c>
      <c r="E846" t="s">
        <v>27</v>
      </c>
      <c r="F846" t="s">
        <v>28</v>
      </c>
      <c r="G846" t="str">
        <f>"2025-08-30 17:25:20.350"</f>
        <v>2025-08-30 17:25:20.350</v>
      </c>
      <c r="H846" t="s">
        <v>21</v>
      </c>
      <c r="I846">
        <v>-0.03</v>
      </c>
      <c r="J846" t="s">
        <v>35</v>
      </c>
    </row>
    <row r="847" spans="1:10" x14ac:dyDescent="0.25">
      <c r="A847" s="1">
        <v>7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"2025-08-30 16:39:10.829"</f>
        <v>2025-08-30 16:39:10.829</v>
      </c>
      <c r="H847" t="s">
        <v>21</v>
      </c>
    </row>
    <row r="848" spans="1:10" x14ac:dyDescent="0.25">
      <c r="A848" s="1">
        <v>8</v>
      </c>
      <c r="B848" t="s">
        <v>19</v>
      </c>
      <c r="C848">
        <v>706</v>
      </c>
      <c r="D848">
        <v>4</v>
      </c>
      <c r="E848" t="s">
        <v>30</v>
      </c>
      <c r="F848" t="s">
        <v>34</v>
      </c>
      <c r="G848" t="str">
        <f>"2025-08-30 15:49:47.356"</f>
        <v>2025-08-30 15:49:47.356</v>
      </c>
      <c r="H848" t="s">
        <v>21</v>
      </c>
      <c r="I848">
        <v>0</v>
      </c>
      <c r="J848" t="s">
        <v>32</v>
      </c>
    </row>
    <row r="849" spans="1:10" x14ac:dyDescent="0.25">
      <c r="A849" s="1">
        <v>9</v>
      </c>
      <c r="B849" t="s">
        <v>19</v>
      </c>
      <c r="C849">
        <v>706</v>
      </c>
      <c r="D849">
        <v>3</v>
      </c>
      <c r="E849" t="s">
        <v>30</v>
      </c>
      <c r="F849" t="s">
        <v>36</v>
      </c>
      <c r="G849" t="str">
        <f>"2025-08-30 15:49:36.046"</f>
        <v>2025-08-30 15:49:36.046</v>
      </c>
      <c r="H849" t="s">
        <v>21</v>
      </c>
      <c r="I849">
        <v>0</v>
      </c>
      <c r="J849" t="s">
        <v>32</v>
      </c>
    </row>
    <row r="850" spans="1:10" x14ac:dyDescent="0.25">
      <c r="A850" s="1">
        <v>10</v>
      </c>
      <c r="B850" t="s">
        <v>19</v>
      </c>
      <c r="C850">
        <v>706</v>
      </c>
      <c r="D850">
        <v>2</v>
      </c>
      <c r="E850" t="s">
        <v>30</v>
      </c>
      <c r="F850" t="s">
        <v>31</v>
      </c>
      <c r="G850" t="str">
        <f>"2025-08-29 04:42:33.106"</f>
        <v>2025-08-29 04:42:33.106</v>
      </c>
      <c r="H850" t="s">
        <v>21</v>
      </c>
      <c r="I850">
        <v>0</v>
      </c>
      <c r="J850" t="s">
        <v>32</v>
      </c>
    </row>
    <row r="851" spans="1:10" x14ac:dyDescent="0.25">
      <c r="A851" s="1">
        <v>11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"2025-08-29 04:41:54.826"</f>
        <v>2025-08-29 04:41:54.826</v>
      </c>
      <c r="H851" t="s">
        <v>21</v>
      </c>
    </row>
    <row r="852" spans="1:10" x14ac:dyDescent="0.25">
      <c r="A852" s="1">
        <v>12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"2025-08-29 04:16:36.835"</f>
        <v>2025-08-29 04:16:36.835</v>
      </c>
      <c r="H852" t="s">
        <v>21</v>
      </c>
      <c r="I852">
        <v>0</v>
      </c>
      <c r="J852" t="s">
        <v>33</v>
      </c>
    </row>
    <row r="853" spans="1:10" x14ac:dyDescent="0.25">
      <c r="A853" s="1">
        <v>13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"2025-08-29 04:14:44.842"</f>
        <v>2025-08-29 04:14:44.842</v>
      </c>
      <c r="H853" t="s">
        <v>21</v>
      </c>
    </row>
    <row r="854" spans="1:10" x14ac:dyDescent="0.25">
      <c r="A854" s="1">
        <v>14</v>
      </c>
      <c r="B854" t="s">
        <v>19</v>
      </c>
      <c r="C854">
        <v>706</v>
      </c>
      <c r="D854">
        <v>4</v>
      </c>
      <c r="E854" t="s">
        <v>30</v>
      </c>
      <c r="F854" t="s">
        <v>34</v>
      </c>
      <c r="G854" t="str">
        <f>"2025-08-28 20:37:40.075"</f>
        <v>2025-08-28 20:37:40.075</v>
      </c>
      <c r="H854" t="s">
        <v>21</v>
      </c>
      <c r="I854">
        <v>0</v>
      </c>
      <c r="J854" t="s">
        <v>32</v>
      </c>
    </row>
    <row r="855" spans="1:10" x14ac:dyDescent="0.25">
      <c r="A855" s="1">
        <v>15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"2025-08-28 20:37:15.855"</f>
        <v>2025-08-28 20:37:15.855</v>
      </c>
      <c r="H855" t="s">
        <v>21</v>
      </c>
      <c r="I855">
        <v>0</v>
      </c>
      <c r="J855" t="s">
        <v>33</v>
      </c>
    </row>
    <row r="856" spans="1:10" x14ac:dyDescent="0.25">
      <c r="A856" s="1">
        <v>16</v>
      </c>
      <c r="B856" t="s">
        <v>19</v>
      </c>
      <c r="C856">
        <v>706</v>
      </c>
      <c r="D856">
        <v>4</v>
      </c>
      <c r="E856" t="s">
        <v>30</v>
      </c>
      <c r="F856" t="s">
        <v>34</v>
      </c>
      <c r="G856" t="str">
        <f>"2025-08-28 16:29:57.683"</f>
        <v>2025-08-28 16:29:57.683</v>
      </c>
      <c r="H856" t="s">
        <v>21</v>
      </c>
      <c r="I856">
        <v>0</v>
      </c>
      <c r="J856" t="s">
        <v>32</v>
      </c>
    </row>
    <row r="857" spans="1:10" x14ac:dyDescent="0.25">
      <c r="A857" s="1">
        <v>17</v>
      </c>
      <c r="B857" t="s">
        <v>19</v>
      </c>
      <c r="C857">
        <v>706</v>
      </c>
      <c r="D857">
        <v>3</v>
      </c>
      <c r="E857" t="s">
        <v>30</v>
      </c>
      <c r="F857" t="s">
        <v>36</v>
      </c>
      <c r="G857" t="str">
        <f>"2025-08-28 16:29:43.173"</f>
        <v>2025-08-28 16:29:43.173</v>
      </c>
      <c r="H857" t="s">
        <v>21</v>
      </c>
      <c r="I857">
        <v>0</v>
      </c>
      <c r="J857" t="s">
        <v>32</v>
      </c>
    </row>
    <row r="858" spans="1:10" x14ac:dyDescent="0.25">
      <c r="A858" s="1">
        <v>18</v>
      </c>
      <c r="B858" t="s">
        <v>22</v>
      </c>
      <c r="C858">
        <v>635</v>
      </c>
      <c r="D858">
        <v>1</v>
      </c>
      <c r="E858" t="s">
        <v>27</v>
      </c>
      <c r="F858" t="s">
        <v>28</v>
      </c>
      <c r="G858" t="str">
        <f>"2025-08-26 15:14:32.318"</f>
        <v>2025-08-26 15:14:32.318</v>
      </c>
      <c r="H858" t="s">
        <v>21</v>
      </c>
    </row>
    <row r="859" spans="1:10" x14ac:dyDescent="0.25">
      <c r="A859" s="1">
        <v>19</v>
      </c>
      <c r="B859" t="s">
        <v>25</v>
      </c>
      <c r="C859">
        <v>635</v>
      </c>
      <c r="D859">
        <v>1</v>
      </c>
      <c r="E859" t="s">
        <v>27</v>
      </c>
      <c r="F859" t="s">
        <v>28</v>
      </c>
      <c r="G859" t="str">
        <f>"2025-08-26 15:07:14.818"</f>
        <v>2025-08-26 15:07:14.818</v>
      </c>
      <c r="H859" t="s">
        <v>21</v>
      </c>
      <c r="I859">
        <v>0.02</v>
      </c>
      <c r="J859" t="s">
        <v>29</v>
      </c>
    </row>
    <row r="860" spans="1:10" x14ac:dyDescent="0.25">
      <c r="A860" s="1">
        <v>21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"2025-08-26 13:36:59.823"</f>
        <v>2025-08-26 13:36:59.823</v>
      </c>
      <c r="H860" t="s">
        <v>21</v>
      </c>
    </row>
    <row r="861" spans="1:10" x14ac:dyDescent="0.25">
      <c r="A861" s="1">
        <v>22</v>
      </c>
      <c r="B861" t="s">
        <v>22</v>
      </c>
      <c r="C861">
        <v>635</v>
      </c>
      <c r="D861">
        <v>1</v>
      </c>
      <c r="E861" t="s">
        <v>27</v>
      </c>
      <c r="F861" t="s">
        <v>28</v>
      </c>
      <c r="G861" t="str">
        <f>"2025-08-25 18:17:15.468"</f>
        <v>2025-08-25 18:17:15.468</v>
      </c>
      <c r="H861" t="s">
        <v>21</v>
      </c>
    </row>
    <row r="862" spans="1:10" x14ac:dyDescent="0.25">
      <c r="A862" s="1">
        <v>23</v>
      </c>
      <c r="B862" t="s">
        <v>25</v>
      </c>
      <c r="C862">
        <v>635</v>
      </c>
      <c r="D862">
        <v>1</v>
      </c>
      <c r="E862" t="s">
        <v>27</v>
      </c>
      <c r="F862" t="s">
        <v>28</v>
      </c>
      <c r="G862" t="str">
        <f>"2025-08-25 18:14:14.468"</f>
        <v>2025-08-25 18:14:14.468</v>
      </c>
      <c r="H862" t="s">
        <v>21</v>
      </c>
      <c r="I862">
        <v>4.0199999999999996</v>
      </c>
      <c r="J862" t="s">
        <v>29</v>
      </c>
    </row>
    <row r="863" spans="1:10" x14ac:dyDescent="0.25">
      <c r="A863" s="1">
        <v>24</v>
      </c>
      <c r="B863" t="s">
        <v>22</v>
      </c>
      <c r="C863">
        <v>635</v>
      </c>
      <c r="D863">
        <v>1</v>
      </c>
      <c r="E863" t="s">
        <v>27</v>
      </c>
      <c r="F863" t="s">
        <v>28</v>
      </c>
      <c r="G863" t="str">
        <f>"2025-08-25 08:12:22.668"</f>
        <v>2025-08-25 08:12:22.668</v>
      </c>
      <c r="H863" t="s">
        <v>21</v>
      </c>
    </row>
    <row r="864" spans="1:10" x14ac:dyDescent="0.25">
      <c r="A864" s="1">
        <v>25</v>
      </c>
      <c r="B864" t="s">
        <v>25</v>
      </c>
      <c r="C864">
        <v>635</v>
      </c>
      <c r="D864">
        <v>1</v>
      </c>
      <c r="E864" t="s">
        <v>27</v>
      </c>
      <c r="F864" t="s">
        <v>28</v>
      </c>
      <c r="G864" t="str">
        <f>"2025-08-25 08:08:42.668"</f>
        <v>2025-08-25 08:08:42.668</v>
      </c>
      <c r="H864" t="s">
        <v>21</v>
      </c>
      <c r="I864">
        <v>1.64</v>
      </c>
      <c r="J864" t="s">
        <v>26</v>
      </c>
    </row>
    <row r="865" spans="1:10" x14ac:dyDescent="0.25">
      <c r="A865" s="1">
        <v>26</v>
      </c>
      <c r="B865" t="s">
        <v>22</v>
      </c>
      <c r="C865">
        <v>635</v>
      </c>
      <c r="D865">
        <v>1</v>
      </c>
      <c r="E865" t="s">
        <v>27</v>
      </c>
      <c r="F865" t="s">
        <v>28</v>
      </c>
      <c r="G865" t="str">
        <f>"2025-08-23 21:19:46.968"</f>
        <v>2025-08-23 21:19:46.968</v>
      </c>
      <c r="H865" t="s">
        <v>21</v>
      </c>
    </row>
    <row r="866" spans="1:10" x14ac:dyDescent="0.25">
      <c r="A866" s="1">
        <v>27</v>
      </c>
      <c r="B866" t="s">
        <v>25</v>
      </c>
      <c r="C866">
        <v>635</v>
      </c>
      <c r="D866">
        <v>1</v>
      </c>
      <c r="E866" t="s">
        <v>27</v>
      </c>
      <c r="F866" t="s">
        <v>28</v>
      </c>
      <c r="G866" t="str">
        <f>"2025-08-23 21:00:30.968"</f>
        <v>2025-08-23 21:00:30.968</v>
      </c>
      <c r="H866" t="s">
        <v>21</v>
      </c>
      <c r="I866">
        <v>7.85</v>
      </c>
      <c r="J866" t="s">
        <v>29</v>
      </c>
    </row>
    <row r="867" spans="1:10" x14ac:dyDescent="0.25">
      <c r="A867" s="1">
        <v>28</v>
      </c>
      <c r="B867" t="s">
        <v>22</v>
      </c>
      <c r="C867">
        <v>635</v>
      </c>
      <c r="D867">
        <v>1</v>
      </c>
      <c r="E867" t="s">
        <v>27</v>
      </c>
      <c r="F867" t="s">
        <v>28</v>
      </c>
      <c r="G867" t="str">
        <f>"2025-08-23 20:17:36.068"</f>
        <v>2025-08-23 20:17:36.068</v>
      </c>
      <c r="H867" t="s">
        <v>21</v>
      </c>
    </row>
    <row r="868" spans="1:10" x14ac:dyDescent="0.25">
      <c r="A868" s="1">
        <v>29</v>
      </c>
      <c r="B868" t="s">
        <v>25</v>
      </c>
      <c r="C868">
        <v>635</v>
      </c>
      <c r="D868">
        <v>1</v>
      </c>
      <c r="E868" t="s">
        <v>27</v>
      </c>
      <c r="F868" t="s">
        <v>28</v>
      </c>
      <c r="G868" t="str">
        <f>"2025-08-23 19:54:57.068"</f>
        <v>2025-08-23 19:54:57.068</v>
      </c>
      <c r="H868" t="s">
        <v>21</v>
      </c>
      <c r="I868">
        <v>6.96</v>
      </c>
      <c r="J868" t="s">
        <v>26</v>
      </c>
    </row>
    <row r="869" spans="1:10" x14ac:dyDescent="0.25">
      <c r="A869" s="1">
        <v>30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"2025-08-23 12:20:51.823"</f>
        <v>2025-08-23 12:20:51.823</v>
      </c>
      <c r="H869" t="s">
        <v>21</v>
      </c>
      <c r="I869">
        <v>0</v>
      </c>
      <c r="J869" t="s">
        <v>33</v>
      </c>
    </row>
    <row r="870" spans="1:10" x14ac:dyDescent="0.25">
      <c r="A870" s="1">
        <v>31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"2025-08-23 12:15:18.850"</f>
        <v>2025-08-23 12:15:18.850</v>
      </c>
      <c r="H870" t="s">
        <v>21</v>
      </c>
    </row>
    <row r="871" spans="1:10" x14ac:dyDescent="0.25">
      <c r="A871" s="1">
        <v>32</v>
      </c>
      <c r="B871" t="s">
        <v>22</v>
      </c>
      <c r="C871">
        <v>635</v>
      </c>
      <c r="D871">
        <v>1</v>
      </c>
      <c r="E871" t="s">
        <v>27</v>
      </c>
      <c r="F871" t="s">
        <v>28</v>
      </c>
      <c r="G871" t="str">
        <f>"2025-08-23 11:37:31.017"</f>
        <v>2025-08-23 11:37:31.017</v>
      </c>
      <c r="H871" t="s">
        <v>21</v>
      </c>
    </row>
    <row r="872" spans="1:10" x14ac:dyDescent="0.25">
      <c r="A872" s="1">
        <v>33</v>
      </c>
      <c r="B872" t="s">
        <v>25</v>
      </c>
      <c r="C872">
        <v>635</v>
      </c>
      <c r="D872">
        <v>1</v>
      </c>
      <c r="E872" t="s">
        <v>27</v>
      </c>
      <c r="F872" t="s">
        <v>28</v>
      </c>
      <c r="G872" t="str">
        <f>"2025-08-23 11:32:59.518"</f>
        <v>2025-08-23 11:32:59.518</v>
      </c>
      <c r="H872" t="s">
        <v>21</v>
      </c>
      <c r="I872">
        <v>2.64</v>
      </c>
      <c r="J872" t="s">
        <v>26</v>
      </c>
    </row>
    <row r="873" spans="1:10" x14ac:dyDescent="0.25">
      <c r="A873" s="1">
        <v>34</v>
      </c>
      <c r="B873" t="s">
        <v>22</v>
      </c>
      <c r="C873">
        <v>630</v>
      </c>
      <c r="D873">
        <v>5</v>
      </c>
      <c r="E873" t="s">
        <v>66</v>
      </c>
      <c r="F873" t="s">
        <v>67</v>
      </c>
      <c r="G873" t="str">
        <f>"2025-08-22 10:46:10.618"</f>
        <v>2025-08-22 10:46:10.618</v>
      </c>
      <c r="H873" t="s">
        <v>68</v>
      </c>
    </row>
    <row r="874" spans="1:10" x14ac:dyDescent="0.25">
      <c r="A874" s="1">
        <v>35</v>
      </c>
      <c r="B874" t="s">
        <v>19</v>
      </c>
      <c r="C874">
        <v>706</v>
      </c>
      <c r="D874">
        <v>2</v>
      </c>
      <c r="E874" t="s">
        <v>30</v>
      </c>
      <c r="F874" t="s">
        <v>31</v>
      </c>
      <c r="G874" t="str">
        <f>"2025-08-22 10:45:40.612"</f>
        <v>2025-08-22 10:45:40.612</v>
      </c>
      <c r="H874" t="s">
        <v>21</v>
      </c>
      <c r="I874">
        <v>0</v>
      </c>
      <c r="J874" t="s">
        <v>32</v>
      </c>
    </row>
    <row r="875" spans="1:10" x14ac:dyDescent="0.25">
      <c r="A875" s="1">
        <v>36</v>
      </c>
      <c r="B875" t="s">
        <v>40</v>
      </c>
      <c r="C875">
        <v>630</v>
      </c>
      <c r="D875">
        <v>5</v>
      </c>
      <c r="E875" t="s">
        <v>66</v>
      </c>
      <c r="F875" t="s">
        <v>67</v>
      </c>
      <c r="G875" t="str">
        <f>"2025-08-22 10:26:52.718"</f>
        <v>2025-08-22 10:26:52.718</v>
      </c>
      <c r="H875" t="s">
        <v>68</v>
      </c>
      <c r="I875">
        <v>0</v>
      </c>
      <c r="J875" t="s">
        <v>32</v>
      </c>
    </row>
    <row r="876" spans="1:10" x14ac:dyDescent="0.25">
      <c r="A876" s="1">
        <v>37</v>
      </c>
      <c r="B876" t="s">
        <v>19</v>
      </c>
      <c r="C876">
        <v>706</v>
      </c>
      <c r="D876">
        <v>4</v>
      </c>
      <c r="E876" t="s">
        <v>30</v>
      </c>
      <c r="F876" t="s">
        <v>34</v>
      </c>
      <c r="G876" t="str">
        <f>"2025-08-22 04:08:25.472"</f>
        <v>2025-08-22 04:08:25.472</v>
      </c>
      <c r="H876" t="s">
        <v>21</v>
      </c>
      <c r="I876">
        <v>0</v>
      </c>
      <c r="J876" t="s">
        <v>32</v>
      </c>
    </row>
    <row r="877" spans="1:10" x14ac:dyDescent="0.25">
      <c r="A877" s="1">
        <v>38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"2025-08-22 04:07:25.822"</f>
        <v>2025-08-22 04:07:25.822</v>
      </c>
      <c r="H877" t="s">
        <v>21</v>
      </c>
      <c r="I877">
        <v>0</v>
      </c>
      <c r="J877" t="s">
        <v>33</v>
      </c>
    </row>
    <row r="878" spans="1:10" x14ac:dyDescent="0.25">
      <c r="A878" s="1">
        <v>39</v>
      </c>
      <c r="B878" t="s">
        <v>40</v>
      </c>
      <c r="C878">
        <v>630</v>
      </c>
      <c r="D878">
        <v>5</v>
      </c>
      <c r="E878" t="s">
        <v>66</v>
      </c>
      <c r="F878" t="s">
        <v>67</v>
      </c>
      <c r="G878" t="str">
        <f>"2025-08-22 02:10:07.500"</f>
        <v>2025-08-22 02:10:07.500</v>
      </c>
      <c r="H878" t="s">
        <v>68</v>
      </c>
      <c r="I878">
        <v>0</v>
      </c>
      <c r="J878" t="s">
        <v>32</v>
      </c>
    </row>
    <row r="879" spans="1:10" x14ac:dyDescent="0.25">
      <c r="A879" s="1">
        <v>40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"2025-08-22 02:05:04.806"</f>
        <v>2025-08-22 02:05:04.806</v>
      </c>
      <c r="H879" t="s">
        <v>21</v>
      </c>
    </row>
    <row r="880" spans="1:10" x14ac:dyDescent="0.25">
      <c r="A880" s="1">
        <v>41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"2025-08-22 01:59:16.826"</f>
        <v>2025-08-22 01:59:16.826</v>
      </c>
      <c r="H880" t="s">
        <v>21</v>
      </c>
      <c r="I880">
        <v>0</v>
      </c>
      <c r="J880" t="s">
        <v>33</v>
      </c>
    </row>
    <row r="881" spans="1:10" x14ac:dyDescent="0.25">
      <c r="A881" s="1">
        <v>42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"2025-08-22 01:49:35.870"</f>
        <v>2025-08-22 01:49:35.870</v>
      </c>
      <c r="H881" t="s">
        <v>21</v>
      </c>
      <c r="I881">
        <v>0</v>
      </c>
      <c r="J881" t="s">
        <v>33</v>
      </c>
    </row>
    <row r="882" spans="1:10" x14ac:dyDescent="0.25">
      <c r="A882" s="1">
        <v>43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"2025-08-22 01:44:36.830"</f>
        <v>2025-08-22 01:44:36.830</v>
      </c>
      <c r="H882" t="s">
        <v>21</v>
      </c>
      <c r="I882">
        <v>0</v>
      </c>
      <c r="J882" t="s">
        <v>33</v>
      </c>
    </row>
    <row r="883" spans="1:10" x14ac:dyDescent="0.25">
      <c r="A883" s="1">
        <v>44</v>
      </c>
      <c r="B883" t="s">
        <v>40</v>
      </c>
      <c r="C883">
        <v>630</v>
      </c>
      <c r="D883">
        <v>5</v>
      </c>
      <c r="E883" t="s">
        <v>66</v>
      </c>
      <c r="F883" t="s">
        <v>67</v>
      </c>
      <c r="G883" t="str">
        <f>"2025-08-21 23:27:16.468"</f>
        <v>2025-08-21 23:27:16.468</v>
      </c>
      <c r="H883" t="s">
        <v>68</v>
      </c>
      <c r="I883">
        <v>0</v>
      </c>
      <c r="J883" t="s">
        <v>32</v>
      </c>
    </row>
    <row r="884" spans="1:10" x14ac:dyDescent="0.25">
      <c r="A884" s="1">
        <v>45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"2025-08-21 23:22:13.813"</f>
        <v>2025-08-21 23:22:13.813</v>
      </c>
      <c r="H884" t="s">
        <v>21</v>
      </c>
    </row>
    <row r="885" spans="1:10" x14ac:dyDescent="0.25">
      <c r="A885" s="1">
        <v>46</v>
      </c>
      <c r="B885" t="s">
        <v>40</v>
      </c>
      <c r="C885">
        <v>630</v>
      </c>
      <c r="D885">
        <v>5</v>
      </c>
      <c r="E885" t="s">
        <v>66</v>
      </c>
      <c r="F885" t="s">
        <v>67</v>
      </c>
      <c r="G885" t="str">
        <f>"2025-08-21 23:13:21.607"</f>
        <v>2025-08-21 23:13:21.607</v>
      </c>
      <c r="H885" t="s">
        <v>68</v>
      </c>
      <c r="I885">
        <v>0</v>
      </c>
      <c r="J885" t="s">
        <v>32</v>
      </c>
    </row>
    <row r="886" spans="1:10" x14ac:dyDescent="0.25">
      <c r="A886" s="1">
        <v>47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"2025-08-21 23:08:18.806"</f>
        <v>2025-08-21 23:08:18.806</v>
      </c>
      <c r="H886" t="s">
        <v>21</v>
      </c>
    </row>
    <row r="887" spans="1:10" x14ac:dyDescent="0.25">
      <c r="A887" s="1">
        <v>48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"2025-08-21 23:06:43.824"</f>
        <v>2025-08-21 23:06:43.824</v>
      </c>
      <c r="H887" t="s">
        <v>21</v>
      </c>
      <c r="I887">
        <v>0</v>
      </c>
      <c r="J887" t="s">
        <v>33</v>
      </c>
    </row>
    <row r="888" spans="1:10" x14ac:dyDescent="0.25">
      <c r="A888" s="1">
        <v>49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"2025-08-21 22:35:18.826"</f>
        <v>2025-08-21 22:35:18.826</v>
      </c>
      <c r="H888" t="s">
        <v>21</v>
      </c>
      <c r="I888">
        <v>0</v>
      </c>
      <c r="J888" t="s">
        <v>33</v>
      </c>
    </row>
    <row r="889" spans="1:10" x14ac:dyDescent="0.25">
      <c r="A889" s="1">
        <v>50</v>
      </c>
      <c r="B889" t="s">
        <v>22</v>
      </c>
      <c r="C889">
        <v>635</v>
      </c>
      <c r="D889">
        <v>1</v>
      </c>
      <c r="E889" t="s">
        <v>27</v>
      </c>
      <c r="F889" t="s">
        <v>28</v>
      </c>
      <c r="G889" t="str">
        <f>"2025-08-19 17:54:21.416"</f>
        <v>2025-08-19 17:54:21.416</v>
      </c>
      <c r="H889" t="s">
        <v>21</v>
      </c>
    </row>
    <row r="890" spans="1:10" x14ac:dyDescent="0.25">
      <c r="A890" s="1">
        <v>51</v>
      </c>
      <c r="B890" t="s">
        <v>25</v>
      </c>
      <c r="C890">
        <v>635</v>
      </c>
      <c r="D890">
        <v>1</v>
      </c>
      <c r="E890" t="s">
        <v>27</v>
      </c>
      <c r="F890" t="s">
        <v>28</v>
      </c>
      <c r="G890" t="str">
        <f>"2025-08-19 17:48:26.416"</f>
        <v>2025-08-19 17:48:26.416</v>
      </c>
      <c r="H890" t="s">
        <v>21</v>
      </c>
      <c r="I890">
        <v>0</v>
      </c>
      <c r="J890" t="s">
        <v>35</v>
      </c>
    </row>
    <row r="891" spans="1:10" x14ac:dyDescent="0.25">
      <c r="A891" s="1">
        <v>52</v>
      </c>
      <c r="B891" t="s">
        <v>19</v>
      </c>
      <c r="C891">
        <v>706</v>
      </c>
      <c r="D891">
        <v>2</v>
      </c>
      <c r="E891" t="s">
        <v>30</v>
      </c>
      <c r="F891" t="s">
        <v>31</v>
      </c>
      <c r="G891" t="str">
        <f>"2025-08-16 20:56:17.714"</f>
        <v>2025-08-16 20:56:17.714</v>
      </c>
      <c r="H891" t="s">
        <v>21</v>
      </c>
      <c r="I891">
        <v>0</v>
      </c>
      <c r="J891" t="s">
        <v>32</v>
      </c>
    </row>
    <row r="892" spans="1:10" x14ac:dyDescent="0.25">
      <c r="A892" s="1">
        <v>53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"2025-08-16 20:55:58.814"</f>
        <v>2025-08-16 20:55:58.814</v>
      </c>
      <c r="H892" t="s">
        <v>21</v>
      </c>
      <c r="I892">
        <v>0</v>
      </c>
      <c r="J892" t="s">
        <v>33</v>
      </c>
    </row>
    <row r="893" spans="1:10" x14ac:dyDescent="0.25">
      <c r="A893" s="1">
        <v>54</v>
      </c>
      <c r="B893" t="s">
        <v>22</v>
      </c>
      <c r="C893">
        <v>635</v>
      </c>
      <c r="D893">
        <v>1</v>
      </c>
      <c r="E893" t="s">
        <v>27</v>
      </c>
      <c r="F893" t="s">
        <v>28</v>
      </c>
      <c r="G893" t="str">
        <f>"2025-08-16 20:44:12.509"</f>
        <v>2025-08-16 20:44:12.509</v>
      </c>
      <c r="H893" t="s">
        <v>21</v>
      </c>
    </row>
    <row r="894" spans="1:10" x14ac:dyDescent="0.25">
      <c r="A894" s="1">
        <v>55</v>
      </c>
      <c r="B894" t="s">
        <v>25</v>
      </c>
      <c r="C894">
        <v>635</v>
      </c>
      <c r="D894">
        <v>1</v>
      </c>
      <c r="E894" t="s">
        <v>27</v>
      </c>
      <c r="F894" t="s">
        <v>28</v>
      </c>
      <c r="G894" t="str">
        <f>"2025-08-16 20:41:02.009"</f>
        <v>2025-08-16 20:41:02.009</v>
      </c>
      <c r="H894" t="s">
        <v>21</v>
      </c>
      <c r="I894">
        <v>1.55</v>
      </c>
      <c r="J894" t="s">
        <v>26</v>
      </c>
    </row>
    <row r="895" spans="1:10" x14ac:dyDescent="0.25">
      <c r="A895" s="1">
        <v>56</v>
      </c>
      <c r="B895" t="s">
        <v>22</v>
      </c>
      <c r="C895">
        <v>635</v>
      </c>
      <c r="D895">
        <v>1</v>
      </c>
      <c r="E895" t="s">
        <v>27</v>
      </c>
      <c r="F895" t="s">
        <v>28</v>
      </c>
      <c r="G895" t="str">
        <f>"2025-08-15 16:13:09.109"</f>
        <v>2025-08-15 16:13:09.109</v>
      </c>
      <c r="H895" t="s">
        <v>21</v>
      </c>
    </row>
    <row r="896" spans="1:10" x14ac:dyDescent="0.25">
      <c r="A896" s="1">
        <v>57</v>
      </c>
      <c r="B896" t="s">
        <v>25</v>
      </c>
      <c r="C896">
        <v>635</v>
      </c>
      <c r="D896">
        <v>1</v>
      </c>
      <c r="E896" t="s">
        <v>27</v>
      </c>
      <c r="F896" t="s">
        <v>28</v>
      </c>
      <c r="G896" t="str">
        <f>"2025-08-15 16:03:52.109"</f>
        <v>2025-08-15 16:03:52.109</v>
      </c>
      <c r="H896" t="s">
        <v>21</v>
      </c>
      <c r="I896">
        <v>6.55</v>
      </c>
      <c r="J896" t="s">
        <v>29</v>
      </c>
    </row>
    <row r="897" spans="1:10" x14ac:dyDescent="0.25">
      <c r="A897" s="1">
        <v>58</v>
      </c>
      <c r="B897" t="s">
        <v>22</v>
      </c>
      <c r="C897">
        <v>635</v>
      </c>
      <c r="D897">
        <v>1</v>
      </c>
      <c r="E897" t="s">
        <v>27</v>
      </c>
      <c r="F897" t="s">
        <v>28</v>
      </c>
      <c r="G897" t="str">
        <f>"2025-08-15 15:32:25.609"</f>
        <v>2025-08-15 15:32:25.609</v>
      </c>
      <c r="H897" t="s">
        <v>21</v>
      </c>
    </row>
    <row r="898" spans="1:10" x14ac:dyDescent="0.25">
      <c r="A898" s="1">
        <v>59</v>
      </c>
      <c r="B898" t="s">
        <v>25</v>
      </c>
      <c r="C898">
        <v>635</v>
      </c>
      <c r="D898">
        <v>1</v>
      </c>
      <c r="E898" t="s">
        <v>27</v>
      </c>
      <c r="F898" t="s">
        <v>28</v>
      </c>
      <c r="G898" t="str">
        <f>"2025-08-15 15:28:40.609"</f>
        <v>2025-08-15 15:28:40.609</v>
      </c>
      <c r="H898" t="s">
        <v>21</v>
      </c>
      <c r="I898">
        <v>4.96</v>
      </c>
      <c r="J898" t="s">
        <v>29</v>
      </c>
    </row>
    <row r="899" spans="1:10" x14ac:dyDescent="0.25">
      <c r="A899" s="1">
        <v>60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"2025-08-15 08:17:31.908"</f>
        <v>2025-08-15 08:17:31.908</v>
      </c>
      <c r="H899" t="s">
        <v>21</v>
      </c>
    </row>
    <row r="900" spans="1:10" x14ac:dyDescent="0.25">
      <c r="A900" s="1">
        <v>61</v>
      </c>
      <c r="B900" t="s">
        <v>19</v>
      </c>
      <c r="C900">
        <v>706</v>
      </c>
      <c r="D900">
        <v>2</v>
      </c>
      <c r="E900" t="s">
        <v>30</v>
      </c>
      <c r="F900" t="s">
        <v>31</v>
      </c>
      <c r="G900" t="str">
        <f>"2025-08-15 08:09:51.157"</f>
        <v>2025-08-15 08:09:51.157</v>
      </c>
      <c r="H900" t="s">
        <v>21</v>
      </c>
      <c r="I900">
        <v>0</v>
      </c>
      <c r="J900" t="s">
        <v>32</v>
      </c>
    </row>
    <row r="901" spans="1:10" x14ac:dyDescent="0.25">
      <c r="A901" s="1">
        <v>62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"2025-08-15 08:08:44.867"</f>
        <v>2025-08-15 08:08:44.867</v>
      </c>
      <c r="H901" t="s">
        <v>21</v>
      </c>
      <c r="I901">
        <v>0</v>
      </c>
      <c r="J901" t="s">
        <v>33</v>
      </c>
    </row>
    <row r="902" spans="1:10" x14ac:dyDescent="0.25">
      <c r="A902" s="1">
        <v>63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"2025-08-15 07:22:45.887"</f>
        <v>2025-08-15 07:22:45.887</v>
      </c>
      <c r="H902" t="s">
        <v>21</v>
      </c>
      <c r="I902">
        <v>0</v>
      </c>
      <c r="J902" t="s">
        <v>33</v>
      </c>
    </row>
    <row r="903" spans="1:10" x14ac:dyDescent="0.25">
      <c r="A903" s="1">
        <v>64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"2025-08-15 07:14:31.809"</f>
        <v>2025-08-15 07:14:31.809</v>
      </c>
      <c r="H903" t="s">
        <v>21</v>
      </c>
      <c r="I903">
        <v>0</v>
      </c>
      <c r="J903" t="s">
        <v>33</v>
      </c>
    </row>
    <row r="904" spans="1:10" x14ac:dyDescent="0.25">
      <c r="A904" s="1">
        <v>65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"2025-08-15 06:55:37.809"</f>
        <v>2025-08-15 06:55:37.809</v>
      </c>
      <c r="H904" t="s">
        <v>21</v>
      </c>
      <c r="I904">
        <v>0</v>
      </c>
      <c r="J904" t="s">
        <v>33</v>
      </c>
    </row>
    <row r="905" spans="1:10" x14ac:dyDescent="0.25">
      <c r="A905" s="1">
        <v>66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"2025-08-13 11:31:31.803"</f>
        <v>2025-08-13 11:31:31.803</v>
      </c>
      <c r="H905" t="s">
        <v>21</v>
      </c>
    </row>
    <row r="906" spans="1:10" x14ac:dyDescent="0.25">
      <c r="A906" s="1">
        <v>67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"2025-08-13 11:00:52.813"</f>
        <v>2025-08-13 11:00:52.813</v>
      </c>
      <c r="H906" t="s">
        <v>21</v>
      </c>
      <c r="I906">
        <v>0</v>
      </c>
      <c r="J906" t="s">
        <v>33</v>
      </c>
    </row>
    <row r="907" spans="1:10" x14ac:dyDescent="0.25">
      <c r="A907" s="1">
        <v>68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"2025-08-13 10:20:04.812"</f>
        <v>2025-08-13 10:20:04.812</v>
      </c>
      <c r="H907" t="s">
        <v>21</v>
      </c>
      <c r="I907">
        <v>0</v>
      </c>
      <c r="J907" t="s">
        <v>33</v>
      </c>
    </row>
    <row r="908" spans="1:10" x14ac:dyDescent="0.25">
      <c r="A908" s="1">
        <v>69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"2025-08-13 09:52:21.804"</f>
        <v>2025-08-13 09:52:21.804</v>
      </c>
      <c r="H908" t="s">
        <v>21</v>
      </c>
    </row>
    <row r="909" spans="1:10" x14ac:dyDescent="0.25">
      <c r="A909" s="1">
        <v>70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"2025-08-13 09:30:02.792"</f>
        <v>2025-08-13 09:30:02.792</v>
      </c>
      <c r="H909" t="s">
        <v>21</v>
      </c>
    </row>
    <row r="910" spans="1:10" x14ac:dyDescent="0.25">
      <c r="A910" s="1">
        <v>71</v>
      </c>
      <c r="B910" t="s">
        <v>19</v>
      </c>
      <c r="C910">
        <v>706</v>
      </c>
      <c r="D910">
        <v>3</v>
      </c>
      <c r="E910" t="s">
        <v>30</v>
      </c>
      <c r="F910" t="s">
        <v>36</v>
      </c>
      <c r="G910" t="str">
        <f>"2025-08-13 09:27:34.763"</f>
        <v>2025-08-13 09:27:34.763</v>
      </c>
      <c r="H910" t="s">
        <v>21</v>
      </c>
      <c r="I910">
        <v>0</v>
      </c>
      <c r="J910" t="s">
        <v>32</v>
      </c>
    </row>
    <row r="911" spans="1:10" x14ac:dyDescent="0.25">
      <c r="A911" s="1">
        <v>72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"2025-08-13 09:21:49.823"</f>
        <v>2025-08-13 09:21:49.823</v>
      </c>
      <c r="H911" t="s">
        <v>21</v>
      </c>
      <c r="I911">
        <v>0</v>
      </c>
      <c r="J911" t="s">
        <v>33</v>
      </c>
    </row>
    <row r="912" spans="1:10" x14ac:dyDescent="0.25">
      <c r="A912" s="1">
        <v>73</v>
      </c>
      <c r="B912" t="s">
        <v>19</v>
      </c>
      <c r="C912">
        <v>706</v>
      </c>
      <c r="D912">
        <v>2</v>
      </c>
      <c r="E912" t="s">
        <v>30</v>
      </c>
      <c r="F912" t="s">
        <v>31</v>
      </c>
      <c r="G912" t="str">
        <f>"2025-08-11 13:18:59.104"</f>
        <v>2025-08-11 13:18:59.104</v>
      </c>
      <c r="H912" t="s">
        <v>21</v>
      </c>
      <c r="I912">
        <v>0</v>
      </c>
      <c r="J912" t="s">
        <v>32</v>
      </c>
    </row>
    <row r="913" spans="1:10" x14ac:dyDescent="0.25">
      <c r="A913" s="1">
        <v>74</v>
      </c>
      <c r="B913" t="s">
        <v>22</v>
      </c>
      <c r="C913">
        <v>630</v>
      </c>
      <c r="D913">
        <v>5</v>
      </c>
      <c r="E913" t="s">
        <v>66</v>
      </c>
      <c r="F913" t="s">
        <v>67</v>
      </c>
      <c r="G913" t="str">
        <f>"2025-08-11 13:14:58.208"</f>
        <v>2025-08-11 13:14:58.208</v>
      </c>
      <c r="H913" t="s">
        <v>68</v>
      </c>
    </row>
    <row r="914" spans="1:10" x14ac:dyDescent="0.25">
      <c r="A914" s="1">
        <v>75</v>
      </c>
      <c r="B914" t="s">
        <v>19</v>
      </c>
      <c r="C914">
        <v>706</v>
      </c>
      <c r="D914">
        <v>2</v>
      </c>
      <c r="E914" t="s">
        <v>30</v>
      </c>
      <c r="F914" t="s">
        <v>31</v>
      </c>
      <c r="G914" t="str">
        <f>"2025-08-11 13:14:28.104"</f>
        <v>2025-08-11 13:14:28.104</v>
      </c>
      <c r="H914" t="s">
        <v>21</v>
      </c>
      <c r="I914">
        <v>0</v>
      </c>
      <c r="J914" t="s">
        <v>32</v>
      </c>
    </row>
    <row r="915" spans="1:10" x14ac:dyDescent="0.25">
      <c r="A915" s="1">
        <v>76</v>
      </c>
      <c r="B915" t="s">
        <v>40</v>
      </c>
      <c r="C915">
        <v>630</v>
      </c>
      <c r="D915">
        <v>5</v>
      </c>
      <c r="E915" t="s">
        <v>66</v>
      </c>
      <c r="F915" t="s">
        <v>67</v>
      </c>
      <c r="G915" t="str">
        <f>"2025-08-11 12:11:56.508"</f>
        <v>2025-08-11 12:11:56.508</v>
      </c>
      <c r="H915" t="s">
        <v>68</v>
      </c>
      <c r="I915">
        <v>0</v>
      </c>
      <c r="J915" t="s">
        <v>32</v>
      </c>
    </row>
    <row r="916" spans="1:10" x14ac:dyDescent="0.25">
      <c r="A916" s="1">
        <v>77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"2025-08-11 12:06:53.814"</f>
        <v>2025-08-11 12:06:53.814</v>
      </c>
      <c r="H916" t="s">
        <v>21</v>
      </c>
      <c r="I916">
        <v>0</v>
      </c>
      <c r="J916" t="s">
        <v>33</v>
      </c>
    </row>
    <row r="917" spans="1:10" x14ac:dyDescent="0.25">
      <c r="A917" s="1">
        <v>78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"2025-08-11 10:02:35.811"</f>
        <v>2025-08-11 10:02:35.811</v>
      </c>
      <c r="H917" t="s">
        <v>21</v>
      </c>
      <c r="I917">
        <v>0</v>
      </c>
      <c r="J917" t="s">
        <v>33</v>
      </c>
    </row>
    <row r="918" spans="1:10" x14ac:dyDescent="0.25">
      <c r="A918" s="1">
        <v>79</v>
      </c>
      <c r="B918" t="s">
        <v>40</v>
      </c>
      <c r="C918">
        <v>630</v>
      </c>
      <c r="D918">
        <v>5</v>
      </c>
      <c r="E918" t="s">
        <v>66</v>
      </c>
      <c r="F918" t="s">
        <v>67</v>
      </c>
      <c r="G918" t="str">
        <f>"2025-08-11 09:51:48.815"</f>
        <v>2025-08-11 09:51:48.815</v>
      </c>
      <c r="H918" t="s">
        <v>68</v>
      </c>
      <c r="I918">
        <v>0</v>
      </c>
      <c r="J918" t="s">
        <v>32</v>
      </c>
    </row>
    <row r="919" spans="1:10" x14ac:dyDescent="0.25">
      <c r="A919" s="1">
        <v>80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"2025-08-11 09:46:46.068"</f>
        <v>2025-08-11 09:46:46.068</v>
      </c>
      <c r="H919" t="s">
        <v>21</v>
      </c>
    </row>
    <row r="920" spans="1:10" x14ac:dyDescent="0.25">
      <c r="A920" s="1">
        <v>81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"2025-08-10 15:48:12.820"</f>
        <v>2025-08-10 15:48:12.820</v>
      </c>
      <c r="H920" t="s">
        <v>21</v>
      </c>
      <c r="I920">
        <v>0</v>
      </c>
      <c r="J920" t="s">
        <v>33</v>
      </c>
    </row>
    <row r="921" spans="1:10" x14ac:dyDescent="0.25">
      <c r="A921" s="1">
        <v>82</v>
      </c>
      <c r="B921" t="s">
        <v>22</v>
      </c>
      <c r="C921">
        <v>635</v>
      </c>
      <c r="D921">
        <v>1</v>
      </c>
      <c r="E921" t="s">
        <v>27</v>
      </c>
      <c r="F921" t="s">
        <v>28</v>
      </c>
      <c r="G921" t="str">
        <f>"2025-08-09 11:19:06.036"</f>
        <v>2025-08-09 11:19:06.036</v>
      </c>
      <c r="H921" t="s">
        <v>21</v>
      </c>
    </row>
    <row r="922" spans="1:10" x14ac:dyDescent="0.25">
      <c r="A922" s="1">
        <v>83</v>
      </c>
      <c r="B922" t="s">
        <v>25</v>
      </c>
      <c r="C922">
        <v>635</v>
      </c>
      <c r="D922">
        <v>1</v>
      </c>
      <c r="E922" t="s">
        <v>27</v>
      </c>
      <c r="F922" t="s">
        <v>28</v>
      </c>
      <c r="G922" t="str">
        <f>"2025-08-09 11:10:58.035"</f>
        <v>2025-08-09 11:10:58.035</v>
      </c>
      <c r="H922" t="s">
        <v>21</v>
      </c>
      <c r="I922">
        <v>2.93</v>
      </c>
      <c r="J922" t="s">
        <v>29</v>
      </c>
    </row>
    <row r="923" spans="1:10" x14ac:dyDescent="0.25">
      <c r="A923" s="1">
        <v>84</v>
      </c>
      <c r="B923" t="s">
        <v>22</v>
      </c>
      <c r="C923">
        <v>635</v>
      </c>
      <c r="D923">
        <v>1</v>
      </c>
      <c r="E923" t="s">
        <v>27</v>
      </c>
      <c r="F923" t="s">
        <v>28</v>
      </c>
      <c r="G923" t="str">
        <f>"2025-08-09 09:38:12.736"</f>
        <v>2025-08-09 09:38:12.736</v>
      </c>
      <c r="H923" t="s">
        <v>21</v>
      </c>
    </row>
    <row r="924" spans="1:10" x14ac:dyDescent="0.25">
      <c r="A924" s="1">
        <v>85</v>
      </c>
      <c r="B924" t="s">
        <v>25</v>
      </c>
      <c r="C924">
        <v>635</v>
      </c>
      <c r="D924">
        <v>1</v>
      </c>
      <c r="E924" t="s">
        <v>27</v>
      </c>
      <c r="F924" t="s">
        <v>28</v>
      </c>
      <c r="G924" t="str">
        <f>"2025-08-09 09:34:21.736"</f>
        <v>2025-08-09 09:34:21.736</v>
      </c>
      <c r="H924" t="s">
        <v>21</v>
      </c>
      <c r="I924">
        <v>7.37</v>
      </c>
      <c r="J924" t="s">
        <v>29</v>
      </c>
    </row>
    <row r="925" spans="1:10" x14ac:dyDescent="0.25">
      <c r="A925" s="1">
        <v>86</v>
      </c>
      <c r="B925" t="s">
        <v>37</v>
      </c>
      <c r="C925">
        <v>33</v>
      </c>
      <c r="D925">
        <v>1</v>
      </c>
      <c r="E925" t="s">
        <v>63</v>
      </c>
      <c r="F925" t="s">
        <v>64</v>
      </c>
      <c r="G925" t="str">
        <f>"2025-08-09 07:30:32.636"</f>
        <v>2025-08-09 07:30:32.636</v>
      </c>
      <c r="H925" t="s">
        <v>65</v>
      </c>
    </row>
    <row r="926" spans="1:10" x14ac:dyDescent="0.25">
      <c r="A926" s="1">
        <v>87</v>
      </c>
      <c r="B926" t="s">
        <v>40</v>
      </c>
      <c r="C926">
        <v>33</v>
      </c>
      <c r="D926">
        <v>1</v>
      </c>
      <c r="E926" t="s">
        <v>63</v>
      </c>
      <c r="F926" t="s">
        <v>64</v>
      </c>
      <c r="G926" t="str">
        <f>"2025-08-09 07:30:13.996"</f>
        <v>2025-08-09 07:30:13.996</v>
      </c>
      <c r="H926" t="s">
        <v>65</v>
      </c>
      <c r="I926">
        <v>8.02</v>
      </c>
      <c r="J926" t="s">
        <v>29</v>
      </c>
    </row>
    <row r="927" spans="1:10" x14ac:dyDescent="0.25">
      <c r="A927" s="1">
        <v>88</v>
      </c>
      <c r="B927" t="s">
        <v>22</v>
      </c>
      <c r="C927">
        <v>635</v>
      </c>
      <c r="D927">
        <v>1</v>
      </c>
      <c r="E927" t="s">
        <v>27</v>
      </c>
      <c r="F927" t="s">
        <v>28</v>
      </c>
      <c r="G927" t="str">
        <f>"2025-08-09 02:07:30.536"</f>
        <v>2025-08-09 02:07:30.536</v>
      </c>
      <c r="H927" t="s">
        <v>21</v>
      </c>
    </row>
    <row r="928" spans="1:10" x14ac:dyDescent="0.25">
      <c r="A928" s="1">
        <v>89</v>
      </c>
      <c r="B928" t="s">
        <v>25</v>
      </c>
      <c r="C928">
        <v>635</v>
      </c>
      <c r="D928">
        <v>1</v>
      </c>
      <c r="E928" t="s">
        <v>27</v>
      </c>
      <c r="F928" t="s">
        <v>28</v>
      </c>
      <c r="G928" t="str">
        <f>"2025-08-09 01:44:18.035"</f>
        <v>2025-08-09 01:44:18.035</v>
      </c>
      <c r="H928" t="s">
        <v>21</v>
      </c>
      <c r="I928">
        <v>5.5</v>
      </c>
      <c r="J928" t="s">
        <v>29</v>
      </c>
    </row>
    <row r="929" spans="1:10" x14ac:dyDescent="0.25">
      <c r="A929" s="1">
        <v>90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"2025-08-08 13:47:47.830"</f>
        <v>2025-08-08 13:47:47.830</v>
      </c>
      <c r="H929" t="s">
        <v>21</v>
      </c>
    </row>
    <row r="930" spans="1:10" x14ac:dyDescent="0.25">
      <c r="A930" s="1">
        <v>91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"2025-08-07 03:59:02.838"</f>
        <v>2025-08-07 03:59:02.838</v>
      </c>
      <c r="H930" t="s">
        <v>21</v>
      </c>
      <c r="I930">
        <v>0</v>
      </c>
      <c r="J930" t="s">
        <v>33</v>
      </c>
    </row>
    <row r="931" spans="1:10" x14ac:dyDescent="0.25">
      <c r="A931" s="1">
        <v>92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"2025-08-05 18:33:34.806"</f>
        <v>2025-08-05 18:33:34.806</v>
      </c>
      <c r="H931" t="s">
        <v>21</v>
      </c>
      <c r="I931">
        <v>0</v>
      </c>
      <c r="J931" t="s">
        <v>33</v>
      </c>
    </row>
    <row r="932" spans="1:10" x14ac:dyDescent="0.25">
      <c r="A932" s="1">
        <v>93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"2025-08-05 17:27:09.813"</f>
        <v>2025-08-05 17:27:09.813</v>
      </c>
      <c r="H932" t="s">
        <v>21</v>
      </c>
      <c r="I932">
        <v>0</v>
      </c>
      <c r="J932" t="s">
        <v>33</v>
      </c>
    </row>
    <row r="933" spans="1:10" x14ac:dyDescent="0.25">
      <c r="A933" s="1">
        <v>95</v>
      </c>
      <c r="B933" t="s">
        <v>22</v>
      </c>
      <c r="C933">
        <v>630</v>
      </c>
      <c r="D933">
        <v>5</v>
      </c>
      <c r="E933" t="s">
        <v>66</v>
      </c>
      <c r="F933" t="s">
        <v>67</v>
      </c>
      <c r="G933" t="str">
        <f>"2025-08-04 03:49:20.007"</f>
        <v>2025-08-04 03:49:20.007</v>
      </c>
      <c r="H933" t="s">
        <v>68</v>
      </c>
    </row>
    <row r="934" spans="1:10" x14ac:dyDescent="0.25">
      <c r="A934" s="1">
        <v>96</v>
      </c>
      <c r="B934" t="s">
        <v>19</v>
      </c>
      <c r="C934">
        <v>706</v>
      </c>
      <c r="D934">
        <v>2</v>
      </c>
      <c r="E934" t="s">
        <v>30</v>
      </c>
      <c r="F934" t="s">
        <v>31</v>
      </c>
      <c r="G934" t="str">
        <f>"2025-08-04 03:48:49.927"</f>
        <v>2025-08-04 03:48:49.927</v>
      </c>
      <c r="H934" t="s">
        <v>21</v>
      </c>
      <c r="I934">
        <v>0</v>
      </c>
      <c r="J934" t="s">
        <v>32</v>
      </c>
    </row>
    <row r="935" spans="1:10" x14ac:dyDescent="0.25">
      <c r="A935" s="1">
        <v>97</v>
      </c>
      <c r="B935" t="s">
        <v>40</v>
      </c>
      <c r="C935">
        <v>630</v>
      </c>
      <c r="D935">
        <v>5</v>
      </c>
      <c r="E935" t="s">
        <v>66</v>
      </c>
      <c r="F935" t="s">
        <v>67</v>
      </c>
      <c r="G935" t="str">
        <f>"2025-08-04 03:42:21.508"</f>
        <v>2025-08-04 03:42:21.508</v>
      </c>
      <c r="H935" t="s">
        <v>68</v>
      </c>
      <c r="I935">
        <v>0</v>
      </c>
      <c r="J935" t="s">
        <v>32</v>
      </c>
    </row>
    <row r="936" spans="1:10" x14ac:dyDescent="0.25">
      <c r="A936" s="1">
        <v>98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"2025-08-03 15:20:47.797"</f>
        <v>2025-08-03 15:20:47.797</v>
      </c>
      <c r="H936" t="s">
        <v>21</v>
      </c>
    </row>
    <row r="937" spans="1:10" x14ac:dyDescent="0.25">
      <c r="A937" s="1">
        <v>99</v>
      </c>
      <c r="B937" t="s">
        <v>22</v>
      </c>
      <c r="C937">
        <v>630</v>
      </c>
      <c r="D937">
        <v>5</v>
      </c>
      <c r="E937" t="s">
        <v>66</v>
      </c>
      <c r="F937" t="s">
        <v>67</v>
      </c>
      <c r="G937" t="str">
        <f>"2025-08-03 15:04:37.013"</f>
        <v>2025-08-03 15:04:37.013</v>
      </c>
      <c r="H937" t="s">
        <v>68</v>
      </c>
    </row>
    <row r="938" spans="1:10" x14ac:dyDescent="0.25">
      <c r="A938" s="1">
        <v>100</v>
      </c>
      <c r="B938" t="s">
        <v>19</v>
      </c>
      <c r="C938">
        <v>706</v>
      </c>
      <c r="D938">
        <v>2</v>
      </c>
      <c r="E938" t="s">
        <v>30</v>
      </c>
      <c r="F938" t="s">
        <v>31</v>
      </c>
      <c r="G938" t="str">
        <f>"2025-08-03 15:04:06.892"</f>
        <v>2025-08-03 15:04:06.892</v>
      </c>
      <c r="H938" t="s">
        <v>21</v>
      </c>
      <c r="I938">
        <v>0</v>
      </c>
      <c r="J938" t="s">
        <v>32</v>
      </c>
    </row>
    <row r="939" spans="1:10" x14ac:dyDescent="0.25">
      <c r="A939" s="1">
        <v>101</v>
      </c>
      <c r="B939" t="s">
        <v>40</v>
      </c>
      <c r="C939">
        <v>630</v>
      </c>
      <c r="D939">
        <v>5</v>
      </c>
      <c r="E939" t="s">
        <v>66</v>
      </c>
      <c r="F939" t="s">
        <v>67</v>
      </c>
      <c r="G939" t="str">
        <f>"2025-08-03 15:03:53.613"</f>
        <v>2025-08-03 15:03:53.613</v>
      </c>
      <c r="H939" t="s">
        <v>68</v>
      </c>
      <c r="I939">
        <v>0</v>
      </c>
      <c r="J939" t="s">
        <v>32</v>
      </c>
    </row>
    <row r="940" spans="1:10" x14ac:dyDescent="0.25">
      <c r="A940" s="1">
        <v>102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"2025-08-03 14:58:50.802"</f>
        <v>2025-08-03 14:58:50.802</v>
      </c>
      <c r="H940" t="s">
        <v>21</v>
      </c>
      <c r="I940">
        <v>0</v>
      </c>
      <c r="J940" t="s">
        <v>33</v>
      </c>
    </row>
    <row r="941" spans="1:10" x14ac:dyDescent="0.25">
      <c r="A941" s="1">
        <v>103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"2025-08-03 13:44:55.801"</f>
        <v>2025-08-03 13:44:55.801</v>
      </c>
      <c r="H941" t="s">
        <v>21</v>
      </c>
    </row>
    <row r="942" spans="1:10" x14ac:dyDescent="0.25">
      <c r="A942" s="1">
        <v>104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"2025-08-03 13:04:31.929"</f>
        <v>2025-08-03 13:04:31.929</v>
      </c>
      <c r="H942" t="s">
        <v>21</v>
      </c>
      <c r="I942">
        <v>0</v>
      </c>
      <c r="J942" t="s">
        <v>33</v>
      </c>
    </row>
    <row r="943" spans="1:10" x14ac:dyDescent="0.25">
      <c r="A943" s="1">
        <v>105</v>
      </c>
      <c r="B943" t="s">
        <v>37</v>
      </c>
      <c r="C943">
        <v>33</v>
      </c>
      <c r="D943">
        <v>1</v>
      </c>
      <c r="E943" t="s">
        <v>63</v>
      </c>
      <c r="F943" t="s">
        <v>64</v>
      </c>
      <c r="G943" t="str">
        <f>"2025-08-03 10:08:09.520"</f>
        <v>2025-08-03 10:08:09.520</v>
      </c>
      <c r="H943" t="s">
        <v>65</v>
      </c>
    </row>
    <row r="944" spans="1:10" x14ac:dyDescent="0.25">
      <c r="A944" s="1">
        <v>106</v>
      </c>
      <c r="B944" t="s">
        <v>40</v>
      </c>
      <c r="C944">
        <v>33</v>
      </c>
      <c r="D944">
        <v>1</v>
      </c>
      <c r="E944" t="s">
        <v>63</v>
      </c>
      <c r="F944" t="s">
        <v>64</v>
      </c>
      <c r="G944" t="str">
        <f>"2025-08-03 10:07:54.440"</f>
        <v>2025-08-03 10:07:54.440</v>
      </c>
      <c r="H944" t="s">
        <v>65</v>
      </c>
      <c r="I944">
        <v>8.76</v>
      </c>
      <c r="J944" t="s">
        <v>29</v>
      </c>
    </row>
    <row r="945" spans="1:10" x14ac:dyDescent="0.25">
      <c r="A945" s="1">
        <v>107</v>
      </c>
      <c r="B945" t="s">
        <v>22</v>
      </c>
      <c r="C945">
        <v>630</v>
      </c>
      <c r="D945">
        <v>5</v>
      </c>
      <c r="E945" t="s">
        <v>66</v>
      </c>
      <c r="F945" t="s">
        <v>67</v>
      </c>
      <c r="G945" t="str">
        <f>"2025-08-03 02:42:04.622"</f>
        <v>2025-08-03 02:42:04.622</v>
      </c>
      <c r="H945" t="s">
        <v>68</v>
      </c>
    </row>
    <row r="946" spans="1:10" x14ac:dyDescent="0.25">
      <c r="A946" s="1">
        <v>108</v>
      </c>
      <c r="B946" t="s">
        <v>19</v>
      </c>
      <c r="C946">
        <v>706</v>
      </c>
      <c r="D946">
        <v>4</v>
      </c>
      <c r="E946" t="s">
        <v>30</v>
      </c>
      <c r="F946" t="s">
        <v>34</v>
      </c>
      <c r="G946" t="str">
        <f>"2025-08-03 02:41:34.543"</f>
        <v>2025-08-03 02:41:34.543</v>
      </c>
      <c r="H946" t="s">
        <v>21</v>
      </c>
      <c r="I946">
        <v>0</v>
      </c>
      <c r="J946" t="s">
        <v>32</v>
      </c>
    </row>
    <row r="947" spans="1:10" x14ac:dyDescent="0.25">
      <c r="A947" s="1">
        <v>109</v>
      </c>
      <c r="B947" t="s">
        <v>40</v>
      </c>
      <c r="C947">
        <v>630</v>
      </c>
      <c r="D947">
        <v>5</v>
      </c>
      <c r="E947" t="s">
        <v>66</v>
      </c>
      <c r="F947" t="s">
        <v>67</v>
      </c>
      <c r="G947" t="str">
        <f>"2025-08-03 02:33:10.721"</f>
        <v>2025-08-03 02:33:10.721</v>
      </c>
      <c r="H947" t="s">
        <v>68</v>
      </c>
      <c r="I947">
        <v>0</v>
      </c>
      <c r="J947" t="s">
        <v>32</v>
      </c>
    </row>
    <row r="948" spans="1:10" x14ac:dyDescent="0.25">
      <c r="A948" s="1">
        <v>110</v>
      </c>
      <c r="B948" t="s">
        <v>22</v>
      </c>
      <c r="C948">
        <v>630</v>
      </c>
      <c r="D948">
        <v>5</v>
      </c>
      <c r="E948" t="s">
        <v>66</v>
      </c>
      <c r="F948" t="s">
        <v>67</v>
      </c>
      <c r="G948" t="str">
        <f>"2025-08-02 23:40:59.921"</f>
        <v>2025-08-02 23:40:59.921</v>
      </c>
      <c r="H948" t="s">
        <v>68</v>
      </c>
    </row>
    <row r="949" spans="1:10" x14ac:dyDescent="0.25">
      <c r="A949" s="1">
        <v>111</v>
      </c>
      <c r="B949" t="s">
        <v>19</v>
      </c>
      <c r="C949">
        <v>706</v>
      </c>
      <c r="D949">
        <v>2</v>
      </c>
      <c r="E949" t="s">
        <v>30</v>
      </c>
      <c r="F949" t="s">
        <v>31</v>
      </c>
      <c r="G949" t="str">
        <f>"2025-08-02 23:40:29.713"</f>
        <v>2025-08-02 23:40:29.713</v>
      </c>
      <c r="H949" t="s">
        <v>21</v>
      </c>
      <c r="I949">
        <v>0</v>
      </c>
      <c r="J949" t="s">
        <v>32</v>
      </c>
    </row>
    <row r="950" spans="1:10" x14ac:dyDescent="0.25">
      <c r="A950" s="1">
        <v>112</v>
      </c>
      <c r="B950" t="s">
        <v>40</v>
      </c>
      <c r="C950">
        <v>630</v>
      </c>
      <c r="D950">
        <v>5</v>
      </c>
      <c r="E950" t="s">
        <v>66</v>
      </c>
      <c r="F950" t="s">
        <v>67</v>
      </c>
      <c r="G950" t="str">
        <f>"2025-08-02 23:34:36.621"</f>
        <v>2025-08-02 23:34:36.621</v>
      </c>
      <c r="H950" t="s">
        <v>68</v>
      </c>
      <c r="I950">
        <v>0</v>
      </c>
      <c r="J950" t="s">
        <v>32</v>
      </c>
    </row>
    <row r="951" spans="1:10" x14ac:dyDescent="0.25">
      <c r="A951" s="1">
        <v>113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"2025-08-02 23:29:33.943"</f>
        <v>2025-08-02 23:29:33.943</v>
      </c>
      <c r="H951" t="s">
        <v>21</v>
      </c>
    </row>
    <row r="952" spans="1:10" x14ac:dyDescent="0.25">
      <c r="A952" s="1">
        <v>114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"2025-08-02 17:30:18.791"</f>
        <v>2025-08-02 17:30:18.791</v>
      </c>
      <c r="H952" t="s">
        <v>21</v>
      </c>
    </row>
    <row r="953" spans="1:10" x14ac:dyDescent="0.25">
      <c r="A953" s="1">
        <v>115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"2025-08-02 16:00:52.803"</f>
        <v>2025-08-02 16:00:52.803</v>
      </c>
      <c r="H953" t="s">
        <v>21</v>
      </c>
    </row>
    <row r="954" spans="1:10" x14ac:dyDescent="0.25">
      <c r="A954" s="1">
        <v>116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"2025-08-02 15:06:34.802"</f>
        <v>2025-08-02 15:06:34.802</v>
      </c>
      <c r="H954" t="s">
        <v>21</v>
      </c>
      <c r="I954">
        <v>0</v>
      </c>
      <c r="J954" t="s">
        <v>33</v>
      </c>
    </row>
    <row r="955" spans="1:10" x14ac:dyDescent="0.25">
      <c r="A955" s="1">
        <v>117</v>
      </c>
      <c r="B955" t="s">
        <v>19</v>
      </c>
      <c r="C955">
        <v>706</v>
      </c>
      <c r="D955">
        <v>2</v>
      </c>
      <c r="E955" t="s">
        <v>30</v>
      </c>
      <c r="F955" t="s">
        <v>31</v>
      </c>
      <c r="G955" t="str">
        <f>"2025-08-02 14:31:45.544"</f>
        <v>2025-08-02 14:31:45.544</v>
      </c>
      <c r="H955" t="s">
        <v>21</v>
      </c>
      <c r="I955">
        <v>0</v>
      </c>
      <c r="J955" t="s">
        <v>32</v>
      </c>
    </row>
    <row r="956" spans="1:10" x14ac:dyDescent="0.25">
      <c r="A956" s="1">
        <v>118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"2025-08-02 14:31:24.794"</f>
        <v>2025-08-02 14:31:24.794</v>
      </c>
      <c r="H956" t="s">
        <v>21</v>
      </c>
      <c r="I956">
        <v>0</v>
      </c>
      <c r="J956" t="s">
        <v>33</v>
      </c>
    </row>
    <row r="957" spans="1:10" x14ac:dyDescent="0.25">
      <c r="A957" s="1">
        <v>119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"2025-08-02 02:27:32.838"</f>
        <v>2025-08-02 02:27:32.838</v>
      </c>
      <c r="H957" t="s">
        <v>21</v>
      </c>
      <c r="I957">
        <v>0</v>
      </c>
      <c r="J957" t="s">
        <v>33</v>
      </c>
    </row>
    <row r="958" spans="1:10" x14ac:dyDescent="0.25">
      <c r="A958" s="1">
        <v>120</v>
      </c>
      <c r="B958" t="s">
        <v>19</v>
      </c>
      <c r="C958">
        <v>700</v>
      </c>
      <c r="D958">
        <v>0</v>
      </c>
      <c r="E958" t="s">
        <v>20</v>
      </c>
      <c r="F958" t="s">
        <v>20</v>
      </c>
      <c r="G958" t="str">
        <f>"2025-07-31 13:49:57.797"</f>
        <v>2025-07-31 13:49:57.797</v>
      </c>
      <c r="H958" t="s">
        <v>21</v>
      </c>
      <c r="I958">
        <v>0</v>
      </c>
      <c r="J958" t="s">
        <v>33</v>
      </c>
    </row>
    <row r="959" spans="1:10" x14ac:dyDescent="0.25">
      <c r="A959" s="1">
        <v>121</v>
      </c>
      <c r="B959" t="s">
        <v>22</v>
      </c>
      <c r="C959">
        <v>630</v>
      </c>
      <c r="D959">
        <v>5</v>
      </c>
      <c r="E959" t="s">
        <v>66</v>
      </c>
      <c r="F959" t="s">
        <v>67</v>
      </c>
      <c r="G959" t="str">
        <f>"2025-07-31 09:29:12.400"</f>
        <v>2025-07-31 09:29:12.400</v>
      </c>
      <c r="H959" t="s">
        <v>68</v>
      </c>
    </row>
    <row r="960" spans="1:10" x14ac:dyDescent="0.25">
      <c r="A960" s="1">
        <v>122</v>
      </c>
      <c r="B960" t="s">
        <v>19</v>
      </c>
      <c r="C960">
        <v>706</v>
      </c>
      <c r="D960">
        <v>2</v>
      </c>
      <c r="E960" t="s">
        <v>30</v>
      </c>
      <c r="F960" t="s">
        <v>31</v>
      </c>
      <c r="G960" t="str">
        <f>"2025-07-31 09:28:42.271"</f>
        <v>2025-07-31 09:28:42.271</v>
      </c>
      <c r="H960" t="s">
        <v>21</v>
      </c>
      <c r="I960">
        <v>0</v>
      </c>
      <c r="J960" t="s">
        <v>32</v>
      </c>
    </row>
    <row r="961" spans="1:10" x14ac:dyDescent="0.25">
      <c r="A961" s="1">
        <v>123</v>
      </c>
      <c r="B961" t="s">
        <v>40</v>
      </c>
      <c r="C961">
        <v>630</v>
      </c>
      <c r="D961">
        <v>5</v>
      </c>
      <c r="E961" t="s">
        <v>66</v>
      </c>
      <c r="F961" t="s">
        <v>67</v>
      </c>
      <c r="G961" t="str">
        <f>"2025-07-31 09:17:03.200"</f>
        <v>2025-07-31 09:17:03.200</v>
      </c>
      <c r="H961" t="s">
        <v>68</v>
      </c>
      <c r="I961">
        <v>0</v>
      </c>
      <c r="J961" t="s">
        <v>32</v>
      </c>
    </row>
    <row r="962" spans="1:10" x14ac:dyDescent="0.25">
      <c r="A962" s="1">
        <v>124</v>
      </c>
      <c r="B962" t="s">
        <v>19</v>
      </c>
      <c r="C962">
        <v>706</v>
      </c>
      <c r="D962">
        <v>4</v>
      </c>
      <c r="E962" t="s">
        <v>30</v>
      </c>
      <c r="F962" t="s">
        <v>34</v>
      </c>
      <c r="G962" t="str">
        <f>"2025-07-31 09:11:29.361"</f>
        <v>2025-07-31 09:11:29.361</v>
      </c>
      <c r="H962" t="s">
        <v>21</v>
      </c>
      <c r="I962">
        <v>0</v>
      </c>
      <c r="J962" t="s">
        <v>32</v>
      </c>
    </row>
    <row r="963" spans="1:10" x14ac:dyDescent="0.25">
      <c r="A963" s="1">
        <v>125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"2025-07-31 09:10:31.801"</f>
        <v>2025-07-31 09:10:31.801</v>
      </c>
      <c r="H963" t="s">
        <v>21</v>
      </c>
      <c r="I963">
        <v>0</v>
      </c>
      <c r="J963" t="s">
        <v>33</v>
      </c>
    </row>
    <row r="964" spans="1:10" x14ac:dyDescent="0.25">
      <c r="A964" s="1">
        <v>126</v>
      </c>
      <c r="B964" t="s">
        <v>22</v>
      </c>
      <c r="C964">
        <v>630</v>
      </c>
      <c r="D964">
        <v>5</v>
      </c>
      <c r="E964" t="s">
        <v>66</v>
      </c>
      <c r="F964" t="s">
        <v>67</v>
      </c>
      <c r="G964" t="str">
        <f>"2025-07-31 08:55:19.317"</f>
        <v>2025-07-31 08:55:19.317</v>
      </c>
      <c r="H964" t="s">
        <v>68</v>
      </c>
    </row>
    <row r="965" spans="1:10" x14ac:dyDescent="0.25">
      <c r="A965" s="1">
        <v>127</v>
      </c>
      <c r="B965" t="s">
        <v>19</v>
      </c>
      <c r="C965">
        <v>706</v>
      </c>
      <c r="D965">
        <v>4</v>
      </c>
      <c r="E965" t="s">
        <v>30</v>
      </c>
      <c r="F965" t="s">
        <v>34</v>
      </c>
      <c r="G965" t="str">
        <f>"2025-07-31 08:54:49.250"</f>
        <v>2025-07-31 08:54:49.250</v>
      </c>
      <c r="H965" t="s">
        <v>21</v>
      </c>
      <c r="I965">
        <v>0</v>
      </c>
      <c r="J965" t="s">
        <v>32</v>
      </c>
    </row>
    <row r="966" spans="1:10" x14ac:dyDescent="0.25">
      <c r="A966" s="1">
        <v>128</v>
      </c>
      <c r="B966" t="s">
        <v>40</v>
      </c>
      <c r="C966">
        <v>630</v>
      </c>
      <c r="D966">
        <v>5</v>
      </c>
      <c r="E966" t="s">
        <v>66</v>
      </c>
      <c r="F966" t="s">
        <v>67</v>
      </c>
      <c r="G966" t="str">
        <f>"2025-07-31 08:49:49.518"</f>
        <v>2025-07-31 08:49:49.518</v>
      </c>
      <c r="H966" t="s">
        <v>68</v>
      </c>
      <c r="I966">
        <v>0</v>
      </c>
      <c r="J966" t="s">
        <v>32</v>
      </c>
    </row>
    <row r="967" spans="1:10" x14ac:dyDescent="0.25">
      <c r="A967" s="1">
        <v>129</v>
      </c>
      <c r="B967" t="s">
        <v>22</v>
      </c>
      <c r="C967">
        <v>4</v>
      </c>
      <c r="D967">
        <v>1</v>
      </c>
      <c r="E967" t="s">
        <v>69</v>
      </c>
      <c r="F967" t="s">
        <v>70</v>
      </c>
      <c r="G967" t="str">
        <f>"2025-07-31 08:44:54.628"</f>
        <v>2025-07-31 08:44:54.628</v>
      </c>
      <c r="H967" t="s">
        <v>71</v>
      </c>
    </row>
    <row r="968" spans="1:10" x14ac:dyDescent="0.25">
      <c r="A968" s="1">
        <v>130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"2025-07-31 08:44:46.800"</f>
        <v>2025-07-31 08:44:46.800</v>
      </c>
      <c r="H968" t="s">
        <v>21</v>
      </c>
    </row>
    <row r="969" spans="1:10" x14ac:dyDescent="0.25">
      <c r="A969" s="1">
        <v>131</v>
      </c>
      <c r="B969" t="s">
        <v>25</v>
      </c>
      <c r="C969">
        <v>4</v>
      </c>
      <c r="D969">
        <v>1</v>
      </c>
      <c r="E969" t="s">
        <v>69</v>
      </c>
      <c r="F969" t="s">
        <v>70</v>
      </c>
      <c r="G969" t="str">
        <f>"2025-07-31 05:51:18.723"</f>
        <v>2025-07-31 05:51:18.723</v>
      </c>
      <c r="H969" t="s">
        <v>71</v>
      </c>
      <c r="I969">
        <v>0</v>
      </c>
      <c r="J969" t="s">
        <v>72</v>
      </c>
    </row>
    <row r="970" spans="1:10" x14ac:dyDescent="0.25">
      <c r="A970" s="1">
        <v>132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"2025-07-31 05:51:13.928"</f>
        <v>2025-07-31 05:51:13.928</v>
      </c>
      <c r="H970" t="s">
        <v>21</v>
      </c>
    </row>
    <row r="971" spans="1:10" x14ac:dyDescent="0.25">
      <c r="A971" s="1">
        <v>133</v>
      </c>
      <c r="B971" t="s">
        <v>40</v>
      </c>
      <c r="C971">
        <v>630</v>
      </c>
      <c r="D971">
        <v>5</v>
      </c>
      <c r="E971" t="s">
        <v>66</v>
      </c>
      <c r="F971" t="s">
        <v>67</v>
      </c>
      <c r="G971" t="str">
        <f>"2025-07-30 20:53:45.829"</f>
        <v>2025-07-30 20:53:45.829</v>
      </c>
      <c r="H971" t="s">
        <v>68</v>
      </c>
      <c r="I971">
        <v>0</v>
      </c>
      <c r="J971" t="s">
        <v>32</v>
      </c>
    </row>
    <row r="972" spans="1:10" x14ac:dyDescent="0.25">
      <c r="A972" s="1">
        <v>134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"2025-07-30 20:48:43.085"</f>
        <v>2025-07-30 20:48:43.085</v>
      </c>
      <c r="H972" t="s">
        <v>21</v>
      </c>
      <c r="I972">
        <v>0</v>
      </c>
      <c r="J972" t="s">
        <v>33</v>
      </c>
    </row>
    <row r="973" spans="1:10" x14ac:dyDescent="0.25">
      <c r="A973" s="1">
        <v>135</v>
      </c>
      <c r="B973" t="s">
        <v>19</v>
      </c>
      <c r="C973">
        <v>706</v>
      </c>
      <c r="D973">
        <v>2</v>
      </c>
      <c r="E973" t="s">
        <v>30</v>
      </c>
      <c r="F973" t="s">
        <v>31</v>
      </c>
      <c r="G973" t="str">
        <f>"2025-07-30 16:49:56.720"</f>
        <v>2025-07-30 16:49:56.720</v>
      </c>
      <c r="H973" t="s">
        <v>21</v>
      </c>
      <c r="I973">
        <v>0</v>
      </c>
      <c r="J973" t="s">
        <v>32</v>
      </c>
    </row>
    <row r="974" spans="1:10" x14ac:dyDescent="0.25">
      <c r="A974" s="1">
        <v>136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"2025-07-30 16:49:42.810"</f>
        <v>2025-07-30 16:49:42.810</v>
      </c>
      <c r="H974" t="s">
        <v>21</v>
      </c>
      <c r="I974">
        <v>0</v>
      </c>
      <c r="J974" t="s">
        <v>33</v>
      </c>
    </row>
    <row r="975" spans="1:10" x14ac:dyDescent="0.25">
      <c r="A975" s="1">
        <v>137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"2025-07-30 14:27:04.810"</f>
        <v>2025-07-30 14:27:04.810</v>
      </c>
      <c r="H975" t="s">
        <v>21</v>
      </c>
      <c r="I975">
        <v>0</v>
      </c>
      <c r="J975" t="s">
        <v>33</v>
      </c>
    </row>
    <row r="976" spans="1:10" x14ac:dyDescent="0.25">
      <c r="A976" s="1">
        <v>138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"2025-07-30 12:32:02.808"</f>
        <v>2025-07-30 12:32:02.808</v>
      </c>
      <c r="H976" t="s">
        <v>21</v>
      </c>
      <c r="I976">
        <v>0</v>
      </c>
      <c r="J976" t="s">
        <v>33</v>
      </c>
    </row>
    <row r="977" spans="1:10" x14ac:dyDescent="0.25">
      <c r="A977" s="1">
        <v>139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"2025-07-30 11:24:24.796"</f>
        <v>2025-07-30 11:24:24.796</v>
      </c>
      <c r="H977" t="s">
        <v>21</v>
      </c>
      <c r="I977">
        <v>0</v>
      </c>
      <c r="J977" t="s">
        <v>33</v>
      </c>
    </row>
    <row r="978" spans="1:10" x14ac:dyDescent="0.25">
      <c r="A978" s="1">
        <v>140</v>
      </c>
      <c r="B978" t="s">
        <v>19</v>
      </c>
      <c r="C978">
        <v>706</v>
      </c>
      <c r="D978">
        <v>2</v>
      </c>
      <c r="E978" t="s">
        <v>30</v>
      </c>
      <c r="F978" t="s">
        <v>31</v>
      </c>
      <c r="G978" t="str">
        <f>"2025-07-30 11:10:24.312"</f>
        <v>2025-07-30 11:10:24.312</v>
      </c>
      <c r="H978" t="s">
        <v>21</v>
      </c>
      <c r="I978">
        <v>0</v>
      </c>
      <c r="J978" t="s">
        <v>32</v>
      </c>
    </row>
    <row r="979" spans="1:10" x14ac:dyDescent="0.25">
      <c r="A979" s="1">
        <v>141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"2025-07-30 11:09:40.802"</f>
        <v>2025-07-30 11:09:40.802</v>
      </c>
      <c r="H979" t="s">
        <v>21</v>
      </c>
    </row>
    <row r="980" spans="1:10" x14ac:dyDescent="0.25">
      <c r="A980" s="1">
        <v>142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"2025-07-30 10:50:14.811"</f>
        <v>2025-07-30 10:50:14.811</v>
      </c>
      <c r="H980" t="s">
        <v>21</v>
      </c>
      <c r="I980">
        <v>0</v>
      </c>
      <c r="J980" t="s">
        <v>33</v>
      </c>
    </row>
    <row r="981" spans="1:10" x14ac:dyDescent="0.25">
      <c r="A981" s="1">
        <v>143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"2025-07-30 10:39:38.838"</f>
        <v>2025-07-30 10:39:38.838</v>
      </c>
      <c r="H981" t="s">
        <v>21</v>
      </c>
      <c r="I981">
        <v>0</v>
      </c>
      <c r="J981" t="s">
        <v>33</v>
      </c>
    </row>
    <row r="982" spans="1:10" x14ac:dyDescent="0.25">
      <c r="A982" s="1">
        <v>144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"2025-07-29 21:57:42.799"</f>
        <v>2025-07-29 21:57:42.799</v>
      </c>
      <c r="H982" t="s">
        <v>21</v>
      </c>
      <c r="I982">
        <v>0</v>
      </c>
      <c r="J982" t="s">
        <v>33</v>
      </c>
    </row>
    <row r="983" spans="1:10" x14ac:dyDescent="0.25">
      <c r="A983" s="1">
        <v>145</v>
      </c>
      <c r="B983" t="s">
        <v>40</v>
      </c>
      <c r="C983">
        <v>630</v>
      </c>
      <c r="D983">
        <v>5</v>
      </c>
      <c r="E983" t="s">
        <v>66</v>
      </c>
      <c r="F983" t="s">
        <v>67</v>
      </c>
      <c r="G983" t="str">
        <f>"2025-07-29 21:31:36.469"</f>
        <v>2025-07-29 21:31:36.469</v>
      </c>
      <c r="H983" t="s">
        <v>68</v>
      </c>
      <c r="I983">
        <v>0</v>
      </c>
      <c r="J983" t="s">
        <v>32</v>
      </c>
    </row>
    <row r="984" spans="1:10" x14ac:dyDescent="0.25">
      <c r="A984" s="1">
        <v>146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"2025-07-29 21:26:33.797"</f>
        <v>2025-07-29 21:26:33.797</v>
      </c>
      <c r="H984" t="s">
        <v>21</v>
      </c>
      <c r="I984">
        <v>0</v>
      </c>
      <c r="J984" t="s">
        <v>33</v>
      </c>
    </row>
    <row r="985" spans="1:10" x14ac:dyDescent="0.25">
      <c r="A985" s="1">
        <v>148</v>
      </c>
      <c r="B985" t="s">
        <v>22</v>
      </c>
      <c r="C985">
        <v>630</v>
      </c>
      <c r="D985">
        <v>5</v>
      </c>
      <c r="E985" t="s">
        <v>66</v>
      </c>
      <c r="F985" t="s">
        <v>67</v>
      </c>
      <c r="G985" t="str">
        <f>"2025-07-29 01:19:02.008"</f>
        <v>2025-07-29 01:19:02.008</v>
      </c>
      <c r="H985" t="s">
        <v>68</v>
      </c>
    </row>
    <row r="986" spans="1:10" x14ac:dyDescent="0.25">
      <c r="A986" s="1">
        <v>149</v>
      </c>
      <c r="B986" t="s">
        <v>19</v>
      </c>
      <c r="C986">
        <v>706</v>
      </c>
      <c r="D986">
        <v>2</v>
      </c>
      <c r="E986" t="s">
        <v>30</v>
      </c>
      <c r="F986" t="s">
        <v>31</v>
      </c>
      <c r="G986" t="str">
        <f>"2025-07-29 01:18:31.915"</f>
        <v>2025-07-29 01:18:31.915</v>
      </c>
      <c r="H986" t="s">
        <v>21</v>
      </c>
      <c r="I986">
        <v>0</v>
      </c>
      <c r="J986" t="s">
        <v>32</v>
      </c>
    </row>
    <row r="987" spans="1:10" x14ac:dyDescent="0.25">
      <c r="A987" s="1">
        <v>150</v>
      </c>
      <c r="B987" t="s">
        <v>40</v>
      </c>
      <c r="C987">
        <v>630</v>
      </c>
      <c r="D987">
        <v>5</v>
      </c>
      <c r="E987" t="s">
        <v>66</v>
      </c>
      <c r="F987" t="s">
        <v>67</v>
      </c>
      <c r="G987" t="str">
        <f>"2025-07-29 00:55:16.808"</f>
        <v>2025-07-29 00:55:16.808</v>
      </c>
      <c r="H987" t="s">
        <v>68</v>
      </c>
      <c r="I987">
        <v>0</v>
      </c>
      <c r="J987" t="s">
        <v>32</v>
      </c>
    </row>
    <row r="988" spans="1:10" x14ac:dyDescent="0.25">
      <c r="A988" s="1">
        <v>151</v>
      </c>
      <c r="B988" t="s">
        <v>22</v>
      </c>
      <c r="C988">
        <v>635</v>
      </c>
      <c r="D988">
        <v>1</v>
      </c>
      <c r="E988" t="s">
        <v>27</v>
      </c>
      <c r="F988" t="s">
        <v>28</v>
      </c>
      <c r="G988" t="str">
        <f>"2025-07-26 09:12:05.308"</f>
        <v>2025-07-26 09:12:05.308</v>
      </c>
      <c r="H988" t="s">
        <v>21</v>
      </c>
    </row>
    <row r="989" spans="1:10" x14ac:dyDescent="0.25">
      <c r="A989" s="1">
        <v>152</v>
      </c>
      <c r="B989" t="s">
        <v>25</v>
      </c>
      <c r="C989">
        <v>635</v>
      </c>
      <c r="D989">
        <v>1</v>
      </c>
      <c r="E989" t="s">
        <v>27</v>
      </c>
      <c r="F989" t="s">
        <v>28</v>
      </c>
      <c r="G989" t="str">
        <f>"2025-07-26 09:08:55.808"</f>
        <v>2025-07-26 09:08:55.808</v>
      </c>
      <c r="H989" t="s">
        <v>21</v>
      </c>
      <c r="I989">
        <v>4.22</v>
      </c>
      <c r="J989" t="s">
        <v>29</v>
      </c>
    </row>
    <row r="990" spans="1:10" x14ac:dyDescent="0.25">
      <c r="A990" s="1">
        <v>154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"2025-07-24 12:19:36.795"</f>
        <v>2025-07-24 12:19:36.795</v>
      </c>
      <c r="H990" t="s">
        <v>21</v>
      </c>
    </row>
    <row r="991" spans="1:10" x14ac:dyDescent="0.25">
      <c r="A991" s="1">
        <v>155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"2025-07-24 12:05:46.802"</f>
        <v>2025-07-24 12:05:46.802</v>
      </c>
      <c r="H991" t="s">
        <v>21</v>
      </c>
      <c r="I991">
        <v>0</v>
      </c>
      <c r="J991" t="s">
        <v>33</v>
      </c>
    </row>
    <row r="992" spans="1:10" x14ac:dyDescent="0.25">
      <c r="A992" s="1">
        <v>156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"2025-07-24 11:59:56.801"</f>
        <v>2025-07-24 11:59:56.801</v>
      </c>
      <c r="H992" t="s">
        <v>21</v>
      </c>
    </row>
    <row r="993" spans="1:10" x14ac:dyDescent="0.25">
      <c r="A993" s="1">
        <v>157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"2025-07-24 11:47:30.810"</f>
        <v>2025-07-24 11:47:30.810</v>
      </c>
      <c r="H993" t="s">
        <v>21</v>
      </c>
    </row>
    <row r="994" spans="1:10" x14ac:dyDescent="0.25">
      <c r="A994" s="1">
        <v>158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"2025-07-24 10:46:56.798"</f>
        <v>2025-07-24 10:46:56.798</v>
      </c>
      <c r="H994" t="s">
        <v>21</v>
      </c>
    </row>
    <row r="995" spans="1:10" x14ac:dyDescent="0.25">
      <c r="A995" s="1">
        <v>159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"2025-07-24 08:49:09.785"</f>
        <v>2025-07-24 08:49:09.785</v>
      </c>
      <c r="H995" t="s">
        <v>21</v>
      </c>
      <c r="I995">
        <v>0</v>
      </c>
      <c r="J995" t="s">
        <v>33</v>
      </c>
    </row>
    <row r="996" spans="1:10" x14ac:dyDescent="0.25">
      <c r="A996" s="1">
        <v>160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"2025-07-24 07:55:01.797"</f>
        <v>2025-07-24 07:55:01.797</v>
      </c>
      <c r="H996" t="s">
        <v>21</v>
      </c>
    </row>
    <row r="997" spans="1:10" x14ac:dyDescent="0.25">
      <c r="A997" s="1">
        <v>161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"2025-07-24 02:30:59.803"</f>
        <v>2025-07-24 02:30:59.803</v>
      </c>
      <c r="H997" t="s">
        <v>21</v>
      </c>
      <c r="I997">
        <v>0</v>
      </c>
      <c r="J997" t="s">
        <v>33</v>
      </c>
    </row>
    <row r="998" spans="1:10" x14ac:dyDescent="0.25">
      <c r="A998" s="1">
        <v>162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"2025-07-23 14:31:33.821"</f>
        <v>2025-07-23 14:31:33.821</v>
      </c>
      <c r="H998" t="s">
        <v>21</v>
      </c>
    </row>
    <row r="999" spans="1:10" x14ac:dyDescent="0.25">
      <c r="A999" s="1">
        <v>163</v>
      </c>
      <c r="B999" t="s">
        <v>22</v>
      </c>
      <c r="C999">
        <v>630</v>
      </c>
      <c r="D999">
        <v>5</v>
      </c>
      <c r="E999" t="s">
        <v>66</v>
      </c>
      <c r="F999" t="s">
        <v>67</v>
      </c>
      <c r="G999" t="str">
        <f>"2025-07-23 13:06:20.872"</f>
        <v>2025-07-23 13:06:20.872</v>
      </c>
      <c r="H999" t="s">
        <v>68</v>
      </c>
    </row>
    <row r="1000" spans="1:10" x14ac:dyDescent="0.25">
      <c r="A1000" s="1">
        <v>164</v>
      </c>
      <c r="B1000" t="s">
        <v>19</v>
      </c>
      <c r="C1000">
        <v>706</v>
      </c>
      <c r="D1000">
        <v>4</v>
      </c>
      <c r="E1000" t="s">
        <v>30</v>
      </c>
      <c r="F1000" t="s">
        <v>34</v>
      </c>
      <c r="G1000" t="str">
        <f>"2025-07-23 13:05:50.886"</f>
        <v>2025-07-23 13:05:50.886</v>
      </c>
      <c r="H1000" t="s">
        <v>21</v>
      </c>
      <c r="I1000">
        <v>0</v>
      </c>
      <c r="J1000" t="s">
        <v>32</v>
      </c>
    </row>
    <row r="1001" spans="1:10" x14ac:dyDescent="0.25">
      <c r="A1001" s="1">
        <v>165</v>
      </c>
      <c r="B1001" t="s">
        <v>40</v>
      </c>
      <c r="C1001">
        <v>630</v>
      </c>
      <c r="D1001">
        <v>5</v>
      </c>
      <c r="E1001" t="s">
        <v>66</v>
      </c>
      <c r="F1001" t="s">
        <v>67</v>
      </c>
      <c r="G1001" t="str">
        <f>"2025-07-23 12:43:04.473"</f>
        <v>2025-07-23 12:43:04.473</v>
      </c>
      <c r="H1001" t="s">
        <v>68</v>
      </c>
      <c r="I1001">
        <v>0</v>
      </c>
      <c r="J1001" t="s">
        <v>32</v>
      </c>
    </row>
    <row r="1002" spans="1:10" x14ac:dyDescent="0.25">
      <c r="A1002" s="1">
        <v>166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"2025-07-21 21:53:45.956"</f>
        <v>2025-07-21 21:53:45.956</v>
      </c>
      <c r="H1002" t="s">
        <v>21</v>
      </c>
      <c r="I1002">
        <v>0</v>
      </c>
      <c r="J1002" t="s">
        <v>33</v>
      </c>
    </row>
    <row r="1003" spans="1:10" x14ac:dyDescent="0.25">
      <c r="A1003" s="1">
        <v>167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"2025-07-20 10:17:49.789"</f>
        <v>2025-07-20 10:17:49.789</v>
      </c>
      <c r="H1003" t="s">
        <v>21</v>
      </c>
      <c r="I1003">
        <v>0</v>
      </c>
      <c r="J1003" t="s">
        <v>33</v>
      </c>
    </row>
    <row r="1004" spans="1:10" x14ac:dyDescent="0.25">
      <c r="A1004" s="1">
        <v>168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"2025-07-20 10:12:08.798"</f>
        <v>2025-07-20 10:12:08.798</v>
      </c>
      <c r="H1004" t="s">
        <v>21</v>
      </c>
      <c r="I1004">
        <v>0</v>
      </c>
      <c r="J1004" t="s">
        <v>33</v>
      </c>
    </row>
    <row r="1005" spans="1:10" x14ac:dyDescent="0.25">
      <c r="A1005" s="1">
        <v>169</v>
      </c>
      <c r="B1005" t="s">
        <v>19</v>
      </c>
      <c r="C1005">
        <v>706</v>
      </c>
      <c r="D1005">
        <v>4</v>
      </c>
      <c r="E1005" t="s">
        <v>30</v>
      </c>
      <c r="F1005" t="s">
        <v>34</v>
      </c>
      <c r="G1005" t="str">
        <f>"2025-07-20 09:26:09.462"</f>
        <v>2025-07-20 09:26:09.462</v>
      </c>
      <c r="H1005" t="s">
        <v>21</v>
      </c>
      <c r="I1005">
        <v>0</v>
      </c>
      <c r="J1005" t="s">
        <v>32</v>
      </c>
    </row>
    <row r="1006" spans="1:10" x14ac:dyDescent="0.25">
      <c r="A1006" s="1">
        <v>170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"2025-07-20 09:25:18.792"</f>
        <v>2025-07-20 09:25:18.792</v>
      </c>
      <c r="H1006" t="s">
        <v>21</v>
      </c>
      <c r="I1006">
        <v>0</v>
      </c>
      <c r="J1006" t="s">
        <v>33</v>
      </c>
    </row>
    <row r="1007" spans="1:10" x14ac:dyDescent="0.25">
      <c r="A1007" s="1">
        <v>171</v>
      </c>
      <c r="B1007" t="s">
        <v>19</v>
      </c>
      <c r="C1007">
        <v>706</v>
      </c>
      <c r="D1007">
        <v>4</v>
      </c>
      <c r="E1007" t="s">
        <v>30</v>
      </c>
      <c r="F1007" t="s">
        <v>34</v>
      </c>
      <c r="G1007" t="str">
        <f>"2025-07-20 09:05:07.253"</f>
        <v>2025-07-20 09:05:07.253</v>
      </c>
      <c r="H1007" t="s">
        <v>21</v>
      </c>
      <c r="I1007">
        <v>0</v>
      </c>
      <c r="J1007" t="s">
        <v>32</v>
      </c>
    </row>
    <row r="1008" spans="1:10" x14ac:dyDescent="0.25">
      <c r="A1008" s="1">
        <v>172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"2025-07-20 09:04:42.793"</f>
        <v>2025-07-20 09:04:42.793</v>
      </c>
      <c r="H1008" t="s">
        <v>21</v>
      </c>
      <c r="I1008">
        <v>0</v>
      </c>
      <c r="J1008" t="s">
        <v>33</v>
      </c>
    </row>
    <row r="1009" spans="1:10" x14ac:dyDescent="0.25">
      <c r="A1009" s="1">
        <v>173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"2025-07-20 08:44:26.798"</f>
        <v>2025-07-20 08:44:26.798</v>
      </c>
      <c r="H1009" t="s">
        <v>21</v>
      </c>
      <c r="I1009">
        <v>0</v>
      </c>
      <c r="J1009" t="s">
        <v>33</v>
      </c>
    </row>
    <row r="1010" spans="1:10" x14ac:dyDescent="0.25">
      <c r="A1010" s="1">
        <v>174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"2025-07-20 08:32:55.788"</f>
        <v>2025-07-20 08:32:55.788</v>
      </c>
      <c r="H1010" t="s">
        <v>21</v>
      </c>
    </row>
    <row r="1011" spans="1:10" x14ac:dyDescent="0.25">
      <c r="A1011" s="1">
        <v>175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"2025-07-19 14:24:40.791"</f>
        <v>2025-07-19 14:24:40.791</v>
      </c>
      <c r="H1011" t="s">
        <v>21</v>
      </c>
      <c r="I1011">
        <v>0</v>
      </c>
      <c r="J1011" t="s">
        <v>33</v>
      </c>
    </row>
    <row r="1012" spans="1:10" x14ac:dyDescent="0.25">
      <c r="A1012" s="1">
        <v>176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"2025-07-19 10:20:25.782"</f>
        <v>2025-07-19 10:20:25.782</v>
      </c>
      <c r="H1012" t="s">
        <v>21</v>
      </c>
    </row>
    <row r="1013" spans="1:10" x14ac:dyDescent="0.25">
      <c r="A1013" s="1">
        <v>177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"2025-07-19 10:16:18.818"</f>
        <v>2025-07-19 10:16:18.818</v>
      </c>
      <c r="H1013" t="s">
        <v>21</v>
      </c>
    </row>
    <row r="1014" spans="1:10" x14ac:dyDescent="0.25">
      <c r="A1014" s="1">
        <v>178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"2025-07-18 20:29:43.976"</f>
        <v>2025-07-18 20:29:43.976</v>
      </c>
      <c r="H1014" t="s">
        <v>21</v>
      </c>
      <c r="I1014">
        <v>0</v>
      </c>
      <c r="J1014" t="s">
        <v>33</v>
      </c>
    </row>
    <row r="1015" spans="1:10" x14ac:dyDescent="0.25">
      <c r="A1015" s="1">
        <v>182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"2025-07-16 20:33:00.824"</f>
        <v>2025-07-16 20:33:00.824</v>
      </c>
      <c r="H1015" t="s">
        <v>21</v>
      </c>
      <c r="I1015">
        <v>0</v>
      </c>
      <c r="J1015" t="s">
        <v>33</v>
      </c>
    </row>
    <row r="1016" spans="1:10" x14ac:dyDescent="0.25">
      <c r="A1016" s="1">
        <v>183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"2025-07-16 14:01:46.795"</f>
        <v>2025-07-16 14:01:46.795</v>
      </c>
      <c r="H1016" t="s">
        <v>21</v>
      </c>
    </row>
    <row r="1017" spans="1:10" x14ac:dyDescent="0.25">
      <c r="A1017" s="1">
        <v>185</v>
      </c>
      <c r="B1017" t="s">
        <v>37</v>
      </c>
      <c r="C1017">
        <v>33</v>
      </c>
      <c r="D1017">
        <v>1</v>
      </c>
      <c r="E1017" t="s">
        <v>63</v>
      </c>
      <c r="F1017" t="s">
        <v>64</v>
      </c>
      <c r="G1017" t="str">
        <f>"2025-07-16 06:32:47.309"</f>
        <v>2025-07-16 06:32:47.309</v>
      </c>
      <c r="H1017" t="s">
        <v>65</v>
      </c>
    </row>
    <row r="1018" spans="1:10" x14ac:dyDescent="0.25">
      <c r="A1018" s="1">
        <v>186</v>
      </c>
      <c r="B1018" t="s">
        <v>40</v>
      </c>
      <c r="C1018">
        <v>33</v>
      </c>
      <c r="D1018">
        <v>1</v>
      </c>
      <c r="E1018" t="s">
        <v>63</v>
      </c>
      <c r="F1018" t="s">
        <v>64</v>
      </c>
      <c r="G1018" t="str">
        <f>"2025-07-16 06:32:21.288"</f>
        <v>2025-07-16 06:32:21.288</v>
      </c>
      <c r="H1018" t="s">
        <v>65</v>
      </c>
      <c r="I1018">
        <v>7.52</v>
      </c>
      <c r="J1018" t="s">
        <v>29</v>
      </c>
    </row>
    <row r="1019" spans="1:10" x14ac:dyDescent="0.25">
      <c r="A1019" s="1">
        <v>187</v>
      </c>
      <c r="B1019" t="s">
        <v>22</v>
      </c>
      <c r="C1019">
        <v>635</v>
      </c>
      <c r="D1019">
        <v>1</v>
      </c>
      <c r="E1019" t="s">
        <v>27</v>
      </c>
      <c r="F1019" t="s">
        <v>28</v>
      </c>
      <c r="G1019" t="str">
        <f>"2025-07-15 08:42:12.756"</f>
        <v>2025-07-15 08:42:12.756</v>
      </c>
      <c r="H1019" t="s">
        <v>21</v>
      </c>
    </row>
    <row r="1020" spans="1:10" x14ac:dyDescent="0.25">
      <c r="A1020" s="1">
        <v>188</v>
      </c>
      <c r="B1020" t="s">
        <v>25</v>
      </c>
      <c r="C1020">
        <v>635</v>
      </c>
      <c r="D1020">
        <v>1</v>
      </c>
      <c r="E1020" t="s">
        <v>27</v>
      </c>
      <c r="F1020" t="s">
        <v>28</v>
      </c>
      <c r="G1020" t="str">
        <f>"2025-07-15 08:37:00.756"</f>
        <v>2025-07-15 08:37:00.756</v>
      </c>
      <c r="H1020" t="s">
        <v>21</v>
      </c>
      <c r="I1020">
        <v>2.3199999999999998</v>
      </c>
      <c r="J1020" t="s">
        <v>29</v>
      </c>
    </row>
    <row r="1021" spans="1:10" x14ac:dyDescent="0.25">
      <c r="A1021" s="1">
        <v>189</v>
      </c>
      <c r="B1021" t="s">
        <v>22</v>
      </c>
      <c r="C1021">
        <v>635</v>
      </c>
      <c r="D1021">
        <v>1</v>
      </c>
      <c r="E1021" t="s">
        <v>27</v>
      </c>
      <c r="F1021" t="s">
        <v>28</v>
      </c>
      <c r="G1021" t="str">
        <f>"2025-07-14 10:37:59.656"</f>
        <v>2025-07-14 10:37:59.656</v>
      </c>
      <c r="H1021" t="s">
        <v>21</v>
      </c>
    </row>
    <row r="1022" spans="1:10" x14ac:dyDescent="0.25">
      <c r="A1022" s="1">
        <v>190</v>
      </c>
      <c r="B1022" t="s">
        <v>25</v>
      </c>
      <c r="C1022">
        <v>635</v>
      </c>
      <c r="D1022">
        <v>1</v>
      </c>
      <c r="E1022" t="s">
        <v>27</v>
      </c>
      <c r="F1022" t="s">
        <v>28</v>
      </c>
      <c r="G1022" t="str">
        <f>"2025-07-14 10:34:35.656"</f>
        <v>2025-07-14 10:34:35.656</v>
      </c>
      <c r="H1022" t="s">
        <v>21</v>
      </c>
      <c r="I1022">
        <v>5.1100000000000003</v>
      </c>
      <c r="J1022" t="s">
        <v>26</v>
      </c>
    </row>
    <row r="1023" spans="1:10" x14ac:dyDescent="0.25">
      <c r="A1023" s="1">
        <v>191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"2025-07-14 07:51:45.785"</f>
        <v>2025-07-14 07:51:45.785</v>
      </c>
      <c r="H1023" t="s">
        <v>21</v>
      </c>
      <c r="I1023">
        <v>0</v>
      </c>
      <c r="J1023" t="s">
        <v>33</v>
      </c>
    </row>
    <row r="1024" spans="1:10" x14ac:dyDescent="0.25">
      <c r="A1024" s="1">
        <v>193</v>
      </c>
      <c r="B1024" t="s">
        <v>22</v>
      </c>
      <c r="C1024">
        <v>635</v>
      </c>
      <c r="D1024">
        <v>1</v>
      </c>
      <c r="E1024" t="s">
        <v>27</v>
      </c>
      <c r="F1024" t="s">
        <v>28</v>
      </c>
      <c r="G1024" t="str">
        <f>"2025-07-11 08:39:58.568"</f>
        <v>2025-07-11 08:39:58.568</v>
      </c>
      <c r="H1024" t="s">
        <v>21</v>
      </c>
    </row>
    <row r="1025" spans="1:10" x14ac:dyDescent="0.25">
      <c r="A1025" s="1">
        <v>194</v>
      </c>
      <c r="B1025" t="s">
        <v>25</v>
      </c>
      <c r="C1025">
        <v>635</v>
      </c>
      <c r="D1025">
        <v>1</v>
      </c>
      <c r="E1025" t="s">
        <v>27</v>
      </c>
      <c r="F1025" t="s">
        <v>28</v>
      </c>
      <c r="G1025" t="str">
        <f>"2025-07-11 08:36:03.568"</f>
        <v>2025-07-11 08:36:03.568</v>
      </c>
      <c r="H1025" t="s">
        <v>21</v>
      </c>
      <c r="I1025">
        <v>2.57</v>
      </c>
      <c r="J1025" t="s">
        <v>26</v>
      </c>
    </row>
    <row r="1026" spans="1:10" x14ac:dyDescent="0.25">
      <c r="A1026" s="1">
        <v>195</v>
      </c>
      <c r="B1026" t="s">
        <v>22</v>
      </c>
      <c r="C1026">
        <v>635</v>
      </c>
      <c r="D1026">
        <v>1</v>
      </c>
      <c r="E1026" t="s">
        <v>27</v>
      </c>
      <c r="F1026" t="s">
        <v>28</v>
      </c>
      <c r="G1026" t="str">
        <f>"2025-07-10 20:32:50.968"</f>
        <v>2025-07-10 20:32:50.968</v>
      </c>
      <c r="H1026" t="s">
        <v>21</v>
      </c>
    </row>
    <row r="1027" spans="1:10" x14ac:dyDescent="0.25">
      <c r="A1027" s="1">
        <v>196</v>
      </c>
      <c r="B1027" t="s">
        <v>25</v>
      </c>
      <c r="C1027">
        <v>635</v>
      </c>
      <c r="D1027">
        <v>1</v>
      </c>
      <c r="E1027" t="s">
        <v>27</v>
      </c>
      <c r="F1027" t="s">
        <v>28</v>
      </c>
      <c r="G1027" t="str">
        <f>"2025-07-10 20:29:42.968"</f>
        <v>2025-07-10 20:29:42.968</v>
      </c>
      <c r="H1027" t="s">
        <v>21</v>
      </c>
      <c r="I1027">
        <v>8.3000000000000007</v>
      </c>
      <c r="J1027" t="s">
        <v>29</v>
      </c>
    </row>
    <row r="1028" spans="1:10" x14ac:dyDescent="0.25">
      <c r="A1028" s="1">
        <v>197</v>
      </c>
      <c r="B1028" t="s">
        <v>22</v>
      </c>
      <c r="C1028">
        <v>635</v>
      </c>
      <c r="D1028">
        <v>1</v>
      </c>
      <c r="E1028" t="s">
        <v>27</v>
      </c>
      <c r="F1028" t="s">
        <v>28</v>
      </c>
      <c r="G1028" t="str">
        <f>"2025-07-10 11:29:13.968"</f>
        <v>2025-07-10 11:29:13.968</v>
      </c>
      <c r="H1028" t="s">
        <v>21</v>
      </c>
    </row>
    <row r="1029" spans="1:10" x14ac:dyDescent="0.25">
      <c r="A1029" s="1">
        <v>198</v>
      </c>
      <c r="B1029" t="s">
        <v>25</v>
      </c>
      <c r="C1029">
        <v>635</v>
      </c>
      <c r="D1029">
        <v>1</v>
      </c>
      <c r="E1029" t="s">
        <v>27</v>
      </c>
      <c r="F1029" t="s">
        <v>28</v>
      </c>
      <c r="G1029" t="str">
        <f>"2025-07-10 11:25:40.968"</f>
        <v>2025-07-10 11:25:40.968</v>
      </c>
      <c r="H1029" t="s">
        <v>21</v>
      </c>
      <c r="I1029">
        <v>0</v>
      </c>
      <c r="J1029" t="s">
        <v>35</v>
      </c>
    </row>
    <row r="1030" spans="1:10" x14ac:dyDescent="0.25">
      <c r="A1030" s="1">
        <v>199</v>
      </c>
      <c r="B1030" t="s">
        <v>22</v>
      </c>
      <c r="C1030">
        <v>635</v>
      </c>
      <c r="D1030">
        <v>1</v>
      </c>
      <c r="E1030" t="s">
        <v>27</v>
      </c>
      <c r="F1030" t="s">
        <v>28</v>
      </c>
      <c r="G1030" t="str">
        <f>"2025-07-10 04:19:43.268"</f>
        <v>2025-07-10 04:19:43.268</v>
      </c>
      <c r="H1030" t="s">
        <v>21</v>
      </c>
    </row>
    <row r="1031" spans="1:10" x14ac:dyDescent="0.25">
      <c r="A1031" s="1">
        <v>200</v>
      </c>
      <c r="B1031" t="s">
        <v>25</v>
      </c>
      <c r="C1031">
        <v>635</v>
      </c>
      <c r="D1031">
        <v>1</v>
      </c>
      <c r="E1031" t="s">
        <v>27</v>
      </c>
      <c r="F1031" t="s">
        <v>28</v>
      </c>
      <c r="G1031" t="str">
        <f>"2025-07-10 04:03:52.368"</f>
        <v>2025-07-10 04:03:52.368</v>
      </c>
      <c r="H1031" t="s">
        <v>21</v>
      </c>
      <c r="I1031">
        <v>1.03</v>
      </c>
      <c r="J1031" t="s">
        <v>29</v>
      </c>
    </row>
    <row r="1032" spans="1:10" x14ac:dyDescent="0.25">
      <c r="A1032" s="1">
        <v>201</v>
      </c>
      <c r="B1032" t="s">
        <v>19</v>
      </c>
      <c r="C1032">
        <v>706</v>
      </c>
      <c r="D1032">
        <v>2</v>
      </c>
      <c r="E1032" t="s">
        <v>30</v>
      </c>
      <c r="F1032" t="s">
        <v>31</v>
      </c>
      <c r="G1032" t="str">
        <f>"2025-07-09 13:50:00.725"</f>
        <v>2025-07-09 13:50:00.725</v>
      </c>
      <c r="H1032" t="s">
        <v>21</v>
      </c>
      <c r="I1032">
        <v>0</v>
      </c>
      <c r="J1032" t="s">
        <v>32</v>
      </c>
    </row>
    <row r="1033" spans="1:10" x14ac:dyDescent="0.25">
      <c r="A1033" s="1">
        <v>202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"2025-07-09 13:49:12.785"</f>
        <v>2025-07-09 13:49:12.785</v>
      </c>
      <c r="H1033" t="s">
        <v>21</v>
      </c>
      <c r="I1033">
        <v>0</v>
      </c>
      <c r="J1033" t="s">
        <v>33</v>
      </c>
    </row>
    <row r="1034" spans="1:10" x14ac:dyDescent="0.25">
      <c r="A1034" s="1">
        <v>203</v>
      </c>
      <c r="B1034" t="s">
        <v>19</v>
      </c>
      <c r="C1034">
        <v>706</v>
      </c>
      <c r="D1034">
        <v>4</v>
      </c>
      <c r="E1034" t="s">
        <v>30</v>
      </c>
      <c r="F1034" t="s">
        <v>34</v>
      </c>
      <c r="G1034" t="str">
        <f>"2025-07-09 13:46:34.076"</f>
        <v>2025-07-09 13:46:34.076</v>
      </c>
      <c r="H1034" t="s">
        <v>21</v>
      </c>
      <c r="I1034">
        <v>0</v>
      </c>
      <c r="J1034" t="s">
        <v>32</v>
      </c>
    </row>
    <row r="1035" spans="1:10" x14ac:dyDescent="0.25">
      <c r="A1035" s="1">
        <v>204</v>
      </c>
      <c r="B1035" t="s">
        <v>19</v>
      </c>
      <c r="C1035">
        <v>706</v>
      </c>
      <c r="D1035">
        <v>4</v>
      </c>
      <c r="E1035" t="s">
        <v>30</v>
      </c>
      <c r="F1035" t="s">
        <v>34</v>
      </c>
      <c r="G1035" t="str">
        <f>"2025-07-09 13:45:58.266"</f>
        <v>2025-07-09 13:45:58.266</v>
      </c>
      <c r="H1035" t="s">
        <v>21</v>
      </c>
      <c r="I1035">
        <v>0</v>
      </c>
      <c r="J1035" t="s">
        <v>32</v>
      </c>
    </row>
    <row r="1036" spans="1:10" x14ac:dyDescent="0.25">
      <c r="A1036" s="1">
        <v>205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"2025-07-09 13:44:27.776"</f>
        <v>2025-07-09 13:44:27.776</v>
      </c>
      <c r="H1036" t="s">
        <v>21</v>
      </c>
    </row>
    <row r="1037" spans="1:10" x14ac:dyDescent="0.25">
      <c r="A1037" s="1">
        <v>206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"2025-07-09 00:15:20.797"</f>
        <v>2025-07-09 00:15:20.797</v>
      </c>
      <c r="H1037" t="s">
        <v>21</v>
      </c>
      <c r="I1037">
        <v>0</v>
      </c>
      <c r="J1037" t="s">
        <v>33</v>
      </c>
    </row>
    <row r="1038" spans="1:10" x14ac:dyDescent="0.25">
      <c r="A1038" s="1">
        <v>207</v>
      </c>
      <c r="B1038" t="s">
        <v>22</v>
      </c>
      <c r="C1038">
        <v>630</v>
      </c>
      <c r="D1038">
        <v>5</v>
      </c>
      <c r="E1038" t="s">
        <v>66</v>
      </c>
      <c r="F1038" t="s">
        <v>67</v>
      </c>
      <c r="G1038" t="str">
        <f>"2025-07-08 23:52:42.740"</f>
        <v>2025-07-08 23:52:42.740</v>
      </c>
      <c r="H1038" t="s">
        <v>68</v>
      </c>
    </row>
    <row r="1039" spans="1:10" x14ac:dyDescent="0.25">
      <c r="A1039" s="1">
        <v>208</v>
      </c>
      <c r="B1039" t="s">
        <v>19</v>
      </c>
      <c r="C1039">
        <v>706</v>
      </c>
      <c r="D1039">
        <v>2</v>
      </c>
      <c r="E1039" t="s">
        <v>30</v>
      </c>
      <c r="F1039" t="s">
        <v>31</v>
      </c>
      <c r="G1039" t="str">
        <f>"2025-07-08 23:52:12.623"</f>
        <v>2025-07-08 23:52:12.623</v>
      </c>
      <c r="H1039" t="s">
        <v>21</v>
      </c>
      <c r="I1039">
        <v>0</v>
      </c>
      <c r="J1039" t="s">
        <v>32</v>
      </c>
    </row>
    <row r="1040" spans="1:10" x14ac:dyDescent="0.25">
      <c r="A1040" s="1">
        <v>209</v>
      </c>
      <c r="B1040" t="s">
        <v>40</v>
      </c>
      <c r="C1040">
        <v>630</v>
      </c>
      <c r="D1040">
        <v>5</v>
      </c>
      <c r="E1040" t="s">
        <v>66</v>
      </c>
      <c r="F1040" t="s">
        <v>67</v>
      </c>
      <c r="G1040" t="str">
        <f>"2025-07-08 22:45:38.540"</f>
        <v>2025-07-08 22:45:38.540</v>
      </c>
      <c r="H1040" t="s">
        <v>68</v>
      </c>
      <c r="I1040">
        <v>0</v>
      </c>
      <c r="J1040" t="s">
        <v>32</v>
      </c>
    </row>
    <row r="1041" spans="1:10" x14ac:dyDescent="0.25">
      <c r="A1041" s="1">
        <v>210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"2025-07-08 22:40:35.783"</f>
        <v>2025-07-08 22:40:35.783</v>
      </c>
      <c r="H1041" t="s">
        <v>21</v>
      </c>
      <c r="I1041">
        <v>0</v>
      </c>
      <c r="J1041" t="s">
        <v>33</v>
      </c>
    </row>
    <row r="1042" spans="1:10" x14ac:dyDescent="0.25">
      <c r="A1042" s="1">
        <v>211</v>
      </c>
      <c r="B1042" t="s">
        <v>40</v>
      </c>
      <c r="C1042">
        <v>630</v>
      </c>
      <c r="D1042">
        <v>5</v>
      </c>
      <c r="E1042" t="s">
        <v>66</v>
      </c>
      <c r="F1042" t="s">
        <v>67</v>
      </c>
      <c r="G1042" t="str">
        <f>"2025-07-08 21:07:29.756"</f>
        <v>2025-07-08 21:07:29.756</v>
      </c>
      <c r="H1042" t="s">
        <v>68</v>
      </c>
      <c r="I1042">
        <v>0</v>
      </c>
      <c r="J1042" t="s">
        <v>32</v>
      </c>
    </row>
    <row r="1043" spans="1:10" x14ac:dyDescent="0.25">
      <c r="A1043" s="1">
        <v>212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"2025-07-08 21:02:27.079"</f>
        <v>2025-07-08 21:02:27.079</v>
      </c>
      <c r="H1043" t="s">
        <v>21</v>
      </c>
    </row>
    <row r="1044" spans="1:10" x14ac:dyDescent="0.25">
      <c r="A1044" s="1">
        <v>213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"2025-07-08 09:19:24.805"</f>
        <v>2025-07-08 09:19:24.805</v>
      </c>
      <c r="H1044" t="s">
        <v>21</v>
      </c>
    </row>
    <row r="1045" spans="1:10" x14ac:dyDescent="0.25">
      <c r="A1045" s="1">
        <v>214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"2025-07-07 13:35:55.784"</f>
        <v>2025-07-07 13:35:55.784</v>
      </c>
      <c r="H1045" t="s">
        <v>21</v>
      </c>
    </row>
    <row r="1046" spans="1:10" x14ac:dyDescent="0.25">
      <c r="A1046" s="1">
        <v>215</v>
      </c>
      <c r="B1046" t="s">
        <v>22</v>
      </c>
      <c r="C1046">
        <v>635</v>
      </c>
      <c r="D1046">
        <v>1</v>
      </c>
      <c r="E1046" t="s">
        <v>27</v>
      </c>
      <c r="F1046" t="s">
        <v>28</v>
      </c>
      <c r="G1046" t="str">
        <f>"2025-07-06 15:27:19.230"</f>
        <v>2025-07-06 15:27:19.230</v>
      </c>
      <c r="H1046" t="s">
        <v>21</v>
      </c>
    </row>
    <row r="1047" spans="1:10" x14ac:dyDescent="0.25">
      <c r="A1047" s="1">
        <v>216</v>
      </c>
      <c r="B1047" t="s">
        <v>25</v>
      </c>
      <c r="C1047">
        <v>635</v>
      </c>
      <c r="D1047">
        <v>1</v>
      </c>
      <c r="E1047" t="s">
        <v>27</v>
      </c>
      <c r="F1047" t="s">
        <v>28</v>
      </c>
      <c r="G1047" t="str">
        <f>"2025-07-06 15:23:36.330"</f>
        <v>2025-07-06 15:23:36.330</v>
      </c>
      <c r="H1047" t="s">
        <v>21</v>
      </c>
      <c r="I1047">
        <v>3.07</v>
      </c>
      <c r="J1047" t="s">
        <v>29</v>
      </c>
    </row>
    <row r="1048" spans="1:10" x14ac:dyDescent="0.25">
      <c r="A1048" s="1">
        <v>217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"2025-07-06 13:45:42.778"</f>
        <v>2025-07-06 13:45:42.778</v>
      </c>
      <c r="H1048" t="s">
        <v>21</v>
      </c>
    </row>
    <row r="1049" spans="1:10" x14ac:dyDescent="0.25">
      <c r="A1049" s="1">
        <v>218</v>
      </c>
      <c r="B1049" t="s">
        <v>22</v>
      </c>
      <c r="C1049">
        <v>635</v>
      </c>
      <c r="D1049">
        <v>1</v>
      </c>
      <c r="E1049" t="s">
        <v>27</v>
      </c>
      <c r="F1049" t="s">
        <v>28</v>
      </c>
      <c r="G1049" t="str">
        <f>"2025-07-06 09:43:45.413"</f>
        <v>2025-07-06 09:43:45.413</v>
      </c>
      <c r="H1049" t="s">
        <v>21</v>
      </c>
    </row>
    <row r="1050" spans="1:10" x14ac:dyDescent="0.25">
      <c r="A1050" s="1">
        <v>219</v>
      </c>
      <c r="B1050" t="s">
        <v>25</v>
      </c>
      <c r="C1050">
        <v>635</v>
      </c>
      <c r="D1050">
        <v>1</v>
      </c>
      <c r="E1050" t="s">
        <v>27</v>
      </c>
      <c r="F1050" t="s">
        <v>28</v>
      </c>
      <c r="G1050" t="str">
        <f>"2025-07-06 09:37:55.413"</f>
        <v>2025-07-06 09:37:55.413</v>
      </c>
      <c r="H1050" t="s">
        <v>21</v>
      </c>
      <c r="I1050">
        <v>3.63</v>
      </c>
      <c r="J1050" t="s">
        <v>35</v>
      </c>
    </row>
    <row r="1051" spans="1:10" x14ac:dyDescent="0.25">
      <c r="A1051" s="1">
        <v>220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"2025-07-04 21:23:54.779"</f>
        <v>2025-07-04 21:23:54.779</v>
      </c>
      <c r="H1051" t="s">
        <v>21</v>
      </c>
      <c r="I1051">
        <v>0</v>
      </c>
      <c r="J1051" t="s">
        <v>33</v>
      </c>
    </row>
    <row r="1052" spans="1:10" x14ac:dyDescent="0.25">
      <c r="A1052" s="1">
        <v>221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"2025-07-04 13:01:56.774"</f>
        <v>2025-07-04 13:01:56.774</v>
      </c>
      <c r="H1052" t="s">
        <v>21</v>
      </c>
      <c r="I1052">
        <v>0</v>
      </c>
      <c r="J1052" t="s">
        <v>33</v>
      </c>
    </row>
    <row r="1053" spans="1:10" x14ac:dyDescent="0.25">
      <c r="A1053" s="1">
        <v>222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"2025-07-04 11:40:11.800"</f>
        <v>2025-07-04 11:40:11.800</v>
      </c>
      <c r="H1053" t="s">
        <v>21</v>
      </c>
    </row>
    <row r="1054" spans="1:10" x14ac:dyDescent="0.25">
      <c r="A1054" s="1">
        <v>223</v>
      </c>
      <c r="B1054" t="s">
        <v>22</v>
      </c>
      <c r="C1054">
        <v>635</v>
      </c>
      <c r="D1054">
        <v>1</v>
      </c>
      <c r="E1054" t="s">
        <v>27</v>
      </c>
      <c r="F1054" t="s">
        <v>28</v>
      </c>
      <c r="G1054" t="str">
        <f>"2025-07-04 10:25:13.810"</f>
        <v>2025-07-04 10:25:13.810</v>
      </c>
      <c r="H1054" t="s">
        <v>21</v>
      </c>
    </row>
    <row r="1055" spans="1:10" x14ac:dyDescent="0.25">
      <c r="A1055" s="1">
        <v>224</v>
      </c>
      <c r="B1055" t="s">
        <v>25</v>
      </c>
      <c r="C1055">
        <v>635</v>
      </c>
      <c r="D1055">
        <v>1</v>
      </c>
      <c r="E1055" t="s">
        <v>27</v>
      </c>
      <c r="F1055" t="s">
        <v>28</v>
      </c>
      <c r="G1055" t="str">
        <f>"2025-07-04 10:21:30.310"</f>
        <v>2025-07-04 10:21:30.310</v>
      </c>
      <c r="H1055" t="s">
        <v>21</v>
      </c>
      <c r="I1055">
        <v>2.5299999999999998</v>
      </c>
      <c r="J1055" t="s">
        <v>29</v>
      </c>
    </row>
    <row r="1056" spans="1:10" x14ac:dyDescent="0.25">
      <c r="A1056" s="1">
        <v>225</v>
      </c>
      <c r="B1056" t="s">
        <v>22</v>
      </c>
      <c r="C1056">
        <v>635</v>
      </c>
      <c r="D1056">
        <v>1</v>
      </c>
      <c r="E1056" t="s">
        <v>27</v>
      </c>
      <c r="F1056" t="s">
        <v>28</v>
      </c>
      <c r="G1056" t="str">
        <f>"2025-07-03 21:16:34.310"</f>
        <v>2025-07-03 21:16:34.310</v>
      </c>
      <c r="H1056" t="s">
        <v>21</v>
      </c>
    </row>
    <row r="1057" spans="1:10" x14ac:dyDescent="0.25">
      <c r="A1057" s="1">
        <v>226</v>
      </c>
      <c r="B1057" t="s">
        <v>25</v>
      </c>
      <c r="C1057">
        <v>635</v>
      </c>
      <c r="D1057">
        <v>1</v>
      </c>
      <c r="E1057" t="s">
        <v>27</v>
      </c>
      <c r="F1057" t="s">
        <v>28</v>
      </c>
      <c r="G1057" t="str">
        <f>"2025-07-03 21:13:33.310"</f>
        <v>2025-07-03 21:13:33.310</v>
      </c>
      <c r="H1057" t="s">
        <v>21</v>
      </c>
      <c r="I1057">
        <v>7.42</v>
      </c>
      <c r="J1057" t="s">
        <v>29</v>
      </c>
    </row>
    <row r="1058" spans="1:10" x14ac:dyDescent="0.25">
      <c r="A1058" s="1">
        <v>228</v>
      </c>
      <c r="B1058" t="s">
        <v>19</v>
      </c>
      <c r="C1058">
        <v>706</v>
      </c>
      <c r="D1058">
        <v>4</v>
      </c>
      <c r="E1058" t="s">
        <v>30</v>
      </c>
      <c r="F1058" t="s">
        <v>34</v>
      </c>
      <c r="G1058" t="str">
        <f>"2025-07-01 14:12:52.258"</f>
        <v>2025-07-01 14:12:52.258</v>
      </c>
      <c r="H1058" t="s">
        <v>21</v>
      </c>
      <c r="I1058">
        <v>0</v>
      </c>
      <c r="J1058" t="s">
        <v>32</v>
      </c>
    </row>
    <row r="1059" spans="1:10" x14ac:dyDescent="0.25">
      <c r="A1059" s="1">
        <v>229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"2025-07-01 14:12:11.768"</f>
        <v>2025-07-01 14:12:11.768</v>
      </c>
      <c r="H1059" t="s">
        <v>21</v>
      </c>
      <c r="I1059">
        <v>0</v>
      </c>
      <c r="J1059" t="s">
        <v>33</v>
      </c>
    </row>
    <row r="1060" spans="1:10" x14ac:dyDescent="0.25">
      <c r="A1060" s="1">
        <v>230</v>
      </c>
      <c r="B1060" t="s">
        <v>22</v>
      </c>
      <c r="C1060">
        <v>635</v>
      </c>
      <c r="D1060">
        <v>1</v>
      </c>
      <c r="E1060" t="s">
        <v>27</v>
      </c>
      <c r="F1060" t="s">
        <v>28</v>
      </c>
      <c r="G1060" t="str">
        <f>"2025-06-30 17:00:10.738"</f>
        <v>2025-06-30 17:00:10.738</v>
      </c>
      <c r="H1060" t="s">
        <v>21</v>
      </c>
    </row>
    <row r="1061" spans="1:10" x14ac:dyDescent="0.25">
      <c r="A1061" s="1">
        <v>231</v>
      </c>
      <c r="B1061" t="s">
        <v>25</v>
      </c>
      <c r="C1061">
        <v>635</v>
      </c>
      <c r="D1061">
        <v>1</v>
      </c>
      <c r="E1061" t="s">
        <v>27</v>
      </c>
      <c r="F1061" t="s">
        <v>28</v>
      </c>
      <c r="G1061" t="str">
        <f>"2025-06-30 16:54:01.738"</f>
        <v>2025-06-30 16:54:01.738</v>
      </c>
      <c r="H1061" t="s">
        <v>21</v>
      </c>
      <c r="I1061">
        <v>2.04</v>
      </c>
      <c r="J1061" t="s">
        <v>29</v>
      </c>
    </row>
    <row r="1062" spans="1:10" x14ac:dyDescent="0.25">
      <c r="A1062" s="1">
        <v>232</v>
      </c>
      <c r="B1062" t="s">
        <v>22</v>
      </c>
      <c r="C1062">
        <v>635</v>
      </c>
      <c r="D1062">
        <v>1</v>
      </c>
      <c r="E1062" t="s">
        <v>27</v>
      </c>
      <c r="F1062" t="s">
        <v>28</v>
      </c>
      <c r="G1062" t="str">
        <f>"2025-06-30 06:29:48.837"</f>
        <v>2025-06-30 06:29:48.837</v>
      </c>
      <c r="H1062" t="s">
        <v>21</v>
      </c>
    </row>
    <row r="1063" spans="1:10" x14ac:dyDescent="0.25">
      <c r="A1063" s="1">
        <v>233</v>
      </c>
      <c r="B1063" t="s">
        <v>25</v>
      </c>
      <c r="C1063">
        <v>635</v>
      </c>
      <c r="D1063">
        <v>1</v>
      </c>
      <c r="E1063" t="s">
        <v>27</v>
      </c>
      <c r="F1063" t="s">
        <v>28</v>
      </c>
      <c r="G1063" t="str">
        <f>"2025-06-30 06:16:17.838"</f>
        <v>2025-06-30 06:16:17.838</v>
      </c>
      <c r="H1063" t="s">
        <v>21</v>
      </c>
      <c r="I1063">
        <v>8.31</v>
      </c>
      <c r="J1063" t="s">
        <v>29</v>
      </c>
    </row>
    <row r="1064" spans="1:10" x14ac:dyDescent="0.25">
      <c r="A1064" s="1">
        <v>234</v>
      </c>
      <c r="B1064" t="s">
        <v>22</v>
      </c>
      <c r="C1064">
        <v>635</v>
      </c>
      <c r="D1064">
        <v>1</v>
      </c>
      <c r="E1064" t="s">
        <v>27</v>
      </c>
      <c r="F1064" t="s">
        <v>28</v>
      </c>
      <c r="G1064" t="str">
        <f>"2025-06-30 06:10:41.938"</f>
        <v>2025-06-30 06:10:41.938</v>
      </c>
      <c r="H1064" t="s">
        <v>21</v>
      </c>
    </row>
    <row r="1065" spans="1:10" x14ac:dyDescent="0.25">
      <c r="A1065" s="1">
        <v>235</v>
      </c>
      <c r="B1065" t="s">
        <v>25</v>
      </c>
      <c r="C1065">
        <v>635</v>
      </c>
      <c r="D1065">
        <v>1</v>
      </c>
      <c r="E1065" t="s">
        <v>27</v>
      </c>
      <c r="F1065" t="s">
        <v>28</v>
      </c>
      <c r="G1065" t="str">
        <f>"2025-06-30 06:07:07.437"</f>
        <v>2025-06-30 06:07:07.437</v>
      </c>
      <c r="H1065" t="s">
        <v>21</v>
      </c>
      <c r="I1065">
        <v>3.09</v>
      </c>
      <c r="J1065" t="s">
        <v>29</v>
      </c>
    </row>
    <row r="1066" spans="1:10" x14ac:dyDescent="0.25">
      <c r="A1066" s="1">
        <v>236</v>
      </c>
      <c r="B1066" t="s">
        <v>22</v>
      </c>
      <c r="C1066">
        <v>635</v>
      </c>
      <c r="D1066">
        <v>1</v>
      </c>
      <c r="E1066" t="s">
        <v>27</v>
      </c>
      <c r="F1066" t="s">
        <v>28</v>
      </c>
      <c r="G1066" t="str">
        <f>"2025-06-30 05:38:33.438"</f>
        <v>2025-06-30 05:38:33.438</v>
      </c>
      <c r="H1066" t="s">
        <v>21</v>
      </c>
    </row>
    <row r="1067" spans="1:10" x14ac:dyDescent="0.25">
      <c r="A1067" s="1">
        <v>237</v>
      </c>
      <c r="B1067" t="s">
        <v>25</v>
      </c>
      <c r="C1067">
        <v>635</v>
      </c>
      <c r="D1067">
        <v>1</v>
      </c>
      <c r="E1067" t="s">
        <v>27</v>
      </c>
      <c r="F1067" t="s">
        <v>28</v>
      </c>
      <c r="G1067" t="str">
        <f>"2025-06-30 05:28:00.938"</f>
        <v>2025-06-30 05:28:00.938</v>
      </c>
      <c r="H1067" t="s">
        <v>21</v>
      </c>
      <c r="I1067">
        <v>8.1999999999999993</v>
      </c>
      <c r="J1067" t="s">
        <v>29</v>
      </c>
    </row>
    <row r="1068" spans="1:10" x14ac:dyDescent="0.25">
      <c r="A1068" s="1">
        <v>238</v>
      </c>
      <c r="B1068" t="s">
        <v>22</v>
      </c>
      <c r="C1068">
        <v>635</v>
      </c>
      <c r="D1068">
        <v>1</v>
      </c>
      <c r="E1068" t="s">
        <v>27</v>
      </c>
      <c r="F1068" t="s">
        <v>28</v>
      </c>
      <c r="G1068" t="str">
        <f>"2025-06-30 04:55:33.037"</f>
        <v>2025-06-30 04:55:33.037</v>
      </c>
      <c r="H1068" t="s">
        <v>21</v>
      </c>
    </row>
    <row r="1069" spans="1:10" x14ac:dyDescent="0.25">
      <c r="A1069" s="1">
        <v>239</v>
      </c>
      <c r="B1069" t="s">
        <v>25</v>
      </c>
      <c r="C1069">
        <v>635</v>
      </c>
      <c r="D1069">
        <v>1</v>
      </c>
      <c r="E1069" t="s">
        <v>27</v>
      </c>
      <c r="F1069" t="s">
        <v>28</v>
      </c>
      <c r="G1069" t="str">
        <f>"2025-06-30 04:53:12.037"</f>
        <v>2025-06-30 04:53:12.037</v>
      </c>
      <c r="H1069" t="s">
        <v>21</v>
      </c>
      <c r="I1069">
        <v>5.3</v>
      </c>
      <c r="J1069" t="s">
        <v>29</v>
      </c>
    </row>
    <row r="1070" spans="1:10" x14ac:dyDescent="0.25">
      <c r="A1070" s="1">
        <v>240</v>
      </c>
      <c r="B1070" t="s">
        <v>22</v>
      </c>
      <c r="C1070">
        <v>635</v>
      </c>
      <c r="D1070">
        <v>1</v>
      </c>
      <c r="E1070" t="s">
        <v>27</v>
      </c>
      <c r="F1070" t="s">
        <v>28</v>
      </c>
      <c r="G1070" t="str">
        <f>"2025-06-29 14:58:47.037"</f>
        <v>2025-06-29 14:58:47.037</v>
      </c>
      <c r="H1070" t="s">
        <v>21</v>
      </c>
    </row>
    <row r="1071" spans="1:10" x14ac:dyDescent="0.25">
      <c r="A1071" s="1">
        <v>241</v>
      </c>
      <c r="B1071" t="s">
        <v>25</v>
      </c>
      <c r="C1071">
        <v>635</v>
      </c>
      <c r="D1071">
        <v>1</v>
      </c>
      <c r="E1071" t="s">
        <v>27</v>
      </c>
      <c r="F1071" t="s">
        <v>28</v>
      </c>
      <c r="G1071" t="str">
        <f>"2025-06-29 14:56:03.637"</f>
        <v>2025-06-29 14:56:03.637</v>
      </c>
      <c r="H1071" t="s">
        <v>21</v>
      </c>
      <c r="I1071">
        <v>1.57</v>
      </c>
      <c r="J1071" t="s">
        <v>29</v>
      </c>
    </row>
    <row r="1072" spans="1:10" x14ac:dyDescent="0.25">
      <c r="A1072" s="1">
        <v>242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"2025-06-28 13:35:21.763"</f>
        <v>2025-06-28 13:35:21.763</v>
      </c>
      <c r="H1072" t="s">
        <v>21</v>
      </c>
      <c r="I1072">
        <v>0</v>
      </c>
      <c r="J1072" t="s">
        <v>33</v>
      </c>
    </row>
    <row r="1073" spans="1:10" x14ac:dyDescent="0.25">
      <c r="A1073" s="1">
        <v>243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"2025-06-28 12:50:25.792"</f>
        <v>2025-06-28 12:50:25.792</v>
      </c>
      <c r="H1073" t="s">
        <v>21</v>
      </c>
    </row>
    <row r="1074" spans="1:10" x14ac:dyDescent="0.25">
      <c r="A1074" s="1">
        <v>244</v>
      </c>
      <c r="B1074" t="s">
        <v>19</v>
      </c>
      <c r="C1074">
        <v>706</v>
      </c>
      <c r="D1074">
        <v>4</v>
      </c>
      <c r="E1074" t="s">
        <v>30</v>
      </c>
      <c r="F1074" t="s">
        <v>34</v>
      </c>
      <c r="G1074" t="str">
        <f>"2025-06-28 00:05:34.259"</f>
        <v>2025-06-28 00:05:34.259</v>
      </c>
      <c r="H1074" t="s">
        <v>21</v>
      </c>
      <c r="I1074">
        <v>0</v>
      </c>
      <c r="J1074" t="s">
        <v>32</v>
      </c>
    </row>
    <row r="1075" spans="1:10" x14ac:dyDescent="0.25">
      <c r="A1075" s="1">
        <v>245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"2025-06-28 00:05:03.759"</f>
        <v>2025-06-28 00:05:03.759</v>
      </c>
      <c r="H1075" t="s">
        <v>21</v>
      </c>
      <c r="I1075">
        <v>0</v>
      </c>
      <c r="J1075" t="s">
        <v>33</v>
      </c>
    </row>
    <row r="1076" spans="1:10" x14ac:dyDescent="0.25">
      <c r="A1076" s="1">
        <v>246</v>
      </c>
      <c r="B1076" t="s">
        <v>19</v>
      </c>
      <c r="C1076">
        <v>706</v>
      </c>
      <c r="D1076">
        <v>3</v>
      </c>
      <c r="E1076" t="s">
        <v>30</v>
      </c>
      <c r="F1076" t="s">
        <v>36</v>
      </c>
      <c r="G1076" t="str">
        <f>"2025-06-28 00:03:08.949"</f>
        <v>2025-06-28 00:03:08.949</v>
      </c>
      <c r="H1076" t="s">
        <v>21</v>
      </c>
      <c r="I1076">
        <v>0</v>
      </c>
      <c r="J1076" t="s">
        <v>32</v>
      </c>
    </row>
    <row r="1077" spans="1:10" x14ac:dyDescent="0.25">
      <c r="A1077" s="1">
        <v>247</v>
      </c>
      <c r="B1077" t="s">
        <v>40</v>
      </c>
      <c r="C1077">
        <v>630</v>
      </c>
      <c r="D1077">
        <v>5</v>
      </c>
      <c r="E1077" t="s">
        <v>66</v>
      </c>
      <c r="F1077" t="s">
        <v>67</v>
      </c>
      <c r="G1077" t="str">
        <f>"2025-06-27 23:11:15.390"</f>
        <v>2025-06-27 23:11:15.390</v>
      </c>
      <c r="H1077" t="s">
        <v>68</v>
      </c>
      <c r="I1077">
        <v>0</v>
      </c>
      <c r="J1077" t="s">
        <v>32</v>
      </c>
    </row>
    <row r="1078" spans="1:10" x14ac:dyDescent="0.25">
      <c r="A1078" s="1">
        <v>248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"2025-06-27 23:06:12.759"</f>
        <v>2025-06-27 23:06:12.759</v>
      </c>
      <c r="H1078" t="s">
        <v>21</v>
      </c>
    </row>
    <row r="1079" spans="1:10" x14ac:dyDescent="0.25">
      <c r="A1079" s="1">
        <v>249</v>
      </c>
      <c r="B1079" t="s">
        <v>40</v>
      </c>
      <c r="C1079">
        <v>630</v>
      </c>
      <c r="D1079">
        <v>5</v>
      </c>
      <c r="E1079" t="s">
        <v>66</v>
      </c>
      <c r="F1079" t="s">
        <v>67</v>
      </c>
      <c r="G1079" t="str">
        <f>"2025-06-27 22:49:27.405"</f>
        <v>2025-06-27 22:49:27.405</v>
      </c>
      <c r="H1079" t="s">
        <v>68</v>
      </c>
      <c r="I1079">
        <v>0</v>
      </c>
      <c r="J1079" t="s">
        <v>32</v>
      </c>
    </row>
    <row r="1080" spans="1:10" x14ac:dyDescent="0.25">
      <c r="A1080" s="1">
        <v>250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"2025-06-27 22:44:24.753"</f>
        <v>2025-06-27 22:44:24.753</v>
      </c>
      <c r="H1080" t="s">
        <v>21</v>
      </c>
    </row>
    <row r="1081" spans="1:10" x14ac:dyDescent="0.25">
      <c r="A1081" s="1">
        <v>251</v>
      </c>
      <c r="B1081" t="s">
        <v>40</v>
      </c>
      <c r="C1081">
        <v>630</v>
      </c>
      <c r="D1081">
        <v>5</v>
      </c>
      <c r="E1081" t="s">
        <v>66</v>
      </c>
      <c r="F1081" t="s">
        <v>67</v>
      </c>
      <c r="G1081" t="str">
        <f>"2025-06-27 22:23:12.478"</f>
        <v>2025-06-27 22:23:12.478</v>
      </c>
      <c r="H1081" t="s">
        <v>68</v>
      </c>
      <c r="I1081">
        <v>0</v>
      </c>
      <c r="J1081" t="s">
        <v>32</v>
      </c>
    </row>
    <row r="1082" spans="1:10" x14ac:dyDescent="0.25">
      <c r="A1082" s="1">
        <v>252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"2025-06-27 22:18:09.816"</f>
        <v>2025-06-27 22:18:09.816</v>
      </c>
      <c r="H1082" t="s">
        <v>21</v>
      </c>
    </row>
    <row r="1083" spans="1:10" x14ac:dyDescent="0.25">
      <c r="A1083" s="1">
        <v>253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"2025-06-27 13:59:23.783"</f>
        <v>2025-06-27 13:59:23.783</v>
      </c>
      <c r="H1083" t="s">
        <v>21</v>
      </c>
    </row>
    <row r="1084" spans="1:10" x14ac:dyDescent="0.25">
      <c r="A1084" s="1">
        <v>254</v>
      </c>
      <c r="B1084" t="s">
        <v>19</v>
      </c>
      <c r="C1084">
        <v>706</v>
      </c>
      <c r="D1084">
        <v>2</v>
      </c>
      <c r="E1084" t="s">
        <v>30</v>
      </c>
      <c r="F1084" t="s">
        <v>31</v>
      </c>
      <c r="G1084" t="str">
        <f>"2025-06-27 13:00:06.755"</f>
        <v>2025-06-27 13:00:06.755</v>
      </c>
      <c r="H1084" t="s">
        <v>21</v>
      </c>
      <c r="I1084">
        <v>0</v>
      </c>
      <c r="J1084" t="s">
        <v>32</v>
      </c>
    </row>
    <row r="1085" spans="1:10" x14ac:dyDescent="0.25">
      <c r="A1085" s="1">
        <v>255</v>
      </c>
      <c r="B1085" t="s">
        <v>22</v>
      </c>
      <c r="C1085">
        <v>635</v>
      </c>
      <c r="D1085">
        <v>1</v>
      </c>
      <c r="E1085" t="s">
        <v>27</v>
      </c>
      <c r="F1085" t="s">
        <v>28</v>
      </c>
      <c r="G1085" t="str">
        <f>"2025-06-26 08:50:07.508"</f>
        <v>2025-06-26 08:50:07.508</v>
      </c>
      <c r="H1085" t="s">
        <v>21</v>
      </c>
    </row>
    <row r="1086" spans="1:10" x14ac:dyDescent="0.25">
      <c r="A1086" s="1">
        <v>256</v>
      </c>
      <c r="B1086" t="s">
        <v>25</v>
      </c>
      <c r="C1086">
        <v>635</v>
      </c>
      <c r="D1086">
        <v>1</v>
      </c>
      <c r="E1086" t="s">
        <v>27</v>
      </c>
      <c r="F1086" t="s">
        <v>28</v>
      </c>
      <c r="G1086" t="str">
        <f>"2025-06-26 08:46:16.509"</f>
        <v>2025-06-26 08:46:16.509</v>
      </c>
      <c r="H1086" t="s">
        <v>21</v>
      </c>
      <c r="I1086">
        <v>2.12</v>
      </c>
      <c r="J1086" t="s">
        <v>29</v>
      </c>
    </row>
    <row r="1087" spans="1:10" x14ac:dyDescent="0.25">
      <c r="A1087" s="1">
        <v>257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"2025-06-26 08:33:39.765"</f>
        <v>2025-06-26 08:33:39.765</v>
      </c>
      <c r="H1087" t="s">
        <v>21</v>
      </c>
    </row>
    <row r="1088" spans="1:10" x14ac:dyDescent="0.25">
      <c r="A1088" s="1">
        <v>258</v>
      </c>
      <c r="B1088" t="s">
        <v>22</v>
      </c>
      <c r="C1088">
        <v>635</v>
      </c>
      <c r="D1088">
        <v>1</v>
      </c>
      <c r="E1088" t="s">
        <v>27</v>
      </c>
      <c r="F1088" t="s">
        <v>28</v>
      </c>
      <c r="G1088" t="str">
        <f>"2025-06-25 23:52:31.046"</f>
        <v>2025-06-25 23:52:31.046</v>
      </c>
      <c r="H1088" t="s">
        <v>21</v>
      </c>
    </row>
    <row r="1089" spans="1:10" x14ac:dyDescent="0.25">
      <c r="A1089" s="1">
        <v>259</v>
      </c>
      <c r="B1089" t="s">
        <v>25</v>
      </c>
      <c r="C1089">
        <v>635</v>
      </c>
      <c r="D1089">
        <v>1</v>
      </c>
      <c r="E1089" t="s">
        <v>27</v>
      </c>
      <c r="F1089" t="s">
        <v>28</v>
      </c>
      <c r="G1089" t="str">
        <f>"2025-06-25 23:49:56.546"</f>
        <v>2025-06-25 23:49:56.546</v>
      </c>
      <c r="H1089" t="s">
        <v>21</v>
      </c>
      <c r="I1089">
        <v>2.66</v>
      </c>
      <c r="J1089" t="s">
        <v>29</v>
      </c>
    </row>
    <row r="1090" spans="1:10" x14ac:dyDescent="0.25">
      <c r="A1090" s="1">
        <v>260</v>
      </c>
      <c r="B1090" t="s">
        <v>22</v>
      </c>
      <c r="C1090">
        <v>635</v>
      </c>
      <c r="D1090">
        <v>1</v>
      </c>
      <c r="E1090" t="s">
        <v>27</v>
      </c>
      <c r="F1090" t="s">
        <v>28</v>
      </c>
      <c r="G1090" t="str">
        <f>"2025-06-25 00:35:51.146"</f>
        <v>2025-06-25 00:35:51.146</v>
      </c>
      <c r="H1090" t="s">
        <v>21</v>
      </c>
    </row>
    <row r="1091" spans="1:10" x14ac:dyDescent="0.25">
      <c r="A1091" s="1">
        <v>261</v>
      </c>
      <c r="B1091" t="s">
        <v>25</v>
      </c>
      <c r="C1091">
        <v>635</v>
      </c>
      <c r="D1091">
        <v>1</v>
      </c>
      <c r="E1091" t="s">
        <v>27</v>
      </c>
      <c r="F1091" t="s">
        <v>28</v>
      </c>
      <c r="G1091" t="str">
        <f>"2025-06-25 00:24:43.146"</f>
        <v>2025-06-25 00:24:43.146</v>
      </c>
      <c r="H1091" t="s">
        <v>21</v>
      </c>
      <c r="I1091">
        <v>7.37</v>
      </c>
      <c r="J1091" t="s">
        <v>29</v>
      </c>
    </row>
    <row r="1092" spans="1:10" x14ac:dyDescent="0.25">
      <c r="A1092" s="1">
        <v>262</v>
      </c>
      <c r="B1092" t="s">
        <v>37</v>
      </c>
      <c r="C1092">
        <v>33</v>
      </c>
      <c r="D1092">
        <v>1</v>
      </c>
      <c r="E1092" t="s">
        <v>63</v>
      </c>
      <c r="F1092" t="s">
        <v>64</v>
      </c>
      <c r="G1092" t="str">
        <f>"2025-06-24 23:57:28.698"</f>
        <v>2025-06-24 23:57:28.698</v>
      </c>
      <c r="H1092" t="s">
        <v>65</v>
      </c>
    </row>
    <row r="1093" spans="1:10" x14ac:dyDescent="0.25">
      <c r="A1093" s="1">
        <v>263</v>
      </c>
      <c r="B1093" t="s">
        <v>40</v>
      </c>
      <c r="C1093">
        <v>33</v>
      </c>
      <c r="D1093">
        <v>1</v>
      </c>
      <c r="E1093" t="s">
        <v>63</v>
      </c>
      <c r="F1093" t="s">
        <v>64</v>
      </c>
      <c r="G1093" t="str">
        <f>"2025-06-24 23:57:06.298"</f>
        <v>2025-06-24 23:57:06.298</v>
      </c>
      <c r="H1093" t="s">
        <v>65</v>
      </c>
      <c r="I1093">
        <v>10</v>
      </c>
      <c r="J1093" t="s">
        <v>29</v>
      </c>
    </row>
    <row r="1094" spans="1:10" x14ac:dyDescent="0.25">
      <c r="A1094" s="1">
        <v>264</v>
      </c>
      <c r="B1094" t="s">
        <v>22</v>
      </c>
      <c r="C1094">
        <v>635</v>
      </c>
      <c r="D1094">
        <v>1</v>
      </c>
      <c r="E1094" t="s">
        <v>27</v>
      </c>
      <c r="F1094" t="s">
        <v>28</v>
      </c>
      <c r="G1094" t="str">
        <f>"2025-06-24 15:34:05.146"</f>
        <v>2025-06-24 15:34:05.146</v>
      </c>
      <c r="H1094" t="s">
        <v>21</v>
      </c>
    </row>
    <row r="1095" spans="1:10" x14ac:dyDescent="0.25">
      <c r="A1095" s="1">
        <v>265</v>
      </c>
      <c r="B1095" t="s">
        <v>25</v>
      </c>
      <c r="C1095">
        <v>635</v>
      </c>
      <c r="D1095">
        <v>1</v>
      </c>
      <c r="E1095" t="s">
        <v>27</v>
      </c>
      <c r="F1095" t="s">
        <v>28</v>
      </c>
      <c r="G1095" t="str">
        <f>"2025-06-24 15:30:09.646"</f>
        <v>2025-06-24 15:30:09.646</v>
      </c>
      <c r="H1095" t="s">
        <v>21</v>
      </c>
      <c r="I1095">
        <v>3.85</v>
      </c>
      <c r="J1095" t="s">
        <v>26</v>
      </c>
    </row>
    <row r="1096" spans="1:10" x14ac:dyDescent="0.25">
      <c r="A1096" s="1">
        <v>266</v>
      </c>
      <c r="B1096" t="s">
        <v>22</v>
      </c>
      <c r="C1096">
        <v>635</v>
      </c>
      <c r="D1096">
        <v>1</v>
      </c>
      <c r="E1096" t="s">
        <v>27</v>
      </c>
      <c r="F1096" t="s">
        <v>28</v>
      </c>
      <c r="G1096" t="str">
        <f>"2025-06-24 14:35:06.246"</f>
        <v>2025-06-24 14:35:06.246</v>
      </c>
      <c r="H1096" t="s">
        <v>21</v>
      </c>
    </row>
    <row r="1097" spans="1:10" x14ac:dyDescent="0.25">
      <c r="A1097" s="1">
        <v>267</v>
      </c>
      <c r="B1097" t="s">
        <v>25</v>
      </c>
      <c r="C1097">
        <v>635</v>
      </c>
      <c r="D1097">
        <v>1</v>
      </c>
      <c r="E1097" t="s">
        <v>27</v>
      </c>
      <c r="F1097" t="s">
        <v>28</v>
      </c>
      <c r="G1097" t="str">
        <f>"2025-06-24 14:29:50.246"</f>
        <v>2025-06-24 14:29:50.246</v>
      </c>
      <c r="H1097" t="s">
        <v>21</v>
      </c>
      <c r="I1097">
        <v>3.38</v>
      </c>
      <c r="J1097" t="s">
        <v>26</v>
      </c>
    </row>
    <row r="1098" spans="1:10" x14ac:dyDescent="0.25">
      <c r="A1098" s="1">
        <v>268</v>
      </c>
      <c r="B1098" t="s">
        <v>22</v>
      </c>
      <c r="C1098">
        <v>630</v>
      </c>
      <c r="D1098">
        <v>5</v>
      </c>
      <c r="E1098" t="s">
        <v>66</v>
      </c>
      <c r="F1098" t="s">
        <v>67</v>
      </c>
      <c r="G1098" t="str">
        <f>"2025-06-24 13:08:21.099"</f>
        <v>2025-06-24 13:08:21.099</v>
      </c>
      <c r="H1098" t="s">
        <v>68</v>
      </c>
    </row>
    <row r="1099" spans="1:10" x14ac:dyDescent="0.25">
      <c r="A1099" s="1">
        <v>269</v>
      </c>
      <c r="B1099" t="s">
        <v>19</v>
      </c>
      <c r="C1099">
        <v>706</v>
      </c>
      <c r="D1099">
        <v>2</v>
      </c>
      <c r="E1099" t="s">
        <v>30</v>
      </c>
      <c r="F1099" t="s">
        <v>31</v>
      </c>
      <c r="G1099" t="str">
        <f>"2025-06-24 13:07:51.122"</f>
        <v>2025-06-24 13:07:51.122</v>
      </c>
      <c r="H1099" t="s">
        <v>21</v>
      </c>
      <c r="I1099">
        <v>0</v>
      </c>
      <c r="J1099" t="s">
        <v>32</v>
      </c>
    </row>
    <row r="1100" spans="1:10" x14ac:dyDescent="0.25">
      <c r="A1100" s="1">
        <v>270</v>
      </c>
      <c r="B1100" t="s">
        <v>40</v>
      </c>
      <c r="C1100">
        <v>630</v>
      </c>
      <c r="D1100">
        <v>5</v>
      </c>
      <c r="E1100" t="s">
        <v>66</v>
      </c>
      <c r="F1100" t="s">
        <v>67</v>
      </c>
      <c r="G1100" t="str">
        <f>"2025-06-24 12:58:42.400"</f>
        <v>2025-06-24 12:58:42.400</v>
      </c>
      <c r="H1100" t="s">
        <v>68</v>
      </c>
      <c r="I1100">
        <v>0</v>
      </c>
      <c r="J1100" t="s">
        <v>32</v>
      </c>
    </row>
    <row r="1101" spans="1:10" x14ac:dyDescent="0.25">
      <c r="A1101" s="1">
        <v>271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"2025-06-24 12:53:39.742"</f>
        <v>2025-06-24 12:53:39.742</v>
      </c>
      <c r="H1101" t="s">
        <v>21</v>
      </c>
    </row>
    <row r="1102" spans="1:10" x14ac:dyDescent="0.25">
      <c r="A1102" s="1">
        <v>272</v>
      </c>
      <c r="B1102" t="s">
        <v>22</v>
      </c>
      <c r="C1102">
        <v>635</v>
      </c>
      <c r="D1102">
        <v>1</v>
      </c>
      <c r="E1102" t="s">
        <v>27</v>
      </c>
      <c r="F1102" t="s">
        <v>28</v>
      </c>
      <c r="G1102" t="str">
        <f>"2025-06-24 07:44:31.778"</f>
        <v>2025-06-24 07:44:31.778</v>
      </c>
      <c r="H1102" t="s">
        <v>21</v>
      </c>
    </row>
    <row r="1103" spans="1:10" x14ac:dyDescent="0.25">
      <c r="A1103" s="1">
        <v>273</v>
      </c>
      <c r="B1103" t="s">
        <v>25</v>
      </c>
      <c r="C1103">
        <v>635</v>
      </c>
      <c r="D1103">
        <v>1</v>
      </c>
      <c r="E1103" t="s">
        <v>27</v>
      </c>
      <c r="F1103" t="s">
        <v>28</v>
      </c>
      <c r="G1103" t="str">
        <f>"2025-06-24 07:38:06.378"</f>
        <v>2025-06-24 07:38:06.378</v>
      </c>
      <c r="H1103" t="s">
        <v>21</v>
      </c>
      <c r="I1103">
        <v>2.54</v>
      </c>
      <c r="J1103" t="s">
        <v>29</v>
      </c>
    </row>
    <row r="1104" spans="1:10" x14ac:dyDescent="0.25">
      <c r="A1104" s="1">
        <v>274</v>
      </c>
      <c r="B1104" t="s">
        <v>22</v>
      </c>
      <c r="C1104">
        <v>635</v>
      </c>
      <c r="D1104">
        <v>1</v>
      </c>
      <c r="E1104" t="s">
        <v>27</v>
      </c>
      <c r="F1104" t="s">
        <v>28</v>
      </c>
      <c r="G1104" t="str">
        <f>"2025-06-24 04:34:00.178"</f>
        <v>2025-06-24 04:34:00.178</v>
      </c>
      <c r="H1104" t="s">
        <v>21</v>
      </c>
    </row>
    <row r="1105" spans="1:10" x14ac:dyDescent="0.25">
      <c r="A1105" s="1">
        <v>275</v>
      </c>
      <c r="B1105" t="s">
        <v>25</v>
      </c>
      <c r="C1105">
        <v>635</v>
      </c>
      <c r="D1105">
        <v>1</v>
      </c>
      <c r="E1105" t="s">
        <v>27</v>
      </c>
      <c r="F1105" t="s">
        <v>28</v>
      </c>
      <c r="G1105" t="str">
        <f>"2025-06-24 04:31:09.177"</f>
        <v>2025-06-24 04:31:09.177</v>
      </c>
      <c r="H1105" t="s">
        <v>21</v>
      </c>
      <c r="I1105">
        <v>4.3</v>
      </c>
      <c r="J1105" t="s">
        <v>29</v>
      </c>
    </row>
    <row r="1106" spans="1:10" x14ac:dyDescent="0.25">
      <c r="A1106" s="1">
        <v>277</v>
      </c>
      <c r="B1106" t="s">
        <v>22</v>
      </c>
      <c r="C1106">
        <v>635</v>
      </c>
      <c r="D1106">
        <v>1</v>
      </c>
      <c r="E1106" t="s">
        <v>27</v>
      </c>
      <c r="F1106" t="s">
        <v>28</v>
      </c>
      <c r="G1106" t="str">
        <f>"2025-06-23 21:06:07.478"</f>
        <v>2025-06-23 21:06:07.478</v>
      </c>
      <c r="H1106" t="s">
        <v>21</v>
      </c>
    </row>
    <row r="1107" spans="1:10" x14ac:dyDescent="0.25">
      <c r="A1107" s="1">
        <v>278</v>
      </c>
      <c r="B1107" t="s">
        <v>25</v>
      </c>
      <c r="C1107">
        <v>635</v>
      </c>
      <c r="D1107">
        <v>1</v>
      </c>
      <c r="E1107" t="s">
        <v>27</v>
      </c>
      <c r="F1107" t="s">
        <v>28</v>
      </c>
      <c r="G1107" t="str">
        <f>"2025-06-23 21:03:11.978"</f>
        <v>2025-06-23 21:03:11.978</v>
      </c>
      <c r="H1107" t="s">
        <v>21</v>
      </c>
      <c r="I1107">
        <v>3.08</v>
      </c>
      <c r="J1107" t="s">
        <v>29</v>
      </c>
    </row>
    <row r="1108" spans="1:10" x14ac:dyDescent="0.25">
      <c r="A1108" s="1">
        <v>280</v>
      </c>
      <c r="B1108" t="s">
        <v>22</v>
      </c>
      <c r="C1108">
        <v>635</v>
      </c>
      <c r="D1108">
        <v>1</v>
      </c>
      <c r="E1108" t="s">
        <v>27</v>
      </c>
      <c r="F1108" t="s">
        <v>28</v>
      </c>
      <c r="G1108" t="str">
        <f>"2025-06-21 22:56:03.078"</f>
        <v>2025-06-21 22:56:03.078</v>
      </c>
      <c r="H1108" t="s">
        <v>21</v>
      </c>
    </row>
    <row r="1109" spans="1:10" x14ac:dyDescent="0.25">
      <c r="A1109" s="1">
        <v>281</v>
      </c>
      <c r="B1109" t="s">
        <v>25</v>
      </c>
      <c r="C1109">
        <v>635</v>
      </c>
      <c r="D1109">
        <v>1</v>
      </c>
      <c r="E1109" t="s">
        <v>27</v>
      </c>
      <c r="F1109" t="s">
        <v>28</v>
      </c>
      <c r="G1109" t="str">
        <f>"2025-06-21 22:52:19.178"</f>
        <v>2025-06-21 22:52:19.178</v>
      </c>
      <c r="H1109" t="s">
        <v>21</v>
      </c>
      <c r="I1109">
        <v>6.74</v>
      </c>
      <c r="J1109" t="s">
        <v>29</v>
      </c>
    </row>
    <row r="1110" spans="1:10" x14ac:dyDescent="0.25">
      <c r="A1110" s="1">
        <v>282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"2025-06-21 10:57:58.735"</f>
        <v>2025-06-21 10:57:58.735</v>
      </c>
      <c r="H1110" t="s">
        <v>21</v>
      </c>
    </row>
    <row r="1111" spans="1:10" x14ac:dyDescent="0.25">
      <c r="A1111" s="1">
        <v>284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"2025-06-21 01:38:36.776"</f>
        <v>2025-06-21 01:38:36.776</v>
      </c>
      <c r="H1111" t="s">
        <v>21</v>
      </c>
    </row>
    <row r="1112" spans="1:10" x14ac:dyDescent="0.25">
      <c r="A1112" s="1">
        <v>285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"2025-06-20 03:46:41.766"</f>
        <v>2025-06-20 03:46:41.766</v>
      </c>
      <c r="H1112" t="s">
        <v>21</v>
      </c>
      <c r="I1112">
        <v>0</v>
      </c>
      <c r="J1112" t="s">
        <v>33</v>
      </c>
    </row>
    <row r="1113" spans="1:10" x14ac:dyDescent="0.25">
      <c r="A1113" s="1">
        <v>286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"2025-06-19 12:36:35.754"</f>
        <v>2025-06-19 12:36:35.754</v>
      </c>
      <c r="H1113" t="s">
        <v>21</v>
      </c>
      <c r="I1113">
        <v>0</v>
      </c>
      <c r="J1113" t="s">
        <v>33</v>
      </c>
    </row>
    <row r="1114" spans="1:10" x14ac:dyDescent="0.25">
      <c r="A1114" s="1">
        <v>287</v>
      </c>
      <c r="B1114" t="s">
        <v>22</v>
      </c>
      <c r="C1114">
        <v>61</v>
      </c>
      <c r="D1114">
        <v>2</v>
      </c>
      <c r="E1114" t="s">
        <v>41</v>
      </c>
      <c r="F1114" t="s">
        <v>42</v>
      </c>
      <c r="G1114" t="str">
        <f>"2025-06-17 17:39:04.324"</f>
        <v>2025-06-17 17:39:04.324</v>
      </c>
      <c r="H1114" t="s">
        <v>21</v>
      </c>
    </row>
    <row r="1115" spans="1:10" x14ac:dyDescent="0.25">
      <c r="A1115" s="1">
        <v>288</v>
      </c>
      <c r="B1115" t="s">
        <v>40</v>
      </c>
      <c r="C1115">
        <v>61</v>
      </c>
      <c r="D1115">
        <v>2</v>
      </c>
      <c r="E1115" t="s">
        <v>41</v>
      </c>
      <c r="F1115" t="s">
        <v>42</v>
      </c>
      <c r="G1115" t="str">
        <f>"2025-06-17 17:38:57.625"</f>
        <v>2025-06-17 17:38:57.625</v>
      </c>
      <c r="H1115" t="s">
        <v>21</v>
      </c>
      <c r="I1115">
        <v>35.14</v>
      </c>
      <c r="J1115" t="s">
        <v>26</v>
      </c>
    </row>
    <row r="1116" spans="1:10" x14ac:dyDescent="0.25">
      <c r="A1116" s="1">
        <v>289</v>
      </c>
      <c r="B1116" t="s">
        <v>19</v>
      </c>
      <c r="C1116">
        <v>706</v>
      </c>
      <c r="D1116">
        <v>4</v>
      </c>
      <c r="E1116" t="s">
        <v>30</v>
      </c>
      <c r="F1116" t="s">
        <v>34</v>
      </c>
      <c r="G1116" t="str">
        <f>"2025-06-17 14:02:33.660"</f>
        <v>2025-06-17 14:02:33.660</v>
      </c>
      <c r="H1116" t="s">
        <v>21</v>
      </c>
      <c r="I1116">
        <v>0</v>
      </c>
      <c r="J1116" t="s">
        <v>32</v>
      </c>
    </row>
    <row r="1117" spans="1:10" x14ac:dyDescent="0.25">
      <c r="A1117" s="1">
        <v>290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"2025-06-17 14:00:09.740"</f>
        <v>2025-06-17 14:00:09.740</v>
      </c>
      <c r="H1117" t="s">
        <v>21</v>
      </c>
    </row>
    <row r="1118" spans="1:10" x14ac:dyDescent="0.25">
      <c r="A1118" s="1">
        <v>291</v>
      </c>
      <c r="B1118" t="s">
        <v>22</v>
      </c>
      <c r="C1118">
        <v>630</v>
      </c>
      <c r="D1118">
        <v>5</v>
      </c>
      <c r="E1118" t="s">
        <v>66</v>
      </c>
      <c r="F1118" t="s">
        <v>67</v>
      </c>
      <c r="G1118" t="str">
        <f>"2025-06-17 11:20:09.291"</f>
        <v>2025-06-17 11:20:09.291</v>
      </c>
      <c r="H1118" t="s">
        <v>68</v>
      </c>
    </row>
    <row r="1119" spans="1:10" x14ac:dyDescent="0.25">
      <c r="A1119" s="1">
        <v>292</v>
      </c>
      <c r="B1119" t="s">
        <v>19</v>
      </c>
      <c r="C1119">
        <v>706</v>
      </c>
      <c r="D1119">
        <v>2</v>
      </c>
      <c r="E1119" t="s">
        <v>30</v>
      </c>
      <c r="F1119" t="s">
        <v>31</v>
      </c>
      <c r="G1119" t="str">
        <f>"2025-06-17 11:19:39.109"</f>
        <v>2025-06-17 11:19:39.109</v>
      </c>
      <c r="H1119" t="s">
        <v>21</v>
      </c>
      <c r="I1119">
        <v>0</v>
      </c>
      <c r="J1119" t="s">
        <v>32</v>
      </c>
    </row>
    <row r="1120" spans="1:10" x14ac:dyDescent="0.25">
      <c r="A1120" s="1">
        <v>293</v>
      </c>
      <c r="B1120" t="s">
        <v>40</v>
      </c>
      <c r="C1120">
        <v>630</v>
      </c>
      <c r="D1120">
        <v>5</v>
      </c>
      <c r="E1120" t="s">
        <v>66</v>
      </c>
      <c r="F1120" t="s">
        <v>67</v>
      </c>
      <c r="G1120" t="str">
        <f>"2025-06-17 11:14:03.491"</f>
        <v>2025-06-17 11:14:03.491</v>
      </c>
      <c r="H1120" t="s">
        <v>68</v>
      </c>
      <c r="I1120">
        <v>0</v>
      </c>
      <c r="J1120" t="s">
        <v>32</v>
      </c>
    </row>
    <row r="1121" spans="1:10" x14ac:dyDescent="0.25">
      <c r="A1121" s="1">
        <v>294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"2025-06-17 11:09:00.729"</f>
        <v>2025-06-17 11:09:00.729</v>
      </c>
      <c r="H1121" t="s">
        <v>21</v>
      </c>
    </row>
    <row r="1122" spans="1:10" x14ac:dyDescent="0.25">
      <c r="A1122" s="1">
        <v>295</v>
      </c>
      <c r="B1122" t="s">
        <v>40</v>
      </c>
      <c r="C1122">
        <v>630</v>
      </c>
      <c r="D1122">
        <v>5</v>
      </c>
      <c r="E1122" t="s">
        <v>66</v>
      </c>
      <c r="F1122" t="s">
        <v>67</v>
      </c>
      <c r="G1122" t="str">
        <f>"2025-06-17 10:28:34.389"</f>
        <v>2025-06-17 10:28:34.389</v>
      </c>
      <c r="H1122" t="s">
        <v>68</v>
      </c>
      <c r="I1122">
        <v>0</v>
      </c>
      <c r="J1122" t="s">
        <v>32</v>
      </c>
    </row>
    <row r="1123" spans="1:10" x14ac:dyDescent="0.25">
      <c r="A1123" s="1">
        <v>296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"2025-06-17 10:23:31.734"</f>
        <v>2025-06-17 10:23:31.734</v>
      </c>
      <c r="H1123" t="s">
        <v>21</v>
      </c>
      <c r="I1123">
        <v>0</v>
      </c>
      <c r="J1123" t="s">
        <v>33</v>
      </c>
    </row>
    <row r="1124" spans="1:10" x14ac:dyDescent="0.25">
      <c r="A1124" s="1">
        <v>297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"2025-06-17 08:48:00.725"</f>
        <v>2025-06-17 08:48:00.725</v>
      </c>
      <c r="H1124" t="s">
        <v>21</v>
      </c>
      <c r="I1124">
        <v>0</v>
      </c>
      <c r="J1124" t="s">
        <v>33</v>
      </c>
    </row>
    <row r="1125" spans="1:10" x14ac:dyDescent="0.25">
      <c r="A1125" s="1">
        <v>298</v>
      </c>
      <c r="B1125" t="s">
        <v>40</v>
      </c>
      <c r="C1125">
        <v>630</v>
      </c>
      <c r="D1125">
        <v>5</v>
      </c>
      <c r="E1125" t="s">
        <v>66</v>
      </c>
      <c r="F1125" t="s">
        <v>67</v>
      </c>
      <c r="G1125" t="str">
        <f>"2025-06-17 08:24:19.456"</f>
        <v>2025-06-17 08:24:19.456</v>
      </c>
      <c r="H1125" t="s">
        <v>68</v>
      </c>
      <c r="I1125">
        <v>0</v>
      </c>
      <c r="J1125" t="s">
        <v>32</v>
      </c>
    </row>
    <row r="1126" spans="1:10" x14ac:dyDescent="0.25">
      <c r="A1126" s="1">
        <v>299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"2025-06-17 08:19:16.721"</f>
        <v>2025-06-17 08:19:16.721</v>
      </c>
      <c r="H1126" t="s">
        <v>21</v>
      </c>
    </row>
    <row r="1127" spans="1:10" x14ac:dyDescent="0.25">
      <c r="A1127" s="1">
        <v>300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"2025-06-17 08:17:10.743"</f>
        <v>2025-06-17 08:17:10.743</v>
      </c>
      <c r="H1127" t="s">
        <v>21</v>
      </c>
      <c r="I1127">
        <v>0</v>
      </c>
      <c r="J1127" t="s">
        <v>33</v>
      </c>
    </row>
    <row r="1128" spans="1:10" x14ac:dyDescent="0.25">
      <c r="A1128" s="1">
        <v>301</v>
      </c>
      <c r="B1128" t="s">
        <v>22</v>
      </c>
      <c r="C1128">
        <v>635</v>
      </c>
      <c r="D1128">
        <v>1</v>
      </c>
      <c r="E1128" t="s">
        <v>27</v>
      </c>
      <c r="F1128" t="s">
        <v>28</v>
      </c>
      <c r="G1128" t="str">
        <f>"2025-06-17 05:05:31.298"</f>
        <v>2025-06-17 05:05:31.298</v>
      </c>
      <c r="H1128" t="s">
        <v>21</v>
      </c>
    </row>
    <row r="1129" spans="1:10" x14ac:dyDescent="0.25">
      <c r="A1129" s="1">
        <v>302</v>
      </c>
      <c r="B1129" t="s">
        <v>25</v>
      </c>
      <c r="C1129">
        <v>635</v>
      </c>
      <c r="D1129">
        <v>1</v>
      </c>
      <c r="E1129" t="s">
        <v>27</v>
      </c>
      <c r="F1129" t="s">
        <v>28</v>
      </c>
      <c r="G1129" t="str">
        <f>"2025-06-17 05:02:10.298"</f>
        <v>2025-06-17 05:02:10.298</v>
      </c>
      <c r="H1129" t="s">
        <v>21</v>
      </c>
      <c r="I1129">
        <v>4.51</v>
      </c>
      <c r="J1129" t="s">
        <v>26</v>
      </c>
    </row>
    <row r="1130" spans="1:10" x14ac:dyDescent="0.25">
      <c r="A1130" s="1">
        <v>303</v>
      </c>
      <c r="B1130" t="s">
        <v>22</v>
      </c>
      <c r="C1130">
        <v>635</v>
      </c>
      <c r="D1130">
        <v>1</v>
      </c>
      <c r="E1130" t="s">
        <v>27</v>
      </c>
      <c r="F1130" t="s">
        <v>28</v>
      </c>
      <c r="G1130" t="str">
        <f>"2025-06-17 02:36:39.998"</f>
        <v>2025-06-17 02:36:39.998</v>
      </c>
      <c r="H1130" t="s">
        <v>21</v>
      </c>
    </row>
    <row r="1131" spans="1:10" x14ac:dyDescent="0.25">
      <c r="A1131" s="1">
        <v>304</v>
      </c>
      <c r="B1131" t="s">
        <v>25</v>
      </c>
      <c r="C1131">
        <v>635</v>
      </c>
      <c r="D1131">
        <v>1</v>
      </c>
      <c r="E1131" t="s">
        <v>27</v>
      </c>
      <c r="F1131" t="s">
        <v>28</v>
      </c>
      <c r="G1131" t="str">
        <f>"2025-06-17 02:33:12.498"</f>
        <v>2025-06-17 02:33:12.498</v>
      </c>
      <c r="H1131" t="s">
        <v>21</v>
      </c>
      <c r="I1131">
        <v>2.13</v>
      </c>
      <c r="J1131" t="s">
        <v>29</v>
      </c>
    </row>
    <row r="1132" spans="1:10" x14ac:dyDescent="0.25">
      <c r="A1132" s="1">
        <v>305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"2025-06-16 22:36:07.808"</f>
        <v>2025-06-16 22:36:07.808</v>
      </c>
      <c r="H1132" t="s">
        <v>21</v>
      </c>
      <c r="I1132">
        <v>0</v>
      </c>
      <c r="J1132" t="s">
        <v>33</v>
      </c>
    </row>
    <row r="1133" spans="1:10" x14ac:dyDescent="0.25">
      <c r="A1133" s="1">
        <v>306</v>
      </c>
      <c r="B1133" t="s">
        <v>22</v>
      </c>
      <c r="C1133">
        <v>61</v>
      </c>
      <c r="D1133">
        <v>2</v>
      </c>
      <c r="E1133" t="s">
        <v>41</v>
      </c>
      <c r="F1133" t="s">
        <v>42</v>
      </c>
      <c r="G1133" t="str">
        <f>"2025-06-16 14:02:31.145"</f>
        <v>2025-06-16 14:02:31.145</v>
      </c>
      <c r="H1133" t="s">
        <v>21</v>
      </c>
    </row>
    <row r="1134" spans="1:10" x14ac:dyDescent="0.25">
      <c r="A1134" s="1">
        <v>307</v>
      </c>
      <c r="B1134" t="s">
        <v>40</v>
      </c>
      <c r="C1134">
        <v>61</v>
      </c>
      <c r="D1134">
        <v>2</v>
      </c>
      <c r="E1134" t="s">
        <v>41</v>
      </c>
      <c r="F1134" t="s">
        <v>42</v>
      </c>
      <c r="G1134" t="str">
        <f>"2025-06-16 14:02:22.045"</f>
        <v>2025-06-16 14:02:22.045</v>
      </c>
      <c r="H1134" t="s">
        <v>21</v>
      </c>
      <c r="I1134">
        <v>35.619999999999997</v>
      </c>
      <c r="J1134" t="s">
        <v>26</v>
      </c>
    </row>
    <row r="1135" spans="1:10" x14ac:dyDescent="0.25">
      <c r="A1135" s="1">
        <v>308</v>
      </c>
      <c r="B1135" t="s">
        <v>22</v>
      </c>
      <c r="C1135">
        <v>61</v>
      </c>
      <c r="D1135">
        <v>2</v>
      </c>
      <c r="E1135" t="s">
        <v>41</v>
      </c>
      <c r="F1135" t="s">
        <v>42</v>
      </c>
      <c r="G1135" t="str">
        <f>"2025-06-16 13:12:38.545"</f>
        <v>2025-06-16 13:12:38.545</v>
      </c>
      <c r="H1135" t="s">
        <v>21</v>
      </c>
    </row>
    <row r="1136" spans="1:10" x14ac:dyDescent="0.25">
      <c r="A1136" s="1">
        <v>309</v>
      </c>
      <c r="B1136" t="s">
        <v>40</v>
      </c>
      <c r="C1136">
        <v>61</v>
      </c>
      <c r="D1136">
        <v>2</v>
      </c>
      <c r="E1136" t="s">
        <v>41</v>
      </c>
      <c r="F1136" t="s">
        <v>42</v>
      </c>
      <c r="G1136" t="str">
        <f>"2025-06-16 13:12:30.145"</f>
        <v>2025-06-16 13:12:30.145</v>
      </c>
      <c r="H1136" t="s">
        <v>21</v>
      </c>
      <c r="I1136">
        <v>35.520000000000003</v>
      </c>
      <c r="J1136" t="s">
        <v>26</v>
      </c>
    </row>
    <row r="1137" spans="1:10" x14ac:dyDescent="0.25">
      <c r="A1137" s="1">
        <v>310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"2025-06-15 20:30:51.749"</f>
        <v>2025-06-15 20:30:51.749</v>
      </c>
      <c r="H1137" t="s">
        <v>21</v>
      </c>
    </row>
    <row r="1138" spans="1:10" x14ac:dyDescent="0.25">
      <c r="A1138" s="1">
        <v>311</v>
      </c>
      <c r="B1138" t="s">
        <v>22</v>
      </c>
      <c r="C1138">
        <v>61</v>
      </c>
      <c r="D1138">
        <v>2</v>
      </c>
      <c r="E1138" t="s">
        <v>41</v>
      </c>
      <c r="F1138" t="s">
        <v>42</v>
      </c>
      <c r="G1138" t="str">
        <f>"2025-06-15 10:01:43.693"</f>
        <v>2025-06-15 10:01:43.693</v>
      </c>
      <c r="H1138" t="s">
        <v>21</v>
      </c>
    </row>
    <row r="1139" spans="1:10" x14ac:dyDescent="0.25">
      <c r="A1139" s="1">
        <v>312</v>
      </c>
      <c r="B1139" t="s">
        <v>40</v>
      </c>
      <c r="C1139">
        <v>61</v>
      </c>
      <c r="D1139">
        <v>2</v>
      </c>
      <c r="E1139" t="s">
        <v>41</v>
      </c>
      <c r="F1139" t="s">
        <v>42</v>
      </c>
      <c r="G1139" t="str">
        <f>"2025-06-15 10:01:35.393"</f>
        <v>2025-06-15 10:01:35.393</v>
      </c>
      <c r="H1139" t="s">
        <v>21</v>
      </c>
      <c r="I1139">
        <v>35.53</v>
      </c>
      <c r="J1139" t="s">
        <v>26</v>
      </c>
    </row>
    <row r="1140" spans="1:10" x14ac:dyDescent="0.25">
      <c r="A1140" s="1">
        <v>313</v>
      </c>
      <c r="B1140" t="s">
        <v>22</v>
      </c>
      <c r="C1140">
        <v>61</v>
      </c>
      <c r="D1140">
        <v>2</v>
      </c>
      <c r="E1140" t="s">
        <v>41</v>
      </c>
      <c r="F1140" t="s">
        <v>42</v>
      </c>
      <c r="G1140" t="str">
        <f>"2025-06-15 09:34:56.094"</f>
        <v>2025-06-15 09:34:56.094</v>
      </c>
      <c r="H1140" t="s">
        <v>21</v>
      </c>
    </row>
    <row r="1141" spans="1:10" x14ac:dyDescent="0.25">
      <c r="A1141" s="1">
        <v>314</v>
      </c>
      <c r="B1141" t="s">
        <v>40</v>
      </c>
      <c r="C1141">
        <v>61</v>
      </c>
      <c r="D1141">
        <v>2</v>
      </c>
      <c r="E1141" t="s">
        <v>41</v>
      </c>
      <c r="F1141" t="s">
        <v>42</v>
      </c>
      <c r="G1141" t="str">
        <f>"2025-06-15 09:34:48.794"</f>
        <v>2025-06-15 09:34:48.794</v>
      </c>
      <c r="H1141" t="s">
        <v>21</v>
      </c>
      <c r="I1141">
        <v>35.26</v>
      </c>
      <c r="J1141" t="s">
        <v>26</v>
      </c>
    </row>
    <row r="1142" spans="1:10" x14ac:dyDescent="0.25">
      <c r="A1142" s="1">
        <v>315</v>
      </c>
      <c r="B1142" t="s">
        <v>22</v>
      </c>
      <c r="C1142">
        <v>61</v>
      </c>
      <c r="D1142">
        <v>2</v>
      </c>
      <c r="E1142" t="s">
        <v>41</v>
      </c>
      <c r="F1142" t="s">
        <v>42</v>
      </c>
      <c r="G1142" t="str">
        <f>"2025-06-15 08:13:54.494"</f>
        <v>2025-06-15 08:13:54.494</v>
      </c>
      <c r="H1142" t="s">
        <v>21</v>
      </c>
    </row>
    <row r="1143" spans="1:10" x14ac:dyDescent="0.25">
      <c r="A1143" s="1">
        <v>316</v>
      </c>
      <c r="B1143" t="s">
        <v>40</v>
      </c>
      <c r="C1143">
        <v>61</v>
      </c>
      <c r="D1143">
        <v>2</v>
      </c>
      <c r="E1143" t="s">
        <v>41</v>
      </c>
      <c r="F1143" t="s">
        <v>42</v>
      </c>
      <c r="G1143" t="str">
        <f>"2025-06-15 08:13:47.194"</f>
        <v>2025-06-15 08:13:47.194</v>
      </c>
      <c r="H1143" t="s">
        <v>21</v>
      </c>
      <c r="I1143">
        <v>35.369999999999997</v>
      </c>
      <c r="J1143" t="s">
        <v>26</v>
      </c>
    </row>
    <row r="1144" spans="1:10" x14ac:dyDescent="0.25">
      <c r="A1144" s="1">
        <v>317</v>
      </c>
      <c r="B1144" t="s">
        <v>19</v>
      </c>
      <c r="C1144">
        <v>706</v>
      </c>
      <c r="D1144">
        <v>4</v>
      </c>
      <c r="E1144" t="s">
        <v>30</v>
      </c>
      <c r="F1144" t="s">
        <v>34</v>
      </c>
      <c r="G1144" t="str">
        <f>"2025-06-13 20:09:14.478"</f>
        <v>2025-06-13 20:09:14.478</v>
      </c>
      <c r="H1144" t="s">
        <v>21</v>
      </c>
      <c r="I1144">
        <v>0</v>
      </c>
      <c r="J1144" t="s">
        <v>32</v>
      </c>
    </row>
    <row r="1145" spans="1:10" x14ac:dyDescent="0.25">
      <c r="A1145" s="1">
        <v>318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"2025-06-13 20:08:41.728"</f>
        <v>2025-06-13 20:08:41.728</v>
      </c>
      <c r="H1145" t="s">
        <v>21</v>
      </c>
    </row>
    <row r="1146" spans="1:10" x14ac:dyDescent="0.25">
      <c r="A1146" s="1">
        <v>319</v>
      </c>
      <c r="B1146" t="s">
        <v>22</v>
      </c>
      <c r="C1146">
        <v>61</v>
      </c>
      <c r="D1146">
        <v>2</v>
      </c>
      <c r="E1146" t="s">
        <v>41</v>
      </c>
      <c r="F1146" t="s">
        <v>42</v>
      </c>
      <c r="G1146" t="str">
        <f>"2025-06-12 10:07:35.708"</f>
        <v>2025-06-12 10:07:35.708</v>
      </c>
      <c r="H1146" t="s">
        <v>21</v>
      </c>
    </row>
    <row r="1147" spans="1:10" x14ac:dyDescent="0.25">
      <c r="A1147" s="1">
        <v>320</v>
      </c>
      <c r="B1147" t="s">
        <v>40</v>
      </c>
      <c r="C1147">
        <v>61</v>
      </c>
      <c r="D1147">
        <v>2</v>
      </c>
      <c r="E1147" t="s">
        <v>41</v>
      </c>
      <c r="F1147" t="s">
        <v>42</v>
      </c>
      <c r="G1147" t="str">
        <f>"2025-06-12 10:07:25.509"</f>
        <v>2025-06-12 10:07:25.509</v>
      </c>
      <c r="H1147" t="s">
        <v>21</v>
      </c>
      <c r="I1147">
        <v>35.18</v>
      </c>
      <c r="J1147" t="s">
        <v>26</v>
      </c>
    </row>
    <row r="1148" spans="1:10" x14ac:dyDescent="0.25">
      <c r="A1148" s="1">
        <v>321</v>
      </c>
      <c r="B1148" t="s">
        <v>19</v>
      </c>
      <c r="C1148">
        <v>706</v>
      </c>
      <c r="D1148">
        <v>2</v>
      </c>
      <c r="E1148" t="s">
        <v>30</v>
      </c>
      <c r="F1148" t="s">
        <v>31</v>
      </c>
      <c r="G1148" t="str">
        <f>"2025-06-11 14:10:14.943"</f>
        <v>2025-06-11 14:10:14.943</v>
      </c>
      <c r="H1148" t="s">
        <v>21</v>
      </c>
      <c r="I1148">
        <v>0</v>
      </c>
      <c r="J1148" t="s">
        <v>32</v>
      </c>
    </row>
    <row r="1149" spans="1:10" x14ac:dyDescent="0.25">
      <c r="A1149" s="1">
        <v>322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"2025-06-11 14:09:54.723"</f>
        <v>2025-06-11 14:09:54.723</v>
      </c>
      <c r="H1149" t="s">
        <v>21</v>
      </c>
      <c r="I1149">
        <v>0</v>
      </c>
      <c r="J1149" t="s">
        <v>33</v>
      </c>
    </row>
    <row r="1150" spans="1:10" x14ac:dyDescent="0.25">
      <c r="A1150" s="1">
        <v>323</v>
      </c>
      <c r="B1150" t="s">
        <v>22</v>
      </c>
      <c r="C1150">
        <v>635</v>
      </c>
      <c r="D1150">
        <v>1</v>
      </c>
      <c r="E1150" t="s">
        <v>27</v>
      </c>
      <c r="F1150" t="s">
        <v>28</v>
      </c>
      <c r="G1150" t="str">
        <f>"2025-06-10 13:32:32.296"</f>
        <v>2025-06-10 13:32:32.296</v>
      </c>
      <c r="H1150" t="s">
        <v>21</v>
      </c>
    </row>
    <row r="1151" spans="1:10" x14ac:dyDescent="0.25">
      <c r="A1151" s="1">
        <v>324</v>
      </c>
      <c r="B1151" t="s">
        <v>25</v>
      </c>
      <c r="C1151">
        <v>635</v>
      </c>
      <c r="D1151">
        <v>1</v>
      </c>
      <c r="E1151" t="s">
        <v>27</v>
      </c>
      <c r="F1151" t="s">
        <v>28</v>
      </c>
      <c r="G1151" t="str">
        <f>"2025-06-10 13:09:59.296"</f>
        <v>2025-06-10 13:09:59.296</v>
      </c>
      <c r="H1151" t="s">
        <v>21</v>
      </c>
      <c r="I1151">
        <v>7.04</v>
      </c>
      <c r="J1151" t="s">
        <v>29</v>
      </c>
    </row>
    <row r="1152" spans="1:10" x14ac:dyDescent="0.25">
      <c r="A1152" s="1">
        <v>325</v>
      </c>
      <c r="B1152" t="s">
        <v>22</v>
      </c>
      <c r="C1152">
        <v>635</v>
      </c>
      <c r="D1152">
        <v>1</v>
      </c>
      <c r="E1152" t="s">
        <v>27</v>
      </c>
      <c r="F1152" t="s">
        <v>28</v>
      </c>
      <c r="G1152" t="str">
        <f>"2025-06-10 00:21:16.696"</f>
        <v>2025-06-10 00:21:16.696</v>
      </c>
      <c r="H1152" t="s">
        <v>21</v>
      </c>
    </row>
    <row r="1153" spans="1:10" x14ac:dyDescent="0.25">
      <c r="A1153" s="1">
        <v>326</v>
      </c>
      <c r="B1153" t="s">
        <v>25</v>
      </c>
      <c r="C1153">
        <v>635</v>
      </c>
      <c r="D1153">
        <v>1</v>
      </c>
      <c r="E1153" t="s">
        <v>27</v>
      </c>
      <c r="F1153" t="s">
        <v>28</v>
      </c>
      <c r="G1153" t="str">
        <f>"2025-06-10 00:13:37.696"</f>
        <v>2025-06-10 00:13:37.696</v>
      </c>
      <c r="H1153" t="s">
        <v>21</v>
      </c>
      <c r="I1153">
        <v>2.83</v>
      </c>
      <c r="J1153" t="s">
        <v>29</v>
      </c>
    </row>
    <row r="1154" spans="1:10" x14ac:dyDescent="0.25">
      <c r="A1154" s="1">
        <v>327</v>
      </c>
      <c r="B1154" t="s">
        <v>22</v>
      </c>
      <c r="C1154">
        <v>635</v>
      </c>
      <c r="D1154">
        <v>1</v>
      </c>
      <c r="E1154" t="s">
        <v>27</v>
      </c>
      <c r="F1154" t="s">
        <v>28</v>
      </c>
      <c r="G1154" t="str">
        <f>"2025-06-09 16:29:23.496"</f>
        <v>2025-06-09 16:29:23.496</v>
      </c>
      <c r="H1154" t="s">
        <v>21</v>
      </c>
    </row>
    <row r="1155" spans="1:10" x14ac:dyDescent="0.25">
      <c r="A1155" s="1">
        <v>328</v>
      </c>
      <c r="B1155" t="s">
        <v>25</v>
      </c>
      <c r="C1155">
        <v>635</v>
      </c>
      <c r="D1155">
        <v>1</v>
      </c>
      <c r="E1155" t="s">
        <v>27</v>
      </c>
      <c r="F1155" t="s">
        <v>28</v>
      </c>
      <c r="G1155" t="str">
        <f>"2025-06-09 16:22:23.596"</f>
        <v>2025-06-09 16:22:23.596</v>
      </c>
      <c r="H1155" t="s">
        <v>21</v>
      </c>
      <c r="I1155">
        <v>6.34</v>
      </c>
      <c r="J1155" t="s">
        <v>29</v>
      </c>
    </row>
    <row r="1156" spans="1:10" x14ac:dyDescent="0.25">
      <c r="A1156" s="1">
        <v>329</v>
      </c>
      <c r="B1156" t="s">
        <v>22</v>
      </c>
      <c r="C1156">
        <v>635</v>
      </c>
      <c r="D1156">
        <v>1</v>
      </c>
      <c r="E1156" t="s">
        <v>27</v>
      </c>
      <c r="F1156" t="s">
        <v>28</v>
      </c>
      <c r="G1156" t="str">
        <f>"2025-06-09 06:32:11.596"</f>
        <v>2025-06-09 06:32:11.596</v>
      </c>
      <c r="H1156" t="s">
        <v>21</v>
      </c>
    </row>
    <row r="1157" spans="1:10" x14ac:dyDescent="0.25">
      <c r="A1157" s="1">
        <v>330</v>
      </c>
      <c r="B1157" t="s">
        <v>25</v>
      </c>
      <c r="C1157">
        <v>635</v>
      </c>
      <c r="D1157">
        <v>1</v>
      </c>
      <c r="E1157" t="s">
        <v>27</v>
      </c>
      <c r="F1157" t="s">
        <v>28</v>
      </c>
      <c r="G1157" t="str">
        <f>"2025-06-09 06:30:06.096"</f>
        <v>2025-06-09 06:30:06.096</v>
      </c>
      <c r="H1157" t="s">
        <v>21</v>
      </c>
      <c r="I1157">
        <v>5.73</v>
      </c>
      <c r="J1157" t="s">
        <v>29</v>
      </c>
    </row>
    <row r="1158" spans="1:10" x14ac:dyDescent="0.25">
      <c r="A1158" s="1">
        <v>331</v>
      </c>
      <c r="B1158" t="s">
        <v>22</v>
      </c>
      <c r="C1158">
        <v>61</v>
      </c>
      <c r="D1158">
        <v>2</v>
      </c>
      <c r="E1158" t="s">
        <v>41</v>
      </c>
      <c r="F1158" t="s">
        <v>42</v>
      </c>
      <c r="G1158" t="str">
        <f>"2025-06-08 19:11:34.610"</f>
        <v>2025-06-08 19:11:34.610</v>
      </c>
      <c r="H1158" t="s">
        <v>21</v>
      </c>
    </row>
    <row r="1159" spans="1:10" x14ac:dyDescent="0.25">
      <c r="A1159" s="1">
        <v>332</v>
      </c>
      <c r="B1159" t="s">
        <v>40</v>
      </c>
      <c r="C1159">
        <v>61</v>
      </c>
      <c r="D1159">
        <v>2</v>
      </c>
      <c r="E1159" t="s">
        <v>41</v>
      </c>
      <c r="F1159" t="s">
        <v>42</v>
      </c>
      <c r="G1159" t="str">
        <f>"2025-06-08 19:11:28.110"</f>
        <v>2025-06-08 19:11:28.110</v>
      </c>
      <c r="H1159" t="s">
        <v>21</v>
      </c>
      <c r="I1159">
        <v>35.119999999999997</v>
      </c>
      <c r="J1159" t="s">
        <v>26</v>
      </c>
    </row>
    <row r="1160" spans="1:10" x14ac:dyDescent="0.25">
      <c r="A1160" s="1">
        <v>333</v>
      </c>
      <c r="B1160" t="s">
        <v>19</v>
      </c>
      <c r="C1160">
        <v>706</v>
      </c>
      <c r="D1160">
        <v>4</v>
      </c>
      <c r="E1160" t="s">
        <v>30</v>
      </c>
      <c r="F1160" t="s">
        <v>34</v>
      </c>
      <c r="G1160" t="str">
        <f>"2025-06-07 15:11:19.865"</f>
        <v>2025-06-07 15:11:19.865</v>
      </c>
      <c r="H1160" t="s">
        <v>21</v>
      </c>
      <c r="I1160">
        <v>0</v>
      </c>
      <c r="J1160" t="s">
        <v>32</v>
      </c>
    </row>
    <row r="1161" spans="1:10" x14ac:dyDescent="0.25">
      <c r="A1161" s="1">
        <v>334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"2025-06-07 15:10:47.725"</f>
        <v>2025-06-07 15:10:47.725</v>
      </c>
      <c r="H1161" t="s">
        <v>21</v>
      </c>
      <c r="I1161">
        <v>0</v>
      </c>
      <c r="J1161" t="s">
        <v>33</v>
      </c>
    </row>
    <row r="1162" spans="1:10" x14ac:dyDescent="0.25">
      <c r="A1162" s="1">
        <v>335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"2025-06-07 15:06:21.748"</f>
        <v>2025-06-07 15:06:21.748</v>
      </c>
      <c r="H1162" t="s">
        <v>21</v>
      </c>
    </row>
    <row r="1163" spans="1:10" x14ac:dyDescent="0.25">
      <c r="A1163" s="1">
        <v>336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"2025-06-07 05:15:24.743"</f>
        <v>2025-06-07 05:15:24.743</v>
      </c>
      <c r="H1163" t="s">
        <v>21</v>
      </c>
      <c r="I1163">
        <v>0</v>
      </c>
      <c r="J1163" t="s">
        <v>33</v>
      </c>
    </row>
    <row r="1164" spans="1:10" x14ac:dyDescent="0.25">
      <c r="A1164" s="1">
        <v>337</v>
      </c>
      <c r="B1164" t="s">
        <v>19</v>
      </c>
      <c r="C1164">
        <v>706</v>
      </c>
      <c r="D1164">
        <v>2</v>
      </c>
      <c r="E1164" t="s">
        <v>30</v>
      </c>
      <c r="F1164" t="s">
        <v>31</v>
      </c>
      <c r="G1164" t="str">
        <f>"2025-06-06 22:22:31.146"</f>
        <v>2025-06-06 22:22:31.146</v>
      </c>
      <c r="H1164" t="s">
        <v>21</v>
      </c>
      <c r="I1164">
        <v>0</v>
      </c>
      <c r="J1164" t="s">
        <v>32</v>
      </c>
    </row>
    <row r="1165" spans="1:10" x14ac:dyDescent="0.25">
      <c r="A1165" s="1">
        <v>338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"2025-06-06 22:21:44.746"</f>
        <v>2025-06-06 22:21:44.746</v>
      </c>
      <c r="H1165" t="s">
        <v>21</v>
      </c>
      <c r="I1165">
        <v>0</v>
      </c>
      <c r="J1165" t="s">
        <v>33</v>
      </c>
    </row>
    <row r="1166" spans="1:10" x14ac:dyDescent="0.25">
      <c r="A1166" s="1">
        <v>339</v>
      </c>
      <c r="B1166" t="s">
        <v>19</v>
      </c>
      <c r="C1166">
        <v>706</v>
      </c>
      <c r="D1166">
        <v>4</v>
      </c>
      <c r="E1166" t="s">
        <v>30</v>
      </c>
      <c r="F1166" t="s">
        <v>34</v>
      </c>
      <c r="G1166" t="str">
        <f>"2025-06-06 17:49:40.276"</f>
        <v>2025-06-06 17:49:40.276</v>
      </c>
      <c r="H1166" t="s">
        <v>21</v>
      </c>
      <c r="I1166">
        <v>0</v>
      </c>
      <c r="J1166" t="s">
        <v>32</v>
      </c>
    </row>
    <row r="1167" spans="1:10" x14ac:dyDescent="0.25">
      <c r="A1167" s="1">
        <v>340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"2025-06-06 17:48:54.716"</f>
        <v>2025-06-06 17:48:54.716</v>
      </c>
      <c r="H1167" t="s">
        <v>21</v>
      </c>
    </row>
    <row r="1168" spans="1:10" x14ac:dyDescent="0.25">
      <c r="A1168" s="1">
        <v>341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"2025-06-06 16:58:55.956"</f>
        <v>2025-06-06 16:58:55.956</v>
      </c>
      <c r="H1168" t="s">
        <v>21</v>
      </c>
      <c r="I1168">
        <v>0</v>
      </c>
      <c r="J1168" t="s">
        <v>33</v>
      </c>
    </row>
    <row r="1169" spans="1:10" x14ac:dyDescent="0.25">
      <c r="A1169" s="1">
        <v>342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"2025-06-06 15:39:43.710"</f>
        <v>2025-06-06 15:39:43.710</v>
      </c>
      <c r="H1169" t="s">
        <v>21</v>
      </c>
      <c r="I1169">
        <v>0</v>
      </c>
      <c r="J1169" t="s">
        <v>33</v>
      </c>
    </row>
    <row r="1170" spans="1:10" x14ac:dyDescent="0.25">
      <c r="A1170" s="1">
        <v>343</v>
      </c>
      <c r="B1170" t="s">
        <v>19</v>
      </c>
      <c r="C1170">
        <v>706</v>
      </c>
      <c r="D1170">
        <v>4</v>
      </c>
      <c r="E1170" t="s">
        <v>30</v>
      </c>
      <c r="F1170" t="s">
        <v>34</v>
      </c>
      <c r="G1170" t="str">
        <f>"2025-06-06 15:34:39.270"</f>
        <v>2025-06-06 15:34:39.270</v>
      </c>
      <c r="H1170" t="s">
        <v>21</v>
      </c>
      <c r="I1170">
        <v>0</v>
      </c>
      <c r="J1170" t="s">
        <v>32</v>
      </c>
    </row>
    <row r="1171" spans="1:10" x14ac:dyDescent="0.25">
      <c r="A1171" s="1">
        <v>344</v>
      </c>
      <c r="B1171" t="s">
        <v>22</v>
      </c>
      <c r="C1171">
        <v>61</v>
      </c>
      <c r="D1171">
        <v>2</v>
      </c>
      <c r="E1171" t="s">
        <v>41</v>
      </c>
      <c r="F1171" t="s">
        <v>42</v>
      </c>
      <c r="G1171" t="str">
        <f>"2025-06-05 09:12:17.685"</f>
        <v>2025-06-05 09:12:17.685</v>
      </c>
      <c r="H1171" t="s">
        <v>21</v>
      </c>
    </row>
    <row r="1172" spans="1:10" x14ac:dyDescent="0.25">
      <c r="A1172" s="1">
        <v>345</v>
      </c>
      <c r="B1172" t="s">
        <v>40</v>
      </c>
      <c r="C1172">
        <v>61</v>
      </c>
      <c r="D1172">
        <v>2</v>
      </c>
      <c r="E1172" t="s">
        <v>41</v>
      </c>
      <c r="F1172" t="s">
        <v>42</v>
      </c>
      <c r="G1172" t="str">
        <f>"2025-06-05 09:12:00.785"</f>
        <v>2025-06-05 09:12:00.785</v>
      </c>
      <c r="H1172" t="s">
        <v>21</v>
      </c>
      <c r="I1172">
        <v>32.18</v>
      </c>
      <c r="J1172" t="s">
        <v>26</v>
      </c>
    </row>
    <row r="1173" spans="1:10" x14ac:dyDescent="0.25">
      <c r="A1173" s="1">
        <v>346</v>
      </c>
      <c r="B1173" t="s">
        <v>22</v>
      </c>
      <c r="C1173">
        <v>635</v>
      </c>
      <c r="D1173">
        <v>1</v>
      </c>
      <c r="E1173" t="s">
        <v>27</v>
      </c>
      <c r="F1173" t="s">
        <v>28</v>
      </c>
      <c r="G1173" t="str">
        <f>"2025-06-04 20:46:15.491"</f>
        <v>2025-06-04 20:46:15.491</v>
      </c>
      <c r="H1173" t="s">
        <v>21</v>
      </c>
    </row>
    <row r="1174" spans="1:10" x14ac:dyDescent="0.25">
      <c r="A1174" s="1">
        <v>347</v>
      </c>
      <c r="B1174" t="s">
        <v>25</v>
      </c>
      <c r="C1174">
        <v>635</v>
      </c>
      <c r="D1174">
        <v>1</v>
      </c>
      <c r="E1174" t="s">
        <v>27</v>
      </c>
      <c r="F1174" t="s">
        <v>28</v>
      </c>
      <c r="G1174" t="str">
        <f>"2025-06-04 20:38:50.491"</f>
        <v>2025-06-04 20:38:50.491</v>
      </c>
      <c r="H1174" t="s">
        <v>21</v>
      </c>
      <c r="I1174">
        <v>2.83</v>
      </c>
      <c r="J1174" t="s">
        <v>29</v>
      </c>
    </row>
    <row r="1175" spans="1:10" x14ac:dyDescent="0.25">
      <c r="A1175" s="1">
        <v>348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"2025-06-04 20:24:57.710"</f>
        <v>2025-06-04 20:24:57.710</v>
      </c>
      <c r="H1175" t="s">
        <v>21</v>
      </c>
    </row>
    <row r="1176" spans="1:10" x14ac:dyDescent="0.25">
      <c r="A1176" s="1">
        <v>349</v>
      </c>
      <c r="B1176" t="s">
        <v>22</v>
      </c>
      <c r="C1176">
        <v>635</v>
      </c>
      <c r="D1176">
        <v>1</v>
      </c>
      <c r="E1176" t="s">
        <v>27</v>
      </c>
      <c r="F1176" t="s">
        <v>28</v>
      </c>
      <c r="G1176" t="str">
        <f>"2025-06-04 11:43:36.645"</f>
        <v>2025-06-04 11:43:36.645</v>
      </c>
      <c r="H1176" t="s">
        <v>21</v>
      </c>
    </row>
    <row r="1177" spans="1:10" x14ac:dyDescent="0.25">
      <c r="A1177" s="1">
        <v>350</v>
      </c>
      <c r="B1177" t="s">
        <v>25</v>
      </c>
      <c r="C1177">
        <v>635</v>
      </c>
      <c r="D1177">
        <v>1</v>
      </c>
      <c r="E1177" t="s">
        <v>27</v>
      </c>
      <c r="F1177" t="s">
        <v>28</v>
      </c>
      <c r="G1177" t="str">
        <f>"2025-06-04 11:22:47.245"</f>
        <v>2025-06-04 11:22:47.245</v>
      </c>
      <c r="H1177" t="s">
        <v>21</v>
      </c>
      <c r="I1177">
        <v>5.62</v>
      </c>
      <c r="J1177" t="s">
        <v>29</v>
      </c>
    </row>
    <row r="1178" spans="1:10" x14ac:dyDescent="0.25">
      <c r="A1178" s="1">
        <v>351</v>
      </c>
      <c r="B1178" t="s">
        <v>43</v>
      </c>
      <c r="C1178">
        <v>77</v>
      </c>
      <c r="D1178">
        <v>1</v>
      </c>
      <c r="E1178" t="s">
        <v>73</v>
      </c>
      <c r="F1178" t="s">
        <v>74</v>
      </c>
      <c r="G1178" t="str">
        <f>"2025-06-03 10:55:47.729"</f>
        <v>2025-06-03 10:55:47.729</v>
      </c>
      <c r="H1178" t="s">
        <v>49</v>
      </c>
    </row>
    <row r="1179" spans="1:10" x14ac:dyDescent="0.25">
      <c r="A1179" s="1">
        <v>352</v>
      </c>
      <c r="B1179" t="s">
        <v>40</v>
      </c>
      <c r="C1179">
        <v>77</v>
      </c>
      <c r="D1179">
        <v>1</v>
      </c>
      <c r="E1179" t="s">
        <v>73</v>
      </c>
      <c r="F1179" t="s">
        <v>74</v>
      </c>
      <c r="G1179" t="str">
        <f>"2025-06-03 10:55:42.676"</f>
        <v>2025-06-03 10:55:42.676</v>
      </c>
      <c r="H1179" t="s">
        <v>49</v>
      </c>
      <c r="I1179">
        <v>0</v>
      </c>
      <c r="J1179" t="s">
        <v>32</v>
      </c>
    </row>
    <row r="1180" spans="1:10" x14ac:dyDescent="0.25">
      <c r="A1180" s="1">
        <v>353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"2025-06-03 10:55:04.685"</f>
        <v>2025-06-03 10:55:04.685</v>
      </c>
      <c r="H1180" t="s">
        <v>21</v>
      </c>
      <c r="I1180">
        <v>0</v>
      </c>
      <c r="J1180" t="s">
        <v>33</v>
      </c>
    </row>
    <row r="1181" spans="1:10" x14ac:dyDescent="0.25">
      <c r="A1181" s="1">
        <v>354</v>
      </c>
      <c r="B1181" t="s">
        <v>22</v>
      </c>
      <c r="C1181">
        <v>630</v>
      </c>
      <c r="D1181">
        <v>5</v>
      </c>
      <c r="E1181" t="s">
        <v>66</v>
      </c>
      <c r="F1181" t="s">
        <v>67</v>
      </c>
      <c r="G1181" t="str">
        <f>"2025-06-03 10:29:20.372"</f>
        <v>2025-06-03 10:29:20.372</v>
      </c>
      <c r="H1181" t="s">
        <v>68</v>
      </c>
    </row>
    <row r="1182" spans="1:10" x14ac:dyDescent="0.25">
      <c r="A1182" s="1">
        <v>355</v>
      </c>
      <c r="B1182" t="s">
        <v>19</v>
      </c>
      <c r="C1182">
        <v>706</v>
      </c>
      <c r="D1182">
        <v>2</v>
      </c>
      <c r="E1182" t="s">
        <v>30</v>
      </c>
      <c r="F1182" t="s">
        <v>31</v>
      </c>
      <c r="G1182" t="str">
        <f>"2025-06-03 10:28:50.201"</f>
        <v>2025-06-03 10:28:50.201</v>
      </c>
      <c r="H1182" t="s">
        <v>21</v>
      </c>
      <c r="I1182">
        <v>0</v>
      </c>
      <c r="J1182" t="s">
        <v>32</v>
      </c>
    </row>
    <row r="1183" spans="1:10" x14ac:dyDescent="0.25">
      <c r="A1183" s="1">
        <v>356</v>
      </c>
      <c r="B1183" t="s">
        <v>40</v>
      </c>
      <c r="C1183">
        <v>630</v>
      </c>
      <c r="D1183">
        <v>5</v>
      </c>
      <c r="E1183" t="s">
        <v>66</v>
      </c>
      <c r="F1183" t="s">
        <v>67</v>
      </c>
      <c r="G1183" t="str">
        <f>"2025-06-03 09:27:58.472"</f>
        <v>2025-06-03 09:27:58.472</v>
      </c>
      <c r="H1183" t="s">
        <v>68</v>
      </c>
      <c r="I1183">
        <v>0</v>
      </c>
      <c r="J1183" t="s">
        <v>32</v>
      </c>
    </row>
    <row r="1184" spans="1:10" x14ac:dyDescent="0.25">
      <c r="A1184" s="1">
        <v>357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"2025-06-03 09:22:55.811"</f>
        <v>2025-06-03 09:22:55.811</v>
      </c>
      <c r="H1184" t="s">
        <v>21</v>
      </c>
    </row>
    <row r="1185" spans="1:10" x14ac:dyDescent="0.25">
      <c r="A1185" s="1">
        <v>358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"2025-06-03 08:51:35.731"</f>
        <v>2025-06-03 08:51:35.731</v>
      </c>
      <c r="H1185" t="s">
        <v>21</v>
      </c>
    </row>
    <row r="1186" spans="1:10" x14ac:dyDescent="0.25">
      <c r="A1186" s="1">
        <v>359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"2025-06-02 20:35:39.707"</f>
        <v>2025-06-02 20:35:39.707</v>
      </c>
      <c r="H1186" t="s">
        <v>21</v>
      </c>
    </row>
    <row r="1187" spans="1:10" x14ac:dyDescent="0.25">
      <c r="A1187" s="1">
        <v>360</v>
      </c>
      <c r="B1187" t="s">
        <v>22</v>
      </c>
      <c r="C1187">
        <v>635</v>
      </c>
      <c r="D1187">
        <v>1</v>
      </c>
      <c r="E1187" t="s">
        <v>27</v>
      </c>
      <c r="F1187" t="s">
        <v>28</v>
      </c>
      <c r="G1187" t="str">
        <f>"2025-06-02 08:34:55.832"</f>
        <v>2025-06-02 08:34:55.832</v>
      </c>
      <c r="H1187" t="s">
        <v>21</v>
      </c>
    </row>
    <row r="1188" spans="1:10" x14ac:dyDescent="0.25">
      <c r="A1188" s="1">
        <v>361</v>
      </c>
      <c r="B1188" t="s">
        <v>25</v>
      </c>
      <c r="C1188">
        <v>635</v>
      </c>
      <c r="D1188">
        <v>1</v>
      </c>
      <c r="E1188" t="s">
        <v>27</v>
      </c>
      <c r="F1188" t="s">
        <v>28</v>
      </c>
      <c r="G1188" t="str">
        <f>"2025-06-02 08:15:33.932"</f>
        <v>2025-06-02 08:15:33.932</v>
      </c>
      <c r="H1188" t="s">
        <v>21</v>
      </c>
      <c r="I1188">
        <v>5.6</v>
      </c>
      <c r="J1188" t="s">
        <v>29</v>
      </c>
    </row>
    <row r="1189" spans="1:10" x14ac:dyDescent="0.25">
      <c r="A1189" s="1">
        <v>362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"2025-06-01 22:20:35.690"</f>
        <v>2025-06-01 22:20:35.690</v>
      </c>
      <c r="H1189" t="s">
        <v>21</v>
      </c>
    </row>
    <row r="1190" spans="1:10" x14ac:dyDescent="0.25">
      <c r="A1190" s="1">
        <v>363</v>
      </c>
      <c r="B1190" t="s">
        <v>22</v>
      </c>
      <c r="C1190">
        <v>635</v>
      </c>
      <c r="D1190">
        <v>1</v>
      </c>
      <c r="E1190" t="s">
        <v>27</v>
      </c>
      <c r="F1190" t="s">
        <v>28</v>
      </c>
      <c r="G1190" t="str">
        <f>"2025-06-01 18:23:51.612"</f>
        <v>2025-06-01 18:23:51.612</v>
      </c>
      <c r="H1190" t="s">
        <v>21</v>
      </c>
    </row>
    <row r="1191" spans="1:10" x14ac:dyDescent="0.25">
      <c r="A1191" s="1">
        <v>364</v>
      </c>
      <c r="B1191" t="s">
        <v>25</v>
      </c>
      <c r="C1191">
        <v>635</v>
      </c>
      <c r="D1191">
        <v>1</v>
      </c>
      <c r="E1191" t="s">
        <v>27</v>
      </c>
      <c r="F1191" t="s">
        <v>28</v>
      </c>
      <c r="G1191" t="str">
        <f>"2025-06-01 18:18:55.112"</f>
        <v>2025-06-01 18:18:55.112</v>
      </c>
      <c r="H1191" t="s">
        <v>21</v>
      </c>
      <c r="I1191">
        <v>8.98</v>
      </c>
      <c r="J1191" t="s">
        <v>26</v>
      </c>
    </row>
    <row r="1192" spans="1:10" x14ac:dyDescent="0.25">
      <c r="A1192" s="1">
        <v>365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"2025-05-31 21:20:08.691"</f>
        <v>2025-05-31 21:20:08.691</v>
      </c>
      <c r="H1192" t="s">
        <v>21</v>
      </c>
    </row>
    <row r="1193" spans="1:10" x14ac:dyDescent="0.25">
      <c r="A1193" s="1">
        <v>366</v>
      </c>
      <c r="B1193" t="s">
        <v>22</v>
      </c>
      <c r="C1193">
        <v>61</v>
      </c>
      <c r="D1193">
        <v>2</v>
      </c>
      <c r="E1193" t="s">
        <v>41</v>
      </c>
      <c r="F1193" t="s">
        <v>42</v>
      </c>
      <c r="G1193" t="str">
        <f>"2025-05-31 10:10:14.793"</f>
        <v>2025-05-31 10:10:14.793</v>
      </c>
      <c r="H1193" t="s">
        <v>21</v>
      </c>
    </row>
    <row r="1194" spans="1:10" x14ac:dyDescent="0.25">
      <c r="A1194" s="1">
        <v>367</v>
      </c>
      <c r="B1194" t="s">
        <v>40</v>
      </c>
      <c r="C1194">
        <v>61</v>
      </c>
      <c r="D1194">
        <v>2</v>
      </c>
      <c r="E1194" t="s">
        <v>41</v>
      </c>
      <c r="F1194" t="s">
        <v>42</v>
      </c>
      <c r="G1194" t="str">
        <f>"2025-05-31 10:09:54.594"</f>
        <v>2025-05-31 10:09:54.594</v>
      </c>
      <c r="H1194" t="s">
        <v>21</v>
      </c>
      <c r="I1194">
        <v>32.93</v>
      </c>
      <c r="J1194" t="s">
        <v>26</v>
      </c>
    </row>
    <row r="1195" spans="1:10" x14ac:dyDescent="0.25">
      <c r="A1195" s="1">
        <v>368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"2025-05-31 00:50:02.699"</f>
        <v>2025-05-31 00:50:02.699</v>
      </c>
      <c r="H1195" t="s">
        <v>21</v>
      </c>
      <c r="I1195">
        <v>0</v>
      </c>
      <c r="J1195" t="s">
        <v>33</v>
      </c>
    </row>
    <row r="1196" spans="1:10" x14ac:dyDescent="0.25">
      <c r="A1196" s="1">
        <v>369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"2025-05-31 00:13:31.679"</f>
        <v>2025-05-31 00:13:31.679</v>
      </c>
      <c r="H1196" t="s">
        <v>21</v>
      </c>
    </row>
    <row r="1197" spans="1:10" x14ac:dyDescent="0.25">
      <c r="A1197" s="1">
        <v>370</v>
      </c>
      <c r="B1197" t="s">
        <v>22</v>
      </c>
      <c r="C1197">
        <v>635</v>
      </c>
      <c r="D1197">
        <v>1</v>
      </c>
      <c r="E1197" t="s">
        <v>27</v>
      </c>
      <c r="F1197" t="s">
        <v>28</v>
      </c>
      <c r="G1197" t="str">
        <f>"2025-05-30 15:50:43.381"</f>
        <v>2025-05-30 15:50:43.381</v>
      </c>
      <c r="H1197" t="s">
        <v>21</v>
      </c>
    </row>
    <row r="1198" spans="1:10" x14ac:dyDescent="0.25">
      <c r="A1198" s="1">
        <v>371</v>
      </c>
      <c r="B1198" t="s">
        <v>25</v>
      </c>
      <c r="C1198">
        <v>635</v>
      </c>
      <c r="D1198">
        <v>1</v>
      </c>
      <c r="E1198" t="s">
        <v>27</v>
      </c>
      <c r="F1198" t="s">
        <v>28</v>
      </c>
      <c r="G1198" t="str">
        <f>"2025-05-30 15:30:16.381"</f>
        <v>2025-05-30 15:30:16.381</v>
      </c>
      <c r="H1198" t="s">
        <v>21</v>
      </c>
      <c r="I1198">
        <v>8.3699999999999992</v>
      </c>
      <c r="J1198" t="s">
        <v>29</v>
      </c>
    </row>
    <row r="1199" spans="1:10" x14ac:dyDescent="0.25">
      <c r="A1199" s="1">
        <v>372</v>
      </c>
      <c r="B1199" t="s">
        <v>19</v>
      </c>
      <c r="C1199">
        <v>706</v>
      </c>
      <c r="D1199">
        <v>4</v>
      </c>
      <c r="E1199" t="s">
        <v>30</v>
      </c>
      <c r="F1199" t="s">
        <v>34</v>
      </c>
      <c r="G1199" t="str">
        <f>"2025-05-29 21:03:22.488"</f>
        <v>2025-05-29 21:03:22.488</v>
      </c>
      <c r="H1199" t="s">
        <v>21</v>
      </c>
      <c r="I1199">
        <v>0</v>
      </c>
      <c r="J1199" t="s">
        <v>32</v>
      </c>
    </row>
    <row r="1200" spans="1:10" x14ac:dyDescent="0.25">
      <c r="A1200" s="1">
        <v>373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"2025-05-29 21:03:07.858"</f>
        <v>2025-05-29 21:03:07.858</v>
      </c>
      <c r="H1200" t="s">
        <v>21</v>
      </c>
    </row>
    <row r="1201" spans="1:10" x14ac:dyDescent="0.25">
      <c r="A1201" s="1">
        <v>374</v>
      </c>
      <c r="B1201" t="s">
        <v>19</v>
      </c>
      <c r="C1201">
        <v>706</v>
      </c>
      <c r="D1201">
        <v>4</v>
      </c>
      <c r="E1201" t="s">
        <v>30</v>
      </c>
      <c r="F1201" t="s">
        <v>34</v>
      </c>
      <c r="G1201" t="str">
        <f>"2025-05-29 11:09:57.887"</f>
        <v>2025-05-29 11:09:57.887</v>
      </c>
      <c r="H1201" t="s">
        <v>21</v>
      </c>
      <c r="I1201">
        <v>0</v>
      </c>
      <c r="J1201" t="s">
        <v>32</v>
      </c>
    </row>
    <row r="1202" spans="1:10" x14ac:dyDescent="0.25">
      <c r="A1202" s="1">
        <v>375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"2025-05-29 11:09:32.707"</f>
        <v>2025-05-29 11:09:32.707</v>
      </c>
      <c r="H1202" t="s">
        <v>21</v>
      </c>
    </row>
    <row r="1203" spans="1:10" x14ac:dyDescent="0.25">
      <c r="A1203" s="1">
        <v>376</v>
      </c>
      <c r="B1203" t="s">
        <v>22</v>
      </c>
      <c r="C1203">
        <v>635</v>
      </c>
      <c r="D1203">
        <v>1</v>
      </c>
      <c r="E1203" t="s">
        <v>27</v>
      </c>
      <c r="F1203" t="s">
        <v>28</v>
      </c>
      <c r="G1203" t="str">
        <f>"2025-05-28 12:24:58.654"</f>
        <v>2025-05-28 12:24:58.654</v>
      </c>
      <c r="H1203" t="s">
        <v>21</v>
      </c>
    </row>
    <row r="1204" spans="1:10" x14ac:dyDescent="0.25">
      <c r="A1204" s="1">
        <v>377</v>
      </c>
      <c r="B1204" t="s">
        <v>25</v>
      </c>
      <c r="C1204">
        <v>635</v>
      </c>
      <c r="D1204">
        <v>1</v>
      </c>
      <c r="E1204" t="s">
        <v>27</v>
      </c>
      <c r="F1204" t="s">
        <v>28</v>
      </c>
      <c r="G1204" t="str">
        <f>"2025-05-28 11:53:29.254"</f>
        <v>2025-05-28 11:53:29.254</v>
      </c>
      <c r="H1204" t="s">
        <v>21</v>
      </c>
      <c r="I1204">
        <v>5.75</v>
      </c>
      <c r="J1204" t="s">
        <v>29</v>
      </c>
    </row>
    <row r="1205" spans="1:10" x14ac:dyDescent="0.25">
      <c r="A1205" s="1">
        <v>379</v>
      </c>
      <c r="B1205" t="s">
        <v>22</v>
      </c>
      <c r="C1205">
        <v>630</v>
      </c>
      <c r="D1205">
        <v>5</v>
      </c>
      <c r="E1205" t="s">
        <v>66</v>
      </c>
      <c r="F1205" t="s">
        <v>67</v>
      </c>
      <c r="G1205" t="str">
        <f>"2025-05-27 03:05:04.755"</f>
        <v>2025-05-27 03:05:04.755</v>
      </c>
      <c r="H1205" t="s">
        <v>68</v>
      </c>
    </row>
    <row r="1206" spans="1:10" x14ac:dyDescent="0.25">
      <c r="A1206" s="1">
        <v>380</v>
      </c>
      <c r="B1206" t="s">
        <v>19</v>
      </c>
      <c r="C1206">
        <v>706</v>
      </c>
      <c r="D1206">
        <v>2</v>
      </c>
      <c r="E1206" t="s">
        <v>30</v>
      </c>
      <c r="F1206" t="s">
        <v>31</v>
      </c>
      <c r="G1206" t="str">
        <f>"2025-05-27 03:04:34.651"</f>
        <v>2025-05-27 03:04:34.651</v>
      </c>
      <c r="H1206" t="s">
        <v>21</v>
      </c>
      <c r="I1206">
        <v>0</v>
      </c>
      <c r="J1206" t="s">
        <v>32</v>
      </c>
    </row>
    <row r="1207" spans="1:10" x14ac:dyDescent="0.25">
      <c r="A1207" s="1">
        <v>381</v>
      </c>
      <c r="B1207" t="s">
        <v>19</v>
      </c>
      <c r="C1207">
        <v>706</v>
      </c>
      <c r="D1207">
        <v>2</v>
      </c>
      <c r="E1207" t="s">
        <v>30</v>
      </c>
      <c r="F1207" t="s">
        <v>31</v>
      </c>
      <c r="G1207" t="str">
        <f>"2025-05-27 03:04:19.051"</f>
        <v>2025-05-27 03:04:19.051</v>
      </c>
      <c r="H1207" t="s">
        <v>21</v>
      </c>
      <c r="I1207">
        <v>0</v>
      </c>
      <c r="J1207" t="s">
        <v>32</v>
      </c>
    </row>
    <row r="1208" spans="1:10" x14ac:dyDescent="0.25">
      <c r="A1208" s="1">
        <v>382</v>
      </c>
      <c r="B1208" t="s">
        <v>40</v>
      </c>
      <c r="C1208">
        <v>630</v>
      </c>
      <c r="D1208">
        <v>5</v>
      </c>
      <c r="E1208" t="s">
        <v>66</v>
      </c>
      <c r="F1208" t="s">
        <v>67</v>
      </c>
      <c r="G1208" t="str">
        <f>"2025-05-27 02:36:30.355"</f>
        <v>2025-05-27 02:36:30.355</v>
      </c>
      <c r="H1208" t="s">
        <v>68</v>
      </c>
      <c r="I1208">
        <v>0</v>
      </c>
      <c r="J1208" t="s">
        <v>32</v>
      </c>
    </row>
    <row r="1209" spans="1:10" x14ac:dyDescent="0.25">
      <c r="A1209" s="1">
        <v>383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"2025-05-27 02:31:27.681"</f>
        <v>2025-05-27 02:31:27.681</v>
      </c>
      <c r="H1209" t="s">
        <v>21</v>
      </c>
      <c r="I1209">
        <v>0</v>
      </c>
      <c r="J1209" t="s">
        <v>33</v>
      </c>
    </row>
    <row r="1210" spans="1:10" x14ac:dyDescent="0.25">
      <c r="A1210" s="1">
        <v>384</v>
      </c>
      <c r="B1210" t="s">
        <v>19</v>
      </c>
      <c r="C1210">
        <v>706</v>
      </c>
      <c r="D1210">
        <v>3</v>
      </c>
      <c r="E1210" t="s">
        <v>30</v>
      </c>
      <c r="F1210" t="s">
        <v>36</v>
      </c>
      <c r="G1210" t="str">
        <f>"2025-05-27 00:19:00.234"</f>
        <v>2025-05-27 00:19:00.234</v>
      </c>
      <c r="H1210" t="s">
        <v>21</v>
      </c>
      <c r="I1210">
        <v>0</v>
      </c>
      <c r="J1210" t="s">
        <v>32</v>
      </c>
    </row>
    <row r="1211" spans="1:10" x14ac:dyDescent="0.25">
      <c r="A1211" s="1">
        <v>385</v>
      </c>
      <c r="B1211" t="s">
        <v>19</v>
      </c>
      <c r="C1211">
        <v>706</v>
      </c>
      <c r="D1211">
        <v>2</v>
      </c>
      <c r="E1211" t="s">
        <v>30</v>
      </c>
      <c r="F1211" t="s">
        <v>31</v>
      </c>
      <c r="G1211" t="str">
        <f>"2025-05-27 00:17:39.714"</f>
        <v>2025-05-27 00:17:39.714</v>
      </c>
      <c r="H1211" t="s">
        <v>21</v>
      </c>
      <c r="I1211">
        <v>0</v>
      </c>
      <c r="J1211" t="s">
        <v>32</v>
      </c>
    </row>
    <row r="1212" spans="1:10" x14ac:dyDescent="0.25">
      <c r="A1212" s="1">
        <v>386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"2025-05-27 00:14:26.904"</f>
        <v>2025-05-27 00:14:26.904</v>
      </c>
      <c r="H1212" t="s">
        <v>21</v>
      </c>
      <c r="I1212">
        <v>0</v>
      </c>
      <c r="J1212" t="s">
        <v>33</v>
      </c>
    </row>
    <row r="1213" spans="1:10" x14ac:dyDescent="0.25">
      <c r="A1213" s="1">
        <v>387</v>
      </c>
      <c r="B1213" t="s">
        <v>19</v>
      </c>
      <c r="C1213">
        <v>706</v>
      </c>
      <c r="D1213">
        <v>4</v>
      </c>
      <c r="E1213" t="s">
        <v>30</v>
      </c>
      <c r="F1213" t="s">
        <v>34</v>
      </c>
      <c r="G1213" t="str">
        <f>"2025-05-26 21:01:38.957"</f>
        <v>2025-05-26 21:01:38.957</v>
      </c>
      <c r="H1213" t="s">
        <v>21</v>
      </c>
      <c r="I1213">
        <v>0</v>
      </c>
      <c r="J1213" t="s">
        <v>32</v>
      </c>
    </row>
    <row r="1214" spans="1:10" x14ac:dyDescent="0.25">
      <c r="A1214" s="1">
        <v>388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"2025-05-26 21:00:37.727"</f>
        <v>2025-05-26 21:00:37.727</v>
      </c>
      <c r="H1214" t="s">
        <v>21</v>
      </c>
      <c r="I1214">
        <v>0</v>
      </c>
      <c r="J1214" t="s">
        <v>33</v>
      </c>
    </row>
    <row r="1215" spans="1:10" x14ac:dyDescent="0.25">
      <c r="A1215" s="1">
        <v>389</v>
      </c>
      <c r="B1215" t="s">
        <v>37</v>
      </c>
      <c r="C1215">
        <v>33</v>
      </c>
      <c r="D1215">
        <v>1</v>
      </c>
      <c r="E1215" t="s">
        <v>63</v>
      </c>
      <c r="F1215" t="s">
        <v>64</v>
      </c>
      <c r="G1215" t="str">
        <f>"2025-05-26 20:34:16.114"</f>
        <v>2025-05-26 20:34:16.114</v>
      </c>
      <c r="H1215" t="s">
        <v>65</v>
      </c>
    </row>
    <row r="1216" spans="1:10" x14ac:dyDescent="0.25">
      <c r="A1216" s="1">
        <v>390</v>
      </c>
      <c r="B1216" t="s">
        <v>40</v>
      </c>
      <c r="C1216">
        <v>33</v>
      </c>
      <c r="D1216">
        <v>1</v>
      </c>
      <c r="E1216" t="s">
        <v>63</v>
      </c>
      <c r="F1216" t="s">
        <v>64</v>
      </c>
      <c r="G1216" t="str">
        <f>"2025-05-26 20:32:49.767"</f>
        <v>2025-05-26 20:32:49.767</v>
      </c>
      <c r="H1216" t="s">
        <v>65</v>
      </c>
      <c r="I1216">
        <v>7.58</v>
      </c>
      <c r="J1216" t="s">
        <v>29</v>
      </c>
    </row>
    <row r="1217" spans="1:10" x14ac:dyDescent="0.25">
      <c r="A1217" s="1">
        <v>391</v>
      </c>
      <c r="B1217" t="s">
        <v>22</v>
      </c>
      <c r="C1217">
        <v>630</v>
      </c>
      <c r="D1217">
        <v>5</v>
      </c>
      <c r="E1217" t="s">
        <v>66</v>
      </c>
      <c r="F1217" t="s">
        <v>67</v>
      </c>
      <c r="G1217" t="str">
        <f>"2025-05-26 20:21:17.667"</f>
        <v>2025-05-26 20:21:17.667</v>
      </c>
      <c r="H1217" t="s">
        <v>68</v>
      </c>
    </row>
    <row r="1218" spans="1:10" x14ac:dyDescent="0.25">
      <c r="A1218" s="1">
        <v>392</v>
      </c>
      <c r="B1218" t="s">
        <v>19</v>
      </c>
      <c r="C1218">
        <v>706</v>
      </c>
      <c r="D1218">
        <v>4</v>
      </c>
      <c r="E1218" t="s">
        <v>30</v>
      </c>
      <c r="F1218" t="s">
        <v>34</v>
      </c>
      <c r="G1218" t="str">
        <f>"2025-05-26 20:20:47.590"</f>
        <v>2025-05-26 20:20:47.590</v>
      </c>
      <c r="H1218" t="s">
        <v>21</v>
      </c>
      <c r="I1218">
        <v>0</v>
      </c>
      <c r="J1218" t="s">
        <v>32</v>
      </c>
    </row>
    <row r="1219" spans="1:10" x14ac:dyDescent="0.25">
      <c r="A1219" s="1">
        <v>395</v>
      </c>
      <c r="B1219" t="s">
        <v>40</v>
      </c>
      <c r="C1219">
        <v>630</v>
      </c>
      <c r="D1219">
        <v>5</v>
      </c>
      <c r="E1219" t="s">
        <v>66</v>
      </c>
      <c r="F1219" t="s">
        <v>67</v>
      </c>
      <c r="G1219" t="str">
        <f>"2025-05-26 20:20:35.168"</f>
        <v>2025-05-26 20:20:35.168</v>
      </c>
      <c r="H1219" t="s">
        <v>68</v>
      </c>
      <c r="I1219">
        <v>0</v>
      </c>
      <c r="J1219" t="s">
        <v>32</v>
      </c>
    </row>
    <row r="1220" spans="1:10" x14ac:dyDescent="0.25">
      <c r="A1220" s="1">
        <v>396</v>
      </c>
      <c r="B1220" t="s">
        <v>19</v>
      </c>
      <c r="C1220">
        <v>782</v>
      </c>
      <c r="D1220">
        <v>7</v>
      </c>
      <c r="E1220" t="s">
        <v>75</v>
      </c>
      <c r="F1220" t="s">
        <v>76</v>
      </c>
      <c r="G1220" t="str">
        <f>"2025-05-26 20:20:35.122"</f>
        <v>2025-05-26 20:20:35.122</v>
      </c>
      <c r="H1220" t="s">
        <v>21</v>
      </c>
      <c r="I1220">
        <v>0</v>
      </c>
      <c r="J1220" t="s">
        <v>32</v>
      </c>
    </row>
    <row r="1221" spans="1:10" x14ac:dyDescent="0.25">
      <c r="A1221" s="1">
        <v>399</v>
      </c>
      <c r="B1221" t="s">
        <v>22</v>
      </c>
      <c r="C1221">
        <v>630</v>
      </c>
      <c r="D1221">
        <v>5</v>
      </c>
      <c r="E1221" t="s">
        <v>66</v>
      </c>
      <c r="F1221" t="s">
        <v>67</v>
      </c>
      <c r="G1221" t="str">
        <f>"2025-05-26 20:20:35.117"</f>
        <v>2025-05-26 20:20:35.117</v>
      </c>
      <c r="H1221" t="s">
        <v>68</v>
      </c>
    </row>
    <row r="1222" spans="1:10" x14ac:dyDescent="0.25">
      <c r="A1222" s="1">
        <v>401</v>
      </c>
      <c r="B1222" t="s">
        <v>19</v>
      </c>
      <c r="C1222">
        <v>782</v>
      </c>
      <c r="D1222">
        <v>7</v>
      </c>
      <c r="E1222" t="s">
        <v>75</v>
      </c>
      <c r="F1222" t="s">
        <v>76</v>
      </c>
      <c r="G1222" t="str">
        <f>"2025-05-26 20:20:35.114"</f>
        <v>2025-05-26 20:20:35.114</v>
      </c>
      <c r="H1222" t="s">
        <v>21</v>
      </c>
      <c r="I1222">
        <v>0</v>
      </c>
      <c r="J1222" t="s">
        <v>32</v>
      </c>
    </row>
    <row r="1223" spans="1:10" x14ac:dyDescent="0.25">
      <c r="A1223" s="1">
        <v>402</v>
      </c>
      <c r="B1223" t="s">
        <v>22</v>
      </c>
      <c r="C1223">
        <v>36</v>
      </c>
      <c r="D1223">
        <v>3</v>
      </c>
      <c r="E1223" t="s">
        <v>77</v>
      </c>
      <c r="F1223" t="s">
        <v>78</v>
      </c>
      <c r="G1223" t="str">
        <f>"2025-05-26 20:20:20.114"</f>
        <v>2025-05-26 20:20:20.114</v>
      </c>
      <c r="H1223" t="s">
        <v>49</v>
      </c>
    </row>
    <row r="1224" spans="1:10" x14ac:dyDescent="0.25">
      <c r="A1224" s="1">
        <v>403</v>
      </c>
      <c r="B1224" t="s">
        <v>40</v>
      </c>
      <c r="C1224">
        <v>630</v>
      </c>
      <c r="D1224">
        <v>5</v>
      </c>
      <c r="E1224" t="s">
        <v>66</v>
      </c>
      <c r="F1224" t="s">
        <v>67</v>
      </c>
      <c r="G1224" t="str">
        <f>"2025-05-26 19:53:29.368"</f>
        <v>2025-05-26 19:53:29.368</v>
      </c>
      <c r="H1224" t="s">
        <v>68</v>
      </c>
      <c r="I1224">
        <v>0</v>
      </c>
      <c r="J1224" t="s">
        <v>32</v>
      </c>
    </row>
    <row r="1225" spans="1:10" x14ac:dyDescent="0.25">
      <c r="A1225" s="1">
        <v>404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"2025-05-26 19:48:26.670"</f>
        <v>2025-05-26 19:48:26.670</v>
      </c>
      <c r="H1225" t="s">
        <v>21</v>
      </c>
    </row>
    <row r="1226" spans="1:10" x14ac:dyDescent="0.25">
      <c r="A1226" s="1">
        <v>405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"2025-05-26 19:41:43.674"</f>
        <v>2025-05-26 19:41:43.674</v>
      </c>
      <c r="H1226" t="s">
        <v>21</v>
      </c>
      <c r="I1226">
        <v>0</v>
      </c>
      <c r="J1226" t="s">
        <v>33</v>
      </c>
    </row>
    <row r="1227" spans="1:10" x14ac:dyDescent="0.25">
      <c r="A1227" s="1">
        <v>406</v>
      </c>
      <c r="B1227" t="s">
        <v>22</v>
      </c>
      <c r="C1227">
        <v>14</v>
      </c>
      <c r="D1227">
        <v>10</v>
      </c>
      <c r="E1227" t="s">
        <v>79</v>
      </c>
      <c r="F1227" t="s">
        <v>80</v>
      </c>
      <c r="G1227" t="str">
        <f>"2025-05-26 19:35:01.388"</f>
        <v>2025-05-26 19:35:01.388</v>
      </c>
      <c r="H1227" t="s">
        <v>68</v>
      </c>
    </row>
    <row r="1228" spans="1:10" x14ac:dyDescent="0.25">
      <c r="A1228" s="1">
        <v>408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"2025-05-26 19:34:38.673"</f>
        <v>2025-05-26 19:34:38.673</v>
      </c>
      <c r="H1228" t="s">
        <v>21</v>
      </c>
    </row>
    <row r="1229" spans="1:10" x14ac:dyDescent="0.25">
      <c r="A1229" s="1">
        <v>422</v>
      </c>
      <c r="B1229" t="s">
        <v>22</v>
      </c>
      <c r="C1229">
        <v>4</v>
      </c>
      <c r="D1229">
        <v>1</v>
      </c>
      <c r="E1229" t="s">
        <v>69</v>
      </c>
      <c r="F1229" t="s">
        <v>70</v>
      </c>
      <c r="G1229" t="str">
        <f>"2025-05-26 19:33:10.965"</f>
        <v>2025-05-26 19:33:10.965</v>
      </c>
      <c r="H1229" t="s">
        <v>71</v>
      </c>
    </row>
    <row r="1230" spans="1:10" x14ac:dyDescent="0.25">
      <c r="A1230" s="1">
        <v>424</v>
      </c>
      <c r="B1230" t="s">
        <v>25</v>
      </c>
      <c r="C1230">
        <v>4</v>
      </c>
      <c r="D1230">
        <v>1</v>
      </c>
      <c r="E1230" t="s">
        <v>69</v>
      </c>
      <c r="F1230" t="s">
        <v>70</v>
      </c>
      <c r="G1230" t="str">
        <f>"2025-05-26 19:33:02.396"</f>
        <v>2025-05-26 19:33:02.396</v>
      </c>
      <c r="H1230" t="s">
        <v>71</v>
      </c>
      <c r="I1230">
        <v>0.22</v>
      </c>
      <c r="J1230" t="s">
        <v>32</v>
      </c>
    </row>
    <row r="1231" spans="1:10" x14ac:dyDescent="0.25">
      <c r="A1231" s="1">
        <v>429</v>
      </c>
      <c r="B1231" t="s">
        <v>19</v>
      </c>
      <c r="C1231">
        <v>706</v>
      </c>
      <c r="D1231">
        <v>3</v>
      </c>
      <c r="E1231" t="s">
        <v>30</v>
      </c>
      <c r="F1231" t="s">
        <v>36</v>
      </c>
      <c r="G1231" t="str">
        <f>"2025-05-26 19:32:42.913"</f>
        <v>2025-05-26 19:32:42.913</v>
      </c>
      <c r="H1231" t="s">
        <v>21</v>
      </c>
      <c r="I1231">
        <v>0.22</v>
      </c>
      <c r="J1231" t="s">
        <v>32</v>
      </c>
    </row>
    <row r="1232" spans="1:10" x14ac:dyDescent="0.25">
      <c r="A1232" s="1">
        <v>468</v>
      </c>
      <c r="B1232" t="s">
        <v>19</v>
      </c>
      <c r="C1232">
        <v>706</v>
      </c>
      <c r="D1232">
        <v>2</v>
      </c>
      <c r="E1232" t="s">
        <v>30</v>
      </c>
      <c r="F1232" t="s">
        <v>31</v>
      </c>
      <c r="G1232" t="str">
        <f>"2025-05-26 19:29:27.763"</f>
        <v>2025-05-26 19:29:27.763</v>
      </c>
      <c r="H1232" t="s">
        <v>21</v>
      </c>
      <c r="I1232">
        <v>0.22</v>
      </c>
      <c r="J1232" t="s">
        <v>32</v>
      </c>
    </row>
    <row r="1233" spans="1:10" x14ac:dyDescent="0.25">
      <c r="A1233" s="1">
        <v>472</v>
      </c>
      <c r="B1233" t="s">
        <v>19</v>
      </c>
      <c r="C1233">
        <v>706</v>
      </c>
      <c r="D1233">
        <v>3</v>
      </c>
      <c r="E1233" t="s">
        <v>30</v>
      </c>
      <c r="F1233" t="s">
        <v>36</v>
      </c>
      <c r="G1233" t="str">
        <f>"2025-05-26 19:29:12.463"</f>
        <v>2025-05-26 19:29:12.463</v>
      </c>
      <c r="H1233" t="s">
        <v>21</v>
      </c>
      <c r="I1233">
        <v>0.22</v>
      </c>
      <c r="J1233" t="s">
        <v>32</v>
      </c>
    </row>
    <row r="1234" spans="1:10" x14ac:dyDescent="0.25">
      <c r="A1234" s="1">
        <v>482</v>
      </c>
      <c r="B1234" t="s">
        <v>25</v>
      </c>
      <c r="C1234">
        <v>36</v>
      </c>
      <c r="D1234">
        <v>3</v>
      </c>
      <c r="E1234" t="s">
        <v>77</v>
      </c>
      <c r="F1234" t="s">
        <v>78</v>
      </c>
      <c r="G1234" t="str">
        <f>"2025-05-26 19:28:26.323"</f>
        <v>2025-05-26 19:28:26.323</v>
      </c>
      <c r="H1234" t="s">
        <v>49</v>
      </c>
      <c r="I1234">
        <v>0.22</v>
      </c>
      <c r="J1234" t="s">
        <v>32</v>
      </c>
    </row>
    <row r="1235" spans="1:10" x14ac:dyDescent="0.25">
      <c r="A1235" s="1">
        <v>484</v>
      </c>
      <c r="B1235" t="s">
        <v>37</v>
      </c>
      <c r="C1235">
        <v>36</v>
      </c>
      <c r="D1235">
        <v>3</v>
      </c>
      <c r="E1235" t="s">
        <v>77</v>
      </c>
      <c r="F1235" t="s">
        <v>78</v>
      </c>
      <c r="G1235" t="str">
        <f>"2025-05-26 19:28:26.289"</f>
        <v>2025-05-26 19:28:26.289</v>
      </c>
      <c r="H1235" t="s">
        <v>49</v>
      </c>
    </row>
    <row r="1236" spans="1:10" x14ac:dyDescent="0.25">
      <c r="A1236" s="1">
        <v>487</v>
      </c>
      <c r="B1236" t="s">
        <v>40</v>
      </c>
      <c r="C1236">
        <v>36</v>
      </c>
      <c r="D1236">
        <v>3</v>
      </c>
      <c r="E1236" t="s">
        <v>77</v>
      </c>
      <c r="F1236" t="s">
        <v>78</v>
      </c>
      <c r="G1236" t="str">
        <f>"2025-05-26 19:28:24.445"</f>
        <v>2025-05-26 19:28:24.445</v>
      </c>
      <c r="H1236" t="s">
        <v>49</v>
      </c>
      <c r="I1236">
        <v>0.22</v>
      </c>
      <c r="J1236" t="s">
        <v>32</v>
      </c>
    </row>
    <row r="1237" spans="1:10" x14ac:dyDescent="0.25">
      <c r="A1237" s="1">
        <v>489</v>
      </c>
      <c r="B1237" t="s">
        <v>37</v>
      </c>
      <c r="C1237">
        <v>36</v>
      </c>
      <c r="D1237">
        <v>3</v>
      </c>
      <c r="E1237" t="s">
        <v>77</v>
      </c>
      <c r="F1237" t="s">
        <v>78</v>
      </c>
      <c r="G1237" t="str">
        <f>"2025-05-26 19:28:24.410"</f>
        <v>2025-05-26 19:28:24.410</v>
      </c>
      <c r="H1237" t="s">
        <v>49</v>
      </c>
    </row>
    <row r="1238" spans="1:10" x14ac:dyDescent="0.25">
      <c r="A1238" s="1">
        <v>494</v>
      </c>
      <c r="B1238" t="s">
        <v>40</v>
      </c>
      <c r="C1238">
        <v>36</v>
      </c>
      <c r="D1238">
        <v>3</v>
      </c>
      <c r="E1238" t="s">
        <v>77</v>
      </c>
      <c r="F1238" t="s">
        <v>78</v>
      </c>
      <c r="G1238" t="str">
        <f>"2025-05-26 19:28:06.408"</f>
        <v>2025-05-26 19:28:06.408</v>
      </c>
      <c r="H1238" t="s">
        <v>49</v>
      </c>
      <c r="I1238">
        <v>0.22</v>
      </c>
      <c r="J1238" t="s">
        <v>32</v>
      </c>
    </row>
    <row r="1239" spans="1:10" x14ac:dyDescent="0.25">
      <c r="A1239" s="1">
        <v>497</v>
      </c>
      <c r="B1239" t="s">
        <v>25</v>
      </c>
      <c r="C1239">
        <v>14</v>
      </c>
      <c r="D1239">
        <v>10</v>
      </c>
      <c r="E1239" t="s">
        <v>79</v>
      </c>
      <c r="F1239" t="s">
        <v>80</v>
      </c>
      <c r="G1239" t="str">
        <f>"2025-05-26 19:28:03.247"</f>
        <v>2025-05-26 19:28:03.247</v>
      </c>
      <c r="H1239" t="s">
        <v>68</v>
      </c>
      <c r="I1239">
        <v>0.22</v>
      </c>
      <c r="J1239" t="s">
        <v>32</v>
      </c>
    </row>
    <row r="1240" spans="1:10" x14ac:dyDescent="0.25">
      <c r="A1240" s="1">
        <v>503</v>
      </c>
      <c r="B1240" t="s">
        <v>22</v>
      </c>
      <c r="C1240">
        <v>635</v>
      </c>
      <c r="D1240">
        <v>1</v>
      </c>
      <c r="E1240" t="s">
        <v>27</v>
      </c>
      <c r="F1240" t="s">
        <v>28</v>
      </c>
      <c r="G1240" t="str">
        <f>"2025-05-26 17:38:47.908"</f>
        <v>2025-05-26 17:38:47.908</v>
      </c>
      <c r="H1240" t="s">
        <v>21</v>
      </c>
    </row>
    <row r="1241" spans="1:10" x14ac:dyDescent="0.25">
      <c r="A1241" s="1">
        <v>504</v>
      </c>
      <c r="B1241" t="s">
        <v>25</v>
      </c>
      <c r="C1241">
        <v>635</v>
      </c>
      <c r="D1241">
        <v>1</v>
      </c>
      <c r="E1241" t="s">
        <v>27</v>
      </c>
      <c r="F1241" t="s">
        <v>28</v>
      </c>
      <c r="G1241" t="str">
        <f>"2025-05-26 17:21:58.008"</f>
        <v>2025-05-26 17:21:58.008</v>
      </c>
      <c r="H1241" t="s">
        <v>21</v>
      </c>
      <c r="I1241">
        <v>8.2200000000000006</v>
      </c>
      <c r="J1241" t="s">
        <v>29</v>
      </c>
    </row>
    <row r="1242" spans="1:10" x14ac:dyDescent="0.25">
      <c r="A1242" s="1">
        <v>505</v>
      </c>
      <c r="B1242" t="s">
        <v>22</v>
      </c>
      <c r="C1242">
        <v>61</v>
      </c>
      <c r="D1242">
        <v>2</v>
      </c>
      <c r="E1242" t="s">
        <v>41</v>
      </c>
      <c r="F1242" t="s">
        <v>42</v>
      </c>
      <c r="G1242" t="str">
        <f>"2025-05-26 08:40:52.768"</f>
        <v>2025-05-26 08:40:52.768</v>
      </c>
      <c r="H1242" t="s">
        <v>21</v>
      </c>
    </row>
    <row r="1243" spans="1:10" x14ac:dyDescent="0.25">
      <c r="A1243" s="1">
        <v>506</v>
      </c>
      <c r="B1243" t="s">
        <v>40</v>
      </c>
      <c r="C1243">
        <v>61</v>
      </c>
      <c r="D1243">
        <v>2</v>
      </c>
      <c r="E1243" t="s">
        <v>41</v>
      </c>
      <c r="F1243" t="s">
        <v>42</v>
      </c>
      <c r="G1243" t="str">
        <f>"2025-05-26 08:40:33.669"</f>
        <v>2025-05-26 08:40:33.669</v>
      </c>
      <c r="H1243" t="s">
        <v>21</v>
      </c>
      <c r="I1243">
        <v>32.97</v>
      </c>
      <c r="J1243" t="s">
        <v>26</v>
      </c>
    </row>
    <row r="1244" spans="1:10" x14ac:dyDescent="0.25">
      <c r="A1244" s="1">
        <v>507</v>
      </c>
      <c r="B1244" t="s">
        <v>22</v>
      </c>
      <c r="C1244">
        <v>635</v>
      </c>
      <c r="D1244">
        <v>1</v>
      </c>
      <c r="E1244" t="s">
        <v>27</v>
      </c>
      <c r="F1244" t="s">
        <v>28</v>
      </c>
      <c r="G1244" t="str">
        <f>"2025-05-26 03:04:35.108"</f>
        <v>2025-05-26 03:04:35.108</v>
      </c>
      <c r="H1244" t="s">
        <v>21</v>
      </c>
    </row>
    <row r="1245" spans="1:10" x14ac:dyDescent="0.25">
      <c r="A1245" s="1">
        <v>508</v>
      </c>
      <c r="B1245" t="s">
        <v>25</v>
      </c>
      <c r="C1245">
        <v>635</v>
      </c>
      <c r="D1245">
        <v>1</v>
      </c>
      <c r="E1245" t="s">
        <v>27</v>
      </c>
      <c r="F1245" t="s">
        <v>28</v>
      </c>
      <c r="G1245" t="str">
        <f>"2025-05-26 02:58:42.108"</f>
        <v>2025-05-26 02:58:42.108</v>
      </c>
      <c r="H1245" t="s">
        <v>21</v>
      </c>
      <c r="I1245">
        <v>2.1</v>
      </c>
      <c r="J1245" t="s">
        <v>29</v>
      </c>
    </row>
    <row r="1246" spans="1:10" x14ac:dyDescent="0.25">
      <c r="A1246" s="1">
        <v>509</v>
      </c>
      <c r="B1246" t="s">
        <v>22</v>
      </c>
      <c r="C1246">
        <v>635</v>
      </c>
      <c r="D1246">
        <v>1</v>
      </c>
      <c r="E1246" t="s">
        <v>27</v>
      </c>
      <c r="F1246" t="s">
        <v>28</v>
      </c>
      <c r="G1246" t="str">
        <f>"2025-05-22 19:02:38.808"</f>
        <v>2025-05-22 19:02:38.808</v>
      </c>
      <c r="H1246" t="s">
        <v>21</v>
      </c>
    </row>
    <row r="1247" spans="1:10" x14ac:dyDescent="0.25">
      <c r="A1247" s="1">
        <v>510</v>
      </c>
      <c r="B1247" t="s">
        <v>25</v>
      </c>
      <c r="C1247">
        <v>635</v>
      </c>
      <c r="D1247">
        <v>1</v>
      </c>
      <c r="E1247" t="s">
        <v>27</v>
      </c>
      <c r="F1247" t="s">
        <v>28</v>
      </c>
      <c r="G1247" t="str">
        <f>"2025-05-22 18:47:51.308"</f>
        <v>2025-05-22 18:47:51.308</v>
      </c>
      <c r="H1247" t="s">
        <v>21</v>
      </c>
      <c r="I1247">
        <v>7.89</v>
      </c>
      <c r="J1247" t="s">
        <v>29</v>
      </c>
    </row>
    <row r="1248" spans="1:10" x14ac:dyDescent="0.25">
      <c r="A1248" s="1">
        <v>511</v>
      </c>
      <c r="B1248" t="s">
        <v>19</v>
      </c>
      <c r="C1248">
        <v>706</v>
      </c>
      <c r="D1248">
        <v>2</v>
      </c>
      <c r="E1248" t="s">
        <v>30</v>
      </c>
      <c r="F1248" t="s">
        <v>31</v>
      </c>
      <c r="G1248" t="str">
        <f>"2025-05-22 17:21:48.563"</f>
        <v>2025-05-22 17:21:48.563</v>
      </c>
      <c r="H1248" t="s">
        <v>21</v>
      </c>
      <c r="I1248">
        <v>0</v>
      </c>
      <c r="J1248" t="s">
        <v>32</v>
      </c>
    </row>
    <row r="1249" spans="1:10" x14ac:dyDescent="0.25">
      <c r="A1249" s="1">
        <v>512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"2025-05-22 17:21:29.633"</f>
        <v>2025-05-22 17:21:29.633</v>
      </c>
      <c r="H1249" t="s">
        <v>21</v>
      </c>
    </row>
    <row r="1250" spans="1:10" x14ac:dyDescent="0.25">
      <c r="A1250" s="1">
        <v>513</v>
      </c>
      <c r="B1250" t="s">
        <v>19</v>
      </c>
      <c r="C1250">
        <v>706</v>
      </c>
      <c r="D1250">
        <v>4</v>
      </c>
      <c r="E1250" t="s">
        <v>30</v>
      </c>
      <c r="F1250" t="s">
        <v>34</v>
      </c>
      <c r="G1250" t="str">
        <f>"2025-05-21 15:42:31.757"</f>
        <v>2025-05-21 15:42:31.757</v>
      </c>
      <c r="H1250" t="s">
        <v>21</v>
      </c>
      <c r="I1250">
        <v>0</v>
      </c>
      <c r="J1250" t="s">
        <v>32</v>
      </c>
    </row>
    <row r="1251" spans="1:10" x14ac:dyDescent="0.25">
      <c r="A1251" s="1">
        <v>514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"2025-05-21 15:40:58.637"</f>
        <v>2025-05-21 15:40:58.637</v>
      </c>
      <c r="H1251" t="s">
        <v>21</v>
      </c>
      <c r="I1251">
        <v>0</v>
      </c>
      <c r="J1251" t="s">
        <v>33</v>
      </c>
    </row>
    <row r="1252" spans="1:10" x14ac:dyDescent="0.25">
      <c r="A1252" s="1">
        <v>515</v>
      </c>
      <c r="B1252" t="s">
        <v>22</v>
      </c>
      <c r="C1252">
        <v>635</v>
      </c>
      <c r="D1252">
        <v>1</v>
      </c>
      <c r="E1252" t="s">
        <v>27</v>
      </c>
      <c r="F1252" t="s">
        <v>28</v>
      </c>
      <c r="G1252" t="str">
        <f>"2025-05-21 12:46:20.394"</f>
        <v>2025-05-21 12:46:20.394</v>
      </c>
      <c r="H1252" t="s">
        <v>21</v>
      </c>
    </row>
    <row r="1253" spans="1:10" x14ac:dyDescent="0.25">
      <c r="A1253" s="1">
        <v>516</v>
      </c>
      <c r="B1253" t="s">
        <v>25</v>
      </c>
      <c r="C1253">
        <v>635</v>
      </c>
      <c r="D1253">
        <v>1</v>
      </c>
      <c r="E1253" t="s">
        <v>27</v>
      </c>
      <c r="F1253" t="s">
        <v>28</v>
      </c>
      <c r="G1253" t="str">
        <f>"2025-05-21 12:26:58.894"</f>
        <v>2025-05-21 12:26:58.894</v>
      </c>
      <c r="H1253" t="s">
        <v>21</v>
      </c>
      <c r="I1253">
        <v>8.18</v>
      </c>
      <c r="J1253" t="s">
        <v>29</v>
      </c>
    </row>
    <row r="1254" spans="1:10" x14ac:dyDescent="0.25">
      <c r="A1254" s="1">
        <v>517</v>
      </c>
      <c r="B1254" t="s">
        <v>19</v>
      </c>
      <c r="C1254">
        <v>706</v>
      </c>
      <c r="D1254">
        <v>4</v>
      </c>
      <c r="E1254" t="s">
        <v>30</v>
      </c>
      <c r="F1254" t="s">
        <v>34</v>
      </c>
      <c r="G1254" t="str">
        <f>"2025-05-20 17:44:12.470"</f>
        <v>2025-05-20 17:44:12.470</v>
      </c>
      <c r="H1254" t="s">
        <v>21</v>
      </c>
      <c r="I1254">
        <v>0</v>
      </c>
      <c r="J1254" t="s">
        <v>32</v>
      </c>
    </row>
    <row r="1255" spans="1:10" x14ac:dyDescent="0.25">
      <c r="A1255" s="1">
        <v>518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"2025-05-20 17:42:38.630"</f>
        <v>2025-05-20 17:42:38.630</v>
      </c>
      <c r="H1255" t="s">
        <v>21</v>
      </c>
    </row>
    <row r="1256" spans="1:10" x14ac:dyDescent="0.25">
      <c r="A1256" s="1">
        <v>519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"2025-05-20 17:15:57.643"</f>
        <v>2025-05-20 17:15:57.643</v>
      </c>
      <c r="H1256" t="s">
        <v>21</v>
      </c>
    </row>
    <row r="1257" spans="1:10" x14ac:dyDescent="0.25">
      <c r="A1257" s="1">
        <v>520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"2025-05-20 08:24:09.645"</f>
        <v>2025-05-20 08:24:09.645</v>
      </c>
      <c r="H1257" t="s">
        <v>21</v>
      </c>
    </row>
    <row r="1258" spans="1:10" x14ac:dyDescent="0.25">
      <c r="A1258" s="1">
        <v>521</v>
      </c>
      <c r="B1258" t="s">
        <v>22</v>
      </c>
      <c r="C1258">
        <v>61</v>
      </c>
      <c r="D1258">
        <v>2</v>
      </c>
      <c r="E1258" t="s">
        <v>41</v>
      </c>
      <c r="F1258" t="s">
        <v>42</v>
      </c>
      <c r="G1258" t="str">
        <f>"2025-05-20 07:10:15.759"</f>
        <v>2025-05-20 07:10:15.759</v>
      </c>
      <c r="H1258" t="s">
        <v>21</v>
      </c>
    </row>
    <row r="1259" spans="1:10" x14ac:dyDescent="0.25">
      <c r="A1259" s="1">
        <v>522</v>
      </c>
      <c r="B1259" t="s">
        <v>40</v>
      </c>
      <c r="C1259">
        <v>61</v>
      </c>
      <c r="D1259">
        <v>2</v>
      </c>
      <c r="E1259" t="s">
        <v>41</v>
      </c>
      <c r="F1259" t="s">
        <v>42</v>
      </c>
      <c r="G1259" t="str">
        <f>"2025-05-20 07:10:05.759"</f>
        <v>2025-05-20 07:10:05.759</v>
      </c>
      <c r="H1259" t="s">
        <v>21</v>
      </c>
      <c r="I1259">
        <v>30.28</v>
      </c>
      <c r="J1259" t="s">
        <v>26</v>
      </c>
    </row>
    <row r="1260" spans="1:10" x14ac:dyDescent="0.25">
      <c r="A1260" s="1">
        <v>523</v>
      </c>
      <c r="B1260" t="s">
        <v>22</v>
      </c>
      <c r="C1260">
        <v>61</v>
      </c>
      <c r="D1260">
        <v>2</v>
      </c>
      <c r="E1260" t="s">
        <v>41</v>
      </c>
      <c r="F1260" t="s">
        <v>42</v>
      </c>
      <c r="G1260" t="str">
        <f>"2025-05-20 04:27:37.959"</f>
        <v>2025-05-20 04:27:37.959</v>
      </c>
      <c r="H1260" t="s">
        <v>21</v>
      </c>
    </row>
    <row r="1261" spans="1:10" x14ac:dyDescent="0.25">
      <c r="A1261" s="1">
        <v>524</v>
      </c>
      <c r="B1261" t="s">
        <v>40</v>
      </c>
      <c r="C1261">
        <v>61</v>
      </c>
      <c r="D1261">
        <v>2</v>
      </c>
      <c r="E1261" t="s">
        <v>41</v>
      </c>
      <c r="F1261" t="s">
        <v>42</v>
      </c>
      <c r="G1261" t="str">
        <f>"2025-05-20 04:27:31.560"</f>
        <v>2025-05-20 04:27:31.560</v>
      </c>
      <c r="H1261" t="s">
        <v>21</v>
      </c>
      <c r="I1261">
        <v>29.57</v>
      </c>
      <c r="J1261" t="s">
        <v>26</v>
      </c>
    </row>
    <row r="1262" spans="1:10" x14ac:dyDescent="0.25">
      <c r="A1262" s="1">
        <v>525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"2025-05-19 04:07:42.624"</f>
        <v>2025-05-19 04:07:42.624</v>
      </c>
      <c r="H1262" t="s">
        <v>21</v>
      </c>
      <c r="I1262">
        <v>0</v>
      </c>
      <c r="J1262" t="s">
        <v>33</v>
      </c>
    </row>
    <row r="1263" spans="1:10" x14ac:dyDescent="0.25">
      <c r="A1263" s="1">
        <v>526</v>
      </c>
      <c r="B1263" t="s">
        <v>19</v>
      </c>
      <c r="C1263">
        <v>706</v>
      </c>
      <c r="D1263">
        <v>4</v>
      </c>
      <c r="E1263" t="s">
        <v>30</v>
      </c>
      <c r="F1263" t="s">
        <v>34</v>
      </c>
      <c r="G1263" t="str">
        <f>"2025-05-19 03:26:56.866"</f>
        <v>2025-05-19 03:26:56.866</v>
      </c>
      <c r="H1263" t="s">
        <v>21</v>
      </c>
      <c r="I1263">
        <v>0</v>
      </c>
      <c r="J1263" t="s">
        <v>32</v>
      </c>
    </row>
    <row r="1264" spans="1:10" x14ac:dyDescent="0.25">
      <c r="A1264" s="1">
        <v>527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"2025-05-19 03:25:04.646"</f>
        <v>2025-05-19 03:25:04.646</v>
      </c>
      <c r="H1264" t="s">
        <v>21</v>
      </c>
      <c r="I1264">
        <v>0</v>
      </c>
      <c r="J1264" t="s">
        <v>33</v>
      </c>
    </row>
    <row r="1265" spans="1:10" x14ac:dyDescent="0.25">
      <c r="A1265" s="1">
        <v>528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"2025-05-18 10:21:54.647"</f>
        <v>2025-05-18 10:21:54.647</v>
      </c>
      <c r="H1265" t="s">
        <v>21</v>
      </c>
    </row>
    <row r="1266" spans="1:10" x14ac:dyDescent="0.25">
      <c r="A1266" s="1">
        <v>529</v>
      </c>
      <c r="B1266" t="s">
        <v>22</v>
      </c>
      <c r="C1266">
        <v>61</v>
      </c>
      <c r="D1266">
        <v>2</v>
      </c>
      <c r="E1266" t="s">
        <v>41</v>
      </c>
      <c r="F1266" t="s">
        <v>42</v>
      </c>
      <c r="G1266" t="str">
        <f>"2025-05-17 20:59:20.253"</f>
        <v>2025-05-17 20:59:20.253</v>
      </c>
      <c r="H1266" t="s">
        <v>21</v>
      </c>
    </row>
    <row r="1267" spans="1:10" x14ac:dyDescent="0.25">
      <c r="A1267" s="1">
        <v>530</v>
      </c>
      <c r="B1267" t="s">
        <v>40</v>
      </c>
      <c r="C1267">
        <v>61</v>
      </c>
      <c r="D1267">
        <v>2</v>
      </c>
      <c r="E1267" t="s">
        <v>41</v>
      </c>
      <c r="F1267" t="s">
        <v>42</v>
      </c>
      <c r="G1267" t="str">
        <f>"2025-05-17 20:59:09.053"</f>
        <v>2025-05-17 20:59:09.053</v>
      </c>
      <c r="H1267" t="s">
        <v>21</v>
      </c>
      <c r="I1267">
        <v>31.66</v>
      </c>
      <c r="J1267" t="s">
        <v>26</v>
      </c>
    </row>
    <row r="1268" spans="1:10" x14ac:dyDescent="0.25">
      <c r="A1268" s="1">
        <v>531</v>
      </c>
      <c r="B1268" t="s">
        <v>22</v>
      </c>
      <c r="C1268">
        <v>61</v>
      </c>
      <c r="D1268">
        <v>2</v>
      </c>
      <c r="E1268" t="s">
        <v>41</v>
      </c>
      <c r="F1268" t="s">
        <v>42</v>
      </c>
      <c r="G1268" t="str">
        <f>"2025-05-17 20:12:12.853"</f>
        <v>2025-05-17 20:12:12.853</v>
      </c>
      <c r="H1268" t="s">
        <v>21</v>
      </c>
    </row>
    <row r="1269" spans="1:10" x14ac:dyDescent="0.25">
      <c r="A1269" s="1">
        <v>532</v>
      </c>
      <c r="B1269" t="s">
        <v>40</v>
      </c>
      <c r="C1269">
        <v>61</v>
      </c>
      <c r="D1269">
        <v>2</v>
      </c>
      <c r="E1269" t="s">
        <v>41</v>
      </c>
      <c r="F1269" t="s">
        <v>42</v>
      </c>
      <c r="G1269" t="str">
        <f>"2025-05-17 20:12:02.953"</f>
        <v>2025-05-17 20:12:02.953</v>
      </c>
      <c r="H1269" t="s">
        <v>21</v>
      </c>
      <c r="I1269">
        <v>30.57</v>
      </c>
      <c r="J1269" t="s">
        <v>26</v>
      </c>
    </row>
    <row r="1270" spans="1:10" x14ac:dyDescent="0.25">
      <c r="A1270" s="1">
        <v>533</v>
      </c>
      <c r="B1270" t="s">
        <v>22</v>
      </c>
      <c r="C1270">
        <v>61</v>
      </c>
      <c r="D1270">
        <v>2</v>
      </c>
      <c r="E1270" t="s">
        <v>41</v>
      </c>
      <c r="F1270" t="s">
        <v>42</v>
      </c>
      <c r="G1270" t="str">
        <f>"2025-05-17 19:06:49.153"</f>
        <v>2025-05-17 19:06:49.153</v>
      </c>
      <c r="H1270" t="s">
        <v>21</v>
      </c>
    </row>
    <row r="1271" spans="1:10" x14ac:dyDescent="0.25">
      <c r="A1271" s="1">
        <v>534</v>
      </c>
      <c r="B1271" t="s">
        <v>40</v>
      </c>
      <c r="C1271">
        <v>61</v>
      </c>
      <c r="D1271">
        <v>2</v>
      </c>
      <c r="E1271" t="s">
        <v>41</v>
      </c>
      <c r="F1271" t="s">
        <v>42</v>
      </c>
      <c r="G1271" t="str">
        <f>"2025-05-17 19:06:39.253"</f>
        <v>2025-05-17 19:06:39.253</v>
      </c>
      <c r="H1271" t="s">
        <v>21</v>
      </c>
      <c r="I1271">
        <v>30.33</v>
      </c>
      <c r="J1271" t="s">
        <v>26</v>
      </c>
    </row>
    <row r="1272" spans="1:10" x14ac:dyDescent="0.25">
      <c r="A1272" s="1">
        <v>535</v>
      </c>
      <c r="B1272" t="s">
        <v>22</v>
      </c>
      <c r="C1272">
        <v>635</v>
      </c>
      <c r="D1272">
        <v>1</v>
      </c>
      <c r="E1272" t="s">
        <v>27</v>
      </c>
      <c r="F1272" t="s">
        <v>28</v>
      </c>
      <c r="G1272" t="str">
        <f>"2025-05-17 11:43:47.939"</f>
        <v>2025-05-17 11:43:47.939</v>
      </c>
      <c r="H1272" t="s">
        <v>21</v>
      </c>
    </row>
    <row r="1273" spans="1:10" x14ac:dyDescent="0.25">
      <c r="A1273" s="1">
        <v>536</v>
      </c>
      <c r="B1273" t="s">
        <v>25</v>
      </c>
      <c r="C1273">
        <v>635</v>
      </c>
      <c r="D1273">
        <v>1</v>
      </c>
      <c r="E1273" t="s">
        <v>27</v>
      </c>
      <c r="F1273" t="s">
        <v>28</v>
      </c>
      <c r="G1273" t="str">
        <f>"2025-05-17 11:37:00.939"</f>
        <v>2025-05-17 11:37:00.939</v>
      </c>
      <c r="H1273" t="s">
        <v>21</v>
      </c>
      <c r="I1273">
        <v>0</v>
      </c>
      <c r="J1273" t="s">
        <v>35</v>
      </c>
    </row>
    <row r="1274" spans="1:10" x14ac:dyDescent="0.25">
      <c r="A1274" s="1">
        <v>537</v>
      </c>
      <c r="B1274" t="s">
        <v>22</v>
      </c>
      <c r="C1274">
        <v>630</v>
      </c>
      <c r="D1274">
        <v>5</v>
      </c>
      <c r="E1274" t="s">
        <v>66</v>
      </c>
      <c r="F1274" t="s">
        <v>67</v>
      </c>
      <c r="G1274" t="str">
        <f>"2025-05-16 09:57:48.039"</f>
        <v>2025-05-16 09:57:48.039</v>
      </c>
      <c r="H1274" t="s">
        <v>68</v>
      </c>
    </row>
    <row r="1275" spans="1:10" x14ac:dyDescent="0.25">
      <c r="A1275" s="1">
        <v>538</v>
      </c>
      <c r="B1275" t="s">
        <v>19</v>
      </c>
      <c r="C1275">
        <v>706</v>
      </c>
      <c r="D1275">
        <v>2</v>
      </c>
      <c r="E1275" t="s">
        <v>30</v>
      </c>
      <c r="F1275" t="s">
        <v>31</v>
      </c>
      <c r="G1275" t="str">
        <f>"2025-05-16 09:57:17.908"</f>
        <v>2025-05-16 09:57:17.908</v>
      </c>
      <c r="H1275" t="s">
        <v>21</v>
      </c>
      <c r="I1275">
        <v>0</v>
      </c>
      <c r="J1275" t="s">
        <v>32</v>
      </c>
    </row>
    <row r="1276" spans="1:10" x14ac:dyDescent="0.25">
      <c r="A1276" s="1">
        <v>539</v>
      </c>
      <c r="B1276" t="s">
        <v>40</v>
      </c>
      <c r="C1276">
        <v>630</v>
      </c>
      <c r="D1276">
        <v>5</v>
      </c>
      <c r="E1276" t="s">
        <v>66</v>
      </c>
      <c r="F1276" t="s">
        <v>67</v>
      </c>
      <c r="G1276" t="str">
        <f>"2025-05-16 09:48:20.439"</f>
        <v>2025-05-16 09:48:20.439</v>
      </c>
      <c r="H1276" t="s">
        <v>68</v>
      </c>
      <c r="I1276">
        <v>0</v>
      </c>
      <c r="J1276" t="s">
        <v>32</v>
      </c>
    </row>
    <row r="1277" spans="1:10" x14ac:dyDescent="0.25">
      <c r="A1277" s="1">
        <v>540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"2025-05-16 09:43:17.648"</f>
        <v>2025-05-16 09:43:17.648</v>
      </c>
      <c r="H1277" t="s">
        <v>21</v>
      </c>
      <c r="I1277">
        <v>0</v>
      </c>
      <c r="J1277" t="s">
        <v>33</v>
      </c>
    </row>
    <row r="1278" spans="1:10" x14ac:dyDescent="0.25">
      <c r="A1278" s="1">
        <v>541</v>
      </c>
      <c r="B1278" t="s">
        <v>22</v>
      </c>
      <c r="C1278">
        <v>630</v>
      </c>
      <c r="D1278">
        <v>5</v>
      </c>
      <c r="E1278" t="s">
        <v>66</v>
      </c>
      <c r="F1278" t="s">
        <v>67</v>
      </c>
      <c r="G1278" t="str">
        <f>"2025-05-16 03:31:09.359"</f>
        <v>2025-05-16 03:31:09.359</v>
      </c>
      <c r="H1278" t="s">
        <v>68</v>
      </c>
    </row>
    <row r="1279" spans="1:10" x14ac:dyDescent="0.25">
      <c r="A1279" s="1">
        <v>542</v>
      </c>
      <c r="B1279" t="s">
        <v>19</v>
      </c>
      <c r="C1279">
        <v>706</v>
      </c>
      <c r="D1279">
        <v>2</v>
      </c>
      <c r="E1279" t="s">
        <v>30</v>
      </c>
      <c r="F1279" t="s">
        <v>31</v>
      </c>
      <c r="G1279" t="str">
        <f>"2025-05-16 03:30:39.187"</f>
        <v>2025-05-16 03:30:39.187</v>
      </c>
      <c r="H1279" t="s">
        <v>21</v>
      </c>
      <c r="I1279">
        <v>0</v>
      </c>
      <c r="J1279" t="s">
        <v>32</v>
      </c>
    </row>
    <row r="1280" spans="1:10" x14ac:dyDescent="0.25">
      <c r="A1280" s="1">
        <v>543</v>
      </c>
      <c r="B1280" t="s">
        <v>40</v>
      </c>
      <c r="C1280">
        <v>630</v>
      </c>
      <c r="D1280">
        <v>5</v>
      </c>
      <c r="E1280" t="s">
        <v>66</v>
      </c>
      <c r="F1280" t="s">
        <v>67</v>
      </c>
      <c r="G1280" t="str">
        <f>"2025-05-16 02:26:55.359"</f>
        <v>2025-05-16 02:26:55.359</v>
      </c>
      <c r="H1280" t="s">
        <v>68</v>
      </c>
      <c r="I1280">
        <v>0</v>
      </c>
      <c r="J1280" t="s">
        <v>32</v>
      </c>
    </row>
    <row r="1281" spans="1:10" x14ac:dyDescent="0.25">
      <c r="A1281" s="1">
        <v>544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"2025-05-16 02:21:52.607"</f>
        <v>2025-05-16 02:21:52.607</v>
      </c>
      <c r="H1281" t="s">
        <v>21</v>
      </c>
      <c r="I1281">
        <v>0</v>
      </c>
      <c r="J1281" t="s">
        <v>33</v>
      </c>
    </row>
    <row r="1282" spans="1:10" x14ac:dyDescent="0.25">
      <c r="A1282" s="1">
        <v>545</v>
      </c>
      <c r="B1282" t="s">
        <v>19</v>
      </c>
      <c r="C1282">
        <v>719</v>
      </c>
      <c r="D1282">
        <v>5</v>
      </c>
      <c r="E1282" t="s">
        <v>61</v>
      </c>
      <c r="F1282" t="s">
        <v>62</v>
      </c>
      <c r="G1282" t="str">
        <f>"2025-05-16 01:45:00.241"</f>
        <v>2025-05-16 01:45:00.241</v>
      </c>
      <c r="H1282" t="s">
        <v>21</v>
      </c>
      <c r="I1282">
        <v>0</v>
      </c>
      <c r="J1282" t="s">
        <v>32</v>
      </c>
    </row>
    <row r="1283" spans="1:10" x14ac:dyDescent="0.25">
      <c r="A1283" s="1">
        <v>546</v>
      </c>
      <c r="B1283" t="s">
        <v>40</v>
      </c>
      <c r="C1283">
        <v>630</v>
      </c>
      <c r="D1283">
        <v>5</v>
      </c>
      <c r="E1283" t="s">
        <v>66</v>
      </c>
      <c r="F1283" t="s">
        <v>67</v>
      </c>
      <c r="G1283" t="str">
        <f>"2025-05-16 01:37:20.458"</f>
        <v>2025-05-16 01:37:20.458</v>
      </c>
      <c r="H1283" t="s">
        <v>68</v>
      </c>
      <c r="I1283">
        <v>0</v>
      </c>
      <c r="J1283" t="s">
        <v>32</v>
      </c>
    </row>
    <row r="1284" spans="1:10" x14ac:dyDescent="0.25">
      <c r="A1284" s="1">
        <v>547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"2025-05-16 01:32:17.616"</f>
        <v>2025-05-16 01:32:17.616</v>
      </c>
      <c r="H1284" t="s">
        <v>21</v>
      </c>
      <c r="I1284">
        <v>0</v>
      </c>
      <c r="J1284" t="s">
        <v>33</v>
      </c>
    </row>
    <row r="1285" spans="1:10" x14ac:dyDescent="0.25">
      <c r="A1285" s="1">
        <v>548</v>
      </c>
      <c r="B1285" t="s">
        <v>22</v>
      </c>
      <c r="C1285">
        <v>635</v>
      </c>
      <c r="D1285">
        <v>1</v>
      </c>
      <c r="E1285" t="s">
        <v>27</v>
      </c>
      <c r="F1285" t="s">
        <v>28</v>
      </c>
      <c r="G1285" t="str">
        <f>"2025-05-15 05:17:59.334"</f>
        <v>2025-05-15 05:17:59.334</v>
      </c>
      <c r="H1285" t="s">
        <v>21</v>
      </c>
    </row>
    <row r="1286" spans="1:10" x14ac:dyDescent="0.25">
      <c r="A1286" s="1">
        <v>549</v>
      </c>
      <c r="B1286" t="s">
        <v>25</v>
      </c>
      <c r="C1286">
        <v>635</v>
      </c>
      <c r="D1286">
        <v>1</v>
      </c>
      <c r="E1286" t="s">
        <v>27</v>
      </c>
      <c r="F1286" t="s">
        <v>28</v>
      </c>
      <c r="G1286" t="str">
        <f>"2025-05-15 04:57:14.834"</f>
        <v>2025-05-15 04:57:14.834</v>
      </c>
      <c r="H1286" t="s">
        <v>21</v>
      </c>
      <c r="I1286">
        <v>5.0199999999999996</v>
      </c>
      <c r="J1286" t="s">
        <v>29</v>
      </c>
    </row>
    <row r="1287" spans="1:10" x14ac:dyDescent="0.25">
      <c r="A1287" s="1">
        <v>550</v>
      </c>
      <c r="B1287" t="s">
        <v>19</v>
      </c>
      <c r="C1287">
        <v>706</v>
      </c>
      <c r="D1287">
        <v>4</v>
      </c>
      <c r="E1287" t="s">
        <v>30</v>
      </c>
      <c r="F1287" t="s">
        <v>34</v>
      </c>
      <c r="G1287" t="str">
        <f>"2025-05-10 20:46:46.670"</f>
        <v>2025-05-10 20:46:46.670</v>
      </c>
      <c r="H1287" t="s">
        <v>21</v>
      </c>
      <c r="I1287">
        <v>0</v>
      </c>
      <c r="J1287" t="s">
        <v>32</v>
      </c>
    </row>
    <row r="1288" spans="1:10" x14ac:dyDescent="0.25">
      <c r="A1288" s="1">
        <v>551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"2025-05-10 20:46:19.600"</f>
        <v>2025-05-10 20:46:19.600</v>
      </c>
      <c r="H1288" t="s">
        <v>21</v>
      </c>
      <c r="I1288">
        <v>0</v>
      </c>
      <c r="J1288" t="s">
        <v>33</v>
      </c>
    </row>
    <row r="1289" spans="1:10" x14ac:dyDescent="0.25">
      <c r="A1289" s="1">
        <v>552</v>
      </c>
      <c r="B1289" t="s">
        <v>22</v>
      </c>
      <c r="C1289">
        <v>61</v>
      </c>
      <c r="D1289">
        <v>2</v>
      </c>
      <c r="E1289" t="s">
        <v>41</v>
      </c>
      <c r="F1289" t="s">
        <v>42</v>
      </c>
      <c r="G1289" t="str">
        <f>"2025-05-08 12:34:54.723"</f>
        <v>2025-05-08 12:34:54.723</v>
      </c>
      <c r="H1289" t="s">
        <v>21</v>
      </c>
    </row>
    <row r="1290" spans="1:10" x14ac:dyDescent="0.25">
      <c r="A1290" s="1">
        <v>553</v>
      </c>
      <c r="B1290" t="s">
        <v>40</v>
      </c>
      <c r="C1290">
        <v>61</v>
      </c>
      <c r="D1290">
        <v>2</v>
      </c>
      <c r="E1290" t="s">
        <v>41</v>
      </c>
      <c r="F1290" t="s">
        <v>42</v>
      </c>
      <c r="G1290" t="str">
        <f>"2025-05-08 12:34:45.323"</f>
        <v>2025-05-08 12:34:45.323</v>
      </c>
      <c r="H1290" t="s">
        <v>21</v>
      </c>
      <c r="I1290">
        <v>30.29</v>
      </c>
      <c r="J1290" t="s">
        <v>26</v>
      </c>
    </row>
    <row r="1291" spans="1:10" x14ac:dyDescent="0.25">
      <c r="A1291" s="1">
        <v>554</v>
      </c>
      <c r="B1291" t="s">
        <v>22</v>
      </c>
      <c r="C1291">
        <v>635</v>
      </c>
      <c r="D1291">
        <v>1</v>
      </c>
      <c r="E1291" t="s">
        <v>27</v>
      </c>
      <c r="F1291" t="s">
        <v>28</v>
      </c>
      <c r="G1291" t="str">
        <f>"2025-05-07 05:36:36.649"</f>
        <v>2025-05-07 05:36:36.649</v>
      </c>
      <c r="H1291" t="s">
        <v>21</v>
      </c>
    </row>
    <row r="1292" spans="1:10" x14ac:dyDescent="0.25">
      <c r="A1292" s="1">
        <v>555</v>
      </c>
      <c r="B1292" t="s">
        <v>25</v>
      </c>
      <c r="C1292">
        <v>635</v>
      </c>
      <c r="D1292">
        <v>1</v>
      </c>
      <c r="E1292" t="s">
        <v>27</v>
      </c>
      <c r="F1292" t="s">
        <v>28</v>
      </c>
      <c r="G1292" t="str">
        <f>"2025-05-07 05:15:52.749"</f>
        <v>2025-05-07 05:15:52.749</v>
      </c>
      <c r="H1292" t="s">
        <v>21</v>
      </c>
      <c r="I1292">
        <v>8.98</v>
      </c>
      <c r="J1292" t="s">
        <v>26</v>
      </c>
    </row>
    <row r="1293" spans="1:10" x14ac:dyDescent="0.25">
      <c r="A1293" s="1">
        <v>556</v>
      </c>
      <c r="B1293" t="s">
        <v>22</v>
      </c>
      <c r="C1293">
        <v>635</v>
      </c>
      <c r="D1293">
        <v>1</v>
      </c>
      <c r="E1293" t="s">
        <v>27</v>
      </c>
      <c r="F1293" t="s">
        <v>28</v>
      </c>
      <c r="G1293" t="str">
        <f>"2025-05-06 05:50:43.149"</f>
        <v>2025-05-06 05:50:43.149</v>
      </c>
      <c r="H1293" t="s">
        <v>21</v>
      </c>
    </row>
    <row r="1294" spans="1:10" x14ac:dyDescent="0.25">
      <c r="A1294" s="1">
        <v>557</v>
      </c>
      <c r="B1294" t="s">
        <v>25</v>
      </c>
      <c r="C1294">
        <v>635</v>
      </c>
      <c r="D1294">
        <v>1</v>
      </c>
      <c r="E1294" t="s">
        <v>27</v>
      </c>
      <c r="F1294" t="s">
        <v>28</v>
      </c>
      <c r="G1294" t="str">
        <f>"2025-05-06 05:33:40.149"</f>
        <v>2025-05-06 05:33:40.149</v>
      </c>
      <c r="H1294" t="s">
        <v>21</v>
      </c>
      <c r="I1294">
        <v>6.46</v>
      </c>
      <c r="J1294" t="s">
        <v>29</v>
      </c>
    </row>
    <row r="1295" spans="1:10" x14ac:dyDescent="0.25">
      <c r="A1295" s="1">
        <v>558</v>
      </c>
      <c r="B1295" t="s">
        <v>22</v>
      </c>
      <c r="C1295">
        <v>630</v>
      </c>
      <c r="D1295">
        <v>5</v>
      </c>
      <c r="E1295" t="s">
        <v>66</v>
      </c>
      <c r="F1295" t="s">
        <v>67</v>
      </c>
      <c r="G1295" t="str">
        <f>"2025-05-05 23:22:32.302"</f>
        <v>2025-05-05 23:22:32.302</v>
      </c>
      <c r="H1295" t="s">
        <v>68</v>
      </c>
    </row>
    <row r="1296" spans="1:10" x14ac:dyDescent="0.25">
      <c r="A1296" s="1">
        <v>559</v>
      </c>
      <c r="B1296" t="s">
        <v>19</v>
      </c>
      <c r="C1296">
        <v>706</v>
      </c>
      <c r="D1296">
        <v>4</v>
      </c>
      <c r="E1296" t="s">
        <v>30</v>
      </c>
      <c r="F1296" t="s">
        <v>34</v>
      </c>
      <c r="G1296" t="str">
        <f>"2025-05-05 23:22:02.348"</f>
        <v>2025-05-05 23:22:02.348</v>
      </c>
      <c r="H1296" t="s">
        <v>21</v>
      </c>
      <c r="I1296">
        <v>0</v>
      </c>
      <c r="J1296" t="s">
        <v>32</v>
      </c>
    </row>
    <row r="1297" spans="1:10" x14ac:dyDescent="0.25">
      <c r="A1297" s="1">
        <v>560</v>
      </c>
      <c r="B1297" t="s">
        <v>40</v>
      </c>
      <c r="C1297">
        <v>630</v>
      </c>
      <c r="D1297">
        <v>5</v>
      </c>
      <c r="E1297" t="s">
        <v>66</v>
      </c>
      <c r="F1297" t="s">
        <v>67</v>
      </c>
      <c r="G1297" t="str">
        <f>"2025-05-05 22:41:06.802"</f>
        <v>2025-05-05 22:41:06.802</v>
      </c>
      <c r="H1297" t="s">
        <v>68</v>
      </c>
      <c r="I1297">
        <v>0</v>
      </c>
      <c r="J1297" t="s">
        <v>32</v>
      </c>
    </row>
    <row r="1298" spans="1:10" x14ac:dyDescent="0.25">
      <c r="A1298" s="1">
        <v>561</v>
      </c>
      <c r="B1298" t="s">
        <v>22</v>
      </c>
      <c r="C1298">
        <v>630</v>
      </c>
      <c r="D1298">
        <v>5</v>
      </c>
      <c r="E1298" t="s">
        <v>66</v>
      </c>
      <c r="F1298" t="s">
        <v>67</v>
      </c>
      <c r="G1298" t="str">
        <f>"2025-05-05 22:34:56.602"</f>
        <v>2025-05-05 22:34:56.602</v>
      </c>
      <c r="H1298" t="s">
        <v>68</v>
      </c>
    </row>
    <row r="1299" spans="1:10" x14ac:dyDescent="0.25">
      <c r="A1299" s="1">
        <v>562</v>
      </c>
      <c r="B1299" t="s">
        <v>19</v>
      </c>
      <c r="C1299">
        <v>706</v>
      </c>
      <c r="D1299">
        <v>2</v>
      </c>
      <c r="E1299" t="s">
        <v>30</v>
      </c>
      <c r="F1299" t="s">
        <v>31</v>
      </c>
      <c r="G1299" t="str">
        <f>"2025-05-05 22:34:26.538"</f>
        <v>2025-05-05 22:34:26.538</v>
      </c>
      <c r="H1299" t="s">
        <v>21</v>
      </c>
      <c r="I1299">
        <v>0</v>
      </c>
      <c r="J1299" t="s">
        <v>32</v>
      </c>
    </row>
    <row r="1300" spans="1:10" x14ac:dyDescent="0.25">
      <c r="A1300" s="1">
        <v>563</v>
      </c>
      <c r="B1300" t="s">
        <v>40</v>
      </c>
      <c r="C1300">
        <v>630</v>
      </c>
      <c r="D1300">
        <v>5</v>
      </c>
      <c r="E1300" t="s">
        <v>66</v>
      </c>
      <c r="F1300" t="s">
        <v>67</v>
      </c>
      <c r="G1300" t="str">
        <f>"2025-05-05 22:17:28.402"</f>
        <v>2025-05-05 22:17:28.402</v>
      </c>
      <c r="H1300" t="s">
        <v>68</v>
      </c>
      <c r="I1300">
        <v>0</v>
      </c>
      <c r="J1300" t="s">
        <v>32</v>
      </c>
    </row>
    <row r="1301" spans="1:10" x14ac:dyDescent="0.25">
      <c r="A1301" s="1">
        <v>564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"2025-05-05 22:12:25.598"</f>
        <v>2025-05-05 22:12:25.598</v>
      </c>
      <c r="H1301" t="s">
        <v>21</v>
      </c>
      <c r="I1301">
        <v>0</v>
      </c>
      <c r="J1301" t="s">
        <v>33</v>
      </c>
    </row>
    <row r="1302" spans="1:10" x14ac:dyDescent="0.25">
      <c r="A1302" s="1">
        <v>565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"2025-05-05 21:46:35.599"</f>
        <v>2025-05-05 21:46:35.599</v>
      </c>
      <c r="H1302" t="s">
        <v>21</v>
      </c>
      <c r="I1302">
        <v>0</v>
      </c>
      <c r="J1302" t="s">
        <v>33</v>
      </c>
    </row>
    <row r="1303" spans="1:10" x14ac:dyDescent="0.25">
      <c r="A1303" s="1">
        <v>566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"2025-05-05 20:57:23.588"</f>
        <v>2025-05-05 20:57:23.588</v>
      </c>
      <c r="H1303" t="s">
        <v>21</v>
      </c>
    </row>
    <row r="1304" spans="1:10" x14ac:dyDescent="0.25">
      <c r="A1304" s="1">
        <v>567</v>
      </c>
      <c r="B1304" t="s">
        <v>22</v>
      </c>
      <c r="C1304">
        <v>635</v>
      </c>
      <c r="D1304">
        <v>1</v>
      </c>
      <c r="E1304" t="s">
        <v>27</v>
      </c>
      <c r="F1304" t="s">
        <v>28</v>
      </c>
      <c r="G1304" t="str">
        <f>"2025-05-05 17:52:51.144"</f>
        <v>2025-05-05 17:52:51.144</v>
      </c>
      <c r="H1304" t="s">
        <v>21</v>
      </c>
    </row>
    <row r="1305" spans="1:10" x14ac:dyDescent="0.25">
      <c r="A1305" s="1">
        <v>568</v>
      </c>
      <c r="B1305" t="s">
        <v>25</v>
      </c>
      <c r="C1305">
        <v>635</v>
      </c>
      <c r="D1305">
        <v>1</v>
      </c>
      <c r="E1305" t="s">
        <v>27</v>
      </c>
      <c r="F1305" t="s">
        <v>28</v>
      </c>
      <c r="G1305" t="str">
        <f>"2025-05-05 17:46:15.145"</f>
        <v>2025-05-05 17:46:15.145</v>
      </c>
      <c r="H1305" t="s">
        <v>21</v>
      </c>
      <c r="I1305">
        <v>2.4500000000000002</v>
      </c>
      <c r="J1305" t="s">
        <v>29</v>
      </c>
    </row>
    <row r="1306" spans="1:10" x14ac:dyDescent="0.25">
      <c r="A1306" s="1">
        <v>569</v>
      </c>
      <c r="B1306" t="s">
        <v>22</v>
      </c>
      <c r="C1306">
        <v>635</v>
      </c>
      <c r="D1306">
        <v>1</v>
      </c>
      <c r="E1306" t="s">
        <v>27</v>
      </c>
      <c r="F1306" t="s">
        <v>28</v>
      </c>
      <c r="G1306" t="str">
        <f>"2025-05-04 10:10:54.345"</f>
        <v>2025-05-04 10:10:54.345</v>
      </c>
      <c r="H1306" t="s">
        <v>21</v>
      </c>
    </row>
    <row r="1307" spans="1:10" x14ac:dyDescent="0.25">
      <c r="A1307" s="1">
        <v>570</v>
      </c>
      <c r="B1307" t="s">
        <v>25</v>
      </c>
      <c r="C1307">
        <v>635</v>
      </c>
      <c r="D1307">
        <v>1</v>
      </c>
      <c r="E1307" t="s">
        <v>27</v>
      </c>
      <c r="F1307" t="s">
        <v>28</v>
      </c>
      <c r="G1307" t="str">
        <f>"2025-05-04 10:07:08.845"</f>
        <v>2025-05-04 10:07:08.845</v>
      </c>
      <c r="H1307" t="s">
        <v>21</v>
      </c>
      <c r="I1307">
        <v>4.2300000000000004</v>
      </c>
      <c r="J1307" t="s">
        <v>26</v>
      </c>
    </row>
    <row r="1308" spans="1:10" x14ac:dyDescent="0.25">
      <c r="A1308" s="1">
        <v>571</v>
      </c>
      <c r="B1308" t="s">
        <v>22</v>
      </c>
      <c r="C1308">
        <v>635</v>
      </c>
      <c r="D1308">
        <v>1</v>
      </c>
      <c r="E1308" t="s">
        <v>27</v>
      </c>
      <c r="F1308" t="s">
        <v>28</v>
      </c>
      <c r="G1308" t="str">
        <f>"2025-05-04 02:10:02.745"</f>
        <v>2025-05-04 02:10:02.745</v>
      </c>
      <c r="H1308" t="s">
        <v>21</v>
      </c>
    </row>
    <row r="1309" spans="1:10" x14ac:dyDescent="0.25">
      <c r="A1309" s="1">
        <v>572</v>
      </c>
      <c r="B1309" t="s">
        <v>25</v>
      </c>
      <c r="C1309">
        <v>635</v>
      </c>
      <c r="D1309">
        <v>1</v>
      </c>
      <c r="E1309" t="s">
        <v>27</v>
      </c>
      <c r="F1309" t="s">
        <v>28</v>
      </c>
      <c r="G1309" t="str">
        <f>"2025-05-04 01:47:51.745"</f>
        <v>2025-05-04 01:47:51.745</v>
      </c>
      <c r="H1309" t="s">
        <v>21</v>
      </c>
      <c r="I1309">
        <v>7.4</v>
      </c>
      <c r="J1309" t="s">
        <v>29</v>
      </c>
    </row>
    <row r="1310" spans="1:10" x14ac:dyDescent="0.25">
      <c r="A1310" s="1">
        <v>573</v>
      </c>
      <c r="B1310" t="s">
        <v>22</v>
      </c>
      <c r="C1310">
        <v>635</v>
      </c>
      <c r="D1310">
        <v>1</v>
      </c>
      <c r="E1310" t="s">
        <v>27</v>
      </c>
      <c r="F1310" t="s">
        <v>28</v>
      </c>
      <c r="G1310" t="str">
        <f>"2025-05-03 15:05:34.845"</f>
        <v>2025-05-03 15:05:34.845</v>
      </c>
      <c r="H1310" t="s">
        <v>21</v>
      </c>
    </row>
    <row r="1311" spans="1:10" x14ac:dyDescent="0.25">
      <c r="A1311" s="1">
        <v>574</v>
      </c>
      <c r="B1311" t="s">
        <v>25</v>
      </c>
      <c r="C1311">
        <v>635</v>
      </c>
      <c r="D1311">
        <v>1</v>
      </c>
      <c r="E1311" t="s">
        <v>27</v>
      </c>
      <c r="F1311" t="s">
        <v>28</v>
      </c>
      <c r="G1311" t="str">
        <f>"2025-05-03 14:59:06.845"</f>
        <v>2025-05-03 14:59:06.845</v>
      </c>
      <c r="H1311" t="s">
        <v>21</v>
      </c>
      <c r="I1311">
        <v>6.05</v>
      </c>
      <c r="J1311" t="s">
        <v>29</v>
      </c>
    </row>
    <row r="1312" spans="1:10" x14ac:dyDescent="0.25">
      <c r="A1312" s="1">
        <v>576</v>
      </c>
      <c r="B1312" t="s">
        <v>22</v>
      </c>
      <c r="C1312">
        <v>635</v>
      </c>
      <c r="D1312">
        <v>1</v>
      </c>
      <c r="E1312" t="s">
        <v>27</v>
      </c>
      <c r="F1312" t="s">
        <v>28</v>
      </c>
      <c r="G1312" t="str">
        <f>"2025-05-02 03:14:08.545"</f>
        <v>2025-05-02 03:14:08.545</v>
      </c>
      <c r="H1312" t="s">
        <v>21</v>
      </c>
    </row>
    <row r="1313" spans="1:10" x14ac:dyDescent="0.25">
      <c r="A1313" s="1">
        <v>577</v>
      </c>
      <c r="B1313" t="s">
        <v>25</v>
      </c>
      <c r="C1313">
        <v>635</v>
      </c>
      <c r="D1313">
        <v>1</v>
      </c>
      <c r="E1313" t="s">
        <v>27</v>
      </c>
      <c r="F1313" t="s">
        <v>28</v>
      </c>
      <c r="G1313" t="str">
        <f>"2025-05-02 02:57:28.045"</f>
        <v>2025-05-02 02:57:28.045</v>
      </c>
      <c r="H1313" t="s">
        <v>21</v>
      </c>
      <c r="I1313">
        <v>6.83</v>
      </c>
      <c r="J1313" t="s">
        <v>29</v>
      </c>
    </row>
    <row r="1314" spans="1:10" x14ac:dyDescent="0.25">
      <c r="A1314" s="1">
        <v>578</v>
      </c>
      <c r="B1314" t="s">
        <v>19</v>
      </c>
      <c r="C1314">
        <v>706</v>
      </c>
      <c r="D1314">
        <v>4</v>
      </c>
      <c r="E1314" t="s">
        <v>30</v>
      </c>
      <c r="F1314" t="s">
        <v>34</v>
      </c>
      <c r="G1314" t="str">
        <f>"2025-05-01 22:46:39.055"</f>
        <v>2025-05-01 22:46:39.055</v>
      </c>
      <c r="H1314" t="s">
        <v>21</v>
      </c>
      <c r="I1314">
        <v>0</v>
      </c>
      <c r="J1314" t="s">
        <v>32</v>
      </c>
    </row>
    <row r="1315" spans="1:10" x14ac:dyDescent="0.25">
      <c r="A1315" s="1">
        <v>579</v>
      </c>
      <c r="B1315" t="s">
        <v>19</v>
      </c>
      <c r="C1315">
        <v>700</v>
      </c>
      <c r="D1315">
        <v>0</v>
      </c>
      <c r="E1315" t="s">
        <v>20</v>
      </c>
      <c r="F1315" t="s">
        <v>20</v>
      </c>
      <c r="G1315" t="str">
        <f>"2025-05-01 22:46:10.715"</f>
        <v>2025-05-01 22:46:10.715</v>
      </c>
      <c r="H1315" t="s">
        <v>21</v>
      </c>
      <c r="I1315">
        <v>0</v>
      </c>
      <c r="J1315" t="s">
        <v>33</v>
      </c>
    </row>
    <row r="1316" spans="1:10" x14ac:dyDescent="0.25">
      <c r="A1316" s="1">
        <v>580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"2025-04-28 10:26:56.589"</f>
        <v>2025-04-28 10:26:56.589</v>
      </c>
      <c r="H1316" t="s">
        <v>21</v>
      </c>
      <c r="I1316">
        <v>0</v>
      </c>
      <c r="J1316" t="s">
        <v>33</v>
      </c>
    </row>
    <row r="1317" spans="1:10" x14ac:dyDescent="0.25">
      <c r="A1317" s="1">
        <v>581</v>
      </c>
      <c r="B1317" t="s">
        <v>22</v>
      </c>
      <c r="C1317">
        <v>635</v>
      </c>
      <c r="D1317">
        <v>1</v>
      </c>
      <c r="E1317" t="s">
        <v>27</v>
      </c>
      <c r="F1317" t="s">
        <v>28</v>
      </c>
      <c r="G1317" t="str">
        <f>"2025-04-27 09:58:16.156"</f>
        <v>2025-04-27 09:58:16.156</v>
      </c>
      <c r="H1317" t="s">
        <v>21</v>
      </c>
    </row>
    <row r="1318" spans="1:10" x14ac:dyDescent="0.25">
      <c r="A1318" s="1">
        <v>582</v>
      </c>
      <c r="B1318" t="s">
        <v>25</v>
      </c>
      <c r="C1318">
        <v>635</v>
      </c>
      <c r="D1318">
        <v>1</v>
      </c>
      <c r="E1318" t="s">
        <v>27</v>
      </c>
      <c r="F1318" t="s">
        <v>28</v>
      </c>
      <c r="G1318" t="str">
        <f>"2025-04-27 09:51:02.157"</f>
        <v>2025-04-27 09:51:02.157</v>
      </c>
      <c r="H1318" t="s">
        <v>21</v>
      </c>
      <c r="I1318">
        <v>8.2899999999999991</v>
      </c>
      <c r="J1318" t="s">
        <v>26</v>
      </c>
    </row>
    <row r="1319" spans="1:10" x14ac:dyDescent="0.25">
      <c r="A1319" s="1">
        <v>583</v>
      </c>
      <c r="B1319" t="s">
        <v>22</v>
      </c>
      <c r="C1319">
        <v>635</v>
      </c>
      <c r="D1319">
        <v>1</v>
      </c>
      <c r="E1319" t="s">
        <v>27</v>
      </c>
      <c r="F1319" t="s">
        <v>28</v>
      </c>
      <c r="G1319" t="str">
        <f>"2025-04-26 01:35:17.057"</f>
        <v>2025-04-26 01:35:17.057</v>
      </c>
      <c r="H1319" t="s">
        <v>21</v>
      </c>
    </row>
    <row r="1320" spans="1:10" x14ac:dyDescent="0.25">
      <c r="A1320" s="1">
        <v>584</v>
      </c>
      <c r="B1320" t="s">
        <v>25</v>
      </c>
      <c r="C1320">
        <v>635</v>
      </c>
      <c r="D1320">
        <v>1</v>
      </c>
      <c r="E1320" t="s">
        <v>27</v>
      </c>
      <c r="F1320" t="s">
        <v>28</v>
      </c>
      <c r="G1320" t="str">
        <f>"2025-04-26 01:25:19.056"</f>
        <v>2025-04-26 01:25:19.056</v>
      </c>
      <c r="H1320" t="s">
        <v>21</v>
      </c>
      <c r="I1320">
        <v>7.05</v>
      </c>
      <c r="J1320" t="s">
        <v>29</v>
      </c>
    </row>
    <row r="1321" spans="1:10" x14ac:dyDescent="0.25">
      <c r="A1321" s="1">
        <v>585</v>
      </c>
      <c r="B1321" t="s">
        <v>22</v>
      </c>
      <c r="C1321">
        <v>635</v>
      </c>
      <c r="D1321">
        <v>1</v>
      </c>
      <c r="E1321" t="s">
        <v>27</v>
      </c>
      <c r="F1321" t="s">
        <v>28</v>
      </c>
      <c r="G1321" t="str">
        <f>"2025-04-25 23:09:10.257"</f>
        <v>2025-04-25 23:09:10.257</v>
      </c>
      <c r="H1321" t="s">
        <v>21</v>
      </c>
    </row>
    <row r="1322" spans="1:10" x14ac:dyDescent="0.25">
      <c r="A1322" s="1">
        <v>586</v>
      </c>
      <c r="B1322" t="s">
        <v>25</v>
      </c>
      <c r="C1322">
        <v>635</v>
      </c>
      <c r="D1322">
        <v>1</v>
      </c>
      <c r="E1322" t="s">
        <v>27</v>
      </c>
      <c r="F1322" t="s">
        <v>28</v>
      </c>
      <c r="G1322" t="str">
        <f>"2025-04-25 22:59:14.256"</f>
        <v>2025-04-25 22:59:14.256</v>
      </c>
      <c r="H1322" t="s">
        <v>21</v>
      </c>
      <c r="I1322">
        <v>6.46</v>
      </c>
      <c r="J1322" t="s">
        <v>29</v>
      </c>
    </row>
    <row r="1323" spans="1:10" x14ac:dyDescent="0.25">
      <c r="A1323" s="1">
        <v>587</v>
      </c>
      <c r="B1323" t="s">
        <v>22</v>
      </c>
      <c r="C1323">
        <v>635</v>
      </c>
      <c r="D1323">
        <v>1</v>
      </c>
      <c r="E1323" t="s">
        <v>27</v>
      </c>
      <c r="F1323" t="s">
        <v>28</v>
      </c>
      <c r="G1323" t="str">
        <f>"2025-04-25 22:20:56.357"</f>
        <v>2025-04-25 22:20:56.357</v>
      </c>
      <c r="H1323" t="s">
        <v>21</v>
      </c>
    </row>
    <row r="1324" spans="1:10" x14ac:dyDescent="0.25">
      <c r="A1324" s="1">
        <v>588</v>
      </c>
      <c r="B1324" t="s">
        <v>25</v>
      </c>
      <c r="C1324">
        <v>635</v>
      </c>
      <c r="D1324">
        <v>1</v>
      </c>
      <c r="E1324" t="s">
        <v>27</v>
      </c>
      <c r="F1324" t="s">
        <v>28</v>
      </c>
      <c r="G1324" t="str">
        <f>"2025-04-25 22:13:49.856"</f>
        <v>2025-04-25 22:13:49.856</v>
      </c>
      <c r="H1324" t="s">
        <v>21</v>
      </c>
      <c r="I1324">
        <v>7.53</v>
      </c>
      <c r="J1324" t="s">
        <v>29</v>
      </c>
    </row>
    <row r="1325" spans="1:10" x14ac:dyDescent="0.25">
      <c r="A1325" s="1">
        <v>589</v>
      </c>
      <c r="B1325" t="s">
        <v>22</v>
      </c>
      <c r="C1325">
        <v>635</v>
      </c>
      <c r="D1325">
        <v>1</v>
      </c>
      <c r="E1325" t="s">
        <v>27</v>
      </c>
      <c r="F1325" t="s">
        <v>28</v>
      </c>
      <c r="G1325" t="str">
        <f>"2025-04-25 22:04:22.357"</f>
        <v>2025-04-25 22:04:22.357</v>
      </c>
      <c r="H1325" t="s">
        <v>21</v>
      </c>
    </row>
    <row r="1326" spans="1:10" x14ac:dyDescent="0.25">
      <c r="A1326" s="1">
        <v>590</v>
      </c>
      <c r="B1326" t="s">
        <v>25</v>
      </c>
      <c r="C1326">
        <v>635</v>
      </c>
      <c r="D1326">
        <v>1</v>
      </c>
      <c r="E1326" t="s">
        <v>27</v>
      </c>
      <c r="F1326" t="s">
        <v>28</v>
      </c>
      <c r="G1326" t="str">
        <f>"2025-04-25 21:55:14.856"</f>
        <v>2025-04-25 21:55:14.856</v>
      </c>
      <c r="H1326" t="s">
        <v>21</v>
      </c>
      <c r="I1326">
        <v>7.6</v>
      </c>
      <c r="J1326" t="s">
        <v>29</v>
      </c>
    </row>
    <row r="1327" spans="1:10" x14ac:dyDescent="0.25">
      <c r="A1327" s="1">
        <v>591</v>
      </c>
      <c r="B1327" t="s">
        <v>22</v>
      </c>
      <c r="C1327">
        <v>635</v>
      </c>
      <c r="D1327">
        <v>1</v>
      </c>
      <c r="E1327" t="s">
        <v>27</v>
      </c>
      <c r="F1327" t="s">
        <v>28</v>
      </c>
      <c r="G1327" t="str">
        <f>"2025-04-25 20:03:12.557"</f>
        <v>2025-04-25 20:03:12.557</v>
      </c>
      <c r="H1327" t="s">
        <v>21</v>
      </c>
    </row>
    <row r="1328" spans="1:10" x14ac:dyDescent="0.25">
      <c r="A1328" s="1">
        <v>592</v>
      </c>
      <c r="B1328" t="s">
        <v>25</v>
      </c>
      <c r="C1328">
        <v>635</v>
      </c>
      <c r="D1328">
        <v>1</v>
      </c>
      <c r="E1328" t="s">
        <v>27</v>
      </c>
      <c r="F1328" t="s">
        <v>28</v>
      </c>
      <c r="G1328" t="str">
        <f>"2025-04-25 19:52:52.657"</f>
        <v>2025-04-25 19:52:52.657</v>
      </c>
      <c r="H1328" t="s">
        <v>21</v>
      </c>
      <c r="I1328">
        <v>7.09</v>
      </c>
      <c r="J1328" t="s">
        <v>29</v>
      </c>
    </row>
    <row r="1329" spans="1:10" x14ac:dyDescent="0.25">
      <c r="A1329" s="1">
        <v>593</v>
      </c>
      <c r="B1329" t="s">
        <v>19</v>
      </c>
      <c r="C1329">
        <v>706</v>
      </c>
      <c r="D1329">
        <v>4</v>
      </c>
      <c r="E1329" t="s">
        <v>30</v>
      </c>
      <c r="F1329" t="s">
        <v>34</v>
      </c>
      <c r="G1329" t="str">
        <f>"2025-04-25 13:10:34.641"</f>
        <v>2025-04-25 13:10:34.641</v>
      </c>
      <c r="H1329" t="s">
        <v>21</v>
      </c>
      <c r="I1329">
        <v>0</v>
      </c>
      <c r="J1329" t="s">
        <v>32</v>
      </c>
    </row>
    <row r="1330" spans="1:10" x14ac:dyDescent="0.25">
      <c r="A1330" s="1">
        <v>594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"2025-04-25 13:08:52.571"</f>
        <v>2025-04-25 13:08:52.571</v>
      </c>
      <c r="H1330" t="s">
        <v>21</v>
      </c>
    </row>
    <row r="1331" spans="1:10" x14ac:dyDescent="0.25">
      <c r="A1331" s="1">
        <v>599</v>
      </c>
      <c r="B1331" t="s">
        <v>19</v>
      </c>
      <c r="C1331">
        <v>782</v>
      </c>
      <c r="D1331">
        <v>4</v>
      </c>
      <c r="E1331" t="s">
        <v>75</v>
      </c>
      <c r="F1331" t="s">
        <v>81</v>
      </c>
      <c r="G1331" t="str">
        <f>"2025-04-25 12:26:49.863"</f>
        <v>2025-04-25 12:26:49.863</v>
      </c>
      <c r="H1331" t="s">
        <v>21</v>
      </c>
      <c r="I1331">
        <v>0</v>
      </c>
      <c r="J1331" t="s">
        <v>35</v>
      </c>
    </row>
    <row r="1332" spans="1:10" x14ac:dyDescent="0.25">
      <c r="A1332" s="1">
        <v>604</v>
      </c>
      <c r="B1332" t="s">
        <v>19</v>
      </c>
      <c r="C1332">
        <v>782</v>
      </c>
      <c r="D1332">
        <v>4</v>
      </c>
      <c r="E1332" t="s">
        <v>75</v>
      </c>
      <c r="F1332" t="s">
        <v>81</v>
      </c>
      <c r="G1332" t="str">
        <f>"2025-04-25 12:00:02.561"</f>
        <v>2025-04-25 12:00:02.561</v>
      </c>
      <c r="H1332" t="s">
        <v>21</v>
      </c>
      <c r="I1332">
        <v>0</v>
      </c>
      <c r="J1332" t="s">
        <v>35</v>
      </c>
    </row>
    <row r="1333" spans="1:10" x14ac:dyDescent="0.25">
      <c r="A1333" s="1">
        <v>609</v>
      </c>
      <c r="B1333" t="s">
        <v>19</v>
      </c>
      <c r="C1333">
        <v>782</v>
      </c>
      <c r="D1333">
        <v>4</v>
      </c>
      <c r="E1333" t="s">
        <v>75</v>
      </c>
      <c r="F1333" t="s">
        <v>81</v>
      </c>
      <c r="G1333" t="str">
        <f>"2025-04-25 12:00:01.561"</f>
        <v>2025-04-25 12:00:01.561</v>
      </c>
      <c r="H1333" t="s">
        <v>21</v>
      </c>
      <c r="I1333">
        <v>0</v>
      </c>
      <c r="J1333" t="s">
        <v>35</v>
      </c>
    </row>
    <row r="1334" spans="1:10" x14ac:dyDescent="0.25">
      <c r="A1334" s="1">
        <v>614</v>
      </c>
      <c r="B1334" t="s">
        <v>19</v>
      </c>
      <c r="C1334">
        <v>782</v>
      </c>
      <c r="D1334">
        <v>4</v>
      </c>
      <c r="E1334" t="s">
        <v>75</v>
      </c>
      <c r="F1334" t="s">
        <v>81</v>
      </c>
      <c r="G1334" t="str">
        <f>"2025-04-25 11:51:16.561"</f>
        <v>2025-04-25 11:51:16.561</v>
      </c>
      <c r="H1334" t="s">
        <v>21</v>
      </c>
      <c r="I1334">
        <v>11.84</v>
      </c>
      <c r="J1334" t="s">
        <v>26</v>
      </c>
    </row>
    <row r="1335" spans="1:10" x14ac:dyDescent="0.25">
      <c r="A1335" s="1">
        <v>619</v>
      </c>
      <c r="B1335" t="s">
        <v>19</v>
      </c>
      <c r="C1335">
        <v>782</v>
      </c>
      <c r="D1335">
        <v>4</v>
      </c>
      <c r="E1335" t="s">
        <v>75</v>
      </c>
      <c r="F1335" t="s">
        <v>81</v>
      </c>
      <c r="G1335" t="str">
        <f>"2025-04-25 11:51:13.561"</f>
        <v>2025-04-25 11:51:13.561</v>
      </c>
      <c r="H1335" t="s">
        <v>21</v>
      </c>
      <c r="I1335">
        <v>10.78</v>
      </c>
      <c r="J1335" t="s">
        <v>26</v>
      </c>
    </row>
    <row r="1336" spans="1:10" x14ac:dyDescent="0.25">
      <c r="A1336" s="1">
        <v>620</v>
      </c>
      <c r="B1336" t="s">
        <v>19</v>
      </c>
      <c r="C1336">
        <v>706</v>
      </c>
      <c r="D1336">
        <v>4</v>
      </c>
      <c r="E1336" t="s">
        <v>30</v>
      </c>
      <c r="F1336" t="s">
        <v>34</v>
      </c>
      <c r="G1336" t="str">
        <f>"2025-04-25 11:43:48.647"</f>
        <v>2025-04-25 11:43:48.647</v>
      </c>
      <c r="H1336" t="s">
        <v>21</v>
      </c>
      <c r="I1336">
        <v>0</v>
      </c>
      <c r="J1336" t="s">
        <v>32</v>
      </c>
    </row>
    <row r="1337" spans="1:10" x14ac:dyDescent="0.25">
      <c r="A1337" s="1">
        <v>621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"2025-04-25 11:37:33.527"</f>
        <v>2025-04-25 11:37:33.527</v>
      </c>
      <c r="H1337" t="s">
        <v>21</v>
      </c>
    </row>
    <row r="1338" spans="1:10" x14ac:dyDescent="0.25">
      <c r="A1338" s="1">
        <v>622</v>
      </c>
      <c r="B1338" t="s">
        <v>22</v>
      </c>
      <c r="C1338">
        <v>630</v>
      </c>
      <c r="D1338">
        <v>5</v>
      </c>
      <c r="E1338" t="s">
        <v>66</v>
      </c>
      <c r="F1338" t="s">
        <v>67</v>
      </c>
      <c r="G1338" t="str">
        <f>"2025-04-25 11:19:45.987"</f>
        <v>2025-04-25 11:19:45.987</v>
      </c>
      <c r="H1338" t="s">
        <v>68</v>
      </c>
    </row>
    <row r="1339" spans="1:10" x14ac:dyDescent="0.25">
      <c r="A1339" s="1">
        <v>623</v>
      </c>
      <c r="B1339" t="s">
        <v>19</v>
      </c>
      <c r="C1339">
        <v>706</v>
      </c>
      <c r="D1339">
        <v>4</v>
      </c>
      <c r="E1339" t="s">
        <v>30</v>
      </c>
      <c r="F1339" t="s">
        <v>34</v>
      </c>
      <c r="G1339" t="str">
        <f>"2025-04-25 11:19:15.853"</f>
        <v>2025-04-25 11:19:15.853</v>
      </c>
      <c r="H1339" t="s">
        <v>21</v>
      </c>
      <c r="I1339">
        <v>0</v>
      </c>
      <c r="J1339" t="s">
        <v>32</v>
      </c>
    </row>
    <row r="1340" spans="1:10" x14ac:dyDescent="0.25">
      <c r="A1340" s="1">
        <v>624</v>
      </c>
      <c r="B1340" t="s">
        <v>40</v>
      </c>
      <c r="C1340">
        <v>630</v>
      </c>
      <c r="D1340">
        <v>5</v>
      </c>
      <c r="E1340" t="s">
        <v>66</v>
      </c>
      <c r="F1340" t="s">
        <v>67</v>
      </c>
      <c r="G1340" t="str">
        <f>"2025-04-25 11:17:56.188"</f>
        <v>2025-04-25 11:17:56.188</v>
      </c>
      <c r="H1340" t="s">
        <v>68</v>
      </c>
      <c r="I1340">
        <v>0</v>
      </c>
      <c r="J1340" t="s">
        <v>32</v>
      </c>
    </row>
    <row r="1341" spans="1:10" x14ac:dyDescent="0.25">
      <c r="A1341" s="1">
        <v>625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"2025-04-25 11:12:53.533"</f>
        <v>2025-04-25 11:12:53.533</v>
      </c>
      <c r="H1341" t="s">
        <v>21</v>
      </c>
      <c r="I1341">
        <v>0</v>
      </c>
      <c r="J1341" t="s">
        <v>33</v>
      </c>
    </row>
    <row r="1342" spans="1:10" x14ac:dyDescent="0.25">
      <c r="A1342" s="1">
        <v>626</v>
      </c>
      <c r="B1342" t="s">
        <v>40</v>
      </c>
      <c r="C1342">
        <v>630</v>
      </c>
      <c r="D1342">
        <v>5</v>
      </c>
      <c r="E1342" t="s">
        <v>66</v>
      </c>
      <c r="F1342" t="s">
        <v>67</v>
      </c>
      <c r="G1342" t="str">
        <f>"2025-04-25 10:52:39.044"</f>
        <v>2025-04-25 10:52:39.044</v>
      </c>
      <c r="H1342" t="s">
        <v>68</v>
      </c>
      <c r="I1342">
        <v>0</v>
      </c>
      <c r="J1342" t="s">
        <v>32</v>
      </c>
    </row>
    <row r="1343" spans="1:10" x14ac:dyDescent="0.25">
      <c r="A1343" s="1">
        <v>627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"2025-04-25 10:47:36.533"</f>
        <v>2025-04-25 10:47:36.533</v>
      </c>
      <c r="H1343" t="s">
        <v>21</v>
      </c>
    </row>
    <row r="1344" spans="1:10" x14ac:dyDescent="0.25">
      <c r="A1344" s="1">
        <v>628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"2025-04-25 10:35:03.537"</f>
        <v>2025-04-25 10:35:03.537</v>
      </c>
      <c r="H1344" t="s">
        <v>21</v>
      </c>
      <c r="I1344">
        <v>0</v>
      </c>
      <c r="J1344" t="s">
        <v>33</v>
      </c>
    </row>
    <row r="1345" spans="1:10" x14ac:dyDescent="0.25">
      <c r="A1345" s="1">
        <v>629</v>
      </c>
      <c r="B1345" t="s">
        <v>40</v>
      </c>
      <c r="C1345">
        <v>630</v>
      </c>
      <c r="D1345">
        <v>5</v>
      </c>
      <c r="E1345" t="s">
        <v>66</v>
      </c>
      <c r="F1345" t="s">
        <v>67</v>
      </c>
      <c r="G1345" t="str">
        <f>"2025-04-25 10:29:06.378"</f>
        <v>2025-04-25 10:29:06.378</v>
      </c>
      <c r="H1345" t="s">
        <v>68</v>
      </c>
      <c r="I1345">
        <v>0</v>
      </c>
      <c r="J1345" t="s">
        <v>32</v>
      </c>
    </row>
    <row r="1346" spans="1:10" x14ac:dyDescent="0.25">
      <c r="A1346" s="1">
        <v>630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"2025-04-25 10:24:03.692"</f>
        <v>2025-04-25 10:24:03.692</v>
      </c>
      <c r="H1346" t="s">
        <v>21</v>
      </c>
    </row>
    <row r="1347" spans="1:10" x14ac:dyDescent="0.25">
      <c r="A1347" s="1">
        <v>631</v>
      </c>
      <c r="B1347" t="s">
        <v>22</v>
      </c>
      <c r="C1347">
        <v>24</v>
      </c>
      <c r="D1347">
        <v>9</v>
      </c>
      <c r="E1347" t="s">
        <v>82</v>
      </c>
      <c r="F1347" t="s">
        <v>83</v>
      </c>
      <c r="G1347" t="str">
        <f>"2025-04-25 10:24:03.555"</f>
        <v>2025-04-25 10:24:03.555</v>
      </c>
      <c r="H1347" t="s">
        <v>49</v>
      </c>
    </row>
    <row r="1348" spans="1:10" x14ac:dyDescent="0.25">
      <c r="A1348" s="1">
        <v>632</v>
      </c>
      <c r="B1348" t="s">
        <v>40</v>
      </c>
      <c r="C1348">
        <v>630</v>
      </c>
      <c r="D1348">
        <v>5</v>
      </c>
      <c r="E1348" t="s">
        <v>66</v>
      </c>
      <c r="F1348" t="s">
        <v>67</v>
      </c>
      <c r="G1348" t="str">
        <f>"2025-04-25 10:21:39.087"</f>
        <v>2025-04-25 10:21:39.087</v>
      </c>
      <c r="H1348" t="s">
        <v>68</v>
      </c>
      <c r="I1348">
        <v>0</v>
      </c>
      <c r="J1348" t="s">
        <v>32</v>
      </c>
    </row>
    <row r="1349" spans="1:10" x14ac:dyDescent="0.25">
      <c r="A1349" s="1">
        <v>633</v>
      </c>
      <c r="B1349" t="s">
        <v>25</v>
      </c>
      <c r="C1349">
        <v>24</v>
      </c>
      <c r="D1349">
        <v>9</v>
      </c>
      <c r="E1349" t="s">
        <v>82</v>
      </c>
      <c r="F1349" t="s">
        <v>83</v>
      </c>
      <c r="G1349" t="str">
        <f>"2025-04-25 10:16:36.579"</f>
        <v>2025-04-25 10:16:36.579</v>
      </c>
      <c r="H1349" t="s">
        <v>49</v>
      </c>
      <c r="I1349">
        <v>0</v>
      </c>
      <c r="J1349" t="s">
        <v>33</v>
      </c>
    </row>
    <row r="1350" spans="1:10" x14ac:dyDescent="0.25">
      <c r="A1350" s="1">
        <v>634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"2025-04-25 10:16:36.526"</f>
        <v>2025-04-25 10:16:36.526</v>
      </c>
      <c r="H1350" t="s">
        <v>21</v>
      </c>
      <c r="I1350">
        <v>0</v>
      </c>
      <c r="J1350" t="s">
        <v>33</v>
      </c>
    </row>
    <row r="1351" spans="1:10" x14ac:dyDescent="0.25">
      <c r="A1351" s="1">
        <v>635</v>
      </c>
      <c r="B1351" t="s">
        <v>22</v>
      </c>
      <c r="C1351">
        <v>24</v>
      </c>
      <c r="D1351">
        <v>9</v>
      </c>
      <c r="E1351" t="s">
        <v>82</v>
      </c>
      <c r="F1351" t="s">
        <v>83</v>
      </c>
      <c r="G1351" t="str">
        <f>"2025-04-25 10:16:36.387"</f>
        <v>2025-04-25 10:16:36.387</v>
      </c>
      <c r="H1351" t="s">
        <v>49</v>
      </c>
    </row>
    <row r="1352" spans="1:10" x14ac:dyDescent="0.25">
      <c r="A1352" s="1">
        <v>636</v>
      </c>
      <c r="B1352" t="s">
        <v>40</v>
      </c>
      <c r="C1352">
        <v>630</v>
      </c>
      <c r="D1352">
        <v>5</v>
      </c>
      <c r="E1352" t="s">
        <v>66</v>
      </c>
      <c r="F1352" t="s">
        <v>67</v>
      </c>
      <c r="G1352" t="str">
        <f>"2025-04-25 10:12:21.274"</f>
        <v>2025-04-25 10:12:21.274</v>
      </c>
      <c r="H1352" t="s">
        <v>68</v>
      </c>
      <c r="I1352">
        <v>0</v>
      </c>
      <c r="J1352" t="s">
        <v>32</v>
      </c>
    </row>
    <row r="1353" spans="1:10" x14ac:dyDescent="0.25">
      <c r="A1353" s="1">
        <v>637</v>
      </c>
      <c r="B1353" t="s">
        <v>25</v>
      </c>
      <c r="C1353">
        <v>24</v>
      </c>
      <c r="D1353">
        <v>9</v>
      </c>
      <c r="E1353" t="s">
        <v>82</v>
      </c>
      <c r="F1353" t="s">
        <v>83</v>
      </c>
      <c r="G1353" t="str">
        <f>"2025-04-25 10:07:18.575"</f>
        <v>2025-04-25 10:07:18.575</v>
      </c>
      <c r="H1353" t="s">
        <v>49</v>
      </c>
      <c r="I1353">
        <v>0</v>
      </c>
      <c r="J1353" t="s">
        <v>33</v>
      </c>
    </row>
    <row r="1354" spans="1:10" x14ac:dyDescent="0.25">
      <c r="A1354" s="1">
        <v>638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"2025-04-25 10:07:18.522"</f>
        <v>2025-04-25 10:07:18.522</v>
      </c>
      <c r="H1354" t="s">
        <v>21</v>
      </c>
      <c r="I1354">
        <v>0</v>
      </c>
      <c r="J1354" t="s">
        <v>33</v>
      </c>
    </row>
    <row r="1355" spans="1:10" x14ac:dyDescent="0.25">
      <c r="A1355" s="1">
        <v>639</v>
      </c>
      <c r="B1355" t="s">
        <v>22</v>
      </c>
      <c r="C1355">
        <v>24</v>
      </c>
      <c r="D1355">
        <v>9</v>
      </c>
      <c r="E1355" t="s">
        <v>82</v>
      </c>
      <c r="F1355" t="s">
        <v>83</v>
      </c>
      <c r="G1355" t="str">
        <f>"2025-04-25 10:07:18.380"</f>
        <v>2025-04-25 10:07:18.380</v>
      </c>
      <c r="H1355" t="s">
        <v>49</v>
      </c>
    </row>
    <row r="1356" spans="1:10" x14ac:dyDescent="0.25">
      <c r="A1356" s="1">
        <v>640</v>
      </c>
      <c r="B1356" t="s">
        <v>40</v>
      </c>
      <c r="C1356">
        <v>630</v>
      </c>
      <c r="D1356">
        <v>5</v>
      </c>
      <c r="E1356" t="s">
        <v>66</v>
      </c>
      <c r="F1356" t="s">
        <v>67</v>
      </c>
      <c r="G1356" t="str">
        <f>"2025-04-25 10:04:31.064"</f>
        <v>2025-04-25 10:04:31.064</v>
      </c>
      <c r="H1356" t="s">
        <v>68</v>
      </c>
      <c r="I1356">
        <v>0</v>
      </c>
      <c r="J1356" t="s">
        <v>32</v>
      </c>
    </row>
    <row r="1357" spans="1:10" x14ac:dyDescent="0.25">
      <c r="A1357" s="1">
        <v>641</v>
      </c>
      <c r="B1357" t="s">
        <v>25</v>
      </c>
      <c r="C1357">
        <v>24</v>
      </c>
      <c r="D1357">
        <v>9</v>
      </c>
      <c r="E1357" t="s">
        <v>82</v>
      </c>
      <c r="F1357" t="s">
        <v>83</v>
      </c>
      <c r="G1357" t="str">
        <f>"2025-04-25 09:59:28.576"</f>
        <v>2025-04-25 09:59:28.576</v>
      </c>
      <c r="H1357" t="s">
        <v>49</v>
      </c>
      <c r="I1357">
        <v>0</v>
      </c>
      <c r="J1357" t="s">
        <v>33</v>
      </c>
    </row>
    <row r="1358" spans="1:10" x14ac:dyDescent="0.25">
      <c r="A1358" s="1">
        <v>642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"2025-04-25 09:59:28.523"</f>
        <v>2025-04-25 09:59:28.523</v>
      </c>
      <c r="H1358" t="s">
        <v>21</v>
      </c>
      <c r="I1358">
        <v>0</v>
      </c>
      <c r="J1358" t="s">
        <v>33</v>
      </c>
    </row>
    <row r="1359" spans="1:10" x14ac:dyDescent="0.25">
      <c r="A1359" s="1">
        <v>643</v>
      </c>
      <c r="B1359" t="s">
        <v>22</v>
      </c>
      <c r="C1359">
        <v>24</v>
      </c>
      <c r="D1359">
        <v>9</v>
      </c>
      <c r="E1359" t="s">
        <v>82</v>
      </c>
      <c r="F1359" t="s">
        <v>83</v>
      </c>
      <c r="G1359" t="str">
        <f>"2025-04-25 09:59:28.381"</f>
        <v>2025-04-25 09:59:28.381</v>
      </c>
      <c r="H1359" t="s">
        <v>49</v>
      </c>
    </row>
    <row r="1360" spans="1:10" x14ac:dyDescent="0.25">
      <c r="A1360" s="1">
        <v>644</v>
      </c>
      <c r="B1360" t="s">
        <v>40</v>
      </c>
      <c r="C1360">
        <v>630</v>
      </c>
      <c r="D1360">
        <v>5</v>
      </c>
      <c r="E1360" t="s">
        <v>66</v>
      </c>
      <c r="F1360" t="s">
        <v>67</v>
      </c>
      <c r="G1360" t="str">
        <f>"2025-04-25 09:57:00.272"</f>
        <v>2025-04-25 09:57:00.272</v>
      </c>
      <c r="H1360" t="s">
        <v>68</v>
      </c>
      <c r="I1360">
        <v>0</v>
      </c>
      <c r="J1360" t="s">
        <v>32</v>
      </c>
    </row>
    <row r="1361" spans="1:10" x14ac:dyDescent="0.25">
      <c r="A1361" s="1">
        <v>645</v>
      </c>
      <c r="B1361" t="s">
        <v>25</v>
      </c>
      <c r="C1361">
        <v>24</v>
      </c>
      <c r="D1361">
        <v>9</v>
      </c>
      <c r="E1361" t="s">
        <v>82</v>
      </c>
      <c r="F1361" t="s">
        <v>83</v>
      </c>
      <c r="G1361" t="str">
        <f>"2025-04-25 09:51:57.569"</f>
        <v>2025-04-25 09:51:57.569</v>
      </c>
      <c r="H1361" t="s">
        <v>49</v>
      </c>
      <c r="I1361">
        <v>0</v>
      </c>
      <c r="J1361" t="s">
        <v>33</v>
      </c>
    </row>
    <row r="1362" spans="1:10" x14ac:dyDescent="0.25">
      <c r="A1362" s="1">
        <v>646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"2025-04-25 09:51:57.511"</f>
        <v>2025-04-25 09:51:57.511</v>
      </c>
      <c r="H1362" t="s">
        <v>21</v>
      </c>
    </row>
    <row r="1363" spans="1:10" x14ac:dyDescent="0.25">
      <c r="A1363" s="1">
        <v>647</v>
      </c>
      <c r="B1363" t="s">
        <v>22</v>
      </c>
      <c r="C1363">
        <v>24</v>
      </c>
      <c r="D1363">
        <v>9</v>
      </c>
      <c r="E1363" t="s">
        <v>82</v>
      </c>
      <c r="F1363" t="s">
        <v>83</v>
      </c>
      <c r="G1363" t="str">
        <f>"2025-04-25 09:51:57.378"</f>
        <v>2025-04-25 09:51:57.378</v>
      </c>
      <c r="H1363" t="s">
        <v>49</v>
      </c>
    </row>
    <row r="1364" spans="1:10" x14ac:dyDescent="0.25">
      <c r="A1364" s="1">
        <v>648</v>
      </c>
      <c r="B1364" t="s">
        <v>25</v>
      </c>
      <c r="C1364">
        <v>24</v>
      </c>
      <c r="D1364">
        <v>9</v>
      </c>
      <c r="E1364" t="s">
        <v>82</v>
      </c>
      <c r="F1364" t="s">
        <v>83</v>
      </c>
      <c r="G1364" t="str">
        <f>"2025-04-25 09:50:29.566"</f>
        <v>2025-04-25 09:50:29.566</v>
      </c>
      <c r="H1364" t="s">
        <v>49</v>
      </c>
      <c r="I1364">
        <v>0</v>
      </c>
      <c r="J1364" t="s">
        <v>33</v>
      </c>
    </row>
    <row r="1365" spans="1:10" x14ac:dyDescent="0.25">
      <c r="A1365" s="1">
        <v>649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"2025-04-25 09:50:29.514"</f>
        <v>2025-04-25 09:50:29.514</v>
      </c>
      <c r="H1365" t="s">
        <v>21</v>
      </c>
      <c r="I1365">
        <v>0</v>
      </c>
      <c r="J1365" t="s">
        <v>33</v>
      </c>
    </row>
    <row r="1366" spans="1:10" x14ac:dyDescent="0.25">
      <c r="A1366" s="1">
        <v>650</v>
      </c>
      <c r="B1366" t="s">
        <v>22</v>
      </c>
      <c r="C1366">
        <v>24</v>
      </c>
      <c r="D1366">
        <v>9</v>
      </c>
      <c r="E1366" t="s">
        <v>82</v>
      </c>
      <c r="F1366" t="s">
        <v>83</v>
      </c>
      <c r="G1366" t="str">
        <f>"2025-04-25 09:50:29.374"</f>
        <v>2025-04-25 09:50:29.374</v>
      </c>
      <c r="H1366" t="s">
        <v>49</v>
      </c>
    </row>
    <row r="1367" spans="1:10" x14ac:dyDescent="0.25">
      <c r="A1367" s="1">
        <v>651</v>
      </c>
      <c r="B1367" t="s">
        <v>22</v>
      </c>
      <c r="C1367">
        <v>590</v>
      </c>
      <c r="D1367">
        <v>8</v>
      </c>
      <c r="E1367" t="s">
        <v>84</v>
      </c>
      <c r="F1367" t="s">
        <v>85</v>
      </c>
      <c r="G1367" t="str">
        <f>"2025-04-25 09:50:27.844"</f>
        <v>2025-04-25 09:50:27.844</v>
      </c>
      <c r="H1367" t="s">
        <v>21</v>
      </c>
    </row>
    <row r="1368" spans="1:10" x14ac:dyDescent="0.25">
      <c r="A1368" s="1">
        <v>652</v>
      </c>
      <c r="B1368" t="s">
        <v>19</v>
      </c>
      <c r="C1368">
        <v>753</v>
      </c>
      <c r="D1368">
        <v>1</v>
      </c>
      <c r="E1368" t="s">
        <v>86</v>
      </c>
      <c r="F1368" t="s">
        <v>87</v>
      </c>
      <c r="G1368" t="str">
        <f>"2025-04-25 09:47:58.375"</f>
        <v>2025-04-25 09:47:58.375</v>
      </c>
      <c r="H1368" t="s">
        <v>21</v>
      </c>
      <c r="I1368">
        <v>0</v>
      </c>
      <c r="J1368" t="s">
        <v>72</v>
      </c>
    </row>
    <row r="1369" spans="1:10" x14ac:dyDescent="0.25">
      <c r="A1369" s="1">
        <v>653</v>
      </c>
      <c r="B1369" t="s">
        <v>25</v>
      </c>
      <c r="C1369">
        <v>590</v>
      </c>
      <c r="D1369">
        <v>8</v>
      </c>
      <c r="E1369" t="s">
        <v>84</v>
      </c>
      <c r="F1369" t="s">
        <v>85</v>
      </c>
      <c r="G1369" t="str">
        <f>"2025-04-25 09:47:55.145"</f>
        <v>2025-04-25 09:47:55.145</v>
      </c>
      <c r="H1369" t="s">
        <v>21</v>
      </c>
      <c r="I1369">
        <v>0</v>
      </c>
      <c r="J1369" t="s">
        <v>72</v>
      </c>
    </row>
    <row r="1370" spans="1:10" x14ac:dyDescent="0.25">
      <c r="A1370" s="1">
        <v>654</v>
      </c>
      <c r="B1370" t="s">
        <v>25</v>
      </c>
      <c r="C1370">
        <v>24</v>
      </c>
      <c r="D1370">
        <v>9</v>
      </c>
      <c r="E1370" t="s">
        <v>82</v>
      </c>
      <c r="F1370" t="s">
        <v>83</v>
      </c>
      <c r="G1370" t="str">
        <f>"2025-04-25 09:47:44.779"</f>
        <v>2025-04-25 09:47:44.779</v>
      </c>
      <c r="H1370" t="s">
        <v>49</v>
      </c>
      <c r="I1370">
        <v>0</v>
      </c>
      <c r="J1370" t="s">
        <v>33</v>
      </c>
    </row>
    <row r="1371" spans="1:10" x14ac:dyDescent="0.25">
      <c r="A1371" s="1">
        <v>655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"2025-04-25 09:47:44.725"</f>
        <v>2025-04-25 09:47:44.725</v>
      </c>
      <c r="H1371" t="s">
        <v>21</v>
      </c>
    </row>
    <row r="1372" spans="1:10" x14ac:dyDescent="0.25">
      <c r="A1372" s="1">
        <v>656</v>
      </c>
      <c r="B1372" t="s">
        <v>40</v>
      </c>
      <c r="C1372">
        <v>630</v>
      </c>
      <c r="D1372">
        <v>5</v>
      </c>
      <c r="E1372" t="s">
        <v>66</v>
      </c>
      <c r="F1372" t="s">
        <v>67</v>
      </c>
      <c r="G1372" t="str">
        <f>"2025-04-25 09:38:34.185"</f>
        <v>2025-04-25 09:38:34.185</v>
      </c>
      <c r="H1372" t="s">
        <v>68</v>
      </c>
      <c r="I1372">
        <v>0</v>
      </c>
      <c r="J1372" t="s">
        <v>32</v>
      </c>
    </row>
    <row r="1373" spans="1:10" x14ac:dyDescent="0.25">
      <c r="A1373" s="1">
        <v>657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"2025-04-25 09:33:31.463"</f>
        <v>2025-04-25 09:33:31.463</v>
      </c>
      <c r="H1373" t="s">
        <v>21</v>
      </c>
    </row>
    <row r="1374" spans="1:10" x14ac:dyDescent="0.25">
      <c r="A1374" s="1">
        <v>658</v>
      </c>
      <c r="B1374" t="s">
        <v>40</v>
      </c>
      <c r="C1374">
        <v>630</v>
      </c>
      <c r="D1374">
        <v>5</v>
      </c>
      <c r="E1374" t="s">
        <v>66</v>
      </c>
      <c r="F1374" t="s">
        <v>67</v>
      </c>
      <c r="G1374" t="str">
        <f>"2025-04-25 09:31:45.256"</f>
        <v>2025-04-25 09:31:45.256</v>
      </c>
      <c r="H1374" t="s">
        <v>68</v>
      </c>
      <c r="I1374">
        <v>0</v>
      </c>
      <c r="J1374" t="s">
        <v>32</v>
      </c>
    </row>
    <row r="1375" spans="1:10" x14ac:dyDescent="0.25">
      <c r="A1375" s="1">
        <v>659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"2025-04-25 09:26:42.495"</f>
        <v>2025-04-25 09:26:42.495</v>
      </c>
      <c r="H1375" t="s">
        <v>21</v>
      </c>
    </row>
    <row r="1376" spans="1:10" x14ac:dyDescent="0.25">
      <c r="A1376" s="1">
        <v>660</v>
      </c>
      <c r="B1376" t="s">
        <v>19</v>
      </c>
      <c r="C1376">
        <v>706</v>
      </c>
      <c r="D1376">
        <v>3</v>
      </c>
      <c r="E1376" t="s">
        <v>30</v>
      </c>
      <c r="F1376" t="s">
        <v>36</v>
      </c>
      <c r="G1376" t="str">
        <f>"2025-04-25 09:20:05.066"</f>
        <v>2025-04-25 09:20:05.066</v>
      </c>
      <c r="H1376" t="s">
        <v>21</v>
      </c>
      <c r="I1376">
        <v>0</v>
      </c>
      <c r="J1376" t="s">
        <v>32</v>
      </c>
    </row>
    <row r="1377" spans="1:10" x14ac:dyDescent="0.25">
      <c r="A1377" s="1">
        <v>661</v>
      </c>
      <c r="B1377" t="s">
        <v>22</v>
      </c>
      <c r="C1377">
        <v>635</v>
      </c>
      <c r="D1377">
        <v>1</v>
      </c>
      <c r="E1377" t="s">
        <v>27</v>
      </c>
      <c r="F1377" t="s">
        <v>28</v>
      </c>
      <c r="G1377" t="str">
        <f>"2025-04-25 02:05:21.817"</f>
        <v>2025-04-25 02:05:21.817</v>
      </c>
      <c r="H1377" t="s">
        <v>21</v>
      </c>
    </row>
    <row r="1378" spans="1:10" x14ac:dyDescent="0.25">
      <c r="A1378" s="1">
        <v>662</v>
      </c>
      <c r="B1378" t="s">
        <v>25</v>
      </c>
      <c r="C1378">
        <v>635</v>
      </c>
      <c r="D1378">
        <v>1</v>
      </c>
      <c r="E1378" t="s">
        <v>27</v>
      </c>
      <c r="F1378" t="s">
        <v>28</v>
      </c>
      <c r="G1378" t="str">
        <f>"2025-04-25 01:40:40.417"</f>
        <v>2025-04-25 01:40:40.417</v>
      </c>
      <c r="H1378" t="s">
        <v>21</v>
      </c>
      <c r="I1378">
        <v>7.45</v>
      </c>
      <c r="J1378" t="s">
        <v>29</v>
      </c>
    </row>
    <row r="1379" spans="1:10" x14ac:dyDescent="0.25">
      <c r="A1379" s="1">
        <v>663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"2025-04-23 10:42:04.486"</f>
        <v>2025-04-23 10:42:04.486</v>
      </c>
      <c r="H1379" t="s">
        <v>21</v>
      </c>
    </row>
    <row r="1380" spans="1:10" x14ac:dyDescent="0.25">
      <c r="A1380" s="1">
        <v>664</v>
      </c>
      <c r="B1380" t="s">
        <v>19</v>
      </c>
      <c r="C1380">
        <v>706</v>
      </c>
      <c r="D1380">
        <v>2</v>
      </c>
      <c r="E1380" t="s">
        <v>30</v>
      </c>
      <c r="F1380" t="s">
        <v>31</v>
      </c>
      <c r="G1380" t="str">
        <f>"2025-04-21 21:58:38.362"</f>
        <v>2025-04-21 21:58:38.362</v>
      </c>
      <c r="H1380" t="s">
        <v>21</v>
      </c>
      <c r="I1380">
        <v>0</v>
      </c>
      <c r="J1380" t="s">
        <v>32</v>
      </c>
    </row>
    <row r="1381" spans="1:10" x14ac:dyDescent="0.25">
      <c r="A1381" s="1">
        <v>665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"2025-04-21 21:58:07.472"</f>
        <v>2025-04-21 21:58:07.472</v>
      </c>
      <c r="H1381" t="s">
        <v>21</v>
      </c>
      <c r="I1381">
        <v>0</v>
      </c>
      <c r="J1381" t="s">
        <v>33</v>
      </c>
    </row>
    <row r="1382" spans="1:10" x14ac:dyDescent="0.25">
      <c r="A1382" s="1">
        <v>666</v>
      </c>
      <c r="B1382" t="s">
        <v>22</v>
      </c>
      <c r="C1382">
        <v>630</v>
      </c>
      <c r="D1382">
        <v>5</v>
      </c>
      <c r="E1382" t="s">
        <v>66</v>
      </c>
      <c r="F1382" t="s">
        <v>67</v>
      </c>
      <c r="G1382" t="str">
        <f>"2025-04-21 08:54:14.957"</f>
        <v>2025-04-21 08:54:14.957</v>
      </c>
      <c r="H1382" t="s">
        <v>68</v>
      </c>
    </row>
    <row r="1383" spans="1:10" x14ac:dyDescent="0.25">
      <c r="A1383" s="1">
        <v>667</v>
      </c>
      <c r="B1383" t="s">
        <v>19</v>
      </c>
      <c r="C1383">
        <v>706</v>
      </c>
      <c r="D1383">
        <v>4</v>
      </c>
      <c r="E1383" t="s">
        <v>30</v>
      </c>
      <c r="F1383" t="s">
        <v>34</v>
      </c>
      <c r="G1383" t="str">
        <f>"2025-04-21 08:53:44.967"</f>
        <v>2025-04-21 08:53:44.967</v>
      </c>
      <c r="H1383" t="s">
        <v>21</v>
      </c>
      <c r="I1383">
        <v>0</v>
      </c>
      <c r="J1383" t="s">
        <v>32</v>
      </c>
    </row>
    <row r="1384" spans="1:10" x14ac:dyDescent="0.25">
      <c r="A1384" s="1">
        <v>668</v>
      </c>
      <c r="B1384" t="s">
        <v>40</v>
      </c>
      <c r="C1384">
        <v>630</v>
      </c>
      <c r="D1384">
        <v>5</v>
      </c>
      <c r="E1384" t="s">
        <v>66</v>
      </c>
      <c r="F1384" t="s">
        <v>67</v>
      </c>
      <c r="G1384" t="str">
        <f>"2025-04-21 08:45:40.558"</f>
        <v>2025-04-21 08:45:40.558</v>
      </c>
      <c r="H1384" t="s">
        <v>68</v>
      </c>
      <c r="I1384">
        <v>0</v>
      </c>
      <c r="J1384" t="s">
        <v>32</v>
      </c>
    </row>
    <row r="1385" spans="1:10" x14ac:dyDescent="0.25">
      <c r="A1385" s="1">
        <v>669</v>
      </c>
      <c r="B1385" t="s">
        <v>19</v>
      </c>
      <c r="C1385">
        <v>706</v>
      </c>
      <c r="D1385">
        <v>4</v>
      </c>
      <c r="E1385" t="s">
        <v>30</v>
      </c>
      <c r="F1385" t="s">
        <v>34</v>
      </c>
      <c r="G1385" t="str">
        <f>"2025-04-18 09:51:00.467"</f>
        <v>2025-04-18 09:51:00.467</v>
      </c>
      <c r="H1385" t="s">
        <v>21</v>
      </c>
      <c r="I1385">
        <v>0</v>
      </c>
      <c r="J1385" t="s">
        <v>32</v>
      </c>
    </row>
    <row r="1386" spans="1:10" x14ac:dyDescent="0.25">
      <c r="A1386" s="1">
        <v>670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"2025-04-18 09:49:11.537"</f>
        <v>2025-04-18 09:49:11.537</v>
      </c>
      <c r="H1386" t="s">
        <v>21</v>
      </c>
      <c r="I1386">
        <v>0</v>
      </c>
      <c r="J1386" t="s">
        <v>33</v>
      </c>
    </row>
    <row r="1387" spans="1:10" x14ac:dyDescent="0.25">
      <c r="A1387" s="1">
        <v>671</v>
      </c>
      <c r="B1387" t="s">
        <v>19</v>
      </c>
      <c r="C1387">
        <v>706</v>
      </c>
      <c r="D1387">
        <v>2</v>
      </c>
      <c r="E1387" t="s">
        <v>30</v>
      </c>
      <c r="F1387" t="s">
        <v>31</v>
      </c>
      <c r="G1387" t="str">
        <f>"2025-04-18 07:23:08.733"</f>
        <v>2025-04-18 07:23:08.733</v>
      </c>
      <c r="H1387" t="s">
        <v>21</v>
      </c>
      <c r="I1387">
        <v>0</v>
      </c>
      <c r="J1387" t="s">
        <v>32</v>
      </c>
    </row>
    <row r="1388" spans="1:10" x14ac:dyDescent="0.25">
      <c r="A1388" s="1">
        <v>672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"2025-04-18 07:22:44.443"</f>
        <v>2025-04-18 07:22:44.443</v>
      </c>
      <c r="H1388" t="s">
        <v>21</v>
      </c>
      <c r="I1388">
        <v>0</v>
      </c>
      <c r="J1388" t="s">
        <v>33</v>
      </c>
    </row>
    <row r="1389" spans="1:10" x14ac:dyDescent="0.25">
      <c r="A1389" s="1">
        <v>673</v>
      </c>
      <c r="B1389" t="s">
        <v>22</v>
      </c>
      <c r="C1389">
        <v>98</v>
      </c>
      <c r="D1389">
        <v>1</v>
      </c>
      <c r="E1389" t="s">
        <v>88</v>
      </c>
      <c r="F1389" t="s">
        <v>89</v>
      </c>
      <c r="G1389" t="str">
        <f>"2025-04-18 01:36:25.392"</f>
        <v>2025-04-18 01:36:25.392</v>
      </c>
      <c r="H1389" t="s">
        <v>21</v>
      </c>
    </row>
    <row r="1390" spans="1:10" x14ac:dyDescent="0.25">
      <c r="A1390" s="1">
        <v>674</v>
      </c>
      <c r="B1390" t="s">
        <v>25</v>
      </c>
      <c r="C1390">
        <v>98</v>
      </c>
      <c r="D1390">
        <v>1</v>
      </c>
      <c r="E1390" t="s">
        <v>88</v>
      </c>
      <c r="F1390" t="s">
        <v>89</v>
      </c>
      <c r="G1390" t="str">
        <f>"2025-04-18 01:36:24.392"</f>
        <v>2025-04-18 01:36:24.392</v>
      </c>
      <c r="H1390" t="s">
        <v>21</v>
      </c>
      <c r="I1390">
        <v>0</v>
      </c>
      <c r="J1390" t="s">
        <v>35</v>
      </c>
    </row>
    <row r="1391" spans="1:10" x14ac:dyDescent="0.25">
      <c r="A1391" s="1">
        <v>675</v>
      </c>
      <c r="B1391" t="s">
        <v>22</v>
      </c>
      <c r="C1391">
        <v>98</v>
      </c>
      <c r="D1391">
        <v>1</v>
      </c>
      <c r="E1391" t="s">
        <v>88</v>
      </c>
      <c r="F1391" t="s">
        <v>89</v>
      </c>
      <c r="G1391" t="str">
        <f>"2025-04-18 01:36:23.792"</f>
        <v>2025-04-18 01:36:23.792</v>
      </c>
      <c r="H1391" t="s">
        <v>21</v>
      </c>
    </row>
    <row r="1392" spans="1:10" x14ac:dyDescent="0.25">
      <c r="A1392" s="1">
        <v>676</v>
      </c>
      <c r="B1392" t="s">
        <v>25</v>
      </c>
      <c r="C1392">
        <v>98</v>
      </c>
      <c r="D1392">
        <v>1</v>
      </c>
      <c r="E1392" t="s">
        <v>88</v>
      </c>
      <c r="F1392" t="s">
        <v>89</v>
      </c>
      <c r="G1392" t="str">
        <f>"2025-04-18 01:36:22.792"</f>
        <v>2025-04-18 01:36:22.792</v>
      </c>
      <c r="H1392" t="s">
        <v>21</v>
      </c>
      <c r="I1392">
        <v>0</v>
      </c>
      <c r="J1392" t="s">
        <v>35</v>
      </c>
    </row>
    <row r="1393" spans="1:10" x14ac:dyDescent="0.25">
      <c r="A1393" s="1">
        <v>677</v>
      </c>
      <c r="B1393" t="s">
        <v>22</v>
      </c>
      <c r="C1393">
        <v>635</v>
      </c>
      <c r="D1393">
        <v>1</v>
      </c>
      <c r="E1393" t="s">
        <v>27</v>
      </c>
      <c r="F1393" t="s">
        <v>28</v>
      </c>
      <c r="G1393" t="str">
        <f>"2025-04-17 04:51:15.791"</f>
        <v>2025-04-17 04:51:15.791</v>
      </c>
      <c r="H1393" t="s">
        <v>21</v>
      </c>
    </row>
    <row r="1394" spans="1:10" x14ac:dyDescent="0.25">
      <c r="A1394" s="1">
        <v>678</v>
      </c>
      <c r="B1394" t="s">
        <v>25</v>
      </c>
      <c r="C1394">
        <v>635</v>
      </c>
      <c r="D1394">
        <v>1</v>
      </c>
      <c r="E1394" t="s">
        <v>27</v>
      </c>
      <c r="F1394" t="s">
        <v>28</v>
      </c>
      <c r="G1394" t="str">
        <f>"2025-04-17 04:44:31.291"</f>
        <v>2025-04-17 04:44:31.291</v>
      </c>
      <c r="H1394" t="s">
        <v>21</v>
      </c>
      <c r="I1394">
        <v>5.13</v>
      </c>
      <c r="J1394" t="s">
        <v>26</v>
      </c>
    </row>
    <row r="1395" spans="1:10" x14ac:dyDescent="0.25">
      <c r="A1395" s="1">
        <v>679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"2025-04-17 02:46:40.459"</f>
        <v>2025-04-17 02:46:40.459</v>
      </c>
      <c r="H1395" t="s">
        <v>21</v>
      </c>
    </row>
    <row r="1396" spans="1:10" x14ac:dyDescent="0.25">
      <c r="A1396" s="1">
        <v>680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"2025-04-16 14:15:25.476"</f>
        <v>2025-04-16 14:15:25.476</v>
      </c>
      <c r="H1396" t="s">
        <v>21</v>
      </c>
      <c r="I1396">
        <v>0</v>
      </c>
      <c r="J1396" t="s">
        <v>33</v>
      </c>
    </row>
    <row r="1397" spans="1:10" x14ac:dyDescent="0.25">
      <c r="A1397" s="1">
        <v>681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"2025-04-15 20:53:22.453"</f>
        <v>2025-04-15 20:53:22.453</v>
      </c>
      <c r="H1397" t="s">
        <v>21</v>
      </c>
      <c r="I1397">
        <v>0</v>
      </c>
      <c r="J1397" t="s">
        <v>33</v>
      </c>
    </row>
    <row r="1398" spans="1:10" x14ac:dyDescent="0.25">
      <c r="A1398" s="1">
        <v>682</v>
      </c>
      <c r="B1398" t="s">
        <v>19</v>
      </c>
      <c r="C1398">
        <v>706</v>
      </c>
      <c r="D1398">
        <v>4</v>
      </c>
      <c r="E1398" t="s">
        <v>30</v>
      </c>
      <c r="F1398" t="s">
        <v>34</v>
      </c>
      <c r="G1398" t="str">
        <f>"2025-04-15 20:27:10.872"</f>
        <v>2025-04-15 20:27:10.872</v>
      </c>
      <c r="H1398" t="s">
        <v>21</v>
      </c>
      <c r="I1398">
        <v>0</v>
      </c>
      <c r="J1398" t="s">
        <v>32</v>
      </c>
    </row>
    <row r="1399" spans="1:10" x14ac:dyDescent="0.25">
      <c r="A1399" s="1">
        <v>683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"2025-04-15 20:25:13.532"</f>
        <v>2025-04-15 20:25:13.532</v>
      </c>
      <c r="H1399" t="s">
        <v>21</v>
      </c>
    </row>
    <row r="1400" spans="1:10" x14ac:dyDescent="0.25">
      <c r="A1400" s="1">
        <v>684</v>
      </c>
      <c r="B1400" t="s">
        <v>19</v>
      </c>
      <c r="C1400">
        <v>706</v>
      </c>
      <c r="D1400">
        <v>4</v>
      </c>
      <c r="E1400" t="s">
        <v>30</v>
      </c>
      <c r="F1400" t="s">
        <v>34</v>
      </c>
      <c r="G1400" t="str">
        <f>"2025-04-15 12:40:12.673"</f>
        <v>2025-04-15 12:40:12.673</v>
      </c>
      <c r="H1400" t="s">
        <v>21</v>
      </c>
      <c r="I1400">
        <v>0</v>
      </c>
      <c r="J1400" t="s">
        <v>32</v>
      </c>
    </row>
    <row r="1401" spans="1:10" x14ac:dyDescent="0.25">
      <c r="A1401" s="1">
        <v>685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"2025-04-15 12:39:57.433"</f>
        <v>2025-04-15 12:39:57.433</v>
      </c>
      <c r="H1401" t="s">
        <v>21</v>
      </c>
    </row>
    <row r="1402" spans="1:10" x14ac:dyDescent="0.25">
      <c r="A1402" s="1">
        <v>686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"2025-04-14 19:46:43.447"</f>
        <v>2025-04-14 19:46:43.447</v>
      </c>
      <c r="H1402" t="s">
        <v>21</v>
      </c>
      <c r="I1402">
        <v>0</v>
      </c>
      <c r="J1402" t="s">
        <v>33</v>
      </c>
    </row>
    <row r="1403" spans="1:10" x14ac:dyDescent="0.25">
      <c r="A1403" s="1">
        <v>687</v>
      </c>
      <c r="B1403" t="s">
        <v>19</v>
      </c>
      <c r="C1403">
        <v>706</v>
      </c>
      <c r="D1403">
        <v>2</v>
      </c>
      <c r="E1403" t="s">
        <v>30</v>
      </c>
      <c r="F1403" t="s">
        <v>31</v>
      </c>
      <c r="G1403" t="str">
        <f>"2025-04-14 15:36:13.262"</f>
        <v>2025-04-14 15:36:13.262</v>
      </c>
      <c r="H1403" t="s">
        <v>21</v>
      </c>
      <c r="I1403">
        <v>0</v>
      </c>
      <c r="J1403" t="s">
        <v>32</v>
      </c>
    </row>
    <row r="1404" spans="1:10" x14ac:dyDescent="0.25">
      <c r="A1404" s="1">
        <v>688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"2025-04-14 15:34:19.442"</f>
        <v>2025-04-14 15:34:19.442</v>
      </c>
      <c r="H1404" t="s">
        <v>21</v>
      </c>
    </row>
    <row r="1405" spans="1:10" x14ac:dyDescent="0.25">
      <c r="A1405" s="1">
        <v>689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"2025-04-14 15:31:44.420"</f>
        <v>2025-04-14 15:31:44.420</v>
      </c>
      <c r="H1405" t="s">
        <v>21</v>
      </c>
      <c r="I1405">
        <v>0</v>
      </c>
      <c r="J1405" t="s">
        <v>33</v>
      </c>
    </row>
    <row r="1406" spans="1:10" x14ac:dyDescent="0.25">
      <c r="A1406" s="1">
        <v>690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"2025-04-14 11:36:29.431"</f>
        <v>2025-04-14 11:36:29.431</v>
      </c>
      <c r="H1406" t="s">
        <v>21</v>
      </c>
    </row>
    <row r="1407" spans="1:10" x14ac:dyDescent="0.25">
      <c r="A1407" s="1">
        <v>691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"2025-04-14 11:26:02.437"</f>
        <v>2025-04-14 11:26:02.437</v>
      </c>
      <c r="H1407" t="s">
        <v>21</v>
      </c>
    </row>
    <row r="1408" spans="1:10" x14ac:dyDescent="0.25">
      <c r="A1408" s="1">
        <v>692</v>
      </c>
      <c r="B1408" t="s">
        <v>19</v>
      </c>
      <c r="C1408">
        <v>706</v>
      </c>
      <c r="D1408">
        <v>2</v>
      </c>
      <c r="E1408" t="s">
        <v>30</v>
      </c>
      <c r="F1408" t="s">
        <v>31</v>
      </c>
      <c r="G1408" t="str">
        <f>"2025-04-14 08:52:42.924"</f>
        <v>2025-04-14 08:52:42.924</v>
      </c>
      <c r="H1408" t="s">
        <v>21</v>
      </c>
      <c r="I1408">
        <v>0</v>
      </c>
      <c r="J1408" t="s">
        <v>32</v>
      </c>
    </row>
    <row r="1409" spans="1:10" x14ac:dyDescent="0.25">
      <c r="A1409" s="1">
        <v>693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"2025-04-14 08:52:19.434"</f>
        <v>2025-04-14 08:52:19.434</v>
      </c>
      <c r="H1409" t="s">
        <v>21</v>
      </c>
      <c r="I1409">
        <v>0</v>
      </c>
      <c r="J1409" t="s">
        <v>33</v>
      </c>
    </row>
    <row r="1410" spans="1:10" x14ac:dyDescent="0.25">
      <c r="A1410" s="1">
        <v>694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"2025-04-13 07:43:08.482"</f>
        <v>2025-04-13 07:43:08.482</v>
      </c>
      <c r="H1410" t="s">
        <v>21</v>
      </c>
    </row>
    <row r="1411" spans="1:10" x14ac:dyDescent="0.25">
      <c r="A1411" s="1">
        <v>695</v>
      </c>
      <c r="B1411" t="s">
        <v>40</v>
      </c>
      <c r="C1411">
        <v>630</v>
      </c>
      <c r="D1411">
        <v>5</v>
      </c>
      <c r="E1411" t="s">
        <v>66</v>
      </c>
      <c r="F1411" t="s">
        <v>67</v>
      </c>
      <c r="G1411" t="str">
        <f>"2025-04-12 17:47:56.221"</f>
        <v>2025-04-12 17:47:56.221</v>
      </c>
      <c r="H1411" t="s">
        <v>68</v>
      </c>
      <c r="I1411">
        <v>0</v>
      </c>
      <c r="J1411" t="s">
        <v>32</v>
      </c>
    </row>
    <row r="1412" spans="1:10" x14ac:dyDescent="0.25">
      <c r="A1412" s="1">
        <v>696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"2025-04-12 17:42:53.498"</f>
        <v>2025-04-12 17:42:53.498</v>
      </c>
      <c r="H1412" t="s">
        <v>21</v>
      </c>
      <c r="I1412">
        <v>0</v>
      </c>
      <c r="J1412" t="s">
        <v>33</v>
      </c>
    </row>
    <row r="1413" spans="1:10" x14ac:dyDescent="0.25">
      <c r="A1413" s="1">
        <v>697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"2025-04-12 16:45:48.427"</f>
        <v>2025-04-12 16:45:48.427</v>
      </c>
      <c r="H1413" t="s">
        <v>21</v>
      </c>
      <c r="I1413">
        <v>0</v>
      </c>
      <c r="J1413" t="s">
        <v>33</v>
      </c>
    </row>
    <row r="1414" spans="1:10" x14ac:dyDescent="0.25">
      <c r="A1414" s="1">
        <v>698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"2025-04-12 16:38:19.464"</f>
        <v>2025-04-12 16:38:19.464</v>
      </c>
      <c r="H1414" t="s">
        <v>21</v>
      </c>
      <c r="I1414">
        <v>0</v>
      </c>
      <c r="J1414" t="s">
        <v>33</v>
      </c>
    </row>
    <row r="1415" spans="1:10" x14ac:dyDescent="0.25">
      <c r="A1415" s="1">
        <v>699</v>
      </c>
      <c r="B1415" t="s">
        <v>19</v>
      </c>
      <c r="C1415">
        <v>706</v>
      </c>
      <c r="D1415">
        <v>4</v>
      </c>
      <c r="E1415" t="s">
        <v>30</v>
      </c>
      <c r="F1415" t="s">
        <v>34</v>
      </c>
      <c r="G1415" t="str">
        <f>"2025-04-11 20:13:52.685"</f>
        <v>2025-04-11 20:13:52.685</v>
      </c>
      <c r="H1415" t="s">
        <v>21</v>
      </c>
      <c r="I1415">
        <v>0</v>
      </c>
      <c r="J1415" t="s">
        <v>32</v>
      </c>
    </row>
    <row r="1416" spans="1:10" x14ac:dyDescent="0.25">
      <c r="A1416" s="1">
        <v>700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"2025-04-11 20:13:27.435"</f>
        <v>2025-04-11 20:13:27.435</v>
      </c>
      <c r="H1416" t="s">
        <v>21</v>
      </c>
    </row>
    <row r="1417" spans="1:10" x14ac:dyDescent="0.25">
      <c r="A1417" s="1">
        <v>701</v>
      </c>
      <c r="B1417" t="s">
        <v>19</v>
      </c>
      <c r="C1417">
        <v>706</v>
      </c>
      <c r="D1417">
        <v>4</v>
      </c>
      <c r="E1417" t="s">
        <v>30</v>
      </c>
      <c r="F1417" t="s">
        <v>34</v>
      </c>
      <c r="G1417" t="str">
        <f>"2025-04-11 16:57:01.877"</f>
        <v>2025-04-11 16:57:01.877</v>
      </c>
      <c r="H1417" t="s">
        <v>21</v>
      </c>
      <c r="I1417">
        <v>0</v>
      </c>
      <c r="J1417" t="s">
        <v>90</v>
      </c>
    </row>
    <row r="1418" spans="1:10" x14ac:dyDescent="0.25">
      <c r="A1418" s="1">
        <v>702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"2025-04-11 16:56:44.447"</f>
        <v>2025-04-11 16:56:44.447</v>
      </c>
      <c r="H1418" t="s">
        <v>21</v>
      </c>
      <c r="I1418">
        <v>0</v>
      </c>
      <c r="J1418" t="s">
        <v>33</v>
      </c>
    </row>
    <row r="1419" spans="1:10" x14ac:dyDescent="0.25">
      <c r="A1419" s="1">
        <v>703</v>
      </c>
      <c r="B1419" t="s">
        <v>40</v>
      </c>
      <c r="C1419">
        <v>630</v>
      </c>
      <c r="D1419">
        <v>5</v>
      </c>
      <c r="E1419" t="s">
        <v>66</v>
      </c>
      <c r="F1419" t="s">
        <v>67</v>
      </c>
      <c r="G1419" t="str">
        <f>"2025-04-11 12:15:02.182"</f>
        <v>2025-04-11 12:15:02.182</v>
      </c>
      <c r="H1419" t="s">
        <v>68</v>
      </c>
      <c r="I1419">
        <v>0</v>
      </c>
      <c r="J1419" t="s">
        <v>32</v>
      </c>
    </row>
    <row r="1420" spans="1:10" x14ac:dyDescent="0.25">
      <c r="A1420" s="1">
        <v>704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"2025-04-11 12:09:59.445"</f>
        <v>2025-04-11 12:09:59.445</v>
      </c>
      <c r="H1420" t="s">
        <v>21</v>
      </c>
      <c r="I1420">
        <v>0</v>
      </c>
      <c r="J1420" t="s">
        <v>33</v>
      </c>
    </row>
    <row r="1421" spans="1:10" x14ac:dyDescent="0.25">
      <c r="A1421" s="1">
        <v>705</v>
      </c>
      <c r="B1421" t="s">
        <v>40</v>
      </c>
      <c r="C1421">
        <v>630</v>
      </c>
      <c r="D1421">
        <v>5</v>
      </c>
      <c r="E1421" t="s">
        <v>66</v>
      </c>
      <c r="F1421" t="s">
        <v>67</v>
      </c>
      <c r="G1421" t="str">
        <f>"2025-04-11 10:58:54.239"</f>
        <v>2025-04-11 10:58:54.239</v>
      </c>
      <c r="H1421" t="s">
        <v>68</v>
      </c>
      <c r="I1421">
        <v>0</v>
      </c>
      <c r="J1421" t="s">
        <v>32</v>
      </c>
    </row>
    <row r="1422" spans="1:10" x14ac:dyDescent="0.25">
      <c r="A1422" s="1">
        <v>706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"2025-04-11 10:53:51.452"</f>
        <v>2025-04-11 10:53:51.452</v>
      </c>
      <c r="H1422" t="s">
        <v>21</v>
      </c>
      <c r="I1422">
        <v>0</v>
      </c>
      <c r="J1422" t="s">
        <v>33</v>
      </c>
    </row>
    <row r="1423" spans="1:10" x14ac:dyDescent="0.25">
      <c r="A1423" s="1">
        <v>707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"2025-04-11 10:11:55.660"</f>
        <v>2025-04-11 10:11:55.660</v>
      </c>
      <c r="H1423" t="s">
        <v>21</v>
      </c>
    </row>
    <row r="1424" spans="1:10" x14ac:dyDescent="0.25">
      <c r="A1424" s="1">
        <v>708</v>
      </c>
      <c r="B1424" t="s">
        <v>43</v>
      </c>
      <c r="C1424">
        <v>215</v>
      </c>
      <c r="D1424">
        <v>6</v>
      </c>
      <c r="E1424" t="s">
        <v>44</v>
      </c>
      <c r="F1424" t="s">
        <v>45</v>
      </c>
      <c r="G1424" t="str">
        <f>"2025-04-11 04:30:50.741"</f>
        <v>2025-04-11 04:30:50.741</v>
      </c>
      <c r="H1424" t="s">
        <v>21</v>
      </c>
    </row>
    <row r="1425" spans="1:10" x14ac:dyDescent="0.25">
      <c r="A1425" s="1">
        <v>709</v>
      </c>
      <c r="B1425" t="s">
        <v>43</v>
      </c>
      <c r="C1425">
        <v>115</v>
      </c>
      <c r="D1425">
        <v>6</v>
      </c>
      <c r="E1425" t="s">
        <v>46</v>
      </c>
      <c r="F1425" t="s">
        <v>45</v>
      </c>
      <c r="G1425" t="str">
        <f>"2025-04-11 04:30:50.641"</f>
        <v>2025-04-11 04:30:50.641</v>
      </c>
      <c r="H1425" t="s">
        <v>21</v>
      </c>
    </row>
    <row r="1426" spans="1:10" x14ac:dyDescent="0.25">
      <c r="A1426" s="1">
        <v>710</v>
      </c>
      <c r="B1426" t="s">
        <v>40</v>
      </c>
      <c r="C1426">
        <v>215</v>
      </c>
      <c r="D1426">
        <v>6</v>
      </c>
      <c r="E1426" t="s">
        <v>44</v>
      </c>
      <c r="F1426" t="s">
        <v>45</v>
      </c>
      <c r="G1426" t="str">
        <f>"2025-04-11 04:30:45.557"</f>
        <v>2025-04-11 04:30:45.557</v>
      </c>
      <c r="H1426" t="s">
        <v>21</v>
      </c>
      <c r="I1426">
        <v>0</v>
      </c>
      <c r="J1426" t="s">
        <v>32</v>
      </c>
    </row>
    <row r="1427" spans="1:10" x14ac:dyDescent="0.25">
      <c r="A1427" s="1">
        <v>711</v>
      </c>
      <c r="B1427" t="s">
        <v>40</v>
      </c>
      <c r="C1427">
        <v>115</v>
      </c>
      <c r="D1427">
        <v>6</v>
      </c>
      <c r="E1427" t="s">
        <v>46</v>
      </c>
      <c r="F1427" t="s">
        <v>45</v>
      </c>
      <c r="G1427" t="str">
        <f>"2025-04-11 04:30:45.552"</f>
        <v>2025-04-11 04:30:45.552</v>
      </c>
      <c r="H1427" t="s">
        <v>21</v>
      </c>
      <c r="I1427">
        <v>0</v>
      </c>
      <c r="J1427" t="s">
        <v>32</v>
      </c>
    </row>
    <row r="1428" spans="1:10" x14ac:dyDescent="0.25">
      <c r="A1428" s="1">
        <v>712</v>
      </c>
      <c r="B1428" t="s">
        <v>22</v>
      </c>
      <c r="C1428">
        <v>6</v>
      </c>
      <c r="D1428">
        <v>1</v>
      </c>
      <c r="E1428" t="s">
        <v>47</v>
      </c>
      <c r="F1428" t="s">
        <v>48</v>
      </c>
      <c r="G1428" t="str">
        <f>"2025-04-11 04:30:45.420"</f>
        <v>2025-04-11 04:30:45.420</v>
      </c>
      <c r="H1428" t="s">
        <v>49</v>
      </c>
    </row>
    <row r="1429" spans="1:10" x14ac:dyDescent="0.25">
      <c r="A1429" s="1">
        <v>713</v>
      </c>
      <c r="B1429" t="s">
        <v>22</v>
      </c>
      <c r="C1429">
        <v>75</v>
      </c>
      <c r="D1429">
        <v>1</v>
      </c>
      <c r="E1429" t="s">
        <v>50</v>
      </c>
      <c r="F1429" t="s">
        <v>51</v>
      </c>
      <c r="G1429" t="str">
        <f>"2025-04-11 04:30:45.418"</f>
        <v>2025-04-11 04:30:45.418</v>
      </c>
      <c r="H1429" t="s">
        <v>52</v>
      </c>
    </row>
    <row r="1430" spans="1:10" x14ac:dyDescent="0.25">
      <c r="A1430" s="1">
        <v>714</v>
      </c>
      <c r="B1430" t="s">
        <v>22</v>
      </c>
      <c r="C1430">
        <v>74</v>
      </c>
      <c r="D1430">
        <v>1</v>
      </c>
      <c r="E1430" t="s">
        <v>53</v>
      </c>
      <c r="F1430" t="s">
        <v>54</v>
      </c>
      <c r="G1430" t="str">
        <f>"2025-04-11 04:30:45.417"</f>
        <v>2025-04-11 04:30:45.417</v>
      </c>
      <c r="H1430" t="s">
        <v>55</v>
      </c>
    </row>
    <row r="1431" spans="1:10" x14ac:dyDescent="0.25">
      <c r="A1431" s="1">
        <v>715</v>
      </c>
      <c r="B1431" t="s">
        <v>25</v>
      </c>
      <c r="C1431">
        <v>75</v>
      </c>
      <c r="D1431">
        <v>1</v>
      </c>
      <c r="E1431" t="s">
        <v>50</v>
      </c>
      <c r="F1431" t="s">
        <v>51</v>
      </c>
      <c r="G1431" t="str">
        <f>"2025-04-11 04:30:33.877"</f>
        <v>2025-04-11 04:30:33.877</v>
      </c>
      <c r="H1431" t="s">
        <v>52</v>
      </c>
      <c r="I1431">
        <v>0</v>
      </c>
      <c r="J1431" t="s">
        <v>32</v>
      </c>
    </row>
    <row r="1432" spans="1:10" x14ac:dyDescent="0.25">
      <c r="A1432" s="1">
        <v>716</v>
      </c>
      <c r="B1432" t="s">
        <v>25</v>
      </c>
      <c r="C1432">
        <v>74</v>
      </c>
      <c r="D1432">
        <v>1</v>
      </c>
      <c r="E1432" t="s">
        <v>53</v>
      </c>
      <c r="F1432" t="s">
        <v>54</v>
      </c>
      <c r="G1432" t="str">
        <f>"2025-04-11 04:30:33.872"</f>
        <v>2025-04-11 04:30:33.872</v>
      </c>
      <c r="H1432" t="s">
        <v>55</v>
      </c>
      <c r="I1432">
        <v>0</v>
      </c>
      <c r="J1432" t="s">
        <v>32</v>
      </c>
    </row>
    <row r="1433" spans="1:10" x14ac:dyDescent="0.25">
      <c r="A1433" s="1">
        <v>717</v>
      </c>
      <c r="B1433" t="s">
        <v>40</v>
      </c>
      <c r="C1433">
        <v>6</v>
      </c>
      <c r="D1433">
        <v>1</v>
      </c>
      <c r="E1433" t="s">
        <v>47</v>
      </c>
      <c r="F1433" t="s">
        <v>48</v>
      </c>
      <c r="G1433" t="str">
        <f>"2025-04-11 04:30:33.866"</f>
        <v>2025-04-11 04:30:33.866</v>
      </c>
      <c r="H1433" t="s">
        <v>49</v>
      </c>
      <c r="I1433">
        <v>0</v>
      </c>
      <c r="J1433" t="s">
        <v>32</v>
      </c>
    </row>
    <row r="1434" spans="1:10" x14ac:dyDescent="0.25">
      <c r="A1434" s="1">
        <v>722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"2025-04-10 21:59:19.459"</f>
        <v>2025-04-10 21:59:19.459</v>
      </c>
      <c r="H1434" t="s">
        <v>21</v>
      </c>
      <c r="I1434">
        <v>0</v>
      </c>
      <c r="J1434" t="s">
        <v>33</v>
      </c>
    </row>
    <row r="1435" spans="1:10" x14ac:dyDescent="0.25">
      <c r="A1435" s="1">
        <v>723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"2025-04-10 13:21:43.474"</f>
        <v>2025-04-10 13:21:43.474</v>
      </c>
      <c r="H1435" t="s">
        <v>21</v>
      </c>
      <c r="I1435">
        <v>0</v>
      </c>
      <c r="J1435" t="s">
        <v>33</v>
      </c>
    </row>
    <row r="1436" spans="1:10" x14ac:dyDescent="0.25">
      <c r="A1436" s="1">
        <v>724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"2025-04-08 22:52:54.427"</f>
        <v>2025-04-08 22:52:54.427</v>
      </c>
      <c r="H1436" t="s">
        <v>21</v>
      </c>
    </row>
    <row r="1437" spans="1:10" x14ac:dyDescent="0.25">
      <c r="A1437" s="1">
        <v>725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"2025-04-07 22:42:23.430"</f>
        <v>2025-04-07 22:42:23.430</v>
      </c>
      <c r="H1437" t="s">
        <v>21</v>
      </c>
      <c r="I1437">
        <v>0</v>
      </c>
      <c r="J1437" t="s">
        <v>33</v>
      </c>
    </row>
    <row r="1438" spans="1:10" x14ac:dyDescent="0.25">
      <c r="A1438" s="1">
        <v>726</v>
      </c>
      <c r="B1438" t="s">
        <v>19</v>
      </c>
      <c r="C1438">
        <v>706</v>
      </c>
      <c r="D1438">
        <v>4</v>
      </c>
      <c r="E1438" t="s">
        <v>30</v>
      </c>
      <c r="F1438" t="s">
        <v>34</v>
      </c>
      <c r="G1438" t="str">
        <f>"2025-04-04 13:23:56.862"</f>
        <v>2025-04-04 13:23:56.862</v>
      </c>
      <c r="H1438" t="s">
        <v>21</v>
      </c>
      <c r="I1438">
        <v>0</v>
      </c>
      <c r="J1438" t="s">
        <v>32</v>
      </c>
    </row>
    <row r="1439" spans="1:10" x14ac:dyDescent="0.25">
      <c r="A1439" s="1">
        <v>727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"2025-04-04 13:23:37.442"</f>
        <v>2025-04-04 13:23:37.442</v>
      </c>
      <c r="H1439" t="s">
        <v>21</v>
      </c>
    </row>
    <row r="1440" spans="1:10" x14ac:dyDescent="0.25">
      <c r="A1440" s="1">
        <v>728</v>
      </c>
      <c r="B1440" t="s">
        <v>22</v>
      </c>
      <c r="C1440">
        <v>635</v>
      </c>
      <c r="D1440">
        <v>1</v>
      </c>
      <c r="E1440" t="s">
        <v>27</v>
      </c>
      <c r="F1440" t="s">
        <v>28</v>
      </c>
      <c r="G1440" t="str">
        <f>"2025-04-04 05:05:25.020"</f>
        <v>2025-04-04 05:05:25.020</v>
      </c>
      <c r="H1440" t="s">
        <v>21</v>
      </c>
    </row>
    <row r="1441" spans="1:10" x14ac:dyDescent="0.25">
      <c r="A1441" s="1">
        <v>729</v>
      </c>
      <c r="B1441" t="s">
        <v>25</v>
      </c>
      <c r="C1441">
        <v>635</v>
      </c>
      <c r="D1441">
        <v>1</v>
      </c>
      <c r="E1441" t="s">
        <v>27</v>
      </c>
      <c r="F1441" t="s">
        <v>28</v>
      </c>
      <c r="G1441" t="str">
        <f>"2025-04-04 04:57:54.520"</f>
        <v>2025-04-04 04:57:54.520</v>
      </c>
      <c r="H1441" t="s">
        <v>21</v>
      </c>
      <c r="I1441">
        <v>7.19</v>
      </c>
      <c r="J1441" t="s">
        <v>35</v>
      </c>
    </row>
    <row r="1442" spans="1:10" x14ac:dyDescent="0.25">
      <c r="A1442" s="1">
        <v>730</v>
      </c>
      <c r="B1442" t="s">
        <v>19</v>
      </c>
      <c r="C1442">
        <v>706</v>
      </c>
      <c r="D1442">
        <v>4</v>
      </c>
      <c r="E1442" t="s">
        <v>30</v>
      </c>
      <c r="F1442" t="s">
        <v>34</v>
      </c>
      <c r="G1442" t="str">
        <f>"2025-04-03 14:29:12.161"</f>
        <v>2025-04-03 14:29:12.161</v>
      </c>
      <c r="H1442" t="s">
        <v>21</v>
      </c>
      <c r="I1442">
        <v>0</v>
      </c>
      <c r="J1442" t="s">
        <v>32</v>
      </c>
    </row>
    <row r="1443" spans="1:10" x14ac:dyDescent="0.25">
      <c r="A1443" s="1">
        <v>731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"2025-04-03 14:28:56.451"</f>
        <v>2025-04-03 14:28:56.451</v>
      </c>
      <c r="H1443" t="s">
        <v>21</v>
      </c>
    </row>
    <row r="1444" spans="1:10" x14ac:dyDescent="0.25">
      <c r="A1444" s="1">
        <v>732</v>
      </c>
      <c r="B1444" t="s">
        <v>22</v>
      </c>
      <c r="C1444">
        <v>635</v>
      </c>
      <c r="D1444">
        <v>1</v>
      </c>
      <c r="E1444" t="s">
        <v>27</v>
      </c>
      <c r="F1444" t="s">
        <v>28</v>
      </c>
      <c r="G1444" t="str">
        <f>"2025-04-03 12:15:34.206"</f>
        <v>2025-04-03 12:15:34.206</v>
      </c>
      <c r="H1444" t="s">
        <v>21</v>
      </c>
    </row>
    <row r="1445" spans="1:10" x14ac:dyDescent="0.25">
      <c r="A1445" s="1">
        <v>733</v>
      </c>
      <c r="B1445" t="s">
        <v>25</v>
      </c>
      <c r="C1445">
        <v>635</v>
      </c>
      <c r="D1445">
        <v>1</v>
      </c>
      <c r="E1445" t="s">
        <v>27</v>
      </c>
      <c r="F1445" t="s">
        <v>28</v>
      </c>
      <c r="G1445" t="str">
        <f>"2025-04-03 12:10:51.207"</f>
        <v>2025-04-03 12:10:51.207</v>
      </c>
      <c r="H1445" t="s">
        <v>21</v>
      </c>
      <c r="I1445">
        <v>8.48</v>
      </c>
      <c r="J1445" t="s">
        <v>29</v>
      </c>
    </row>
    <row r="1446" spans="1:10" x14ac:dyDescent="0.25">
      <c r="A1446" s="1">
        <v>734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"2025-04-02 23:09:15.460"</f>
        <v>2025-04-02 23:09:15.460</v>
      </c>
      <c r="H1446" t="s">
        <v>21</v>
      </c>
    </row>
    <row r="1447" spans="1:10" x14ac:dyDescent="0.25">
      <c r="A1447" s="1">
        <v>735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"2025-04-02 16:17:06.431"</f>
        <v>2025-04-02 16:17:06.431</v>
      </c>
      <c r="H1447" t="s">
        <v>21</v>
      </c>
      <c r="I1447">
        <v>0</v>
      </c>
      <c r="J1447" t="s">
        <v>33</v>
      </c>
    </row>
    <row r="1448" spans="1:10" x14ac:dyDescent="0.25">
      <c r="A1448" s="1">
        <v>736</v>
      </c>
      <c r="B1448" t="s">
        <v>22</v>
      </c>
      <c r="C1448">
        <v>635</v>
      </c>
      <c r="D1448">
        <v>1</v>
      </c>
      <c r="E1448" t="s">
        <v>27</v>
      </c>
      <c r="F1448" t="s">
        <v>28</v>
      </c>
      <c r="G1448" t="str">
        <f>"2025-04-02 09:30:56.953"</f>
        <v>2025-04-02 09:30:56.953</v>
      </c>
      <c r="H1448" t="s">
        <v>21</v>
      </c>
    </row>
    <row r="1449" spans="1:10" x14ac:dyDescent="0.25">
      <c r="A1449" s="1">
        <v>737</v>
      </c>
      <c r="B1449" t="s">
        <v>25</v>
      </c>
      <c r="C1449">
        <v>635</v>
      </c>
      <c r="D1449">
        <v>1</v>
      </c>
      <c r="E1449" t="s">
        <v>27</v>
      </c>
      <c r="F1449" t="s">
        <v>28</v>
      </c>
      <c r="G1449" t="str">
        <f>"2025-04-02 09:24:47.453"</f>
        <v>2025-04-02 09:24:47.453</v>
      </c>
      <c r="H1449" t="s">
        <v>21</v>
      </c>
      <c r="I1449">
        <v>8.5</v>
      </c>
      <c r="J1449" t="s">
        <v>29</v>
      </c>
    </row>
    <row r="1450" spans="1:10" x14ac:dyDescent="0.25">
      <c r="A1450" s="1">
        <v>738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"2025-03-31 14:31:15.406"</f>
        <v>2025-03-31 14:31:15.406</v>
      </c>
      <c r="H1450" t="s">
        <v>21</v>
      </c>
    </row>
    <row r="1451" spans="1:10" x14ac:dyDescent="0.25">
      <c r="A1451" s="1">
        <v>739</v>
      </c>
      <c r="B1451" t="s">
        <v>19</v>
      </c>
      <c r="C1451">
        <v>706</v>
      </c>
      <c r="D1451">
        <v>4</v>
      </c>
      <c r="E1451" t="s">
        <v>30</v>
      </c>
      <c r="F1451" t="s">
        <v>34</v>
      </c>
      <c r="G1451" t="str">
        <f>"2025-03-31 11:12:34.375"</f>
        <v>2025-03-31 11:12:34.375</v>
      </c>
      <c r="H1451" t="s">
        <v>21</v>
      </c>
      <c r="I1451">
        <v>0</v>
      </c>
      <c r="J1451" t="s">
        <v>32</v>
      </c>
    </row>
    <row r="1452" spans="1:10" x14ac:dyDescent="0.25">
      <c r="A1452" s="1">
        <v>740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"2025-03-31 11:11:30.455"</f>
        <v>2025-03-31 11:11:30.455</v>
      </c>
      <c r="H1452" t="s">
        <v>21</v>
      </c>
      <c r="I1452">
        <v>0</v>
      </c>
      <c r="J1452" t="s">
        <v>33</v>
      </c>
    </row>
    <row r="1453" spans="1:10" x14ac:dyDescent="0.25">
      <c r="A1453" s="1">
        <v>741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"2025-03-30 13:09:22.411"</f>
        <v>2025-03-30 13:09:22.411</v>
      </c>
      <c r="H1453" t="s">
        <v>21</v>
      </c>
      <c r="I1453">
        <v>0</v>
      </c>
      <c r="J1453" t="s">
        <v>33</v>
      </c>
    </row>
    <row r="1454" spans="1:10" x14ac:dyDescent="0.25">
      <c r="A1454" s="1">
        <v>742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"2025-03-30 11:49:29.423"</f>
        <v>2025-03-30 11:49:29.423</v>
      </c>
      <c r="H1454" t="s">
        <v>21</v>
      </c>
      <c r="I1454">
        <v>0</v>
      </c>
      <c r="J1454" t="s">
        <v>33</v>
      </c>
    </row>
    <row r="1455" spans="1:10" x14ac:dyDescent="0.25">
      <c r="A1455" s="1">
        <v>743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"2025-03-29 21:37:35.418"</f>
        <v>2025-03-29 21:37:35.418</v>
      </c>
      <c r="H1455" t="s">
        <v>21</v>
      </c>
    </row>
    <row r="1456" spans="1:10" x14ac:dyDescent="0.25">
      <c r="A1456" s="1">
        <v>744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"2025-03-27 10:16:12.420"</f>
        <v>2025-03-27 10:16:12.420</v>
      </c>
      <c r="H1456" t="s">
        <v>21</v>
      </c>
    </row>
    <row r="1457" spans="1:10" x14ac:dyDescent="0.25">
      <c r="A1457" s="1">
        <v>745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"2025-03-25 21:22:28.415"</f>
        <v>2025-03-25 21:22:28.415</v>
      </c>
      <c r="H1457" t="s">
        <v>21</v>
      </c>
    </row>
    <row r="1458" spans="1:10" x14ac:dyDescent="0.25">
      <c r="A1458" s="1">
        <v>746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"2025-03-25 21:17:46.448"</f>
        <v>2025-03-25 21:17:46.448</v>
      </c>
      <c r="H1458" t="s">
        <v>21</v>
      </c>
    </row>
    <row r="1459" spans="1:10" x14ac:dyDescent="0.25">
      <c r="A1459" s="1">
        <v>747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"2025-03-25 04:25:27.418"</f>
        <v>2025-03-25 04:25:27.418</v>
      </c>
      <c r="H1459" t="s">
        <v>21</v>
      </c>
    </row>
    <row r="1460" spans="1:10" x14ac:dyDescent="0.25">
      <c r="A1460" s="1">
        <v>748</v>
      </c>
      <c r="B1460" t="s">
        <v>19</v>
      </c>
      <c r="C1460">
        <v>706</v>
      </c>
      <c r="D1460">
        <v>4</v>
      </c>
      <c r="E1460" t="s">
        <v>30</v>
      </c>
      <c r="F1460" t="s">
        <v>34</v>
      </c>
      <c r="G1460" t="str">
        <f>"2025-03-20 20:09:38.246"</f>
        <v>2025-03-20 20:09:38.246</v>
      </c>
      <c r="H1460" t="s">
        <v>21</v>
      </c>
      <c r="I1460">
        <v>0</v>
      </c>
      <c r="J1460" t="s">
        <v>32</v>
      </c>
    </row>
    <row r="1461" spans="1:10" x14ac:dyDescent="0.25">
      <c r="A1461" s="1">
        <v>749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"2025-03-20 20:02:31.416"</f>
        <v>2025-03-20 20:02:31.416</v>
      </c>
      <c r="H1461" t="s">
        <v>21</v>
      </c>
    </row>
    <row r="1462" spans="1:10" x14ac:dyDescent="0.25">
      <c r="A1462" s="1">
        <v>750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"2025-03-20 18:15:31.427"</f>
        <v>2025-03-20 18:15:31.427</v>
      </c>
      <c r="H1462" t="s">
        <v>21</v>
      </c>
    </row>
    <row r="1463" spans="1:10" x14ac:dyDescent="0.25">
      <c r="A1463" s="1">
        <v>751</v>
      </c>
      <c r="B1463" t="s">
        <v>19</v>
      </c>
      <c r="C1463">
        <v>706</v>
      </c>
      <c r="D1463">
        <v>4</v>
      </c>
      <c r="E1463" t="s">
        <v>30</v>
      </c>
      <c r="F1463" t="s">
        <v>34</v>
      </c>
      <c r="G1463" t="str">
        <f>"2025-03-20 18:02:59.754"</f>
        <v>2025-03-20 18:02:59.754</v>
      </c>
      <c r="H1463" t="s">
        <v>21</v>
      </c>
      <c r="I1463">
        <v>0</v>
      </c>
      <c r="J1463" t="s">
        <v>32</v>
      </c>
    </row>
    <row r="1464" spans="1:10" x14ac:dyDescent="0.25">
      <c r="A1464" s="1">
        <v>752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"2025-03-20 18:00:33.454"</f>
        <v>2025-03-20 18:00:33.454</v>
      </c>
      <c r="H1464" t="s">
        <v>21</v>
      </c>
    </row>
    <row r="1465" spans="1:10" x14ac:dyDescent="0.25">
      <c r="A1465" s="1">
        <v>753</v>
      </c>
      <c r="B1465" t="s">
        <v>19</v>
      </c>
      <c r="C1465">
        <v>706</v>
      </c>
      <c r="D1465">
        <v>4</v>
      </c>
      <c r="E1465" t="s">
        <v>30</v>
      </c>
      <c r="F1465" t="s">
        <v>34</v>
      </c>
      <c r="G1465" t="str">
        <f>"2025-03-20 17:31:45.836"</f>
        <v>2025-03-20 17:31:45.836</v>
      </c>
      <c r="H1465" t="s">
        <v>21</v>
      </c>
      <c r="I1465">
        <v>0</v>
      </c>
      <c r="J1465" t="s">
        <v>32</v>
      </c>
    </row>
    <row r="1466" spans="1:10" x14ac:dyDescent="0.25">
      <c r="A1466" s="1">
        <v>754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"2025-03-20 17:21:02.426"</f>
        <v>2025-03-20 17:21:02.426</v>
      </c>
      <c r="H1466" t="s">
        <v>21</v>
      </c>
    </row>
    <row r="1467" spans="1:10" x14ac:dyDescent="0.25">
      <c r="A1467" s="1">
        <v>755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"2025-03-20 15:58:01.652"</f>
        <v>2025-03-20 15:58:01.652</v>
      </c>
      <c r="H1467" t="s">
        <v>21</v>
      </c>
    </row>
    <row r="1468" spans="1:10" x14ac:dyDescent="0.25">
      <c r="A1468" s="1">
        <v>756</v>
      </c>
      <c r="B1468" t="s">
        <v>19</v>
      </c>
      <c r="C1468">
        <v>706</v>
      </c>
      <c r="D1468">
        <v>4</v>
      </c>
      <c r="E1468" t="s">
        <v>30</v>
      </c>
      <c r="F1468" t="s">
        <v>34</v>
      </c>
      <c r="G1468" t="str">
        <f>"2025-03-20 15:54:59.884"</f>
        <v>2025-03-20 15:54:59.884</v>
      </c>
      <c r="H1468" t="s">
        <v>21</v>
      </c>
      <c r="I1468">
        <v>0</v>
      </c>
      <c r="J1468" t="s">
        <v>32</v>
      </c>
    </row>
    <row r="1469" spans="1:10" x14ac:dyDescent="0.25">
      <c r="A1469" s="1">
        <v>757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"2025-03-20 14:02:50.444"</f>
        <v>2025-03-20 14:02:50.444</v>
      </c>
      <c r="H1469" t="s">
        <v>21</v>
      </c>
      <c r="I1469">
        <v>0</v>
      </c>
      <c r="J1469" t="s">
        <v>33</v>
      </c>
    </row>
    <row r="1470" spans="1:10" x14ac:dyDescent="0.25">
      <c r="A1470" s="1">
        <v>758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"2025-03-19 09:33:00.408"</f>
        <v>2025-03-19 09:33:00.408</v>
      </c>
      <c r="H1470" t="s">
        <v>21</v>
      </c>
      <c r="I1470">
        <v>0</v>
      </c>
      <c r="J1470" t="s">
        <v>33</v>
      </c>
    </row>
    <row r="1471" spans="1:10" x14ac:dyDescent="0.25">
      <c r="A1471" s="1">
        <v>760</v>
      </c>
      <c r="B1471" t="s">
        <v>19</v>
      </c>
      <c r="C1471">
        <v>706</v>
      </c>
      <c r="D1471">
        <v>4</v>
      </c>
      <c r="E1471" t="s">
        <v>30</v>
      </c>
      <c r="F1471" t="s">
        <v>34</v>
      </c>
      <c r="G1471" t="str">
        <f>"2025-03-15 13:58:50.362"</f>
        <v>2025-03-15 13:58:50.362</v>
      </c>
      <c r="H1471" t="s">
        <v>21</v>
      </c>
      <c r="I1471">
        <v>0</v>
      </c>
      <c r="J1471" t="s">
        <v>32</v>
      </c>
    </row>
    <row r="1472" spans="1:10" x14ac:dyDescent="0.25">
      <c r="A1472" s="1">
        <v>761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"2025-03-15 13:57:23.442"</f>
        <v>2025-03-15 13:57:23.442</v>
      </c>
      <c r="H1472" t="s">
        <v>21</v>
      </c>
    </row>
    <row r="1473" spans="1:10" x14ac:dyDescent="0.25">
      <c r="A1473" s="1">
        <v>762</v>
      </c>
      <c r="B1473" t="s">
        <v>22</v>
      </c>
      <c r="C1473">
        <v>635</v>
      </c>
      <c r="D1473">
        <v>1</v>
      </c>
      <c r="E1473" t="s">
        <v>27</v>
      </c>
      <c r="F1473" t="s">
        <v>28</v>
      </c>
      <c r="G1473" t="str">
        <f>"2025-03-13 05:00:56.682"</f>
        <v>2025-03-13 05:00:56.682</v>
      </c>
      <c r="H1473" t="s">
        <v>21</v>
      </c>
    </row>
    <row r="1474" spans="1:10" x14ac:dyDescent="0.25">
      <c r="A1474" s="1">
        <v>763</v>
      </c>
      <c r="B1474" t="s">
        <v>25</v>
      </c>
      <c r="C1474">
        <v>635</v>
      </c>
      <c r="D1474">
        <v>1</v>
      </c>
      <c r="E1474" t="s">
        <v>27</v>
      </c>
      <c r="F1474" t="s">
        <v>28</v>
      </c>
      <c r="G1474" t="str">
        <f>"2025-03-13 04:56:43.182"</f>
        <v>2025-03-13 04:56:43.182</v>
      </c>
      <c r="H1474" t="s">
        <v>21</v>
      </c>
      <c r="I1474">
        <v>3.37</v>
      </c>
      <c r="J1474" t="s">
        <v>29</v>
      </c>
    </row>
    <row r="1475" spans="1:10" x14ac:dyDescent="0.25">
      <c r="A1475" s="1">
        <v>764</v>
      </c>
      <c r="B1475" t="s">
        <v>43</v>
      </c>
      <c r="C1475">
        <v>135</v>
      </c>
      <c r="D1475">
        <v>7</v>
      </c>
      <c r="E1475" t="s">
        <v>91</v>
      </c>
      <c r="F1475" t="s">
        <v>92</v>
      </c>
      <c r="G1475" t="str">
        <f>"2025-03-12 07:46:18.347"</f>
        <v>2025-03-12 07:46:18.347</v>
      </c>
      <c r="H1475" t="s">
        <v>55</v>
      </c>
    </row>
    <row r="1476" spans="1:10" x14ac:dyDescent="0.25">
      <c r="A1476" s="1">
        <v>765</v>
      </c>
      <c r="B1476" t="s">
        <v>40</v>
      </c>
      <c r="C1476">
        <v>135</v>
      </c>
      <c r="D1476">
        <v>7</v>
      </c>
      <c r="E1476" t="s">
        <v>91</v>
      </c>
      <c r="F1476" t="s">
        <v>92</v>
      </c>
      <c r="G1476" t="str">
        <f>"2025-03-12 07:46:13.325"</f>
        <v>2025-03-12 07:46:13.325</v>
      </c>
      <c r="H1476" t="s">
        <v>55</v>
      </c>
      <c r="I1476">
        <v>14.14</v>
      </c>
      <c r="J1476" t="s">
        <v>29</v>
      </c>
    </row>
    <row r="1477" spans="1:10" x14ac:dyDescent="0.25">
      <c r="A1477" s="1">
        <v>766</v>
      </c>
      <c r="B1477" t="s">
        <v>43</v>
      </c>
      <c r="C1477">
        <v>237</v>
      </c>
      <c r="D1477">
        <v>4</v>
      </c>
      <c r="E1477" t="s">
        <v>93</v>
      </c>
      <c r="F1477" t="s">
        <v>94</v>
      </c>
      <c r="G1477" t="str">
        <f>"2025-03-12 05:05:34.047"</f>
        <v>2025-03-12 05:05:34.047</v>
      </c>
      <c r="H1477" t="s">
        <v>52</v>
      </c>
    </row>
    <row r="1478" spans="1:10" x14ac:dyDescent="0.25">
      <c r="A1478" s="1">
        <v>767</v>
      </c>
      <c r="B1478" t="s">
        <v>40</v>
      </c>
      <c r="C1478">
        <v>237</v>
      </c>
      <c r="D1478">
        <v>4</v>
      </c>
      <c r="E1478" t="s">
        <v>93</v>
      </c>
      <c r="F1478" t="s">
        <v>94</v>
      </c>
      <c r="G1478" t="str">
        <f>"2025-03-12 05:05:28.985"</f>
        <v>2025-03-12 05:05:28.985</v>
      </c>
      <c r="H1478" t="s">
        <v>52</v>
      </c>
      <c r="I1478">
        <v>6.82</v>
      </c>
      <c r="J1478" t="s">
        <v>29</v>
      </c>
    </row>
    <row r="1479" spans="1:10" x14ac:dyDescent="0.25">
      <c r="A1479" s="1">
        <v>768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"2025-03-11 11:41:02.410"</f>
        <v>2025-03-11 11:41:02.410</v>
      </c>
      <c r="H1479" t="s">
        <v>21</v>
      </c>
    </row>
    <row r="1480" spans="1:10" x14ac:dyDescent="0.25">
      <c r="A1480" s="1">
        <v>769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"2025-03-10 11:34:21.427"</f>
        <v>2025-03-10 11:34:21.427</v>
      </c>
      <c r="H1480" t="s">
        <v>21</v>
      </c>
      <c r="I1480">
        <v>0</v>
      </c>
      <c r="J1480" t="s">
        <v>33</v>
      </c>
    </row>
    <row r="1481" spans="1:10" x14ac:dyDescent="0.25">
      <c r="A1481" s="1">
        <v>770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"2025-03-10 11:21:15.520"</f>
        <v>2025-03-10 11:21:15.520</v>
      </c>
      <c r="H1481" t="s">
        <v>21</v>
      </c>
      <c r="I1481">
        <v>0</v>
      </c>
      <c r="J1481" t="s">
        <v>33</v>
      </c>
    </row>
    <row r="1482" spans="1:10" x14ac:dyDescent="0.25">
      <c r="A1482" s="1">
        <v>771</v>
      </c>
      <c r="B1482" t="s">
        <v>19</v>
      </c>
      <c r="C1482">
        <v>706</v>
      </c>
      <c r="D1482">
        <v>4</v>
      </c>
      <c r="E1482" t="s">
        <v>30</v>
      </c>
      <c r="F1482" t="s">
        <v>34</v>
      </c>
      <c r="G1482" t="str">
        <f>"2025-03-10 10:49:25.472"</f>
        <v>2025-03-10 10:49:25.472</v>
      </c>
      <c r="H1482" t="s">
        <v>21</v>
      </c>
      <c r="I1482">
        <v>0</v>
      </c>
      <c r="J1482" t="s">
        <v>32</v>
      </c>
    </row>
    <row r="1483" spans="1:10" x14ac:dyDescent="0.25">
      <c r="A1483" s="1">
        <v>772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"2025-03-10 10:45:34.422"</f>
        <v>2025-03-10 10:45:34.422</v>
      </c>
      <c r="H1483" t="s">
        <v>21</v>
      </c>
    </row>
    <row r="1484" spans="1:10" x14ac:dyDescent="0.25">
      <c r="A1484" s="1">
        <v>773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"2025-03-10 09:56:14.588"</f>
        <v>2025-03-10 09:56:14.588</v>
      </c>
      <c r="H1484" t="s">
        <v>21</v>
      </c>
      <c r="I1484">
        <v>0</v>
      </c>
      <c r="J1484" t="s">
        <v>33</v>
      </c>
    </row>
    <row r="1485" spans="1:10" x14ac:dyDescent="0.25">
      <c r="A1485" s="1">
        <v>774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"2025-03-10 09:15:59.439"</f>
        <v>2025-03-10 09:15:59.439</v>
      </c>
      <c r="H1485" t="s">
        <v>21</v>
      </c>
      <c r="I1485">
        <v>0</v>
      </c>
      <c r="J1485" t="s">
        <v>33</v>
      </c>
    </row>
    <row r="1486" spans="1:10" x14ac:dyDescent="0.25">
      <c r="A1486" s="1">
        <v>775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"2025-03-09 23:28:10.422"</f>
        <v>2025-03-09 23:28:10.422</v>
      </c>
      <c r="H1486" t="s">
        <v>21</v>
      </c>
      <c r="I1486">
        <v>0</v>
      </c>
      <c r="J1486" t="s">
        <v>33</v>
      </c>
    </row>
    <row r="1487" spans="1:10" x14ac:dyDescent="0.25">
      <c r="A1487" s="1">
        <v>776</v>
      </c>
      <c r="B1487" t="s">
        <v>22</v>
      </c>
      <c r="C1487">
        <v>635</v>
      </c>
      <c r="D1487">
        <v>1</v>
      </c>
      <c r="E1487" t="s">
        <v>27</v>
      </c>
      <c r="F1487" t="s">
        <v>28</v>
      </c>
      <c r="G1487" t="str">
        <f>"2025-03-09 15:46:48.498"</f>
        <v>2025-03-09 15:46:48.498</v>
      </c>
      <c r="H1487" t="s">
        <v>21</v>
      </c>
    </row>
    <row r="1488" spans="1:10" x14ac:dyDescent="0.25">
      <c r="A1488" s="1">
        <v>777</v>
      </c>
      <c r="B1488" t="s">
        <v>25</v>
      </c>
      <c r="C1488">
        <v>635</v>
      </c>
      <c r="D1488">
        <v>1</v>
      </c>
      <c r="E1488" t="s">
        <v>27</v>
      </c>
      <c r="F1488" t="s">
        <v>28</v>
      </c>
      <c r="G1488" t="str">
        <f>"2025-03-09 15:41:10.498"</f>
        <v>2025-03-09 15:41:10.498</v>
      </c>
      <c r="H1488" t="s">
        <v>21</v>
      </c>
      <c r="I1488">
        <v>3.26</v>
      </c>
      <c r="J1488" t="s">
        <v>35</v>
      </c>
    </row>
    <row r="1489" spans="1:10" x14ac:dyDescent="0.25">
      <c r="A1489" s="1">
        <v>778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"2025-03-09 10:56:54.405"</f>
        <v>2025-03-09 10:56:54.405</v>
      </c>
      <c r="H1489" t="s">
        <v>21</v>
      </c>
    </row>
    <row r="1490" spans="1:10" x14ac:dyDescent="0.25">
      <c r="A1490" s="1">
        <v>780</v>
      </c>
      <c r="B1490" t="s">
        <v>37</v>
      </c>
      <c r="C1490">
        <v>23</v>
      </c>
      <c r="D1490">
        <v>1</v>
      </c>
      <c r="E1490" t="s">
        <v>95</v>
      </c>
      <c r="F1490" t="s">
        <v>96</v>
      </c>
      <c r="G1490" t="str">
        <f>"2025-03-08 09:35:55.583"</f>
        <v>2025-03-08 09:35:55.583</v>
      </c>
      <c r="H1490" t="s">
        <v>49</v>
      </c>
    </row>
    <row r="1491" spans="1:10" x14ac:dyDescent="0.25">
      <c r="A1491" s="1">
        <v>781</v>
      </c>
      <c r="B1491" t="s">
        <v>22</v>
      </c>
      <c r="C1491">
        <v>14</v>
      </c>
      <c r="D1491">
        <v>13</v>
      </c>
      <c r="E1491" t="s">
        <v>79</v>
      </c>
      <c r="F1491" t="s">
        <v>97</v>
      </c>
      <c r="G1491" t="str">
        <f>"2025-03-08 09:35:46.376"</f>
        <v>2025-03-08 09:35:46.376</v>
      </c>
      <c r="H1491" t="s">
        <v>68</v>
      </c>
    </row>
    <row r="1492" spans="1:10" x14ac:dyDescent="0.25">
      <c r="A1492" s="1">
        <v>782</v>
      </c>
      <c r="B1492" t="s">
        <v>22</v>
      </c>
      <c r="C1492">
        <v>14</v>
      </c>
      <c r="D1492">
        <v>10</v>
      </c>
      <c r="E1492" t="s">
        <v>79</v>
      </c>
      <c r="F1492" t="s">
        <v>80</v>
      </c>
      <c r="G1492" t="str">
        <f>"2025-03-08 09:35:46.374"</f>
        <v>2025-03-08 09:35:46.374</v>
      </c>
      <c r="H1492" t="s">
        <v>68</v>
      </c>
    </row>
    <row r="1493" spans="1:10" x14ac:dyDescent="0.25">
      <c r="A1493" s="1">
        <v>783</v>
      </c>
      <c r="B1493" t="s">
        <v>43</v>
      </c>
      <c r="C1493">
        <v>105</v>
      </c>
      <c r="D1493">
        <v>3</v>
      </c>
      <c r="E1493" t="s">
        <v>98</v>
      </c>
      <c r="F1493" t="s">
        <v>99</v>
      </c>
      <c r="G1493" t="str">
        <f>"2025-03-08 09:35:30.103"</f>
        <v>2025-03-08 09:35:30.103</v>
      </c>
      <c r="H1493" t="s">
        <v>55</v>
      </c>
    </row>
    <row r="1494" spans="1:10" x14ac:dyDescent="0.25">
      <c r="A1494" s="1">
        <v>784</v>
      </c>
      <c r="B1494" t="s">
        <v>43</v>
      </c>
      <c r="C1494">
        <v>205</v>
      </c>
      <c r="D1494">
        <v>3</v>
      </c>
      <c r="E1494" t="s">
        <v>100</v>
      </c>
      <c r="F1494" t="s">
        <v>99</v>
      </c>
      <c r="G1494" t="str">
        <f>"2025-03-08 09:35:30.003"</f>
        <v>2025-03-08 09:35:30.003</v>
      </c>
      <c r="H1494" t="s">
        <v>52</v>
      </c>
    </row>
    <row r="1495" spans="1:10" x14ac:dyDescent="0.25">
      <c r="A1495" s="1">
        <v>785</v>
      </c>
      <c r="B1495" t="s">
        <v>43</v>
      </c>
      <c r="C1495">
        <v>204</v>
      </c>
      <c r="D1495">
        <v>8</v>
      </c>
      <c r="E1495" t="s">
        <v>101</v>
      </c>
      <c r="F1495" t="s">
        <v>102</v>
      </c>
      <c r="G1495" t="str">
        <f>"2025-03-08 09:35:29.920"</f>
        <v>2025-03-08 09:35:29.920</v>
      </c>
      <c r="H1495" t="s">
        <v>52</v>
      </c>
    </row>
    <row r="1496" spans="1:10" x14ac:dyDescent="0.25">
      <c r="A1496" s="1">
        <v>786</v>
      </c>
      <c r="B1496" t="s">
        <v>43</v>
      </c>
      <c r="C1496">
        <v>204</v>
      </c>
      <c r="D1496">
        <v>6</v>
      </c>
      <c r="E1496" t="s">
        <v>101</v>
      </c>
      <c r="F1496" t="s">
        <v>103</v>
      </c>
      <c r="G1496" t="str">
        <f>"2025-03-08 09:35:29.919"</f>
        <v>2025-03-08 09:35:29.919</v>
      </c>
      <c r="H1496" t="s">
        <v>52</v>
      </c>
    </row>
    <row r="1497" spans="1:10" x14ac:dyDescent="0.25">
      <c r="A1497" s="1">
        <v>787</v>
      </c>
      <c r="B1497" t="s">
        <v>43</v>
      </c>
      <c r="C1497">
        <v>204</v>
      </c>
      <c r="D1497">
        <v>5</v>
      </c>
      <c r="E1497" t="s">
        <v>101</v>
      </c>
      <c r="F1497" t="s">
        <v>104</v>
      </c>
      <c r="G1497" t="str">
        <f>"2025-03-08 09:35:29.917"</f>
        <v>2025-03-08 09:35:29.917</v>
      </c>
      <c r="H1497" t="s">
        <v>52</v>
      </c>
    </row>
    <row r="1498" spans="1:10" x14ac:dyDescent="0.25">
      <c r="A1498" s="1">
        <v>788</v>
      </c>
      <c r="B1498" t="s">
        <v>43</v>
      </c>
      <c r="C1498">
        <v>204</v>
      </c>
      <c r="D1498">
        <v>1</v>
      </c>
      <c r="E1498" t="s">
        <v>101</v>
      </c>
      <c r="F1498" t="s">
        <v>105</v>
      </c>
      <c r="G1498" t="str">
        <f>"2025-03-08 09:35:29.915"</f>
        <v>2025-03-08 09:35:29.915</v>
      </c>
      <c r="H1498" t="s">
        <v>52</v>
      </c>
    </row>
    <row r="1499" spans="1:10" x14ac:dyDescent="0.25">
      <c r="A1499" s="1">
        <v>789</v>
      </c>
      <c r="B1499" t="s">
        <v>43</v>
      </c>
      <c r="C1499">
        <v>104</v>
      </c>
      <c r="D1499">
        <v>8</v>
      </c>
      <c r="E1499" t="s">
        <v>106</v>
      </c>
      <c r="F1499" t="s">
        <v>102</v>
      </c>
      <c r="G1499" t="str">
        <f>"2025-03-08 09:35:29.910"</f>
        <v>2025-03-08 09:35:29.910</v>
      </c>
      <c r="H1499" t="s">
        <v>55</v>
      </c>
    </row>
    <row r="1500" spans="1:10" x14ac:dyDescent="0.25">
      <c r="A1500" s="1">
        <v>790</v>
      </c>
      <c r="B1500" t="s">
        <v>43</v>
      </c>
      <c r="C1500">
        <v>104</v>
      </c>
      <c r="D1500">
        <v>6</v>
      </c>
      <c r="E1500" t="s">
        <v>106</v>
      </c>
      <c r="F1500" t="s">
        <v>103</v>
      </c>
      <c r="G1500" t="str">
        <f>"2025-03-08 09:35:29.906"</f>
        <v>2025-03-08 09:35:29.906</v>
      </c>
      <c r="H1500" t="s">
        <v>55</v>
      </c>
    </row>
    <row r="1501" spans="1:10" x14ac:dyDescent="0.25">
      <c r="A1501" s="1">
        <v>791</v>
      </c>
      <c r="B1501" t="s">
        <v>43</v>
      </c>
      <c r="C1501">
        <v>104</v>
      </c>
      <c r="D1501">
        <v>5</v>
      </c>
      <c r="E1501" t="s">
        <v>106</v>
      </c>
      <c r="F1501" t="s">
        <v>104</v>
      </c>
      <c r="G1501" t="str">
        <f>"2025-03-08 09:35:29.905"</f>
        <v>2025-03-08 09:35:29.905</v>
      </c>
      <c r="H1501" t="s">
        <v>55</v>
      </c>
    </row>
    <row r="1502" spans="1:10" x14ac:dyDescent="0.25">
      <c r="A1502" s="1">
        <v>792</v>
      </c>
      <c r="B1502" t="s">
        <v>43</v>
      </c>
      <c r="C1502">
        <v>104</v>
      </c>
      <c r="D1502">
        <v>1</v>
      </c>
      <c r="E1502" t="s">
        <v>106</v>
      </c>
      <c r="F1502" t="s">
        <v>105</v>
      </c>
      <c r="G1502" t="str">
        <f>"2025-03-08 09:35:29.903"</f>
        <v>2025-03-08 09:35:29.903</v>
      </c>
      <c r="H1502" t="s">
        <v>55</v>
      </c>
    </row>
    <row r="1503" spans="1:10" x14ac:dyDescent="0.25">
      <c r="A1503" s="1">
        <v>794</v>
      </c>
      <c r="B1503" t="s">
        <v>25</v>
      </c>
      <c r="C1503">
        <v>14</v>
      </c>
      <c r="D1503">
        <v>13</v>
      </c>
      <c r="E1503" t="s">
        <v>79</v>
      </c>
      <c r="F1503" t="s">
        <v>97</v>
      </c>
      <c r="G1503" t="str">
        <f>"2025-03-08 09:35:26.375"</f>
        <v>2025-03-08 09:35:26.375</v>
      </c>
      <c r="H1503" t="s">
        <v>68</v>
      </c>
      <c r="I1503">
        <v>15.47</v>
      </c>
      <c r="J1503" t="s">
        <v>26</v>
      </c>
    </row>
    <row r="1504" spans="1:10" x14ac:dyDescent="0.25">
      <c r="A1504" s="1">
        <v>795</v>
      </c>
      <c r="B1504" t="s">
        <v>25</v>
      </c>
      <c r="C1504">
        <v>14</v>
      </c>
      <c r="D1504">
        <v>10</v>
      </c>
      <c r="E1504" t="s">
        <v>79</v>
      </c>
      <c r="F1504" t="s">
        <v>80</v>
      </c>
      <c r="G1504" t="str">
        <f>"2025-03-08 09:35:25.322"</f>
        <v>2025-03-08 09:35:25.322</v>
      </c>
      <c r="H1504" t="s">
        <v>68</v>
      </c>
      <c r="I1504">
        <v>17.18</v>
      </c>
      <c r="J1504" t="s">
        <v>26</v>
      </c>
    </row>
    <row r="1505" spans="1:10" x14ac:dyDescent="0.25">
      <c r="A1505" s="1">
        <v>796</v>
      </c>
      <c r="B1505" t="s">
        <v>40</v>
      </c>
      <c r="C1505">
        <v>105</v>
      </c>
      <c r="D1505">
        <v>3</v>
      </c>
      <c r="E1505" t="s">
        <v>98</v>
      </c>
      <c r="F1505" t="s">
        <v>99</v>
      </c>
      <c r="G1505" t="str">
        <f>"2025-03-08 09:35:25.028"</f>
        <v>2025-03-08 09:35:25.028</v>
      </c>
      <c r="H1505" t="s">
        <v>55</v>
      </c>
      <c r="I1505">
        <v>17.3</v>
      </c>
      <c r="J1505" t="s">
        <v>26</v>
      </c>
    </row>
    <row r="1506" spans="1:10" x14ac:dyDescent="0.25">
      <c r="A1506" s="1">
        <v>797</v>
      </c>
      <c r="B1506" t="s">
        <v>40</v>
      </c>
      <c r="C1506">
        <v>205</v>
      </c>
      <c r="D1506">
        <v>3</v>
      </c>
      <c r="E1506" t="s">
        <v>100</v>
      </c>
      <c r="F1506" t="s">
        <v>99</v>
      </c>
      <c r="G1506" t="str">
        <f>"2025-03-08 09:35:24.988"</f>
        <v>2025-03-08 09:35:24.988</v>
      </c>
      <c r="H1506" t="s">
        <v>52</v>
      </c>
      <c r="I1506">
        <v>17.329999999999998</v>
      </c>
      <c r="J1506" t="s">
        <v>26</v>
      </c>
    </row>
    <row r="1507" spans="1:10" x14ac:dyDescent="0.25">
      <c r="A1507" s="1">
        <v>798</v>
      </c>
      <c r="B1507" t="s">
        <v>40</v>
      </c>
      <c r="C1507">
        <v>104</v>
      </c>
      <c r="D1507">
        <v>8</v>
      </c>
      <c r="E1507" t="s">
        <v>106</v>
      </c>
      <c r="F1507" t="s">
        <v>102</v>
      </c>
      <c r="G1507" t="str">
        <f>"2025-03-08 09:35:24.897"</f>
        <v>2025-03-08 09:35:24.897</v>
      </c>
      <c r="H1507" t="s">
        <v>55</v>
      </c>
      <c r="I1507">
        <v>17.39</v>
      </c>
      <c r="J1507" t="s">
        <v>26</v>
      </c>
    </row>
    <row r="1508" spans="1:10" x14ac:dyDescent="0.25">
      <c r="A1508" s="1">
        <v>799</v>
      </c>
      <c r="B1508" t="s">
        <v>40</v>
      </c>
      <c r="C1508">
        <v>104</v>
      </c>
      <c r="D1508">
        <v>6</v>
      </c>
      <c r="E1508" t="s">
        <v>106</v>
      </c>
      <c r="F1508" t="s">
        <v>103</v>
      </c>
      <c r="G1508" t="str">
        <f>"2025-03-08 09:35:24.893"</f>
        <v>2025-03-08 09:35:24.893</v>
      </c>
      <c r="H1508" t="s">
        <v>55</v>
      </c>
      <c r="I1508">
        <v>17.39</v>
      </c>
      <c r="J1508" t="s">
        <v>26</v>
      </c>
    </row>
    <row r="1509" spans="1:10" x14ac:dyDescent="0.25">
      <c r="A1509" s="1">
        <v>800</v>
      </c>
      <c r="B1509" t="s">
        <v>40</v>
      </c>
      <c r="C1509">
        <v>104</v>
      </c>
      <c r="D1509">
        <v>5</v>
      </c>
      <c r="E1509" t="s">
        <v>106</v>
      </c>
      <c r="F1509" t="s">
        <v>104</v>
      </c>
      <c r="G1509" t="str">
        <f>"2025-03-08 09:35:24.888"</f>
        <v>2025-03-08 09:35:24.888</v>
      </c>
      <c r="H1509" t="s">
        <v>55</v>
      </c>
      <c r="I1509">
        <v>17.39</v>
      </c>
      <c r="J1509" t="s">
        <v>26</v>
      </c>
    </row>
    <row r="1510" spans="1:10" x14ac:dyDescent="0.25">
      <c r="A1510" s="1">
        <v>801</v>
      </c>
      <c r="B1510" t="s">
        <v>40</v>
      </c>
      <c r="C1510">
        <v>204</v>
      </c>
      <c r="D1510">
        <v>8</v>
      </c>
      <c r="E1510" t="s">
        <v>101</v>
      </c>
      <c r="F1510" t="s">
        <v>102</v>
      </c>
      <c r="G1510" t="str">
        <f>"2025-03-08 09:35:24.857"</f>
        <v>2025-03-08 09:35:24.857</v>
      </c>
      <c r="H1510" t="s">
        <v>52</v>
      </c>
      <c r="I1510">
        <v>17.420000000000002</v>
      </c>
      <c r="J1510" t="s">
        <v>26</v>
      </c>
    </row>
    <row r="1511" spans="1:10" x14ac:dyDescent="0.25">
      <c r="A1511" s="1">
        <v>802</v>
      </c>
      <c r="B1511" t="s">
        <v>40</v>
      </c>
      <c r="C1511">
        <v>204</v>
      </c>
      <c r="D1511">
        <v>6</v>
      </c>
      <c r="E1511" t="s">
        <v>101</v>
      </c>
      <c r="F1511" t="s">
        <v>103</v>
      </c>
      <c r="G1511" t="str">
        <f>"2025-03-08 09:35:24.853"</f>
        <v>2025-03-08 09:35:24.853</v>
      </c>
      <c r="H1511" t="s">
        <v>52</v>
      </c>
      <c r="I1511">
        <v>17.420000000000002</v>
      </c>
      <c r="J1511" t="s">
        <v>26</v>
      </c>
    </row>
    <row r="1512" spans="1:10" x14ac:dyDescent="0.25">
      <c r="A1512" s="1">
        <v>803</v>
      </c>
      <c r="B1512" t="s">
        <v>40</v>
      </c>
      <c r="C1512">
        <v>204</v>
      </c>
      <c r="D1512">
        <v>5</v>
      </c>
      <c r="E1512" t="s">
        <v>101</v>
      </c>
      <c r="F1512" t="s">
        <v>104</v>
      </c>
      <c r="G1512" t="str">
        <f>"2025-03-08 09:35:24.848"</f>
        <v>2025-03-08 09:35:24.848</v>
      </c>
      <c r="H1512" t="s">
        <v>52</v>
      </c>
      <c r="I1512">
        <v>17.420000000000002</v>
      </c>
      <c r="J1512" t="s">
        <v>26</v>
      </c>
    </row>
    <row r="1513" spans="1:10" x14ac:dyDescent="0.25">
      <c r="A1513" s="1">
        <v>804</v>
      </c>
      <c r="B1513" t="s">
        <v>40</v>
      </c>
      <c r="C1513">
        <v>23</v>
      </c>
      <c r="D1513">
        <v>1</v>
      </c>
      <c r="E1513" t="s">
        <v>95</v>
      </c>
      <c r="F1513" t="s">
        <v>96</v>
      </c>
      <c r="G1513" t="str">
        <f>"2025-03-08 09:35:24.502"</f>
        <v>2025-03-08 09:35:24.502</v>
      </c>
      <c r="H1513" t="s">
        <v>49</v>
      </c>
      <c r="I1513">
        <v>17.940000000000001</v>
      </c>
      <c r="J1513" t="s">
        <v>26</v>
      </c>
    </row>
    <row r="1514" spans="1:10" x14ac:dyDescent="0.25">
      <c r="A1514" s="1">
        <v>805</v>
      </c>
      <c r="B1514" t="s">
        <v>40</v>
      </c>
      <c r="C1514">
        <v>204</v>
      </c>
      <c r="D1514">
        <v>1</v>
      </c>
      <c r="E1514" t="s">
        <v>101</v>
      </c>
      <c r="F1514" t="s">
        <v>105</v>
      </c>
      <c r="G1514" t="str">
        <f>"2025-03-08 09:35:24.454"</f>
        <v>2025-03-08 09:35:24.454</v>
      </c>
      <c r="H1514" t="s">
        <v>52</v>
      </c>
      <c r="I1514">
        <v>19.420000000000002</v>
      </c>
      <c r="J1514" t="s">
        <v>26</v>
      </c>
    </row>
    <row r="1515" spans="1:10" x14ac:dyDescent="0.25">
      <c r="A1515" s="1">
        <v>806</v>
      </c>
      <c r="B1515" t="s">
        <v>40</v>
      </c>
      <c r="C1515">
        <v>104</v>
      </c>
      <c r="D1515">
        <v>1</v>
      </c>
      <c r="E1515" t="s">
        <v>106</v>
      </c>
      <c r="F1515" t="s">
        <v>105</v>
      </c>
      <c r="G1515" t="str">
        <f>"2025-03-08 09:35:24.448"</f>
        <v>2025-03-08 09:35:24.448</v>
      </c>
      <c r="H1515" t="s">
        <v>55</v>
      </c>
      <c r="I1515">
        <v>19.420000000000002</v>
      </c>
      <c r="J1515" t="s">
        <v>26</v>
      </c>
    </row>
    <row r="1516" spans="1:10" x14ac:dyDescent="0.25">
      <c r="A1516" s="1">
        <v>807</v>
      </c>
      <c r="B1516" t="s">
        <v>19</v>
      </c>
      <c r="C1516">
        <v>706</v>
      </c>
      <c r="D1516">
        <v>4</v>
      </c>
      <c r="E1516" t="s">
        <v>30</v>
      </c>
      <c r="F1516" t="s">
        <v>34</v>
      </c>
      <c r="G1516" t="str">
        <f>"2025-03-08 09:35:24.344"</f>
        <v>2025-03-08 09:35:24.344</v>
      </c>
      <c r="H1516" t="s">
        <v>21</v>
      </c>
      <c r="I1516">
        <v>19.64</v>
      </c>
      <c r="J1516" t="s">
        <v>26</v>
      </c>
    </row>
    <row r="1517" spans="1:10" x14ac:dyDescent="0.25">
      <c r="A1517" s="1">
        <v>808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"2025-03-07 22:01:47.384"</f>
        <v>2025-03-07 22:01:47.384</v>
      </c>
      <c r="H1517" t="s">
        <v>21</v>
      </c>
      <c r="I1517">
        <v>0</v>
      </c>
      <c r="J1517" t="s">
        <v>33</v>
      </c>
    </row>
    <row r="1518" spans="1:10" x14ac:dyDescent="0.25">
      <c r="A1518" s="1">
        <v>810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"2025-03-04 09:06:26.417"</f>
        <v>2025-03-04 09:06:26.417</v>
      </c>
      <c r="H1518" t="s">
        <v>21</v>
      </c>
      <c r="I1518">
        <v>0</v>
      </c>
      <c r="J1518" t="s">
        <v>33</v>
      </c>
    </row>
    <row r="1519" spans="1:10" x14ac:dyDescent="0.25">
      <c r="A1519" s="1">
        <v>811</v>
      </c>
      <c r="B1519" t="s">
        <v>22</v>
      </c>
      <c r="C1519">
        <v>635</v>
      </c>
      <c r="D1519">
        <v>1</v>
      </c>
      <c r="E1519" t="s">
        <v>27</v>
      </c>
      <c r="F1519" t="s">
        <v>28</v>
      </c>
      <c r="G1519" t="str">
        <f>"2025-03-03 21:15:39.913"</f>
        <v>2025-03-03 21:15:39.913</v>
      </c>
      <c r="H1519" t="s">
        <v>21</v>
      </c>
    </row>
    <row r="1520" spans="1:10" x14ac:dyDescent="0.25">
      <c r="A1520" s="1">
        <v>812</v>
      </c>
      <c r="B1520" t="s">
        <v>25</v>
      </c>
      <c r="C1520">
        <v>635</v>
      </c>
      <c r="D1520">
        <v>1</v>
      </c>
      <c r="E1520" t="s">
        <v>27</v>
      </c>
      <c r="F1520" t="s">
        <v>28</v>
      </c>
      <c r="G1520" t="str">
        <f>"2025-03-03 20:57:16.413"</f>
        <v>2025-03-03 20:57:16.413</v>
      </c>
      <c r="H1520" t="s">
        <v>21</v>
      </c>
      <c r="I1520">
        <v>4.67</v>
      </c>
      <c r="J1520" t="s">
        <v>29</v>
      </c>
    </row>
    <row r="1521" spans="1:10" x14ac:dyDescent="0.25">
      <c r="A1521" s="1">
        <v>813</v>
      </c>
      <c r="B1521" t="s">
        <v>22</v>
      </c>
      <c r="C1521">
        <v>635</v>
      </c>
      <c r="D1521">
        <v>1</v>
      </c>
      <c r="E1521" t="s">
        <v>27</v>
      </c>
      <c r="F1521" t="s">
        <v>28</v>
      </c>
      <c r="G1521" t="str">
        <f>"2025-03-02 19:46:33.213"</f>
        <v>2025-03-02 19:46:33.213</v>
      </c>
      <c r="H1521" t="s">
        <v>21</v>
      </c>
    </row>
    <row r="1522" spans="1:10" x14ac:dyDescent="0.25">
      <c r="A1522" s="1">
        <v>814</v>
      </c>
      <c r="B1522" t="s">
        <v>25</v>
      </c>
      <c r="C1522">
        <v>635</v>
      </c>
      <c r="D1522">
        <v>1</v>
      </c>
      <c r="E1522" t="s">
        <v>27</v>
      </c>
      <c r="F1522" t="s">
        <v>28</v>
      </c>
      <c r="G1522" t="str">
        <f>"2025-03-02 19:40:21.313"</f>
        <v>2025-03-02 19:40:21.313</v>
      </c>
      <c r="H1522" t="s">
        <v>21</v>
      </c>
      <c r="I1522">
        <v>6.99</v>
      </c>
      <c r="J1522" t="s">
        <v>29</v>
      </c>
    </row>
    <row r="1523" spans="1:10" x14ac:dyDescent="0.25">
      <c r="A1523" s="1">
        <v>815</v>
      </c>
      <c r="B1523" t="s">
        <v>22</v>
      </c>
      <c r="C1523">
        <v>635</v>
      </c>
      <c r="D1523">
        <v>1</v>
      </c>
      <c r="E1523" t="s">
        <v>27</v>
      </c>
      <c r="F1523" t="s">
        <v>28</v>
      </c>
      <c r="G1523" t="str">
        <f>"2025-03-02 18:17:04.913"</f>
        <v>2025-03-02 18:17:04.913</v>
      </c>
      <c r="H1523" t="s">
        <v>21</v>
      </c>
    </row>
    <row r="1524" spans="1:10" x14ac:dyDescent="0.25">
      <c r="A1524" s="1">
        <v>816</v>
      </c>
      <c r="B1524" t="s">
        <v>25</v>
      </c>
      <c r="C1524">
        <v>635</v>
      </c>
      <c r="D1524">
        <v>1</v>
      </c>
      <c r="E1524" t="s">
        <v>27</v>
      </c>
      <c r="F1524" t="s">
        <v>28</v>
      </c>
      <c r="G1524" t="str">
        <f>"2025-03-02 18:12:23.913"</f>
        <v>2025-03-02 18:12:23.913</v>
      </c>
      <c r="H1524" t="s">
        <v>21</v>
      </c>
      <c r="I1524">
        <v>3.99</v>
      </c>
      <c r="J1524" t="s">
        <v>26</v>
      </c>
    </row>
    <row r="1525" spans="1:10" x14ac:dyDescent="0.25">
      <c r="A1525" s="1">
        <v>817</v>
      </c>
      <c r="B1525" t="s">
        <v>43</v>
      </c>
      <c r="C1525">
        <v>135</v>
      </c>
      <c r="D1525">
        <v>7</v>
      </c>
      <c r="E1525" t="s">
        <v>91</v>
      </c>
      <c r="F1525" t="s">
        <v>92</v>
      </c>
      <c r="G1525" t="str">
        <f>"2025-03-02 05:41:55.310"</f>
        <v>2025-03-02 05:41:55.310</v>
      </c>
      <c r="H1525" t="s">
        <v>55</v>
      </c>
    </row>
    <row r="1526" spans="1:10" x14ac:dyDescent="0.25">
      <c r="A1526" s="1">
        <v>818</v>
      </c>
      <c r="B1526" t="s">
        <v>40</v>
      </c>
      <c r="C1526">
        <v>135</v>
      </c>
      <c r="D1526">
        <v>7</v>
      </c>
      <c r="E1526" t="s">
        <v>91</v>
      </c>
      <c r="F1526" t="s">
        <v>92</v>
      </c>
      <c r="G1526" t="str">
        <f>"2025-03-02 05:41:50.269"</f>
        <v>2025-03-02 05:41:50.269</v>
      </c>
      <c r="H1526" t="s">
        <v>55</v>
      </c>
      <c r="I1526">
        <v>8.34</v>
      </c>
      <c r="J1526" t="s">
        <v>29</v>
      </c>
    </row>
    <row r="1527" spans="1:10" x14ac:dyDescent="0.25">
      <c r="A1527" s="1">
        <v>819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"2025-03-01 14:31:31.575"</f>
        <v>2025-03-01 14:31:31.575</v>
      </c>
      <c r="H1527" t="s">
        <v>21</v>
      </c>
      <c r="I1527">
        <v>0</v>
      </c>
      <c r="J1527" t="s">
        <v>33</v>
      </c>
    </row>
    <row r="1528" spans="1:10" x14ac:dyDescent="0.25">
      <c r="A1528" s="1">
        <v>820</v>
      </c>
      <c r="B1528" t="s">
        <v>22</v>
      </c>
      <c r="C1528">
        <v>635</v>
      </c>
      <c r="D1528">
        <v>1</v>
      </c>
      <c r="E1528" t="s">
        <v>27</v>
      </c>
      <c r="F1528" t="s">
        <v>28</v>
      </c>
      <c r="G1528" t="str">
        <f>"2025-02-28 10:15:55.311"</f>
        <v>2025-02-28 10:15:55.311</v>
      </c>
      <c r="H1528" t="s">
        <v>21</v>
      </c>
    </row>
    <row r="1529" spans="1:10" x14ac:dyDescent="0.25">
      <c r="A1529" s="1">
        <v>821</v>
      </c>
      <c r="B1529" t="s">
        <v>25</v>
      </c>
      <c r="C1529">
        <v>635</v>
      </c>
      <c r="D1529">
        <v>1</v>
      </c>
      <c r="E1529" t="s">
        <v>27</v>
      </c>
      <c r="F1529" t="s">
        <v>28</v>
      </c>
      <c r="G1529" t="str">
        <f>"2025-02-28 10:11:47.812"</f>
        <v>2025-02-28 10:11:47.812</v>
      </c>
      <c r="H1529" t="s">
        <v>21</v>
      </c>
      <c r="I1529">
        <v>6.55</v>
      </c>
      <c r="J1529" t="s">
        <v>26</v>
      </c>
    </row>
    <row r="1530" spans="1:10" x14ac:dyDescent="0.25">
      <c r="A1530" s="1">
        <v>822</v>
      </c>
      <c r="B1530" t="s">
        <v>19</v>
      </c>
      <c r="C1530">
        <v>706</v>
      </c>
      <c r="D1530">
        <v>4</v>
      </c>
      <c r="E1530" t="s">
        <v>30</v>
      </c>
      <c r="F1530" t="s">
        <v>34</v>
      </c>
      <c r="G1530" t="str">
        <f>"2025-02-27 21:34:27.271"</f>
        <v>2025-02-27 21:34:27.271</v>
      </c>
      <c r="H1530" t="s">
        <v>21</v>
      </c>
      <c r="I1530">
        <v>0</v>
      </c>
      <c r="J1530" t="s">
        <v>32</v>
      </c>
    </row>
    <row r="1531" spans="1:10" x14ac:dyDescent="0.25">
      <c r="A1531" s="1">
        <v>823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"2025-02-27 21:33:32.401"</f>
        <v>2025-02-27 21:33:32.401</v>
      </c>
      <c r="H1531" t="s">
        <v>21</v>
      </c>
      <c r="I1531">
        <v>0</v>
      </c>
      <c r="J1531" t="s">
        <v>33</v>
      </c>
    </row>
    <row r="1532" spans="1:10" x14ac:dyDescent="0.25">
      <c r="A1532" s="1">
        <v>824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"2025-02-27 18:47:35.650"</f>
        <v>2025-02-27 18:47:35.650</v>
      </c>
      <c r="H1532" t="s">
        <v>21</v>
      </c>
    </row>
    <row r="1533" spans="1:10" x14ac:dyDescent="0.25">
      <c r="A1533" s="1">
        <v>825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"2025-02-27 18:38:12.392"</f>
        <v>2025-02-27 18:38:12.392</v>
      </c>
      <c r="H1533" t="s">
        <v>21</v>
      </c>
    </row>
    <row r="1534" spans="1:10" x14ac:dyDescent="0.25">
      <c r="A1534" s="1">
        <v>826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"2025-02-27 18:31:42.631"</f>
        <v>2025-02-27 18:31:42.631</v>
      </c>
      <c r="H1534" t="s">
        <v>21</v>
      </c>
      <c r="I1534">
        <v>0</v>
      </c>
      <c r="J1534" t="s">
        <v>33</v>
      </c>
    </row>
    <row r="1535" spans="1:10" x14ac:dyDescent="0.25">
      <c r="A1535" s="1">
        <v>827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"2025-02-27 18:14:52.425"</f>
        <v>2025-02-27 18:14:52.425</v>
      </c>
      <c r="H1535" t="s">
        <v>21</v>
      </c>
    </row>
    <row r="1536" spans="1:10" x14ac:dyDescent="0.25">
      <c r="A1536" s="1">
        <v>828</v>
      </c>
      <c r="B1536" t="s">
        <v>22</v>
      </c>
      <c r="C1536">
        <v>635</v>
      </c>
      <c r="D1536">
        <v>1</v>
      </c>
      <c r="E1536" t="s">
        <v>27</v>
      </c>
      <c r="F1536" t="s">
        <v>28</v>
      </c>
      <c r="G1536" t="str">
        <f>"2025-02-27 13:18:47.263"</f>
        <v>2025-02-27 13:18:47.263</v>
      </c>
      <c r="H1536" t="s">
        <v>21</v>
      </c>
    </row>
    <row r="1537" spans="1:10" x14ac:dyDescent="0.25">
      <c r="A1537" s="1">
        <v>829</v>
      </c>
      <c r="B1537" t="s">
        <v>25</v>
      </c>
      <c r="C1537">
        <v>635</v>
      </c>
      <c r="D1537">
        <v>1</v>
      </c>
      <c r="E1537" t="s">
        <v>27</v>
      </c>
      <c r="F1537" t="s">
        <v>28</v>
      </c>
      <c r="G1537" t="str">
        <f>"2025-02-27 13:15:02.763"</f>
        <v>2025-02-27 13:15:02.763</v>
      </c>
      <c r="H1537" t="s">
        <v>21</v>
      </c>
      <c r="I1537">
        <v>2.64</v>
      </c>
      <c r="J1537" t="s">
        <v>26</v>
      </c>
    </row>
    <row r="1538" spans="1:10" x14ac:dyDescent="0.25">
      <c r="A1538" s="1">
        <v>830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"2025-02-26 13:11:34.414"</f>
        <v>2025-02-26 13:11:34.414</v>
      </c>
      <c r="H1538" t="s">
        <v>21</v>
      </c>
    </row>
    <row r="1539" spans="1:10" x14ac:dyDescent="0.25">
      <c r="A1539" s="1">
        <v>831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"2025-02-25 08:07:56.421"</f>
        <v>2025-02-25 08:07:56.421</v>
      </c>
      <c r="H1539" t="s">
        <v>21</v>
      </c>
    </row>
    <row r="1540" spans="1:10" x14ac:dyDescent="0.25">
      <c r="A1540" s="1">
        <v>833</v>
      </c>
      <c r="B1540" t="s">
        <v>19</v>
      </c>
      <c r="C1540">
        <v>706</v>
      </c>
      <c r="D1540">
        <v>4</v>
      </c>
      <c r="E1540" t="s">
        <v>30</v>
      </c>
      <c r="F1540" t="s">
        <v>34</v>
      </c>
      <c r="G1540" t="str">
        <f>"2025-02-25 02:30:07.263"</f>
        <v>2025-02-25 02:30:07.263</v>
      </c>
      <c r="H1540" t="s">
        <v>21</v>
      </c>
      <c r="I1540">
        <v>0</v>
      </c>
      <c r="J1540" t="s">
        <v>32</v>
      </c>
    </row>
    <row r="1541" spans="1:10" x14ac:dyDescent="0.25">
      <c r="A1541" s="1">
        <v>834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"2025-02-25 02:29:29.403"</f>
        <v>2025-02-25 02:29:29.403</v>
      </c>
      <c r="H1541" t="s">
        <v>21</v>
      </c>
    </row>
    <row r="1542" spans="1:10" x14ac:dyDescent="0.25">
      <c r="A1542" s="1">
        <v>835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"2025-02-24 08:48:46.412"</f>
        <v>2025-02-24 08:48:46.412</v>
      </c>
      <c r="H1542" t="s">
        <v>21</v>
      </c>
    </row>
    <row r="1543" spans="1:10" x14ac:dyDescent="0.25">
      <c r="A1543" s="1">
        <v>836</v>
      </c>
      <c r="B1543" t="s">
        <v>43</v>
      </c>
      <c r="C1543">
        <v>135</v>
      </c>
      <c r="D1543">
        <v>7</v>
      </c>
      <c r="E1543" t="s">
        <v>91</v>
      </c>
      <c r="F1543" t="s">
        <v>92</v>
      </c>
      <c r="G1543" t="str">
        <f>"2025-02-23 02:15:54.213"</f>
        <v>2025-02-23 02:15:54.213</v>
      </c>
      <c r="H1543" t="s">
        <v>55</v>
      </c>
    </row>
    <row r="1544" spans="1:10" x14ac:dyDescent="0.25">
      <c r="A1544" s="1">
        <v>837</v>
      </c>
      <c r="B1544" t="s">
        <v>40</v>
      </c>
      <c r="C1544">
        <v>135</v>
      </c>
      <c r="D1544">
        <v>7</v>
      </c>
      <c r="E1544" t="s">
        <v>91</v>
      </c>
      <c r="F1544" t="s">
        <v>92</v>
      </c>
      <c r="G1544" t="str">
        <f>"2025-02-23 02:15:49.164"</f>
        <v>2025-02-23 02:15:49.164</v>
      </c>
      <c r="H1544" t="s">
        <v>55</v>
      </c>
      <c r="I1544">
        <v>14.87</v>
      </c>
      <c r="J1544" t="s">
        <v>29</v>
      </c>
    </row>
    <row r="1545" spans="1:10" x14ac:dyDescent="0.25">
      <c r="A1545" s="1">
        <v>838</v>
      </c>
      <c r="B1545" t="s">
        <v>43</v>
      </c>
      <c r="C1545">
        <v>215</v>
      </c>
      <c r="D1545">
        <v>6</v>
      </c>
      <c r="E1545" t="s">
        <v>44</v>
      </c>
      <c r="F1545" t="s">
        <v>45</v>
      </c>
      <c r="G1545" t="str">
        <f>"2025-02-22 13:10:53.713"</f>
        <v>2025-02-22 13:10:53.713</v>
      </c>
      <c r="H1545" t="s">
        <v>21</v>
      </c>
    </row>
    <row r="1546" spans="1:10" x14ac:dyDescent="0.25">
      <c r="A1546" s="1">
        <v>839</v>
      </c>
      <c r="B1546" t="s">
        <v>43</v>
      </c>
      <c r="C1546">
        <v>115</v>
      </c>
      <c r="D1546">
        <v>6</v>
      </c>
      <c r="E1546" t="s">
        <v>46</v>
      </c>
      <c r="F1546" t="s">
        <v>45</v>
      </c>
      <c r="G1546" t="str">
        <f>"2025-02-22 13:10:53.613"</f>
        <v>2025-02-22 13:10:53.613</v>
      </c>
      <c r="H1546" t="s">
        <v>21</v>
      </c>
    </row>
    <row r="1547" spans="1:10" x14ac:dyDescent="0.25">
      <c r="A1547" s="1">
        <v>840</v>
      </c>
      <c r="B1547" t="s">
        <v>40</v>
      </c>
      <c r="C1547">
        <v>215</v>
      </c>
      <c r="D1547">
        <v>6</v>
      </c>
      <c r="E1547" t="s">
        <v>44</v>
      </c>
      <c r="F1547" t="s">
        <v>45</v>
      </c>
      <c r="G1547" t="str">
        <f>"2025-02-22 13:10:48.569"</f>
        <v>2025-02-22 13:10:48.569</v>
      </c>
      <c r="H1547" t="s">
        <v>21</v>
      </c>
      <c r="I1547">
        <v>0</v>
      </c>
      <c r="J1547" t="s">
        <v>32</v>
      </c>
    </row>
    <row r="1548" spans="1:10" x14ac:dyDescent="0.25">
      <c r="A1548" s="1">
        <v>841</v>
      </c>
      <c r="B1548" t="s">
        <v>40</v>
      </c>
      <c r="C1548">
        <v>115</v>
      </c>
      <c r="D1548">
        <v>6</v>
      </c>
      <c r="E1548" t="s">
        <v>46</v>
      </c>
      <c r="F1548" t="s">
        <v>45</v>
      </c>
      <c r="G1548" t="str">
        <f>"2025-02-22 13:10:48.564"</f>
        <v>2025-02-22 13:10:48.564</v>
      </c>
      <c r="H1548" t="s">
        <v>21</v>
      </c>
      <c r="I1548">
        <v>0</v>
      </c>
      <c r="J1548" t="s">
        <v>32</v>
      </c>
    </row>
    <row r="1549" spans="1:10" x14ac:dyDescent="0.25">
      <c r="A1549" s="1">
        <v>842</v>
      </c>
      <c r="B1549" t="s">
        <v>22</v>
      </c>
      <c r="C1549">
        <v>6</v>
      </c>
      <c r="D1549">
        <v>1</v>
      </c>
      <c r="E1549" t="s">
        <v>47</v>
      </c>
      <c r="F1549" t="s">
        <v>48</v>
      </c>
      <c r="G1549" t="str">
        <f>"2025-02-22 13:10:48.435"</f>
        <v>2025-02-22 13:10:48.435</v>
      </c>
      <c r="H1549" t="s">
        <v>49</v>
      </c>
    </row>
    <row r="1550" spans="1:10" x14ac:dyDescent="0.25">
      <c r="A1550" s="1">
        <v>843</v>
      </c>
      <c r="B1550" t="s">
        <v>22</v>
      </c>
      <c r="C1550">
        <v>75</v>
      </c>
      <c r="D1550">
        <v>1</v>
      </c>
      <c r="E1550" t="s">
        <v>50</v>
      </c>
      <c r="F1550" t="s">
        <v>51</v>
      </c>
      <c r="G1550" t="str">
        <f>"2025-02-22 13:10:48.434"</f>
        <v>2025-02-22 13:10:48.434</v>
      </c>
      <c r="H1550" t="s">
        <v>52</v>
      </c>
    </row>
    <row r="1551" spans="1:10" x14ac:dyDescent="0.25">
      <c r="A1551" s="1">
        <v>844</v>
      </c>
      <c r="B1551" t="s">
        <v>22</v>
      </c>
      <c r="C1551">
        <v>74</v>
      </c>
      <c r="D1551">
        <v>1</v>
      </c>
      <c r="E1551" t="s">
        <v>53</v>
      </c>
      <c r="F1551" t="s">
        <v>54</v>
      </c>
      <c r="G1551" t="str">
        <f>"2025-02-22 13:10:48.433"</f>
        <v>2025-02-22 13:10:48.433</v>
      </c>
      <c r="H1551" t="s">
        <v>55</v>
      </c>
    </row>
    <row r="1552" spans="1:10" x14ac:dyDescent="0.25">
      <c r="A1552" s="1">
        <v>845</v>
      </c>
      <c r="B1552" t="s">
        <v>25</v>
      </c>
      <c r="C1552">
        <v>75</v>
      </c>
      <c r="D1552">
        <v>1</v>
      </c>
      <c r="E1552" t="s">
        <v>50</v>
      </c>
      <c r="F1552" t="s">
        <v>51</v>
      </c>
      <c r="G1552" t="str">
        <f>"2025-02-22 13:10:37.001"</f>
        <v>2025-02-22 13:10:37.001</v>
      </c>
      <c r="H1552" t="s">
        <v>52</v>
      </c>
      <c r="I1552">
        <v>0</v>
      </c>
      <c r="J1552" t="s">
        <v>32</v>
      </c>
    </row>
    <row r="1553" spans="1:10" x14ac:dyDescent="0.25">
      <c r="A1553" s="1">
        <v>846</v>
      </c>
      <c r="B1553" t="s">
        <v>25</v>
      </c>
      <c r="C1553">
        <v>74</v>
      </c>
      <c r="D1553">
        <v>1</v>
      </c>
      <c r="E1553" t="s">
        <v>53</v>
      </c>
      <c r="F1553" t="s">
        <v>54</v>
      </c>
      <c r="G1553" t="str">
        <f>"2025-02-22 13:10:36.997"</f>
        <v>2025-02-22 13:10:36.997</v>
      </c>
      <c r="H1553" t="s">
        <v>55</v>
      </c>
      <c r="I1553">
        <v>0</v>
      </c>
      <c r="J1553" t="s">
        <v>32</v>
      </c>
    </row>
    <row r="1554" spans="1:10" x14ac:dyDescent="0.25">
      <c r="A1554" s="1">
        <v>847</v>
      </c>
      <c r="B1554" t="s">
        <v>40</v>
      </c>
      <c r="C1554">
        <v>6</v>
      </c>
      <c r="D1554">
        <v>1</v>
      </c>
      <c r="E1554" t="s">
        <v>47</v>
      </c>
      <c r="F1554" t="s">
        <v>48</v>
      </c>
      <c r="G1554" t="str">
        <f>"2025-02-22 13:10:36.992"</f>
        <v>2025-02-22 13:10:36.992</v>
      </c>
      <c r="H1554" t="s">
        <v>49</v>
      </c>
      <c r="I1554">
        <v>0</v>
      </c>
      <c r="J1554" t="s">
        <v>32</v>
      </c>
    </row>
    <row r="1555" spans="1:10" x14ac:dyDescent="0.25">
      <c r="A1555" s="1">
        <v>851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"2025-02-21 08:07:24.395"</f>
        <v>2025-02-21 08:07:24.395</v>
      </c>
      <c r="H1555" t="s">
        <v>21</v>
      </c>
      <c r="I1555">
        <v>0</v>
      </c>
      <c r="J1555" t="s">
        <v>33</v>
      </c>
    </row>
    <row r="1556" spans="1:10" x14ac:dyDescent="0.25">
      <c r="A1556" s="1">
        <v>852</v>
      </c>
      <c r="B1556" t="s">
        <v>22</v>
      </c>
      <c r="C1556">
        <v>98</v>
      </c>
      <c r="D1556">
        <v>1</v>
      </c>
      <c r="E1556" t="s">
        <v>88</v>
      </c>
      <c r="F1556" t="s">
        <v>89</v>
      </c>
      <c r="G1556" t="str">
        <f>"2025-02-18 20:18:29.271"</f>
        <v>2025-02-18 20:18:29.271</v>
      </c>
      <c r="H1556" t="s">
        <v>21</v>
      </c>
    </row>
    <row r="1557" spans="1:10" x14ac:dyDescent="0.25">
      <c r="A1557" s="1">
        <v>853</v>
      </c>
      <c r="B1557" t="s">
        <v>25</v>
      </c>
      <c r="C1557">
        <v>98</v>
      </c>
      <c r="D1557">
        <v>1</v>
      </c>
      <c r="E1557" t="s">
        <v>88</v>
      </c>
      <c r="F1557" t="s">
        <v>89</v>
      </c>
      <c r="G1557" t="str">
        <f>"2025-02-18 20:18:28.271"</f>
        <v>2025-02-18 20:18:28.271</v>
      </c>
      <c r="H1557" t="s">
        <v>21</v>
      </c>
      <c r="I1557">
        <v>0.32</v>
      </c>
      <c r="J1557" t="s">
        <v>29</v>
      </c>
    </row>
    <row r="1558" spans="1:10" x14ac:dyDescent="0.25">
      <c r="A1558" s="1">
        <v>854</v>
      </c>
      <c r="B1558" t="s">
        <v>22</v>
      </c>
      <c r="C1558">
        <v>635</v>
      </c>
      <c r="D1558">
        <v>1</v>
      </c>
      <c r="E1558" t="s">
        <v>27</v>
      </c>
      <c r="F1558" t="s">
        <v>28</v>
      </c>
      <c r="G1558" t="str">
        <f>"2025-02-18 05:19:50.630"</f>
        <v>2025-02-18 05:19:50.630</v>
      </c>
      <c r="H1558" t="s">
        <v>21</v>
      </c>
    </row>
    <row r="1559" spans="1:10" x14ac:dyDescent="0.25">
      <c r="A1559" s="1">
        <v>855</v>
      </c>
      <c r="B1559" t="s">
        <v>25</v>
      </c>
      <c r="C1559">
        <v>635</v>
      </c>
      <c r="D1559">
        <v>1</v>
      </c>
      <c r="E1559" t="s">
        <v>27</v>
      </c>
      <c r="F1559" t="s">
        <v>28</v>
      </c>
      <c r="G1559" t="str">
        <f>"2025-02-18 05:14:50.130"</f>
        <v>2025-02-18 05:14:50.130</v>
      </c>
      <c r="H1559" t="s">
        <v>21</v>
      </c>
      <c r="I1559">
        <v>4.2</v>
      </c>
      <c r="J1559" t="s">
        <v>29</v>
      </c>
    </row>
    <row r="1560" spans="1:10" x14ac:dyDescent="0.25">
      <c r="A1560" s="1">
        <v>856</v>
      </c>
      <c r="B1560" t="s">
        <v>22</v>
      </c>
      <c r="C1560">
        <v>635</v>
      </c>
      <c r="D1560">
        <v>1</v>
      </c>
      <c r="E1560" t="s">
        <v>27</v>
      </c>
      <c r="F1560" t="s">
        <v>28</v>
      </c>
      <c r="G1560" t="str">
        <f>"2025-02-18 01:45:28.430"</f>
        <v>2025-02-18 01:45:28.430</v>
      </c>
      <c r="H1560" t="s">
        <v>21</v>
      </c>
    </row>
    <row r="1561" spans="1:10" x14ac:dyDescent="0.25">
      <c r="A1561" s="1">
        <v>857</v>
      </c>
      <c r="B1561" t="s">
        <v>25</v>
      </c>
      <c r="C1561">
        <v>635</v>
      </c>
      <c r="D1561">
        <v>1</v>
      </c>
      <c r="E1561" t="s">
        <v>27</v>
      </c>
      <c r="F1561" t="s">
        <v>28</v>
      </c>
      <c r="G1561" t="str">
        <f>"2025-02-18 01:36:45.430"</f>
        <v>2025-02-18 01:36:45.430</v>
      </c>
      <c r="H1561" t="s">
        <v>21</v>
      </c>
      <c r="I1561">
        <v>9.34</v>
      </c>
      <c r="J1561" t="s">
        <v>26</v>
      </c>
    </row>
    <row r="1562" spans="1:10" x14ac:dyDescent="0.25">
      <c r="A1562" s="1">
        <v>858</v>
      </c>
      <c r="B1562" t="s">
        <v>22</v>
      </c>
      <c r="C1562">
        <v>635</v>
      </c>
      <c r="D1562">
        <v>1</v>
      </c>
      <c r="E1562" t="s">
        <v>27</v>
      </c>
      <c r="F1562" t="s">
        <v>28</v>
      </c>
      <c r="G1562" t="str">
        <f>"2025-02-17 22:50:13.130"</f>
        <v>2025-02-17 22:50:13.130</v>
      </c>
      <c r="H1562" t="s">
        <v>21</v>
      </c>
    </row>
    <row r="1563" spans="1:10" x14ac:dyDescent="0.25">
      <c r="A1563" s="1">
        <v>859</v>
      </c>
      <c r="B1563" t="s">
        <v>25</v>
      </c>
      <c r="C1563">
        <v>635</v>
      </c>
      <c r="D1563">
        <v>1</v>
      </c>
      <c r="E1563" t="s">
        <v>27</v>
      </c>
      <c r="F1563" t="s">
        <v>28</v>
      </c>
      <c r="G1563" t="str">
        <f>"2025-02-17 22:43:12.630"</f>
        <v>2025-02-17 22:43:12.630</v>
      </c>
      <c r="H1563" t="s">
        <v>21</v>
      </c>
      <c r="I1563">
        <v>9.31</v>
      </c>
      <c r="J1563" t="s">
        <v>29</v>
      </c>
    </row>
    <row r="1564" spans="1:10" x14ac:dyDescent="0.25">
      <c r="A1564" s="1">
        <v>860</v>
      </c>
      <c r="B1564" t="s">
        <v>19</v>
      </c>
      <c r="C1564">
        <v>706</v>
      </c>
      <c r="D1564">
        <v>2</v>
      </c>
      <c r="E1564" t="s">
        <v>30</v>
      </c>
      <c r="F1564" t="s">
        <v>31</v>
      </c>
      <c r="G1564" t="str">
        <f>"2025-02-17 14:49:02.920"</f>
        <v>2025-02-17 14:49:02.920</v>
      </c>
      <c r="H1564" t="s">
        <v>21</v>
      </c>
      <c r="I1564">
        <v>0</v>
      </c>
      <c r="J1564" t="s">
        <v>32</v>
      </c>
    </row>
    <row r="1565" spans="1:10" x14ac:dyDescent="0.25">
      <c r="A1565" s="1">
        <v>861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"2025-02-17 14:41:23.390"</f>
        <v>2025-02-17 14:41:23.390</v>
      </c>
      <c r="H1565" t="s">
        <v>21</v>
      </c>
      <c r="I1565">
        <v>0</v>
      </c>
      <c r="J1565" t="s">
        <v>33</v>
      </c>
    </row>
    <row r="1566" spans="1:10" x14ac:dyDescent="0.25">
      <c r="A1566" s="1">
        <v>862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"2025-02-17 14:22:30.391"</f>
        <v>2025-02-17 14:22:30.391</v>
      </c>
      <c r="H1566" t="s">
        <v>21</v>
      </c>
      <c r="I1566">
        <v>0</v>
      </c>
      <c r="J1566" t="s">
        <v>33</v>
      </c>
    </row>
    <row r="1567" spans="1:10" x14ac:dyDescent="0.25">
      <c r="A1567" s="1">
        <v>863</v>
      </c>
      <c r="B1567" t="s">
        <v>19</v>
      </c>
      <c r="C1567">
        <v>706</v>
      </c>
      <c r="D1567">
        <v>4</v>
      </c>
      <c r="E1567" t="s">
        <v>30</v>
      </c>
      <c r="F1567" t="s">
        <v>34</v>
      </c>
      <c r="G1567" t="str">
        <f>"2025-02-17 14:01:36.265"</f>
        <v>2025-02-17 14:01:36.265</v>
      </c>
      <c r="H1567" t="s">
        <v>21</v>
      </c>
      <c r="I1567">
        <v>0</v>
      </c>
      <c r="J1567" t="s">
        <v>32</v>
      </c>
    </row>
    <row r="1568" spans="1:10" x14ac:dyDescent="0.25">
      <c r="A1568" s="1">
        <v>864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"2025-02-17 13:59:59.395"</f>
        <v>2025-02-17 13:59:59.395</v>
      </c>
      <c r="H1568" t="s">
        <v>21</v>
      </c>
      <c r="I1568">
        <v>0</v>
      </c>
      <c r="J1568" t="s">
        <v>33</v>
      </c>
    </row>
    <row r="1569" spans="1:10" x14ac:dyDescent="0.25">
      <c r="A1569" s="1">
        <v>865</v>
      </c>
      <c r="B1569" t="s">
        <v>19</v>
      </c>
      <c r="C1569">
        <v>706</v>
      </c>
      <c r="D1569">
        <v>4</v>
      </c>
      <c r="E1569" t="s">
        <v>30</v>
      </c>
      <c r="F1569" t="s">
        <v>34</v>
      </c>
      <c r="G1569" t="str">
        <f>"2025-02-17 13:55:44.467"</f>
        <v>2025-02-17 13:55:44.467</v>
      </c>
      <c r="H1569" t="s">
        <v>21</v>
      </c>
      <c r="I1569">
        <v>0</v>
      </c>
      <c r="J1569" t="s">
        <v>32</v>
      </c>
    </row>
    <row r="1570" spans="1:10" x14ac:dyDescent="0.25">
      <c r="A1570" s="1">
        <v>866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"2025-02-17 13:55:18.387"</f>
        <v>2025-02-17 13:55:18.387</v>
      </c>
      <c r="H1570" t="s">
        <v>21</v>
      </c>
    </row>
    <row r="1571" spans="1:10" x14ac:dyDescent="0.25">
      <c r="A1571" s="1">
        <v>867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"2025-02-17 13:18:00.427"</f>
        <v>2025-02-17 13:18:00.427</v>
      </c>
      <c r="H1571" t="s">
        <v>21</v>
      </c>
    </row>
    <row r="1572" spans="1:10" x14ac:dyDescent="0.25">
      <c r="A1572" s="1">
        <v>868</v>
      </c>
      <c r="B1572" t="s">
        <v>19</v>
      </c>
      <c r="C1572">
        <v>706</v>
      </c>
      <c r="D1572">
        <v>4</v>
      </c>
      <c r="E1572" t="s">
        <v>30</v>
      </c>
      <c r="F1572" t="s">
        <v>34</v>
      </c>
      <c r="G1572" t="str">
        <f>"2025-02-16 14:00:25.643"</f>
        <v>2025-02-16 14:00:25.643</v>
      </c>
      <c r="H1572" t="s">
        <v>21</v>
      </c>
      <c r="I1572">
        <v>0</v>
      </c>
      <c r="J1572" t="s">
        <v>32</v>
      </c>
    </row>
    <row r="1573" spans="1:10" x14ac:dyDescent="0.25">
      <c r="A1573" s="1">
        <v>869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"2025-02-16 13:58:28.383"</f>
        <v>2025-02-16 13:58:28.383</v>
      </c>
      <c r="H1573" t="s">
        <v>21</v>
      </c>
    </row>
    <row r="1574" spans="1:10" x14ac:dyDescent="0.25">
      <c r="A1574" s="1">
        <v>870</v>
      </c>
      <c r="B1574" t="s">
        <v>22</v>
      </c>
      <c r="C1574">
        <v>635</v>
      </c>
      <c r="D1574">
        <v>1</v>
      </c>
      <c r="E1574" t="s">
        <v>27</v>
      </c>
      <c r="F1574" t="s">
        <v>28</v>
      </c>
      <c r="G1574" t="str">
        <f>"2025-02-16 11:35:25.569"</f>
        <v>2025-02-16 11:35:25.569</v>
      </c>
      <c r="H1574" t="s">
        <v>21</v>
      </c>
    </row>
    <row r="1575" spans="1:10" x14ac:dyDescent="0.25">
      <c r="A1575" s="1">
        <v>871</v>
      </c>
      <c r="B1575" t="s">
        <v>25</v>
      </c>
      <c r="C1575">
        <v>635</v>
      </c>
      <c r="D1575">
        <v>1</v>
      </c>
      <c r="E1575" t="s">
        <v>27</v>
      </c>
      <c r="F1575" t="s">
        <v>28</v>
      </c>
      <c r="G1575" t="str">
        <f>"2025-02-16 11:29:50.569"</f>
        <v>2025-02-16 11:29:50.569</v>
      </c>
      <c r="H1575" t="s">
        <v>21</v>
      </c>
      <c r="I1575">
        <v>3.42</v>
      </c>
      <c r="J1575" t="s">
        <v>26</v>
      </c>
    </row>
    <row r="1576" spans="1:10" x14ac:dyDescent="0.25">
      <c r="A1576" s="1">
        <v>872</v>
      </c>
      <c r="B1576" t="s">
        <v>22</v>
      </c>
      <c r="C1576">
        <v>635</v>
      </c>
      <c r="D1576">
        <v>1</v>
      </c>
      <c r="E1576" t="s">
        <v>27</v>
      </c>
      <c r="F1576" t="s">
        <v>28</v>
      </c>
      <c r="G1576" t="str">
        <f>"2025-02-15 08:28:07.469"</f>
        <v>2025-02-15 08:28:07.469</v>
      </c>
      <c r="H1576" t="s">
        <v>21</v>
      </c>
    </row>
    <row r="1577" spans="1:10" x14ac:dyDescent="0.25">
      <c r="A1577" s="1">
        <v>873</v>
      </c>
      <c r="B1577" t="s">
        <v>25</v>
      </c>
      <c r="C1577">
        <v>635</v>
      </c>
      <c r="D1577">
        <v>1</v>
      </c>
      <c r="E1577" t="s">
        <v>27</v>
      </c>
      <c r="F1577" t="s">
        <v>28</v>
      </c>
      <c r="G1577" t="str">
        <f>"2025-02-15 08:12:12.569"</f>
        <v>2025-02-15 08:12:12.569</v>
      </c>
      <c r="H1577" t="s">
        <v>21</v>
      </c>
      <c r="I1577">
        <v>7.02</v>
      </c>
      <c r="J1577" t="s">
        <v>29</v>
      </c>
    </row>
    <row r="1578" spans="1:10" x14ac:dyDescent="0.25">
      <c r="A1578" s="1">
        <v>874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"2025-02-14 21:19:41.491"</f>
        <v>2025-02-14 21:19:41.491</v>
      </c>
      <c r="H1578" t="s">
        <v>21</v>
      </c>
      <c r="I1578">
        <v>0</v>
      </c>
      <c r="J1578" t="s">
        <v>33</v>
      </c>
    </row>
    <row r="1579" spans="1:10" x14ac:dyDescent="0.25">
      <c r="A1579" s="1">
        <v>876</v>
      </c>
      <c r="B1579" t="s">
        <v>22</v>
      </c>
      <c r="C1579">
        <v>635</v>
      </c>
      <c r="D1579">
        <v>1</v>
      </c>
      <c r="E1579" t="s">
        <v>27</v>
      </c>
      <c r="F1579" t="s">
        <v>28</v>
      </c>
      <c r="G1579" t="str">
        <f>"2025-02-12 14:56:21.579"</f>
        <v>2025-02-12 14:56:21.579</v>
      </c>
      <c r="H1579" t="s">
        <v>21</v>
      </c>
    </row>
    <row r="1580" spans="1:10" x14ac:dyDescent="0.25">
      <c r="A1580" s="1">
        <v>877</v>
      </c>
      <c r="B1580" t="s">
        <v>25</v>
      </c>
      <c r="C1580">
        <v>635</v>
      </c>
      <c r="D1580">
        <v>1</v>
      </c>
      <c r="E1580" t="s">
        <v>27</v>
      </c>
      <c r="F1580" t="s">
        <v>28</v>
      </c>
      <c r="G1580" t="str">
        <f>"2025-02-12 14:53:46.079"</f>
        <v>2025-02-12 14:53:46.079</v>
      </c>
      <c r="H1580" t="s">
        <v>21</v>
      </c>
      <c r="I1580">
        <v>9.43</v>
      </c>
      <c r="J1580" t="s">
        <v>26</v>
      </c>
    </row>
    <row r="1581" spans="1:10" x14ac:dyDescent="0.25">
      <c r="A1581" s="1">
        <v>881</v>
      </c>
      <c r="B1581" t="s">
        <v>22</v>
      </c>
      <c r="C1581">
        <v>635</v>
      </c>
      <c r="D1581">
        <v>1</v>
      </c>
      <c r="E1581" t="s">
        <v>27</v>
      </c>
      <c r="F1581" t="s">
        <v>28</v>
      </c>
      <c r="G1581" t="str">
        <f>"2025-02-12 10:25:04.511"</f>
        <v>2025-02-12 10:25:04.511</v>
      </c>
      <c r="H1581" t="s">
        <v>21</v>
      </c>
    </row>
    <row r="1582" spans="1:10" x14ac:dyDescent="0.25">
      <c r="A1582" s="1">
        <v>882</v>
      </c>
      <c r="B1582" t="s">
        <v>25</v>
      </c>
      <c r="C1582">
        <v>635</v>
      </c>
      <c r="D1582">
        <v>1</v>
      </c>
      <c r="E1582" t="s">
        <v>27</v>
      </c>
      <c r="F1582" t="s">
        <v>28</v>
      </c>
      <c r="G1582" t="str">
        <f>"2025-02-12 10:20:50.511"</f>
        <v>2025-02-12 10:20:50.511</v>
      </c>
      <c r="H1582" t="s">
        <v>21</v>
      </c>
      <c r="I1582">
        <v>2.71</v>
      </c>
      <c r="J1582" t="s">
        <v>26</v>
      </c>
    </row>
    <row r="1583" spans="1:10" x14ac:dyDescent="0.25">
      <c r="A1583" s="1">
        <v>883</v>
      </c>
      <c r="B1583" t="s">
        <v>22</v>
      </c>
      <c r="C1583">
        <v>635</v>
      </c>
      <c r="D1583">
        <v>1</v>
      </c>
      <c r="E1583" t="s">
        <v>27</v>
      </c>
      <c r="F1583" t="s">
        <v>28</v>
      </c>
      <c r="G1583" t="str">
        <f>"2025-02-12 08:50:58.211"</f>
        <v>2025-02-12 08:50:58.211</v>
      </c>
      <c r="H1583" t="s">
        <v>21</v>
      </c>
    </row>
    <row r="1584" spans="1:10" x14ac:dyDescent="0.25">
      <c r="A1584" s="1">
        <v>884</v>
      </c>
      <c r="B1584" t="s">
        <v>25</v>
      </c>
      <c r="C1584">
        <v>635</v>
      </c>
      <c r="D1584">
        <v>1</v>
      </c>
      <c r="E1584" t="s">
        <v>27</v>
      </c>
      <c r="F1584" t="s">
        <v>28</v>
      </c>
      <c r="G1584" t="str">
        <f>"2025-02-12 08:35:39.211"</f>
        <v>2025-02-12 08:35:39.211</v>
      </c>
      <c r="H1584" t="s">
        <v>21</v>
      </c>
      <c r="I1584">
        <v>9.01</v>
      </c>
      <c r="J1584" t="s">
        <v>29</v>
      </c>
    </row>
    <row r="1585" spans="1:10" x14ac:dyDescent="0.25">
      <c r="A1585" s="1">
        <v>885</v>
      </c>
      <c r="B1585" t="s">
        <v>22</v>
      </c>
      <c r="C1585">
        <v>635</v>
      </c>
      <c r="D1585">
        <v>1</v>
      </c>
      <c r="E1585" t="s">
        <v>27</v>
      </c>
      <c r="F1585" t="s">
        <v>28</v>
      </c>
      <c r="G1585" t="str">
        <f>"2025-02-11 17:31:35.511"</f>
        <v>2025-02-11 17:31:35.511</v>
      </c>
      <c r="H1585" t="s">
        <v>21</v>
      </c>
    </row>
    <row r="1586" spans="1:10" x14ac:dyDescent="0.25">
      <c r="A1586" s="1">
        <v>886</v>
      </c>
      <c r="B1586" t="s">
        <v>25</v>
      </c>
      <c r="C1586">
        <v>635</v>
      </c>
      <c r="D1586">
        <v>1</v>
      </c>
      <c r="E1586" t="s">
        <v>27</v>
      </c>
      <c r="F1586" t="s">
        <v>28</v>
      </c>
      <c r="G1586" t="str">
        <f>"2025-02-11 17:12:37.511"</f>
        <v>2025-02-11 17:12:37.511</v>
      </c>
      <c r="H1586" t="s">
        <v>21</v>
      </c>
      <c r="I1586">
        <v>9.34</v>
      </c>
      <c r="J1586" t="s">
        <v>26</v>
      </c>
    </row>
    <row r="1587" spans="1:10" x14ac:dyDescent="0.25">
      <c r="A1587" s="1">
        <v>887</v>
      </c>
      <c r="B1587" t="s">
        <v>22</v>
      </c>
      <c r="C1587">
        <v>635</v>
      </c>
      <c r="D1587">
        <v>1</v>
      </c>
      <c r="E1587" t="s">
        <v>27</v>
      </c>
      <c r="F1587" t="s">
        <v>28</v>
      </c>
      <c r="G1587" t="str">
        <f>"2025-02-08 06:51:08.211"</f>
        <v>2025-02-08 06:51:08.211</v>
      </c>
      <c r="H1587" t="s">
        <v>21</v>
      </c>
    </row>
    <row r="1588" spans="1:10" x14ac:dyDescent="0.25">
      <c r="A1588" s="1">
        <v>888</v>
      </c>
      <c r="B1588" t="s">
        <v>25</v>
      </c>
      <c r="C1588">
        <v>635</v>
      </c>
      <c r="D1588">
        <v>1</v>
      </c>
      <c r="E1588" t="s">
        <v>27</v>
      </c>
      <c r="F1588" t="s">
        <v>28</v>
      </c>
      <c r="G1588" t="str">
        <f>"2025-02-08 06:46:13.710"</f>
        <v>2025-02-08 06:46:13.710</v>
      </c>
      <c r="H1588" t="s">
        <v>21</v>
      </c>
      <c r="I1588">
        <v>4.07</v>
      </c>
      <c r="J1588" t="s">
        <v>29</v>
      </c>
    </row>
    <row r="1589" spans="1:10" x14ac:dyDescent="0.25">
      <c r="A1589" s="1">
        <v>890</v>
      </c>
      <c r="B1589" t="s">
        <v>19</v>
      </c>
      <c r="C1589">
        <v>706</v>
      </c>
      <c r="D1589">
        <v>4</v>
      </c>
      <c r="E1589" t="s">
        <v>30</v>
      </c>
      <c r="F1589" t="s">
        <v>34</v>
      </c>
      <c r="G1589" t="str">
        <f>"2025-02-07 00:15:26.281"</f>
        <v>2025-02-07 00:15:26.281</v>
      </c>
      <c r="H1589" t="s">
        <v>21</v>
      </c>
      <c r="I1589">
        <v>0</v>
      </c>
      <c r="J1589" t="s">
        <v>32</v>
      </c>
    </row>
    <row r="1590" spans="1:10" x14ac:dyDescent="0.25">
      <c r="A1590" s="1">
        <v>891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"2025-02-06 22:32:57.361"</f>
        <v>2025-02-06 22:32:57.361</v>
      </c>
      <c r="H1590" t="s">
        <v>21</v>
      </c>
    </row>
    <row r="1591" spans="1:10" x14ac:dyDescent="0.25">
      <c r="A1591" s="1">
        <v>892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"2025-02-06 21:55:12.361"</f>
        <v>2025-02-06 21:55:12.361</v>
      </c>
      <c r="H1591" t="s">
        <v>21</v>
      </c>
    </row>
    <row r="1592" spans="1:10" x14ac:dyDescent="0.25">
      <c r="A1592" s="1">
        <v>893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"2025-02-06 20:46:49.397"</f>
        <v>2025-02-06 20:46:49.397</v>
      </c>
      <c r="H1592" t="s">
        <v>21</v>
      </c>
      <c r="I1592">
        <v>0</v>
      </c>
      <c r="J1592" t="s">
        <v>33</v>
      </c>
    </row>
    <row r="1593" spans="1:10" x14ac:dyDescent="0.25">
      <c r="A1593" s="1">
        <v>894</v>
      </c>
      <c r="B1593" t="s">
        <v>22</v>
      </c>
      <c r="C1593">
        <v>635</v>
      </c>
      <c r="D1593">
        <v>1</v>
      </c>
      <c r="E1593" t="s">
        <v>27</v>
      </c>
      <c r="F1593" t="s">
        <v>28</v>
      </c>
      <c r="G1593" t="str">
        <f>"2025-02-06 18:27:51.500"</f>
        <v>2025-02-06 18:27:51.500</v>
      </c>
      <c r="H1593" t="s">
        <v>21</v>
      </c>
    </row>
    <row r="1594" spans="1:10" x14ac:dyDescent="0.25">
      <c r="A1594" s="1">
        <v>895</v>
      </c>
      <c r="B1594" t="s">
        <v>25</v>
      </c>
      <c r="C1594">
        <v>635</v>
      </c>
      <c r="D1594">
        <v>1</v>
      </c>
      <c r="E1594" t="s">
        <v>27</v>
      </c>
      <c r="F1594" t="s">
        <v>28</v>
      </c>
      <c r="G1594" t="str">
        <f>"2025-02-06 18:09:44.500"</f>
        <v>2025-02-06 18:09:44.500</v>
      </c>
      <c r="H1594" t="s">
        <v>21</v>
      </c>
      <c r="I1594">
        <v>7.39</v>
      </c>
      <c r="J1594" t="s">
        <v>29</v>
      </c>
    </row>
    <row r="1595" spans="1:10" x14ac:dyDescent="0.25">
      <c r="A1595" s="1">
        <v>896</v>
      </c>
      <c r="B1595" t="s">
        <v>22</v>
      </c>
      <c r="C1595">
        <v>635</v>
      </c>
      <c r="D1595">
        <v>1</v>
      </c>
      <c r="E1595" t="s">
        <v>27</v>
      </c>
      <c r="F1595" t="s">
        <v>28</v>
      </c>
      <c r="G1595" t="str">
        <f>"2025-02-05 14:33:50.500"</f>
        <v>2025-02-05 14:33:50.500</v>
      </c>
      <c r="H1595" t="s">
        <v>21</v>
      </c>
    </row>
    <row r="1596" spans="1:10" x14ac:dyDescent="0.25">
      <c r="A1596" s="1">
        <v>897</v>
      </c>
      <c r="B1596" t="s">
        <v>25</v>
      </c>
      <c r="C1596">
        <v>635</v>
      </c>
      <c r="D1596">
        <v>1</v>
      </c>
      <c r="E1596" t="s">
        <v>27</v>
      </c>
      <c r="F1596" t="s">
        <v>28</v>
      </c>
      <c r="G1596" t="str">
        <f>"2025-02-05 14:30:23.001"</f>
        <v>2025-02-05 14:30:23.001</v>
      </c>
      <c r="H1596" t="s">
        <v>21</v>
      </c>
      <c r="I1596">
        <v>9.8000000000000007</v>
      </c>
      <c r="J1596" t="s">
        <v>26</v>
      </c>
    </row>
    <row r="1597" spans="1:10" x14ac:dyDescent="0.25">
      <c r="A1597" s="1">
        <v>898</v>
      </c>
      <c r="B1597" t="s">
        <v>19</v>
      </c>
      <c r="C1597">
        <v>706</v>
      </c>
      <c r="D1597">
        <v>4</v>
      </c>
      <c r="E1597" t="s">
        <v>30</v>
      </c>
      <c r="F1597" t="s">
        <v>34</v>
      </c>
      <c r="G1597" t="str">
        <f>"2025-02-05 14:19:50.668"</f>
        <v>2025-02-05 14:19:50.668</v>
      </c>
      <c r="H1597" t="s">
        <v>21</v>
      </c>
      <c r="I1597">
        <v>0</v>
      </c>
      <c r="J1597" t="s">
        <v>32</v>
      </c>
    </row>
    <row r="1598" spans="1:10" x14ac:dyDescent="0.25">
      <c r="A1598" s="1">
        <v>899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"2025-02-05 14:19:32.398"</f>
        <v>2025-02-05 14:19:32.398</v>
      </c>
      <c r="H1598" t="s">
        <v>21</v>
      </c>
    </row>
    <row r="1599" spans="1:10" x14ac:dyDescent="0.25">
      <c r="A1599" s="1">
        <v>900</v>
      </c>
      <c r="B1599" t="s">
        <v>19</v>
      </c>
      <c r="C1599">
        <v>706</v>
      </c>
      <c r="D1599">
        <v>4</v>
      </c>
      <c r="E1599" t="s">
        <v>30</v>
      </c>
      <c r="F1599" t="s">
        <v>34</v>
      </c>
      <c r="G1599" t="str">
        <f>"2025-02-04 22:54:04.467"</f>
        <v>2025-02-04 22:54:04.467</v>
      </c>
      <c r="H1599" t="s">
        <v>21</v>
      </c>
      <c r="I1599">
        <v>0</v>
      </c>
      <c r="J1599" t="s">
        <v>32</v>
      </c>
    </row>
    <row r="1600" spans="1:10" x14ac:dyDescent="0.25">
      <c r="A1600" s="1">
        <v>901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"2025-02-04 22:53:46.357"</f>
        <v>2025-02-04 22:53:46.357</v>
      </c>
      <c r="H1600" t="s">
        <v>21</v>
      </c>
    </row>
    <row r="1601" spans="1:10" x14ac:dyDescent="0.25">
      <c r="A1601" s="1">
        <v>903</v>
      </c>
      <c r="B1601" t="s">
        <v>22</v>
      </c>
      <c r="C1601">
        <v>635</v>
      </c>
      <c r="D1601">
        <v>1</v>
      </c>
      <c r="E1601" t="s">
        <v>27</v>
      </c>
      <c r="F1601" t="s">
        <v>28</v>
      </c>
      <c r="G1601" t="str">
        <f>"2025-02-04 16:00:17.538"</f>
        <v>2025-02-04 16:00:17.538</v>
      </c>
      <c r="H1601" t="s">
        <v>21</v>
      </c>
    </row>
    <row r="1602" spans="1:10" x14ac:dyDescent="0.25">
      <c r="A1602" s="1">
        <v>904</v>
      </c>
      <c r="B1602" t="s">
        <v>25</v>
      </c>
      <c r="C1602">
        <v>635</v>
      </c>
      <c r="D1602">
        <v>1</v>
      </c>
      <c r="E1602" t="s">
        <v>27</v>
      </c>
      <c r="F1602" t="s">
        <v>28</v>
      </c>
      <c r="G1602" t="str">
        <f>"2025-02-04 15:55:55.038"</f>
        <v>2025-02-04 15:55:55.038</v>
      </c>
      <c r="H1602" t="s">
        <v>21</v>
      </c>
      <c r="I1602">
        <v>4.12</v>
      </c>
      <c r="J1602" t="s">
        <v>35</v>
      </c>
    </row>
    <row r="1603" spans="1:10" x14ac:dyDescent="0.25">
      <c r="A1603" s="1">
        <v>905</v>
      </c>
      <c r="B1603" t="s">
        <v>22</v>
      </c>
      <c r="C1603">
        <v>635</v>
      </c>
      <c r="D1603">
        <v>1</v>
      </c>
      <c r="E1603" t="s">
        <v>27</v>
      </c>
      <c r="F1603" t="s">
        <v>28</v>
      </c>
      <c r="G1603" t="str">
        <f>"2025-02-03 18:37:21.438"</f>
        <v>2025-02-03 18:37:21.438</v>
      </c>
      <c r="H1603" t="s">
        <v>21</v>
      </c>
    </row>
    <row r="1604" spans="1:10" x14ac:dyDescent="0.25">
      <c r="A1604" s="1">
        <v>906</v>
      </c>
      <c r="B1604" t="s">
        <v>25</v>
      </c>
      <c r="C1604">
        <v>635</v>
      </c>
      <c r="D1604">
        <v>1</v>
      </c>
      <c r="E1604" t="s">
        <v>27</v>
      </c>
      <c r="F1604" t="s">
        <v>28</v>
      </c>
      <c r="G1604" t="str">
        <f>"2025-02-03 18:13:31.938"</f>
        <v>2025-02-03 18:13:31.938</v>
      </c>
      <c r="H1604" t="s">
        <v>21</v>
      </c>
      <c r="I1604">
        <v>8.89</v>
      </c>
      <c r="J1604" t="s">
        <v>26</v>
      </c>
    </row>
    <row r="1605" spans="1:10" x14ac:dyDescent="0.25">
      <c r="A1605" s="1">
        <v>907</v>
      </c>
      <c r="B1605" t="s">
        <v>22</v>
      </c>
      <c r="C1605">
        <v>61</v>
      </c>
      <c r="D1605">
        <v>2</v>
      </c>
      <c r="E1605" t="s">
        <v>41</v>
      </c>
      <c r="F1605" t="s">
        <v>42</v>
      </c>
      <c r="G1605" t="str">
        <f>"2025-02-03 11:14:55.498"</f>
        <v>2025-02-03 11:14:55.498</v>
      </c>
      <c r="H1605" t="s">
        <v>21</v>
      </c>
    </row>
    <row r="1606" spans="1:10" x14ac:dyDescent="0.25">
      <c r="A1606" s="1">
        <v>908</v>
      </c>
      <c r="B1606" t="s">
        <v>40</v>
      </c>
      <c r="C1606">
        <v>61</v>
      </c>
      <c r="D1606">
        <v>2</v>
      </c>
      <c r="E1606" t="s">
        <v>41</v>
      </c>
      <c r="F1606" t="s">
        <v>42</v>
      </c>
      <c r="G1606" t="str">
        <f>"2025-02-03 11:14:33.699"</f>
        <v>2025-02-03 11:14:33.699</v>
      </c>
      <c r="H1606" t="s">
        <v>21</v>
      </c>
      <c r="I1606">
        <v>36.03</v>
      </c>
      <c r="J1606" t="s">
        <v>26</v>
      </c>
    </row>
    <row r="1607" spans="1:10" x14ac:dyDescent="0.25">
      <c r="A1607" s="1">
        <v>910</v>
      </c>
      <c r="B1607" t="s">
        <v>22</v>
      </c>
      <c r="C1607">
        <v>635</v>
      </c>
      <c r="D1607">
        <v>1</v>
      </c>
      <c r="E1607" t="s">
        <v>27</v>
      </c>
      <c r="F1607" t="s">
        <v>28</v>
      </c>
      <c r="G1607" t="str">
        <f>"2025-01-31 10:42:22.438"</f>
        <v>2025-01-31 10:42:22.438</v>
      </c>
      <c r="H1607" t="s">
        <v>21</v>
      </c>
    </row>
    <row r="1608" spans="1:10" x14ac:dyDescent="0.25">
      <c r="A1608" s="1">
        <v>911</v>
      </c>
      <c r="B1608" t="s">
        <v>25</v>
      </c>
      <c r="C1608">
        <v>635</v>
      </c>
      <c r="D1608">
        <v>1</v>
      </c>
      <c r="E1608" t="s">
        <v>27</v>
      </c>
      <c r="F1608" t="s">
        <v>28</v>
      </c>
      <c r="G1608" t="str">
        <f>"2025-01-31 10:23:14.938"</f>
        <v>2025-01-31 10:23:14.938</v>
      </c>
      <c r="H1608" t="s">
        <v>21</v>
      </c>
      <c r="I1608">
        <v>6.09</v>
      </c>
      <c r="J1608" t="s">
        <v>29</v>
      </c>
    </row>
    <row r="1609" spans="1:10" x14ac:dyDescent="0.25">
      <c r="A1609" s="1">
        <v>913</v>
      </c>
      <c r="B1609" t="s">
        <v>22</v>
      </c>
      <c r="C1609">
        <v>635</v>
      </c>
      <c r="D1609">
        <v>1</v>
      </c>
      <c r="E1609" t="s">
        <v>27</v>
      </c>
      <c r="F1609" t="s">
        <v>28</v>
      </c>
      <c r="G1609" t="str">
        <f>"2025-01-28 01:07:16.038"</f>
        <v>2025-01-28 01:07:16.038</v>
      </c>
      <c r="H1609" t="s">
        <v>21</v>
      </c>
    </row>
    <row r="1610" spans="1:10" x14ac:dyDescent="0.25">
      <c r="A1610" s="1">
        <v>914</v>
      </c>
      <c r="B1610" t="s">
        <v>25</v>
      </c>
      <c r="C1610">
        <v>635</v>
      </c>
      <c r="D1610">
        <v>1</v>
      </c>
      <c r="E1610" t="s">
        <v>27</v>
      </c>
      <c r="F1610" t="s">
        <v>28</v>
      </c>
      <c r="G1610" t="str">
        <f>"2025-01-28 01:02:58.038"</f>
        <v>2025-01-28 01:02:58.038</v>
      </c>
      <c r="H1610" t="s">
        <v>21</v>
      </c>
      <c r="I1610">
        <v>7.15</v>
      </c>
      <c r="J1610" t="s">
        <v>29</v>
      </c>
    </row>
    <row r="1611" spans="1:10" x14ac:dyDescent="0.25">
      <c r="A1611" s="1">
        <v>915</v>
      </c>
      <c r="B1611" t="s">
        <v>22</v>
      </c>
      <c r="C1611">
        <v>635</v>
      </c>
      <c r="D1611">
        <v>1</v>
      </c>
      <c r="E1611" t="s">
        <v>27</v>
      </c>
      <c r="F1611" t="s">
        <v>28</v>
      </c>
      <c r="G1611" t="str">
        <f>"2025-01-27 20:16:03.538"</f>
        <v>2025-01-27 20:16:03.538</v>
      </c>
      <c r="H1611" t="s">
        <v>21</v>
      </c>
    </row>
    <row r="1612" spans="1:10" x14ac:dyDescent="0.25">
      <c r="A1612" s="1">
        <v>916</v>
      </c>
      <c r="B1612" t="s">
        <v>25</v>
      </c>
      <c r="C1612">
        <v>635</v>
      </c>
      <c r="D1612">
        <v>1</v>
      </c>
      <c r="E1612" t="s">
        <v>27</v>
      </c>
      <c r="F1612" t="s">
        <v>28</v>
      </c>
      <c r="G1612" t="str">
        <f>"2025-01-27 20:04:59.538"</f>
        <v>2025-01-27 20:04:59.538</v>
      </c>
      <c r="H1612" t="s">
        <v>21</v>
      </c>
      <c r="I1612">
        <v>6.92</v>
      </c>
      <c r="J1612" t="s">
        <v>26</v>
      </c>
    </row>
    <row r="1613" spans="1:10" x14ac:dyDescent="0.25">
      <c r="A1613" s="1">
        <v>917</v>
      </c>
      <c r="B1613" t="s">
        <v>22</v>
      </c>
      <c r="C1613">
        <v>635</v>
      </c>
      <c r="D1613">
        <v>1</v>
      </c>
      <c r="E1613" t="s">
        <v>27</v>
      </c>
      <c r="F1613" t="s">
        <v>28</v>
      </c>
      <c r="G1613" t="str">
        <f>"2025-01-27 06:03:49.238"</f>
        <v>2025-01-27 06:03:49.238</v>
      </c>
      <c r="H1613" t="s">
        <v>21</v>
      </c>
    </row>
    <row r="1614" spans="1:10" x14ac:dyDescent="0.25">
      <c r="A1614" s="1">
        <v>918</v>
      </c>
      <c r="B1614" t="s">
        <v>25</v>
      </c>
      <c r="C1614">
        <v>635</v>
      </c>
      <c r="D1614">
        <v>1</v>
      </c>
      <c r="E1614" t="s">
        <v>27</v>
      </c>
      <c r="F1614" t="s">
        <v>28</v>
      </c>
      <c r="G1614" t="str">
        <f>"2025-01-27 06:00:49.238"</f>
        <v>2025-01-27 06:00:49.238</v>
      </c>
      <c r="H1614" t="s">
        <v>21</v>
      </c>
      <c r="I1614">
        <v>3.85</v>
      </c>
      <c r="J1614" t="s">
        <v>29</v>
      </c>
    </row>
    <row r="1615" spans="1:10" x14ac:dyDescent="0.25">
      <c r="A1615" s="1">
        <v>919</v>
      </c>
      <c r="B1615" t="s">
        <v>22</v>
      </c>
      <c r="C1615">
        <v>635</v>
      </c>
      <c r="D1615">
        <v>1</v>
      </c>
      <c r="E1615" t="s">
        <v>27</v>
      </c>
      <c r="F1615" t="s">
        <v>28</v>
      </c>
      <c r="G1615" t="str">
        <f>"2025-01-27 05:50:41.838"</f>
        <v>2025-01-27 05:50:41.838</v>
      </c>
      <c r="H1615" t="s">
        <v>21</v>
      </c>
    </row>
    <row r="1616" spans="1:10" x14ac:dyDescent="0.25">
      <c r="A1616" s="1">
        <v>920</v>
      </c>
      <c r="B1616" t="s">
        <v>25</v>
      </c>
      <c r="C1616">
        <v>635</v>
      </c>
      <c r="D1616">
        <v>1</v>
      </c>
      <c r="E1616" t="s">
        <v>27</v>
      </c>
      <c r="F1616" t="s">
        <v>28</v>
      </c>
      <c r="G1616" t="str">
        <f>"2025-01-27 05:47:00.838"</f>
        <v>2025-01-27 05:47:00.838</v>
      </c>
      <c r="H1616" t="s">
        <v>21</v>
      </c>
      <c r="I1616">
        <v>3.94</v>
      </c>
      <c r="J1616" t="s">
        <v>29</v>
      </c>
    </row>
    <row r="1617" spans="1:10" x14ac:dyDescent="0.25">
      <c r="A1617" s="1">
        <v>921</v>
      </c>
      <c r="B1617" t="s">
        <v>22</v>
      </c>
      <c r="C1617">
        <v>635</v>
      </c>
      <c r="D1617">
        <v>1</v>
      </c>
      <c r="E1617" t="s">
        <v>27</v>
      </c>
      <c r="F1617" t="s">
        <v>28</v>
      </c>
      <c r="G1617" t="str">
        <f>"2025-01-27 04:50:28.338"</f>
        <v>2025-01-27 04:50:28.338</v>
      </c>
      <c r="H1617" t="s">
        <v>21</v>
      </c>
    </row>
    <row r="1618" spans="1:10" x14ac:dyDescent="0.25">
      <c r="A1618" s="1">
        <v>922</v>
      </c>
      <c r="B1618" t="s">
        <v>25</v>
      </c>
      <c r="C1618">
        <v>635</v>
      </c>
      <c r="D1618">
        <v>1</v>
      </c>
      <c r="E1618" t="s">
        <v>27</v>
      </c>
      <c r="F1618" t="s">
        <v>28</v>
      </c>
      <c r="G1618" t="str">
        <f>"2025-01-27 04:46:35.338"</f>
        <v>2025-01-27 04:46:35.338</v>
      </c>
      <c r="H1618" t="s">
        <v>21</v>
      </c>
      <c r="I1618">
        <v>2.88</v>
      </c>
      <c r="J1618" t="s">
        <v>26</v>
      </c>
    </row>
    <row r="1619" spans="1:10" x14ac:dyDescent="0.25">
      <c r="A1619" s="1">
        <v>923</v>
      </c>
      <c r="B1619" t="s">
        <v>22</v>
      </c>
      <c r="C1619">
        <v>635</v>
      </c>
      <c r="D1619">
        <v>1</v>
      </c>
      <c r="E1619" t="s">
        <v>27</v>
      </c>
      <c r="F1619" t="s">
        <v>28</v>
      </c>
      <c r="G1619" t="str">
        <f>"2025-01-27 02:30:54.538"</f>
        <v>2025-01-27 02:30:54.538</v>
      </c>
      <c r="H1619" t="s">
        <v>21</v>
      </c>
    </row>
    <row r="1620" spans="1:10" x14ac:dyDescent="0.25">
      <c r="A1620" s="1">
        <v>924</v>
      </c>
      <c r="B1620" t="s">
        <v>25</v>
      </c>
      <c r="C1620">
        <v>635</v>
      </c>
      <c r="D1620">
        <v>1</v>
      </c>
      <c r="E1620" t="s">
        <v>27</v>
      </c>
      <c r="F1620" t="s">
        <v>28</v>
      </c>
      <c r="G1620" t="str">
        <f>"2025-01-27 02:26:22.138"</f>
        <v>2025-01-27 02:26:22.138</v>
      </c>
      <c r="H1620" t="s">
        <v>21</v>
      </c>
      <c r="I1620">
        <v>2.06</v>
      </c>
      <c r="J1620" t="s">
        <v>29</v>
      </c>
    </row>
    <row r="1621" spans="1:10" x14ac:dyDescent="0.25">
      <c r="A1621" s="1">
        <v>926</v>
      </c>
      <c r="B1621" t="s">
        <v>19</v>
      </c>
      <c r="C1621">
        <v>706</v>
      </c>
      <c r="D1621">
        <v>4</v>
      </c>
      <c r="E1621" t="s">
        <v>30</v>
      </c>
      <c r="F1621" t="s">
        <v>34</v>
      </c>
      <c r="G1621" t="str">
        <f>"2025-01-26 22:45:10.043"</f>
        <v>2025-01-26 22:45:10.043</v>
      </c>
      <c r="H1621" t="s">
        <v>21</v>
      </c>
      <c r="I1621">
        <v>0</v>
      </c>
      <c r="J1621" t="s">
        <v>32</v>
      </c>
    </row>
    <row r="1622" spans="1:10" x14ac:dyDescent="0.25">
      <c r="A1622" s="1">
        <v>927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"2025-01-26 22:28:01.343"</f>
        <v>2025-01-26 22:28:01.343</v>
      </c>
      <c r="H1622" t="s">
        <v>21</v>
      </c>
    </row>
    <row r="1623" spans="1:10" x14ac:dyDescent="0.25">
      <c r="A1623" s="1">
        <v>928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"2025-01-26 21:42:57.359"</f>
        <v>2025-01-26 21:42:57.359</v>
      </c>
      <c r="H1623" t="s">
        <v>21</v>
      </c>
      <c r="I1623">
        <v>0</v>
      </c>
      <c r="J1623" t="s">
        <v>33</v>
      </c>
    </row>
    <row r="1624" spans="1:10" x14ac:dyDescent="0.25">
      <c r="A1624" s="1">
        <v>929</v>
      </c>
      <c r="B1624" t="s">
        <v>22</v>
      </c>
      <c r="C1624">
        <v>635</v>
      </c>
      <c r="D1624">
        <v>1</v>
      </c>
      <c r="E1624" t="s">
        <v>27</v>
      </c>
      <c r="F1624" t="s">
        <v>28</v>
      </c>
      <c r="G1624" t="str">
        <f>"2025-01-26 14:47:24.880"</f>
        <v>2025-01-26 14:47:24.880</v>
      </c>
      <c r="H1624" t="s">
        <v>21</v>
      </c>
    </row>
    <row r="1625" spans="1:10" x14ac:dyDescent="0.25">
      <c r="A1625" s="1">
        <v>930</v>
      </c>
      <c r="B1625" t="s">
        <v>25</v>
      </c>
      <c r="C1625">
        <v>635</v>
      </c>
      <c r="D1625">
        <v>1</v>
      </c>
      <c r="E1625" t="s">
        <v>27</v>
      </c>
      <c r="F1625" t="s">
        <v>28</v>
      </c>
      <c r="G1625" t="str">
        <f>"2025-01-26 14:32:28.880"</f>
        <v>2025-01-26 14:32:28.880</v>
      </c>
      <c r="H1625" t="s">
        <v>21</v>
      </c>
      <c r="I1625">
        <v>7.19</v>
      </c>
      <c r="J1625" t="s">
        <v>29</v>
      </c>
    </row>
    <row r="1626" spans="1:10" x14ac:dyDescent="0.25">
      <c r="A1626" s="1">
        <v>931</v>
      </c>
      <c r="B1626" t="s">
        <v>22</v>
      </c>
      <c r="C1626">
        <v>61</v>
      </c>
      <c r="D1626">
        <v>2</v>
      </c>
      <c r="E1626" t="s">
        <v>41</v>
      </c>
      <c r="F1626" t="s">
        <v>42</v>
      </c>
      <c r="G1626" t="str">
        <f>"2025-01-26 13:06:28.034"</f>
        <v>2025-01-26 13:06:28.034</v>
      </c>
      <c r="H1626" t="s">
        <v>21</v>
      </c>
    </row>
    <row r="1627" spans="1:10" x14ac:dyDescent="0.25">
      <c r="A1627" s="1">
        <v>932</v>
      </c>
      <c r="B1627" t="s">
        <v>40</v>
      </c>
      <c r="C1627">
        <v>61</v>
      </c>
      <c r="D1627">
        <v>2</v>
      </c>
      <c r="E1627" t="s">
        <v>41</v>
      </c>
      <c r="F1627" t="s">
        <v>42</v>
      </c>
      <c r="G1627" t="str">
        <f>"2025-01-26 13:06:18.934"</f>
        <v>2025-01-26 13:06:18.934</v>
      </c>
      <c r="H1627" t="s">
        <v>21</v>
      </c>
      <c r="I1627">
        <v>35.85</v>
      </c>
      <c r="J1627" t="s">
        <v>26</v>
      </c>
    </row>
    <row r="1628" spans="1:10" x14ac:dyDescent="0.25">
      <c r="A1628" s="1">
        <v>933</v>
      </c>
      <c r="B1628" t="s">
        <v>37</v>
      </c>
      <c r="C1628">
        <v>33</v>
      </c>
      <c r="D1628">
        <v>1</v>
      </c>
      <c r="E1628" t="s">
        <v>63</v>
      </c>
      <c r="F1628" t="s">
        <v>64</v>
      </c>
      <c r="G1628" t="str">
        <f>"2025-01-26 11:08:03.034"</f>
        <v>2025-01-26 11:08:03.034</v>
      </c>
      <c r="H1628" t="s">
        <v>65</v>
      </c>
    </row>
    <row r="1629" spans="1:10" x14ac:dyDescent="0.25">
      <c r="A1629" s="1">
        <v>934</v>
      </c>
      <c r="B1629" t="s">
        <v>40</v>
      </c>
      <c r="C1629">
        <v>33</v>
      </c>
      <c r="D1629">
        <v>1</v>
      </c>
      <c r="E1629" t="s">
        <v>63</v>
      </c>
      <c r="F1629" t="s">
        <v>64</v>
      </c>
      <c r="G1629" t="str">
        <f>"2025-01-26 11:07:18.112"</f>
        <v>2025-01-26 11:07:18.112</v>
      </c>
      <c r="H1629" t="s">
        <v>65</v>
      </c>
      <c r="I1629">
        <v>8.77</v>
      </c>
      <c r="J1629" t="s">
        <v>29</v>
      </c>
    </row>
    <row r="1630" spans="1:10" x14ac:dyDescent="0.25">
      <c r="A1630" s="1">
        <v>935</v>
      </c>
      <c r="B1630" t="s">
        <v>22</v>
      </c>
      <c r="C1630">
        <v>61</v>
      </c>
      <c r="D1630">
        <v>2</v>
      </c>
      <c r="E1630" t="s">
        <v>41</v>
      </c>
      <c r="F1630" t="s">
        <v>42</v>
      </c>
      <c r="G1630" t="str">
        <f>"2025-01-26 09:49:27.434"</f>
        <v>2025-01-26 09:49:27.434</v>
      </c>
      <c r="H1630" t="s">
        <v>21</v>
      </c>
    </row>
    <row r="1631" spans="1:10" x14ac:dyDescent="0.25">
      <c r="A1631" s="1">
        <v>936</v>
      </c>
      <c r="B1631" t="s">
        <v>40</v>
      </c>
      <c r="C1631">
        <v>61</v>
      </c>
      <c r="D1631">
        <v>2</v>
      </c>
      <c r="E1631" t="s">
        <v>41</v>
      </c>
      <c r="F1631" t="s">
        <v>42</v>
      </c>
      <c r="G1631" t="str">
        <f>"2025-01-26 09:49:06.734"</f>
        <v>2025-01-26 09:49:06.734</v>
      </c>
      <c r="H1631" t="s">
        <v>21</v>
      </c>
      <c r="I1631">
        <v>36.01</v>
      </c>
      <c r="J1631" t="s">
        <v>26</v>
      </c>
    </row>
    <row r="1632" spans="1:10" x14ac:dyDescent="0.25">
      <c r="A1632" s="1">
        <v>938</v>
      </c>
      <c r="B1632" t="s">
        <v>22</v>
      </c>
      <c r="C1632">
        <v>61</v>
      </c>
      <c r="D1632">
        <v>2</v>
      </c>
      <c r="E1632" t="s">
        <v>41</v>
      </c>
      <c r="F1632" t="s">
        <v>42</v>
      </c>
      <c r="G1632" t="str">
        <f>"2025-01-25 07:25:06.934"</f>
        <v>2025-01-25 07:25:06.934</v>
      </c>
      <c r="H1632" t="s">
        <v>21</v>
      </c>
    </row>
    <row r="1633" spans="1:10" x14ac:dyDescent="0.25">
      <c r="A1633" s="1">
        <v>939</v>
      </c>
      <c r="B1633" t="s">
        <v>40</v>
      </c>
      <c r="C1633">
        <v>61</v>
      </c>
      <c r="D1633">
        <v>2</v>
      </c>
      <c r="E1633" t="s">
        <v>41</v>
      </c>
      <c r="F1633" t="s">
        <v>42</v>
      </c>
      <c r="G1633" t="str">
        <f>"2025-01-25 07:25:02.434"</f>
        <v>2025-01-25 07:25:02.434</v>
      </c>
      <c r="H1633" t="s">
        <v>21</v>
      </c>
      <c r="I1633">
        <v>35.47</v>
      </c>
      <c r="J1633" t="s">
        <v>26</v>
      </c>
    </row>
    <row r="1634" spans="1:10" x14ac:dyDescent="0.25">
      <c r="A1634" s="1">
        <v>941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"2025-01-23 23:23:46.311"</f>
        <v>2025-01-23 23:23:46.311</v>
      </c>
      <c r="H1634" t="s">
        <v>21</v>
      </c>
    </row>
    <row r="1635" spans="1:10" x14ac:dyDescent="0.25">
      <c r="A1635" s="1">
        <v>942</v>
      </c>
      <c r="B1635" t="s">
        <v>22</v>
      </c>
      <c r="C1635">
        <v>635</v>
      </c>
      <c r="D1635">
        <v>1</v>
      </c>
      <c r="E1635" t="s">
        <v>27</v>
      </c>
      <c r="F1635" t="s">
        <v>28</v>
      </c>
      <c r="G1635" t="str">
        <f>"2025-01-23 13:28:00.006"</f>
        <v>2025-01-23 13:28:00.006</v>
      </c>
      <c r="H1635" t="s">
        <v>21</v>
      </c>
    </row>
    <row r="1636" spans="1:10" x14ac:dyDescent="0.25">
      <c r="A1636" s="1">
        <v>943</v>
      </c>
      <c r="B1636" t="s">
        <v>25</v>
      </c>
      <c r="C1636">
        <v>635</v>
      </c>
      <c r="D1636">
        <v>1</v>
      </c>
      <c r="E1636" t="s">
        <v>27</v>
      </c>
      <c r="F1636" t="s">
        <v>28</v>
      </c>
      <c r="G1636" t="str">
        <f>"2025-01-23 13:22:31.006"</f>
        <v>2025-01-23 13:22:31.006</v>
      </c>
      <c r="H1636" t="s">
        <v>21</v>
      </c>
      <c r="I1636">
        <v>4.2</v>
      </c>
      <c r="J1636" t="s">
        <v>29</v>
      </c>
    </row>
    <row r="1637" spans="1:10" x14ac:dyDescent="0.25">
      <c r="A1637" s="1">
        <v>944</v>
      </c>
      <c r="B1637" t="s">
        <v>19</v>
      </c>
      <c r="C1637">
        <v>706</v>
      </c>
      <c r="D1637">
        <v>2</v>
      </c>
      <c r="E1637" t="s">
        <v>30</v>
      </c>
      <c r="F1637" t="s">
        <v>31</v>
      </c>
      <c r="G1637" t="str">
        <f>"2025-01-23 08:53:17.683"</f>
        <v>2025-01-23 08:53:17.683</v>
      </c>
      <c r="H1637" t="s">
        <v>21</v>
      </c>
      <c r="I1637">
        <v>0</v>
      </c>
      <c r="J1637" t="s">
        <v>32</v>
      </c>
    </row>
    <row r="1638" spans="1:10" x14ac:dyDescent="0.25">
      <c r="A1638" s="1">
        <v>945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"2025-01-23 08:52:50.323"</f>
        <v>2025-01-23 08:52:50.323</v>
      </c>
      <c r="H1638" t="s">
        <v>21</v>
      </c>
    </row>
    <row r="1639" spans="1:10" x14ac:dyDescent="0.25">
      <c r="A1639" s="1">
        <v>946</v>
      </c>
      <c r="B1639" t="s">
        <v>22</v>
      </c>
      <c r="C1639">
        <v>635</v>
      </c>
      <c r="D1639">
        <v>1</v>
      </c>
      <c r="E1639" t="s">
        <v>27</v>
      </c>
      <c r="F1639" t="s">
        <v>28</v>
      </c>
      <c r="G1639" t="str">
        <f>"2025-01-23 02:54:32.072"</f>
        <v>2025-01-23 02:54:32.072</v>
      </c>
      <c r="H1639" t="s">
        <v>21</v>
      </c>
    </row>
    <row r="1640" spans="1:10" x14ac:dyDescent="0.25">
      <c r="A1640" s="1">
        <v>947</v>
      </c>
      <c r="B1640" t="s">
        <v>25</v>
      </c>
      <c r="C1640">
        <v>635</v>
      </c>
      <c r="D1640">
        <v>1</v>
      </c>
      <c r="E1640" t="s">
        <v>27</v>
      </c>
      <c r="F1640" t="s">
        <v>28</v>
      </c>
      <c r="G1640" t="str">
        <f>"2025-01-23 02:48:53.572"</f>
        <v>2025-01-23 02:48:53.572</v>
      </c>
      <c r="H1640" t="s">
        <v>21</v>
      </c>
      <c r="I1640">
        <v>7.51</v>
      </c>
      <c r="J1640" t="s">
        <v>29</v>
      </c>
    </row>
    <row r="1641" spans="1:10" x14ac:dyDescent="0.25">
      <c r="A1641" s="1">
        <v>948</v>
      </c>
      <c r="B1641" t="s">
        <v>22</v>
      </c>
      <c r="C1641">
        <v>635</v>
      </c>
      <c r="D1641">
        <v>1</v>
      </c>
      <c r="E1641" t="s">
        <v>27</v>
      </c>
      <c r="F1641" t="s">
        <v>28</v>
      </c>
      <c r="G1641" t="str">
        <f>"2025-01-22 12:53:13.772"</f>
        <v>2025-01-22 12:53:13.772</v>
      </c>
      <c r="H1641" t="s">
        <v>21</v>
      </c>
    </row>
    <row r="1642" spans="1:10" x14ac:dyDescent="0.25">
      <c r="A1642" s="1">
        <v>949</v>
      </c>
      <c r="B1642" t="s">
        <v>25</v>
      </c>
      <c r="C1642">
        <v>635</v>
      </c>
      <c r="D1642">
        <v>1</v>
      </c>
      <c r="E1642" t="s">
        <v>27</v>
      </c>
      <c r="F1642" t="s">
        <v>28</v>
      </c>
      <c r="G1642" t="str">
        <f>"2025-01-22 12:50:41.772"</f>
        <v>2025-01-22 12:50:41.772</v>
      </c>
      <c r="H1642" t="s">
        <v>21</v>
      </c>
      <c r="I1642">
        <v>0.06</v>
      </c>
      <c r="J1642" t="s">
        <v>35</v>
      </c>
    </row>
    <row r="1643" spans="1:10" x14ac:dyDescent="0.25">
      <c r="A1643" s="1">
        <v>951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"2025-01-21 23:31:49.318"</f>
        <v>2025-01-21 23:31:49.318</v>
      </c>
      <c r="H1643" t="s">
        <v>21</v>
      </c>
      <c r="I1643">
        <v>0</v>
      </c>
      <c r="J1643" t="s">
        <v>33</v>
      </c>
    </row>
    <row r="1644" spans="1:10" x14ac:dyDescent="0.25">
      <c r="A1644" s="1">
        <v>952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"2025-01-21 23:24:41.324"</f>
        <v>2025-01-21 23:24:41.324</v>
      </c>
      <c r="H1644" t="s">
        <v>21</v>
      </c>
    </row>
    <row r="1645" spans="1:10" x14ac:dyDescent="0.25">
      <c r="A1645" s="1">
        <v>953</v>
      </c>
      <c r="B1645" t="s">
        <v>22</v>
      </c>
      <c r="C1645">
        <v>635</v>
      </c>
      <c r="D1645">
        <v>1</v>
      </c>
      <c r="E1645" t="s">
        <v>27</v>
      </c>
      <c r="F1645" t="s">
        <v>28</v>
      </c>
      <c r="G1645" t="str">
        <f>"2025-01-19 22:01:21.835"</f>
        <v>2025-01-19 22:01:21.835</v>
      </c>
      <c r="H1645" t="s">
        <v>21</v>
      </c>
    </row>
    <row r="1646" spans="1:10" x14ac:dyDescent="0.25">
      <c r="A1646" s="1">
        <v>954</v>
      </c>
      <c r="B1646" t="s">
        <v>25</v>
      </c>
      <c r="C1646">
        <v>635</v>
      </c>
      <c r="D1646">
        <v>1</v>
      </c>
      <c r="E1646" t="s">
        <v>27</v>
      </c>
      <c r="F1646" t="s">
        <v>28</v>
      </c>
      <c r="G1646" t="str">
        <f>"2025-01-19 21:57:47.335"</f>
        <v>2025-01-19 21:57:47.335</v>
      </c>
      <c r="H1646" t="s">
        <v>21</v>
      </c>
      <c r="I1646">
        <v>3.49</v>
      </c>
      <c r="J1646" t="s">
        <v>29</v>
      </c>
    </row>
    <row r="1647" spans="1:10" x14ac:dyDescent="0.25">
      <c r="A1647" s="1">
        <v>955</v>
      </c>
      <c r="B1647" t="s">
        <v>22</v>
      </c>
      <c r="C1647">
        <v>61</v>
      </c>
      <c r="D1647">
        <v>2</v>
      </c>
      <c r="E1647" t="s">
        <v>41</v>
      </c>
      <c r="F1647" t="s">
        <v>42</v>
      </c>
      <c r="G1647" t="str">
        <f>"2025-01-19 14:44:32.356"</f>
        <v>2025-01-19 14:44:32.356</v>
      </c>
      <c r="H1647" t="s">
        <v>21</v>
      </c>
    </row>
    <row r="1648" spans="1:10" x14ac:dyDescent="0.25">
      <c r="A1648" s="1">
        <v>956</v>
      </c>
      <c r="B1648" t="s">
        <v>40</v>
      </c>
      <c r="C1648">
        <v>61</v>
      </c>
      <c r="D1648">
        <v>2</v>
      </c>
      <c r="E1648" t="s">
        <v>41</v>
      </c>
      <c r="F1648" t="s">
        <v>42</v>
      </c>
      <c r="G1648" t="str">
        <f>"2025-01-19 14:44:13.456"</f>
        <v>2025-01-19 14:44:13.456</v>
      </c>
      <c r="H1648" t="s">
        <v>21</v>
      </c>
      <c r="I1648">
        <v>35.81</v>
      </c>
      <c r="J1648" t="s">
        <v>26</v>
      </c>
    </row>
    <row r="1649" spans="1:10" x14ac:dyDescent="0.25">
      <c r="A1649" s="1">
        <v>957</v>
      </c>
      <c r="B1649" t="s">
        <v>22</v>
      </c>
      <c r="C1649">
        <v>61</v>
      </c>
      <c r="D1649">
        <v>2</v>
      </c>
      <c r="E1649" t="s">
        <v>41</v>
      </c>
      <c r="F1649" t="s">
        <v>42</v>
      </c>
      <c r="G1649" t="str">
        <f>"2025-01-19 14:05:33.756"</f>
        <v>2025-01-19 14:05:33.756</v>
      </c>
      <c r="H1649" t="s">
        <v>21</v>
      </c>
    </row>
    <row r="1650" spans="1:10" x14ac:dyDescent="0.25">
      <c r="A1650" s="1">
        <v>958</v>
      </c>
      <c r="B1650" t="s">
        <v>40</v>
      </c>
      <c r="C1650">
        <v>61</v>
      </c>
      <c r="D1650">
        <v>2</v>
      </c>
      <c r="E1650" t="s">
        <v>41</v>
      </c>
      <c r="F1650" t="s">
        <v>42</v>
      </c>
      <c r="G1650" t="str">
        <f>"2025-01-19 14:05:19.156"</f>
        <v>2025-01-19 14:05:19.156</v>
      </c>
      <c r="H1650" t="s">
        <v>21</v>
      </c>
      <c r="I1650">
        <v>36.14</v>
      </c>
      <c r="J1650" t="s">
        <v>26</v>
      </c>
    </row>
    <row r="1651" spans="1:10" x14ac:dyDescent="0.25">
      <c r="A1651" s="1">
        <v>959</v>
      </c>
      <c r="B1651" t="s">
        <v>22</v>
      </c>
      <c r="C1651">
        <v>61</v>
      </c>
      <c r="D1651">
        <v>2</v>
      </c>
      <c r="E1651" t="s">
        <v>41</v>
      </c>
      <c r="F1651" t="s">
        <v>42</v>
      </c>
      <c r="G1651" t="str">
        <f>"2025-01-19 13:45:03.356"</f>
        <v>2025-01-19 13:45:03.356</v>
      </c>
      <c r="H1651" t="s">
        <v>21</v>
      </c>
    </row>
    <row r="1652" spans="1:10" x14ac:dyDescent="0.25">
      <c r="A1652" s="1">
        <v>960</v>
      </c>
      <c r="B1652" t="s">
        <v>40</v>
      </c>
      <c r="C1652">
        <v>61</v>
      </c>
      <c r="D1652">
        <v>2</v>
      </c>
      <c r="E1652" t="s">
        <v>41</v>
      </c>
      <c r="F1652" t="s">
        <v>42</v>
      </c>
      <c r="G1652" t="str">
        <f>"2025-01-19 13:44:44.456"</f>
        <v>2025-01-19 13:44:44.456</v>
      </c>
      <c r="H1652" t="s">
        <v>21</v>
      </c>
      <c r="I1652">
        <v>35.82</v>
      </c>
      <c r="J1652" t="s">
        <v>26</v>
      </c>
    </row>
    <row r="1653" spans="1:10" x14ac:dyDescent="0.25">
      <c r="A1653" s="1">
        <v>961</v>
      </c>
      <c r="B1653" t="s">
        <v>22</v>
      </c>
      <c r="C1653">
        <v>61</v>
      </c>
      <c r="D1653">
        <v>2</v>
      </c>
      <c r="E1653" t="s">
        <v>41</v>
      </c>
      <c r="F1653" t="s">
        <v>42</v>
      </c>
      <c r="G1653" t="str">
        <f>"2025-01-19 10:06:05.156"</f>
        <v>2025-01-19 10:06:05.156</v>
      </c>
      <c r="H1653" t="s">
        <v>21</v>
      </c>
    </row>
    <row r="1654" spans="1:10" x14ac:dyDescent="0.25">
      <c r="A1654" s="1">
        <v>962</v>
      </c>
      <c r="B1654" t="s">
        <v>40</v>
      </c>
      <c r="C1654">
        <v>61</v>
      </c>
      <c r="D1654">
        <v>2</v>
      </c>
      <c r="E1654" t="s">
        <v>41</v>
      </c>
      <c r="F1654" t="s">
        <v>42</v>
      </c>
      <c r="G1654" t="str">
        <f>"2025-01-19 10:05:51.056"</f>
        <v>2025-01-19 10:05:51.056</v>
      </c>
      <c r="H1654" t="s">
        <v>21</v>
      </c>
      <c r="I1654">
        <v>35.29</v>
      </c>
      <c r="J1654" t="s">
        <v>26</v>
      </c>
    </row>
    <row r="1655" spans="1:10" x14ac:dyDescent="0.25">
      <c r="A1655" s="1">
        <v>963</v>
      </c>
      <c r="B1655" t="s">
        <v>22</v>
      </c>
      <c r="C1655">
        <v>635</v>
      </c>
      <c r="D1655">
        <v>1</v>
      </c>
      <c r="E1655" t="s">
        <v>27</v>
      </c>
      <c r="F1655" t="s">
        <v>28</v>
      </c>
      <c r="G1655" t="str">
        <f>"2025-01-19 09:39:00.435"</f>
        <v>2025-01-19 09:39:00.435</v>
      </c>
      <c r="H1655" t="s">
        <v>21</v>
      </c>
    </row>
    <row r="1656" spans="1:10" x14ac:dyDescent="0.25">
      <c r="A1656" s="1">
        <v>964</v>
      </c>
      <c r="B1656" t="s">
        <v>25</v>
      </c>
      <c r="C1656">
        <v>635</v>
      </c>
      <c r="D1656">
        <v>1</v>
      </c>
      <c r="E1656" t="s">
        <v>27</v>
      </c>
      <c r="F1656" t="s">
        <v>28</v>
      </c>
      <c r="G1656" t="str">
        <f>"2025-01-19 09:20:58.936"</f>
        <v>2025-01-19 09:20:58.936</v>
      </c>
      <c r="H1656" t="s">
        <v>21</v>
      </c>
      <c r="I1656">
        <v>7.63</v>
      </c>
      <c r="J1656" t="s">
        <v>29</v>
      </c>
    </row>
    <row r="1657" spans="1:10" x14ac:dyDescent="0.25">
      <c r="A1657" s="1">
        <v>965</v>
      </c>
      <c r="B1657" t="s">
        <v>22</v>
      </c>
      <c r="C1657">
        <v>98</v>
      </c>
      <c r="D1657">
        <v>1</v>
      </c>
      <c r="E1657" t="s">
        <v>88</v>
      </c>
      <c r="F1657" t="s">
        <v>89</v>
      </c>
      <c r="G1657" t="str">
        <f>"2025-01-19 01:58:37.456"</f>
        <v>2025-01-19 01:58:37.456</v>
      </c>
      <c r="H1657" t="s">
        <v>21</v>
      </c>
    </row>
    <row r="1658" spans="1:10" x14ac:dyDescent="0.25">
      <c r="A1658" s="1">
        <v>966</v>
      </c>
      <c r="B1658" t="s">
        <v>25</v>
      </c>
      <c r="C1658">
        <v>98</v>
      </c>
      <c r="D1658">
        <v>1</v>
      </c>
      <c r="E1658" t="s">
        <v>88</v>
      </c>
      <c r="F1658" t="s">
        <v>89</v>
      </c>
      <c r="G1658" t="str">
        <f>"2025-01-19 01:58:36.256"</f>
        <v>2025-01-19 01:58:36.256</v>
      </c>
      <c r="H1658" t="s">
        <v>21</v>
      </c>
      <c r="I1658">
        <v>0</v>
      </c>
      <c r="J1658" t="s">
        <v>35</v>
      </c>
    </row>
    <row r="1659" spans="1:10" x14ac:dyDescent="0.25">
      <c r="A1659" s="1">
        <v>967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"2025-01-18 21:59:58.309"</f>
        <v>2025-01-18 21:59:58.309</v>
      </c>
      <c r="H1659" t="s">
        <v>21</v>
      </c>
    </row>
    <row r="1660" spans="1:10" x14ac:dyDescent="0.25">
      <c r="A1660" s="1">
        <v>968</v>
      </c>
      <c r="B1660" t="s">
        <v>19</v>
      </c>
      <c r="C1660">
        <v>706</v>
      </c>
      <c r="D1660">
        <v>4</v>
      </c>
      <c r="E1660" t="s">
        <v>30</v>
      </c>
      <c r="F1660" t="s">
        <v>34</v>
      </c>
      <c r="G1660" t="str">
        <f>"2025-01-18 13:50:55.469"</f>
        <v>2025-01-18 13:50:55.469</v>
      </c>
      <c r="H1660" t="s">
        <v>21</v>
      </c>
      <c r="I1660">
        <v>0</v>
      </c>
      <c r="J1660" t="s">
        <v>32</v>
      </c>
    </row>
    <row r="1661" spans="1:10" x14ac:dyDescent="0.25">
      <c r="A1661" s="1">
        <v>969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"2025-01-18 13:49:56.289"</f>
        <v>2025-01-18 13:49:56.289</v>
      </c>
      <c r="H1661" t="s">
        <v>21</v>
      </c>
      <c r="I1661">
        <v>0</v>
      </c>
      <c r="J1661" t="s">
        <v>33</v>
      </c>
    </row>
    <row r="1662" spans="1:10" x14ac:dyDescent="0.25">
      <c r="A1662" s="1">
        <v>970</v>
      </c>
      <c r="B1662" t="s">
        <v>19</v>
      </c>
      <c r="C1662">
        <v>706</v>
      </c>
      <c r="D1662">
        <v>2</v>
      </c>
      <c r="E1662" t="s">
        <v>30</v>
      </c>
      <c r="F1662" t="s">
        <v>31</v>
      </c>
      <c r="G1662" t="str">
        <f>"2025-01-18 13:38:21.917"</f>
        <v>2025-01-18 13:38:21.917</v>
      </c>
      <c r="H1662" t="s">
        <v>21</v>
      </c>
      <c r="I1662">
        <v>0</v>
      </c>
      <c r="J1662" t="s">
        <v>32</v>
      </c>
    </row>
    <row r="1663" spans="1:10" x14ac:dyDescent="0.25">
      <c r="A1663" s="1">
        <v>971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"2025-01-18 13:32:52.297"</f>
        <v>2025-01-18 13:32:52.297</v>
      </c>
      <c r="H1663" t="s">
        <v>21</v>
      </c>
      <c r="I1663">
        <v>0</v>
      </c>
      <c r="J1663" t="s">
        <v>33</v>
      </c>
    </row>
    <row r="1664" spans="1:10" x14ac:dyDescent="0.25">
      <c r="A1664" s="1">
        <v>972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"2025-01-18 13:31:29.288"</f>
        <v>2025-01-18 13:31:29.288</v>
      </c>
      <c r="H1664" t="s">
        <v>21</v>
      </c>
    </row>
    <row r="1665" spans="1:10" x14ac:dyDescent="0.25">
      <c r="A1665" s="1">
        <v>973</v>
      </c>
      <c r="B1665" t="s">
        <v>19</v>
      </c>
      <c r="C1665">
        <v>706</v>
      </c>
      <c r="D1665">
        <v>4</v>
      </c>
      <c r="E1665" t="s">
        <v>30</v>
      </c>
      <c r="F1665" t="s">
        <v>34</v>
      </c>
      <c r="G1665" t="str">
        <f>"2025-01-18 13:24:10.251"</f>
        <v>2025-01-18 13:24:10.251</v>
      </c>
      <c r="H1665" t="s">
        <v>21</v>
      </c>
      <c r="I1665">
        <v>0</v>
      </c>
      <c r="J1665" t="s">
        <v>32</v>
      </c>
    </row>
    <row r="1666" spans="1:10" x14ac:dyDescent="0.25">
      <c r="A1666" s="1">
        <v>974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"2025-01-18 13:23:39.311"</f>
        <v>2025-01-18 13:23:39.311</v>
      </c>
      <c r="H1666" t="s">
        <v>21</v>
      </c>
      <c r="I1666">
        <v>0</v>
      </c>
      <c r="J1666" t="s">
        <v>33</v>
      </c>
    </row>
    <row r="1667" spans="1:10" x14ac:dyDescent="0.25">
      <c r="A1667" s="1">
        <v>975</v>
      </c>
      <c r="B1667" t="s">
        <v>19</v>
      </c>
      <c r="C1667">
        <v>706</v>
      </c>
      <c r="D1667">
        <v>3</v>
      </c>
      <c r="E1667" t="s">
        <v>30</v>
      </c>
      <c r="F1667" t="s">
        <v>36</v>
      </c>
      <c r="G1667" t="str">
        <f>"2025-01-18 13:11:39.555"</f>
        <v>2025-01-18 13:11:39.555</v>
      </c>
      <c r="H1667" t="s">
        <v>21</v>
      </c>
      <c r="I1667">
        <v>0</v>
      </c>
      <c r="J1667" t="s">
        <v>32</v>
      </c>
    </row>
    <row r="1668" spans="1:10" x14ac:dyDescent="0.25">
      <c r="A1668" s="1">
        <v>976</v>
      </c>
      <c r="B1668" t="s">
        <v>19</v>
      </c>
      <c r="C1668">
        <v>706</v>
      </c>
      <c r="D1668">
        <v>3</v>
      </c>
      <c r="E1668" t="s">
        <v>30</v>
      </c>
      <c r="F1668" t="s">
        <v>36</v>
      </c>
      <c r="G1668" t="str">
        <f>"2025-01-18 13:10:16.845"</f>
        <v>2025-01-18 13:10:16.845</v>
      </c>
      <c r="H1668" t="s">
        <v>21</v>
      </c>
      <c r="I1668">
        <v>0</v>
      </c>
      <c r="J1668" t="s">
        <v>32</v>
      </c>
    </row>
    <row r="1669" spans="1:10" x14ac:dyDescent="0.25">
      <c r="A1669" s="1">
        <v>977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"2025-01-18 13:09:07.315"</f>
        <v>2025-01-18 13:09:07.315</v>
      </c>
      <c r="H1669" t="s">
        <v>21</v>
      </c>
    </row>
    <row r="1670" spans="1:10" x14ac:dyDescent="0.25">
      <c r="A1670" s="1">
        <v>978</v>
      </c>
      <c r="B1670" t="s">
        <v>22</v>
      </c>
      <c r="C1670">
        <v>630</v>
      </c>
      <c r="D1670">
        <v>1</v>
      </c>
      <c r="E1670" t="s">
        <v>66</v>
      </c>
      <c r="F1670" t="s">
        <v>107</v>
      </c>
      <c r="G1670" t="str">
        <f>"2025-01-18 12:58:20.568"</f>
        <v>2025-01-18 12:58:20.568</v>
      </c>
      <c r="H1670" t="s">
        <v>68</v>
      </c>
    </row>
    <row r="1671" spans="1:10" x14ac:dyDescent="0.25">
      <c r="A1671" s="1">
        <v>979</v>
      </c>
      <c r="B1671" t="s">
        <v>40</v>
      </c>
      <c r="C1671">
        <v>630</v>
      </c>
      <c r="D1671">
        <v>1</v>
      </c>
      <c r="E1671" t="s">
        <v>66</v>
      </c>
      <c r="F1671" t="s">
        <v>107</v>
      </c>
      <c r="G1671" t="str">
        <f>"2025-01-18 12:57:34.768"</f>
        <v>2025-01-18 12:57:34.768</v>
      </c>
      <c r="H1671" t="s">
        <v>68</v>
      </c>
      <c r="I1671">
        <v>3.15</v>
      </c>
      <c r="J1671" t="s">
        <v>35</v>
      </c>
    </row>
    <row r="1672" spans="1:10" x14ac:dyDescent="0.25">
      <c r="A1672" s="1">
        <v>980</v>
      </c>
      <c r="B1672" t="s">
        <v>22</v>
      </c>
      <c r="C1672">
        <v>630</v>
      </c>
      <c r="D1672">
        <v>1</v>
      </c>
      <c r="E1672" t="s">
        <v>66</v>
      </c>
      <c r="F1672" t="s">
        <v>107</v>
      </c>
      <c r="G1672" t="str">
        <f>"2025-01-18 12:49:19.968"</f>
        <v>2025-01-18 12:49:19.968</v>
      </c>
      <c r="H1672" t="s">
        <v>68</v>
      </c>
    </row>
    <row r="1673" spans="1:10" x14ac:dyDescent="0.25">
      <c r="A1673" s="1">
        <v>981</v>
      </c>
      <c r="B1673" t="s">
        <v>40</v>
      </c>
      <c r="C1673">
        <v>630</v>
      </c>
      <c r="D1673">
        <v>1</v>
      </c>
      <c r="E1673" t="s">
        <v>66</v>
      </c>
      <c r="F1673" t="s">
        <v>107</v>
      </c>
      <c r="G1673" t="str">
        <f>"2025-01-18 12:48:24.871"</f>
        <v>2025-01-18 12:48:24.871</v>
      </c>
      <c r="H1673" t="s">
        <v>68</v>
      </c>
      <c r="I1673">
        <v>0.8</v>
      </c>
      <c r="J1673" t="s">
        <v>26</v>
      </c>
    </row>
    <row r="1674" spans="1:10" x14ac:dyDescent="0.25">
      <c r="A1674" s="1">
        <v>982</v>
      </c>
      <c r="B1674" t="s">
        <v>37</v>
      </c>
      <c r="C1674">
        <v>630</v>
      </c>
      <c r="D1674">
        <v>1</v>
      </c>
      <c r="E1674" t="s">
        <v>66</v>
      </c>
      <c r="F1674" t="s">
        <v>107</v>
      </c>
      <c r="G1674" t="str">
        <f>"2025-01-18 12:48:24.868"</f>
        <v>2025-01-18 12:48:24.868</v>
      </c>
      <c r="H1674" t="s">
        <v>68</v>
      </c>
    </row>
    <row r="1675" spans="1:10" x14ac:dyDescent="0.25">
      <c r="A1675" s="1">
        <v>983</v>
      </c>
      <c r="B1675" t="s">
        <v>40</v>
      </c>
      <c r="C1675">
        <v>630</v>
      </c>
      <c r="D1675">
        <v>1</v>
      </c>
      <c r="E1675" t="s">
        <v>66</v>
      </c>
      <c r="F1675" t="s">
        <v>107</v>
      </c>
      <c r="G1675" t="str">
        <f>"2025-01-18 12:45:52.268"</f>
        <v>2025-01-18 12:45:52.268</v>
      </c>
      <c r="H1675" t="s">
        <v>68</v>
      </c>
      <c r="I1675">
        <v>4.0199999999999996</v>
      </c>
      <c r="J1675" t="s">
        <v>35</v>
      </c>
    </row>
    <row r="1676" spans="1:10" x14ac:dyDescent="0.25">
      <c r="A1676" s="1">
        <v>984</v>
      </c>
      <c r="B1676" t="s">
        <v>22</v>
      </c>
      <c r="C1676">
        <v>630</v>
      </c>
      <c r="D1676">
        <v>1</v>
      </c>
      <c r="E1676" t="s">
        <v>66</v>
      </c>
      <c r="F1676" t="s">
        <v>107</v>
      </c>
      <c r="G1676" t="str">
        <f>"2025-01-18 12:37:31.868"</f>
        <v>2025-01-18 12:37:31.868</v>
      </c>
      <c r="H1676" t="s">
        <v>68</v>
      </c>
    </row>
    <row r="1677" spans="1:10" x14ac:dyDescent="0.25">
      <c r="A1677" s="1">
        <v>985</v>
      </c>
      <c r="B1677" t="s">
        <v>40</v>
      </c>
      <c r="C1677">
        <v>630</v>
      </c>
      <c r="D1677">
        <v>1</v>
      </c>
      <c r="E1677" t="s">
        <v>66</v>
      </c>
      <c r="F1677" t="s">
        <v>107</v>
      </c>
      <c r="G1677" t="str">
        <f>"2025-01-18 12:36:56.968"</f>
        <v>2025-01-18 12:36:56.968</v>
      </c>
      <c r="H1677" t="s">
        <v>68</v>
      </c>
      <c r="I1677">
        <v>0.9</v>
      </c>
      <c r="J1677" t="s">
        <v>26</v>
      </c>
    </row>
    <row r="1678" spans="1:10" x14ac:dyDescent="0.25">
      <c r="A1678" s="1">
        <v>986</v>
      </c>
      <c r="B1678" t="s">
        <v>37</v>
      </c>
      <c r="C1678">
        <v>630</v>
      </c>
      <c r="D1678">
        <v>1</v>
      </c>
      <c r="E1678" t="s">
        <v>66</v>
      </c>
      <c r="F1678" t="s">
        <v>107</v>
      </c>
      <c r="G1678" t="str">
        <f>"2025-01-18 12:36:56.915"</f>
        <v>2025-01-18 12:36:56.915</v>
      </c>
      <c r="H1678" t="s">
        <v>68</v>
      </c>
    </row>
    <row r="1679" spans="1:10" x14ac:dyDescent="0.25">
      <c r="A1679" s="1">
        <v>987</v>
      </c>
      <c r="B1679" t="s">
        <v>40</v>
      </c>
      <c r="C1679">
        <v>630</v>
      </c>
      <c r="D1679">
        <v>1</v>
      </c>
      <c r="E1679" t="s">
        <v>66</v>
      </c>
      <c r="F1679" t="s">
        <v>107</v>
      </c>
      <c r="G1679" t="str">
        <f>"2025-01-18 12:20:12.468"</f>
        <v>2025-01-18 12:20:12.468</v>
      </c>
      <c r="H1679" t="s">
        <v>68</v>
      </c>
      <c r="I1679">
        <v>7.96</v>
      </c>
      <c r="J1679" t="s">
        <v>29</v>
      </c>
    </row>
    <row r="1680" spans="1:10" x14ac:dyDescent="0.25">
      <c r="A1680" s="1">
        <v>988</v>
      </c>
      <c r="B1680" t="s">
        <v>22</v>
      </c>
      <c r="C1680">
        <v>630</v>
      </c>
      <c r="D1680">
        <v>1</v>
      </c>
      <c r="E1680" t="s">
        <v>66</v>
      </c>
      <c r="F1680" t="s">
        <v>107</v>
      </c>
      <c r="G1680" t="str">
        <f>"2025-01-18 12:14:44.468"</f>
        <v>2025-01-18 12:14:44.468</v>
      </c>
      <c r="H1680" t="s">
        <v>68</v>
      </c>
    </row>
    <row r="1681" spans="1:10" x14ac:dyDescent="0.25">
      <c r="A1681" s="1">
        <v>989</v>
      </c>
      <c r="B1681" t="s">
        <v>40</v>
      </c>
      <c r="C1681">
        <v>630</v>
      </c>
      <c r="D1681">
        <v>1</v>
      </c>
      <c r="E1681" t="s">
        <v>66</v>
      </c>
      <c r="F1681" t="s">
        <v>107</v>
      </c>
      <c r="G1681" t="str">
        <f>"2025-01-18 12:14:05.171"</f>
        <v>2025-01-18 12:14:05.171</v>
      </c>
      <c r="H1681" t="s">
        <v>68</v>
      </c>
      <c r="I1681">
        <v>0.97</v>
      </c>
      <c r="J1681" t="s">
        <v>26</v>
      </c>
    </row>
    <row r="1682" spans="1:10" x14ac:dyDescent="0.25">
      <c r="A1682" s="1">
        <v>990</v>
      </c>
      <c r="B1682" t="s">
        <v>37</v>
      </c>
      <c r="C1682">
        <v>630</v>
      </c>
      <c r="D1682">
        <v>1</v>
      </c>
      <c r="E1682" t="s">
        <v>66</v>
      </c>
      <c r="F1682" t="s">
        <v>107</v>
      </c>
      <c r="G1682" t="str">
        <f>"2025-01-18 12:14:05.168"</f>
        <v>2025-01-18 12:14:05.168</v>
      </c>
      <c r="H1682" t="s">
        <v>68</v>
      </c>
    </row>
    <row r="1683" spans="1:10" x14ac:dyDescent="0.25">
      <c r="A1683" s="1">
        <v>991</v>
      </c>
      <c r="B1683" t="s">
        <v>40</v>
      </c>
      <c r="C1683">
        <v>630</v>
      </c>
      <c r="D1683">
        <v>1</v>
      </c>
      <c r="E1683" t="s">
        <v>66</v>
      </c>
      <c r="F1683" t="s">
        <v>107</v>
      </c>
      <c r="G1683" t="str">
        <f>"2025-01-18 12:13:15.268"</f>
        <v>2025-01-18 12:13:15.268</v>
      </c>
      <c r="H1683" t="s">
        <v>68</v>
      </c>
      <c r="I1683">
        <v>5.26</v>
      </c>
      <c r="J1683" t="s">
        <v>29</v>
      </c>
    </row>
    <row r="1684" spans="1:10" x14ac:dyDescent="0.25">
      <c r="A1684" s="1">
        <v>992</v>
      </c>
      <c r="B1684" t="s">
        <v>22</v>
      </c>
      <c r="C1684">
        <v>635</v>
      </c>
      <c r="D1684">
        <v>1</v>
      </c>
      <c r="E1684" t="s">
        <v>27</v>
      </c>
      <c r="F1684" t="s">
        <v>28</v>
      </c>
      <c r="G1684" t="str">
        <f>"2025-01-18 05:03:18.868"</f>
        <v>2025-01-18 05:03:18.868</v>
      </c>
      <c r="H1684" t="s">
        <v>21</v>
      </c>
    </row>
    <row r="1685" spans="1:10" x14ac:dyDescent="0.25">
      <c r="A1685" s="1">
        <v>993</v>
      </c>
      <c r="B1685" t="s">
        <v>25</v>
      </c>
      <c r="C1685">
        <v>635</v>
      </c>
      <c r="D1685">
        <v>1</v>
      </c>
      <c r="E1685" t="s">
        <v>27</v>
      </c>
      <c r="F1685" t="s">
        <v>28</v>
      </c>
      <c r="G1685" t="str">
        <f>"2025-01-18 04:38:50.868"</f>
        <v>2025-01-18 04:38:50.868</v>
      </c>
      <c r="H1685" t="s">
        <v>21</v>
      </c>
      <c r="I1685">
        <v>4.0199999999999996</v>
      </c>
      <c r="J1685" t="s">
        <v>26</v>
      </c>
    </row>
    <row r="1686" spans="1:10" x14ac:dyDescent="0.25">
      <c r="A1686" s="1">
        <v>994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"2025-01-17 10:30:45.344"</f>
        <v>2025-01-17 10:30:45.344</v>
      </c>
      <c r="H1686" t="s">
        <v>21</v>
      </c>
      <c r="I1686">
        <v>0</v>
      </c>
      <c r="J1686" t="s">
        <v>33</v>
      </c>
    </row>
    <row r="1687" spans="1:10" x14ac:dyDescent="0.25">
      <c r="A1687" s="1">
        <v>995</v>
      </c>
      <c r="B1687" t="s">
        <v>43</v>
      </c>
      <c r="C1687">
        <v>135</v>
      </c>
      <c r="D1687">
        <v>4</v>
      </c>
      <c r="E1687" t="s">
        <v>91</v>
      </c>
      <c r="F1687" t="s">
        <v>94</v>
      </c>
      <c r="G1687" t="str">
        <f>"2025-01-17 07:08:21.872"</f>
        <v>2025-01-17 07:08:21.872</v>
      </c>
      <c r="H1687" t="s">
        <v>55</v>
      </c>
    </row>
    <row r="1688" spans="1:10" x14ac:dyDescent="0.25">
      <c r="A1688" s="1">
        <v>996</v>
      </c>
      <c r="B1688" t="s">
        <v>40</v>
      </c>
      <c r="C1688">
        <v>135</v>
      </c>
      <c r="D1688">
        <v>4</v>
      </c>
      <c r="E1688" t="s">
        <v>91</v>
      </c>
      <c r="F1688" t="s">
        <v>94</v>
      </c>
      <c r="G1688" t="str">
        <f>"2025-01-17 07:08:16.777"</f>
        <v>2025-01-17 07:08:16.777</v>
      </c>
      <c r="H1688" t="s">
        <v>55</v>
      </c>
      <c r="I1688">
        <v>0</v>
      </c>
      <c r="J1688" t="s">
        <v>35</v>
      </c>
    </row>
    <row r="1689" spans="1:10" x14ac:dyDescent="0.25">
      <c r="A1689" s="1">
        <v>997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"2025-01-16 14:24:10.291"</f>
        <v>2025-01-16 14:24:10.291</v>
      </c>
      <c r="H1689" t="s">
        <v>21</v>
      </c>
      <c r="I1689">
        <v>0</v>
      </c>
      <c r="J1689" t="s">
        <v>33</v>
      </c>
    </row>
    <row r="1690" spans="1:10" x14ac:dyDescent="0.25">
      <c r="A1690" s="1">
        <v>998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"2025-01-16 14:07:42.294"</f>
        <v>2025-01-16 14:07:42.294</v>
      </c>
      <c r="H1690" t="s">
        <v>21</v>
      </c>
      <c r="I1690">
        <v>0</v>
      </c>
      <c r="J1690" t="s">
        <v>33</v>
      </c>
    </row>
    <row r="1691" spans="1:10" x14ac:dyDescent="0.25">
      <c r="A1691" s="1">
        <v>999</v>
      </c>
      <c r="B1691" t="s">
        <v>40</v>
      </c>
      <c r="C1691">
        <v>630</v>
      </c>
      <c r="D1691">
        <v>5</v>
      </c>
      <c r="E1691" t="s">
        <v>66</v>
      </c>
      <c r="F1691" t="s">
        <v>67</v>
      </c>
      <c r="G1691" t="str">
        <f>"2025-01-16 08:47:29.082"</f>
        <v>2025-01-16 08:47:29.082</v>
      </c>
      <c r="H1691" t="s">
        <v>68</v>
      </c>
      <c r="I1691">
        <v>0</v>
      </c>
      <c r="J1691" t="s">
        <v>32</v>
      </c>
    </row>
    <row r="1692" spans="1:10" x14ac:dyDescent="0.25">
      <c r="A1692" s="1">
        <v>0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"2025-01-16 08:42:26.517"</f>
        <v>2025-01-16 08:42:26.517</v>
      </c>
      <c r="H1692" t="s">
        <v>21</v>
      </c>
      <c r="I1692">
        <v>0</v>
      </c>
      <c r="J1692" t="s">
        <v>33</v>
      </c>
    </row>
    <row r="1693" spans="1:10" x14ac:dyDescent="0.25">
      <c r="A1693" s="1">
        <v>1</v>
      </c>
      <c r="B1693" t="s">
        <v>22</v>
      </c>
      <c r="C1693">
        <v>635</v>
      </c>
      <c r="D1693">
        <v>1</v>
      </c>
      <c r="E1693" t="s">
        <v>27</v>
      </c>
      <c r="F1693" t="s">
        <v>28</v>
      </c>
      <c r="G1693" t="str">
        <f>"2025-01-16 05:44:36.922"</f>
        <v>2025-01-16 05:44:36.922</v>
      </c>
      <c r="H1693" t="s">
        <v>21</v>
      </c>
    </row>
    <row r="1694" spans="1:10" x14ac:dyDescent="0.25">
      <c r="A1694" s="1">
        <v>2</v>
      </c>
      <c r="B1694" t="s">
        <v>25</v>
      </c>
      <c r="C1694">
        <v>635</v>
      </c>
      <c r="D1694">
        <v>1</v>
      </c>
      <c r="E1694" t="s">
        <v>27</v>
      </c>
      <c r="F1694" t="s">
        <v>28</v>
      </c>
      <c r="G1694" t="str">
        <f>"2025-01-16 05:27:19.422"</f>
        <v>2025-01-16 05:27:19.422</v>
      </c>
      <c r="H1694" t="s">
        <v>21</v>
      </c>
      <c r="I1694">
        <v>7.18</v>
      </c>
      <c r="J1694" t="s">
        <v>29</v>
      </c>
    </row>
    <row r="1695" spans="1:10" x14ac:dyDescent="0.25">
      <c r="A1695" s="1">
        <v>3</v>
      </c>
      <c r="B1695" t="s">
        <v>22</v>
      </c>
      <c r="C1695">
        <v>635</v>
      </c>
      <c r="D1695">
        <v>1</v>
      </c>
      <c r="E1695" t="s">
        <v>27</v>
      </c>
      <c r="F1695" t="s">
        <v>28</v>
      </c>
      <c r="G1695" t="str">
        <f>"2025-01-16 02:14:07.222"</f>
        <v>2025-01-16 02:14:07.222</v>
      </c>
      <c r="H1695" t="s">
        <v>21</v>
      </c>
    </row>
    <row r="1696" spans="1:10" x14ac:dyDescent="0.25">
      <c r="A1696" s="1">
        <v>4</v>
      </c>
      <c r="B1696" t="s">
        <v>25</v>
      </c>
      <c r="C1696">
        <v>635</v>
      </c>
      <c r="D1696">
        <v>1</v>
      </c>
      <c r="E1696" t="s">
        <v>27</v>
      </c>
      <c r="F1696" t="s">
        <v>28</v>
      </c>
      <c r="G1696" t="str">
        <f>"2025-01-16 01:57:03.222"</f>
        <v>2025-01-16 01:57:03.222</v>
      </c>
      <c r="H1696" t="s">
        <v>21</v>
      </c>
      <c r="I1696">
        <v>8.0399999999999991</v>
      </c>
      <c r="J1696" t="s">
        <v>29</v>
      </c>
    </row>
    <row r="1697" spans="1:10" x14ac:dyDescent="0.25">
      <c r="A1697" s="1">
        <v>5</v>
      </c>
      <c r="B1697" t="s">
        <v>22</v>
      </c>
      <c r="C1697">
        <v>635</v>
      </c>
      <c r="D1697">
        <v>1</v>
      </c>
      <c r="E1697" t="s">
        <v>27</v>
      </c>
      <c r="F1697" t="s">
        <v>28</v>
      </c>
      <c r="G1697" t="str">
        <f>"2025-01-14 16:48:20.122"</f>
        <v>2025-01-14 16:48:20.122</v>
      </c>
      <c r="H1697" t="s">
        <v>21</v>
      </c>
    </row>
    <row r="1698" spans="1:10" x14ac:dyDescent="0.25">
      <c r="A1698" s="1">
        <v>6</v>
      </c>
      <c r="B1698" t="s">
        <v>25</v>
      </c>
      <c r="C1698">
        <v>635</v>
      </c>
      <c r="D1698">
        <v>1</v>
      </c>
      <c r="E1698" t="s">
        <v>27</v>
      </c>
      <c r="F1698" t="s">
        <v>28</v>
      </c>
      <c r="G1698" t="str">
        <f>"2025-01-14 16:39:02.122"</f>
        <v>2025-01-14 16:39:02.122</v>
      </c>
      <c r="H1698" t="s">
        <v>21</v>
      </c>
      <c r="I1698">
        <v>5.0199999999999996</v>
      </c>
      <c r="J1698" t="s">
        <v>29</v>
      </c>
    </row>
    <row r="1699" spans="1:10" x14ac:dyDescent="0.25">
      <c r="A1699" s="1">
        <v>7</v>
      </c>
      <c r="B1699" t="s">
        <v>22</v>
      </c>
      <c r="C1699">
        <v>635</v>
      </c>
      <c r="D1699">
        <v>1</v>
      </c>
      <c r="E1699" t="s">
        <v>27</v>
      </c>
      <c r="F1699" t="s">
        <v>28</v>
      </c>
      <c r="G1699" t="str">
        <f>"2025-01-14 02:33:10.422"</f>
        <v>2025-01-14 02:33:10.422</v>
      </c>
      <c r="H1699" t="s">
        <v>21</v>
      </c>
    </row>
    <row r="1700" spans="1:10" x14ac:dyDescent="0.25">
      <c r="A1700" s="1">
        <v>8</v>
      </c>
      <c r="B1700" t="s">
        <v>25</v>
      </c>
      <c r="C1700">
        <v>635</v>
      </c>
      <c r="D1700">
        <v>1</v>
      </c>
      <c r="E1700" t="s">
        <v>27</v>
      </c>
      <c r="F1700" t="s">
        <v>28</v>
      </c>
      <c r="G1700" t="str">
        <f>"2025-01-14 02:24:27.922"</f>
        <v>2025-01-14 02:24:27.922</v>
      </c>
      <c r="H1700" t="s">
        <v>21</v>
      </c>
      <c r="I1700">
        <v>2.58</v>
      </c>
      <c r="J1700" t="s">
        <v>29</v>
      </c>
    </row>
    <row r="1701" spans="1:10" x14ac:dyDescent="0.25">
      <c r="A1701" s="1">
        <v>9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"2025-01-13 20:37:47.274"</f>
        <v>2025-01-13 20:37:47.274</v>
      </c>
      <c r="H1701" t="s">
        <v>21</v>
      </c>
      <c r="I1701">
        <v>0</v>
      </c>
      <c r="J1701" t="s">
        <v>33</v>
      </c>
    </row>
    <row r="1702" spans="1:10" x14ac:dyDescent="0.25">
      <c r="A1702" s="1">
        <v>10</v>
      </c>
      <c r="B1702" t="s">
        <v>19</v>
      </c>
      <c r="C1702">
        <v>706</v>
      </c>
      <c r="D1702">
        <v>4</v>
      </c>
      <c r="E1702" t="s">
        <v>30</v>
      </c>
      <c r="F1702" t="s">
        <v>34</v>
      </c>
      <c r="G1702" t="str">
        <f>"2025-01-13 20:21:33.866"</f>
        <v>2025-01-13 20:21:33.866</v>
      </c>
      <c r="H1702" t="s">
        <v>21</v>
      </c>
      <c r="I1702">
        <v>0</v>
      </c>
      <c r="J1702" t="s">
        <v>32</v>
      </c>
    </row>
    <row r="1703" spans="1:10" x14ac:dyDescent="0.25">
      <c r="A1703" s="1">
        <v>11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"2025-01-13 20:21:12.446"</f>
        <v>2025-01-13 20:21:12.446</v>
      </c>
      <c r="H1703" t="s">
        <v>21</v>
      </c>
      <c r="I1703">
        <v>0</v>
      </c>
      <c r="J1703" t="s">
        <v>33</v>
      </c>
    </row>
    <row r="1704" spans="1:10" x14ac:dyDescent="0.25">
      <c r="A1704" s="1">
        <v>12</v>
      </c>
      <c r="B1704" t="s">
        <v>22</v>
      </c>
      <c r="C1704">
        <v>630</v>
      </c>
      <c r="D1704">
        <v>5</v>
      </c>
      <c r="E1704" t="s">
        <v>66</v>
      </c>
      <c r="F1704" t="s">
        <v>67</v>
      </c>
      <c r="G1704" t="str">
        <f>"2025-01-13 08:06:12.618"</f>
        <v>2025-01-13 08:06:12.618</v>
      </c>
      <c r="H1704" t="s">
        <v>68</v>
      </c>
    </row>
    <row r="1705" spans="1:10" x14ac:dyDescent="0.25">
      <c r="A1705" s="1">
        <v>13</v>
      </c>
      <c r="B1705" t="s">
        <v>19</v>
      </c>
      <c r="C1705">
        <v>706</v>
      </c>
      <c r="D1705">
        <v>2</v>
      </c>
      <c r="E1705" t="s">
        <v>30</v>
      </c>
      <c r="F1705" t="s">
        <v>31</v>
      </c>
      <c r="G1705" t="str">
        <f>"2025-01-13 08:05:42.486"</f>
        <v>2025-01-13 08:05:42.486</v>
      </c>
      <c r="H1705" t="s">
        <v>21</v>
      </c>
      <c r="I1705">
        <v>0</v>
      </c>
      <c r="J1705" t="s">
        <v>32</v>
      </c>
    </row>
    <row r="1706" spans="1:10" x14ac:dyDescent="0.25">
      <c r="A1706" s="1">
        <v>14</v>
      </c>
      <c r="B1706" t="s">
        <v>40</v>
      </c>
      <c r="C1706">
        <v>630</v>
      </c>
      <c r="D1706">
        <v>5</v>
      </c>
      <c r="E1706" t="s">
        <v>66</v>
      </c>
      <c r="F1706" t="s">
        <v>67</v>
      </c>
      <c r="G1706" t="str">
        <f>"2025-01-13 08:03:23.218"</f>
        <v>2025-01-13 08:03:23.218</v>
      </c>
      <c r="H1706" t="s">
        <v>68</v>
      </c>
      <c r="I1706">
        <v>0</v>
      </c>
      <c r="J1706" t="s">
        <v>32</v>
      </c>
    </row>
    <row r="1707" spans="1:10" x14ac:dyDescent="0.25">
      <c r="A1707" s="1">
        <v>15</v>
      </c>
      <c r="B1707" t="s">
        <v>22</v>
      </c>
      <c r="C1707">
        <v>635</v>
      </c>
      <c r="D1707">
        <v>1</v>
      </c>
      <c r="E1707" t="s">
        <v>27</v>
      </c>
      <c r="F1707" t="s">
        <v>28</v>
      </c>
      <c r="G1707" t="str">
        <f>"2025-01-13 00:28:19.617"</f>
        <v>2025-01-13 00:28:19.617</v>
      </c>
      <c r="H1707" t="s">
        <v>21</v>
      </c>
    </row>
    <row r="1708" spans="1:10" x14ac:dyDescent="0.25">
      <c r="A1708" s="1">
        <v>16</v>
      </c>
      <c r="B1708" t="s">
        <v>25</v>
      </c>
      <c r="C1708">
        <v>635</v>
      </c>
      <c r="D1708">
        <v>1</v>
      </c>
      <c r="E1708" t="s">
        <v>27</v>
      </c>
      <c r="F1708" t="s">
        <v>28</v>
      </c>
      <c r="G1708" t="str">
        <f>"2025-01-13 00:11:29.117"</f>
        <v>2025-01-13 00:11:29.117</v>
      </c>
      <c r="H1708" t="s">
        <v>21</v>
      </c>
      <c r="I1708">
        <v>8.09</v>
      </c>
      <c r="J1708" t="s">
        <v>29</v>
      </c>
    </row>
    <row r="1709" spans="1:10" x14ac:dyDescent="0.25">
      <c r="A1709" s="1">
        <v>17</v>
      </c>
      <c r="B1709" t="s">
        <v>22</v>
      </c>
      <c r="C1709">
        <v>635</v>
      </c>
      <c r="D1709">
        <v>1</v>
      </c>
      <c r="E1709" t="s">
        <v>27</v>
      </c>
      <c r="F1709" t="s">
        <v>28</v>
      </c>
      <c r="G1709" t="str">
        <f>"2025-01-12 21:17:06.317"</f>
        <v>2025-01-12 21:17:06.317</v>
      </c>
      <c r="H1709" t="s">
        <v>21</v>
      </c>
    </row>
    <row r="1710" spans="1:10" x14ac:dyDescent="0.25">
      <c r="A1710" s="1">
        <v>18</v>
      </c>
      <c r="B1710" t="s">
        <v>25</v>
      </c>
      <c r="C1710">
        <v>635</v>
      </c>
      <c r="D1710">
        <v>1</v>
      </c>
      <c r="E1710" t="s">
        <v>27</v>
      </c>
      <c r="F1710" t="s">
        <v>28</v>
      </c>
      <c r="G1710" t="str">
        <f>"2025-01-12 21:03:52.417"</f>
        <v>2025-01-12 21:03:52.417</v>
      </c>
      <c r="H1710" t="s">
        <v>21</v>
      </c>
      <c r="I1710">
        <v>8.6199999999999992</v>
      </c>
      <c r="J1710" t="s">
        <v>26</v>
      </c>
    </row>
    <row r="1711" spans="1:10" x14ac:dyDescent="0.25">
      <c r="A1711" s="1">
        <v>19</v>
      </c>
      <c r="B1711" t="s">
        <v>22</v>
      </c>
      <c r="C1711">
        <v>635</v>
      </c>
      <c r="D1711">
        <v>1</v>
      </c>
      <c r="E1711" t="s">
        <v>27</v>
      </c>
      <c r="F1711" t="s">
        <v>28</v>
      </c>
      <c r="G1711" t="str">
        <f>"2025-01-12 15:31:14.417"</f>
        <v>2025-01-12 15:31:14.417</v>
      </c>
      <c r="H1711" t="s">
        <v>21</v>
      </c>
    </row>
    <row r="1712" spans="1:10" x14ac:dyDescent="0.25">
      <c r="A1712" s="1">
        <v>20</v>
      </c>
      <c r="B1712" t="s">
        <v>25</v>
      </c>
      <c r="C1712">
        <v>635</v>
      </c>
      <c r="D1712">
        <v>1</v>
      </c>
      <c r="E1712" t="s">
        <v>27</v>
      </c>
      <c r="F1712" t="s">
        <v>28</v>
      </c>
      <c r="G1712" t="str">
        <f>"2025-01-12 15:25:23.917"</f>
        <v>2025-01-12 15:25:23.917</v>
      </c>
      <c r="H1712" t="s">
        <v>21</v>
      </c>
      <c r="I1712">
        <v>0</v>
      </c>
      <c r="J1712" t="s">
        <v>35</v>
      </c>
    </row>
    <row r="1713" spans="1:10" x14ac:dyDescent="0.25">
      <c r="A1713" s="1">
        <v>21</v>
      </c>
      <c r="B1713" t="s">
        <v>22</v>
      </c>
      <c r="C1713">
        <v>630</v>
      </c>
      <c r="D1713">
        <v>5</v>
      </c>
      <c r="E1713" t="s">
        <v>66</v>
      </c>
      <c r="F1713" t="s">
        <v>67</v>
      </c>
      <c r="G1713" t="str">
        <f>"2025-01-12 09:08:04.518"</f>
        <v>2025-01-12 09:08:04.518</v>
      </c>
      <c r="H1713" t="s">
        <v>68</v>
      </c>
    </row>
    <row r="1714" spans="1:10" x14ac:dyDescent="0.25">
      <c r="A1714" s="1">
        <v>22</v>
      </c>
      <c r="B1714" t="s">
        <v>19</v>
      </c>
      <c r="C1714">
        <v>706</v>
      </c>
      <c r="D1714">
        <v>2</v>
      </c>
      <c r="E1714" t="s">
        <v>30</v>
      </c>
      <c r="F1714" t="s">
        <v>31</v>
      </c>
      <c r="G1714" t="str">
        <f>"2025-01-12 09:07:34.286"</f>
        <v>2025-01-12 09:07:34.286</v>
      </c>
      <c r="H1714" t="s">
        <v>21</v>
      </c>
      <c r="I1714">
        <v>0</v>
      </c>
      <c r="J1714" t="s">
        <v>32</v>
      </c>
    </row>
    <row r="1715" spans="1:10" x14ac:dyDescent="0.25">
      <c r="A1715" s="1">
        <v>23</v>
      </c>
      <c r="B1715" t="s">
        <v>40</v>
      </c>
      <c r="C1715">
        <v>630</v>
      </c>
      <c r="D1715">
        <v>5</v>
      </c>
      <c r="E1715" t="s">
        <v>66</v>
      </c>
      <c r="F1715" t="s">
        <v>67</v>
      </c>
      <c r="G1715" t="str">
        <f>"2025-01-12 09:04:33.018"</f>
        <v>2025-01-12 09:04:33.018</v>
      </c>
      <c r="H1715" t="s">
        <v>68</v>
      </c>
      <c r="I1715">
        <v>0</v>
      </c>
      <c r="J1715" t="s">
        <v>32</v>
      </c>
    </row>
    <row r="1716" spans="1:10" x14ac:dyDescent="0.25">
      <c r="A1716" s="1">
        <v>24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"2025-01-12 08:59:30.306"</f>
        <v>2025-01-12 08:59:30.306</v>
      </c>
      <c r="H1716" t="s">
        <v>21</v>
      </c>
      <c r="I1716">
        <v>0</v>
      </c>
      <c r="J1716" t="s">
        <v>33</v>
      </c>
    </row>
    <row r="1717" spans="1:10" x14ac:dyDescent="0.25">
      <c r="A1717" s="1">
        <v>25</v>
      </c>
      <c r="B1717" t="s">
        <v>22</v>
      </c>
      <c r="C1717">
        <v>635</v>
      </c>
      <c r="D1717">
        <v>1</v>
      </c>
      <c r="E1717" t="s">
        <v>27</v>
      </c>
      <c r="F1717" t="s">
        <v>28</v>
      </c>
      <c r="G1717" t="str">
        <f>"2025-01-12 07:09:04.063"</f>
        <v>2025-01-12 07:09:04.063</v>
      </c>
      <c r="H1717" t="s">
        <v>21</v>
      </c>
    </row>
    <row r="1718" spans="1:10" x14ac:dyDescent="0.25">
      <c r="A1718" s="1">
        <v>26</v>
      </c>
      <c r="B1718" t="s">
        <v>25</v>
      </c>
      <c r="C1718">
        <v>635</v>
      </c>
      <c r="D1718">
        <v>1</v>
      </c>
      <c r="E1718" t="s">
        <v>27</v>
      </c>
      <c r="F1718" t="s">
        <v>28</v>
      </c>
      <c r="G1718" t="str">
        <f>"2025-01-12 06:38:52.163"</f>
        <v>2025-01-12 06:38:52.163</v>
      </c>
      <c r="H1718" t="s">
        <v>21</v>
      </c>
      <c r="I1718">
        <v>8.51</v>
      </c>
      <c r="J1718" t="s">
        <v>26</v>
      </c>
    </row>
    <row r="1719" spans="1:10" x14ac:dyDescent="0.25">
      <c r="A1719" s="1">
        <v>27</v>
      </c>
      <c r="B1719" t="s">
        <v>22</v>
      </c>
      <c r="C1719">
        <v>635</v>
      </c>
      <c r="D1719">
        <v>1</v>
      </c>
      <c r="E1719" t="s">
        <v>27</v>
      </c>
      <c r="F1719" t="s">
        <v>28</v>
      </c>
      <c r="G1719" t="str">
        <f>"2025-01-12 05:53:12.163"</f>
        <v>2025-01-12 05:53:12.163</v>
      </c>
      <c r="H1719" t="s">
        <v>21</v>
      </c>
    </row>
    <row r="1720" spans="1:10" x14ac:dyDescent="0.25">
      <c r="A1720" s="1">
        <v>28</v>
      </c>
      <c r="B1720" t="s">
        <v>25</v>
      </c>
      <c r="C1720">
        <v>635</v>
      </c>
      <c r="D1720">
        <v>1</v>
      </c>
      <c r="E1720" t="s">
        <v>27</v>
      </c>
      <c r="F1720" t="s">
        <v>28</v>
      </c>
      <c r="G1720" t="str">
        <f>"2025-01-12 05:49:14.663"</f>
        <v>2025-01-12 05:49:14.663</v>
      </c>
      <c r="H1720" t="s">
        <v>21</v>
      </c>
      <c r="I1720">
        <v>2.99</v>
      </c>
      <c r="J1720" t="s">
        <v>29</v>
      </c>
    </row>
    <row r="1721" spans="1:10" x14ac:dyDescent="0.25">
      <c r="A1721" s="1">
        <v>29</v>
      </c>
      <c r="B1721" t="s">
        <v>22</v>
      </c>
      <c r="C1721">
        <v>635</v>
      </c>
      <c r="D1721">
        <v>1</v>
      </c>
      <c r="E1721" t="s">
        <v>27</v>
      </c>
      <c r="F1721" t="s">
        <v>28</v>
      </c>
      <c r="G1721" t="str">
        <f>"2025-01-12 04:50:26.263"</f>
        <v>2025-01-12 04:50:26.263</v>
      </c>
      <c r="H1721" t="s">
        <v>21</v>
      </c>
    </row>
    <row r="1722" spans="1:10" x14ac:dyDescent="0.25">
      <c r="A1722" s="1">
        <v>30</v>
      </c>
      <c r="B1722" t="s">
        <v>25</v>
      </c>
      <c r="C1722">
        <v>635</v>
      </c>
      <c r="D1722">
        <v>1</v>
      </c>
      <c r="E1722" t="s">
        <v>27</v>
      </c>
      <c r="F1722" t="s">
        <v>28</v>
      </c>
      <c r="G1722" t="str">
        <f>"2025-01-12 04:25:39.863"</f>
        <v>2025-01-12 04:25:39.863</v>
      </c>
      <c r="H1722" t="s">
        <v>21</v>
      </c>
      <c r="I1722">
        <v>5.55</v>
      </c>
      <c r="J1722" t="s">
        <v>29</v>
      </c>
    </row>
    <row r="1723" spans="1:10" x14ac:dyDescent="0.25">
      <c r="A1723" s="1">
        <v>31</v>
      </c>
      <c r="B1723" t="s">
        <v>22</v>
      </c>
      <c r="C1723">
        <v>635</v>
      </c>
      <c r="D1723">
        <v>1</v>
      </c>
      <c r="E1723" t="s">
        <v>27</v>
      </c>
      <c r="F1723" t="s">
        <v>28</v>
      </c>
      <c r="G1723" t="str">
        <f>"2025-01-11 20:16:56.063"</f>
        <v>2025-01-11 20:16:56.063</v>
      </c>
      <c r="H1723" t="s">
        <v>21</v>
      </c>
    </row>
    <row r="1724" spans="1:10" x14ac:dyDescent="0.25">
      <c r="A1724" s="1">
        <v>32</v>
      </c>
      <c r="B1724" t="s">
        <v>25</v>
      </c>
      <c r="C1724">
        <v>635</v>
      </c>
      <c r="D1724">
        <v>1</v>
      </c>
      <c r="E1724" t="s">
        <v>27</v>
      </c>
      <c r="F1724" t="s">
        <v>28</v>
      </c>
      <c r="G1724" t="str">
        <f>"2025-01-11 19:50:12.063"</f>
        <v>2025-01-11 19:50:12.063</v>
      </c>
      <c r="H1724" t="s">
        <v>21</v>
      </c>
      <c r="I1724">
        <v>7.03</v>
      </c>
      <c r="J1724" t="s">
        <v>29</v>
      </c>
    </row>
    <row r="1725" spans="1:10" x14ac:dyDescent="0.25">
      <c r="A1725" s="1">
        <v>33</v>
      </c>
      <c r="B1725" t="s">
        <v>22</v>
      </c>
      <c r="C1725">
        <v>635</v>
      </c>
      <c r="D1725">
        <v>1</v>
      </c>
      <c r="E1725" t="s">
        <v>27</v>
      </c>
      <c r="F1725" t="s">
        <v>28</v>
      </c>
      <c r="G1725" t="str">
        <f>"2025-01-11 18:36:23.163"</f>
        <v>2025-01-11 18:36:23.163</v>
      </c>
      <c r="H1725" t="s">
        <v>21</v>
      </c>
    </row>
    <row r="1726" spans="1:10" x14ac:dyDescent="0.25">
      <c r="A1726" s="1">
        <v>34</v>
      </c>
      <c r="B1726" t="s">
        <v>25</v>
      </c>
      <c r="C1726">
        <v>635</v>
      </c>
      <c r="D1726">
        <v>1</v>
      </c>
      <c r="E1726" t="s">
        <v>27</v>
      </c>
      <c r="F1726" t="s">
        <v>28</v>
      </c>
      <c r="G1726" t="str">
        <f>"2025-01-11 18:31:50.664"</f>
        <v>2025-01-11 18:31:50.664</v>
      </c>
      <c r="H1726" t="s">
        <v>21</v>
      </c>
      <c r="I1726">
        <v>0.32</v>
      </c>
      <c r="J1726" t="s">
        <v>35</v>
      </c>
    </row>
    <row r="1727" spans="1:10" x14ac:dyDescent="0.25">
      <c r="A1727" s="1">
        <v>35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"2025-01-10 10:27:41.384"</f>
        <v>2025-01-10 10:27:41.384</v>
      </c>
      <c r="H1727" t="s">
        <v>21</v>
      </c>
    </row>
    <row r="1728" spans="1:10" x14ac:dyDescent="0.25">
      <c r="A1728" s="1">
        <v>36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"2025-01-07 08:51:42.298"</f>
        <v>2025-01-07 08:51:42.298</v>
      </c>
      <c r="H1728" t="s">
        <v>21</v>
      </c>
    </row>
    <row r="1729" spans="1:10" x14ac:dyDescent="0.25">
      <c r="A1729" s="1">
        <v>37</v>
      </c>
      <c r="B1729" t="s">
        <v>22</v>
      </c>
      <c r="C1729">
        <v>630</v>
      </c>
      <c r="D1729">
        <v>5</v>
      </c>
      <c r="E1729" t="s">
        <v>66</v>
      </c>
      <c r="F1729" t="s">
        <v>67</v>
      </c>
      <c r="G1729" t="str">
        <f>"2025-01-07 02:28:03.750"</f>
        <v>2025-01-07 02:28:03.750</v>
      </c>
      <c r="H1729" t="s">
        <v>68</v>
      </c>
    </row>
    <row r="1730" spans="1:10" x14ac:dyDescent="0.25">
      <c r="A1730" s="1">
        <v>38</v>
      </c>
      <c r="B1730" t="s">
        <v>19</v>
      </c>
      <c r="C1730">
        <v>706</v>
      </c>
      <c r="D1730">
        <v>4</v>
      </c>
      <c r="E1730" t="s">
        <v>30</v>
      </c>
      <c r="F1730" t="s">
        <v>34</v>
      </c>
      <c r="G1730" t="str">
        <f>"2025-01-07 02:27:33.619"</f>
        <v>2025-01-07 02:27:33.619</v>
      </c>
      <c r="H1730" t="s">
        <v>21</v>
      </c>
      <c r="I1730">
        <v>0</v>
      </c>
      <c r="J1730" t="s">
        <v>32</v>
      </c>
    </row>
    <row r="1731" spans="1:10" x14ac:dyDescent="0.25">
      <c r="A1731" s="1">
        <v>39</v>
      </c>
      <c r="B1731" t="s">
        <v>40</v>
      </c>
      <c r="C1731">
        <v>630</v>
      </c>
      <c r="D1731">
        <v>5</v>
      </c>
      <c r="E1731" t="s">
        <v>66</v>
      </c>
      <c r="F1731" t="s">
        <v>67</v>
      </c>
      <c r="G1731" t="str">
        <f>"2025-01-07 02:03:38.950"</f>
        <v>2025-01-07 02:03:38.950</v>
      </c>
      <c r="H1731" t="s">
        <v>68</v>
      </c>
      <c r="I1731">
        <v>0</v>
      </c>
      <c r="J1731" t="s">
        <v>32</v>
      </c>
    </row>
    <row r="1732" spans="1:10" x14ac:dyDescent="0.25">
      <c r="A1732" s="1">
        <v>40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"2025-01-07 01:58:36.279"</f>
        <v>2025-01-07 01:58:36.279</v>
      </c>
      <c r="H1732" t="s">
        <v>21</v>
      </c>
    </row>
    <row r="1733" spans="1:10" x14ac:dyDescent="0.25">
      <c r="A1733" s="1">
        <v>41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"2025-01-07 01:05:01.281"</f>
        <v>2025-01-07 01:05:01.281</v>
      </c>
      <c r="H1733" t="s">
        <v>21</v>
      </c>
    </row>
    <row r="1734" spans="1:10" x14ac:dyDescent="0.25">
      <c r="A1734" s="1">
        <v>42</v>
      </c>
      <c r="B1734" t="s">
        <v>19</v>
      </c>
      <c r="C1734">
        <v>706</v>
      </c>
      <c r="D1734">
        <v>4</v>
      </c>
      <c r="E1734" t="s">
        <v>30</v>
      </c>
      <c r="F1734" t="s">
        <v>34</v>
      </c>
      <c r="G1734" t="str">
        <f>"2025-01-05 20:23:41.651"</f>
        <v>2025-01-05 20:23:41.651</v>
      </c>
      <c r="H1734" t="s">
        <v>21</v>
      </c>
      <c r="I1734">
        <v>0</v>
      </c>
      <c r="J1734" t="s">
        <v>32</v>
      </c>
    </row>
    <row r="1735" spans="1:10" x14ac:dyDescent="0.25">
      <c r="A1735" s="1">
        <v>43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"2025-01-05 20:20:54.261"</f>
        <v>2025-01-05 20:20:54.261</v>
      </c>
      <c r="H1735" t="s">
        <v>21</v>
      </c>
      <c r="I1735">
        <v>0</v>
      </c>
      <c r="J1735" t="s">
        <v>33</v>
      </c>
    </row>
    <row r="1736" spans="1:10" x14ac:dyDescent="0.25">
      <c r="A1736" s="1">
        <v>44</v>
      </c>
      <c r="B1736" t="s">
        <v>40</v>
      </c>
      <c r="C1736">
        <v>630</v>
      </c>
      <c r="D1736">
        <v>5</v>
      </c>
      <c r="E1736" t="s">
        <v>66</v>
      </c>
      <c r="F1736" t="s">
        <v>67</v>
      </c>
      <c r="G1736" t="str">
        <f>"2025-01-05 18:10:09.931"</f>
        <v>2025-01-05 18:10:09.931</v>
      </c>
      <c r="H1736" t="s">
        <v>68</v>
      </c>
      <c r="I1736">
        <v>0</v>
      </c>
      <c r="J1736" t="s">
        <v>32</v>
      </c>
    </row>
    <row r="1737" spans="1:10" x14ac:dyDescent="0.25">
      <c r="A1737" s="1">
        <v>45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"2025-01-05 18:05:07.263"</f>
        <v>2025-01-05 18:05:07.263</v>
      </c>
      <c r="H1737" t="s">
        <v>21</v>
      </c>
      <c r="I1737">
        <v>0</v>
      </c>
      <c r="J1737" t="s">
        <v>33</v>
      </c>
    </row>
    <row r="1738" spans="1:10" x14ac:dyDescent="0.25">
      <c r="A1738" s="1">
        <v>46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"2025-01-05 18:00:53.259"</f>
        <v>2025-01-05 18:00:53.259</v>
      </c>
      <c r="H1738" t="s">
        <v>21</v>
      </c>
      <c r="I1738">
        <v>0</v>
      </c>
      <c r="J1738" t="s">
        <v>33</v>
      </c>
    </row>
    <row r="1739" spans="1:10" x14ac:dyDescent="0.25">
      <c r="A1739" s="1">
        <v>47</v>
      </c>
      <c r="B1739" t="s">
        <v>19</v>
      </c>
      <c r="C1739">
        <v>706</v>
      </c>
      <c r="D1739">
        <v>4</v>
      </c>
      <c r="E1739" t="s">
        <v>30</v>
      </c>
      <c r="F1739" t="s">
        <v>34</v>
      </c>
      <c r="G1739" t="str">
        <f>"2025-01-05 17:52:43.066"</f>
        <v>2025-01-05 17:52:43.066</v>
      </c>
      <c r="H1739" t="s">
        <v>21</v>
      </c>
      <c r="I1739">
        <v>0</v>
      </c>
      <c r="J1739" t="s">
        <v>32</v>
      </c>
    </row>
    <row r="1740" spans="1:10" x14ac:dyDescent="0.25">
      <c r="A1740" s="1">
        <v>48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"2025-01-05 17:49:13.246"</f>
        <v>2025-01-05 17:49:13.246</v>
      </c>
      <c r="H1740" t="s">
        <v>21</v>
      </c>
      <c r="I1740">
        <v>0</v>
      </c>
      <c r="J1740" t="s">
        <v>33</v>
      </c>
    </row>
    <row r="1741" spans="1:10" x14ac:dyDescent="0.25">
      <c r="A1741" s="1">
        <v>49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"2025-01-05 16:41:09.495"</f>
        <v>2025-01-05 16:41:09.495</v>
      </c>
      <c r="H1741" t="s">
        <v>21</v>
      </c>
    </row>
    <row r="1742" spans="1:10" x14ac:dyDescent="0.25">
      <c r="A1742" s="1">
        <v>50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"2025-01-05 16:25:27.519"</f>
        <v>2025-01-05 16:25:27.519</v>
      </c>
      <c r="H1742" t="s">
        <v>21</v>
      </c>
    </row>
    <row r="1743" spans="1:10" x14ac:dyDescent="0.25">
      <c r="A1743" s="1">
        <v>51</v>
      </c>
      <c r="B1743" t="s">
        <v>22</v>
      </c>
      <c r="C1743">
        <v>635</v>
      </c>
      <c r="D1743">
        <v>1</v>
      </c>
      <c r="E1743" t="s">
        <v>27</v>
      </c>
      <c r="F1743" t="s">
        <v>28</v>
      </c>
      <c r="G1743" t="str">
        <f>"2025-01-04 23:43:57.824"</f>
        <v>2025-01-04 23:43:57.824</v>
      </c>
      <c r="H1743" t="s">
        <v>21</v>
      </c>
    </row>
    <row r="1744" spans="1:10" x14ac:dyDescent="0.25">
      <c r="A1744" s="1">
        <v>52</v>
      </c>
      <c r="B1744" t="s">
        <v>25</v>
      </c>
      <c r="C1744">
        <v>635</v>
      </c>
      <c r="D1744">
        <v>1</v>
      </c>
      <c r="E1744" t="s">
        <v>27</v>
      </c>
      <c r="F1744" t="s">
        <v>28</v>
      </c>
      <c r="G1744" t="str">
        <f>"2025-01-04 23:30:56.824"</f>
        <v>2025-01-04 23:30:56.824</v>
      </c>
      <c r="H1744" t="s">
        <v>21</v>
      </c>
      <c r="I1744">
        <v>8.6999999999999993</v>
      </c>
      <c r="J1744" t="s">
        <v>26</v>
      </c>
    </row>
    <row r="1745" spans="1:10" x14ac:dyDescent="0.25">
      <c r="A1745" s="1">
        <v>53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"2025-01-04 10:20:33.247"</f>
        <v>2025-01-04 10:20:33.247</v>
      </c>
      <c r="H1745" t="s">
        <v>21</v>
      </c>
    </row>
    <row r="1746" spans="1:10" x14ac:dyDescent="0.25">
      <c r="A1746" s="1">
        <v>54</v>
      </c>
      <c r="B1746" t="s">
        <v>22</v>
      </c>
      <c r="C1746">
        <v>630</v>
      </c>
      <c r="D1746">
        <v>5</v>
      </c>
      <c r="E1746" t="s">
        <v>66</v>
      </c>
      <c r="F1746" t="s">
        <v>67</v>
      </c>
      <c r="G1746" t="str">
        <f>"2025-01-01 18:30:00.997"</f>
        <v>2025-01-01 18:30:00.997</v>
      </c>
      <c r="H1746" t="s">
        <v>68</v>
      </c>
    </row>
    <row r="1747" spans="1:10" x14ac:dyDescent="0.25">
      <c r="A1747" s="1">
        <v>55</v>
      </c>
      <c r="B1747" t="s">
        <v>19</v>
      </c>
      <c r="C1747">
        <v>706</v>
      </c>
      <c r="D1747">
        <v>4</v>
      </c>
      <c r="E1747" t="s">
        <v>30</v>
      </c>
      <c r="F1747" t="s">
        <v>34</v>
      </c>
      <c r="G1747" t="str">
        <f>"2025-01-01 18:29:30.989"</f>
        <v>2025-01-01 18:29:30.989</v>
      </c>
      <c r="H1747" t="s">
        <v>21</v>
      </c>
      <c r="I1747">
        <v>0</v>
      </c>
      <c r="J1747" t="s">
        <v>32</v>
      </c>
    </row>
    <row r="1748" spans="1:10" x14ac:dyDescent="0.25">
      <c r="A1748" s="1">
        <v>56</v>
      </c>
      <c r="B1748" t="s">
        <v>40</v>
      </c>
      <c r="C1748">
        <v>630</v>
      </c>
      <c r="D1748">
        <v>5</v>
      </c>
      <c r="E1748" t="s">
        <v>66</v>
      </c>
      <c r="F1748" t="s">
        <v>67</v>
      </c>
      <c r="G1748" t="str">
        <f>"2025-01-01 18:04:12.998"</f>
        <v>2025-01-01 18:04:12.998</v>
      </c>
      <c r="H1748" t="s">
        <v>68</v>
      </c>
      <c r="I1748">
        <v>0</v>
      </c>
      <c r="J1748" t="s">
        <v>32</v>
      </c>
    </row>
    <row r="1749" spans="1:10" x14ac:dyDescent="0.25">
      <c r="A1749" s="1">
        <v>57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"2025-01-01 17:59:10.279"</f>
        <v>2025-01-01 17:59:10.279</v>
      </c>
      <c r="H1749" t="s">
        <v>21</v>
      </c>
      <c r="I1749">
        <v>0</v>
      </c>
      <c r="J1749" t="s">
        <v>33</v>
      </c>
    </row>
    <row r="1750" spans="1:10" x14ac:dyDescent="0.25">
      <c r="A1750" s="1">
        <v>58</v>
      </c>
      <c r="B1750" t="s">
        <v>22</v>
      </c>
      <c r="C1750">
        <v>635</v>
      </c>
      <c r="D1750">
        <v>1</v>
      </c>
      <c r="E1750" t="s">
        <v>27</v>
      </c>
      <c r="F1750" t="s">
        <v>28</v>
      </c>
      <c r="G1750" t="str">
        <f>"2025-01-01 15:37:04.026"</f>
        <v>2025-01-01 15:37:04.026</v>
      </c>
      <c r="H1750" t="s">
        <v>21</v>
      </c>
    </row>
    <row r="1751" spans="1:10" x14ac:dyDescent="0.25">
      <c r="A1751" s="1">
        <v>59</v>
      </c>
      <c r="B1751" t="s">
        <v>25</v>
      </c>
      <c r="C1751">
        <v>635</v>
      </c>
      <c r="D1751">
        <v>1</v>
      </c>
      <c r="E1751" t="s">
        <v>27</v>
      </c>
      <c r="F1751" t="s">
        <v>28</v>
      </c>
      <c r="G1751" t="str">
        <f>"2025-01-01 15:31:00.026"</f>
        <v>2025-01-01 15:31:00.026</v>
      </c>
      <c r="H1751" t="s">
        <v>21</v>
      </c>
      <c r="I1751">
        <v>7.05</v>
      </c>
      <c r="J1751" t="s">
        <v>29</v>
      </c>
    </row>
    <row r="1752" spans="1:10" x14ac:dyDescent="0.25">
      <c r="A1752" s="1">
        <v>60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"2025-01-01 11:05:13.249"</f>
        <v>2025-01-01 11:05:13.249</v>
      </c>
      <c r="H1752" t="s">
        <v>21</v>
      </c>
      <c r="I1752">
        <v>0</v>
      </c>
      <c r="J1752" t="s">
        <v>33</v>
      </c>
    </row>
    <row r="1753" spans="1:10" x14ac:dyDescent="0.25">
      <c r="A1753" s="1">
        <v>61</v>
      </c>
      <c r="B1753" t="s">
        <v>19</v>
      </c>
      <c r="C1753">
        <v>776</v>
      </c>
      <c r="D1753">
        <v>1</v>
      </c>
      <c r="E1753" t="s">
        <v>108</v>
      </c>
      <c r="F1753" t="s">
        <v>109</v>
      </c>
      <c r="G1753" t="str">
        <f>"2025-01-01 11:03:04.952"</f>
        <v>2025-01-01 11:03:04.952</v>
      </c>
      <c r="H1753" t="s">
        <v>21</v>
      </c>
      <c r="I1753">
        <v>0</v>
      </c>
      <c r="J1753" t="s">
        <v>32</v>
      </c>
    </row>
    <row r="1754" spans="1:10" x14ac:dyDescent="0.25">
      <c r="A1754" s="1">
        <v>62</v>
      </c>
      <c r="B1754" t="s">
        <v>19</v>
      </c>
      <c r="C1754">
        <v>776</v>
      </c>
      <c r="D1754">
        <v>2</v>
      </c>
      <c r="E1754" t="s">
        <v>108</v>
      </c>
      <c r="F1754" t="s">
        <v>110</v>
      </c>
      <c r="G1754" t="str">
        <f>"2025-01-01 11:03:04.312"</f>
        <v>2025-01-01 11:03:04.312</v>
      </c>
      <c r="H1754" t="s">
        <v>21</v>
      </c>
      <c r="I1754">
        <v>0</v>
      </c>
      <c r="J1754" t="s">
        <v>32</v>
      </c>
    </row>
    <row r="1755" spans="1:10" x14ac:dyDescent="0.25">
      <c r="A1755" s="1">
        <v>63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"2025-01-01 11:02:54.248"</f>
        <v>2025-01-01 11:02:54.248</v>
      </c>
      <c r="H1755" t="s">
        <v>21</v>
      </c>
      <c r="I1755">
        <v>0</v>
      </c>
      <c r="J1755" t="s">
        <v>33</v>
      </c>
    </row>
    <row r="1756" spans="1:10" x14ac:dyDescent="0.25">
      <c r="A1756" s="1">
        <v>64</v>
      </c>
      <c r="B1756" t="s">
        <v>19</v>
      </c>
      <c r="C1756">
        <v>706</v>
      </c>
      <c r="D1756">
        <v>4</v>
      </c>
      <c r="E1756" t="s">
        <v>30</v>
      </c>
      <c r="F1756" t="s">
        <v>34</v>
      </c>
      <c r="G1756" t="str">
        <f>"2025-01-01 10:48:06.662"</f>
        <v>2025-01-01 10:48:06.662</v>
      </c>
      <c r="H1756" t="s">
        <v>21</v>
      </c>
      <c r="I1756">
        <v>0</v>
      </c>
      <c r="J1756" t="s">
        <v>32</v>
      </c>
    </row>
    <row r="1757" spans="1:10" x14ac:dyDescent="0.25">
      <c r="A1757" s="1">
        <v>65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"2025-01-01 10:47:19.242"</f>
        <v>2025-01-01 10:47:19.242</v>
      </c>
      <c r="H1757" t="s">
        <v>21</v>
      </c>
    </row>
    <row r="1758" spans="1:10" x14ac:dyDescent="0.25">
      <c r="A1758" s="1">
        <v>66</v>
      </c>
      <c r="B1758" t="s">
        <v>19</v>
      </c>
      <c r="C1758">
        <v>706</v>
      </c>
      <c r="D1758">
        <v>4</v>
      </c>
      <c r="E1758" t="s">
        <v>30</v>
      </c>
      <c r="F1758" t="s">
        <v>34</v>
      </c>
      <c r="G1758" t="str">
        <f>"2025-01-01 10:32:10.443"</f>
        <v>2025-01-01 10:32:10.443</v>
      </c>
      <c r="H1758" t="s">
        <v>21</v>
      </c>
      <c r="I1758">
        <v>0</v>
      </c>
      <c r="J1758" t="s">
        <v>32</v>
      </c>
    </row>
    <row r="1759" spans="1:10" x14ac:dyDescent="0.25">
      <c r="A1759" s="1">
        <v>67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"2025-01-01 10:31:31.243"</f>
        <v>2025-01-01 10:31:31.243</v>
      </c>
      <c r="H1759" t="s">
        <v>21</v>
      </c>
      <c r="I1759">
        <v>0</v>
      </c>
      <c r="J1759" t="s">
        <v>33</v>
      </c>
    </row>
    <row r="1760" spans="1:10" x14ac:dyDescent="0.25">
      <c r="A1760" s="1">
        <v>68</v>
      </c>
      <c r="B1760" t="s">
        <v>43</v>
      </c>
      <c r="C1760">
        <v>137</v>
      </c>
      <c r="D1760">
        <v>7</v>
      </c>
      <c r="E1760" t="s">
        <v>111</v>
      </c>
      <c r="F1760" t="s">
        <v>112</v>
      </c>
      <c r="G1760" t="str">
        <f>"2025-01-01 09:42:05.162"</f>
        <v>2025-01-01 09:42:05.162</v>
      </c>
      <c r="H1760" t="s">
        <v>55</v>
      </c>
    </row>
    <row r="1761" spans="1:10" x14ac:dyDescent="0.25">
      <c r="A1761" s="1">
        <v>69</v>
      </c>
      <c r="B1761" t="s">
        <v>40</v>
      </c>
      <c r="C1761">
        <v>137</v>
      </c>
      <c r="D1761">
        <v>7</v>
      </c>
      <c r="E1761" t="s">
        <v>111</v>
      </c>
      <c r="F1761" t="s">
        <v>112</v>
      </c>
      <c r="G1761" t="str">
        <f>"2025-01-01 09:42:00.144"</f>
        <v>2025-01-01 09:42:00.144</v>
      </c>
      <c r="H1761" t="s">
        <v>55</v>
      </c>
      <c r="I1761">
        <v>5.58</v>
      </c>
      <c r="J1761" t="s">
        <v>29</v>
      </c>
    </row>
    <row r="1762" spans="1:10" x14ac:dyDescent="0.25">
      <c r="A1762" s="1">
        <v>70</v>
      </c>
      <c r="B1762" t="s">
        <v>43</v>
      </c>
      <c r="C1762">
        <v>135</v>
      </c>
      <c r="D1762">
        <v>7</v>
      </c>
      <c r="E1762" t="s">
        <v>91</v>
      </c>
      <c r="F1762" t="s">
        <v>92</v>
      </c>
      <c r="G1762" t="str">
        <f>"2025-01-01 02:47:03.662"</f>
        <v>2025-01-01 02:47:03.662</v>
      </c>
      <c r="H1762" t="s">
        <v>55</v>
      </c>
    </row>
    <row r="1763" spans="1:10" x14ac:dyDescent="0.25">
      <c r="A1763" s="1">
        <v>71</v>
      </c>
      <c r="B1763" t="s">
        <v>40</v>
      </c>
      <c r="C1763">
        <v>135</v>
      </c>
      <c r="D1763">
        <v>7</v>
      </c>
      <c r="E1763" t="s">
        <v>91</v>
      </c>
      <c r="F1763" t="s">
        <v>92</v>
      </c>
      <c r="G1763" t="str">
        <f>"2025-01-01 02:46:58.624"</f>
        <v>2025-01-01 02:46:58.624</v>
      </c>
      <c r="H1763" t="s">
        <v>55</v>
      </c>
      <c r="I1763">
        <v>12.85</v>
      </c>
      <c r="J1763" t="s">
        <v>29</v>
      </c>
    </row>
    <row r="1764" spans="1:10" x14ac:dyDescent="0.25">
      <c r="A1764" s="1">
        <v>72</v>
      </c>
      <c r="B1764" t="s">
        <v>22</v>
      </c>
      <c r="C1764">
        <v>630</v>
      </c>
      <c r="D1764">
        <v>5</v>
      </c>
      <c r="E1764" t="s">
        <v>66</v>
      </c>
      <c r="F1764" t="s">
        <v>67</v>
      </c>
      <c r="G1764" t="str">
        <f>"2024-12-31 23:36:33.298"</f>
        <v>2024-12-31 23:36:33.298</v>
      </c>
      <c r="H1764" t="s">
        <v>68</v>
      </c>
    </row>
    <row r="1765" spans="1:10" x14ac:dyDescent="0.25">
      <c r="A1765" s="1">
        <v>73</v>
      </c>
      <c r="B1765" t="s">
        <v>19</v>
      </c>
      <c r="C1765">
        <v>706</v>
      </c>
      <c r="D1765">
        <v>2</v>
      </c>
      <c r="E1765" t="s">
        <v>30</v>
      </c>
      <c r="F1765" t="s">
        <v>31</v>
      </c>
      <c r="G1765" t="str">
        <f>"2024-12-31 23:36:03.272"</f>
        <v>2024-12-31 23:36:03.272</v>
      </c>
      <c r="H1765" t="s">
        <v>21</v>
      </c>
      <c r="I1765">
        <v>0</v>
      </c>
      <c r="J1765" t="s">
        <v>32</v>
      </c>
    </row>
    <row r="1766" spans="1:10" x14ac:dyDescent="0.25">
      <c r="A1766" s="1">
        <v>74</v>
      </c>
      <c r="B1766" t="s">
        <v>40</v>
      </c>
      <c r="C1766">
        <v>630</v>
      </c>
      <c r="D1766">
        <v>5</v>
      </c>
      <c r="E1766" t="s">
        <v>66</v>
      </c>
      <c r="F1766" t="s">
        <v>67</v>
      </c>
      <c r="G1766" t="str">
        <f>"2024-12-31 23:35:17.899"</f>
        <v>2024-12-31 23:35:17.899</v>
      </c>
      <c r="H1766" t="s">
        <v>68</v>
      </c>
      <c r="I1766">
        <v>0</v>
      </c>
      <c r="J1766" t="s">
        <v>32</v>
      </c>
    </row>
    <row r="1767" spans="1:10" x14ac:dyDescent="0.25">
      <c r="A1767" s="1">
        <v>75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"2024-12-31 23:30:15.222"</f>
        <v>2024-12-31 23:30:15.222</v>
      </c>
      <c r="H1767" t="s">
        <v>21</v>
      </c>
    </row>
    <row r="1768" spans="1:10" x14ac:dyDescent="0.25">
      <c r="A1768" s="1">
        <v>76</v>
      </c>
      <c r="B1768" t="s">
        <v>40</v>
      </c>
      <c r="C1768">
        <v>630</v>
      </c>
      <c r="D1768">
        <v>5</v>
      </c>
      <c r="E1768" t="s">
        <v>66</v>
      </c>
      <c r="F1768" t="s">
        <v>67</v>
      </c>
      <c r="G1768" t="str">
        <f>"2024-12-31 23:16:08.803"</f>
        <v>2024-12-31 23:16:08.803</v>
      </c>
      <c r="H1768" t="s">
        <v>68</v>
      </c>
      <c r="I1768">
        <v>0</v>
      </c>
      <c r="J1768" t="s">
        <v>32</v>
      </c>
    </row>
    <row r="1769" spans="1:10" x14ac:dyDescent="0.25">
      <c r="A1769" s="1">
        <v>77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"2024-12-31 23:11:06.224"</f>
        <v>2024-12-31 23:11:06.224</v>
      </c>
      <c r="H1769" t="s">
        <v>21</v>
      </c>
    </row>
    <row r="1770" spans="1:10" x14ac:dyDescent="0.25">
      <c r="A1770" s="1">
        <v>78</v>
      </c>
      <c r="B1770" t="s">
        <v>40</v>
      </c>
      <c r="C1770">
        <v>630</v>
      </c>
      <c r="D1770">
        <v>5</v>
      </c>
      <c r="E1770" t="s">
        <v>66</v>
      </c>
      <c r="F1770" t="s">
        <v>67</v>
      </c>
      <c r="G1770" t="str">
        <f>"2024-12-31 23:00:24.916"</f>
        <v>2024-12-31 23:00:24.916</v>
      </c>
      <c r="H1770" t="s">
        <v>68</v>
      </c>
      <c r="I1770">
        <v>0</v>
      </c>
      <c r="J1770" t="s">
        <v>32</v>
      </c>
    </row>
    <row r="1771" spans="1:10" x14ac:dyDescent="0.25">
      <c r="A1771" s="1">
        <v>79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"2024-12-31 22:55:22.218"</f>
        <v>2024-12-31 22:55:22.218</v>
      </c>
      <c r="H1771" t="s">
        <v>21</v>
      </c>
    </row>
    <row r="1772" spans="1:10" x14ac:dyDescent="0.25">
      <c r="A1772" s="1">
        <v>80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"2024-12-31 22:38:41.253"</f>
        <v>2024-12-31 22:38:41.253</v>
      </c>
      <c r="H1772" t="s">
        <v>21</v>
      </c>
      <c r="I1772">
        <v>0</v>
      </c>
      <c r="J1772" t="s">
        <v>33</v>
      </c>
    </row>
    <row r="1773" spans="1:10" x14ac:dyDescent="0.25">
      <c r="A1773" s="1">
        <v>81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"2024-12-31 10:56:59.261"</f>
        <v>2024-12-31 10:56:59.261</v>
      </c>
      <c r="H1773" t="s">
        <v>21</v>
      </c>
      <c r="I1773">
        <v>0</v>
      </c>
      <c r="J1773" t="s">
        <v>33</v>
      </c>
    </row>
    <row r="1774" spans="1:10" x14ac:dyDescent="0.25">
      <c r="A1774" s="1">
        <v>82</v>
      </c>
      <c r="B1774" t="s">
        <v>22</v>
      </c>
      <c r="C1774">
        <v>635</v>
      </c>
      <c r="D1774">
        <v>1</v>
      </c>
      <c r="E1774" t="s">
        <v>27</v>
      </c>
      <c r="F1774" t="s">
        <v>28</v>
      </c>
      <c r="G1774" t="str">
        <f>"2024-12-30 21:34:22.524"</f>
        <v>2024-12-30 21:34:22.524</v>
      </c>
      <c r="H1774" t="s">
        <v>21</v>
      </c>
    </row>
    <row r="1775" spans="1:10" x14ac:dyDescent="0.25">
      <c r="A1775" s="1">
        <v>83</v>
      </c>
      <c r="B1775" t="s">
        <v>25</v>
      </c>
      <c r="C1775">
        <v>635</v>
      </c>
      <c r="D1775">
        <v>1</v>
      </c>
      <c r="E1775" t="s">
        <v>27</v>
      </c>
      <c r="F1775" t="s">
        <v>28</v>
      </c>
      <c r="G1775" t="str">
        <f>"2024-12-30 21:17:32.024"</f>
        <v>2024-12-30 21:17:32.024</v>
      </c>
      <c r="H1775" t="s">
        <v>21</v>
      </c>
      <c r="I1775">
        <v>7.92</v>
      </c>
      <c r="J1775" t="s">
        <v>29</v>
      </c>
    </row>
    <row r="1776" spans="1:10" x14ac:dyDescent="0.25">
      <c r="A1776" s="1">
        <v>84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"2024-12-30 16:18:29.217"</f>
        <v>2024-12-30 16:18:29.217</v>
      </c>
      <c r="H1776" t="s">
        <v>21</v>
      </c>
    </row>
    <row r="1777" spans="1:10" x14ac:dyDescent="0.25">
      <c r="A1777" s="1">
        <v>85</v>
      </c>
      <c r="B1777" t="s">
        <v>22</v>
      </c>
      <c r="C1777">
        <v>635</v>
      </c>
      <c r="D1777">
        <v>1</v>
      </c>
      <c r="E1777" t="s">
        <v>27</v>
      </c>
      <c r="F1777" t="s">
        <v>28</v>
      </c>
      <c r="G1777" t="str">
        <f>"2024-12-29 23:02:15.717"</f>
        <v>2024-12-29 23:02:15.717</v>
      </c>
      <c r="H1777" t="s">
        <v>21</v>
      </c>
    </row>
    <row r="1778" spans="1:10" x14ac:dyDescent="0.25">
      <c r="A1778" s="1">
        <v>86</v>
      </c>
      <c r="B1778" t="s">
        <v>25</v>
      </c>
      <c r="C1778">
        <v>635</v>
      </c>
      <c r="D1778">
        <v>1</v>
      </c>
      <c r="E1778" t="s">
        <v>27</v>
      </c>
      <c r="F1778" t="s">
        <v>28</v>
      </c>
      <c r="G1778" t="str">
        <f>"2024-12-29 22:49:23.217"</f>
        <v>2024-12-29 22:49:23.217</v>
      </c>
      <c r="H1778" t="s">
        <v>21</v>
      </c>
      <c r="I1778">
        <v>7.26</v>
      </c>
      <c r="J1778" t="s">
        <v>29</v>
      </c>
    </row>
    <row r="1779" spans="1:10" x14ac:dyDescent="0.25">
      <c r="A1779" s="1">
        <v>87</v>
      </c>
      <c r="B1779" t="s">
        <v>22</v>
      </c>
      <c r="C1779">
        <v>619</v>
      </c>
      <c r="D1779">
        <v>1</v>
      </c>
      <c r="E1779" t="s">
        <v>113</v>
      </c>
      <c r="F1779" t="s">
        <v>28</v>
      </c>
      <c r="G1779" t="str">
        <f>"2024-12-29 20:17:10.369"</f>
        <v>2024-12-29 20:17:10.369</v>
      </c>
      <c r="H1779" t="s">
        <v>39</v>
      </c>
    </row>
    <row r="1780" spans="1:10" x14ac:dyDescent="0.25">
      <c r="A1780" s="1">
        <v>88</v>
      </c>
      <c r="B1780" t="s">
        <v>22</v>
      </c>
      <c r="C1780">
        <v>630</v>
      </c>
      <c r="D1780">
        <v>5</v>
      </c>
      <c r="E1780" t="s">
        <v>66</v>
      </c>
      <c r="F1780" t="s">
        <v>67</v>
      </c>
      <c r="G1780" t="str">
        <f>"2024-12-29 20:16:33.870"</f>
        <v>2024-12-29 20:16:33.870</v>
      </c>
      <c r="H1780" t="s">
        <v>68</v>
      </c>
    </row>
    <row r="1781" spans="1:10" x14ac:dyDescent="0.25">
      <c r="A1781" s="1">
        <v>89</v>
      </c>
      <c r="B1781" t="s">
        <v>25</v>
      </c>
      <c r="C1781">
        <v>619</v>
      </c>
      <c r="D1781">
        <v>1</v>
      </c>
      <c r="E1781" t="s">
        <v>113</v>
      </c>
      <c r="F1781" t="s">
        <v>28</v>
      </c>
      <c r="G1781" t="str">
        <f>"2024-12-29 20:16:10.269"</f>
        <v>2024-12-29 20:16:10.269</v>
      </c>
      <c r="H1781" t="s">
        <v>39</v>
      </c>
      <c r="I1781">
        <v>0</v>
      </c>
      <c r="J1781" t="s">
        <v>32</v>
      </c>
    </row>
    <row r="1782" spans="1:10" x14ac:dyDescent="0.25">
      <c r="A1782" s="1">
        <v>90</v>
      </c>
      <c r="B1782" t="s">
        <v>19</v>
      </c>
      <c r="C1782">
        <v>706</v>
      </c>
      <c r="D1782">
        <v>4</v>
      </c>
      <c r="E1782" t="s">
        <v>30</v>
      </c>
      <c r="F1782" t="s">
        <v>34</v>
      </c>
      <c r="G1782" t="str">
        <f>"2024-12-29 20:16:03.837"</f>
        <v>2024-12-29 20:16:03.837</v>
      </c>
      <c r="H1782" t="s">
        <v>21</v>
      </c>
      <c r="I1782">
        <v>0</v>
      </c>
      <c r="J1782" t="s">
        <v>32</v>
      </c>
    </row>
    <row r="1783" spans="1:10" x14ac:dyDescent="0.25">
      <c r="A1783" s="1">
        <v>91</v>
      </c>
      <c r="B1783" t="s">
        <v>40</v>
      </c>
      <c r="C1783">
        <v>630</v>
      </c>
      <c r="D1783">
        <v>5</v>
      </c>
      <c r="E1783" t="s">
        <v>66</v>
      </c>
      <c r="F1783" t="s">
        <v>67</v>
      </c>
      <c r="G1783" t="str">
        <f>"2024-12-29 20:15:00.970"</f>
        <v>2024-12-29 20:15:00.970</v>
      </c>
      <c r="H1783" t="s">
        <v>68</v>
      </c>
      <c r="I1783">
        <v>0</v>
      </c>
      <c r="J1783" t="s">
        <v>32</v>
      </c>
    </row>
    <row r="1784" spans="1:10" x14ac:dyDescent="0.25">
      <c r="A1784" s="1">
        <v>92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"2024-12-29 20:09:58.197"</f>
        <v>2024-12-29 20:09:58.197</v>
      </c>
      <c r="H1784" t="s">
        <v>21</v>
      </c>
      <c r="I1784">
        <v>0</v>
      </c>
      <c r="J1784" t="s">
        <v>33</v>
      </c>
    </row>
    <row r="1785" spans="1:10" x14ac:dyDescent="0.25">
      <c r="A1785" s="1">
        <v>93</v>
      </c>
      <c r="B1785" t="s">
        <v>22</v>
      </c>
      <c r="C1785">
        <v>619</v>
      </c>
      <c r="D1785">
        <v>1</v>
      </c>
      <c r="E1785" t="s">
        <v>113</v>
      </c>
      <c r="F1785" t="s">
        <v>28</v>
      </c>
      <c r="G1785" t="str">
        <f>"2024-12-29 18:35:29.826"</f>
        <v>2024-12-29 18:35:29.826</v>
      </c>
      <c r="H1785" t="s">
        <v>39</v>
      </c>
    </row>
    <row r="1786" spans="1:10" x14ac:dyDescent="0.25">
      <c r="A1786" s="1">
        <v>94</v>
      </c>
      <c r="B1786" t="s">
        <v>25</v>
      </c>
      <c r="C1786">
        <v>619</v>
      </c>
      <c r="D1786">
        <v>1</v>
      </c>
      <c r="E1786" t="s">
        <v>113</v>
      </c>
      <c r="F1786" t="s">
        <v>28</v>
      </c>
      <c r="G1786" t="str">
        <f>"2024-12-29 18:34:27.727"</f>
        <v>2024-12-29 18:34:27.727</v>
      </c>
      <c r="H1786" t="s">
        <v>39</v>
      </c>
      <c r="I1786">
        <v>0</v>
      </c>
      <c r="J1786" t="s">
        <v>32</v>
      </c>
    </row>
    <row r="1787" spans="1:10" x14ac:dyDescent="0.25">
      <c r="A1787" s="1">
        <v>95</v>
      </c>
      <c r="B1787" t="s">
        <v>19</v>
      </c>
      <c r="C1787">
        <v>706</v>
      </c>
      <c r="D1787">
        <v>2</v>
      </c>
      <c r="E1787" t="s">
        <v>30</v>
      </c>
      <c r="F1787" t="s">
        <v>31</v>
      </c>
      <c r="G1787" t="str">
        <f>"2024-12-29 18:34:22.343"</f>
        <v>2024-12-29 18:34:22.343</v>
      </c>
      <c r="H1787" t="s">
        <v>21</v>
      </c>
      <c r="I1787">
        <v>0</v>
      </c>
      <c r="J1787" t="s">
        <v>32</v>
      </c>
    </row>
    <row r="1788" spans="1:10" x14ac:dyDescent="0.25">
      <c r="A1788" s="1">
        <v>96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"2024-12-29 18:33:19.223"</f>
        <v>2024-12-29 18:33:19.223</v>
      </c>
      <c r="H1788" t="s">
        <v>21</v>
      </c>
      <c r="I1788">
        <v>0</v>
      </c>
      <c r="J1788" t="s">
        <v>33</v>
      </c>
    </row>
    <row r="1789" spans="1:10" x14ac:dyDescent="0.25">
      <c r="A1789" s="1">
        <v>97</v>
      </c>
      <c r="B1789" t="s">
        <v>22</v>
      </c>
      <c r="C1789">
        <v>61</v>
      </c>
      <c r="D1789">
        <v>2</v>
      </c>
      <c r="E1789" t="s">
        <v>41</v>
      </c>
      <c r="F1789" t="s">
        <v>42</v>
      </c>
      <c r="G1789" t="str">
        <f>"2024-12-29 07:04:49.812"</f>
        <v>2024-12-29 07:04:49.812</v>
      </c>
      <c r="H1789" t="s">
        <v>21</v>
      </c>
    </row>
    <row r="1790" spans="1:10" x14ac:dyDescent="0.25">
      <c r="A1790" s="1">
        <v>98</v>
      </c>
      <c r="B1790" t="s">
        <v>40</v>
      </c>
      <c r="C1790">
        <v>61</v>
      </c>
      <c r="D1790">
        <v>2</v>
      </c>
      <c r="E1790" t="s">
        <v>41</v>
      </c>
      <c r="F1790" t="s">
        <v>42</v>
      </c>
      <c r="G1790" t="str">
        <f>"2024-12-29 07:04:37.013"</f>
        <v>2024-12-29 07:04:37.013</v>
      </c>
      <c r="H1790" t="s">
        <v>21</v>
      </c>
      <c r="I1790">
        <v>36.32</v>
      </c>
      <c r="J1790" t="s">
        <v>26</v>
      </c>
    </row>
    <row r="1791" spans="1:10" x14ac:dyDescent="0.25">
      <c r="A1791" s="1">
        <v>99</v>
      </c>
      <c r="B1791" t="s">
        <v>19</v>
      </c>
      <c r="C1791">
        <v>706</v>
      </c>
      <c r="D1791">
        <v>4</v>
      </c>
      <c r="E1791" t="s">
        <v>30</v>
      </c>
      <c r="F1791" t="s">
        <v>34</v>
      </c>
      <c r="G1791" t="str">
        <f>"2024-12-28 01:52:13.661"</f>
        <v>2024-12-28 01:52:13.661</v>
      </c>
      <c r="H1791" t="s">
        <v>21</v>
      </c>
      <c r="I1791">
        <v>0</v>
      </c>
      <c r="J1791" t="s">
        <v>32</v>
      </c>
    </row>
    <row r="1792" spans="1:10" x14ac:dyDescent="0.25">
      <c r="A1792" s="1">
        <v>100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"2024-12-28 01:51:57.141"</f>
        <v>2024-12-28 01:51:57.141</v>
      </c>
      <c r="H1792" t="s">
        <v>21</v>
      </c>
    </row>
    <row r="1793" spans="1:10" x14ac:dyDescent="0.25">
      <c r="A1793" s="1">
        <v>101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"2024-12-28 01:46:31.176"</f>
        <v>2024-12-28 01:46:31.176</v>
      </c>
      <c r="H1793" t="s">
        <v>21</v>
      </c>
    </row>
    <row r="1794" spans="1:10" x14ac:dyDescent="0.25">
      <c r="A1794" s="1">
        <v>102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"2024-12-27 21:52:17.076"</f>
        <v>2024-12-27 21:52:17.076</v>
      </c>
      <c r="H1794" t="s">
        <v>21</v>
      </c>
    </row>
    <row r="1795" spans="1:10" x14ac:dyDescent="0.25">
      <c r="A1795" s="1">
        <v>103</v>
      </c>
      <c r="B1795" t="s">
        <v>22</v>
      </c>
      <c r="C1795">
        <v>619</v>
      </c>
      <c r="D1795">
        <v>1</v>
      </c>
      <c r="E1795" t="s">
        <v>113</v>
      </c>
      <c r="F1795" t="s">
        <v>28</v>
      </c>
      <c r="G1795" t="str">
        <f>"2024-12-27 21:21:16.698"</f>
        <v>2024-12-27 21:21:16.698</v>
      </c>
      <c r="H1795" t="s">
        <v>39</v>
      </c>
    </row>
    <row r="1796" spans="1:10" x14ac:dyDescent="0.25">
      <c r="A1796" s="1">
        <v>104</v>
      </c>
      <c r="B1796" t="s">
        <v>25</v>
      </c>
      <c r="C1796">
        <v>619</v>
      </c>
      <c r="D1796">
        <v>1</v>
      </c>
      <c r="E1796" t="s">
        <v>113</v>
      </c>
      <c r="F1796" t="s">
        <v>28</v>
      </c>
      <c r="G1796" t="str">
        <f>"2024-12-27 21:20:16.650"</f>
        <v>2024-12-27 21:20:16.650</v>
      </c>
      <c r="H1796" t="s">
        <v>39</v>
      </c>
      <c r="I1796">
        <v>0</v>
      </c>
      <c r="J1796" t="s">
        <v>32</v>
      </c>
    </row>
    <row r="1797" spans="1:10" x14ac:dyDescent="0.25">
      <c r="A1797" s="1">
        <v>105</v>
      </c>
      <c r="B1797" t="s">
        <v>19</v>
      </c>
      <c r="C1797">
        <v>706</v>
      </c>
      <c r="D1797">
        <v>4</v>
      </c>
      <c r="E1797" t="s">
        <v>30</v>
      </c>
      <c r="F1797" t="s">
        <v>34</v>
      </c>
      <c r="G1797" t="str">
        <f>"2024-12-27 21:20:10.647"</f>
        <v>2024-12-27 21:20:10.647</v>
      </c>
      <c r="H1797" t="s">
        <v>21</v>
      </c>
      <c r="I1797">
        <v>0</v>
      </c>
      <c r="J1797" t="s">
        <v>32</v>
      </c>
    </row>
    <row r="1798" spans="1:10" x14ac:dyDescent="0.25">
      <c r="A1798" s="1">
        <v>106</v>
      </c>
      <c r="B1798" t="s">
        <v>19</v>
      </c>
      <c r="C1798">
        <v>706</v>
      </c>
      <c r="D1798">
        <v>4</v>
      </c>
      <c r="E1798" t="s">
        <v>30</v>
      </c>
      <c r="F1798" t="s">
        <v>34</v>
      </c>
      <c r="G1798" t="str">
        <f>"2024-12-27 21:13:52.867"</f>
        <v>2024-12-27 21:13:52.867</v>
      </c>
      <c r="H1798" t="s">
        <v>21</v>
      </c>
      <c r="I1798">
        <v>0</v>
      </c>
      <c r="J1798" t="s">
        <v>32</v>
      </c>
    </row>
    <row r="1799" spans="1:10" x14ac:dyDescent="0.25">
      <c r="A1799" s="1">
        <v>107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"2024-12-27 21:13:29.077"</f>
        <v>2024-12-27 21:13:29.077</v>
      </c>
      <c r="H1799" t="s">
        <v>21</v>
      </c>
    </row>
    <row r="1800" spans="1:10" x14ac:dyDescent="0.25">
      <c r="A1800" s="1">
        <v>108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"2024-12-27 18:36:14.075"</f>
        <v>2024-12-27 18:36:14.075</v>
      </c>
      <c r="H1800" t="s">
        <v>21</v>
      </c>
      <c r="I1800">
        <v>0</v>
      </c>
      <c r="J1800" t="s">
        <v>33</v>
      </c>
    </row>
    <row r="1801" spans="1:10" x14ac:dyDescent="0.25">
      <c r="A1801" s="1">
        <v>109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"2024-12-27 18:30:59.070"</f>
        <v>2024-12-27 18:30:59.070</v>
      </c>
      <c r="H1801" t="s">
        <v>21</v>
      </c>
    </row>
    <row r="1802" spans="1:10" x14ac:dyDescent="0.25">
      <c r="A1802" s="1">
        <v>110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"2024-12-27 18:00:54.089"</f>
        <v>2024-12-27 18:00:54.089</v>
      </c>
      <c r="H1802" t="s">
        <v>21</v>
      </c>
    </row>
    <row r="1803" spans="1:10" x14ac:dyDescent="0.25">
      <c r="A1803" s="1">
        <v>111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"2024-12-27 16:20:49.183"</f>
        <v>2024-12-27 16:20:49.183</v>
      </c>
      <c r="H1803" t="s">
        <v>21</v>
      </c>
    </row>
    <row r="1804" spans="1:10" x14ac:dyDescent="0.25">
      <c r="A1804" s="1">
        <v>112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"2024-12-27 15:57:26.077"</f>
        <v>2024-12-27 15:57:26.077</v>
      </c>
      <c r="H1804" t="s">
        <v>21</v>
      </c>
    </row>
    <row r="1805" spans="1:10" x14ac:dyDescent="0.25">
      <c r="A1805" s="1">
        <v>113</v>
      </c>
      <c r="B1805" t="s">
        <v>19</v>
      </c>
      <c r="C1805">
        <v>706</v>
      </c>
      <c r="D1805">
        <v>3</v>
      </c>
      <c r="E1805" t="s">
        <v>30</v>
      </c>
      <c r="F1805" t="s">
        <v>36</v>
      </c>
      <c r="G1805" t="str">
        <f>"2024-12-27 15:51:52.976"</f>
        <v>2024-12-27 15:51:52.976</v>
      </c>
      <c r="H1805" t="s">
        <v>21</v>
      </c>
      <c r="I1805">
        <v>0</v>
      </c>
      <c r="J1805" t="s">
        <v>32</v>
      </c>
    </row>
    <row r="1806" spans="1:10" x14ac:dyDescent="0.25">
      <c r="A1806" s="1">
        <v>114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"2024-12-27 15:50:08.136"</f>
        <v>2024-12-27 15:50:08.136</v>
      </c>
      <c r="H1806" t="s">
        <v>21</v>
      </c>
    </row>
    <row r="1807" spans="1:10" x14ac:dyDescent="0.25">
      <c r="A1807" s="1">
        <v>115</v>
      </c>
      <c r="B1807" t="s">
        <v>19</v>
      </c>
      <c r="C1807">
        <v>757</v>
      </c>
      <c r="D1807">
        <v>0</v>
      </c>
      <c r="E1807" t="s">
        <v>114</v>
      </c>
      <c r="F1807" t="s">
        <v>114</v>
      </c>
      <c r="G1807" t="str">
        <f>"2024-12-27 15:38:31.581"</f>
        <v>2024-12-27 15:38:31.581</v>
      </c>
      <c r="H1807" t="s">
        <v>21</v>
      </c>
      <c r="I1807">
        <v>0</v>
      </c>
      <c r="J1807" t="s">
        <v>32</v>
      </c>
    </row>
    <row r="1808" spans="1:10" x14ac:dyDescent="0.25">
      <c r="A1808" s="1">
        <v>116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"2024-12-27 15:37:39.169"</f>
        <v>2024-12-27 15:37:39.169</v>
      </c>
      <c r="H1808" t="s">
        <v>21</v>
      </c>
    </row>
    <row r="1809" spans="1:10" x14ac:dyDescent="0.25">
      <c r="A1809" s="1">
        <v>117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"2024-12-27 15:22:32.414"</f>
        <v>2024-12-27 15:22:32.414</v>
      </c>
      <c r="H1809" t="s">
        <v>21</v>
      </c>
      <c r="I1809">
        <v>0</v>
      </c>
      <c r="J1809" t="s">
        <v>33</v>
      </c>
    </row>
    <row r="1810" spans="1:10" x14ac:dyDescent="0.25">
      <c r="A1810" s="1">
        <v>118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"2024-12-26 14:45:20.155"</f>
        <v>2024-12-26 14:45:20.155</v>
      </c>
      <c r="H1810" t="s">
        <v>21</v>
      </c>
      <c r="I1810">
        <v>0</v>
      </c>
      <c r="J1810" t="s">
        <v>33</v>
      </c>
    </row>
    <row r="1811" spans="1:10" x14ac:dyDescent="0.25">
      <c r="A1811" s="1">
        <v>119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"2024-12-26 14:08:52.155"</f>
        <v>2024-12-26 14:08:52.155</v>
      </c>
      <c r="H1811" t="s">
        <v>21</v>
      </c>
      <c r="I1811">
        <v>0</v>
      </c>
      <c r="J1811" t="s">
        <v>33</v>
      </c>
    </row>
    <row r="1812" spans="1:10" x14ac:dyDescent="0.25">
      <c r="A1812" s="1">
        <v>120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"2024-12-26 14:03:19.153"</f>
        <v>2024-12-26 14:03:19.153</v>
      </c>
      <c r="H1812" t="s">
        <v>21</v>
      </c>
      <c r="I1812">
        <v>0</v>
      </c>
      <c r="J1812" t="s">
        <v>33</v>
      </c>
    </row>
    <row r="1813" spans="1:10" x14ac:dyDescent="0.25">
      <c r="A1813" s="1">
        <v>121</v>
      </c>
      <c r="B1813" t="s">
        <v>19</v>
      </c>
      <c r="C1813">
        <v>706</v>
      </c>
      <c r="D1813">
        <v>4</v>
      </c>
      <c r="E1813" t="s">
        <v>30</v>
      </c>
      <c r="F1813" t="s">
        <v>34</v>
      </c>
      <c r="G1813" t="str">
        <f>"2024-12-25 20:28:34.079"</f>
        <v>2024-12-25 20:28:34.079</v>
      </c>
      <c r="H1813" t="s">
        <v>21</v>
      </c>
      <c r="I1813">
        <v>0</v>
      </c>
      <c r="J1813" t="s">
        <v>32</v>
      </c>
    </row>
    <row r="1814" spans="1:10" x14ac:dyDescent="0.25">
      <c r="A1814" s="1">
        <v>122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"2024-12-25 20:26:17.089"</f>
        <v>2024-12-25 20:26:17.089</v>
      </c>
      <c r="H1814" t="s">
        <v>21</v>
      </c>
    </row>
    <row r="1815" spans="1:10" x14ac:dyDescent="0.25">
      <c r="A1815" s="1">
        <v>123</v>
      </c>
      <c r="B1815" t="s">
        <v>19</v>
      </c>
      <c r="C1815">
        <v>706</v>
      </c>
      <c r="D1815">
        <v>4</v>
      </c>
      <c r="E1815" t="s">
        <v>30</v>
      </c>
      <c r="F1815" t="s">
        <v>34</v>
      </c>
      <c r="G1815" t="str">
        <f>"2024-12-25 18:44:12.430"</f>
        <v>2024-12-25 18:44:12.430</v>
      </c>
      <c r="H1815" t="s">
        <v>21</v>
      </c>
      <c r="I1815">
        <v>0</v>
      </c>
      <c r="J1815" t="s">
        <v>32</v>
      </c>
    </row>
    <row r="1816" spans="1:10" x14ac:dyDescent="0.25">
      <c r="A1816" s="1">
        <v>124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"2024-12-25 18:26:54.080"</f>
        <v>2024-12-25 18:26:54.080</v>
      </c>
      <c r="H1816" t="s">
        <v>21</v>
      </c>
    </row>
    <row r="1817" spans="1:10" x14ac:dyDescent="0.25">
      <c r="A1817" s="1">
        <v>125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"2024-12-25 16:52:49.080"</f>
        <v>2024-12-25 16:52:49.080</v>
      </c>
      <c r="H1817" t="s">
        <v>21</v>
      </c>
    </row>
    <row r="1818" spans="1:10" x14ac:dyDescent="0.25">
      <c r="A1818" s="1">
        <v>126</v>
      </c>
      <c r="B1818" t="s">
        <v>19</v>
      </c>
      <c r="C1818">
        <v>706</v>
      </c>
      <c r="D1818">
        <v>2</v>
      </c>
      <c r="E1818" t="s">
        <v>30</v>
      </c>
      <c r="F1818" t="s">
        <v>31</v>
      </c>
      <c r="G1818" t="str">
        <f>"2024-12-25 16:28:37.966"</f>
        <v>2024-12-25 16:28:37.966</v>
      </c>
      <c r="H1818" t="s">
        <v>21</v>
      </c>
      <c r="I1818">
        <v>0</v>
      </c>
      <c r="J1818" t="s">
        <v>32</v>
      </c>
    </row>
    <row r="1819" spans="1:10" x14ac:dyDescent="0.25">
      <c r="A1819" s="1">
        <v>127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"2024-12-25 16:26:53.086"</f>
        <v>2024-12-25 16:26:53.086</v>
      </c>
      <c r="H1819" t="s">
        <v>21</v>
      </c>
      <c r="I1819">
        <v>0</v>
      </c>
      <c r="J1819" t="s">
        <v>33</v>
      </c>
    </row>
    <row r="1820" spans="1:10" x14ac:dyDescent="0.25">
      <c r="A1820" s="1">
        <v>128</v>
      </c>
      <c r="B1820" t="s">
        <v>19</v>
      </c>
      <c r="C1820">
        <v>706</v>
      </c>
      <c r="D1820">
        <v>4</v>
      </c>
      <c r="E1820" t="s">
        <v>30</v>
      </c>
      <c r="F1820" t="s">
        <v>34</v>
      </c>
      <c r="G1820" t="str">
        <f>"2024-12-25 16:09:41.176"</f>
        <v>2024-12-25 16:09:41.176</v>
      </c>
      <c r="H1820" t="s">
        <v>21</v>
      </c>
      <c r="I1820">
        <v>0</v>
      </c>
      <c r="J1820" t="s">
        <v>32</v>
      </c>
    </row>
    <row r="1821" spans="1:10" x14ac:dyDescent="0.25">
      <c r="A1821" s="1">
        <v>129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"2024-12-25 15:23:01.076"</f>
        <v>2024-12-25 15:23:01.076</v>
      </c>
      <c r="H1821" t="s">
        <v>21</v>
      </c>
      <c r="I1821">
        <v>0</v>
      </c>
      <c r="J1821" t="s">
        <v>33</v>
      </c>
    </row>
    <row r="1822" spans="1:10" x14ac:dyDescent="0.25">
      <c r="A1822" s="1">
        <v>130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"2024-12-25 15:14:11.088"</f>
        <v>2024-12-25 15:14:11.088</v>
      </c>
      <c r="H1822" t="s">
        <v>21</v>
      </c>
      <c r="I1822">
        <v>0</v>
      </c>
      <c r="J1822" t="s">
        <v>33</v>
      </c>
    </row>
    <row r="1823" spans="1:10" x14ac:dyDescent="0.25">
      <c r="A1823" s="1">
        <v>131</v>
      </c>
      <c r="B1823" t="s">
        <v>19</v>
      </c>
      <c r="C1823">
        <v>706</v>
      </c>
      <c r="D1823">
        <v>2</v>
      </c>
      <c r="E1823" t="s">
        <v>30</v>
      </c>
      <c r="F1823" t="s">
        <v>31</v>
      </c>
      <c r="G1823" t="str">
        <f>"2024-12-25 13:51:53.907"</f>
        <v>2024-12-25 13:51:53.907</v>
      </c>
      <c r="H1823" t="s">
        <v>21</v>
      </c>
      <c r="I1823">
        <v>0</v>
      </c>
      <c r="J1823" t="s">
        <v>32</v>
      </c>
    </row>
    <row r="1824" spans="1:10" x14ac:dyDescent="0.25">
      <c r="A1824" s="1">
        <v>132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"2024-12-25 13:51:26.077"</f>
        <v>2024-12-25 13:51:26.077</v>
      </c>
      <c r="H1824" t="s">
        <v>21</v>
      </c>
      <c r="I1824">
        <v>0</v>
      </c>
      <c r="J1824" t="s">
        <v>33</v>
      </c>
    </row>
    <row r="1825" spans="1:10" x14ac:dyDescent="0.25">
      <c r="A1825" s="1">
        <v>133</v>
      </c>
      <c r="B1825" t="s">
        <v>19</v>
      </c>
      <c r="C1825">
        <v>706</v>
      </c>
      <c r="D1825">
        <v>4</v>
      </c>
      <c r="E1825" t="s">
        <v>30</v>
      </c>
      <c r="F1825" t="s">
        <v>34</v>
      </c>
      <c r="G1825" t="str">
        <f>"2024-12-25 09:34:13.662"</f>
        <v>2024-12-25 09:34:13.662</v>
      </c>
      <c r="H1825" t="s">
        <v>21</v>
      </c>
      <c r="I1825">
        <v>0</v>
      </c>
      <c r="J1825" t="s">
        <v>32</v>
      </c>
    </row>
    <row r="1826" spans="1:10" x14ac:dyDescent="0.25">
      <c r="A1826" s="1">
        <v>134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"2024-12-25 09:28:13.072"</f>
        <v>2024-12-25 09:28:13.072</v>
      </c>
      <c r="H1826" t="s">
        <v>21</v>
      </c>
      <c r="I1826">
        <v>0</v>
      </c>
      <c r="J1826" t="s">
        <v>33</v>
      </c>
    </row>
    <row r="1827" spans="1:10" x14ac:dyDescent="0.25">
      <c r="A1827" s="1">
        <v>135</v>
      </c>
      <c r="B1827" t="s">
        <v>19</v>
      </c>
      <c r="C1827">
        <v>706</v>
      </c>
      <c r="D1827">
        <v>4</v>
      </c>
      <c r="E1827" t="s">
        <v>30</v>
      </c>
      <c r="F1827" t="s">
        <v>34</v>
      </c>
      <c r="G1827" t="str">
        <f>"2024-12-25 08:34:08.055"</f>
        <v>2024-12-25 08:34:08.055</v>
      </c>
      <c r="H1827" t="s">
        <v>21</v>
      </c>
      <c r="I1827">
        <v>0</v>
      </c>
      <c r="J1827" t="s">
        <v>32</v>
      </c>
    </row>
    <row r="1828" spans="1:10" x14ac:dyDescent="0.25">
      <c r="A1828" s="1">
        <v>136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"2024-12-25 08:33:31.055"</f>
        <v>2024-12-25 08:33:31.055</v>
      </c>
      <c r="H1828" t="s">
        <v>21</v>
      </c>
    </row>
    <row r="1829" spans="1:10" x14ac:dyDescent="0.25">
      <c r="A1829" s="1">
        <v>137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"2024-12-24 17:40:03.079"</f>
        <v>2024-12-24 17:40:03.079</v>
      </c>
      <c r="H1829" t="s">
        <v>21</v>
      </c>
    </row>
    <row r="1830" spans="1:10" x14ac:dyDescent="0.25">
      <c r="A1830" s="1">
        <v>138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"2024-12-24 15:14:15.060"</f>
        <v>2024-12-24 15:14:15.060</v>
      </c>
      <c r="H1830" t="s">
        <v>21</v>
      </c>
      <c r="I1830">
        <v>0</v>
      </c>
      <c r="J1830" t="s">
        <v>33</v>
      </c>
    </row>
    <row r="1831" spans="1:10" x14ac:dyDescent="0.25">
      <c r="A1831" s="1">
        <v>139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"2024-12-24 14:59:30.053"</f>
        <v>2024-12-24 14:59:30.053</v>
      </c>
      <c r="H1831" t="s">
        <v>21</v>
      </c>
    </row>
    <row r="1832" spans="1:10" x14ac:dyDescent="0.25">
      <c r="A1832" s="1">
        <v>140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"2024-12-24 12:15:56.056"</f>
        <v>2024-12-24 12:15:56.056</v>
      </c>
      <c r="H1832" t="s">
        <v>21</v>
      </c>
    </row>
    <row r="1833" spans="1:10" x14ac:dyDescent="0.25">
      <c r="A1833" s="1">
        <v>141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"2024-12-24 11:07:30.062"</f>
        <v>2024-12-24 11:07:30.062</v>
      </c>
      <c r="H1833" t="s">
        <v>21</v>
      </c>
    </row>
    <row r="1834" spans="1:10" x14ac:dyDescent="0.25">
      <c r="A1834" s="1">
        <v>142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"2024-12-24 11:02:42.058"</f>
        <v>2024-12-24 11:02:42.058</v>
      </c>
      <c r="H1834" t="s">
        <v>21</v>
      </c>
      <c r="I1834">
        <v>0</v>
      </c>
      <c r="J1834" t="s">
        <v>33</v>
      </c>
    </row>
    <row r="1835" spans="1:10" x14ac:dyDescent="0.25">
      <c r="A1835" s="1">
        <v>143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"2024-12-24 10:15:40.060"</f>
        <v>2024-12-24 10:15:40.060</v>
      </c>
      <c r="H1835" t="s">
        <v>21</v>
      </c>
    </row>
    <row r="1836" spans="1:10" x14ac:dyDescent="0.25">
      <c r="A1836" s="1">
        <v>144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"2024-12-24 09:41:08.051"</f>
        <v>2024-12-24 09:41:08.051</v>
      </c>
      <c r="H1836" t="s">
        <v>21</v>
      </c>
    </row>
    <row r="1837" spans="1:10" x14ac:dyDescent="0.25">
      <c r="A1837" s="1">
        <v>145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"2024-12-23 16:05:31.052"</f>
        <v>2024-12-23 16:05:31.052</v>
      </c>
      <c r="H1837" t="s">
        <v>21</v>
      </c>
      <c r="I1837">
        <v>0</v>
      </c>
      <c r="J1837" t="s">
        <v>33</v>
      </c>
    </row>
    <row r="1838" spans="1:10" x14ac:dyDescent="0.25">
      <c r="A1838" s="1">
        <v>146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"2024-12-23 15:58:57.051"</f>
        <v>2024-12-23 15:58:57.051</v>
      </c>
      <c r="H1838" t="s">
        <v>21</v>
      </c>
      <c r="I1838">
        <v>0</v>
      </c>
      <c r="J1838" t="s">
        <v>33</v>
      </c>
    </row>
    <row r="1839" spans="1:10" x14ac:dyDescent="0.25">
      <c r="A1839" s="1">
        <v>147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"2024-12-23 14:02:55.058"</f>
        <v>2024-12-23 14:02:55.058</v>
      </c>
      <c r="H1839" t="s">
        <v>21</v>
      </c>
      <c r="I1839">
        <v>0</v>
      </c>
      <c r="J1839" t="s">
        <v>33</v>
      </c>
    </row>
    <row r="1840" spans="1:10" x14ac:dyDescent="0.25">
      <c r="A1840" s="1">
        <v>148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"2024-12-22 18:47:27.058"</f>
        <v>2024-12-22 18:47:27.058</v>
      </c>
      <c r="H1840" t="s">
        <v>21</v>
      </c>
    </row>
    <row r="1841" spans="1:10" x14ac:dyDescent="0.25">
      <c r="A1841" s="1">
        <v>149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"2024-12-22 13:34:27.033"</f>
        <v>2024-12-22 13:34:27.033</v>
      </c>
      <c r="H1841" t="s">
        <v>21</v>
      </c>
      <c r="I1841">
        <v>0</v>
      </c>
      <c r="J1841" t="s">
        <v>33</v>
      </c>
    </row>
    <row r="1842" spans="1:10" x14ac:dyDescent="0.25">
      <c r="A1842" s="1">
        <v>150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"2024-12-22 13:22:11.031"</f>
        <v>2024-12-22 13:22:11.031</v>
      </c>
      <c r="H1842" t="s">
        <v>21</v>
      </c>
    </row>
    <row r="1843" spans="1:10" x14ac:dyDescent="0.25">
      <c r="A1843" s="1">
        <v>151</v>
      </c>
      <c r="B1843" t="s">
        <v>19</v>
      </c>
      <c r="C1843">
        <v>706</v>
      </c>
      <c r="D1843">
        <v>4</v>
      </c>
      <c r="E1843" t="s">
        <v>30</v>
      </c>
      <c r="F1843" t="s">
        <v>34</v>
      </c>
      <c r="G1843" t="str">
        <f>"2024-12-22 13:01:18.059"</f>
        <v>2024-12-22 13:01:18.059</v>
      </c>
      <c r="H1843" t="s">
        <v>21</v>
      </c>
      <c r="I1843">
        <v>0</v>
      </c>
      <c r="J1843" t="s">
        <v>32</v>
      </c>
    </row>
    <row r="1844" spans="1:10" x14ac:dyDescent="0.25">
      <c r="A1844" s="1">
        <v>152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"2024-12-22 13:00:57.039"</f>
        <v>2024-12-22 13:00:57.039</v>
      </c>
      <c r="H1844" t="s">
        <v>21</v>
      </c>
      <c r="I1844">
        <v>0</v>
      </c>
      <c r="J1844" t="s">
        <v>33</v>
      </c>
    </row>
    <row r="1845" spans="1:10" x14ac:dyDescent="0.25">
      <c r="A1845" s="1">
        <v>153</v>
      </c>
      <c r="B1845" t="s">
        <v>19</v>
      </c>
      <c r="C1845">
        <v>706</v>
      </c>
      <c r="D1845">
        <v>4</v>
      </c>
      <c r="E1845" t="s">
        <v>30</v>
      </c>
      <c r="F1845" t="s">
        <v>34</v>
      </c>
      <c r="G1845" t="str">
        <f>"2024-12-22 11:28:34.613"</f>
        <v>2024-12-22 11:28:34.613</v>
      </c>
      <c r="H1845" t="s">
        <v>21</v>
      </c>
      <c r="I1845">
        <v>0</v>
      </c>
      <c r="J1845" t="s">
        <v>32</v>
      </c>
    </row>
    <row r="1846" spans="1:10" x14ac:dyDescent="0.25">
      <c r="A1846" s="1">
        <v>154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"2024-12-22 11:28:17.033"</f>
        <v>2024-12-22 11:28:17.033</v>
      </c>
      <c r="H1846" t="s">
        <v>21</v>
      </c>
    </row>
    <row r="1847" spans="1:10" x14ac:dyDescent="0.25">
      <c r="A1847" s="1">
        <v>155</v>
      </c>
      <c r="B1847" t="s">
        <v>19</v>
      </c>
      <c r="C1847">
        <v>706</v>
      </c>
      <c r="D1847">
        <v>2</v>
      </c>
      <c r="E1847" t="s">
        <v>30</v>
      </c>
      <c r="F1847" t="s">
        <v>31</v>
      </c>
      <c r="G1847" t="str">
        <f>"2024-12-22 11:19:27.135"</f>
        <v>2024-12-22 11:19:27.135</v>
      </c>
      <c r="H1847" t="s">
        <v>21</v>
      </c>
      <c r="I1847">
        <v>0</v>
      </c>
      <c r="J1847" t="s">
        <v>32</v>
      </c>
    </row>
    <row r="1848" spans="1:10" x14ac:dyDescent="0.25">
      <c r="A1848" s="1">
        <v>156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"2024-12-22 11:17:31.035"</f>
        <v>2024-12-22 11:17:31.035</v>
      </c>
      <c r="H1848" t="s">
        <v>21</v>
      </c>
      <c r="I1848">
        <v>0</v>
      </c>
      <c r="J1848" t="s">
        <v>33</v>
      </c>
    </row>
    <row r="1849" spans="1:10" x14ac:dyDescent="0.25">
      <c r="A1849" s="1">
        <v>157</v>
      </c>
      <c r="B1849" t="s">
        <v>19</v>
      </c>
      <c r="C1849">
        <v>706</v>
      </c>
      <c r="D1849">
        <v>4</v>
      </c>
      <c r="E1849" t="s">
        <v>30</v>
      </c>
      <c r="F1849" t="s">
        <v>34</v>
      </c>
      <c r="G1849" t="str">
        <f>"2024-12-22 11:00:01.187"</f>
        <v>2024-12-22 11:00:01.187</v>
      </c>
      <c r="H1849" t="s">
        <v>21</v>
      </c>
      <c r="I1849">
        <v>0</v>
      </c>
      <c r="J1849" t="s">
        <v>32</v>
      </c>
    </row>
    <row r="1850" spans="1:10" x14ac:dyDescent="0.25">
      <c r="A1850" s="1">
        <v>158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"2024-12-22 10:59:06.037"</f>
        <v>2024-12-22 10:59:06.037</v>
      </c>
      <c r="H1850" t="s">
        <v>21</v>
      </c>
    </row>
    <row r="1851" spans="1:10" x14ac:dyDescent="0.25">
      <c r="A1851" s="1">
        <v>159</v>
      </c>
      <c r="B1851" t="s">
        <v>19</v>
      </c>
      <c r="C1851">
        <v>706</v>
      </c>
      <c r="D1851">
        <v>4</v>
      </c>
      <c r="E1851" t="s">
        <v>30</v>
      </c>
      <c r="F1851" t="s">
        <v>34</v>
      </c>
      <c r="G1851" t="str">
        <f>"2024-12-22 10:51:15.838"</f>
        <v>2024-12-22 10:51:15.838</v>
      </c>
      <c r="H1851" t="s">
        <v>21</v>
      </c>
      <c r="I1851">
        <v>0</v>
      </c>
      <c r="J1851" t="s">
        <v>32</v>
      </c>
    </row>
    <row r="1852" spans="1:10" x14ac:dyDescent="0.25">
      <c r="A1852" s="1">
        <v>160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"2024-12-22 10:50:05.038"</f>
        <v>2024-12-22 10:50:05.038</v>
      </c>
      <c r="H1852" t="s">
        <v>21</v>
      </c>
      <c r="I1852">
        <v>0</v>
      </c>
      <c r="J1852" t="s">
        <v>33</v>
      </c>
    </row>
    <row r="1853" spans="1:10" x14ac:dyDescent="0.25">
      <c r="A1853" s="1">
        <v>161</v>
      </c>
      <c r="B1853" t="s">
        <v>22</v>
      </c>
      <c r="C1853">
        <v>4</v>
      </c>
      <c r="D1853">
        <v>1</v>
      </c>
      <c r="E1853" t="s">
        <v>69</v>
      </c>
      <c r="F1853" t="s">
        <v>70</v>
      </c>
      <c r="G1853" t="str">
        <f>"2024-12-22 10:45:32.568"</f>
        <v>2024-12-22 10:45:32.568</v>
      </c>
      <c r="H1853" t="s">
        <v>71</v>
      </c>
    </row>
    <row r="1854" spans="1:10" x14ac:dyDescent="0.25">
      <c r="A1854" s="1">
        <v>162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"2024-12-22 10:44:36.028"</f>
        <v>2024-12-22 10:44:36.028</v>
      </c>
      <c r="H1854" t="s">
        <v>21</v>
      </c>
      <c r="I1854">
        <v>0</v>
      </c>
      <c r="J1854" t="s">
        <v>33</v>
      </c>
    </row>
    <row r="1855" spans="1:10" x14ac:dyDescent="0.25">
      <c r="A1855" s="1">
        <v>163</v>
      </c>
      <c r="B1855" t="s">
        <v>22</v>
      </c>
      <c r="C1855">
        <v>650</v>
      </c>
      <c r="D1855">
        <v>4</v>
      </c>
      <c r="E1855" t="s">
        <v>115</v>
      </c>
      <c r="F1855" t="s">
        <v>116</v>
      </c>
      <c r="G1855" t="str">
        <f>"2024-12-22 10:37:38.774"</f>
        <v>2024-12-22 10:37:38.774</v>
      </c>
      <c r="H1855" t="s">
        <v>21</v>
      </c>
    </row>
    <row r="1856" spans="1:10" x14ac:dyDescent="0.25">
      <c r="A1856" s="1">
        <v>166</v>
      </c>
      <c r="B1856" t="s">
        <v>25</v>
      </c>
      <c r="C1856">
        <v>4</v>
      </c>
      <c r="D1856">
        <v>1</v>
      </c>
      <c r="E1856" t="s">
        <v>69</v>
      </c>
      <c r="F1856" t="s">
        <v>70</v>
      </c>
      <c r="G1856" t="str">
        <f>"2024-12-22 10:35:47.391"</f>
        <v>2024-12-22 10:35:47.391</v>
      </c>
      <c r="H1856" t="s">
        <v>71</v>
      </c>
      <c r="I1856">
        <v>0</v>
      </c>
      <c r="J1856" t="s">
        <v>32</v>
      </c>
    </row>
    <row r="1857" spans="1:10" x14ac:dyDescent="0.25">
      <c r="A1857" s="1">
        <v>167</v>
      </c>
      <c r="B1857" t="s">
        <v>25</v>
      </c>
      <c r="C1857">
        <v>650</v>
      </c>
      <c r="D1857">
        <v>4</v>
      </c>
      <c r="E1857" t="s">
        <v>115</v>
      </c>
      <c r="F1857" t="s">
        <v>116</v>
      </c>
      <c r="G1857" t="str">
        <f>"2024-12-22 10:35:47.387"</f>
        <v>2024-12-22 10:35:47.387</v>
      </c>
      <c r="H1857" t="s">
        <v>21</v>
      </c>
      <c r="I1857">
        <v>0</v>
      </c>
      <c r="J1857" t="s">
        <v>32</v>
      </c>
    </row>
    <row r="1858" spans="1:10" x14ac:dyDescent="0.25">
      <c r="A1858" s="1">
        <v>168</v>
      </c>
      <c r="B1858" t="s">
        <v>19</v>
      </c>
      <c r="C1858">
        <v>782</v>
      </c>
      <c r="D1858">
        <v>7</v>
      </c>
      <c r="E1858" t="s">
        <v>75</v>
      </c>
      <c r="F1858" t="s">
        <v>76</v>
      </c>
      <c r="G1858" t="str">
        <f>"2024-12-22 10:35:47.384"</f>
        <v>2024-12-22 10:35:47.384</v>
      </c>
      <c r="H1858" t="s">
        <v>21</v>
      </c>
      <c r="I1858">
        <v>0</v>
      </c>
      <c r="J1858" t="s">
        <v>32</v>
      </c>
    </row>
    <row r="1859" spans="1:10" x14ac:dyDescent="0.25">
      <c r="A1859" s="1">
        <v>171</v>
      </c>
      <c r="B1859" t="s">
        <v>22</v>
      </c>
      <c r="C1859">
        <v>650</v>
      </c>
      <c r="D1859">
        <v>4</v>
      </c>
      <c r="E1859" t="s">
        <v>115</v>
      </c>
      <c r="F1859" t="s">
        <v>116</v>
      </c>
      <c r="G1859" t="str">
        <f>"2024-12-22 10:35:47.380"</f>
        <v>2024-12-22 10:35:47.380</v>
      </c>
      <c r="H1859" t="s">
        <v>21</v>
      </c>
    </row>
    <row r="1860" spans="1:10" x14ac:dyDescent="0.25">
      <c r="A1860" s="1">
        <v>172</v>
      </c>
      <c r="B1860" t="s">
        <v>22</v>
      </c>
      <c r="C1860">
        <v>12</v>
      </c>
      <c r="D1860">
        <v>2</v>
      </c>
      <c r="E1860" t="s">
        <v>117</v>
      </c>
      <c r="F1860" t="s">
        <v>118</v>
      </c>
      <c r="G1860" t="str">
        <f>"2024-12-22 10:35:47.378"</f>
        <v>2024-12-22 10:35:47.378</v>
      </c>
      <c r="H1860" t="s">
        <v>21</v>
      </c>
    </row>
    <row r="1861" spans="1:10" x14ac:dyDescent="0.25">
      <c r="A1861" s="1">
        <v>173</v>
      </c>
      <c r="B1861" t="s">
        <v>22</v>
      </c>
      <c r="C1861">
        <v>12</v>
      </c>
      <c r="D1861">
        <v>1</v>
      </c>
      <c r="E1861" t="s">
        <v>117</v>
      </c>
      <c r="F1861" t="s">
        <v>119</v>
      </c>
      <c r="G1861" t="str">
        <f>"2024-12-22 10:35:47.375"</f>
        <v>2024-12-22 10:35:47.375</v>
      </c>
      <c r="H1861" t="s">
        <v>21</v>
      </c>
    </row>
    <row r="1862" spans="1:10" x14ac:dyDescent="0.25">
      <c r="A1862" s="1">
        <v>174</v>
      </c>
      <c r="B1862" t="s">
        <v>22</v>
      </c>
      <c r="C1862">
        <v>4</v>
      </c>
      <c r="D1862">
        <v>1</v>
      </c>
      <c r="E1862" t="s">
        <v>69</v>
      </c>
      <c r="F1862" t="s">
        <v>70</v>
      </c>
      <c r="G1862" t="str">
        <f>"2024-12-22 10:35:47.374"</f>
        <v>2024-12-22 10:35:47.374</v>
      </c>
      <c r="H1862" t="s">
        <v>71</v>
      </c>
    </row>
    <row r="1863" spans="1:10" x14ac:dyDescent="0.25">
      <c r="A1863" s="1">
        <v>175</v>
      </c>
      <c r="B1863" t="s">
        <v>19</v>
      </c>
      <c r="C1863">
        <v>782</v>
      </c>
      <c r="D1863">
        <v>7</v>
      </c>
      <c r="E1863" t="s">
        <v>75</v>
      </c>
      <c r="F1863" t="s">
        <v>76</v>
      </c>
      <c r="G1863" t="str">
        <f>"2024-12-22 10:35:47.373"</f>
        <v>2024-12-22 10:35:47.373</v>
      </c>
      <c r="H1863" t="s">
        <v>21</v>
      </c>
      <c r="I1863">
        <v>0</v>
      </c>
      <c r="J1863" t="s">
        <v>32</v>
      </c>
    </row>
    <row r="1864" spans="1:10" x14ac:dyDescent="0.25">
      <c r="A1864" s="1">
        <v>176</v>
      </c>
      <c r="B1864" t="s">
        <v>22</v>
      </c>
      <c r="C1864">
        <v>704</v>
      </c>
      <c r="D1864">
        <v>1</v>
      </c>
      <c r="E1864" t="s">
        <v>120</v>
      </c>
      <c r="F1864" t="s">
        <v>28</v>
      </c>
      <c r="G1864" t="str">
        <f>"2024-12-22 10:33:01.520"</f>
        <v>2024-12-22 10:33:01.520</v>
      </c>
      <c r="H1864" t="s">
        <v>21</v>
      </c>
    </row>
    <row r="1865" spans="1:10" x14ac:dyDescent="0.25">
      <c r="A1865" s="1">
        <v>177</v>
      </c>
      <c r="B1865" t="s">
        <v>19</v>
      </c>
      <c r="C1865">
        <v>719</v>
      </c>
      <c r="D1865">
        <v>1</v>
      </c>
      <c r="E1865" t="s">
        <v>61</v>
      </c>
      <c r="F1865" t="s">
        <v>121</v>
      </c>
      <c r="G1865" t="str">
        <f>"2024-12-22 10:33:00.494"</f>
        <v>2024-12-22 10:33:00.494</v>
      </c>
      <c r="H1865" t="s">
        <v>21</v>
      </c>
      <c r="I1865">
        <v>0</v>
      </c>
      <c r="J1865" t="s">
        <v>32</v>
      </c>
    </row>
    <row r="1866" spans="1:10" x14ac:dyDescent="0.25">
      <c r="A1866" s="1">
        <v>178</v>
      </c>
      <c r="B1866" t="s">
        <v>19</v>
      </c>
      <c r="C1866">
        <v>757</v>
      </c>
      <c r="D1866">
        <v>0</v>
      </c>
      <c r="E1866" t="s">
        <v>114</v>
      </c>
      <c r="F1866" t="s">
        <v>114</v>
      </c>
      <c r="G1866" t="str">
        <f>"2002-03-17 06:20:06.418"</f>
        <v>2002-03-17 06:20:06.418</v>
      </c>
      <c r="H1866" t="s">
        <v>21</v>
      </c>
      <c r="I1866">
        <v>0</v>
      </c>
      <c r="J1866" t="s">
        <v>32</v>
      </c>
    </row>
    <row r="1867" spans="1:10" x14ac:dyDescent="0.25">
      <c r="A1867" s="1">
        <v>179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"2002-03-17 06:12:53.023"</f>
        <v>2002-03-17 06:12:53.023</v>
      </c>
      <c r="H1867" t="s">
        <v>21</v>
      </c>
      <c r="I1867">
        <v>0</v>
      </c>
      <c r="J1867" t="s">
        <v>33</v>
      </c>
    </row>
    <row r="1868" spans="1:10" x14ac:dyDescent="0.25">
      <c r="A1868" s="1">
        <v>182</v>
      </c>
      <c r="B1868" t="s">
        <v>40</v>
      </c>
      <c r="C1868">
        <v>641</v>
      </c>
      <c r="D1868">
        <v>1</v>
      </c>
      <c r="E1868" t="s">
        <v>122</v>
      </c>
      <c r="F1868" t="s">
        <v>118</v>
      </c>
      <c r="G1868" t="str">
        <f>"2002-03-17 06:07:19.218"</f>
        <v>2002-03-17 06:07:19.218</v>
      </c>
      <c r="H1868" t="s">
        <v>21</v>
      </c>
      <c r="I1868">
        <v>0</v>
      </c>
      <c r="J1868" t="s">
        <v>72</v>
      </c>
    </row>
    <row r="1869" spans="1:10" x14ac:dyDescent="0.25">
      <c r="A1869" s="1">
        <v>183</v>
      </c>
      <c r="B1869" t="s">
        <v>40</v>
      </c>
      <c r="C1869">
        <v>640</v>
      </c>
      <c r="D1869">
        <v>1</v>
      </c>
      <c r="E1869" t="s">
        <v>123</v>
      </c>
      <c r="F1869" t="s">
        <v>119</v>
      </c>
      <c r="G1869" t="str">
        <f>"2002-03-17 06:07:19.206"</f>
        <v>2002-03-17 06:07:19.206</v>
      </c>
      <c r="H1869" t="s">
        <v>39</v>
      </c>
      <c r="I1869">
        <v>0</v>
      </c>
      <c r="J1869" t="s">
        <v>72</v>
      </c>
    </row>
    <row r="1870" spans="1:10" x14ac:dyDescent="0.25">
      <c r="A1870" s="1">
        <v>184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"2002-03-17 06:07:09.187"</f>
        <v>2002-03-17 06:07:09.187</v>
      </c>
      <c r="H1870" t="s">
        <v>21</v>
      </c>
      <c r="I1870">
        <v>0</v>
      </c>
      <c r="J1870" t="s">
        <v>33</v>
      </c>
    </row>
    <row r="1871" spans="1:10" x14ac:dyDescent="0.25">
      <c r="A1871" s="1">
        <v>185</v>
      </c>
      <c r="B1871" t="s">
        <v>22</v>
      </c>
      <c r="C1871">
        <v>24</v>
      </c>
      <c r="D1871">
        <v>9</v>
      </c>
      <c r="E1871" t="s">
        <v>82</v>
      </c>
      <c r="F1871" t="s">
        <v>83</v>
      </c>
      <c r="G1871" t="str">
        <f>"2002-03-17 06:07:09.048"</f>
        <v>2002-03-17 06:07:09.048</v>
      </c>
      <c r="H1871" t="s">
        <v>49</v>
      </c>
    </row>
    <row r="1872" spans="1:10" x14ac:dyDescent="0.25">
      <c r="A1872" s="1">
        <v>186</v>
      </c>
      <c r="B1872" t="s">
        <v>40</v>
      </c>
      <c r="C1872">
        <v>641</v>
      </c>
      <c r="D1872">
        <v>1</v>
      </c>
      <c r="E1872" t="s">
        <v>122</v>
      </c>
      <c r="F1872" t="s">
        <v>118</v>
      </c>
      <c r="G1872" t="str">
        <f>"2002-03-17 05:46:52.883"</f>
        <v>2002-03-17 05:46:52.883</v>
      </c>
      <c r="H1872" t="s">
        <v>21</v>
      </c>
      <c r="I1872">
        <v>0</v>
      </c>
      <c r="J1872" t="s">
        <v>72</v>
      </c>
    </row>
    <row r="1873" spans="1:10" x14ac:dyDescent="0.25">
      <c r="A1873" s="1">
        <v>187</v>
      </c>
      <c r="B1873" t="s">
        <v>40</v>
      </c>
      <c r="C1873">
        <v>640</v>
      </c>
      <c r="D1873">
        <v>1</v>
      </c>
      <c r="E1873" t="s">
        <v>123</v>
      </c>
      <c r="F1873" t="s">
        <v>119</v>
      </c>
      <c r="G1873" t="str">
        <f>"2002-03-17 05:46:52.873"</f>
        <v>2002-03-17 05:46:52.873</v>
      </c>
      <c r="H1873" t="s">
        <v>39</v>
      </c>
      <c r="I1873">
        <v>0</v>
      </c>
      <c r="J1873" t="s">
        <v>72</v>
      </c>
    </row>
    <row r="1874" spans="1:10" x14ac:dyDescent="0.25">
      <c r="A1874" s="1">
        <v>188</v>
      </c>
      <c r="B1874" t="s">
        <v>25</v>
      </c>
      <c r="C1874">
        <v>24</v>
      </c>
      <c r="D1874">
        <v>9</v>
      </c>
      <c r="E1874" t="s">
        <v>82</v>
      </c>
      <c r="F1874" t="s">
        <v>83</v>
      </c>
      <c r="G1874" t="str">
        <f>"2002-03-17 05:46:42.997"</f>
        <v>2002-03-17 05:46:42.997</v>
      </c>
      <c r="H1874" t="s">
        <v>49</v>
      </c>
      <c r="I1874">
        <v>0</v>
      </c>
      <c r="J1874" t="s">
        <v>33</v>
      </c>
    </row>
    <row r="1875" spans="1:10" x14ac:dyDescent="0.25">
      <c r="A1875" s="1">
        <v>189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"2002-03-17 05:46:42.935"</f>
        <v>2002-03-17 05:46:42.935</v>
      </c>
      <c r="H1875" t="s">
        <v>21</v>
      </c>
      <c r="I1875">
        <v>0</v>
      </c>
      <c r="J1875" t="s">
        <v>33</v>
      </c>
    </row>
    <row r="1876" spans="1:10" x14ac:dyDescent="0.25">
      <c r="A1876" s="1">
        <v>190</v>
      </c>
      <c r="B1876" t="s">
        <v>22</v>
      </c>
      <c r="C1876">
        <v>24</v>
      </c>
      <c r="D1876">
        <v>9</v>
      </c>
      <c r="E1876" t="s">
        <v>82</v>
      </c>
      <c r="F1876" t="s">
        <v>83</v>
      </c>
      <c r="G1876" t="str">
        <f>"2002-03-17 05:46:42.795"</f>
        <v>2002-03-17 05:46:42.795</v>
      </c>
      <c r="H1876" t="s">
        <v>49</v>
      </c>
    </row>
    <row r="1877" spans="1:10" x14ac:dyDescent="0.25">
      <c r="A1877" s="1">
        <v>191</v>
      </c>
      <c r="B1877" t="s">
        <v>22</v>
      </c>
      <c r="C1877">
        <v>590</v>
      </c>
      <c r="D1877">
        <v>8</v>
      </c>
      <c r="E1877" t="s">
        <v>84</v>
      </c>
      <c r="F1877" t="s">
        <v>85</v>
      </c>
      <c r="G1877" t="str">
        <f>"2002-03-17 05:45:58.171"</f>
        <v>2002-03-17 05:45:58.171</v>
      </c>
      <c r="H1877" t="s">
        <v>21</v>
      </c>
    </row>
    <row r="1878" spans="1:10" x14ac:dyDescent="0.25">
      <c r="A1878" s="1">
        <v>192</v>
      </c>
      <c r="B1878" t="s">
        <v>25</v>
      </c>
      <c r="C1878">
        <v>704</v>
      </c>
      <c r="D1878">
        <v>1</v>
      </c>
      <c r="E1878" t="s">
        <v>120</v>
      </c>
      <c r="F1878" t="s">
        <v>28</v>
      </c>
      <c r="G1878" t="str">
        <f>"2002-03-17 05:45:48.110"</f>
        <v>2002-03-17 05:45:48.110</v>
      </c>
      <c r="H1878" t="s">
        <v>21</v>
      </c>
      <c r="I1878">
        <v>0</v>
      </c>
      <c r="J1878" t="s">
        <v>72</v>
      </c>
    </row>
    <row r="1879" spans="1:10" x14ac:dyDescent="0.25">
      <c r="A1879" s="1">
        <v>193</v>
      </c>
      <c r="B1879" t="s">
        <v>40</v>
      </c>
      <c r="C1879">
        <v>641</v>
      </c>
      <c r="D1879">
        <v>1</v>
      </c>
      <c r="E1879" t="s">
        <v>122</v>
      </c>
      <c r="F1879" t="s">
        <v>118</v>
      </c>
      <c r="G1879" t="str">
        <f>"2002-03-17 05:45:39.936"</f>
        <v>2002-03-17 05:45:39.936</v>
      </c>
      <c r="H1879" t="s">
        <v>21</v>
      </c>
      <c r="I1879">
        <v>0</v>
      </c>
      <c r="J1879" t="s">
        <v>72</v>
      </c>
    </row>
    <row r="1880" spans="1:10" x14ac:dyDescent="0.25">
      <c r="A1880" s="1">
        <v>194</v>
      </c>
      <c r="B1880" t="s">
        <v>40</v>
      </c>
      <c r="C1880">
        <v>640</v>
      </c>
      <c r="D1880">
        <v>1</v>
      </c>
      <c r="E1880" t="s">
        <v>123</v>
      </c>
      <c r="F1880" t="s">
        <v>119</v>
      </c>
      <c r="G1880" t="str">
        <f>"2002-03-17 05:45:39.929"</f>
        <v>2002-03-17 05:45:39.929</v>
      </c>
      <c r="H1880" t="s">
        <v>39</v>
      </c>
      <c r="I1880">
        <v>0</v>
      </c>
      <c r="J1880" t="s">
        <v>72</v>
      </c>
    </row>
    <row r="1881" spans="1:10" x14ac:dyDescent="0.25">
      <c r="A1881" s="1">
        <v>195</v>
      </c>
      <c r="B1881" t="s">
        <v>25</v>
      </c>
      <c r="C1881">
        <v>24</v>
      </c>
      <c r="D1881">
        <v>9</v>
      </c>
      <c r="E1881" t="s">
        <v>82</v>
      </c>
      <c r="F1881" t="s">
        <v>83</v>
      </c>
      <c r="G1881" t="str">
        <f>"2002-03-17 05:45:29.973"</f>
        <v>2002-03-17 05:45:29.973</v>
      </c>
      <c r="H1881" t="s">
        <v>49</v>
      </c>
      <c r="I1881">
        <v>0</v>
      </c>
      <c r="J1881" t="s">
        <v>33</v>
      </c>
    </row>
    <row r="1882" spans="1:10" x14ac:dyDescent="0.25">
      <c r="A1882" s="1">
        <v>196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"2002-03-17 05:45:29.911"</f>
        <v>2002-03-17 05:45:29.911</v>
      </c>
      <c r="H1882" t="s">
        <v>21</v>
      </c>
    </row>
    <row r="1883" spans="1:10" x14ac:dyDescent="0.25">
      <c r="A1883" s="1">
        <v>197</v>
      </c>
      <c r="B1883" t="s">
        <v>22</v>
      </c>
      <c r="C1883">
        <v>24</v>
      </c>
      <c r="D1883">
        <v>9</v>
      </c>
      <c r="E1883" t="s">
        <v>82</v>
      </c>
      <c r="F1883" t="s">
        <v>83</v>
      </c>
      <c r="G1883" t="str">
        <f>"2002-03-17 05:45:29.783"</f>
        <v>2002-03-17 05:45:29.783</v>
      </c>
      <c r="H1883" t="s">
        <v>49</v>
      </c>
    </row>
    <row r="1884" spans="1:10" x14ac:dyDescent="0.25">
      <c r="A1884" s="1">
        <v>198</v>
      </c>
      <c r="B1884" t="s">
        <v>25</v>
      </c>
      <c r="C1884">
        <v>590</v>
      </c>
      <c r="D1884">
        <v>8</v>
      </c>
      <c r="E1884" t="s">
        <v>84</v>
      </c>
      <c r="F1884" t="s">
        <v>85</v>
      </c>
      <c r="G1884" t="str">
        <f>"2102-03-17 05:43:46.779"</f>
        <v>2102-03-17 05:43:46.779</v>
      </c>
      <c r="H1884" t="s">
        <v>21</v>
      </c>
      <c r="I1884">
        <v>0</v>
      </c>
      <c r="J1884" t="s">
        <v>72</v>
      </c>
    </row>
    <row r="1885" spans="1:10" x14ac:dyDescent="0.25">
      <c r="A1885" s="1">
        <v>199</v>
      </c>
      <c r="B1885" t="s">
        <v>40</v>
      </c>
      <c r="C1885">
        <v>641</v>
      </c>
      <c r="D1885">
        <v>1</v>
      </c>
      <c r="E1885" t="s">
        <v>122</v>
      </c>
      <c r="F1885" t="s">
        <v>118</v>
      </c>
      <c r="G1885" t="str">
        <f>"2102-03-17 05:43:44.171"</f>
        <v>2102-03-17 05:43:44.171</v>
      </c>
      <c r="H1885" t="s">
        <v>21</v>
      </c>
      <c r="I1885">
        <v>0</v>
      </c>
      <c r="J1885" t="s">
        <v>72</v>
      </c>
    </row>
    <row r="1886" spans="1:10" x14ac:dyDescent="0.25">
      <c r="A1886" s="1">
        <v>200</v>
      </c>
      <c r="B1886" t="s">
        <v>40</v>
      </c>
      <c r="C1886">
        <v>640</v>
      </c>
      <c r="D1886">
        <v>1</v>
      </c>
      <c r="E1886" t="s">
        <v>123</v>
      </c>
      <c r="F1886" t="s">
        <v>119</v>
      </c>
      <c r="G1886" t="str">
        <f>"2102-03-17 05:43:44.162"</f>
        <v>2102-03-17 05:43:44.162</v>
      </c>
      <c r="H1886" t="s">
        <v>39</v>
      </c>
      <c r="I1886">
        <v>0</v>
      </c>
      <c r="J1886" t="s">
        <v>72</v>
      </c>
    </row>
    <row r="1887" spans="1:10" x14ac:dyDescent="0.25">
      <c r="A1887" s="1">
        <v>203</v>
      </c>
      <c r="B1887" t="s">
        <v>25</v>
      </c>
      <c r="C1887">
        <v>4</v>
      </c>
      <c r="D1887">
        <v>1</v>
      </c>
      <c r="E1887" t="s">
        <v>69</v>
      </c>
      <c r="F1887" t="s">
        <v>70</v>
      </c>
      <c r="G1887" t="str">
        <f>"2102-03-17 05:43:38.800"</f>
        <v>2102-03-17 05:43:38.800</v>
      </c>
      <c r="H1887" t="s">
        <v>71</v>
      </c>
      <c r="I1887">
        <v>0</v>
      </c>
      <c r="J1887" t="s">
        <v>72</v>
      </c>
    </row>
    <row r="1888" spans="1:10" x14ac:dyDescent="0.25">
      <c r="A1888" s="1">
        <v>204</v>
      </c>
      <c r="B1888" t="s">
        <v>25</v>
      </c>
      <c r="C1888">
        <v>12</v>
      </c>
      <c r="D1888">
        <v>1</v>
      </c>
      <c r="E1888" t="s">
        <v>117</v>
      </c>
      <c r="F1888" t="s">
        <v>119</v>
      </c>
      <c r="G1888" t="str">
        <f>"2102-03-17 05:43:37.962"</f>
        <v>2102-03-17 05:43:37.962</v>
      </c>
      <c r="H1888" t="s">
        <v>21</v>
      </c>
      <c r="I1888">
        <v>0</v>
      </c>
      <c r="J1888" t="s">
        <v>72</v>
      </c>
    </row>
    <row r="1889" spans="1:10" x14ac:dyDescent="0.25">
      <c r="A1889" s="1">
        <v>205</v>
      </c>
      <c r="B1889" t="s">
        <v>25</v>
      </c>
      <c r="C1889">
        <v>12</v>
      </c>
      <c r="D1889">
        <v>2</v>
      </c>
      <c r="E1889" t="s">
        <v>117</v>
      </c>
      <c r="F1889" t="s">
        <v>118</v>
      </c>
      <c r="G1889" t="str">
        <f>"2102-03-17 05:43:37.863"</f>
        <v>2102-03-17 05:43:37.863</v>
      </c>
      <c r="H1889" t="s">
        <v>21</v>
      </c>
      <c r="I1889">
        <v>0</v>
      </c>
      <c r="J1889" t="s">
        <v>72</v>
      </c>
    </row>
    <row r="1890" spans="1:10" x14ac:dyDescent="0.25">
      <c r="A1890" s="1">
        <v>206</v>
      </c>
      <c r="B1890" t="s">
        <v>25</v>
      </c>
      <c r="C1890">
        <v>650</v>
      </c>
      <c r="D1890">
        <v>4</v>
      </c>
      <c r="E1890" t="s">
        <v>115</v>
      </c>
      <c r="F1890" t="s">
        <v>116</v>
      </c>
      <c r="G1890" t="str">
        <f>"2102-03-17 05:43:36.579"</f>
        <v>2102-03-17 05:43:36.579</v>
      </c>
      <c r="H1890" t="s">
        <v>21</v>
      </c>
      <c r="I1890">
        <v>0</v>
      </c>
      <c r="J1890" t="s">
        <v>33</v>
      </c>
    </row>
    <row r="1891" spans="1:10" x14ac:dyDescent="0.25">
      <c r="A1891" s="1">
        <v>208</v>
      </c>
      <c r="B1891" t="s">
        <v>25</v>
      </c>
      <c r="C1891">
        <v>24</v>
      </c>
      <c r="D1891">
        <v>9</v>
      </c>
      <c r="E1891" t="s">
        <v>82</v>
      </c>
      <c r="F1891" t="s">
        <v>83</v>
      </c>
      <c r="G1891" t="str">
        <f>"2102-03-17 05:43:34.093"</f>
        <v>2102-03-17 05:43:34.093</v>
      </c>
      <c r="H1891" t="s">
        <v>49</v>
      </c>
      <c r="I1891">
        <v>0</v>
      </c>
      <c r="J1891" t="s">
        <v>33</v>
      </c>
    </row>
    <row r="1892" spans="1:10" x14ac:dyDescent="0.25">
      <c r="A1892" s="1">
        <v>209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"2102-03-17 05:43:34.039"</f>
        <v>2102-03-17 05:43:34.039</v>
      </c>
      <c r="H1892" t="s">
        <v>21</v>
      </c>
      <c r="I1892">
        <v>0</v>
      </c>
      <c r="J1892" t="s">
        <v>33</v>
      </c>
    </row>
    <row r="1893" spans="1:10" x14ac:dyDescent="0.25">
      <c r="A1893" s="1">
        <v>212</v>
      </c>
      <c r="B1893" t="s">
        <v>22</v>
      </c>
      <c r="C1893">
        <v>74</v>
      </c>
      <c r="D1893">
        <v>1</v>
      </c>
      <c r="E1893" t="s">
        <v>53</v>
      </c>
      <c r="F1893" t="s">
        <v>54</v>
      </c>
      <c r="G1893" t="str">
        <f>"1974-02-07 23:03:47.251"</f>
        <v>1974-02-07 23:03:47.251</v>
      </c>
      <c r="H1893" t="s">
        <v>55</v>
      </c>
    </row>
    <row r="1894" spans="1:10" x14ac:dyDescent="0.25">
      <c r="A1894" s="1">
        <v>213</v>
      </c>
      <c r="B1894" t="s">
        <v>40</v>
      </c>
      <c r="C1894">
        <v>641</v>
      </c>
      <c r="D1894">
        <v>1</v>
      </c>
      <c r="E1894" t="s">
        <v>122</v>
      </c>
      <c r="F1894" t="s">
        <v>118</v>
      </c>
      <c r="G1894" t="str">
        <f>"1974-02-07 23:03:44.626"</f>
        <v>1974-02-07 23:03:44.626</v>
      </c>
      <c r="H1894" t="s">
        <v>21</v>
      </c>
    </row>
    <row r="1895" spans="1:10" x14ac:dyDescent="0.25">
      <c r="A1895" s="1">
        <v>214</v>
      </c>
      <c r="B1895" t="s">
        <v>40</v>
      </c>
      <c r="C1895">
        <v>640</v>
      </c>
      <c r="D1895">
        <v>1</v>
      </c>
      <c r="E1895" t="s">
        <v>123</v>
      </c>
      <c r="F1895" t="s">
        <v>119</v>
      </c>
      <c r="G1895" t="str">
        <f>"1974-02-07 23:03:44.623"</f>
        <v>1974-02-07 23:03:44.623</v>
      </c>
      <c r="H1895" t="s">
        <v>39</v>
      </c>
    </row>
    <row r="1896" spans="1:10" x14ac:dyDescent="0.25">
      <c r="A1896" s="1">
        <v>215</v>
      </c>
      <c r="B1896" t="s">
        <v>22</v>
      </c>
      <c r="C1896">
        <v>57</v>
      </c>
      <c r="D1896">
        <v>1</v>
      </c>
      <c r="E1896" t="s">
        <v>124</v>
      </c>
      <c r="F1896" t="s">
        <v>125</v>
      </c>
      <c r="G1896" t="str">
        <f>"1974-02-07 23:03:40.266"</f>
        <v>1974-02-07 23:03:40.266</v>
      </c>
      <c r="H1896" t="s">
        <v>55</v>
      </c>
    </row>
    <row r="1897" spans="1:10" x14ac:dyDescent="0.25">
      <c r="A1897" s="1">
        <v>219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"1974-02-07 23:03:32.823"</f>
        <v>1974-02-07 23:03:32.823</v>
      </c>
      <c r="H1897" t="s">
        <v>21</v>
      </c>
    </row>
    <row r="1898" spans="1:10" x14ac:dyDescent="0.25">
      <c r="A1898" s="1">
        <v>221</v>
      </c>
      <c r="B1898" t="s">
        <v>25</v>
      </c>
      <c r="C1898">
        <v>74</v>
      </c>
      <c r="D1898">
        <v>1</v>
      </c>
      <c r="E1898" t="s">
        <v>53</v>
      </c>
      <c r="F1898" t="s">
        <v>54</v>
      </c>
      <c r="G1898" t="str">
        <f>"2036-12-01 23:46:16.124"</f>
        <v>2036-12-01 23:46:16.124</v>
      </c>
      <c r="H1898" t="s">
        <v>55</v>
      </c>
    </row>
    <row r="1899" spans="1:10" x14ac:dyDescent="0.25">
      <c r="A1899" s="1">
        <v>223</v>
      </c>
      <c r="B1899" t="s">
        <v>22</v>
      </c>
      <c r="C1899">
        <v>75</v>
      </c>
      <c r="D1899">
        <v>1</v>
      </c>
      <c r="E1899" t="s">
        <v>50</v>
      </c>
      <c r="F1899" t="s">
        <v>51</v>
      </c>
      <c r="G1899" t="str">
        <f>"2036-12-01 23:45:42.577"</f>
        <v>2036-12-01 23:45:42.577</v>
      </c>
      <c r="H1899" t="s">
        <v>52</v>
      </c>
    </row>
    <row r="1900" spans="1:10" x14ac:dyDescent="0.25">
      <c r="A1900" s="1">
        <v>225</v>
      </c>
      <c r="B1900" t="s">
        <v>40</v>
      </c>
      <c r="C1900">
        <v>641</v>
      </c>
      <c r="D1900">
        <v>1</v>
      </c>
      <c r="E1900" t="s">
        <v>122</v>
      </c>
      <c r="F1900" t="s">
        <v>118</v>
      </c>
      <c r="G1900" t="str">
        <f>"2036-12-01 23:45:39.727"</f>
        <v>2036-12-01 23:45:39.727</v>
      </c>
      <c r="H1900" t="s">
        <v>21</v>
      </c>
    </row>
    <row r="1901" spans="1:10" x14ac:dyDescent="0.25">
      <c r="A1901" s="1">
        <v>226</v>
      </c>
      <c r="B1901" t="s">
        <v>40</v>
      </c>
      <c r="C1901">
        <v>640</v>
      </c>
      <c r="D1901">
        <v>1</v>
      </c>
      <c r="E1901" t="s">
        <v>123</v>
      </c>
      <c r="F1901" t="s">
        <v>119</v>
      </c>
      <c r="G1901" t="str">
        <f>"2036-12-01 23:45:39.725"</f>
        <v>2036-12-01 23:45:39.725</v>
      </c>
      <c r="H1901" t="s">
        <v>39</v>
      </c>
    </row>
    <row r="1902" spans="1:10" x14ac:dyDescent="0.25">
      <c r="A1902" s="1">
        <v>227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"2036-12-01 23:45:27.984"</f>
        <v>2036-12-01 23:45:27.984</v>
      </c>
      <c r="H1902" t="s">
        <v>21</v>
      </c>
    </row>
    <row r="1903" spans="1:10" x14ac:dyDescent="0.25">
      <c r="A1903" s="1">
        <v>228</v>
      </c>
      <c r="B1903" t="s">
        <v>22</v>
      </c>
      <c r="C1903">
        <v>590</v>
      </c>
      <c r="D1903">
        <v>7</v>
      </c>
      <c r="E1903" t="s">
        <v>84</v>
      </c>
      <c r="F1903" t="s">
        <v>126</v>
      </c>
      <c r="G1903" t="str">
        <f>"2036-12-01 23:45:27.854"</f>
        <v>2036-12-01 23:45:27.854</v>
      </c>
      <c r="H1903" t="s">
        <v>21</v>
      </c>
    </row>
    <row r="1904" spans="1:10" x14ac:dyDescent="0.25">
      <c r="A1904" s="1">
        <v>229</v>
      </c>
      <c r="B1904" t="s">
        <v>25</v>
      </c>
      <c r="C1904">
        <v>107</v>
      </c>
      <c r="D1904">
        <v>2</v>
      </c>
      <c r="E1904" t="s">
        <v>127</v>
      </c>
      <c r="F1904" t="s">
        <v>128</v>
      </c>
      <c r="G1904" t="str">
        <f>"2036-12-01 23:41:26.886"</f>
        <v>2036-12-01 23:41:26.886</v>
      </c>
      <c r="H1904" t="s">
        <v>55</v>
      </c>
    </row>
    <row r="1905" spans="1:8" x14ac:dyDescent="0.25">
      <c r="A1905" s="1">
        <v>230</v>
      </c>
      <c r="B1905" t="s">
        <v>25</v>
      </c>
      <c r="C1905">
        <v>75</v>
      </c>
      <c r="D1905">
        <v>1</v>
      </c>
      <c r="E1905" t="s">
        <v>50</v>
      </c>
      <c r="F1905" t="s">
        <v>51</v>
      </c>
      <c r="G1905" t="str">
        <f>"2036-12-01 23:41:26.317"</f>
        <v>2036-12-01 23:41:26.317</v>
      </c>
      <c r="H1905" t="s">
        <v>52</v>
      </c>
    </row>
    <row r="1906" spans="1:8" x14ac:dyDescent="0.25">
      <c r="A1906" s="1">
        <v>231</v>
      </c>
      <c r="B1906" t="s">
        <v>25</v>
      </c>
      <c r="C1906">
        <v>704</v>
      </c>
      <c r="D1906">
        <v>1</v>
      </c>
      <c r="E1906" t="s">
        <v>120</v>
      </c>
      <c r="F1906" t="s">
        <v>28</v>
      </c>
      <c r="G1906" t="str">
        <f>"2036-12-01 23:41:09.503"</f>
        <v>2036-12-01 23:41:09.503</v>
      </c>
      <c r="H1906" t="s">
        <v>21</v>
      </c>
    </row>
    <row r="1907" spans="1:8" x14ac:dyDescent="0.25">
      <c r="A1907" s="1">
        <v>232</v>
      </c>
      <c r="B1907" t="s">
        <v>25</v>
      </c>
      <c r="C1907">
        <v>590</v>
      </c>
      <c r="D1907">
        <v>7</v>
      </c>
      <c r="E1907" t="s">
        <v>84</v>
      </c>
      <c r="F1907" t="s">
        <v>126</v>
      </c>
      <c r="G1907" t="str">
        <f>"2036-12-01 23:41:08.579"</f>
        <v>2036-12-01 23:41:08.579</v>
      </c>
      <c r="H1907" t="s">
        <v>21</v>
      </c>
    </row>
    <row r="1908" spans="1:8" x14ac:dyDescent="0.25">
      <c r="A1908" s="1">
        <v>233</v>
      </c>
      <c r="B1908" t="s">
        <v>25</v>
      </c>
      <c r="C1908">
        <v>57</v>
      </c>
      <c r="D1908">
        <v>1</v>
      </c>
      <c r="E1908" t="s">
        <v>124</v>
      </c>
      <c r="F1908" t="s">
        <v>125</v>
      </c>
      <c r="G1908" t="str">
        <f>"2036-12-01 23:41:08.566"</f>
        <v>2036-12-01 23:41:08.566</v>
      </c>
      <c r="H1908" t="s">
        <v>55</v>
      </c>
    </row>
    <row r="1909" spans="1:8" x14ac:dyDescent="0.25">
      <c r="A1909" s="1">
        <v>234</v>
      </c>
      <c r="B1909" t="s">
        <v>19</v>
      </c>
      <c r="C1909">
        <v>753</v>
      </c>
      <c r="D1909">
        <v>1</v>
      </c>
      <c r="E1909" t="s">
        <v>86</v>
      </c>
      <c r="F1909" t="s">
        <v>87</v>
      </c>
      <c r="G1909" t="str">
        <f>"2036-12-01 23:41:05.359"</f>
        <v>2036-12-01 23:41:05.359</v>
      </c>
      <c r="H1909" t="s">
        <v>21</v>
      </c>
    </row>
    <row r="1910" spans="1:8" x14ac:dyDescent="0.25">
      <c r="A1910" s="1">
        <v>237</v>
      </c>
      <c r="B1910" t="s">
        <v>40</v>
      </c>
      <c r="C1910">
        <v>641</v>
      </c>
      <c r="D1910">
        <v>1</v>
      </c>
      <c r="E1910" t="s">
        <v>122</v>
      </c>
      <c r="F1910" t="s">
        <v>118</v>
      </c>
      <c r="G1910" t="str">
        <f>"2036-12-01 23:41:00.485"</f>
        <v>2036-12-01 23:41:00.485</v>
      </c>
      <c r="H1910" t="s">
        <v>21</v>
      </c>
    </row>
    <row r="1911" spans="1:8" x14ac:dyDescent="0.25">
      <c r="A1911" s="1">
        <v>238</v>
      </c>
      <c r="B1911" t="s">
        <v>40</v>
      </c>
      <c r="C1911">
        <v>640</v>
      </c>
      <c r="D1911">
        <v>1</v>
      </c>
      <c r="E1911" t="s">
        <v>123</v>
      </c>
      <c r="F1911" t="s">
        <v>119</v>
      </c>
      <c r="G1911" t="str">
        <f>"2036-12-01 23:41:00.483"</f>
        <v>2036-12-01 23:41:00.483</v>
      </c>
      <c r="H1911" t="s">
        <v>39</v>
      </c>
    </row>
    <row r="1912" spans="1:8" x14ac:dyDescent="0.25">
      <c r="A1912" s="1">
        <v>240</v>
      </c>
      <c r="B1912" t="s">
        <v>25</v>
      </c>
      <c r="C1912">
        <v>4</v>
      </c>
      <c r="D1912">
        <v>1</v>
      </c>
      <c r="E1912" t="s">
        <v>69</v>
      </c>
      <c r="F1912" t="s">
        <v>70</v>
      </c>
      <c r="G1912" t="str">
        <f>"2036-12-01 23:40:55.494"</f>
        <v>2036-12-01 23:40:55.494</v>
      </c>
      <c r="H1912" t="s">
        <v>71</v>
      </c>
    </row>
    <row r="1913" spans="1:8" x14ac:dyDescent="0.25">
      <c r="A1913" s="1">
        <v>241</v>
      </c>
      <c r="B1913" t="s">
        <v>25</v>
      </c>
      <c r="C1913">
        <v>12</v>
      </c>
      <c r="D1913">
        <v>1</v>
      </c>
      <c r="E1913" t="s">
        <v>117</v>
      </c>
      <c r="F1913" t="s">
        <v>119</v>
      </c>
      <c r="G1913" t="str">
        <f>"2036-12-01 23:40:54.616"</f>
        <v>2036-12-01 23:40:54.616</v>
      </c>
      <c r="H1913" t="s">
        <v>21</v>
      </c>
    </row>
    <row r="1914" spans="1:8" x14ac:dyDescent="0.25">
      <c r="A1914" s="1">
        <v>242</v>
      </c>
      <c r="B1914" t="s">
        <v>25</v>
      </c>
      <c r="C1914">
        <v>12</v>
      </c>
      <c r="D1914">
        <v>2</v>
      </c>
      <c r="E1914" t="s">
        <v>117</v>
      </c>
      <c r="F1914" t="s">
        <v>118</v>
      </c>
      <c r="G1914" t="str">
        <f>"2036-12-01 23:40:54.516"</f>
        <v>2036-12-01 23:40:54.516</v>
      </c>
      <c r="H1914" t="s">
        <v>21</v>
      </c>
    </row>
    <row r="1915" spans="1:8" x14ac:dyDescent="0.25">
      <c r="A1915" s="1">
        <v>243</v>
      </c>
      <c r="B1915" t="s">
        <v>25</v>
      </c>
      <c r="C1915">
        <v>650</v>
      </c>
      <c r="D1915">
        <v>4</v>
      </c>
      <c r="E1915" t="s">
        <v>115</v>
      </c>
      <c r="F1915" t="s">
        <v>116</v>
      </c>
      <c r="G1915" t="str">
        <f>"2036-12-01 23:40:52.866"</f>
        <v>2036-12-01 23:40:52.866</v>
      </c>
      <c r="H1915" t="s">
        <v>21</v>
      </c>
    </row>
    <row r="1916" spans="1:8" x14ac:dyDescent="0.25">
      <c r="A1916" s="1">
        <v>244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"2036-12-01 23:40:48.859"</f>
        <v>2036-12-01 23:40:48.859</v>
      </c>
      <c r="H1916" t="s">
        <v>21</v>
      </c>
    </row>
  </sheetData>
  <autoFilter ref="A9:J1916" xr:uid="{7435FC86-40A9-4100-B36C-2CBE6BC6F2D6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3926D1-6321-4BBF-815C-5489741A6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events_ru_63_20260506-045458 87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2026-05-05T22:56:47Z</dcterms:modified>
</cp:coreProperties>
</file>
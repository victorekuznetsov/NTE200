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31E69EC1-7078-4BE1-8780-4B9DC16560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89_20260721-163035 89" sheetId="2" r:id="rId1"/>
    <sheet name="Лист1" sheetId="1" r:id="rId2"/>
  </sheets>
  <definedNames>
    <definedName name="_xlnm._FilterDatabase" localSheetId="0" hidden="1">'events_ru_89_20260721-163035 89'!$C$1:$C$1257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F615DA-8406-410C-853D-BC01F6CA3CD6}" keepAlive="1" name="Запрос — events_ru_89_20260721-163035 893" description="Соединение с запросом &quot;events_ru_89_20260721-163035 893&quot; в книге." type="5" refreshedVersion="0" background="1">
    <dbPr connection="Provider=Microsoft.Mashup.OleDb.1;Data Source=$Workbook$;Location=&quot;events_ru_89_20260721-163035 893&quot;;Extended Properties=&quot;&quot;" command="SELECT * FROM [events_ru_89_20260721-163035 893]"/>
  </connection>
</connections>
</file>

<file path=xl/sharedStrings.xml><?xml version="1.0" encoding="utf-8"?>
<sst xmlns="http://schemas.openxmlformats.org/spreadsheetml/2006/main" count="5734" uniqueCount="100">
  <si>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</si>
  <si>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</si>
  <si>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</si>
  <si>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</si>
  <si>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</si>
  <si>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</si>
  <si>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</si>
  <si>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</si>
  <si>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</si>
  <si>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</si>
  <si>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</si>
  <si>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</si>
  <si>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</si>
  <si>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</si>
  <si>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</si>
  <si>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</si>
  <si>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</si>
  <si>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</si>
  <si>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</si>
  <si>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Log+</t>
  </si>
  <si>
    <t>Доступно обновление ПО</t>
  </si>
  <si>
    <t>Инвертор 2</t>
  </si>
  <si>
    <t>Неограничивающее событие</t>
  </si>
  <si>
    <t>Test</t>
  </si>
  <si>
    <t>Инвертор 1</t>
  </si>
  <si>
    <t>Неверный тип ПО ИНВЕРТОРА 2</t>
  </si>
  <si>
    <t>Возможное несоответствие версии программного обеспечения</t>
  </si>
  <si>
    <t>Инв2 Выкл</t>
  </si>
  <si>
    <t>----</t>
  </si>
  <si>
    <t>Изменен серийный номер карты</t>
  </si>
  <si>
    <t>Инвертор №2</t>
  </si>
  <si>
    <t>Неверный тип ПО ИНВЕРТОРА 1</t>
  </si>
  <si>
    <t>Инв1 Выкл</t>
  </si>
  <si>
    <t>Инвертор №1</t>
  </si>
  <si>
    <t>--Включение питания системы--</t>
  </si>
  <si>
    <t>Система в безопасном режиме</t>
  </si>
  <si>
    <t>Введен безопасный режим файловой системы - Низкий заряд батареи</t>
  </si>
  <si>
    <t>SRst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</si>
  <si>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</si>
  <si>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</si>
  <si>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</si>
  <si>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</si>
  <si>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Вход в безопасный режим файловой системы - Запуск двигателя</t>
  </si>
  <si>
    <t>Рабочий тормоз на ходу</t>
  </si>
  <si>
    <t>Рабочие тормоза использованы на ходу</t>
  </si>
  <si>
    <t>Retard</t>
  </si>
  <si>
    <t>Null</t>
  </si>
  <si>
    <t>Получено предупреждение ДВС</t>
  </si>
  <si>
    <t>Не доступно</t>
  </si>
  <si>
    <t>Запрет тяги</t>
  </si>
  <si>
    <t>Ready</t>
  </si>
  <si>
    <t>Reset All Faults</t>
  </si>
  <si>
    <t>Zero</t>
  </si>
  <si>
    <t>Самосвал перегружен - NR</t>
  </si>
  <si>
    <t>Propel</t>
  </si>
  <si>
    <t>WRst</t>
  </si>
  <si>
    <t>Сравнение CMD скорости вращения ДВС</t>
  </si>
  <si>
    <t>ОБ/МИН не соответствуют команде</t>
  </si>
  <si>
    <t>Низкая мощность</t>
  </si>
  <si>
    <t>Регулировка мощности в отрицательной зоне</t>
  </si>
  <si>
    <t xml:space="preserve">Log </t>
  </si>
  <si>
    <t>ARst</t>
  </si>
  <si>
    <t>Начальная загрузка системы не из-за включения питания</t>
  </si>
  <si>
    <t>Быстрый таймер</t>
  </si>
  <si>
    <t>TMC1 Чоппер 2 ИНВ (NR)</t>
  </si>
  <si>
    <t>Прерыватель 2 не выключен при напряжении пост. тока</t>
  </si>
  <si>
    <t>Самопроизвольный останов ДВС</t>
  </si>
  <si>
    <t>Unrequested Engine Speed Drop - While Stopped</t>
  </si>
  <si>
    <t>Нет питания</t>
  </si>
  <si>
    <t>Превышении скорости</t>
  </si>
  <si>
    <t>Управление скоростью - превышение</t>
  </si>
  <si>
    <t>Вход в безопасный режим файловой системы - Ключ или CPS</t>
  </si>
  <si>
    <t>Su-Sd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</si>
  <si>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</si>
  <si>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</si>
  <si>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</si>
  <si>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Команда сохранения данных PTU</t>
  </si>
  <si>
    <t>Инициированное водителем сохранение данных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</si>
  <si>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</si>
  <si>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</si>
  <si>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</si>
  <si>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</si>
  <si>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</si>
  <si>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</si>
  <si>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Активна блокировка ХХ на холодном ДВС</t>
  </si>
  <si>
    <t>--Сброс статистики--</t>
  </si>
  <si>
    <t>Установка часов реального времени</t>
  </si>
  <si>
    <t>через WebPTU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</si>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</sst>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70FD-6497-4A58-A164-EE3F1706D74A}">
  <dimension ref="A1:J1257"/>
  <sheetViews>
    <sheetView tabSelected="1" workbookViewId="0">
      <selection activeCell="E5" sqref="E5"/>
    </sheetView>
  </sheetViews>
  <sheetFormatPr defaultRowHeight="15" x14ac:dyDescent="0.25"/>
  <cols>
    <col min="1" max="1" width="16" bestFit="1" customWidth="1"/>
    <col min="5" max="5" width="31.5703125" customWidth="1"/>
    <col min="6" max="6" width="67.7109375" customWidth="1"/>
    <col min="7" max="7" width="22" bestFit="1" customWidth="1"/>
    <col min="8" max="8" width="44.140625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89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"2026-07-21 16:30:35.893"</f>
        <v>2026-07-21 16:30:35.893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590</v>
      </c>
      <c r="D10">
        <v>8</v>
      </c>
      <c r="E10" t="s">
        <v>20</v>
      </c>
      <c r="F10" t="s">
        <v>21</v>
      </c>
      <c r="G10" t="str">
        <f>"2026-07-21 16:30:07.767"</f>
        <v>2026-07-21 16:30:07.767</v>
      </c>
      <c r="H10" t="s">
        <v>22</v>
      </c>
      <c r="I10">
        <v>0</v>
      </c>
      <c r="J10" t="s">
        <v>23</v>
      </c>
    </row>
    <row r="11" spans="1:10" x14ac:dyDescent="0.25">
      <c r="A11" s="1"/>
      <c r="B11" t="s">
        <v>19</v>
      </c>
      <c r="C11">
        <v>590</v>
      </c>
      <c r="D11">
        <v>7</v>
      </c>
      <c r="E11" t="s">
        <v>20</v>
      </c>
      <c r="F11" t="s">
        <v>24</v>
      </c>
      <c r="G11" t="str">
        <f>"2026-07-21 16:30:07.766"</f>
        <v>2026-07-21 16:30:07.766</v>
      </c>
      <c r="H11" t="s">
        <v>22</v>
      </c>
      <c r="I11">
        <v>0</v>
      </c>
      <c r="J11" t="s">
        <v>23</v>
      </c>
    </row>
    <row r="12" spans="1:10" x14ac:dyDescent="0.25">
      <c r="A12" s="1"/>
      <c r="B12" t="s">
        <v>19</v>
      </c>
      <c r="C12">
        <v>58</v>
      </c>
      <c r="D12">
        <v>1</v>
      </c>
      <c r="E12" t="s">
        <v>25</v>
      </c>
      <c r="F12" t="s">
        <v>26</v>
      </c>
      <c r="G12" t="str">
        <f>"2026-07-21 16:30:07.761"</f>
        <v>2026-07-21 16:30:07.761</v>
      </c>
      <c r="H12" t="s">
        <v>27</v>
      </c>
      <c r="I12">
        <v>0</v>
      </c>
      <c r="J12" t="s">
        <v>23</v>
      </c>
    </row>
    <row r="13" spans="1:10" x14ac:dyDescent="0.25">
      <c r="A13" s="1"/>
      <c r="B13" t="s">
        <v>28</v>
      </c>
      <c r="C13">
        <v>776</v>
      </c>
      <c r="D13">
        <v>2</v>
      </c>
      <c r="E13" t="s">
        <v>29</v>
      </c>
      <c r="F13" t="s">
        <v>30</v>
      </c>
      <c r="G13" t="str">
        <f>"2026-07-21 16:30:07.760"</f>
        <v>2026-07-21 16:30:07.760</v>
      </c>
      <c r="H13" t="s">
        <v>22</v>
      </c>
      <c r="I13">
        <v>0</v>
      </c>
      <c r="J13" t="s">
        <v>23</v>
      </c>
    </row>
    <row r="14" spans="1:10" x14ac:dyDescent="0.25">
      <c r="A14" s="1"/>
      <c r="B14" t="s">
        <v>19</v>
      </c>
      <c r="C14">
        <v>57</v>
      </c>
      <c r="D14">
        <v>1</v>
      </c>
      <c r="E14" t="s">
        <v>31</v>
      </c>
      <c r="F14" t="s">
        <v>26</v>
      </c>
      <c r="G14" t="str">
        <f>"2026-07-21 16:30:07.758"</f>
        <v>2026-07-21 16:30:07.758</v>
      </c>
      <c r="H14" t="s">
        <v>32</v>
      </c>
      <c r="I14">
        <v>0</v>
      </c>
      <c r="J14" t="s">
        <v>23</v>
      </c>
    </row>
    <row r="15" spans="1:10" x14ac:dyDescent="0.25">
      <c r="A15" s="1"/>
      <c r="B15" t="s">
        <v>28</v>
      </c>
      <c r="C15">
        <v>776</v>
      </c>
      <c r="D15">
        <v>1</v>
      </c>
      <c r="E15" t="s">
        <v>29</v>
      </c>
      <c r="F15" t="s">
        <v>33</v>
      </c>
      <c r="G15" t="str">
        <f>"2026-07-21 16:30:07.757"</f>
        <v>2026-07-21 16:30:07.757</v>
      </c>
      <c r="H15" t="s">
        <v>22</v>
      </c>
      <c r="I15">
        <v>0</v>
      </c>
      <c r="J15" t="s">
        <v>23</v>
      </c>
    </row>
    <row r="16" spans="1:10" x14ac:dyDescent="0.25">
      <c r="A16" s="1"/>
      <c r="B16" t="s">
        <v>28</v>
      </c>
      <c r="C16">
        <v>700</v>
      </c>
      <c r="D16">
        <v>0</v>
      </c>
      <c r="E16" t="s">
        <v>34</v>
      </c>
      <c r="F16" t="s">
        <v>34</v>
      </c>
      <c r="G16" t="str">
        <f>"2026-07-21 16:30:02.026"</f>
        <v>2026-07-21 16:30:02.026</v>
      </c>
      <c r="H16" t="s">
        <v>22</v>
      </c>
    </row>
    <row r="17" spans="1:10" x14ac:dyDescent="0.25">
      <c r="A17" s="1">
        <v>1</v>
      </c>
      <c r="B17" t="s">
        <v>28</v>
      </c>
      <c r="C17">
        <v>706</v>
      </c>
      <c r="D17">
        <v>4</v>
      </c>
      <c r="E17" t="s">
        <v>35</v>
      </c>
      <c r="F17" t="s">
        <v>36</v>
      </c>
      <c r="G17" t="str">
        <f>"2026-07-21 15:23:14.250"</f>
        <v>2026-07-21 15:23:14.250</v>
      </c>
      <c r="H17" t="s">
        <v>22</v>
      </c>
      <c r="I17">
        <v>0</v>
      </c>
      <c r="J17" t="s">
        <v>23</v>
      </c>
    </row>
    <row r="18" spans="1:10" x14ac:dyDescent="0.25">
      <c r="A18" s="1">
        <v>4</v>
      </c>
      <c r="B18" t="s">
        <v>28</v>
      </c>
      <c r="C18">
        <v>700</v>
      </c>
      <c r="D18">
        <v>0</v>
      </c>
      <c r="E18" t="s">
        <v>34</v>
      </c>
      <c r="F18" t="s">
        <v>34</v>
      </c>
      <c r="G18" t="str">
        <f>"2026-07-21 15:20:36.800"</f>
        <v>2026-07-21 15:20:36.800</v>
      </c>
      <c r="H18" t="s">
        <v>22</v>
      </c>
    </row>
    <row r="19" spans="1:10" x14ac:dyDescent="0.25">
      <c r="A19" s="1">
        <v>5</v>
      </c>
      <c r="B19" t="s">
        <v>28</v>
      </c>
      <c r="C19">
        <v>706</v>
      </c>
      <c r="D19">
        <v>4</v>
      </c>
      <c r="E19" t="s">
        <v>35</v>
      </c>
      <c r="F19" t="s">
        <v>36</v>
      </c>
      <c r="G19" t="str">
        <f>"2026-07-21 14:57:54.583"</f>
        <v>2026-07-21 14:57:54.583</v>
      </c>
      <c r="H19" t="s">
        <v>22</v>
      </c>
      <c r="I19">
        <v>0</v>
      </c>
      <c r="J19" t="s">
        <v>23</v>
      </c>
    </row>
    <row r="20" spans="1:10" x14ac:dyDescent="0.25">
      <c r="A20" s="1">
        <v>6</v>
      </c>
      <c r="B20" t="s">
        <v>37</v>
      </c>
      <c r="C20">
        <v>49</v>
      </c>
      <c r="D20">
        <v>1</v>
      </c>
      <c r="E20" t="s">
        <v>38</v>
      </c>
      <c r="F20" t="s">
        <v>39</v>
      </c>
      <c r="G20" t="str">
        <f>"2026-07-21 14:57:46.783"</f>
        <v>2026-07-21 14:57:46.783</v>
      </c>
      <c r="H20" t="s">
        <v>40</v>
      </c>
    </row>
    <row r="21" spans="1:10" x14ac:dyDescent="0.25">
      <c r="A21" s="1">
        <v>8</v>
      </c>
      <c r="B21" t="s">
        <v>19</v>
      </c>
      <c r="C21">
        <v>49</v>
      </c>
      <c r="D21">
        <v>1</v>
      </c>
      <c r="E21" t="s">
        <v>38</v>
      </c>
      <c r="F21" t="s">
        <v>39</v>
      </c>
      <c r="G21" t="str">
        <f>"2026-07-21 14:56:00.583"</f>
        <v>2026-07-21 14:56:00.583</v>
      </c>
      <c r="H21" t="s">
        <v>40</v>
      </c>
      <c r="I21">
        <v>0</v>
      </c>
      <c r="J21" t="s">
        <v>41</v>
      </c>
    </row>
    <row r="22" spans="1:10" x14ac:dyDescent="0.25">
      <c r="A22" s="1">
        <v>0</v>
      </c>
      <c r="B22" t="s">
        <v>28</v>
      </c>
      <c r="C22">
        <v>700</v>
      </c>
      <c r="D22">
        <v>0</v>
      </c>
      <c r="E22" t="s">
        <v>34</v>
      </c>
      <c r="F22" t="s">
        <v>34</v>
      </c>
      <c r="G22" t="str">
        <f>"2026-07-21 14:54:40.853"</f>
        <v>2026-07-21 14:54:40.853</v>
      </c>
      <c r="H22" t="s">
        <v>22</v>
      </c>
    </row>
    <row r="23" spans="1:10" x14ac:dyDescent="0.25">
      <c r="A23" s="1">
        <v>1</v>
      </c>
      <c r="B23" t="s">
        <v>37</v>
      </c>
      <c r="C23">
        <v>49</v>
      </c>
      <c r="D23">
        <v>1</v>
      </c>
      <c r="E23" t="s">
        <v>38</v>
      </c>
      <c r="F23" t="s">
        <v>39</v>
      </c>
      <c r="G23" t="str">
        <f>"2026-07-21 13:25:02.156"</f>
        <v>2026-07-21 13:25:02.156</v>
      </c>
      <c r="H23" t="s">
        <v>40</v>
      </c>
    </row>
    <row r="24" spans="1:10" x14ac:dyDescent="0.25">
      <c r="A24" s="1">
        <v>2</v>
      </c>
      <c r="B24" t="s">
        <v>28</v>
      </c>
      <c r="C24">
        <v>706</v>
      </c>
      <c r="D24">
        <v>2</v>
      </c>
      <c r="E24" t="s">
        <v>35</v>
      </c>
      <c r="F24" t="s">
        <v>42</v>
      </c>
      <c r="G24" t="str">
        <f>"2026-07-21 13:24:59.815"</f>
        <v>2026-07-21 13:24:59.815</v>
      </c>
      <c r="H24" t="s">
        <v>22</v>
      </c>
      <c r="I24">
        <v>0</v>
      </c>
      <c r="J24" t="s">
        <v>23</v>
      </c>
    </row>
    <row r="25" spans="1:10" x14ac:dyDescent="0.25">
      <c r="A25" s="1">
        <v>4</v>
      </c>
      <c r="B25" t="s">
        <v>19</v>
      </c>
      <c r="C25">
        <v>49</v>
      </c>
      <c r="D25">
        <v>1</v>
      </c>
      <c r="E25" t="s">
        <v>38</v>
      </c>
      <c r="F25" t="s">
        <v>39</v>
      </c>
      <c r="G25" t="str">
        <f>"2026-07-21 12:52:14.256"</f>
        <v>2026-07-21 12:52:14.256</v>
      </c>
      <c r="H25" t="s">
        <v>40</v>
      </c>
      <c r="I25">
        <v>0</v>
      </c>
      <c r="J25" t="s">
        <v>23</v>
      </c>
    </row>
    <row r="26" spans="1:10" x14ac:dyDescent="0.25">
      <c r="A26" s="1">
        <v>6</v>
      </c>
      <c r="B26" t="s">
        <v>37</v>
      </c>
      <c r="C26">
        <v>49</v>
      </c>
      <c r="D26">
        <v>1</v>
      </c>
      <c r="E26" t="s">
        <v>38</v>
      </c>
      <c r="F26" t="s">
        <v>39</v>
      </c>
      <c r="G26" t="str">
        <f>"2026-07-21 11:18:56.056"</f>
        <v>2026-07-21 11:18:56.056</v>
      </c>
      <c r="H26" t="s">
        <v>40</v>
      </c>
    </row>
    <row r="27" spans="1:10" x14ac:dyDescent="0.25">
      <c r="A27" s="1">
        <v>7</v>
      </c>
      <c r="B27" t="s">
        <v>28</v>
      </c>
      <c r="C27">
        <v>706</v>
      </c>
      <c r="D27">
        <v>2</v>
      </c>
      <c r="E27" t="s">
        <v>35</v>
      </c>
      <c r="F27" t="s">
        <v>42</v>
      </c>
      <c r="G27" t="str">
        <f>"2026-07-21 11:18:51.515"</f>
        <v>2026-07-21 11:18:51.515</v>
      </c>
      <c r="H27" t="s">
        <v>22</v>
      </c>
      <c r="I27">
        <v>0</v>
      </c>
      <c r="J27" t="s">
        <v>23</v>
      </c>
    </row>
    <row r="28" spans="1:10" x14ac:dyDescent="0.25">
      <c r="A28" s="1">
        <v>9</v>
      </c>
      <c r="B28" t="s">
        <v>19</v>
      </c>
      <c r="C28">
        <v>49</v>
      </c>
      <c r="D28">
        <v>1</v>
      </c>
      <c r="E28" t="s">
        <v>38</v>
      </c>
      <c r="F28" t="s">
        <v>39</v>
      </c>
      <c r="G28" t="str">
        <f>"2026-07-21 11:07:20.156"</f>
        <v>2026-07-21 11:07:20.156</v>
      </c>
      <c r="H28" t="s">
        <v>40</v>
      </c>
      <c r="I28">
        <v>0</v>
      </c>
      <c r="J28" t="s">
        <v>23</v>
      </c>
    </row>
    <row r="29" spans="1:10" s="3" customFormat="1" x14ac:dyDescent="0.25">
      <c r="A29" s="2">
        <v>1</v>
      </c>
      <c r="B29" s="3" t="s">
        <v>37</v>
      </c>
      <c r="C29" s="3">
        <v>647</v>
      </c>
      <c r="D29" s="3">
        <v>1</v>
      </c>
      <c r="E29" s="3" t="s">
        <v>43</v>
      </c>
      <c r="F29" s="3" t="s">
        <v>44</v>
      </c>
      <c r="G29" s="3" t="str">
        <f>"2026-07-21 09:09:47.456"</f>
        <v>2026-07-21 09:09:47.456</v>
      </c>
      <c r="H29" s="3" t="s">
        <v>22</v>
      </c>
    </row>
    <row r="30" spans="1:10" s="3" customFormat="1" x14ac:dyDescent="0.25">
      <c r="A30" s="2">
        <v>2</v>
      </c>
      <c r="B30" s="3" t="s">
        <v>19</v>
      </c>
      <c r="C30" s="3">
        <v>647</v>
      </c>
      <c r="D30" s="3">
        <v>1</v>
      </c>
      <c r="E30" s="3" t="s">
        <v>43</v>
      </c>
      <c r="F30" s="3" t="s">
        <v>44</v>
      </c>
      <c r="G30" s="3" t="str">
        <f>"2026-07-21 09:09:43.056"</f>
        <v>2026-07-21 09:09:43.056</v>
      </c>
      <c r="H30" s="3" t="s">
        <v>22</v>
      </c>
      <c r="I30" s="3">
        <v>9.27</v>
      </c>
      <c r="J30" s="3" t="s">
        <v>45</v>
      </c>
    </row>
    <row r="31" spans="1:10" x14ac:dyDescent="0.25">
      <c r="A31" s="1">
        <v>3</v>
      </c>
      <c r="B31" t="s">
        <v>28</v>
      </c>
      <c r="C31">
        <v>706</v>
      </c>
      <c r="D31">
        <v>2</v>
      </c>
      <c r="E31" t="s">
        <v>35</v>
      </c>
      <c r="F31" t="s">
        <v>42</v>
      </c>
      <c r="G31" t="str">
        <f>"2026-07-20 23:01:23.315"</f>
        <v>2026-07-20 23:01:23.315</v>
      </c>
      <c r="H31" t="s">
        <v>22</v>
      </c>
      <c r="I31">
        <v>0</v>
      </c>
      <c r="J31" t="s">
        <v>23</v>
      </c>
    </row>
    <row r="32" spans="1:10" x14ac:dyDescent="0.25">
      <c r="A32" s="1">
        <v>4</v>
      </c>
      <c r="B32" t="s">
        <v>28</v>
      </c>
      <c r="C32">
        <v>700</v>
      </c>
      <c r="D32">
        <v>0</v>
      </c>
      <c r="E32" t="s">
        <v>34</v>
      </c>
      <c r="F32" t="s">
        <v>34</v>
      </c>
      <c r="G32" t="str">
        <f>"2026-07-20 23:00:47.785"</f>
        <v>2026-07-20 23:00:47.785</v>
      </c>
      <c r="H32" t="s">
        <v>22</v>
      </c>
      <c r="I32">
        <v>0</v>
      </c>
      <c r="J32" t="s">
        <v>46</v>
      </c>
    </row>
    <row r="33" spans="1:10" x14ac:dyDescent="0.25">
      <c r="A33" s="1">
        <v>5</v>
      </c>
      <c r="B33" t="s">
        <v>28</v>
      </c>
      <c r="C33">
        <v>706</v>
      </c>
      <c r="D33">
        <v>2</v>
      </c>
      <c r="E33" t="s">
        <v>35</v>
      </c>
      <c r="F33" t="s">
        <v>42</v>
      </c>
      <c r="G33" t="str">
        <f>"2026-07-20 20:13:36.710"</f>
        <v>2026-07-20 20:13:36.710</v>
      </c>
      <c r="H33" t="s">
        <v>22</v>
      </c>
      <c r="I33">
        <v>0</v>
      </c>
      <c r="J33" t="s">
        <v>23</v>
      </c>
    </row>
    <row r="34" spans="1:10" x14ac:dyDescent="0.25">
      <c r="A34" s="1">
        <v>6</v>
      </c>
      <c r="B34" t="s">
        <v>28</v>
      </c>
      <c r="C34">
        <v>700</v>
      </c>
      <c r="D34">
        <v>0</v>
      </c>
      <c r="E34" t="s">
        <v>34</v>
      </c>
      <c r="F34" t="s">
        <v>34</v>
      </c>
      <c r="G34" t="str">
        <f>"2026-07-20 20:13:15.910"</f>
        <v>2026-07-20 20:13:15.910</v>
      </c>
      <c r="H34" t="s">
        <v>22</v>
      </c>
    </row>
    <row r="35" spans="1:10" x14ac:dyDescent="0.25">
      <c r="A35" s="1">
        <v>7</v>
      </c>
      <c r="B35" t="s">
        <v>28</v>
      </c>
      <c r="C35">
        <v>706</v>
      </c>
      <c r="D35">
        <v>4</v>
      </c>
      <c r="E35" t="s">
        <v>35</v>
      </c>
      <c r="F35" t="s">
        <v>36</v>
      </c>
      <c r="G35" t="str">
        <f>"2026-07-20 19:01:41.082"</f>
        <v>2026-07-20 19:01:41.082</v>
      </c>
      <c r="H35" t="s">
        <v>22</v>
      </c>
      <c r="I35">
        <v>0</v>
      </c>
      <c r="J35" t="s">
        <v>23</v>
      </c>
    </row>
    <row r="36" spans="1:10" x14ac:dyDescent="0.25">
      <c r="A36" s="1">
        <v>8</v>
      </c>
      <c r="B36" t="s">
        <v>37</v>
      </c>
      <c r="C36">
        <v>49</v>
      </c>
      <c r="D36">
        <v>1</v>
      </c>
      <c r="E36" t="s">
        <v>38</v>
      </c>
      <c r="F36" t="s">
        <v>39</v>
      </c>
      <c r="G36" t="str">
        <f>"2026-07-20 19:01:29.581"</f>
        <v>2026-07-20 19:01:29.581</v>
      </c>
      <c r="H36" t="s">
        <v>40</v>
      </c>
    </row>
    <row r="37" spans="1:10" x14ac:dyDescent="0.25">
      <c r="A37" s="1">
        <v>0</v>
      </c>
      <c r="B37" t="s">
        <v>28</v>
      </c>
      <c r="C37">
        <v>700</v>
      </c>
      <c r="D37">
        <v>0</v>
      </c>
      <c r="E37" t="s">
        <v>34</v>
      </c>
      <c r="F37" t="s">
        <v>34</v>
      </c>
      <c r="G37" t="str">
        <f>"2026-07-20 18:40:35.022"</f>
        <v>2026-07-20 18:40:35.022</v>
      </c>
      <c r="H37" t="s">
        <v>22</v>
      </c>
    </row>
    <row r="38" spans="1:10" x14ac:dyDescent="0.25">
      <c r="A38" s="1">
        <v>1</v>
      </c>
      <c r="B38" t="s">
        <v>19</v>
      </c>
      <c r="C38">
        <v>49</v>
      </c>
      <c r="D38">
        <v>1</v>
      </c>
      <c r="E38" t="s">
        <v>38</v>
      </c>
      <c r="F38" t="s">
        <v>39</v>
      </c>
      <c r="G38" t="str">
        <f>"2026-07-20 17:55:15.487"</f>
        <v>2026-07-20 17:55:15.487</v>
      </c>
      <c r="H38" t="s">
        <v>40</v>
      </c>
      <c r="I38">
        <v>0</v>
      </c>
      <c r="J38" t="s">
        <v>23</v>
      </c>
    </row>
    <row r="39" spans="1:10" x14ac:dyDescent="0.25">
      <c r="A39" s="1">
        <v>3</v>
      </c>
      <c r="B39" t="s">
        <v>28</v>
      </c>
      <c r="C39">
        <v>706</v>
      </c>
      <c r="D39">
        <v>2</v>
      </c>
      <c r="E39" t="s">
        <v>35</v>
      </c>
      <c r="F39" t="s">
        <v>42</v>
      </c>
      <c r="G39" t="str">
        <f>"2026-07-20 17:20:42.876"</f>
        <v>2026-07-20 17:20:42.876</v>
      </c>
      <c r="H39" t="s">
        <v>22</v>
      </c>
      <c r="I39">
        <v>0</v>
      </c>
      <c r="J39" t="s">
        <v>23</v>
      </c>
    </row>
    <row r="40" spans="1:10" x14ac:dyDescent="0.25">
      <c r="A40" s="1">
        <v>4</v>
      </c>
      <c r="B40" t="s">
        <v>28</v>
      </c>
      <c r="C40">
        <v>700</v>
      </c>
      <c r="D40">
        <v>0</v>
      </c>
      <c r="E40" t="s">
        <v>34</v>
      </c>
      <c r="F40" t="s">
        <v>34</v>
      </c>
      <c r="G40" t="str">
        <f>"2026-07-20 17:19:51.846"</f>
        <v>2026-07-20 17:19:51.846</v>
      </c>
      <c r="H40" t="s">
        <v>22</v>
      </c>
      <c r="I40">
        <v>0</v>
      </c>
      <c r="J40" t="s">
        <v>46</v>
      </c>
    </row>
    <row r="41" spans="1:10" x14ac:dyDescent="0.25">
      <c r="A41" s="1">
        <v>5</v>
      </c>
      <c r="B41" t="s">
        <v>28</v>
      </c>
      <c r="C41">
        <v>706</v>
      </c>
      <c r="D41">
        <v>4</v>
      </c>
      <c r="E41" t="s">
        <v>35</v>
      </c>
      <c r="F41" t="s">
        <v>36</v>
      </c>
      <c r="G41" t="str">
        <f>"2026-07-20 16:39:35.941"</f>
        <v>2026-07-20 16:39:35.941</v>
      </c>
      <c r="H41" t="s">
        <v>22</v>
      </c>
      <c r="I41">
        <v>0</v>
      </c>
      <c r="J41" t="s">
        <v>23</v>
      </c>
    </row>
    <row r="42" spans="1:10" x14ac:dyDescent="0.25">
      <c r="A42" s="1">
        <v>6</v>
      </c>
      <c r="B42" t="s">
        <v>37</v>
      </c>
      <c r="C42">
        <v>49</v>
      </c>
      <c r="D42">
        <v>1</v>
      </c>
      <c r="E42" t="s">
        <v>38</v>
      </c>
      <c r="F42" t="s">
        <v>39</v>
      </c>
      <c r="G42" t="str">
        <f>"2026-07-20 16:37:52.451"</f>
        <v>2026-07-20 16:37:52.451</v>
      </c>
      <c r="H42" t="s">
        <v>40</v>
      </c>
    </row>
    <row r="43" spans="1:10" x14ac:dyDescent="0.25">
      <c r="A43" s="1">
        <v>8</v>
      </c>
      <c r="B43" t="s">
        <v>19</v>
      </c>
      <c r="C43">
        <v>49</v>
      </c>
      <c r="D43">
        <v>1</v>
      </c>
      <c r="E43" t="s">
        <v>38</v>
      </c>
      <c r="F43" t="s">
        <v>39</v>
      </c>
      <c r="G43" t="str">
        <f>"2026-07-20 16:37:09.551"</f>
        <v>2026-07-20 16:37:09.551</v>
      </c>
      <c r="H43" t="s">
        <v>40</v>
      </c>
      <c r="I43">
        <v>0</v>
      </c>
      <c r="J43" t="s">
        <v>41</v>
      </c>
    </row>
    <row r="44" spans="1:10" x14ac:dyDescent="0.25">
      <c r="A44" s="1">
        <v>0</v>
      </c>
      <c r="B44" t="s">
        <v>28</v>
      </c>
      <c r="C44">
        <v>700</v>
      </c>
      <c r="D44">
        <v>0</v>
      </c>
      <c r="E44" t="s">
        <v>34</v>
      </c>
      <c r="F44" t="s">
        <v>34</v>
      </c>
      <c r="G44" t="str">
        <f>"2026-07-20 16:35:49.821"</f>
        <v>2026-07-20 16:35:49.821</v>
      </c>
      <c r="H44" t="s">
        <v>22</v>
      </c>
      <c r="I44">
        <v>0</v>
      </c>
      <c r="J44" t="s">
        <v>46</v>
      </c>
    </row>
    <row r="45" spans="1:10" x14ac:dyDescent="0.25">
      <c r="A45" s="1">
        <v>1</v>
      </c>
      <c r="B45" t="s">
        <v>37</v>
      </c>
      <c r="C45">
        <v>49</v>
      </c>
      <c r="D45">
        <v>1</v>
      </c>
      <c r="E45" t="s">
        <v>38</v>
      </c>
      <c r="F45" t="s">
        <v>39</v>
      </c>
      <c r="G45" t="str">
        <f>"2026-07-20 14:12:13.398"</f>
        <v>2026-07-20 14:12:13.398</v>
      </c>
      <c r="H45" t="s">
        <v>40</v>
      </c>
    </row>
    <row r="46" spans="1:10" x14ac:dyDescent="0.25">
      <c r="A46" s="1">
        <v>2</v>
      </c>
      <c r="B46" t="s">
        <v>28</v>
      </c>
      <c r="C46">
        <v>706</v>
      </c>
      <c r="D46">
        <v>2</v>
      </c>
      <c r="E46" t="s">
        <v>35</v>
      </c>
      <c r="F46" t="s">
        <v>42</v>
      </c>
      <c r="G46" t="str">
        <f>"2026-07-20 14:12:08.967"</f>
        <v>2026-07-20 14:12:08.967</v>
      </c>
      <c r="H46" t="s">
        <v>22</v>
      </c>
      <c r="I46">
        <v>0</v>
      </c>
      <c r="J46" t="s">
        <v>23</v>
      </c>
    </row>
    <row r="47" spans="1:10" x14ac:dyDescent="0.25">
      <c r="A47" s="1">
        <v>4</v>
      </c>
      <c r="B47" t="s">
        <v>19</v>
      </c>
      <c r="C47">
        <v>49</v>
      </c>
      <c r="D47">
        <v>1</v>
      </c>
      <c r="E47" t="s">
        <v>38</v>
      </c>
      <c r="F47" t="s">
        <v>39</v>
      </c>
      <c r="G47" t="str">
        <f>"2026-07-20 12:53:59.897"</f>
        <v>2026-07-20 12:53:59.897</v>
      </c>
      <c r="H47" t="s">
        <v>40</v>
      </c>
      <c r="I47">
        <v>0</v>
      </c>
      <c r="J47" t="s">
        <v>23</v>
      </c>
    </row>
    <row r="48" spans="1:10" x14ac:dyDescent="0.25">
      <c r="A48" s="1">
        <v>6</v>
      </c>
      <c r="B48" t="s">
        <v>28</v>
      </c>
      <c r="C48">
        <v>706</v>
      </c>
      <c r="D48">
        <v>2</v>
      </c>
      <c r="E48" t="s">
        <v>35</v>
      </c>
      <c r="F48" t="s">
        <v>42</v>
      </c>
      <c r="G48" t="str">
        <f>"2026-07-20 12:44:24.767"</f>
        <v>2026-07-20 12:44:24.767</v>
      </c>
      <c r="H48" t="s">
        <v>22</v>
      </c>
      <c r="I48">
        <v>0</v>
      </c>
      <c r="J48" t="s">
        <v>23</v>
      </c>
    </row>
    <row r="49" spans="1:10" x14ac:dyDescent="0.25">
      <c r="A49" s="1">
        <v>7</v>
      </c>
      <c r="B49" t="s">
        <v>37</v>
      </c>
      <c r="C49">
        <v>49</v>
      </c>
      <c r="D49">
        <v>1</v>
      </c>
      <c r="E49" t="s">
        <v>38</v>
      </c>
      <c r="F49" t="s">
        <v>39</v>
      </c>
      <c r="G49" t="str">
        <f>"2026-07-20 12:44:18.998"</f>
        <v>2026-07-20 12:44:18.998</v>
      </c>
      <c r="H49" t="s">
        <v>40</v>
      </c>
    </row>
    <row r="50" spans="1:10" x14ac:dyDescent="0.25">
      <c r="A50" s="1">
        <v>9</v>
      </c>
      <c r="B50" t="s">
        <v>19</v>
      </c>
      <c r="C50">
        <v>49</v>
      </c>
      <c r="D50">
        <v>1</v>
      </c>
      <c r="E50" t="s">
        <v>38</v>
      </c>
      <c r="F50" t="s">
        <v>39</v>
      </c>
      <c r="G50" t="str">
        <f>"2026-07-20 12:37:46.798"</f>
        <v>2026-07-20 12:37:46.798</v>
      </c>
      <c r="H50" t="s">
        <v>40</v>
      </c>
      <c r="I50">
        <v>0</v>
      </c>
      <c r="J50" t="s">
        <v>23</v>
      </c>
    </row>
    <row r="51" spans="1:10" x14ac:dyDescent="0.25">
      <c r="A51" s="1">
        <v>1</v>
      </c>
      <c r="B51" t="s">
        <v>37</v>
      </c>
      <c r="C51">
        <v>619</v>
      </c>
      <c r="D51">
        <v>1</v>
      </c>
      <c r="E51" t="s">
        <v>47</v>
      </c>
      <c r="F51" t="s">
        <v>48</v>
      </c>
      <c r="G51" t="str">
        <f>"2026-07-20 12:28:20.744"</f>
        <v>2026-07-20 12:28:20.744</v>
      </c>
      <c r="H51" t="s">
        <v>49</v>
      </c>
    </row>
    <row r="52" spans="1:10" x14ac:dyDescent="0.25">
      <c r="A52" s="1">
        <v>2</v>
      </c>
      <c r="B52" t="s">
        <v>19</v>
      </c>
      <c r="C52">
        <v>619</v>
      </c>
      <c r="D52">
        <v>1</v>
      </c>
      <c r="E52" t="s">
        <v>47</v>
      </c>
      <c r="F52" t="s">
        <v>48</v>
      </c>
      <c r="G52" t="str">
        <f>"2026-07-20 12:27:48.096"</f>
        <v>2026-07-20 12:27:48.096</v>
      </c>
      <c r="H52" t="s">
        <v>49</v>
      </c>
      <c r="I52">
        <v>0</v>
      </c>
      <c r="J52" t="s">
        <v>50</v>
      </c>
    </row>
    <row r="53" spans="1:10" s="3" customFormat="1" x14ac:dyDescent="0.25">
      <c r="A53" s="2">
        <v>3</v>
      </c>
      <c r="B53" s="3" t="s">
        <v>37</v>
      </c>
      <c r="C53" s="3">
        <v>647</v>
      </c>
      <c r="D53" s="3">
        <v>1</v>
      </c>
      <c r="E53" s="3" t="s">
        <v>43</v>
      </c>
      <c r="F53" s="3" t="s">
        <v>44</v>
      </c>
      <c r="G53" s="3" t="str">
        <f>"2026-07-20 09:43:37.898"</f>
        <v>2026-07-20 09:43:37.898</v>
      </c>
      <c r="H53" s="3" t="s">
        <v>22</v>
      </c>
    </row>
    <row r="54" spans="1:10" s="3" customFormat="1" x14ac:dyDescent="0.25">
      <c r="A54" s="2">
        <v>4</v>
      </c>
      <c r="B54" s="3" t="s">
        <v>19</v>
      </c>
      <c r="C54" s="3">
        <v>647</v>
      </c>
      <c r="D54" s="3">
        <v>1</v>
      </c>
      <c r="E54" s="3" t="s">
        <v>43</v>
      </c>
      <c r="F54" s="3" t="s">
        <v>44</v>
      </c>
      <c r="G54" s="3" t="str">
        <f>"2026-07-20 09:43:32.698"</f>
        <v>2026-07-20 09:43:32.698</v>
      </c>
      <c r="H54" s="3" t="s">
        <v>22</v>
      </c>
      <c r="I54" s="3">
        <v>15.38</v>
      </c>
      <c r="J54" s="3" t="s">
        <v>45</v>
      </c>
    </row>
    <row r="55" spans="1:10" s="3" customFormat="1" x14ac:dyDescent="0.25">
      <c r="A55" s="2">
        <v>5</v>
      </c>
      <c r="B55" s="3" t="s">
        <v>37</v>
      </c>
      <c r="C55" s="3">
        <v>647</v>
      </c>
      <c r="D55" s="3">
        <v>1</v>
      </c>
      <c r="E55" s="3" t="s">
        <v>43</v>
      </c>
      <c r="F55" s="3" t="s">
        <v>44</v>
      </c>
      <c r="G55" s="3" t="str">
        <f>"2026-07-19 14:59:07.798"</f>
        <v>2026-07-19 14:59:07.798</v>
      </c>
      <c r="H55" s="3" t="s">
        <v>22</v>
      </c>
    </row>
    <row r="56" spans="1:10" s="3" customFormat="1" x14ac:dyDescent="0.25">
      <c r="A56" s="2">
        <v>6</v>
      </c>
      <c r="B56" s="3" t="s">
        <v>19</v>
      </c>
      <c r="C56" s="3">
        <v>647</v>
      </c>
      <c r="D56" s="3">
        <v>1</v>
      </c>
      <c r="E56" s="3" t="s">
        <v>43</v>
      </c>
      <c r="F56" s="3" t="s">
        <v>44</v>
      </c>
      <c r="G56" s="3" t="str">
        <f>"2026-07-19 14:59:05.798"</f>
        <v>2026-07-19 14:59:05.798</v>
      </c>
      <c r="H56" s="3" t="s">
        <v>22</v>
      </c>
      <c r="I56" s="3">
        <v>9.0399999999999991</v>
      </c>
      <c r="J56" s="3" t="s">
        <v>50</v>
      </c>
    </row>
    <row r="57" spans="1:10" x14ac:dyDescent="0.25">
      <c r="A57" s="1">
        <v>7</v>
      </c>
      <c r="B57" t="s">
        <v>37</v>
      </c>
      <c r="C57">
        <v>49</v>
      </c>
      <c r="D57">
        <v>1</v>
      </c>
      <c r="E57" t="s">
        <v>38</v>
      </c>
      <c r="F57" t="s">
        <v>39</v>
      </c>
      <c r="G57" t="str">
        <f>"2026-07-19 14:07:08.497"</f>
        <v>2026-07-19 14:07:08.497</v>
      </c>
      <c r="H57" t="s">
        <v>40</v>
      </c>
    </row>
    <row r="58" spans="1:10" x14ac:dyDescent="0.25">
      <c r="A58" s="1">
        <v>8</v>
      </c>
      <c r="B58" t="s">
        <v>28</v>
      </c>
      <c r="C58">
        <v>706</v>
      </c>
      <c r="D58">
        <v>4</v>
      </c>
      <c r="E58" t="s">
        <v>35</v>
      </c>
      <c r="F58" t="s">
        <v>36</v>
      </c>
      <c r="G58" t="str">
        <f>"2026-07-19 14:07:03.487"</f>
        <v>2026-07-19 14:07:03.487</v>
      </c>
      <c r="H58" t="s">
        <v>22</v>
      </c>
      <c r="I58">
        <v>0</v>
      </c>
      <c r="J58" t="s">
        <v>23</v>
      </c>
    </row>
    <row r="59" spans="1:10" x14ac:dyDescent="0.25">
      <c r="A59" s="1">
        <v>0</v>
      </c>
      <c r="B59" t="s">
        <v>19</v>
      </c>
      <c r="C59">
        <v>49</v>
      </c>
      <c r="D59">
        <v>1</v>
      </c>
      <c r="E59" t="s">
        <v>38</v>
      </c>
      <c r="F59" t="s">
        <v>39</v>
      </c>
      <c r="G59" t="str">
        <f>"2026-07-19 13:57:20.798"</f>
        <v>2026-07-19 13:57:20.798</v>
      </c>
      <c r="H59" t="s">
        <v>40</v>
      </c>
      <c r="I59">
        <v>0</v>
      </c>
      <c r="J59" t="s">
        <v>23</v>
      </c>
    </row>
    <row r="60" spans="1:10" x14ac:dyDescent="0.25">
      <c r="A60" s="1">
        <v>2</v>
      </c>
      <c r="B60" t="s">
        <v>37</v>
      </c>
      <c r="C60">
        <v>49</v>
      </c>
      <c r="D60">
        <v>1</v>
      </c>
      <c r="E60" t="s">
        <v>38</v>
      </c>
      <c r="F60" t="s">
        <v>39</v>
      </c>
      <c r="G60" t="str">
        <f>"2026-07-19 13:36:26.598"</f>
        <v>2026-07-19 13:36:26.598</v>
      </c>
      <c r="H60" t="s">
        <v>40</v>
      </c>
    </row>
    <row r="61" spans="1:10" x14ac:dyDescent="0.25">
      <c r="A61" s="1">
        <v>3</v>
      </c>
      <c r="B61" t="s">
        <v>28</v>
      </c>
      <c r="C61">
        <v>706</v>
      </c>
      <c r="D61">
        <v>4</v>
      </c>
      <c r="E61" t="s">
        <v>35</v>
      </c>
      <c r="F61" t="s">
        <v>36</v>
      </c>
      <c r="G61" t="str">
        <f>"2026-07-19 13:36:24.257"</f>
        <v>2026-07-19 13:36:24.257</v>
      </c>
      <c r="H61" t="s">
        <v>22</v>
      </c>
      <c r="I61">
        <v>0</v>
      </c>
      <c r="J61" t="s">
        <v>23</v>
      </c>
    </row>
    <row r="62" spans="1:10" x14ac:dyDescent="0.25">
      <c r="A62" s="1">
        <v>5</v>
      </c>
      <c r="B62" t="s">
        <v>19</v>
      </c>
      <c r="C62">
        <v>49</v>
      </c>
      <c r="D62">
        <v>1</v>
      </c>
      <c r="E62" t="s">
        <v>38</v>
      </c>
      <c r="F62" t="s">
        <v>39</v>
      </c>
      <c r="G62" t="str">
        <f>"2026-07-19 12:57:05.097"</f>
        <v>2026-07-19 12:57:05.097</v>
      </c>
      <c r="H62" t="s">
        <v>40</v>
      </c>
      <c r="I62">
        <v>0</v>
      </c>
      <c r="J62" t="s">
        <v>23</v>
      </c>
    </row>
    <row r="63" spans="1:10" x14ac:dyDescent="0.25">
      <c r="A63" s="1">
        <v>7</v>
      </c>
      <c r="B63" t="s">
        <v>37</v>
      </c>
      <c r="C63">
        <v>49</v>
      </c>
      <c r="D63">
        <v>1</v>
      </c>
      <c r="E63" t="s">
        <v>38</v>
      </c>
      <c r="F63" t="s">
        <v>39</v>
      </c>
      <c r="G63" t="str">
        <f>"2026-07-19 12:50:03.398"</f>
        <v>2026-07-19 12:50:03.398</v>
      </c>
      <c r="H63" t="s">
        <v>40</v>
      </c>
    </row>
    <row r="64" spans="1:10" x14ac:dyDescent="0.25">
      <c r="A64" s="1">
        <v>8</v>
      </c>
      <c r="B64" t="s">
        <v>28</v>
      </c>
      <c r="C64">
        <v>706</v>
      </c>
      <c r="D64">
        <v>2</v>
      </c>
      <c r="E64" t="s">
        <v>35</v>
      </c>
      <c r="F64" t="s">
        <v>42</v>
      </c>
      <c r="G64" t="str">
        <f>"2026-07-19 12:50:01.367"</f>
        <v>2026-07-19 12:50:01.367</v>
      </c>
      <c r="H64" t="s">
        <v>22</v>
      </c>
      <c r="I64">
        <v>0</v>
      </c>
      <c r="J64" t="s">
        <v>23</v>
      </c>
    </row>
    <row r="65" spans="1:10" x14ac:dyDescent="0.25">
      <c r="A65" s="1">
        <v>0</v>
      </c>
      <c r="B65" t="s">
        <v>19</v>
      </c>
      <c r="C65">
        <v>49</v>
      </c>
      <c r="D65">
        <v>1</v>
      </c>
      <c r="E65" t="s">
        <v>38</v>
      </c>
      <c r="F65" t="s">
        <v>39</v>
      </c>
      <c r="G65" t="str">
        <f>"2026-07-19 12:03:08.798"</f>
        <v>2026-07-19 12:03:08.798</v>
      </c>
      <c r="H65" t="s">
        <v>40</v>
      </c>
      <c r="I65">
        <v>0</v>
      </c>
      <c r="J65" t="s">
        <v>23</v>
      </c>
    </row>
    <row r="66" spans="1:10" x14ac:dyDescent="0.25">
      <c r="A66" s="1">
        <v>2</v>
      </c>
      <c r="B66" t="s">
        <v>37</v>
      </c>
      <c r="C66">
        <v>49</v>
      </c>
      <c r="D66">
        <v>1</v>
      </c>
      <c r="E66" t="s">
        <v>38</v>
      </c>
      <c r="F66" t="s">
        <v>39</v>
      </c>
      <c r="G66" t="str">
        <f>"2026-07-19 08:16:32.897"</f>
        <v>2026-07-19 08:16:32.897</v>
      </c>
      <c r="H66" t="s">
        <v>40</v>
      </c>
    </row>
    <row r="67" spans="1:10" x14ac:dyDescent="0.25">
      <c r="A67" s="1">
        <v>3</v>
      </c>
      <c r="B67" t="s">
        <v>28</v>
      </c>
      <c r="C67">
        <v>706</v>
      </c>
      <c r="D67">
        <v>2</v>
      </c>
      <c r="E67" t="s">
        <v>35</v>
      </c>
      <c r="F67" t="s">
        <v>42</v>
      </c>
      <c r="G67" t="str">
        <f>"2026-07-19 08:16:31.767"</f>
        <v>2026-07-19 08:16:31.767</v>
      </c>
      <c r="H67" t="s">
        <v>22</v>
      </c>
      <c r="I67">
        <v>0</v>
      </c>
      <c r="J67" t="s">
        <v>23</v>
      </c>
    </row>
    <row r="68" spans="1:10" x14ac:dyDescent="0.25">
      <c r="A68" s="1">
        <v>5</v>
      </c>
      <c r="B68" t="s">
        <v>28</v>
      </c>
      <c r="C68">
        <v>700</v>
      </c>
      <c r="D68">
        <v>0</v>
      </c>
      <c r="E68" t="s">
        <v>34</v>
      </c>
      <c r="F68" t="s">
        <v>34</v>
      </c>
      <c r="G68" t="str">
        <f>"2026-07-19 08:15:36.747"</f>
        <v>2026-07-19 08:15:36.747</v>
      </c>
      <c r="H68" t="s">
        <v>22</v>
      </c>
    </row>
    <row r="69" spans="1:10" x14ac:dyDescent="0.25">
      <c r="A69" s="1">
        <v>6</v>
      </c>
      <c r="B69" t="s">
        <v>19</v>
      </c>
      <c r="C69">
        <v>49</v>
      </c>
      <c r="D69">
        <v>1</v>
      </c>
      <c r="E69" t="s">
        <v>38</v>
      </c>
      <c r="F69" t="s">
        <v>39</v>
      </c>
      <c r="G69" t="str">
        <f>"2026-07-19 06:14:37.305"</f>
        <v>2026-07-19 06:14:37.305</v>
      </c>
      <c r="H69" t="s">
        <v>40</v>
      </c>
      <c r="I69">
        <v>0</v>
      </c>
      <c r="J69" t="s">
        <v>23</v>
      </c>
    </row>
    <row r="70" spans="1:10" x14ac:dyDescent="0.25">
      <c r="A70" s="1">
        <v>8</v>
      </c>
      <c r="B70" t="s">
        <v>28</v>
      </c>
      <c r="C70">
        <v>706</v>
      </c>
      <c r="D70">
        <v>2</v>
      </c>
      <c r="E70" t="s">
        <v>35</v>
      </c>
      <c r="F70" t="s">
        <v>42</v>
      </c>
      <c r="G70" t="str">
        <f>"2026-07-19 06:09:19.555"</f>
        <v>2026-07-19 06:09:19.555</v>
      </c>
      <c r="H70" t="s">
        <v>22</v>
      </c>
      <c r="I70">
        <v>0</v>
      </c>
      <c r="J70" t="s">
        <v>23</v>
      </c>
    </row>
    <row r="71" spans="1:10" x14ac:dyDescent="0.25">
      <c r="A71" s="1">
        <v>9</v>
      </c>
      <c r="B71" t="s">
        <v>37</v>
      </c>
      <c r="C71">
        <v>49</v>
      </c>
      <c r="D71">
        <v>1</v>
      </c>
      <c r="E71" t="s">
        <v>38</v>
      </c>
      <c r="F71" t="s">
        <v>39</v>
      </c>
      <c r="G71" t="str">
        <f>"2026-07-19 06:09:11.305"</f>
        <v>2026-07-19 06:09:11.305</v>
      </c>
      <c r="H71" t="s">
        <v>40</v>
      </c>
    </row>
    <row r="72" spans="1:10" x14ac:dyDescent="0.25">
      <c r="A72" s="1">
        <v>1</v>
      </c>
      <c r="B72" t="s">
        <v>19</v>
      </c>
      <c r="C72">
        <v>49</v>
      </c>
      <c r="D72">
        <v>1</v>
      </c>
      <c r="E72" t="s">
        <v>38</v>
      </c>
      <c r="F72" t="s">
        <v>39</v>
      </c>
      <c r="G72" t="str">
        <f>"2026-07-19 05:27:39.006"</f>
        <v>2026-07-19 05:27:39.006</v>
      </c>
      <c r="H72" t="s">
        <v>40</v>
      </c>
      <c r="I72">
        <v>0</v>
      </c>
      <c r="J72" t="s">
        <v>23</v>
      </c>
    </row>
    <row r="73" spans="1:10" x14ac:dyDescent="0.25">
      <c r="A73" s="1">
        <v>3</v>
      </c>
      <c r="B73" t="s">
        <v>28</v>
      </c>
      <c r="C73">
        <v>706</v>
      </c>
      <c r="D73">
        <v>4</v>
      </c>
      <c r="E73" t="s">
        <v>35</v>
      </c>
      <c r="F73" t="s">
        <v>36</v>
      </c>
      <c r="G73" t="str">
        <f>"2026-07-19 05:23:41.345"</f>
        <v>2026-07-19 05:23:41.345</v>
      </c>
      <c r="H73" t="s">
        <v>22</v>
      </c>
      <c r="I73">
        <v>0</v>
      </c>
      <c r="J73" t="s">
        <v>23</v>
      </c>
    </row>
    <row r="74" spans="1:10" x14ac:dyDescent="0.25">
      <c r="A74" s="1">
        <v>6</v>
      </c>
      <c r="B74" t="s">
        <v>28</v>
      </c>
      <c r="C74">
        <v>782</v>
      </c>
      <c r="D74">
        <v>7</v>
      </c>
      <c r="E74" t="s">
        <v>51</v>
      </c>
      <c r="F74" t="s">
        <v>52</v>
      </c>
      <c r="G74" t="str">
        <f>"2026-07-19 05:22:57.814"</f>
        <v>2026-07-19 05:22:57.814</v>
      </c>
      <c r="H74" t="s">
        <v>22</v>
      </c>
      <c r="I74">
        <v>0</v>
      </c>
      <c r="J74" t="s">
        <v>23</v>
      </c>
    </row>
    <row r="75" spans="1:10" x14ac:dyDescent="0.25">
      <c r="A75" s="1">
        <v>9</v>
      </c>
      <c r="B75" t="s">
        <v>37</v>
      </c>
      <c r="C75">
        <v>49</v>
      </c>
      <c r="D75">
        <v>1</v>
      </c>
      <c r="E75" t="s">
        <v>38</v>
      </c>
      <c r="F75" t="s">
        <v>39</v>
      </c>
      <c r="G75" t="str">
        <f>"2026-07-19 05:22:57.806"</f>
        <v>2026-07-19 05:22:57.806</v>
      </c>
      <c r="H75" t="s">
        <v>40</v>
      </c>
    </row>
    <row r="76" spans="1:10" x14ac:dyDescent="0.25">
      <c r="A76" s="1">
        <v>0</v>
      </c>
      <c r="B76" t="s">
        <v>28</v>
      </c>
      <c r="C76">
        <v>782</v>
      </c>
      <c r="D76">
        <v>7</v>
      </c>
      <c r="E76" t="s">
        <v>51</v>
      </c>
      <c r="F76" t="s">
        <v>52</v>
      </c>
      <c r="G76" t="str">
        <f>"2026-07-19 05:22:57.805"</f>
        <v>2026-07-19 05:22:57.805</v>
      </c>
      <c r="H76" t="s">
        <v>22</v>
      </c>
      <c r="I76">
        <v>0</v>
      </c>
      <c r="J76" t="s">
        <v>23</v>
      </c>
    </row>
    <row r="77" spans="1:10" x14ac:dyDescent="0.25">
      <c r="A77" s="1">
        <v>2</v>
      </c>
      <c r="B77" t="s">
        <v>28</v>
      </c>
      <c r="C77">
        <v>700</v>
      </c>
      <c r="D77">
        <v>0</v>
      </c>
      <c r="E77" t="s">
        <v>34</v>
      </c>
      <c r="F77" t="s">
        <v>34</v>
      </c>
      <c r="G77" t="str">
        <f>"2026-07-19 05:22:33.755"</f>
        <v>2026-07-19 05:22:33.755</v>
      </c>
      <c r="H77" t="s">
        <v>22</v>
      </c>
    </row>
    <row r="78" spans="1:10" x14ac:dyDescent="0.25">
      <c r="A78" s="1">
        <v>3</v>
      </c>
      <c r="B78" t="s">
        <v>19</v>
      </c>
      <c r="C78">
        <v>49</v>
      </c>
      <c r="D78">
        <v>1</v>
      </c>
      <c r="E78" t="s">
        <v>38</v>
      </c>
      <c r="F78" t="s">
        <v>39</v>
      </c>
      <c r="G78" t="str">
        <f>"2026-07-18 15:57:47.110"</f>
        <v>2026-07-18 15:57:47.110</v>
      </c>
      <c r="H78" t="s">
        <v>40</v>
      </c>
      <c r="I78">
        <v>0</v>
      </c>
      <c r="J78" t="s">
        <v>23</v>
      </c>
    </row>
    <row r="79" spans="1:10" x14ac:dyDescent="0.25">
      <c r="A79" s="1">
        <v>5</v>
      </c>
      <c r="B79" t="s">
        <v>37</v>
      </c>
      <c r="C79">
        <v>49</v>
      </c>
      <c r="D79">
        <v>1</v>
      </c>
      <c r="E79" t="s">
        <v>38</v>
      </c>
      <c r="F79" t="s">
        <v>39</v>
      </c>
      <c r="G79" t="str">
        <f>"2026-07-18 15:54:42.310"</f>
        <v>2026-07-18 15:54:42.310</v>
      </c>
      <c r="H79" t="s">
        <v>40</v>
      </c>
    </row>
    <row r="80" spans="1:10" x14ac:dyDescent="0.25">
      <c r="A80" s="1">
        <v>6</v>
      </c>
      <c r="B80" t="s">
        <v>28</v>
      </c>
      <c r="C80">
        <v>706</v>
      </c>
      <c r="D80">
        <v>2</v>
      </c>
      <c r="E80" t="s">
        <v>35</v>
      </c>
      <c r="F80" t="s">
        <v>42</v>
      </c>
      <c r="G80" t="str">
        <f>"2026-07-18 15:54:33.999"</f>
        <v>2026-07-18 15:54:33.999</v>
      </c>
      <c r="H80" t="s">
        <v>22</v>
      </c>
      <c r="I80">
        <v>0</v>
      </c>
      <c r="J80" t="s">
        <v>23</v>
      </c>
    </row>
    <row r="81" spans="1:10" x14ac:dyDescent="0.25">
      <c r="A81" s="1">
        <v>7</v>
      </c>
      <c r="B81" t="s">
        <v>28</v>
      </c>
      <c r="C81">
        <v>706</v>
      </c>
      <c r="D81">
        <v>4</v>
      </c>
      <c r="E81" t="s">
        <v>35</v>
      </c>
      <c r="F81" t="s">
        <v>36</v>
      </c>
      <c r="G81" t="str">
        <f>"2026-07-18 15:54:27.749"</f>
        <v>2026-07-18 15:54:27.749</v>
      </c>
      <c r="H81" t="s">
        <v>22</v>
      </c>
      <c r="I81">
        <v>0</v>
      </c>
      <c r="J81" t="s">
        <v>23</v>
      </c>
    </row>
    <row r="82" spans="1:10" x14ac:dyDescent="0.25">
      <c r="A82" s="1">
        <v>9</v>
      </c>
      <c r="B82" t="s">
        <v>19</v>
      </c>
      <c r="C82">
        <v>49</v>
      </c>
      <c r="D82">
        <v>1</v>
      </c>
      <c r="E82" t="s">
        <v>38</v>
      </c>
      <c r="F82" t="s">
        <v>39</v>
      </c>
      <c r="G82" t="str">
        <f>"2026-07-18 15:52:22.110"</f>
        <v>2026-07-18 15:52:22.110</v>
      </c>
      <c r="H82" t="s">
        <v>40</v>
      </c>
      <c r="I82">
        <v>0</v>
      </c>
      <c r="J82" t="s">
        <v>23</v>
      </c>
    </row>
    <row r="83" spans="1:10" x14ac:dyDescent="0.25">
      <c r="A83" s="1">
        <v>11</v>
      </c>
      <c r="B83" t="s">
        <v>28</v>
      </c>
      <c r="C83">
        <v>706</v>
      </c>
      <c r="D83">
        <v>2</v>
      </c>
      <c r="E83" t="s">
        <v>35</v>
      </c>
      <c r="F83" t="s">
        <v>42</v>
      </c>
      <c r="G83" t="str">
        <f>"2026-07-18 15:14:25.699"</f>
        <v>2026-07-18 15:14:25.699</v>
      </c>
      <c r="H83" t="s">
        <v>22</v>
      </c>
      <c r="I83">
        <v>0</v>
      </c>
      <c r="J83" t="s">
        <v>23</v>
      </c>
    </row>
    <row r="84" spans="1:10" x14ac:dyDescent="0.25">
      <c r="A84" s="1">
        <v>12</v>
      </c>
      <c r="B84" t="s">
        <v>37</v>
      </c>
      <c r="C84">
        <v>49</v>
      </c>
      <c r="D84">
        <v>1</v>
      </c>
      <c r="E84" t="s">
        <v>38</v>
      </c>
      <c r="F84" t="s">
        <v>39</v>
      </c>
      <c r="G84" t="str">
        <f>"2026-07-18 15:13:02.010"</f>
        <v>2026-07-18 15:13:02.010</v>
      </c>
      <c r="H84" t="s">
        <v>40</v>
      </c>
    </row>
    <row r="85" spans="1:10" x14ac:dyDescent="0.25">
      <c r="A85" s="1">
        <v>14</v>
      </c>
      <c r="B85" t="s">
        <v>28</v>
      </c>
      <c r="C85">
        <v>700</v>
      </c>
      <c r="D85">
        <v>0</v>
      </c>
      <c r="E85" t="s">
        <v>34</v>
      </c>
      <c r="F85" t="s">
        <v>34</v>
      </c>
      <c r="G85" t="str">
        <f>"2026-07-18 15:12:25.769"</f>
        <v>2026-07-18 15:12:25.769</v>
      </c>
      <c r="H85" t="s">
        <v>22</v>
      </c>
      <c r="I85">
        <v>0</v>
      </c>
      <c r="J85" t="s">
        <v>46</v>
      </c>
    </row>
    <row r="86" spans="1:10" x14ac:dyDescent="0.25">
      <c r="A86" s="1">
        <v>15</v>
      </c>
      <c r="B86" t="s">
        <v>19</v>
      </c>
      <c r="C86">
        <v>49</v>
      </c>
      <c r="D86">
        <v>1</v>
      </c>
      <c r="E86" t="s">
        <v>38</v>
      </c>
      <c r="F86" t="s">
        <v>39</v>
      </c>
      <c r="G86" t="str">
        <f>"2026-07-18 11:26:38.170"</f>
        <v>2026-07-18 11:26:38.170</v>
      </c>
      <c r="H86" t="s">
        <v>40</v>
      </c>
      <c r="I86">
        <v>0</v>
      </c>
      <c r="J86" t="s">
        <v>23</v>
      </c>
    </row>
    <row r="87" spans="1:10" x14ac:dyDescent="0.25">
      <c r="A87" s="1">
        <v>17</v>
      </c>
      <c r="B87" t="s">
        <v>37</v>
      </c>
      <c r="C87">
        <v>49</v>
      </c>
      <c r="D87">
        <v>1</v>
      </c>
      <c r="E87" t="s">
        <v>38</v>
      </c>
      <c r="F87" t="s">
        <v>39</v>
      </c>
      <c r="G87" t="str">
        <f>"2026-07-18 11:24:51.669"</f>
        <v>2026-07-18 11:24:51.669</v>
      </c>
      <c r="H87" t="s">
        <v>40</v>
      </c>
    </row>
    <row r="88" spans="1:10" x14ac:dyDescent="0.25">
      <c r="A88" s="1">
        <v>19</v>
      </c>
      <c r="B88" t="s">
        <v>19</v>
      </c>
      <c r="C88">
        <v>49</v>
      </c>
      <c r="D88">
        <v>1</v>
      </c>
      <c r="E88" t="s">
        <v>38</v>
      </c>
      <c r="F88" t="s">
        <v>39</v>
      </c>
      <c r="G88" t="str">
        <f>"2026-07-18 11:21:38.069"</f>
        <v>2026-07-18 11:21:38.069</v>
      </c>
      <c r="H88" t="s">
        <v>40</v>
      </c>
      <c r="I88">
        <v>0</v>
      </c>
      <c r="J88" t="s">
        <v>23</v>
      </c>
    </row>
    <row r="89" spans="1:10" x14ac:dyDescent="0.25">
      <c r="A89" s="1">
        <v>21</v>
      </c>
      <c r="B89" t="s">
        <v>37</v>
      </c>
      <c r="C89">
        <v>49</v>
      </c>
      <c r="D89">
        <v>1</v>
      </c>
      <c r="E89" t="s">
        <v>38</v>
      </c>
      <c r="F89" t="s">
        <v>39</v>
      </c>
      <c r="G89" t="str">
        <f>"2026-07-18 11:17:13.069"</f>
        <v>2026-07-18 11:17:13.069</v>
      </c>
      <c r="H89" t="s">
        <v>40</v>
      </c>
    </row>
    <row r="90" spans="1:10" x14ac:dyDescent="0.25">
      <c r="A90" s="1">
        <v>22</v>
      </c>
      <c r="B90" t="s">
        <v>28</v>
      </c>
      <c r="C90">
        <v>706</v>
      </c>
      <c r="D90">
        <v>2</v>
      </c>
      <c r="E90" t="s">
        <v>35</v>
      </c>
      <c r="F90" t="s">
        <v>42</v>
      </c>
      <c r="G90" t="str">
        <f>"2026-07-18 11:17:10.137"</f>
        <v>2026-07-18 11:17:10.137</v>
      </c>
      <c r="H90" t="s">
        <v>22</v>
      </c>
      <c r="I90">
        <v>0</v>
      </c>
      <c r="J90" t="s">
        <v>23</v>
      </c>
    </row>
    <row r="91" spans="1:10" x14ac:dyDescent="0.25">
      <c r="A91" s="1">
        <v>24</v>
      </c>
      <c r="B91" t="s">
        <v>19</v>
      </c>
      <c r="C91">
        <v>49</v>
      </c>
      <c r="D91">
        <v>1</v>
      </c>
      <c r="E91" t="s">
        <v>38</v>
      </c>
      <c r="F91" t="s">
        <v>39</v>
      </c>
      <c r="G91" t="str">
        <f>"2026-07-18 11:12:00.669"</f>
        <v>2026-07-18 11:12:00.669</v>
      </c>
      <c r="H91" t="s">
        <v>40</v>
      </c>
      <c r="I91">
        <v>0</v>
      </c>
      <c r="J91" t="s">
        <v>23</v>
      </c>
    </row>
    <row r="92" spans="1:10" s="3" customFormat="1" x14ac:dyDescent="0.25">
      <c r="A92" s="2">
        <v>26</v>
      </c>
      <c r="B92" s="3" t="s">
        <v>37</v>
      </c>
      <c r="C92" s="3">
        <v>647</v>
      </c>
      <c r="D92" s="3">
        <v>1</v>
      </c>
      <c r="E92" s="3" t="s">
        <v>43</v>
      </c>
      <c r="F92" s="3" t="s">
        <v>44</v>
      </c>
      <c r="G92" s="3" t="str">
        <f>"2026-07-18 05:17:02.270"</f>
        <v>2026-07-18 05:17:02.270</v>
      </c>
      <c r="H92" s="3" t="s">
        <v>22</v>
      </c>
    </row>
    <row r="93" spans="1:10" s="3" customFormat="1" x14ac:dyDescent="0.25">
      <c r="A93" s="2">
        <v>27</v>
      </c>
      <c r="B93" s="3" t="s">
        <v>19</v>
      </c>
      <c r="C93" s="3">
        <v>647</v>
      </c>
      <c r="D93" s="3">
        <v>1</v>
      </c>
      <c r="E93" s="3" t="s">
        <v>43</v>
      </c>
      <c r="F93" s="3" t="s">
        <v>44</v>
      </c>
      <c r="G93" s="3" t="str">
        <f>"2026-07-18 05:16:55.670"</f>
        <v>2026-07-18 05:16:55.670</v>
      </c>
      <c r="H93" s="3" t="s">
        <v>22</v>
      </c>
      <c r="I93" s="3">
        <v>8.1</v>
      </c>
      <c r="J93" s="3" t="s">
        <v>45</v>
      </c>
    </row>
    <row r="94" spans="1:10" x14ac:dyDescent="0.25">
      <c r="A94" s="1">
        <v>28</v>
      </c>
      <c r="B94" t="s">
        <v>37</v>
      </c>
      <c r="C94">
        <v>635</v>
      </c>
      <c r="D94">
        <v>1</v>
      </c>
      <c r="E94" t="s">
        <v>53</v>
      </c>
      <c r="F94" t="s">
        <v>48</v>
      </c>
      <c r="G94" t="str">
        <f>"2026-07-18 03:25:22.369"</f>
        <v>2026-07-18 03:25:22.369</v>
      </c>
      <c r="H94" t="s">
        <v>22</v>
      </c>
    </row>
    <row r="95" spans="1:10" x14ac:dyDescent="0.25">
      <c r="A95" s="1">
        <v>29</v>
      </c>
      <c r="B95" t="s">
        <v>19</v>
      </c>
      <c r="C95">
        <v>635</v>
      </c>
      <c r="D95">
        <v>1</v>
      </c>
      <c r="E95" t="s">
        <v>53</v>
      </c>
      <c r="F95" t="s">
        <v>48</v>
      </c>
      <c r="G95" t="str">
        <f>"2026-07-18 03:23:13.369"</f>
        <v>2026-07-18 03:23:13.369</v>
      </c>
      <c r="H95" t="s">
        <v>22</v>
      </c>
      <c r="I95">
        <v>-3.69</v>
      </c>
      <c r="J95" t="s">
        <v>54</v>
      </c>
    </row>
    <row r="96" spans="1:10" x14ac:dyDescent="0.25">
      <c r="A96" s="1">
        <v>30</v>
      </c>
      <c r="B96" t="s">
        <v>37</v>
      </c>
      <c r="C96">
        <v>49</v>
      </c>
      <c r="D96">
        <v>1</v>
      </c>
      <c r="E96" t="s">
        <v>38</v>
      </c>
      <c r="F96" t="s">
        <v>39</v>
      </c>
      <c r="G96" t="str">
        <f>"2026-07-18 00:43:40.269"</f>
        <v>2026-07-18 00:43:40.269</v>
      </c>
      <c r="H96" t="s">
        <v>40</v>
      </c>
    </row>
    <row r="97" spans="1:10" x14ac:dyDescent="0.25">
      <c r="A97" s="1">
        <v>31</v>
      </c>
      <c r="B97" t="s">
        <v>28</v>
      </c>
      <c r="C97">
        <v>706</v>
      </c>
      <c r="D97">
        <v>4</v>
      </c>
      <c r="E97" t="s">
        <v>35</v>
      </c>
      <c r="F97" t="s">
        <v>36</v>
      </c>
      <c r="G97" t="str">
        <f>"2026-07-18 00:43:38.077"</f>
        <v>2026-07-18 00:43:38.077</v>
      </c>
      <c r="H97" t="s">
        <v>22</v>
      </c>
      <c r="I97">
        <v>0</v>
      </c>
      <c r="J97" t="s">
        <v>23</v>
      </c>
    </row>
    <row r="98" spans="1:10" x14ac:dyDescent="0.25">
      <c r="A98" s="1">
        <v>33</v>
      </c>
      <c r="B98" t="s">
        <v>19</v>
      </c>
      <c r="C98">
        <v>49</v>
      </c>
      <c r="D98">
        <v>1</v>
      </c>
      <c r="E98" t="s">
        <v>38</v>
      </c>
      <c r="F98" t="s">
        <v>39</v>
      </c>
      <c r="G98" t="str">
        <f>"2026-07-18 00:08:08.669"</f>
        <v>2026-07-18 00:08:08.669</v>
      </c>
      <c r="H98" t="s">
        <v>40</v>
      </c>
      <c r="I98">
        <v>0</v>
      </c>
      <c r="J98" t="s">
        <v>23</v>
      </c>
    </row>
    <row r="99" spans="1:10" x14ac:dyDescent="0.25">
      <c r="A99" s="1">
        <v>35</v>
      </c>
      <c r="B99" t="s">
        <v>28</v>
      </c>
      <c r="C99">
        <v>706</v>
      </c>
      <c r="D99">
        <v>4</v>
      </c>
      <c r="E99" t="s">
        <v>35</v>
      </c>
      <c r="F99" t="s">
        <v>36</v>
      </c>
      <c r="G99" t="str">
        <f>"2026-07-17 21:46:23.417"</f>
        <v>2026-07-17 21:46:23.417</v>
      </c>
      <c r="H99" t="s">
        <v>22</v>
      </c>
      <c r="I99">
        <v>0</v>
      </c>
      <c r="J99" t="s">
        <v>23</v>
      </c>
    </row>
    <row r="100" spans="1:10" x14ac:dyDescent="0.25">
      <c r="A100" s="1">
        <v>36</v>
      </c>
      <c r="B100" t="s">
        <v>37</v>
      </c>
      <c r="C100">
        <v>49</v>
      </c>
      <c r="D100">
        <v>1</v>
      </c>
      <c r="E100" t="s">
        <v>38</v>
      </c>
      <c r="F100" t="s">
        <v>39</v>
      </c>
      <c r="G100" t="str">
        <f>"2026-07-17 21:45:20.269"</f>
        <v>2026-07-17 21:45:20.269</v>
      </c>
      <c r="H100" t="s">
        <v>40</v>
      </c>
    </row>
    <row r="101" spans="1:10" x14ac:dyDescent="0.25">
      <c r="A101" s="1">
        <v>38</v>
      </c>
      <c r="B101" t="s">
        <v>19</v>
      </c>
      <c r="C101">
        <v>49</v>
      </c>
      <c r="D101">
        <v>1</v>
      </c>
      <c r="E101" t="s">
        <v>38</v>
      </c>
      <c r="F101" t="s">
        <v>39</v>
      </c>
      <c r="G101" t="str">
        <f>"2026-07-17 21:35:25.369"</f>
        <v>2026-07-17 21:35:25.369</v>
      </c>
      <c r="H101" t="s">
        <v>40</v>
      </c>
      <c r="I101">
        <v>0</v>
      </c>
      <c r="J101" t="s">
        <v>23</v>
      </c>
    </row>
    <row r="102" spans="1:10" x14ac:dyDescent="0.25">
      <c r="A102" s="1">
        <v>40</v>
      </c>
      <c r="B102" t="s">
        <v>28</v>
      </c>
      <c r="C102">
        <v>706</v>
      </c>
      <c r="D102">
        <v>4</v>
      </c>
      <c r="E102" t="s">
        <v>35</v>
      </c>
      <c r="F102" t="s">
        <v>36</v>
      </c>
      <c r="G102" t="str">
        <f>"2026-07-17 20:15:48.557"</f>
        <v>2026-07-17 20:15:48.557</v>
      </c>
      <c r="H102" t="s">
        <v>22</v>
      </c>
      <c r="I102">
        <v>0</v>
      </c>
      <c r="J102" t="s">
        <v>23</v>
      </c>
    </row>
    <row r="103" spans="1:10" x14ac:dyDescent="0.25">
      <c r="A103" s="1">
        <v>41</v>
      </c>
      <c r="B103" t="s">
        <v>28</v>
      </c>
      <c r="C103">
        <v>700</v>
      </c>
      <c r="D103">
        <v>0</v>
      </c>
      <c r="E103" t="s">
        <v>34</v>
      </c>
      <c r="F103" t="s">
        <v>34</v>
      </c>
      <c r="G103" t="str">
        <f>"2026-07-17 20:15:14.907"</f>
        <v>2026-07-17 20:15:14.907</v>
      </c>
      <c r="H103" t="s">
        <v>22</v>
      </c>
      <c r="I103">
        <v>0</v>
      </c>
      <c r="J103" t="s">
        <v>46</v>
      </c>
    </row>
    <row r="104" spans="1:10" s="3" customFormat="1" x14ac:dyDescent="0.25">
      <c r="A104" s="2">
        <v>42</v>
      </c>
      <c r="B104" s="3" t="s">
        <v>37</v>
      </c>
      <c r="C104" s="3">
        <v>647</v>
      </c>
      <c r="D104" s="3">
        <v>1</v>
      </c>
      <c r="E104" s="3" t="s">
        <v>43</v>
      </c>
      <c r="F104" s="3" t="s">
        <v>44</v>
      </c>
      <c r="G104" s="3" t="str">
        <f>"2026-07-17 10:41:12.665"</f>
        <v>2026-07-17 10:41:12.665</v>
      </c>
      <c r="H104" s="3" t="s">
        <v>22</v>
      </c>
    </row>
    <row r="105" spans="1:10" s="3" customFormat="1" x14ac:dyDescent="0.25">
      <c r="A105" s="2">
        <v>43</v>
      </c>
      <c r="B105" s="3" t="s">
        <v>19</v>
      </c>
      <c r="C105" s="3">
        <v>647</v>
      </c>
      <c r="D105" s="3">
        <v>1</v>
      </c>
      <c r="E105" s="3" t="s">
        <v>43</v>
      </c>
      <c r="F105" s="3" t="s">
        <v>44</v>
      </c>
      <c r="G105" s="3" t="str">
        <f>"2026-07-17 10:41:11.365"</f>
        <v>2026-07-17 10:41:11.365</v>
      </c>
      <c r="H105" s="3" t="s">
        <v>22</v>
      </c>
      <c r="I105" s="3">
        <v>14.9</v>
      </c>
      <c r="J105" s="3" t="s">
        <v>45</v>
      </c>
    </row>
    <row r="106" spans="1:10" x14ac:dyDescent="0.25">
      <c r="A106" s="1">
        <v>44</v>
      </c>
      <c r="B106" t="s">
        <v>37</v>
      </c>
      <c r="C106">
        <v>619</v>
      </c>
      <c r="D106">
        <v>1</v>
      </c>
      <c r="E106" t="s">
        <v>47</v>
      </c>
      <c r="F106" t="s">
        <v>48</v>
      </c>
      <c r="G106" t="str">
        <f>"2026-07-17 06:28:38.065"</f>
        <v>2026-07-17 06:28:38.065</v>
      </c>
      <c r="H106" t="s">
        <v>49</v>
      </c>
    </row>
    <row r="107" spans="1:10" x14ac:dyDescent="0.25">
      <c r="A107" s="1">
        <v>45</v>
      </c>
      <c r="B107" t="s">
        <v>19</v>
      </c>
      <c r="C107">
        <v>619</v>
      </c>
      <c r="D107">
        <v>1</v>
      </c>
      <c r="E107" t="s">
        <v>47</v>
      </c>
      <c r="F107" t="s">
        <v>48</v>
      </c>
      <c r="G107" t="str">
        <f>"2026-07-17 06:27:49.817"</f>
        <v>2026-07-17 06:27:49.817</v>
      </c>
      <c r="H107" t="s">
        <v>49</v>
      </c>
      <c r="I107">
        <v>16.03</v>
      </c>
      <c r="J107" t="s">
        <v>45</v>
      </c>
    </row>
    <row r="108" spans="1:10" x14ac:dyDescent="0.25">
      <c r="A108" s="1">
        <v>46</v>
      </c>
      <c r="B108" t="s">
        <v>37</v>
      </c>
      <c r="C108">
        <v>49</v>
      </c>
      <c r="D108">
        <v>1</v>
      </c>
      <c r="E108" t="s">
        <v>38</v>
      </c>
      <c r="F108" t="s">
        <v>39</v>
      </c>
      <c r="G108" t="str">
        <f>"2026-07-17 05:34:48.978"</f>
        <v>2026-07-17 05:34:48.978</v>
      </c>
      <c r="H108" t="s">
        <v>40</v>
      </c>
    </row>
    <row r="109" spans="1:10" x14ac:dyDescent="0.25">
      <c r="A109" s="1">
        <v>47</v>
      </c>
      <c r="B109" t="s">
        <v>28</v>
      </c>
      <c r="C109">
        <v>706</v>
      </c>
      <c r="D109">
        <v>4</v>
      </c>
      <c r="E109" t="s">
        <v>35</v>
      </c>
      <c r="F109" t="s">
        <v>36</v>
      </c>
      <c r="G109" t="str">
        <f>"2026-07-17 05:34:46.784"</f>
        <v>2026-07-17 05:34:46.784</v>
      </c>
      <c r="H109" t="s">
        <v>22</v>
      </c>
      <c r="I109">
        <v>0</v>
      </c>
      <c r="J109" t="s">
        <v>23</v>
      </c>
    </row>
    <row r="110" spans="1:10" x14ac:dyDescent="0.25">
      <c r="A110" s="1">
        <v>49</v>
      </c>
      <c r="B110" t="s">
        <v>19</v>
      </c>
      <c r="C110">
        <v>49</v>
      </c>
      <c r="D110">
        <v>1</v>
      </c>
      <c r="E110" t="s">
        <v>38</v>
      </c>
      <c r="F110" t="s">
        <v>39</v>
      </c>
      <c r="G110" t="str">
        <f>"2026-07-17 05:24:51.678"</f>
        <v>2026-07-17 05:24:51.678</v>
      </c>
      <c r="H110" t="s">
        <v>40</v>
      </c>
      <c r="I110">
        <v>0</v>
      </c>
      <c r="J110" t="s">
        <v>23</v>
      </c>
    </row>
    <row r="111" spans="1:10" x14ac:dyDescent="0.25">
      <c r="A111" s="1">
        <v>51</v>
      </c>
      <c r="B111" t="s">
        <v>28</v>
      </c>
      <c r="C111">
        <v>706</v>
      </c>
      <c r="D111">
        <v>2</v>
      </c>
      <c r="E111" t="s">
        <v>35</v>
      </c>
      <c r="F111" t="s">
        <v>42</v>
      </c>
      <c r="G111" t="str">
        <f>"2026-07-17 01:09:03.504"</f>
        <v>2026-07-17 01:09:03.504</v>
      </c>
      <c r="H111" t="s">
        <v>22</v>
      </c>
      <c r="I111">
        <v>0</v>
      </c>
      <c r="J111" t="s">
        <v>23</v>
      </c>
    </row>
    <row r="112" spans="1:10" x14ac:dyDescent="0.25">
      <c r="A112" s="1">
        <v>52</v>
      </c>
      <c r="B112" t="s">
        <v>37</v>
      </c>
      <c r="C112">
        <v>49</v>
      </c>
      <c r="D112">
        <v>1</v>
      </c>
      <c r="E112" t="s">
        <v>38</v>
      </c>
      <c r="F112" t="s">
        <v>39</v>
      </c>
      <c r="G112" t="str">
        <f>"2026-07-17 01:09:03.078"</f>
        <v>2026-07-17 01:09:03.078</v>
      </c>
      <c r="H112" t="s">
        <v>40</v>
      </c>
    </row>
    <row r="113" spans="1:10" x14ac:dyDescent="0.25">
      <c r="A113" s="1">
        <v>54</v>
      </c>
      <c r="B113" t="s">
        <v>19</v>
      </c>
      <c r="C113">
        <v>49</v>
      </c>
      <c r="D113">
        <v>1</v>
      </c>
      <c r="E113" t="s">
        <v>38</v>
      </c>
      <c r="F113" t="s">
        <v>39</v>
      </c>
      <c r="G113" t="str">
        <f>"2026-07-17 00:41:04.678"</f>
        <v>2026-07-17 00:41:04.678</v>
      </c>
      <c r="H113" t="s">
        <v>40</v>
      </c>
      <c r="I113">
        <v>0</v>
      </c>
      <c r="J113" t="s">
        <v>23</v>
      </c>
    </row>
    <row r="114" spans="1:10" s="3" customFormat="1" x14ac:dyDescent="0.25">
      <c r="A114" s="2">
        <v>56</v>
      </c>
      <c r="B114" s="3" t="s">
        <v>37</v>
      </c>
      <c r="C114" s="3">
        <v>647</v>
      </c>
      <c r="D114" s="3">
        <v>1</v>
      </c>
      <c r="E114" s="3" t="s">
        <v>43</v>
      </c>
      <c r="F114" s="3" t="s">
        <v>44</v>
      </c>
      <c r="G114" s="3" t="str">
        <f>"2026-07-16 23:18:40.066"</f>
        <v>2026-07-16 23:18:40.066</v>
      </c>
      <c r="H114" s="3" t="s">
        <v>22</v>
      </c>
    </row>
    <row r="115" spans="1:10" s="3" customFormat="1" x14ac:dyDescent="0.25">
      <c r="A115" s="2">
        <v>57</v>
      </c>
      <c r="B115" s="3" t="s">
        <v>19</v>
      </c>
      <c r="C115" s="3">
        <v>647</v>
      </c>
      <c r="D115" s="3">
        <v>1</v>
      </c>
      <c r="E115" s="3" t="s">
        <v>43</v>
      </c>
      <c r="F115" s="3" t="s">
        <v>44</v>
      </c>
      <c r="G115" s="3" t="str">
        <f>"2026-07-16 23:18:37.966"</f>
        <v>2026-07-16 23:18:37.966</v>
      </c>
      <c r="H115" s="3" t="s">
        <v>22</v>
      </c>
      <c r="I115" s="3">
        <v>13.51</v>
      </c>
      <c r="J115" s="3" t="s">
        <v>45</v>
      </c>
    </row>
    <row r="116" spans="1:10" x14ac:dyDescent="0.25">
      <c r="A116" s="1">
        <v>58</v>
      </c>
      <c r="B116" t="s">
        <v>28</v>
      </c>
      <c r="C116">
        <v>706</v>
      </c>
      <c r="D116">
        <v>4</v>
      </c>
      <c r="E116" t="s">
        <v>35</v>
      </c>
      <c r="F116" t="s">
        <v>36</v>
      </c>
      <c r="G116" t="str">
        <f>"2026-07-16 22:33:59.904"</f>
        <v>2026-07-16 22:33:59.904</v>
      </c>
      <c r="H116" t="s">
        <v>22</v>
      </c>
      <c r="I116">
        <v>0</v>
      </c>
      <c r="J116" t="s">
        <v>23</v>
      </c>
    </row>
    <row r="117" spans="1:10" x14ac:dyDescent="0.25">
      <c r="A117" s="1">
        <v>59</v>
      </c>
      <c r="B117" t="s">
        <v>37</v>
      </c>
      <c r="C117">
        <v>49</v>
      </c>
      <c r="D117">
        <v>1</v>
      </c>
      <c r="E117" t="s">
        <v>38</v>
      </c>
      <c r="F117" t="s">
        <v>39</v>
      </c>
      <c r="G117" t="str">
        <f>"2026-07-16 22:33:49.478"</f>
        <v>2026-07-16 22:33:49.478</v>
      </c>
      <c r="H117" t="s">
        <v>40</v>
      </c>
    </row>
    <row r="118" spans="1:10" x14ac:dyDescent="0.25">
      <c r="A118" s="1">
        <v>61</v>
      </c>
      <c r="B118" t="s">
        <v>19</v>
      </c>
      <c r="C118">
        <v>49</v>
      </c>
      <c r="D118">
        <v>1</v>
      </c>
      <c r="E118" t="s">
        <v>38</v>
      </c>
      <c r="F118" t="s">
        <v>39</v>
      </c>
      <c r="G118" t="str">
        <f>"2026-07-16 22:25:03.378"</f>
        <v>2026-07-16 22:25:03.378</v>
      </c>
      <c r="H118" t="s">
        <v>40</v>
      </c>
      <c r="I118">
        <v>0</v>
      </c>
      <c r="J118" t="s">
        <v>23</v>
      </c>
    </row>
    <row r="119" spans="1:10" x14ac:dyDescent="0.25">
      <c r="A119" s="1">
        <v>63</v>
      </c>
      <c r="B119" t="s">
        <v>28</v>
      </c>
      <c r="C119">
        <v>706</v>
      </c>
      <c r="D119">
        <v>4</v>
      </c>
      <c r="E119" t="s">
        <v>35</v>
      </c>
      <c r="F119" t="s">
        <v>36</v>
      </c>
      <c r="G119" t="str">
        <f>"2026-07-16 19:46:08.134"</f>
        <v>2026-07-16 19:46:08.134</v>
      </c>
      <c r="H119" t="s">
        <v>22</v>
      </c>
      <c r="I119">
        <v>0</v>
      </c>
      <c r="J119" t="s">
        <v>23</v>
      </c>
    </row>
    <row r="120" spans="1:10" x14ac:dyDescent="0.25">
      <c r="A120" s="1">
        <v>64</v>
      </c>
      <c r="B120" t="s">
        <v>37</v>
      </c>
      <c r="C120">
        <v>49</v>
      </c>
      <c r="D120">
        <v>1</v>
      </c>
      <c r="E120" t="s">
        <v>38</v>
      </c>
      <c r="F120" t="s">
        <v>39</v>
      </c>
      <c r="G120" t="str">
        <f>"2026-07-16 19:46:07.578"</f>
        <v>2026-07-16 19:46:07.578</v>
      </c>
      <c r="H120" t="s">
        <v>40</v>
      </c>
    </row>
    <row r="121" spans="1:10" x14ac:dyDescent="0.25">
      <c r="A121" s="1">
        <v>66</v>
      </c>
      <c r="B121" t="s">
        <v>28</v>
      </c>
      <c r="C121">
        <v>700</v>
      </c>
      <c r="D121">
        <v>0</v>
      </c>
      <c r="E121" t="s">
        <v>34</v>
      </c>
      <c r="F121" t="s">
        <v>34</v>
      </c>
      <c r="G121" t="str">
        <f>"2026-07-16 19:35:17.714"</f>
        <v>2026-07-16 19:35:17.714</v>
      </c>
      <c r="H121" t="s">
        <v>22</v>
      </c>
    </row>
    <row r="122" spans="1:10" x14ac:dyDescent="0.25">
      <c r="A122" s="1">
        <v>71</v>
      </c>
      <c r="B122" t="s">
        <v>19</v>
      </c>
      <c r="C122">
        <v>49</v>
      </c>
      <c r="D122">
        <v>1</v>
      </c>
      <c r="E122" t="s">
        <v>38</v>
      </c>
      <c r="F122" t="s">
        <v>39</v>
      </c>
      <c r="G122" t="str">
        <f>"2026-07-16 16:52:10.750"</f>
        <v>2026-07-16 16:52:10.750</v>
      </c>
      <c r="H122" t="s">
        <v>40</v>
      </c>
      <c r="I122">
        <v>0</v>
      </c>
      <c r="J122" t="s">
        <v>23</v>
      </c>
    </row>
    <row r="123" spans="1:10" x14ac:dyDescent="0.25">
      <c r="A123" s="1">
        <v>73</v>
      </c>
      <c r="B123" t="s">
        <v>28</v>
      </c>
      <c r="C123">
        <v>706</v>
      </c>
      <c r="D123">
        <v>4</v>
      </c>
      <c r="E123" t="s">
        <v>35</v>
      </c>
      <c r="F123" t="s">
        <v>36</v>
      </c>
      <c r="G123" t="str">
        <f>"2026-07-16 16:49:17.366"</f>
        <v>2026-07-16 16:49:17.366</v>
      </c>
      <c r="H123" t="s">
        <v>22</v>
      </c>
      <c r="I123">
        <v>0</v>
      </c>
      <c r="J123" t="s">
        <v>23</v>
      </c>
    </row>
    <row r="124" spans="1:10" x14ac:dyDescent="0.25">
      <c r="A124" s="1">
        <v>74</v>
      </c>
      <c r="B124" t="s">
        <v>37</v>
      </c>
      <c r="C124">
        <v>49</v>
      </c>
      <c r="D124">
        <v>1</v>
      </c>
      <c r="E124" t="s">
        <v>38</v>
      </c>
      <c r="F124" t="s">
        <v>39</v>
      </c>
      <c r="G124" t="str">
        <f>"2026-07-16 16:49:13.250"</f>
        <v>2026-07-16 16:49:13.250</v>
      </c>
      <c r="H124" t="s">
        <v>40</v>
      </c>
    </row>
    <row r="125" spans="1:10" x14ac:dyDescent="0.25">
      <c r="A125" s="1">
        <v>76</v>
      </c>
      <c r="B125" t="s">
        <v>28</v>
      </c>
      <c r="C125">
        <v>700</v>
      </c>
      <c r="D125">
        <v>0</v>
      </c>
      <c r="E125" t="s">
        <v>34</v>
      </c>
      <c r="F125" t="s">
        <v>34</v>
      </c>
      <c r="G125" t="str">
        <f>"2026-07-16 16:17:21.736"</f>
        <v>2026-07-16 16:17:21.736</v>
      </c>
      <c r="H125" t="s">
        <v>22</v>
      </c>
    </row>
    <row r="126" spans="1:10" x14ac:dyDescent="0.25">
      <c r="A126" s="1">
        <v>77</v>
      </c>
      <c r="B126" t="s">
        <v>19</v>
      </c>
      <c r="C126">
        <v>49</v>
      </c>
      <c r="D126">
        <v>1</v>
      </c>
      <c r="E126" t="s">
        <v>38</v>
      </c>
      <c r="F126" t="s">
        <v>39</v>
      </c>
      <c r="G126" t="str">
        <f>"2026-07-16 09:02:54.408"</f>
        <v>2026-07-16 09:02:54.408</v>
      </c>
      <c r="H126" t="s">
        <v>40</v>
      </c>
      <c r="I126">
        <v>0</v>
      </c>
      <c r="J126" t="s">
        <v>23</v>
      </c>
    </row>
    <row r="127" spans="1:10" x14ac:dyDescent="0.25">
      <c r="A127" s="1">
        <v>79</v>
      </c>
      <c r="B127" t="s">
        <v>37</v>
      </c>
      <c r="C127">
        <v>49</v>
      </c>
      <c r="D127">
        <v>1</v>
      </c>
      <c r="E127" t="s">
        <v>38</v>
      </c>
      <c r="F127" t="s">
        <v>39</v>
      </c>
      <c r="G127" t="str">
        <f>"2026-07-16 04:46:51.708"</f>
        <v>2026-07-16 04:46:51.708</v>
      </c>
      <c r="H127" t="s">
        <v>40</v>
      </c>
    </row>
    <row r="128" spans="1:10" x14ac:dyDescent="0.25">
      <c r="A128" s="1">
        <v>80</v>
      </c>
      <c r="B128" t="s">
        <v>28</v>
      </c>
      <c r="C128">
        <v>706</v>
      </c>
      <c r="D128">
        <v>4</v>
      </c>
      <c r="E128" t="s">
        <v>35</v>
      </c>
      <c r="F128" t="s">
        <v>36</v>
      </c>
      <c r="G128" t="str">
        <f>"2026-07-16 04:46:50.754"</f>
        <v>2026-07-16 04:46:50.754</v>
      </c>
      <c r="H128" t="s">
        <v>22</v>
      </c>
      <c r="I128">
        <v>0</v>
      </c>
      <c r="J128" t="s">
        <v>23</v>
      </c>
    </row>
    <row r="129" spans="1:10" x14ac:dyDescent="0.25">
      <c r="A129" s="1">
        <v>82</v>
      </c>
      <c r="B129" t="s">
        <v>19</v>
      </c>
      <c r="C129">
        <v>49</v>
      </c>
      <c r="D129">
        <v>1</v>
      </c>
      <c r="E129" t="s">
        <v>38</v>
      </c>
      <c r="F129" t="s">
        <v>39</v>
      </c>
      <c r="G129" t="str">
        <f>"2026-07-16 04:35:38.108"</f>
        <v>2026-07-16 04:35:38.108</v>
      </c>
      <c r="H129" t="s">
        <v>40</v>
      </c>
      <c r="I129">
        <v>0</v>
      </c>
      <c r="J129" t="s">
        <v>23</v>
      </c>
    </row>
    <row r="130" spans="1:10" x14ac:dyDescent="0.25">
      <c r="A130" s="1">
        <v>84</v>
      </c>
      <c r="B130" t="s">
        <v>37</v>
      </c>
      <c r="C130">
        <v>49</v>
      </c>
      <c r="D130">
        <v>1</v>
      </c>
      <c r="E130" t="s">
        <v>38</v>
      </c>
      <c r="F130" t="s">
        <v>39</v>
      </c>
      <c r="G130" t="str">
        <f>"2026-07-16 00:21:38.708"</f>
        <v>2026-07-16 00:21:38.708</v>
      </c>
      <c r="H130" t="s">
        <v>40</v>
      </c>
    </row>
    <row r="131" spans="1:10" x14ac:dyDescent="0.25">
      <c r="A131" s="1">
        <v>85</v>
      </c>
      <c r="B131" t="s">
        <v>28</v>
      </c>
      <c r="C131">
        <v>706</v>
      </c>
      <c r="D131">
        <v>4</v>
      </c>
      <c r="E131" t="s">
        <v>35</v>
      </c>
      <c r="F131" t="s">
        <v>36</v>
      </c>
      <c r="G131" t="str">
        <f>"2026-07-16 00:21:35.514"</f>
        <v>2026-07-16 00:21:35.514</v>
      </c>
      <c r="H131" t="s">
        <v>22</v>
      </c>
      <c r="I131">
        <v>0</v>
      </c>
      <c r="J131" t="s">
        <v>23</v>
      </c>
    </row>
    <row r="132" spans="1:10" x14ac:dyDescent="0.25">
      <c r="A132" s="1">
        <v>87</v>
      </c>
      <c r="B132" t="s">
        <v>19</v>
      </c>
      <c r="C132">
        <v>49</v>
      </c>
      <c r="D132">
        <v>1</v>
      </c>
      <c r="E132" t="s">
        <v>38</v>
      </c>
      <c r="F132" t="s">
        <v>39</v>
      </c>
      <c r="G132" t="str">
        <f>"2026-07-15 23:56:15.908"</f>
        <v>2026-07-15 23:56:15.908</v>
      </c>
      <c r="H132" t="s">
        <v>40</v>
      </c>
      <c r="I132">
        <v>0</v>
      </c>
      <c r="J132" t="s">
        <v>23</v>
      </c>
    </row>
    <row r="133" spans="1:10" x14ac:dyDescent="0.25">
      <c r="A133" s="1">
        <v>89</v>
      </c>
      <c r="B133" t="s">
        <v>37</v>
      </c>
      <c r="C133">
        <v>49</v>
      </c>
      <c r="D133">
        <v>1</v>
      </c>
      <c r="E133" t="s">
        <v>38</v>
      </c>
      <c r="F133" t="s">
        <v>39</v>
      </c>
      <c r="G133" t="str">
        <f>"2026-07-15 22:11:57.908"</f>
        <v>2026-07-15 22:11:57.908</v>
      </c>
      <c r="H133" t="s">
        <v>40</v>
      </c>
    </row>
    <row r="134" spans="1:10" x14ac:dyDescent="0.25">
      <c r="A134" s="1">
        <v>90</v>
      </c>
      <c r="B134" t="s">
        <v>28</v>
      </c>
      <c r="C134">
        <v>706</v>
      </c>
      <c r="D134">
        <v>4</v>
      </c>
      <c r="E134" t="s">
        <v>35</v>
      </c>
      <c r="F134" t="s">
        <v>36</v>
      </c>
      <c r="G134" t="str">
        <f>"2026-07-15 22:11:51.934"</f>
        <v>2026-07-15 22:11:51.934</v>
      </c>
      <c r="H134" t="s">
        <v>22</v>
      </c>
      <c r="I134">
        <v>0</v>
      </c>
      <c r="J134" t="s">
        <v>23</v>
      </c>
    </row>
    <row r="135" spans="1:10" x14ac:dyDescent="0.25">
      <c r="A135" s="1">
        <v>92</v>
      </c>
      <c r="B135" t="s">
        <v>19</v>
      </c>
      <c r="C135">
        <v>49</v>
      </c>
      <c r="D135">
        <v>1</v>
      </c>
      <c r="E135" t="s">
        <v>38</v>
      </c>
      <c r="F135" t="s">
        <v>39</v>
      </c>
      <c r="G135" t="str">
        <f>"2026-07-15 22:00:33.708"</f>
        <v>2026-07-15 22:00:33.708</v>
      </c>
      <c r="H135" t="s">
        <v>40</v>
      </c>
      <c r="I135">
        <v>0</v>
      </c>
      <c r="J135" t="s">
        <v>23</v>
      </c>
    </row>
    <row r="136" spans="1:10" x14ac:dyDescent="0.25">
      <c r="A136" s="1">
        <v>94</v>
      </c>
      <c r="B136" t="s">
        <v>37</v>
      </c>
      <c r="C136">
        <v>635</v>
      </c>
      <c r="D136">
        <v>1</v>
      </c>
      <c r="E136" t="s">
        <v>53</v>
      </c>
      <c r="F136" t="s">
        <v>48</v>
      </c>
      <c r="G136" t="str">
        <f>"2026-07-15 21:22:56.047"</f>
        <v>2026-07-15 21:22:56.047</v>
      </c>
      <c r="H136" t="s">
        <v>22</v>
      </c>
    </row>
    <row r="137" spans="1:10" x14ac:dyDescent="0.25">
      <c r="A137" s="1">
        <v>95</v>
      </c>
      <c r="B137" t="s">
        <v>19</v>
      </c>
      <c r="C137">
        <v>635</v>
      </c>
      <c r="D137">
        <v>1</v>
      </c>
      <c r="E137" t="s">
        <v>53</v>
      </c>
      <c r="F137" t="s">
        <v>48</v>
      </c>
      <c r="G137" t="str">
        <f>"2026-07-15 21:17:23.547"</f>
        <v>2026-07-15 21:17:23.547</v>
      </c>
      <c r="H137" t="s">
        <v>22</v>
      </c>
      <c r="I137">
        <v>5.48</v>
      </c>
      <c r="J137" t="s">
        <v>54</v>
      </c>
    </row>
    <row r="138" spans="1:10" s="3" customFormat="1" x14ac:dyDescent="0.25">
      <c r="A138" s="2">
        <v>96</v>
      </c>
      <c r="B138" s="3" t="s">
        <v>37</v>
      </c>
      <c r="C138" s="3">
        <v>647</v>
      </c>
      <c r="D138" s="3">
        <v>1</v>
      </c>
      <c r="E138" s="3" t="s">
        <v>43</v>
      </c>
      <c r="F138" s="3" t="s">
        <v>44</v>
      </c>
      <c r="G138" s="3" t="str">
        <f>"2026-07-15 16:29:09.895"</f>
        <v>2026-07-15 16:29:09.895</v>
      </c>
      <c r="H138" s="3" t="s">
        <v>22</v>
      </c>
    </row>
    <row r="139" spans="1:10" s="3" customFormat="1" x14ac:dyDescent="0.25">
      <c r="A139" s="2">
        <v>97</v>
      </c>
      <c r="B139" s="3" t="s">
        <v>19</v>
      </c>
      <c r="C139" s="3">
        <v>647</v>
      </c>
      <c r="D139" s="3">
        <v>1</v>
      </c>
      <c r="E139" s="3" t="s">
        <v>43</v>
      </c>
      <c r="F139" s="3" t="s">
        <v>44</v>
      </c>
      <c r="G139" s="3" t="str">
        <f>"2026-07-15 16:29:06.995"</f>
        <v>2026-07-15 16:29:06.995</v>
      </c>
      <c r="H139" s="3" t="s">
        <v>22</v>
      </c>
      <c r="I139" s="3">
        <v>9.15</v>
      </c>
      <c r="J139" s="3" t="s">
        <v>45</v>
      </c>
    </row>
    <row r="140" spans="1:10" x14ac:dyDescent="0.25">
      <c r="A140" s="1">
        <v>98</v>
      </c>
      <c r="B140" t="s">
        <v>28</v>
      </c>
      <c r="C140">
        <v>706</v>
      </c>
      <c r="D140">
        <v>4</v>
      </c>
      <c r="E140" t="s">
        <v>35</v>
      </c>
      <c r="F140" t="s">
        <v>36</v>
      </c>
      <c r="G140" t="str">
        <f>"2026-07-15 15:02:58.304"</f>
        <v>2026-07-15 15:02:58.304</v>
      </c>
      <c r="H140" t="s">
        <v>22</v>
      </c>
      <c r="I140">
        <v>0</v>
      </c>
      <c r="J140" t="s">
        <v>23</v>
      </c>
    </row>
    <row r="141" spans="1:10" x14ac:dyDescent="0.25">
      <c r="A141" s="1">
        <v>99</v>
      </c>
      <c r="B141" t="s">
        <v>28</v>
      </c>
      <c r="C141">
        <v>706</v>
      </c>
      <c r="D141">
        <v>2</v>
      </c>
      <c r="E141" t="s">
        <v>35</v>
      </c>
      <c r="F141" t="s">
        <v>42</v>
      </c>
      <c r="G141" t="str">
        <f>"2026-07-15 04:37:14.504"</f>
        <v>2026-07-15 04:37:14.504</v>
      </c>
      <c r="H141" t="s">
        <v>22</v>
      </c>
      <c r="I141">
        <v>0</v>
      </c>
      <c r="J141" t="s">
        <v>23</v>
      </c>
    </row>
    <row r="142" spans="1:10" x14ac:dyDescent="0.25">
      <c r="A142" s="1">
        <v>0</v>
      </c>
      <c r="B142" t="s">
        <v>37</v>
      </c>
      <c r="C142">
        <v>619</v>
      </c>
      <c r="D142">
        <v>1</v>
      </c>
      <c r="E142" t="s">
        <v>47</v>
      </c>
      <c r="F142" t="s">
        <v>48</v>
      </c>
      <c r="G142" t="str">
        <f>"2026-07-15 04:37:10.495"</f>
        <v>2026-07-15 04:37:10.495</v>
      </c>
      <c r="H142" t="s">
        <v>49</v>
      </c>
    </row>
    <row r="143" spans="1:10" x14ac:dyDescent="0.25">
      <c r="A143" s="1">
        <v>1</v>
      </c>
      <c r="B143" t="s">
        <v>19</v>
      </c>
      <c r="C143">
        <v>619</v>
      </c>
      <c r="D143">
        <v>1</v>
      </c>
      <c r="E143" t="s">
        <v>47</v>
      </c>
      <c r="F143" t="s">
        <v>48</v>
      </c>
      <c r="G143" t="str">
        <f>"2026-07-15 04:36:33.547"</f>
        <v>2026-07-15 04:36:33.547</v>
      </c>
      <c r="H143" t="s">
        <v>49</v>
      </c>
      <c r="I143">
        <v>1.25</v>
      </c>
      <c r="J143" t="s">
        <v>54</v>
      </c>
    </row>
    <row r="144" spans="1:10" x14ac:dyDescent="0.25">
      <c r="A144" s="1">
        <v>2</v>
      </c>
      <c r="B144" t="s">
        <v>28</v>
      </c>
      <c r="C144">
        <v>706</v>
      </c>
      <c r="D144">
        <v>2</v>
      </c>
      <c r="E144" t="s">
        <v>35</v>
      </c>
      <c r="F144" t="s">
        <v>42</v>
      </c>
      <c r="G144" t="str">
        <f>"2026-07-15 04:36:09.704"</f>
        <v>2026-07-15 04:36:09.704</v>
      </c>
      <c r="H144" t="s">
        <v>22</v>
      </c>
      <c r="I144">
        <v>0</v>
      </c>
      <c r="J144" t="s">
        <v>23</v>
      </c>
    </row>
    <row r="145" spans="1:10" x14ac:dyDescent="0.25">
      <c r="A145" s="1">
        <v>3</v>
      </c>
      <c r="B145" t="s">
        <v>37</v>
      </c>
      <c r="C145">
        <v>49</v>
      </c>
      <c r="D145">
        <v>1</v>
      </c>
      <c r="E145" t="s">
        <v>38</v>
      </c>
      <c r="F145" t="s">
        <v>39</v>
      </c>
      <c r="G145" t="str">
        <f>"2026-07-15 04:36:00.408"</f>
        <v>2026-07-15 04:36:00.408</v>
      </c>
      <c r="H145" t="s">
        <v>40</v>
      </c>
    </row>
    <row r="146" spans="1:10" x14ac:dyDescent="0.25">
      <c r="A146" s="1">
        <v>5</v>
      </c>
      <c r="B146" t="s">
        <v>19</v>
      </c>
      <c r="C146">
        <v>49</v>
      </c>
      <c r="D146">
        <v>1</v>
      </c>
      <c r="E146" t="s">
        <v>38</v>
      </c>
      <c r="F146" t="s">
        <v>39</v>
      </c>
      <c r="G146" t="str">
        <f>"2026-07-15 04:24:17.908"</f>
        <v>2026-07-15 04:24:17.908</v>
      </c>
      <c r="H146" t="s">
        <v>40</v>
      </c>
      <c r="I146">
        <v>0</v>
      </c>
      <c r="J146" t="s">
        <v>23</v>
      </c>
    </row>
    <row r="147" spans="1:10" x14ac:dyDescent="0.25">
      <c r="A147" s="1">
        <v>7</v>
      </c>
      <c r="B147" t="s">
        <v>28</v>
      </c>
      <c r="C147">
        <v>706</v>
      </c>
      <c r="D147">
        <v>4</v>
      </c>
      <c r="E147" t="s">
        <v>35</v>
      </c>
      <c r="F147" t="s">
        <v>36</v>
      </c>
      <c r="G147" t="str">
        <f>"2026-07-15 01:01:35.984"</f>
        <v>2026-07-15 01:01:35.984</v>
      </c>
      <c r="H147" t="s">
        <v>22</v>
      </c>
      <c r="I147">
        <v>0</v>
      </c>
      <c r="J147" t="s">
        <v>23</v>
      </c>
    </row>
    <row r="148" spans="1:10" x14ac:dyDescent="0.25">
      <c r="A148" s="1">
        <v>8</v>
      </c>
      <c r="B148" t="s">
        <v>37</v>
      </c>
      <c r="C148">
        <v>49</v>
      </c>
      <c r="D148">
        <v>1</v>
      </c>
      <c r="E148" t="s">
        <v>38</v>
      </c>
      <c r="F148" t="s">
        <v>39</v>
      </c>
      <c r="G148" t="str">
        <f>"2026-07-15 01:01:35.308"</f>
        <v>2026-07-15 01:01:35.308</v>
      </c>
      <c r="H148" t="s">
        <v>40</v>
      </c>
    </row>
    <row r="149" spans="1:10" x14ac:dyDescent="0.25">
      <c r="A149" s="1">
        <v>10</v>
      </c>
      <c r="B149" t="s">
        <v>19</v>
      </c>
      <c r="C149">
        <v>49</v>
      </c>
      <c r="D149">
        <v>1</v>
      </c>
      <c r="E149" t="s">
        <v>38</v>
      </c>
      <c r="F149" t="s">
        <v>39</v>
      </c>
      <c r="G149" t="str">
        <f>"2026-07-15 00:38:58.808"</f>
        <v>2026-07-15 00:38:58.808</v>
      </c>
      <c r="H149" t="s">
        <v>40</v>
      </c>
      <c r="I149">
        <v>0</v>
      </c>
      <c r="J149" t="s">
        <v>23</v>
      </c>
    </row>
    <row r="150" spans="1:10" x14ac:dyDescent="0.25">
      <c r="A150" s="1">
        <v>12</v>
      </c>
      <c r="B150" t="s">
        <v>37</v>
      </c>
      <c r="C150">
        <v>49</v>
      </c>
      <c r="D150">
        <v>1</v>
      </c>
      <c r="E150" t="s">
        <v>38</v>
      </c>
      <c r="F150" t="s">
        <v>39</v>
      </c>
      <c r="G150" t="str">
        <f>"2026-07-15 00:35:09.208"</f>
        <v>2026-07-15 00:35:09.208</v>
      </c>
      <c r="H150" t="s">
        <v>40</v>
      </c>
    </row>
    <row r="151" spans="1:10" x14ac:dyDescent="0.25">
      <c r="A151" s="1">
        <v>13</v>
      </c>
      <c r="B151" t="s">
        <v>28</v>
      </c>
      <c r="C151">
        <v>706</v>
      </c>
      <c r="D151">
        <v>4</v>
      </c>
      <c r="E151" t="s">
        <v>35</v>
      </c>
      <c r="F151" t="s">
        <v>36</v>
      </c>
      <c r="G151" t="str">
        <f>"2026-07-15 00:35:03.244"</f>
        <v>2026-07-15 00:35:03.244</v>
      </c>
      <c r="H151" t="s">
        <v>22</v>
      </c>
      <c r="I151">
        <v>0</v>
      </c>
      <c r="J151" t="s">
        <v>23</v>
      </c>
    </row>
    <row r="152" spans="1:10" x14ac:dyDescent="0.25">
      <c r="A152" s="1">
        <v>15</v>
      </c>
      <c r="B152" t="s">
        <v>19</v>
      </c>
      <c r="C152">
        <v>49</v>
      </c>
      <c r="D152">
        <v>1</v>
      </c>
      <c r="E152" t="s">
        <v>38</v>
      </c>
      <c r="F152" t="s">
        <v>39</v>
      </c>
      <c r="G152" t="str">
        <f>"2026-07-15 00:22:23.408"</f>
        <v>2026-07-15 00:22:23.408</v>
      </c>
      <c r="H152" t="s">
        <v>40</v>
      </c>
      <c r="I152">
        <v>0</v>
      </c>
      <c r="J152" t="s">
        <v>23</v>
      </c>
    </row>
    <row r="153" spans="1:10" x14ac:dyDescent="0.25">
      <c r="A153" s="1">
        <v>17</v>
      </c>
      <c r="B153" t="s">
        <v>37</v>
      </c>
      <c r="C153">
        <v>635</v>
      </c>
      <c r="D153">
        <v>1</v>
      </c>
      <c r="E153" t="s">
        <v>53</v>
      </c>
      <c r="F153" t="s">
        <v>48</v>
      </c>
      <c r="G153" t="str">
        <f>"2026-07-14 22:57:01.147"</f>
        <v>2026-07-14 22:57:01.147</v>
      </c>
      <c r="H153" t="s">
        <v>22</v>
      </c>
    </row>
    <row r="154" spans="1:10" x14ac:dyDescent="0.25">
      <c r="A154" s="1">
        <v>18</v>
      </c>
      <c r="B154" t="s">
        <v>19</v>
      </c>
      <c r="C154">
        <v>635</v>
      </c>
      <c r="D154">
        <v>1</v>
      </c>
      <c r="E154" t="s">
        <v>53</v>
      </c>
      <c r="F154" t="s">
        <v>48</v>
      </c>
      <c r="G154" t="str">
        <f>"2026-07-14 22:55:20.247"</f>
        <v>2026-07-14 22:55:20.247</v>
      </c>
      <c r="H154" t="s">
        <v>22</v>
      </c>
      <c r="I154">
        <v>5.31</v>
      </c>
      <c r="J154" t="s">
        <v>50</v>
      </c>
    </row>
    <row r="155" spans="1:10" x14ac:dyDescent="0.25">
      <c r="A155" s="1">
        <v>19</v>
      </c>
      <c r="B155" t="s">
        <v>37</v>
      </c>
      <c r="C155">
        <v>635</v>
      </c>
      <c r="D155">
        <v>1</v>
      </c>
      <c r="E155" t="s">
        <v>53</v>
      </c>
      <c r="F155" t="s">
        <v>48</v>
      </c>
      <c r="G155" t="str">
        <f>"2026-07-14 22:33:59.747"</f>
        <v>2026-07-14 22:33:59.747</v>
      </c>
      <c r="H155" t="s">
        <v>22</v>
      </c>
    </row>
    <row r="156" spans="1:10" x14ac:dyDescent="0.25">
      <c r="A156" s="1">
        <v>20</v>
      </c>
      <c r="B156" t="s">
        <v>19</v>
      </c>
      <c r="C156">
        <v>635</v>
      </c>
      <c r="D156">
        <v>1</v>
      </c>
      <c r="E156" t="s">
        <v>53</v>
      </c>
      <c r="F156" t="s">
        <v>48</v>
      </c>
      <c r="G156" t="str">
        <f>"2026-07-14 22:10:27.847"</f>
        <v>2026-07-14 22:10:27.847</v>
      </c>
      <c r="H156" t="s">
        <v>22</v>
      </c>
      <c r="I156">
        <v>6.45</v>
      </c>
      <c r="J156" t="s">
        <v>54</v>
      </c>
    </row>
    <row r="157" spans="1:10" s="3" customFormat="1" x14ac:dyDescent="0.25">
      <c r="A157" s="2">
        <v>21</v>
      </c>
      <c r="B157" s="3" t="s">
        <v>37</v>
      </c>
      <c r="C157" s="3">
        <v>647</v>
      </c>
      <c r="D157" s="3">
        <v>1</v>
      </c>
      <c r="E157" s="3" t="s">
        <v>43</v>
      </c>
      <c r="F157" s="3" t="s">
        <v>44</v>
      </c>
      <c r="G157" s="3" t="str">
        <f>"2026-07-14 16:22:42.996"</f>
        <v>2026-07-14 16:22:42.996</v>
      </c>
      <c r="H157" s="3" t="s">
        <v>22</v>
      </c>
    </row>
    <row r="158" spans="1:10" s="3" customFormat="1" x14ac:dyDescent="0.25">
      <c r="A158" s="2">
        <v>22</v>
      </c>
      <c r="B158" s="3" t="s">
        <v>19</v>
      </c>
      <c r="C158" s="3">
        <v>647</v>
      </c>
      <c r="D158" s="3">
        <v>1</v>
      </c>
      <c r="E158" s="3" t="s">
        <v>43</v>
      </c>
      <c r="F158" s="3" t="s">
        <v>44</v>
      </c>
      <c r="G158" s="3" t="str">
        <f>"2026-07-14 16:22:41.895"</f>
        <v>2026-07-14 16:22:41.895</v>
      </c>
      <c r="H158" s="3" t="s">
        <v>22</v>
      </c>
      <c r="I158" s="3">
        <v>12.03</v>
      </c>
      <c r="J158" s="3" t="s">
        <v>45</v>
      </c>
    </row>
    <row r="159" spans="1:10" x14ac:dyDescent="0.25">
      <c r="A159" s="1">
        <v>23</v>
      </c>
      <c r="B159" t="s">
        <v>37</v>
      </c>
      <c r="C159">
        <v>635</v>
      </c>
      <c r="D159">
        <v>1</v>
      </c>
      <c r="E159" t="s">
        <v>53</v>
      </c>
      <c r="F159" t="s">
        <v>48</v>
      </c>
      <c r="G159" t="str">
        <f>"2026-07-14 07:16:27.447"</f>
        <v>2026-07-14 07:16:27.447</v>
      </c>
      <c r="H159" t="s">
        <v>22</v>
      </c>
    </row>
    <row r="160" spans="1:10" x14ac:dyDescent="0.25">
      <c r="A160" s="1">
        <v>24</v>
      </c>
      <c r="B160" t="s">
        <v>19</v>
      </c>
      <c r="C160">
        <v>635</v>
      </c>
      <c r="D160">
        <v>1</v>
      </c>
      <c r="E160" t="s">
        <v>53</v>
      </c>
      <c r="F160" t="s">
        <v>48</v>
      </c>
      <c r="G160" t="str">
        <f>"2026-07-14 07:12:16.947"</f>
        <v>2026-07-14 07:12:16.947</v>
      </c>
      <c r="H160" t="s">
        <v>22</v>
      </c>
      <c r="I160">
        <v>4.8899999999999997</v>
      </c>
      <c r="J160" t="s">
        <v>54</v>
      </c>
    </row>
    <row r="161" spans="1:10" x14ac:dyDescent="0.25">
      <c r="A161" s="1">
        <v>25</v>
      </c>
      <c r="B161" t="s">
        <v>37</v>
      </c>
      <c r="C161">
        <v>49</v>
      </c>
      <c r="D161">
        <v>1</v>
      </c>
      <c r="E161" t="s">
        <v>38</v>
      </c>
      <c r="F161" t="s">
        <v>39</v>
      </c>
      <c r="G161" t="str">
        <f>"2026-07-14 04:42:38.208"</f>
        <v>2026-07-14 04:42:38.208</v>
      </c>
      <c r="H161" t="s">
        <v>40</v>
      </c>
    </row>
    <row r="162" spans="1:10" x14ac:dyDescent="0.25">
      <c r="A162" s="1">
        <v>26</v>
      </c>
      <c r="B162" t="s">
        <v>28</v>
      </c>
      <c r="C162">
        <v>706</v>
      </c>
      <c r="D162">
        <v>4</v>
      </c>
      <c r="E162" t="s">
        <v>35</v>
      </c>
      <c r="F162" t="s">
        <v>36</v>
      </c>
      <c r="G162" t="str">
        <f>"2026-07-14 04:42:34.254"</f>
        <v>2026-07-14 04:42:34.254</v>
      </c>
      <c r="H162" t="s">
        <v>22</v>
      </c>
      <c r="I162">
        <v>0</v>
      </c>
      <c r="J162" t="s">
        <v>23</v>
      </c>
    </row>
    <row r="163" spans="1:10" x14ac:dyDescent="0.25">
      <c r="A163" s="1">
        <v>28</v>
      </c>
      <c r="B163" t="s">
        <v>19</v>
      </c>
      <c r="C163">
        <v>49</v>
      </c>
      <c r="D163">
        <v>1</v>
      </c>
      <c r="E163" t="s">
        <v>38</v>
      </c>
      <c r="F163" t="s">
        <v>39</v>
      </c>
      <c r="G163" t="str">
        <f>"2026-07-14 04:32:49.508"</f>
        <v>2026-07-14 04:32:49.508</v>
      </c>
      <c r="H163" t="s">
        <v>40</v>
      </c>
      <c r="I163">
        <v>0</v>
      </c>
      <c r="J163" t="s">
        <v>23</v>
      </c>
    </row>
    <row r="164" spans="1:10" x14ac:dyDescent="0.25">
      <c r="A164" s="1">
        <v>30</v>
      </c>
      <c r="B164" t="s">
        <v>37</v>
      </c>
      <c r="C164">
        <v>49</v>
      </c>
      <c r="D164">
        <v>1</v>
      </c>
      <c r="E164" t="s">
        <v>38</v>
      </c>
      <c r="F164" t="s">
        <v>39</v>
      </c>
      <c r="G164" t="str">
        <f>"2026-07-14 02:21:06.508"</f>
        <v>2026-07-14 02:21:06.508</v>
      </c>
      <c r="H164" t="s">
        <v>40</v>
      </c>
    </row>
    <row r="165" spans="1:10" x14ac:dyDescent="0.25">
      <c r="A165" s="1">
        <v>31</v>
      </c>
      <c r="B165" t="s">
        <v>28</v>
      </c>
      <c r="C165">
        <v>706</v>
      </c>
      <c r="D165">
        <v>2</v>
      </c>
      <c r="E165" t="s">
        <v>35</v>
      </c>
      <c r="F165" t="s">
        <v>42</v>
      </c>
      <c r="G165" t="str">
        <f>"2026-07-14 02:21:04.704"</f>
        <v>2026-07-14 02:21:04.704</v>
      </c>
      <c r="H165" t="s">
        <v>22</v>
      </c>
      <c r="I165">
        <v>0</v>
      </c>
      <c r="J165" t="s">
        <v>23</v>
      </c>
    </row>
    <row r="166" spans="1:10" x14ac:dyDescent="0.25">
      <c r="A166" s="1">
        <v>33</v>
      </c>
      <c r="B166" t="s">
        <v>19</v>
      </c>
      <c r="C166">
        <v>49</v>
      </c>
      <c r="D166">
        <v>1</v>
      </c>
      <c r="E166" t="s">
        <v>38</v>
      </c>
      <c r="F166" t="s">
        <v>39</v>
      </c>
      <c r="G166" t="str">
        <f>"2026-07-14 01:47:40.008"</f>
        <v>2026-07-14 01:47:40.008</v>
      </c>
      <c r="H166" t="s">
        <v>40</v>
      </c>
      <c r="I166">
        <v>0</v>
      </c>
      <c r="J166" t="s">
        <v>23</v>
      </c>
    </row>
    <row r="167" spans="1:10" s="3" customFormat="1" x14ac:dyDescent="0.25">
      <c r="A167" s="2">
        <v>35</v>
      </c>
      <c r="B167" s="3" t="s">
        <v>37</v>
      </c>
      <c r="C167" s="3">
        <v>647</v>
      </c>
      <c r="D167" s="3">
        <v>1</v>
      </c>
      <c r="E167" s="3" t="s">
        <v>43</v>
      </c>
      <c r="F167" s="3" t="s">
        <v>44</v>
      </c>
      <c r="G167" s="3" t="str">
        <f>"2026-07-13 22:21:40.895"</f>
        <v>2026-07-13 22:21:40.895</v>
      </c>
      <c r="H167" s="3" t="s">
        <v>22</v>
      </c>
    </row>
    <row r="168" spans="1:10" s="3" customFormat="1" x14ac:dyDescent="0.25">
      <c r="A168" s="2">
        <v>36</v>
      </c>
      <c r="B168" s="3" t="s">
        <v>19</v>
      </c>
      <c r="C168" s="3">
        <v>647</v>
      </c>
      <c r="D168" s="3">
        <v>1</v>
      </c>
      <c r="E168" s="3" t="s">
        <v>43</v>
      </c>
      <c r="F168" s="3" t="s">
        <v>44</v>
      </c>
      <c r="G168" s="3" t="str">
        <f>"2026-07-13 22:21:39.395"</f>
        <v>2026-07-13 22:21:39.395</v>
      </c>
      <c r="H168" s="3" t="s">
        <v>22</v>
      </c>
      <c r="I168" s="3">
        <v>9.4600000000000009</v>
      </c>
      <c r="J168" s="3" t="s">
        <v>45</v>
      </c>
    </row>
    <row r="169" spans="1:10" s="3" customFormat="1" x14ac:dyDescent="0.25">
      <c r="A169" s="2">
        <v>37</v>
      </c>
      <c r="B169" s="3" t="s">
        <v>37</v>
      </c>
      <c r="C169" s="3">
        <v>647</v>
      </c>
      <c r="D169" s="3">
        <v>1</v>
      </c>
      <c r="E169" s="3" t="s">
        <v>43</v>
      </c>
      <c r="F169" s="3" t="s">
        <v>44</v>
      </c>
      <c r="G169" s="3" t="str">
        <f>"2026-07-13 21:26:05.596"</f>
        <v>2026-07-13 21:26:05.596</v>
      </c>
      <c r="H169" s="3" t="s">
        <v>22</v>
      </c>
    </row>
    <row r="170" spans="1:10" s="3" customFormat="1" x14ac:dyDescent="0.25">
      <c r="A170" s="2">
        <v>38</v>
      </c>
      <c r="B170" s="3" t="s">
        <v>19</v>
      </c>
      <c r="C170" s="3">
        <v>647</v>
      </c>
      <c r="D170" s="3">
        <v>1</v>
      </c>
      <c r="E170" s="3" t="s">
        <v>43</v>
      </c>
      <c r="F170" s="3" t="s">
        <v>44</v>
      </c>
      <c r="G170" s="3" t="str">
        <f>"2026-07-13 21:26:02.295"</f>
        <v>2026-07-13 21:26:02.295</v>
      </c>
      <c r="H170" s="3" t="s">
        <v>22</v>
      </c>
      <c r="I170" s="3">
        <v>13.58</v>
      </c>
      <c r="J170" s="3" t="s">
        <v>45</v>
      </c>
    </row>
    <row r="171" spans="1:10" s="3" customFormat="1" x14ac:dyDescent="0.25">
      <c r="A171" s="2">
        <v>39</v>
      </c>
      <c r="B171" s="3" t="s">
        <v>37</v>
      </c>
      <c r="C171" s="3">
        <v>647</v>
      </c>
      <c r="D171" s="3">
        <v>1</v>
      </c>
      <c r="E171" s="3" t="s">
        <v>43</v>
      </c>
      <c r="F171" s="3" t="s">
        <v>44</v>
      </c>
      <c r="G171" s="3" t="str">
        <f>"2026-07-13 20:49:50.096"</f>
        <v>2026-07-13 20:49:50.096</v>
      </c>
      <c r="H171" s="3" t="s">
        <v>22</v>
      </c>
    </row>
    <row r="172" spans="1:10" s="3" customFormat="1" x14ac:dyDescent="0.25">
      <c r="A172" s="2">
        <v>40</v>
      </c>
      <c r="B172" s="3" t="s">
        <v>19</v>
      </c>
      <c r="C172" s="3">
        <v>647</v>
      </c>
      <c r="D172" s="3">
        <v>1</v>
      </c>
      <c r="E172" s="3" t="s">
        <v>43</v>
      </c>
      <c r="F172" s="3" t="s">
        <v>44</v>
      </c>
      <c r="G172" s="3" t="str">
        <f>"2026-07-13 20:49:47.995"</f>
        <v>2026-07-13 20:49:47.995</v>
      </c>
      <c r="H172" s="3" t="s">
        <v>22</v>
      </c>
      <c r="I172" s="3">
        <v>16.079999999999998</v>
      </c>
      <c r="J172" s="3" t="s">
        <v>45</v>
      </c>
    </row>
    <row r="173" spans="1:10" s="3" customFormat="1" x14ac:dyDescent="0.25">
      <c r="A173" s="2">
        <v>41</v>
      </c>
      <c r="B173" s="3" t="s">
        <v>37</v>
      </c>
      <c r="C173" s="3">
        <v>647</v>
      </c>
      <c r="D173" s="3">
        <v>1</v>
      </c>
      <c r="E173" s="3" t="s">
        <v>43</v>
      </c>
      <c r="F173" s="3" t="s">
        <v>44</v>
      </c>
      <c r="G173" s="3" t="str">
        <f>"2026-07-13 20:49:44.895"</f>
        <v>2026-07-13 20:49:44.895</v>
      </c>
      <c r="H173" s="3" t="s">
        <v>22</v>
      </c>
    </row>
    <row r="174" spans="1:10" s="3" customFormat="1" x14ac:dyDescent="0.25">
      <c r="A174" s="2">
        <v>42</v>
      </c>
      <c r="B174" s="3" t="s">
        <v>19</v>
      </c>
      <c r="C174" s="3">
        <v>647</v>
      </c>
      <c r="D174" s="3">
        <v>1</v>
      </c>
      <c r="E174" s="3" t="s">
        <v>43</v>
      </c>
      <c r="F174" s="3" t="s">
        <v>44</v>
      </c>
      <c r="G174" s="3" t="str">
        <f>"2026-07-13 20:49:42.795"</f>
        <v>2026-07-13 20:49:42.795</v>
      </c>
      <c r="H174" s="3" t="s">
        <v>22</v>
      </c>
      <c r="I174" s="3">
        <v>15.16</v>
      </c>
      <c r="J174" s="3" t="s">
        <v>45</v>
      </c>
    </row>
    <row r="175" spans="1:10" s="3" customFormat="1" x14ac:dyDescent="0.25">
      <c r="A175" s="2">
        <v>43</v>
      </c>
      <c r="B175" s="3" t="s">
        <v>37</v>
      </c>
      <c r="C175" s="3">
        <v>647</v>
      </c>
      <c r="D175" s="3">
        <v>1</v>
      </c>
      <c r="E175" s="3" t="s">
        <v>43</v>
      </c>
      <c r="F175" s="3" t="s">
        <v>44</v>
      </c>
      <c r="G175" s="3" t="str">
        <f>"2026-07-13 20:49:39.695"</f>
        <v>2026-07-13 20:49:39.695</v>
      </c>
      <c r="H175" s="3" t="s">
        <v>22</v>
      </c>
    </row>
    <row r="176" spans="1:10" s="3" customFormat="1" x14ac:dyDescent="0.25">
      <c r="A176" s="2">
        <v>44</v>
      </c>
      <c r="B176" s="3" t="s">
        <v>19</v>
      </c>
      <c r="C176" s="3">
        <v>647</v>
      </c>
      <c r="D176" s="3">
        <v>1</v>
      </c>
      <c r="E176" s="3" t="s">
        <v>43</v>
      </c>
      <c r="F176" s="3" t="s">
        <v>44</v>
      </c>
      <c r="G176" s="3" t="str">
        <f>"2026-07-13 20:49:38.395"</f>
        <v>2026-07-13 20:49:38.395</v>
      </c>
      <c r="H176" s="3" t="s">
        <v>22</v>
      </c>
      <c r="I176" s="3">
        <v>15.53</v>
      </c>
      <c r="J176" s="3" t="s">
        <v>45</v>
      </c>
    </row>
    <row r="177" spans="1:10" s="3" customFormat="1" x14ac:dyDescent="0.25">
      <c r="A177" s="2">
        <v>45</v>
      </c>
      <c r="B177" s="3" t="s">
        <v>37</v>
      </c>
      <c r="C177" s="3">
        <v>647</v>
      </c>
      <c r="D177" s="3">
        <v>1</v>
      </c>
      <c r="E177" s="3" t="s">
        <v>43</v>
      </c>
      <c r="F177" s="3" t="s">
        <v>44</v>
      </c>
      <c r="G177" s="3" t="str">
        <f>"2026-07-13 20:49:32.695"</f>
        <v>2026-07-13 20:49:32.695</v>
      </c>
      <c r="H177" s="3" t="s">
        <v>22</v>
      </c>
    </row>
    <row r="178" spans="1:10" s="3" customFormat="1" x14ac:dyDescent="0.25">
      <c r="A178" s="2">
        <v>46</v>
      </c>
      <c r="B178" s="3" t="s">
        <v>19</v>
      </c>
      <c r="C178" s="3">
        <v>647</v>
      </c>
      <c r="D178" s="3">
        <v>1</v>
      </c>
      <c r="E178" s="3" t="s">
        <v>43</v>
      </c>
      <c r="F178" s="3" t="s">
        <v>44</v>
      </c>
      <c r="G178" s="3" t="str">
        <f>"2026-07-13 20:49:31.395"</f>
        <v>2026-07-13 20:49:31.395</v>
      </c>
      <c r="H178" s="3" t="s">
        <v>22</v>
      </c>
      <c r="I178" s="3">
        <v>13.31</v>
      </c>
      <c r="J178" s="3" t="s">
        <v>45</v>
      </c>
    </row>
    <row r="179" spans="1:10" s="3" customFormat="1" x14ac:dyDescent="0.25">
      <c r="A179" s="2">
        <v>47</v>
      </c>
      <c r="B179" s="3" t="s">
        <v>37</v>
      </c>
      <c r="C179" s="3">
        <v>647</v>
      </c>
      <c r="D179" s="3">
        <v>1</v>
      </c>
      <c r="E179" s="3" t="s">
        <v>43</v>
      </c>
      <c r="F179" s="3" t="s">
        <v>44</v>
      </c>
      <c r="G179" s="3" t="str">
        <f>"2026-07-13 20:49:21.596"</f>
        <v>2026-07-13 20:49:21.596</v>
      </c>
      <c r="H179" s="3" t="s">
        <v>22</v>
      </c>
    </row>
    <row r="180" spans="1:10" s="3" customFormat="1" x14ac:dyDescent="0.25">
      <c r="A180" s="2">
        <v>48</v>
      </c>
      <c r="B180" s="3" t="s">
        <v>19</v>
      </c>
      <c r="C180" s="3">
        <v>647</v>
      </c>
      <c r="D180" s="3">
        <v>1</v>
      </c>
      <c r="E180" s="3" t="s">
        <v>43</v>
      </c>
      <c r="F180" s="3" t="s">
        <v>44</v>
      </c>
      <c r="G180" s="3" t="str">
        <f>"2026-07-13 20:49:20.395"</f>
        <v>2026-07-13 20:49:20.395</v>
      </c>
      <c r="H180" s="3" t="s">
        <v>22</v>
      </c>
      <c r="I180" s="3">
        <v>11.42</v>
      </c>
      <c r="J180" s="3" t="s">
        <v>45</v>
      </c>
    </row>
    <row r="181" spans="1:10" x14ac:dyDescent="0.25">
      <c r="A181" s="1">
        <v>49</v>
      </c>
      <c r="B181" t="s">
        <v>37</v>
      </c>
      <c r="C181">
        <v>49</v>
      </c>
      <c r="D181">
        <v>1</v>
      </c>
      <c r="E181" t="s">
        <v>38</v>
      </c>
      <c r="F181" t="s">
        <v>39</v>
      </c>
      <c r="G181" t="str">
        <f>"2026-07-13 20:34:48.008"</f>
        <v>2026-07-13 20:34:48.008</v>
      </c>
      <c r="H181" t="s">
        <v>40</v>
      </c>
    </row>
    <row r="182" spans="1:10" x14ac:dyDescent="0.25">
      <c r="A182" s="1">
        <v>50</v>
      </c>
      <c r="B182" t="s">
        <v>28</v>
      </c>
      <c r="C182">
        <v>706</v>
      </c>
      <c r="D182">
        <v>4</v>
      </c>
      <c r="E182" t="s">
        <v>35</v>
      </c>
      <c r="F182" t="s">
        <v>36</v>
      </c>
      <c r="G182" t="str">
        <f>"2026-07-13 20:34:44.084"</f>
        <v>2026-07-13 20:34:44.084</v>
      </c>
      <c r="H182" t="s">
        <v>22</v>
      </c>
      <c r="I182">
        <v>0</v>
      </c>
      <c r="J182" t="s">
        <v>23</v>
      </c>
    </row>
    <row r="183" spans="1:10" x14ac:dyDescent="0.25">
      <c r="A183" s="1">
        <v>52</v>
      </c>
      <c r="B183" t="s">
        <v>19</v>
      </c>
      <c r="C183">
        <v>49</v>
      </c>
      <c r="D183">
        <v>1</v>
      </c>
      <c r="E183" t="s">
        <v>38</v>
      </c>
      <c r="F183" t="s">
        <v>39</v>
      </c>
      <c r="G183" t="str">
        <f>"2026-07-13 20:24:58.508"</f>
        <v>2026-07-13 20:24:58.508</v>
      </c>
      <c r="H183" t="s">
        <v>40</v>
      </c>
      <c r="I183">
        <v>0</v>
      </c>
      <c r="J183" t="s">
        <v>23</v>
      </c>
    </row>
    <row r="184" spans="1:10" s="3" customFormat="1" x14ac:dyDescent="0.25">
      <c r="A184" s="2">
        <v>54</v>
      </c>
      <c r="B184" s="3" t="s">
        <v>37</v>
      </c>
      <c r="C184" s="3">
        <v>647</v>
      </c>
      <c r="D184" s="3">
        <v>1</v>
      </c>
      <c r="E184" s="3" t="s">
        <v>43</v>
      </c>
      <c r="F184" s="3" t="s">
        <v>44</v>
      </c>
      <c r="G184" s="3" t="str">
        <f>"2026-07-13 19:48:06.995"</f>
        <v>2026-07-13 19:48:06.995</v>
      </c>
      <c r="H184" s="3" t="s">
        <v>22</v>
      </c>
    </row>
    <row r="185" spans="1:10" s="3" customFormat="1" x14ac:dyDescent="0.25">
      <c r="A185" s="2">
        <v>55</v>
      </c>
      <c r="B185" s="3" t="s">
        <v>19</v>
      </c>
      <c r="C185" s="3">
        <v>647</v>
      </c>
      <c r="D185" s="3">
        <v>1</v>
      </c>
      <c r="E185" s="3" t="s">
        <v>43</v>
      </c>
      <c r="F185" s="3" t="s">
        <v>44</v>
      </c>
      <c r="G185" s="3" t="str">
        <f>"2026-07-13 19:48:05.895"</f>
        <v>2026-07-13 19:48:05.895</v>
      </c>
      <c r="H185" s="3" t="s">
        <v>22</v>
      </c>
      <c r="I185" s="3">
        <v>10.72</v>
      </c>
      <c r="J185" s="3" t="s">
        <v>45</v>
      </c>
    </row>
    <row r="186" spans="1:10" x14ac:dyDescent="0.25">
      <c r="A186" s="1">
        <v>56</v>
      </c>
      <c r="B186" t="s">
        <v>37</v>
      </c>
      <c r="C186">
        <v>635</v>
      </c>
      <c r="D186">
        <v>1</v>
      </c>
      <c r="E186" t="s">
        <v>53</v>
      </c>
      <c r="F186" t="s">
        <v>48</v>
      </c>
      <c r="G186" t="str">
        <f>"2026-07-13 16:23:01.647"</f>
        <v>2026-07-13 16:23:01.647</v>
      </c>
      <c r="H186" t="s">
        <v>22</v>
      </c>
    </row>
    <row r="187" spans="1:10" x14ac:dyDescent="0.25">
      <c r="A187" s="1">
        <v>57</v>
      </c>
      <c r="B187" t="s">
        <v>19</v>
      </c>
      <c r="C187">
        <v>635</v>
      </c>
      <c r="D187">
        <v>1</v>
      </c>
      <c r="E187" t="s">
        <v>53</v>
      </c>
      <c r="F187" t="s">
        <v>48</v>
      </c>
      <c r="G187" t="str">
        <f>"2026-07-13 16:20:24.147"</f>
        <v>2026-07-13 16:20:24.147</v>
      </c>
      <c r="H187" t="s">
        <v>22</v>
      </c>
      <c r="I187">
        <v>2.59</v>
      </c>
      <c r="J187" t="s">
        <v>54</v>
      </c>
    </row>
    <row r="188" spans="1:10" x14ac:dyDescent="0.25">
      <c r="A188" s="1">
        <v>58</v>
      </c>
      <c r="B188" t="s">
        <v>37</v>
      </c>
      <c r="C188">
        <v>635</v>
      </c>
      <c r="D188">
        <v>1</v>
      </c>
      <c r="E188" t="s">
        <v>53</v>
      </c>
      <c r="F188" t="s">
        <v>48</v>
      </c>
      <c r="G188" t="str">
        <f>"2026-07-13 14:21:35.447"</f>
        <v>2026-07-13 14:21:35.447</v>
      </c>
      <c r="H188" t="s">
        <v>22</v>
      </c>
    </row>
    <row r="189" spans="1:10" x14ac:dyDescent="0.25">
      <c r="A189" s="1">
        <v>59</v>
      </c>
      <c r="B189" t="s">
        <v>19</v>
      </c>
      <c r="C189">
        <v>635</v>
      </c>
      <c r="D189">
        <v>1</v>
      </c>
      <c r="E189" t="s">
        <v>53</v>
      </c>
      <c r="F189" t="s">
        <v>48</v>
      </c>
      <c r="G189" t="str">
        <f>"2026-07-13 14:13:12.447"</f>
        <v>2026-07-13 14:13:12.447</v>
      </c>
      <c r="H189" t="s">
        <v>22</v>
      </c>
      <c r="I189">
        <v>2.27</v>
      </c>
      <c r="J189" t="s">
        <v>54</v>
      </c>
    </row>
    <row r="190" spans="1:10" x14ac:dyDescent="0.25">
      <c r="A190" s="1">
        <v>60</v>
      </c>
      <c r="B190" t="s">
        <v>37</v>
      </c>
      <c r="C190">
        <v>635</v>
      </c>
      <c r="D190">
        <v>1</v>
      </c>
      <c r="E190" t="s">
        <v>53</v>
      </c>
      <c r="F190" t="s">
        <v>48</v>
      </c>
      <c r="G190" t="str">
        <f>"2026-07-13 10:59:15.447"</f>
        <v>2026-07-13 10:59:15.447</v>
      </c>
      <c r="H190" t="s">
        <v>22</v>
      </c>
    </row>
    <row r="191" spans="1:10" x14ac:dyDescent="0.25">
      <c r="A191" s="1">
        <v>61</v>
      </c>
      <c r="B191" t="s">
        <v>19</v>
      </c>
      <c r="C191">
        <v>635</v>
      </c>
      <c r="D191">
        <v>1</v>
      </c>
      <c r="E191" t="s">
        <v>53</v>
      </c>
      <c r="F191" t="s">
        <v>48</v>
      </c>
      <c r="G191" t="str">
        <f>"2026-07-13 10:56:37.447"</f>
        <v>2026-07-13 10:56:37.447</v>
      </c>
      <c r="H191" t="s">
        <v>22</v>
      </c>
      <c r="I191">
        <v>4.09</v>
      </c>
      <c r="J191" t="s">
        <v>45</v>
      </c>
    </row>
    <row r="192" spans="1:10" s="3" customFormat="1" x14ac:dyDescent="0.25">
      <c r="A192" s="2">
        <v>62</v>
      </c>
      <c r="B192" s="3" t="s">
        <v>37</v>
      </c>
      <c r="C192" s="3">
        <v>647</v>
      </c>
      <c r="D192" s="3">
        <v>1</v>
      </c>
      <c r="E192" s="3" t="s">
        <v>43</v>
      </c>
      <c r="F192" s="3" t="s">
        <v>44</v>
      </c>
      <c r="G192" s="3" t="str">
        <f>"2026-07-13 03:48:42.295"</f>
        <v>2026-07-13 03:48:42.295</v>
      </c>
      <c r="H192" s="3" t="s">
        <v>22</v>
      </c>
    </row>
    <row r="193" spans="1:10" s="3" customFormat="1" x14ac:dyDescent="0.25">
      <c r="A193" s="2">
        <v>63</v>
      </c>
      <c r="B193" s="3" t="s">
        <v>19</v>
      </c>
      <c r="C193" s="3">
        <v>647</v>
      </c>
      <c r="D193" s="3">
        <v>1</v>
      </c>
      <c r="E193" s="3" t="s">
        <v>43</v>
      </c>
      <c r="F193" s="3" t="s">
        <v>44</v>
      </c>
      <c r="G193" s="3" t="str">
        <f>"2026-07-13 03:48:23.995"</f>
        <v>2026-07-13 03:48:23.995</v>
      </c>
      <c r="H193" s="3" t="s">
        <v>22</v>
      </c>
      <c r="I193" s="3">
        <v>9.41</v>
      </c>
      <c r="J193" s="3" t="s">
        <v>45</v>
      </c>
    </row>
    <row r="194" spans="1:10" x14ac:dyDescent="0.25">
      <c r="A194" s="1">
        <v>64</v>
      </c>
      <c r="B194" t="s">
        <v>37</v>
      </c>
      <c r="C194">
        <v>49</v>
      </c>
      <c r="D194">
        <v>1</v>
      </c>
      <c r="E194" t="s">
        <v>38</v>
      </c>
      <c r="F194" t="s">
        <v>39</v>
      </c>
      <c r="G194" t="str">
        <f>"2026-07-13 03:07:31.708"</f>
        <v>2026-07-13 03:07:31.708</v>
      </c>
      <c r="H194" t="s">
        <v>40</v>
      </c>
    </row>
    <row r="195" spans="1:10" x14ac:dyDescent="0.25">
      <c r="A195" s="1">
        <v>65</v>
      </c>
      <c r="B195" t="s">
        <v>28</v>
      </c>
      <c r="C195">
        <v>706</v>
      </c>
      <c r="D195">
        <v>4</v>
      </c>
      <c r="E195" t="s">
        <v>35</v>
      </c>
      <c r="F195" t="s">
        <v>36</v>
      </c>
      <c r="G195" t="str">
        <f>"2026-07-13 03:07:26.164"</f>
        <v>2026-07-13 03:07:26.164</v>
      </c>
      <c r="H195" t="s">
        <v>22</v>
      </c>
      <c r="I195">
        <v>0</v>
      </c>
      <c r="J195" t="s">
        <v>23</v>
      </c>
    </row>
    <row r="196" spans="1:10" x14ac:dyDescent="0.25">
      <c r="A196" s="1">
        <v>67</v>
      </c>
      <c r="B196" t="s">
        <v>19</v>
      </c>
      <c r="C196">
        <v>49</v>
      </c>
      <c r="D196">
        <v>1</v>
      </c>
      <c r="E196" t="s">
        <v>38</v>
      </c>
      <c r="F196" t="s">
        <v>39</v>
      </c>
      <c r="G196" t="str">
        <f>"2026-07-13 02:42:16.408"</f>
        <v>2026-07-13 02:42:16.408</v>
      </c>
      <c r="H196" t="s">
        <v>40</v>
      </c>
      <c r="I196">
        <v>0</v>
      </c>
      <c r="J196" t="s">
        <v>23</v>
      </c>
    </row>
    <row r="197" spans="1:10" x14ac:dyDescent="0.25">
      <c r="A197" s="1">
        <v>69</v>
      </c>
      <c r="B197" t="s">
        <v>37</v>
      </c>
      <c r="C197">
        <v>49</v>
      </c>
      <c r="D197">
        <v>1</v>
      </c>
      <c r="E197" t="s">
        <v>38</v>
      </c>
      <c r="F197" t="s">
        <v>39</v>
      </c>
      <c r="G197" t="str">
        <f>"2026-07-13 01:50:47.008"</f>
        <v>2026-07-13 01:50:47.008</v>
      </c>
      <c r="H197" t="s">
        <v>40</v>
      </c>
    </row>
    <row r="198" spans="1:10" x14ac:dyDescent="0.25">
      <c r="A198" s="1">
        <v>70</v>
      </c>
      <c r="B198" t="s">
        <v>28</v>
      </c>
      <c r="C198">
        <v>706</v>
      </c>
      <c r="D198">
        <v>2</v>
      </c>
      <c r="E198" t="s">
        <v>35</v>
      </c>
      <c r="F198" t="s">
        <v>42</v>
      </c>
      <c r="G198" t="str">
        <f>"2026-07-13 01:50:43.104"</f>
        <v>2026-07-13 01:50:43.104</v>
      </c>
      <c r="H198" t="s">
        <v>22</v>
      </c>
      <c r="I198">
        <v>0</v>
      </c>
      <c r="J198" t="s">
        <v>23</v>
      </c>
    </row>
    <row r="199" spans="1:10" x14ac:dyDescent="0.25">
      <c r="A199" s="1">
        <v>72</v>
      </c>
      <c r="B199" t="s">
        <v>19</v>
      </c>
      <c r="C199">
        <v>49</v>
      </c>
      <c r="D199">
        <v>1</v>
      </c>
      <c r="E199" t="s">
        <v>38</v>
      </c>
      <c r="F199" t="s">
        <v>39</v>
      </c>
      <c r="G199" t="str">
        <f>"2026-07-13 01:25:27.108"</f>
        <v>2026-07-13 01:25:27.108</v>
      </c>
      <c r="H199" t="s">
        <v>40</v>
      </c>
      <c r="I199">
        <v>0</v>
      </c>
      <c r="J199" t="s">
        <v>23</v>
      </c>
    </row>
    <row r="200" spans="1:10" x14ac:dyDescent="0.25">
      <c r="A200" s="1">
        <v>74</v>
      </c>
      <c r="B200" t="s">
        <v>37</v>
      </c>
      <c r="C200">
        <v>49</v>
      </c>
      <c r="D200">
        <v>1</v>
      </c>
      <c r="E200" t="s">
        <v>38</v>
      </c>
      <c r="F200" t="s">
        <v>39</v>
      </c>
      <c r="G200" t="str">
        <f>"2026-07-12 13:35:36.008"</f>
        <v>2026-07-12 13:35:36.008</v>
      </c>
      <c r="H200" t="s">
        <v>40</v>
      </c>
    </row>
    <row r="201" spans="1:10" x14ac:dyDescent="0.25">
      <c r="A201" s="1">
        <v>75</v>
      </c>
      <c r="B201" t="s">
        <v>28</v>
      </c>
      <c r="C201">
        <v>706</v>
      </c>
      <c r="D201">
        <v>4</v>
      </c>
      <c r="E201" t="s">
        <v>35</v>
      </c>
      <c r="F201" t="s">
        <v>36</v>
      </c>
      <c r="G201" t="str">
        <f>"2026-07-12 13:35:30.734"</f>
        <v>2026-07-12 13:35:30.734</v>
      </c>
      <c r="H201" t="s">
        <v>22</v>
      </c>
      <c r="I201">
        <v>0</v>
      </c>
      <c r="J201" t="s">
        <v>23</v>
      </c>
    </row>
    <row r="202" spans="1:10" x14ac:dyDescent="0.25">
      <c r="A202" s="1">
        <v>77</v>
      </c>
      <c r="B202" t="s">
        <v>19</v>
      </c>
      <c r="C202">
        <v>49</v>
      </c>
      <c r="D202">
        <v>1</v>
      </c>
      <c r="E202" t="s">
        <v>38</v>
      </c>
      <c r="F202" t="s">
        <v>39</v>
      </c>
      <c r="G202" t="str">
        <f>"2026-07-12 13:17:48.508"</f>
        <v>2026-07-12 13:17:48.508</v>
      </c>
      <c r="H202" t="s">
        <v>40</v>
      </c>
      <c r="I202">
        <v>0</v>
      </c>
      <c r="J202" t="s">
        <v>23</v>
      </c>
    </row>
    <row r="203" spans="1:10" s="3" customFormat="1" x14ac:dyDescent="0.25">
      <c r="A203" s="2">
        <v>79</v>
      </c>
      <c r="B203" s="3" t="s">
        <v>37</v>
      </c>
      <c r="C203" s="3">
        <v>647</v>
      </c>
      <c r="D203" s="3">
        <v>1</v>
      </c>
      <c r="E203" s="3" t="s">
        <v>43</v>
      </c>
      <c r="F203" s="3" t="s">
        <v>44</v>
      </c>
      <c r="G203" s="3" t="str">
        <f>"2026-07-12 11:09:11.295"</f>
        <v>2026-07-12 11:09:11.295</v>
      </c>
      <c r="H203" s="3" t="s">
        <v>22</v>
      </c>
    </row>
    <row r="204" spans="1:10" s="3" customFormat="1" x14ac:dyDescent="0.25">
      <c r="A204" s="2">
        <v>80</v>
      </c>
      <c r="B204" s="3" t="s">
        <v>19</v>
      </c>
      <c r="C204" s="3">
        <v>647</v>
      </c>
      <c r="D204" s="3">
        <v>1</v>
      </c>
      <c r="E204" s="3" t="s">
        <v>43</v>
      </c>
      <c r="F204" s="3" t="s">
        <v>44</v>
      </c>
      <c r="G204" s="3" t="str">
        <f>"2026-07-12 11:09:06.895"</f>
        <v>2026-07-12 11:09:06.895</v>
      </c>
      <c r="H204" s="3" t="s">
        <v>22</v>
      </c>
      <c r="I204" s="3">
        <v>8.6999999999999993</v>
      </c>
      <c r="J204" s="3" t="s">
        <v>45</v>
      </c>
    </row>
    <row r="205" spans="1:10" x14ac:dyDescent="0.25">
      <c r="A205" s="1">
        <v>81</v>
      </c>
      <c r="B205" t="s">
        <v>37</v>
      </c>
      <c r="C205">
        <v>635</v>
      </c>
      <c r="D205">
        <v>1</v>
      </c>
      <c r="E205" t="s">
        <v>53</v>
      </c>
      <c r="F205" t="s">
        <v>48</v>
      </c>
      <c r="G205" t="str">
        <f>"2026-07-12 07:21:14.147"</f>
        <v>2026-07-12 07:21:14.147</v>
      </c>
      <c r="H205" t="s">
        <v>22</v>
      </c>
    </row>
    <row r="206" spans="1:10" x14ac:dyDescent="0.25">
      <c r="A206" s="1">
        <v>82</v>
      </c>
      <c r="B206" t="s">
        <v>19</v>
      </c>
      <c r="C206">
        <v>635</v>
      </c>
      <c r="D206">
        <v>1</v>
      </c>
      <c r="E206" t="s">
        <v>53</v>
      </c>
      <c r="F206" t="s">
        <v>48</v>
      </c>
      <c r="G206" t="str">
        <f>"2026-07-12 07:17:49.647"</f>
        <v>2026-07-12 07:17:49.647</v>
      </c>
      <c r="H206" t="s">
        <v>22</v>
      </c>
      <c r="I206">
        <v>5.04</v>
      </c>
      <c r="J206" t="s">
        <v>54</v>
      </c>
    </row>
    <row r="207" spans="1:10" x14ac:dyDescent="0.25">
      <c r="A207" s="1">
        <v>83</v>
      </c>
      <c r="B207" t="s">
        <v>28</v>
      </c>
      <c r="C207">
        <v>706</v>
      </c>
      <c r="D207">
        <v>4</v>
      </c>
      <c r="E207" t="s">
        <v>35</v>
      </c>
      <c r="F207" t="s">
        <v>36</v>
      </c>
      <c r="G207" t="str">
        <f>"2026-07-12 04:16:46.014"</f>
        <v>2026-07-12 04:16:46.014</v>
      </c>
      <c r="H207" t="s">
        <v>22</v>
      </c>
      <c r="I207">
        <v>0</v>
      </c>
      <c r="J207" t="s">
        <v>23</v>
      </c>
    </row>
    <row r="208" spans="1:10" x14ac:dyDescent="0.25">
      <c r="A208" s="1">
        <v>84</v>
      </c>
      <c r="B208" t="s">
        <v>37</v>
      </c>
      <c r="C208">
        <v>49</v>
      </c>
      <c r="D208">
        <v>1</v>
      </c>
      <c r="E208" t="s">
        <v>38</v>
      </c>
      <c r="F208" t="s">
        <v>39</v>
      </c>
      <c r="G208" t="str">
        <f>"2026-07-12 04:16:44.508"</f>
        <v>2026-07-12 04:16:44.508</v>
      </c>
      <c r="H208" t="s">
        <v>40</v>
      </c>
    </row>
    <row r="209" spans="1:10" x14ac:dyDescent="0.25">
      <c r="A209" s="1">
        <v>86</v>
      </c>
      <c r="B209" t="s">
        <v>19</v>
      </c>
      <c r="C209">
        <v>49</v>
      </c>
      <c r="D209">
        <v>1</v>
      </c>
      <c r="E209" t="s">
        <v>38</v>
      </c>
      <c r="F209" t="s">
        <v>39</v>
      </c>
      <c r="G209" t="str">
        <f>"2026-07-12 04:04:52.308"</f>
        <v>2026-07-12 04:04:52.308</v>
      </c>
      <c r="H209" t="s">
        <v>40</v>
      </c>
      <c r="I209">
        <v>0</v>
      </c>
      <c r="J209" t="s">
        <v>23</v>
      </c>
    </row>
    <row r="210" spans="1:10" x14ac:dyDescent="0.25">
      <c r="A210" s="1">
        <v>88</v>
      </c>
      <c r="B210" t="s">
        <v>37</v>
      </c>
      <c r="C210">
        <v>49</v>
      </c>
      <c r="D210">
        <v>1</v>
      </c>
      <c r="E210" t="s">
        <v>38</v>
      </c>
      <c r="F210" t="s">
        <v>39</v>
      </c>
      <c r="G210" t="str">
        <f>"2026-07-12 00:29:12.108"</f>
        <v>2026-07-12 00:29:12.108</v>
      </c>
      <c r="H210" t="s">
        <v>40</v>
      </c>
    </row>
    <row r="211" spans="1:10" x14ac:dyDescent="0.25">
      <c r="A211" s="1">
        <v>89</v>
      </c>
      <c r="B211" t="s">
        <v>28</v>
      </c>
      <c r="C211">
        <v>706</v>
      </c>
      <c r="D211">
        <v>4</v>
      </c>
      <c r="E211" t="s">
        <v>35</v>
      </c>
      <c r="F211" t="s">
        <v>36</v>
      </c>
      <c r="G211" t="str">
        <f>"2026-07-12 00:29:07.394"</f>
        <v>2026-07-12 00:29:07.394</v>
      </c>
      <c r="H211" t="s">
        <v>22</v>
      </c>
      <c r="I211">
        <v>0</v>
      </c>
      <c r="J211" t="s">
        <v>23</v>
      </c>
    </row>
    <row r="212" spans="1:10" x14ac:dyDescent="0.25">
      <c r="A212" s="1">
        <v>91</v>
      </c>
      <c r="B212" t="s">
        <v>19</v>
      </c>
      <c r="C212">
        <v>49</v>
      </c>
      <c r="D212">
        <v>1</v>
      </c>
      <c r="E212" t="s">
        <v>38</v>
      </c>
      <c r="F212" t="s">
        <v>39</v>
      </c>
      <c r="G212" t="str">
        <f>"2026-07-12 00:04:15.108"</f>
        <v>2026-07-12 00:04:15.108</v>
      </c>
      <c r="H212" t="s">
        <v>40</v>
      </c>
      <c r="I212">
        <v>0</v>
      </c>
      <c r="J212" t="s">
        <v>23</v>
      </c>
    </row>
    <row r="213" spans="1:10" x14ac:dyDescent="0.25">
      <c r="A213" s="1">
        <v>93</v>
      </c>
      <c r="B213" t="s">
        <v>37</v>
      </c>
      <c r="C213">
        <v>49</v>
      </c>
      <c r="D213">
        <v>1</v>
      </c>
      <c r="E213" t="s">
        <v>38</v>
      </c>
      <c r="F213" t="s">
        <v>39</v>
      </c>
      <c r="G213" t="str">
        <f>"2026-07-11 21:15:25.008"</f>
        <v>2026-07-11 21:15:25.008</v>
      </c>
      <c r="H213" t="s">
        <v>40</v>
      </c>
    </row>
    <row r="214" spans="1:10" x14ac:dyDescent="0.25">
      <c r="A214" s="1">
        <v>94</v>
      </c>
      <c r="B214" t="s">
        <v>28</v>
      </c>
      <c r="C214">
        <v>706</v>
      </c>
      <c r="D214">
        <v>2</v>
      </c>
      <c r="E214" t="s">
        <v>35</v>
      </c>
      <c r="F214" t="s">
        <v>42</v>
      </c>
      <c r="G214" t="str">
        <f>"2026-07-11 21:15:23.504"</f>
        <v>2026-07-11 21:15:23.504</v>
      </c>
      <c r="H214" t="s">
        <v>22</v>
      </c>
      <c r="I214">
        <v>0</v>
      </c>
      <c r="J214" t="s">
        <v>23</v>
      </c>
    </row>
    <row r="215" spans="1:10" x14ac:dyDescent="0.25">
      <c r="A215" s="1">
        <v>96</v>
      </c>
      <c r="B215" t="s">
        <v>19</v>
      </c>
      <c r="C215">
        <v>49</v>
      </c>
      <c r="D215">
        <v>1</v>
      </c>
      <c r="E215" t="s">
        <v>38</v>
      </c>
      <c r="F215" t="s">
        <v>39</v>
      </c>
      <c r="G215" t="str">
        <f>"2026-07-11 21:02:17.608"</f>
        <v>2026-07-11 21:02:17.608</v>
      </c>
      <c r="H215" t="s">
        <v>40</v>
      </c>
      <c r="I215">
        <v>0</v>
      </c>
      <c r="J215" t="s">
        <v>23</v>
      </c>
    </row>
    <row r="216" spans="1:10" x14ac:dyDescent="0.25">
      <c r="A216" s="1">
        <v>98</v>
      </c>
      <c r="B216" t="s">
        <v>37</v>
      </c>
      <c r="C216">
        <v>635</v>
      </c>
      <c r="D216">
        <v>1</v>
      </c>
      <c r="E216" t="s">
        <v>53</v>
      </c>
      <c r="F216" t="s">
        <v>48</v>
      </c>
      <c r="G216" t="str">
        <f>"2026-07-11 16:36:23.847"</f>
        <v>2026-07-11 16:36:23.847</v>
      </c>
      <c r="H216" t="s">
        <v>22</v>
      </c>
    </row>
    <row r="217" spans="1:10" x14ac:dyDescent="0.25">
      <c r="A217" s="1">
        <v>99</v>
      </c>
      <c r="B217" t="s">
        <v>19</v>
      </c>
      <c r="C217">
        <v>635</v>
      </c>
      <c r="D217">
        <v>1</v>
      </c>
      <c r="E217" t="s">
        <v>53</v>
      </c>
      <c r="F217" t="s">
        <v>48</v>
      </c>
      <c r="G217" t="str">
        <f>"2026-07-11 16:33:21.348"</f>
        <v>2026-07-11 16:33:21.348</v>
      </c>
      <c r="H217" t="s">
        <v>22</v>
      </c>
      <c r="I217">
        <v>1.38</v>
      </c>
      <c r="J217" t="s">
        <v>54</v>
      </c>
    </row>
    <row r="218" spans="1:10" x14ac:dyDescent="0.25">
      <c r="A218" s="1">
        <v>0</v>
      </c>
      <c r="B218" t="s">
        <v>55</v>
      </c>
      <c r="C218">
        <v>89</v>
      </c>
      <c r="D218">
        <v>2</v>
      </c>
      <c r="E218" t="s">
        <v>56</v>
      </c>
      <c r="F218" t="s">
        <v>57</v>
      </c>
      <c r="G218" t="str">
        <f>"2026-07-11 13:26:14.949"</f>
        <v>2026-07-11 13:26:14.949</v>
      </c>
      <c r="H218" t="s">
        <v>22</v>
      </c>
    </row>
    <row r="219" spans="1:10" x14ac:dyDescent="0.25">
      <c r="A219" s="1">
        <v>1</v>
      </c>
      <c r="B219" t="s">
        <v>55</v>
      </c>
      <c r="C219">
        <v>87</v>
      </c>
      <c r="D219">
        <v>1</v>
      </c>
      <c r="E219" t="s">
        <v>58</v>
      </c>
      <c r="F219" t="s">
        <v>59</v>
      </c>
      <c r="G219" t="str">
        <f>"2026-07-11 13:26:14.948"</f>
        <v>2026-07-11 13:26:14.948</v>
      </c>
      <c r="H219" t="s">
        <v>22</v>
      </c>
    </row>
    <row r="220" spans="1:10" x14ac:dyDescent="0.25">
      <c r="A220" s="1">
        <v>2</v>
      </c>
      <c r="B220" t="s">
        <v>60</v>
      </c>
      <c r="C220">
        <v>87</v>
      </c>
      <c r="D220">
        <v>1</v>
      </c>
      <c r="E220" t="s">
        <v>58</v>
      </c>
      <c r="F220" t="s">
        <v>59</v>
      </c>
      <c r="G220" t="str">
        <f>"2026-07-11 13:26:03.067"</f>
        <v>2026-07-11 13:26:03.067</v>
      </c>
      <c r="H220" t="s">
        <v>22</v>
      </c>
      <c r="I220">
        <v>4.0999999999999996</v>
      </c>
      <c r="J220" t="s">
        <v>54</v>
      </c>
    </row>
    <row r="221" spans="1:10" x14ac:dyDescent="0.25">
      <c r="A221" s="1">
        <v>3</v>
      </c>
      <c r="B221" t="s">
        <v>60</v>
      </c>
      <c r="C221">
        <v>89</v>
      </c>
      <c r="D221">
        <v>2</v>
      </c>
      <c r="E221" t="s">
        <v>56</v>
      </c>
      <c r="F221" t="s">
        <v>57</v>
      </c>
      <c r="G221" t="str">
        <f>"2026-07-11 13:26:02.808"</f>
        <v>2026-07-11 13:26:02.808</v>
      </c>
      <c r="H221" t="s">
        <v>22</v>
      </c>
      <c r="I221">
        <v>4.07</v>
      </c>
      <c r="J221" t="s">
        <v>54</v>
      </c>
    </row>
    <row r="222" spans="1:10" x14ac:dyDescent="0.25">
      <c r="A222" s="1">
        <v>4</v>
      </c>
      <c r="B222" t="s">
        <v>61</v>
      </c>
      <c r="C222">
        <v>86</v>
      </c>
      <c r="D222">
        <v>8</v>
      </c>
      <c r="E222" t="s">
        <v>62</v>
      </c>
      <c r="F222" t="s">
        <v>63</v>
      </c>
      <c r="G222" t="str">
        <f>"2026-07-11 12:45:07.656"</f>
        <v>2026-07-11 12:45:07.656</v>
      </c>
      <c r="H222" t="s">
        <v>22</v>
      </c>
    </row>
    <row r="223" spans="1:10" x14ac:dyDescent="0.25">
      <c r="A223" s="1">
        <v>5</v>
      </c>
      <c r="B223" t="s">
        <v>60</v>
      </c>
      <c r="C223">
        <v>86</v>
      </c>
      <c r="D223">
        <v>8</v>
      </c>
      <c r="E223" t="s">
        <v>62</v>
      </c>
      <c r="F223" t="s">
        <v>63</v>
      </c>
      <c r="G223" t="str">
        <f>"2026-07-11 12:44:37.615"</f>
        <v>2026-07-11 12:44:37.615</v>
      </c>
      <c r="H223" t="s">
        <v>22</v>
      </c>
      <c r="I223">
        <v>0</v>
      </c>
      <c r="J223" t="s">
        <v>23</v>
      </c>
    </row>
    <row r="224" spans="1:10" x14ac:dyDescent="0.25">
      <c r="A224" s="1">
        <v>6</v>
      </c>
      <c r="B224" t="s">
        <v>28</v>
      </c>
      <c r="C224">
        <v>700</v>
      </c>
      <c r="D224">
        <v>0</v>
      </c>
      <c r="E224" t="s">
        <v>34</v>
      </c>
      <c r="F224" t="s">
        <v>34</v>
      </c>
      <c r="G224" t="str">
        <f>"2026-07-11 12:44:30.014"</f>
        <v>2026-07-11 12:44:30.014</v>
      </c>
      <c r="H224" t="s">
        <v>22</v>
      </c>
    </row>
    <row r="225" spans="1:10" x14ac:dyDescent="0.25">
      <c r="A225" s="1">
        <v>7</v>
      </c>
      <c r="B225" t="s">
        <v>28</v>
      </c>
      <c r="C225">
        <v>706</v>
      </c>
      <c r="D225">
        <v>4</v>
      </c>
      <c r="E225" t="s">
        <v>35</v>
      </c>
      <c r="F225" t="s">
        <v>36</v>
      </c>
      <c r="G225" t="str">
        <f>"2026-07-11 05:41:40.545"</f>
        <v>2026-07-11 05:41:40.545</v>
      </c>
      <c r="H225" t="s">
        <v>22</v>
      </c>
      <c r="I225">
        <v>0</v>
      </c>
      <c r="J225" t="s">
        <v>23</v>
      </c>
    </row>
    <row r="226" spans="1:10" x14ac:dyDescent="0.25">
      <c r="A226" s="1">
        <v>8</v>
      </c>
      <c r="B226" t="s">
        <v>37</v>
      </c>
      <c r="C226">
        <v>49</v>
      </c>
      <c r="D226">
        <v>1</v>
      </c>
      <c r="E226" t="s">
        <v>38</v>
      </c>
      <c r="F226" t="s">
        <v>39</v>
      </c>
      <c r="G226" t="str">
        <f>"2026-07-11 05:41:39.567"</f>
        <v>2026-07-11 05:41:39.567</v>
      </c>
      <c r="H226" t="s">
        <v>40</v>
      </c>
    </row>
    <row r="227" spans="1:10" x14ac:dyDescent="0.25">
      <c r="A227" s="1">
        <v>10</v>
      </c>
      <c r="B227" t="s">
        <v>19</v>
      </c>
      <c r="C227">
        <v>49</v>
      </c>
      <c r="D227">
        <v>1</v>
      </c>
      <c r="E227" t="s">
        <v>38</v>
      </c>
      <c r="F227" t="s">
        <v>39</v>
      </c>
      <c r="G227" t="str">
        <f>"2026-07-11 05:28:55.567"</f>
        <v>2026-07-11 05:28:55.567</v>
      </c>
      <c r="H227" t="s">
        <v>40</v>
      </c>
      <c r="I227">
        <v>0</v>
      </c>
      <c r="J227" t="s">
        <v>23</v>
      </c>
    </row>
    <row r="228" spans="1:10" x14ac:dyDescent="0.25">
      <c r="A228" s="1">
        <v>12</v>
      </c>
      <c r="B228" t="s">
        <v>28</v>
      </c>
      <c r="C228">
        <v>706</v>
      </c>
      <c r="D228">
        <v>4</v>
      </c>
      <c r="E228" t="s">
        <v>35</v>
      </c>
      <c r="F228" t="s">
        <v>36</v>
      </c>
      <c r="G228" t="str">
        <f>"2026-07-11 05:24:01.395"</f>
        <v>2026-07-11 05:24:01.395</v>
      </c>
      <c r="H228" t="s">
        <v>22</v>
      </c>
      <c r="I228">
        <v>0</v>
      </c>
      <c r="J228" t="s">
        <v>23</v>
      </c>
    </row>
    <row r="229" spans="1:10" x14ac:dyDescent="0.25">
      <c r="A229" s="1">
        <v>15</v>
      </c>
      <c r="B229" t="s">
        <v>28</v>
      </c>
      <c r="C229">
        <v>700</v>
      </c>
      <c r="D229">
        <v>0</v>
      </c>
      <c r="E229" t="s">
        <v>34</v>
      </c>
      <c r="F229" t="s">
        <v>34</v>
      </c>
      <c r="G229" t="str">
        <f>"2026-07-11 05:09:15.015"</f>
        <v>2026-07-11 05:09:15.015</v>
      </c>
      <c r="H229" t="s">
        <v>22</v>
      </c>
      <c r="I229">
        <v>0</v>
      </c>
      <c r="J229" t="s">
        <v>46</v>
      </c>
    </row>
    <row r="230" spans="1:10" x14ac:dyDescent="0.25">
      <c r="A230" s="1">
        <v>16</v>
      </c>
      <c r="B230" t="s">
        <v>37</v>
      </c>
      <c r="C230">
        <v>49</v>
      </c>
      <c r="D230">
        <v>1</v>
      </c>
      <c r="E230" t="s">
        <v>38</v>
      </c>
      <c r="F230" t="s">
        <v>39</v>
      </c>
      <c r="G230" t="str">
        <f>"2026-07-11 02:06:10.105"</f>
        <v>2026-07-11 02:06:10.105</v>
      </c>
      <c r="H230" t="s">
        <v>40</v>
      </c>
    </row>
    <row r="231" spans="1:10" x14ac:dyDescent="0.25">
      <c r="A231" s="1">
        <v>17</v>
      </c>
      <c r="B231" t="s">
        <v>28</v>
      </c>
      <c r="C231">
        <v>706</v>
      </c>
      <c r="D231">
        <v>4</v>
      </c>
      <c r="E231" t="s">
        <v>35</v>
      </c>
      <c r="F231" t="s">
        <v>36</v>
      </c>
      <c r="G231" t="str">
        <f>"2026-07-11 02:06:06.797"</f>
        <v>2026-07-11 02:06:06.797</v>
      </c>
      <c r="H231" t="s">
        <v>22</v>
      </c>
      <c r="I231">
        <v>0</v>
      </c>
      <c r="J231" t="s">
        <v>23</v>
      </c>
    </row>
    <row r="232" spans="1:10" x14ac:dyDescent="0.25">
      <c r="A232" s="1">
        <v>19</v>
      </c>
      <c r="B232" t="s">
        <v>19</v>
      </c>
      <c r="C232">
        <v>49</v>
      </c>
      <c r="D232">
        <v>1</v>
      </c>
      <c r="E232" t="s">
        <v>38</v>
      </c>
      <c r="F232" t="s">
        <v>39</v>
      </c>
      <c r="G232" t="str">
        <f>"2026-07-11 01:40:23.305"</f>
        <v>2026-07-11 01:40:23.305</v>
      </c>
      <c r="H232" t="s">
        <v>40</v>
      </c>
      <c r="I232">
        <v>0</v>
      </c>
      <c r="J232" t="s">
        <v>23</v>
      </c>
    </row>
    <row r="233" spans="1:10" x14ac:dyDescent="0.25">
      <c r="A233" s="1">
        <v>21</v>
      </c>
      <c r="B233" t="s">
        <v>37</v>
      </c>
      <c r="C233">
        <v>49</v>
      </c>
      <c r="D233">
        <v>1</v>
      </c>
      <c r="E233" t="s">
        <v>38</v>
      </c>
      <c r="F233" t="s">
        <v>39</v>
      </c>
      <c r="G233" t="str">
        <f>"2026-07-11 01:37:49.205"</f>
        <v>2026-07-11 01:37:49.205</v>
      </c>
      <c r="H233" t="s">
        <v>40</v>
      </c>
    </row>
    <row r="234" spans="1:10" x14ac:dyDescent="0.25">
      <c r="A234" s="1">
        <v>22</v>
      </c>
      <c r="B234" t="s">
        <v>28</v>
      </c>
      <c r="C234">
        <v>706</v>
      </c>
      <c r="D234">
        <v>4</v>
      </c>
      <c r="E234" t="s">
        <v>35</v>
      </c>
      <c r="F234" t="s">
        <v>36</v>
      </c>
      <c r="G234" t="str">
        <f>"2026-07-11 01:37:43.767"</f>
        <v>2026-07-11 01:37:43.767</v>
      </c>
      <c r="H234" t="s">
        <v>22</v>
      </c>
      <c r="I234">
        <v>0</v>
      </c>
      <c r="J234" t="s">
        <v>23</v>
      </c>
    </row>
    <row r="235" spans="1:10" x14ac:dyDescent="0.25">
      <c r="A235" s="1">
        <v>24</v>
      </c>
      <c r="B235" t="s">
        <v>19</v>
      </c>
      <c r="C235">
        <v>49</v>
      </c>
      <c r="D235">
        <v>1</v>
      </c>
      <c r="E235" t="s">
        <v>38</v>
      </c>
      <c r="F235" t="s">
        <v>39</v>
      </c>
      <c r="G235" t="str">
        <f>"2026-07-11 01:31:17.905"</f>
        <v>2026-07-11 01:31:17.905</v>
      </c>
      <c r="H235" t="s">
        <v>40</v>
      </c>
      <c r="I235">
        <v>0</v>
      </c>
      <c r="J235" t="s">
        <v>23</v>
      </c>
    </row>
    <row r="236" spans="1:10" x14ac:dyDescent="0.25">
      <c r="A236" s="1">
        <v>26</v>
      </c>
      <c r="B236" t="s">
        <v>37</v>
      </c>
      <c r="C236">
        <v>49</v>
      </c>
      <c r="D236">
        <v>1</v>
      </c>
      <c r="E236" t="s">
        <v>38</v>
      </c>
      <c r="F236" t="s">
        <v>39</v>
      </c>
      <c r="G236" t="str">
        <f>"2026-07-10 21:13:19.705"</f>
        <v>2026-07-10 21:13:19.705</v>
      </c>
      <c r="H236" t="s">
        <v>40</v>
      </c>
    </row>
    <row r="237" spans="1:10" x14ac:dyDescent="0.25">
      <c r="A237" s="1">
        <v>28</v>
      </c>
      <c r="B237" t="s">
        <v>28</v>
      </c>
      <c r="C237">
        <v>706</v>
      </c>
      <c r="D237">
        <v>4</v>
      </c>
      <c r="E237" t="s">
        <v>35</v>
      </c>
      <c r="F237" t="s">
        <v>36</v>
      </c>
      <c r="G237" t="str">
        <f>"2026-07-10 21:13:09.917"</f>
        <v>2026-07-10 21:13:09.917</v>
      </c>
      <c r="H237" t="s">
        <v>22</v>
      </c>
      <c r="I237">
        <v>0</v>
      </c>
      <c r="J237" t="s">
        <v>23</v>
      </c>
    </row>
    <row r="238" spans="1:10" x14ac:dyDescent="0.25">
      <c r="A238" s="1">
        <v>29</v>
      </c>
      <c r="B238" t="s">
        <v>28</v>
      </c>
      <c r="C238">
        <v>700</v>
      </c>
      <c r="D238">
        <v>0</v>
      </c>
      <c r="E238" t="s">
        <v>34</v>
      </c>
      <c r="F238" t="s">
        <v>34</v>
      </c>
      <c r="G238" t="str">
        <f>"2026-07-10 21:12:50.067"</f>
        <v>2026-07-10 21:12:50.067</v>
      </c>
      <c r="H238" t="s">
        <v>22</v>
      </c>
      <c r="I238">
        <v>0</v>
      </c>
      <c r="J238" t="s">
        <v>46</v>
      </c>
    </row>
    <row r="239" spans="1:10" x14ac:dyDescent="0.25">
      <c r="A239" s="1">
        <v>30</v>
      </c>
      <c r="B239" t="s">
        <v>19</v>
      </c>
      <c r="C239">
        <v>49</v>
      </c>
      <c r="D239">
        <v>1</v>
      </c>
      <c r="E239" t="s">
        <v>38</v>
      </c>
      <c r="F239" t="s">
        <v>39</v>
      </c>
      <c r="G239" t="str">
        <f>"2026-07-10 20:56:17.926"</f>
        <v>2026-07-10 20:56:17.926</v>
      </c>
      <c r="H239" t="s">
        <v>40</v>
      </c>
      <c r="I239">
        <v>0</v>
      </c>
      <c r="J239" t="s">
        <v>23</v>
      </c>
    </row>
    <row r="240" spans="1:10" x14ac:dyDescent="0.25">
      <c r="A240" s="1">
        <v>32</v>
      </c>
      <c r="B240" t="s">
        <v>37</v>
      </c>
      <c r="C240">
        <v>49</v>
      </c>
      <c r="D240">
        <v>1</v>
      </c>
      <c r="E240" t="s">
        <v>38</v>
      </c>
      <c r="F240" t="s">
        <v>39</v>
      </c>
      <c r="G240" t="str">
        <f>"2026-07-10 13:28:24.526"</f>
        <v>2026-07-10 13:28:24.526</v>
      </c>
      <c r="H240" t="s">
        <v>40</v>
      </c>
    </row>
    <row r="241" spans="1:10" x14ac:dyDescent="0.25">
      <c r="A241" s="1">
        <v>34</v>
      </c>
      <c r="B241" t="s">
        <v>28</v>
      </c>
      <c r="C241">
        <v>706</v>
      </c>
      <c r="D241">
        <v>2</v>
      </c>
      <c r="E241" t="s">
        <v>35</v>
      </c>
      <c r="F241" t="s">
        <v>42</v>
      </c>
      <c r="G241" t="str">
        <f>"2026-07-10 13:28:17.074"</f>
        <v>2026-07-10 13:28:17.074</v>
      </c>
      <c r="H241" t="s">
        <v>22</v>
      </c>
      <c r="I241">
        <v>0</v>
      </c>
      <c r="J241" t="s">
        <v>23</v>
      </c>
    </row>
    <row r="242" spans="1:10" x14ac:dyDescent="0.25">
      <c r="A242" s="1">
        <v>35</v>
      </c>
      <c r="B242" t="s">
        <v>19</v>
      </c>
      <c r="C242">
        <v>49</v>
      </c>
      <c r="D242">
        <v>1</v>
      </c>
      <c r="E242" t="s">
        <v>38</v>
      </c>
      <c r="F242" t="s">
        <v>39</v>
      </c>
      <c r="G242" t="str">
        <f>"2026-07-10 13:16:36.226"</f>
        <v>2026-07-10 13:16:36.226</v>
      </c>
      <c r="H242" t="s">
        <v>40</v>
      </c>
      <c r="I242">
        <v>0</v>
      </c>
      <c r="J242" t="s">
        <v>23</v>
      </c>
    </row>
    <row r="243" spans="1:10" x14ac:dyDescent="0.25">
      <c r="A243" s="1">
        <v>37</v>
      </c>
      <c r="B243" t="s">
        <v>28</v>
      </c>
      <c r="C243">
        <v>706</v>
      </c>
      <c r="D243">
        <v>4</v>
      </c>
      <c r="E243" t="s">
        <v>35</v>
      </c>
      <c r="F243" t="s">
        <v>36</v>
      </c>
      <c r="G243" t="str">
        <f>"2026-07-10 13:14:19.624"</f>
        <v>2026-07-10 13:14:19.624</v>
      </c>
      <c r="H243" t="s">
        <v>22</v>
      </c>
      <c r="I243">
        <v>0</v>
      </c>
      <c r="J243" t="s">
        <v>23</v>
      </c>
    </row>
    <row r="244" spans="1:10" x14ac:dyDescent="0.25">
      <c r="A244" s="1">
        <v>38</v>
      </c>
      <c r="B244" t="s">
        <v>37</v>
      </c>
      <c r="C244">
        <v>49</v>
      </c>
      <c r="D244">
        <v>1</v>
      </c>
      <c r="E244" t="s">
        <v>38</v>
      </c>
      <c r="F244" t="s">
        <v>39</v>
      </c>
      <c r="G244" t="str">
        <f>"2026-07-10 13:14:07.526"</f>
        <v>2026-07-10 13:14:07.526</v>
      </c>
      <c r="H244" t="s">
        <v>40</v>
      </c>
    </row>
    <row r="245" spans="1:10" x14ac:dyDescent="0.25">
      <c r="A245" s="1">
        <v>40</v>
      </c>
      <c r="B245" t="s">
        <v>19</v>
      </c>
      <c r="C245">
        <v>49</v>
      </c>
      <c r="D245">
        <v>1</v>
      </c>
      <c r="E245" t="s">
        <v>38</v>
      </c>
      <c r="F245" t="s">
        <v>39</v>
      </c>
      <c r="G245" t="str">
        <f>"2026-07-10 13:13:42.026"</f>
        <v>2026-07-10 13:13:42.026</v>
      </c>
      <c r="H245" t="s">
        <v>40</v>
      </c>
      <c r="I245">
        <v>0</v>
      </c>
      <c r="J245" t="s">
        <v>41</v>
      </c>
    </row>
    <row r="246" spans="1:10" x14ac:dyDescent="0.25">
      <c r="A246" s="1">
        <v>42</v>
      </c>
      <c r="B246" t="s">
        <v>28</v>
      </c>
      <c r="C246">
        <v>700</v>
      </c>
      <c r="D246">
        <v>0</v>
      </c>
      <c r="E246" t="s">
        <v>34</v>
      </c>
      <c r="F246" t="s">
        <v>34</v>
      </c>
      <c r="G246" t="str">
        <f>"2026-07-10 13:12:22.204"</f>
        <v>2026-07-10 13:12:22.204</v>
      </c>
      <c r="H246" t="s">
        <v>22</v>
      </c>
    </row>
    <row r="247" spans="1:10" x14ac:dyDescent="0.25">
      <c r="A247" s="1">
        <v>43</v>
      </c>
      <c r="B247" t="s">
        <v>28</v>
      </c>
      <c r="C247">
        <v>700</v>
      </c>
      <c r="D247">
        <v>0</v>
      </c>
      <c r="E247" t="s">
        <v>34</v>
      </c>
      <c r="F247" t="s">
        <v>34</v>
      </c>
      <c r="G247" t="str">
        <f>"2026-07-10 11:36:24.941"</f>
        <v>2026-07-10 11:36:24.941</v>
      </c>
      <c r="H247" t="s">
        <v>22</v>
      </c>
    </row>
    <row r="248" spans="1:10" x14ac:dyDescent="0.25">
      <c r="A248" s="1">
        <v>44</v>
      </c>
      <c r="B248" t="s">
        <v>28</v>
      </c>
      <c r="C248">
        <v>700</v>
      </c>
      <c r="D248">
        <v>0</v>
      </c>
      <c r="E248" t="s">
        <v>34</v>
      </c>
      <c r="F248" t="s">
        <v>34</v>
      </c>
      <c r="G248" t="str">
        <f>"2026-07-10 10:44:00.060"</f>
        <v>2026-07-10 10:44:00.060</v>
      </c>
      <c r="H248" t="s">
        <v>22</v>
      </c>
    </row>
    <row r="249" spans="1:10" x14ac:dyDescent="0.25">
      <c r="A249" s="1">
        <v>45</v>
      </c>
      <c r="B249" t="s">
        <v>28</v>
      </c>
      <c r="C249">
        <v>706</v>
      </c>
      <c r="D249">
        <v>4</v>
      </c>
      <c r="E249" t="s">
        <v>35</v>
      </c>
      <c r="F249" t="s">
        <v>36</v>
      </c>
      <c r="G249" t="str">
        <f>"2026-07-10 03:10:52.261"</f>
        <v>2026-07-10 03:10:52.261</v>
      </c>
      <c r="H249" t="s">
        <v>22</v>
      </c>
      <c r="I249">
        <v>0</v>
      </c>
      <c r="J249" t="s">
        <v>23</v>
      </c>
    </row>
    <row r="250" spans="1:10" x14ac:dyDescent="0.25">
      <c r="A250" s="1">
        <v>46</v>
      </c>
      <c r="B250" t="s">
        <v>28</v>
      </c>
      <c r="C250">
        <v>700</v>
      </c>
      <c r="D250">
        <v>0</v>
      </c>
      <c r="E250" t="s">
        <v>34</v>
      </c>
      <c r="F250" t="s">
        <v>34</v>
      </c>
      <c r="G250" t="str">
        <f>"2026-07-10 03:10:29.621"</f>
        <v>2026-07-10 03:10:29.621</v>
      </c>
      <c r="H250" t="s">
        <v>22</v>
      </c>
    </row>
    <row r="251" spans="1:10" x14ac:dyDescent="0.25">
      <c r="A251" s="1">
        <v>47</v>
      </c>
      <c r="B251" t="s">
        <v>37</v>
      </c>
      <c r="C251">
        <v>619</v>
      </c>
      <c r="D251">
        <v>1</v>
      </c>
      <c r="E251" t="s">
        <v>47</v>
      </c>
      <c r="F251" t="s">
        <v>48</v>
      </c>
      <c r="G251" t="str">
        <f>"2026-07-10 02:15:03.899"</f>
        <v>2026-07-10 02:15:03.899</v>
      </c>
      <c r="H251" t="s">
        <v>49</v>
      </c>
    </row>
    <row r="252" spans="1:10" x14ac:dyDescent="0.25">
      <c r="A252" s="1">
        <v>48</v>
      </c>
      <c r="B252" t="s">
        <v>19</v>
      </c>
      <c r="C252">
        <v>619</v>
      </c>
      <c r="D252">
        <v>1</v>
      </c>
      <c r="E252" t="s">
        <v>47</v>
      </c>
      <c r="F252" t="s">
        <v>48</v>
      </c>
      <c r="G252" t="str">
        <f>"2026-07-10 02:13:11.199"</f>
        <v>2026-07-10 02:13:11.199</v>
      </c>
      <c r="H252" t="s">
        <v>49</v>
      </c>
      <c r="I252">
        <v>0</v>
      </c>
      <c r="J252" t="s">
        <v>23</v>
      </c>
    </row>
    <row r="253" spans="1:10" x14ac:dyDescent="0.25">
      <c r="A253" s="1">
        <v>49</v>
      </c>
      <c r="B253" t="s">
        <v>28</v>
      </c>
      <c r="C253">
        <v>700</v>
      </c>
      <c r="D253">
        <v>0</v>
      </c>
      <c r="E253" t="s">
        <v>34</v>
      </c>
      <c r="F253" t="s">
        <v>34</v>
      </c>
      <c r="G253" t="str">
        <f>"2026-07-10 02:13:04.651"</f>
        <v>2026-07-10 02:13:04.651</v>
      </c>
      <c r="H253" t="s">
        <v>22</v>
      </c>
      <c r="I253">
        <v>0</v>
      </c>
      <c r="J253" t="s">
        <v>46</v>
      </c>
    </row>
    <row r="254" spans="1:10" x14ac:dyDescent="0.25">
      <c r="A254" s="1">
        <v>52</v>
      </c>
      <c r="B254" t="s">
        <v>28</v>
      </c>
      <c r="C254">
        <v>782</v>
      </c>
      <c r="D254">
        <v>7</v>
      </c>
      <c r="E254" t="s">
        <v>51</v>
      </c>
      <c r="F254" t="s">
        <v>52</v>
      </c>
      <c r="G254" t="str">
        <f>"2026-07-10 00:43:39.027"</f>
        <v>2026-07-10 00:43:39.027</v>
      </c>
      <c r="H254" t="s">
        <v>22</v>
      </c>
      <c r="I254">
        <v>0</v>
      </c>
      <c r="J254" t="s">
        <v>50</v>
      </c>
    </row>
    <row r="255" spans="1:10" x14ac:dyDescent="0.25">
      <c r="A255" s="1">
        <v>55</v>
      </c>
      <c r="B255" t="s">
        <v>37</v>
      </c>
      <c r="C255">
        <v>150</v>
      </c>
      <c r="D255">
        <v>7</v>
      </c>
      <c r="E255" t="s">
        <v>64</v>
      </c>
      <c r="F255" t="s">
        <v>65</v>
      </c>
      <c r="G255" t="str">
        <f>"2026-07-10 00:43:39.022"</f>
        <v>2026-07-10 00:43:39.022</v>
      </c>
      <c r="H255" t="s">
        <v>22</v>
      </c>
    </row>
    <row r="256" spans="1:10" x14ac:dyDescent="0.25">
      <c r="A256" s="1">
        <v>56</v>
      </c>
      <c r="B256" t="s">
        <v>28</v>
      </c>
      <c r="C256">
        <v>782</v>
      </c>
      <c r="D256">
        <v>7</v>
      </c>
      <c r="E256" t="s">
        <v>51</v>
      </c>
      <c r="F256" t="s">
        <v>52</v>
      </c>
      <c r="G256" t="str">
        <f>"2026-07-10 00:43:39.020"</f>
        <v>2026-07-10 00:43:39.020</v>
      </c>
      <c r="H256" t="s">
        <v>22</v>
      </c>
      <c r="I256">
        <v>0</v>
      </c>
      <c r="J256" t="s">
        <v>50</v>
      </c>
    </row>
    <row r="257" spans="1:10" x14ac:dyDescent="0.25">
      <c r="A257" s="1">
        <v>57</v>
      </c>
      <c r="B257" t="s">
        <v>19</v>
      </c>
      <c r="C257">
        <v>150</v>
      </c>
      <c r="D257">
        <v>7</v>
      </c>
      <c r="E257" t="s">
        <v>64</v>
      </c>
      <c r="F257" t="s">
        <v>65</v>
      </c>
      <c r="G257" t="str">
        <f>"2026-07-10 00:42:29.135"</f>
        <v>2026-07-10 00:42:29.135</v>
      </c>
      <c r="H257" t="s">
        <v>22</v>
      </c>
      <c r="I257">
        <v>0</v>
      </c>
      <c r="J257" t="s">
        <v>50</v>
      </c>
    </row>
    <row r="258" spans="1:10" x14ac:dyDescent="0.25">
      <c r="A258" s="1">
        <v>58</v>
      </c>
      <c r="B258" t="s">
        <v>61</v>
      </c>
      <c r="C258">
        <v>150</v>
      </c>
      <c r="D258">
        <v>7</v>
      </c>
      <c r="E258" t="s">
        <v>64</v>
      </c>
      <c r="F258" t="s">
        <v>65</v>
      </c>
      <c r="G258" t="str">
        <f>"2026-07-10 00:42:28.808"</f>
        <v>2026-07-10 00:42:28.808</v>
      </c>
      <c r="H258" t="s">
        <v>22</v>
      </c>
    </row>
    <row r="259" spans="1:10" x14ac:dyDescent="0.25">
      <c r="A259" s="1">
        <v>59</v>
      </c>
      <c r="B259" t="s">
        <v>60</v>
      </c>
      <c r="C259">
        <v>150</v>
      </c>
      <c r="D259">
        <v>7</v>
      </c>
      <c r="E259" t="s">
        <v>64</v>
      </c>
      <c r="F259" t="s">
        <v>65</v>
      </c>
      <c r="G259" t="str">
        <f>"2026-07-10 00:42:23.755"</f>
        <v>2026-07-10 00:42:23.755</v>
      </c>
      <c r="H259" t="s">
        <v>22</v>
      </c>
      <c r="I259">
        <v>0</v>
      </c>
      <c r="J259" t="s">
        <v>50</v>
      </c>
    </row>
    <row r="260" spans="1:10" x14ac:dyDescent="0.25">
      <c r="A260" s="1">
        <v>60</v>
      </c>
      <c r="B260" t="s">
        <v>28</v>
      </c>
      <c r="C260">
        <v>706</v>
      </c>
      <c r="D260">
        <v>2</v>
      </c>
      <c r="E260" t="s">
        <v>35</v>
      </c>
      <c r="F260" t="s">
        <v>42</v>
      </c>
      <c r="G260" t="str">
        <f>"2026-07-10 00:38:46.951"</f>
        <v>2026-07-10 00:38:46.951</v>
      </c>
      <c r="H260" t="s">
        <v>22</v>
      </c>
      <c r="I260">
        <v>0</v>
      </c>
      <c r="J260" t="s">
        <v>23</v>
      </c>
    </row>
    <row r="261" spans="1:10" x14ac:dyDescent="0.25">
      <c r="A261" s="1">
        <v>61</v>
      </c>
      <c r="B261" t="s">
        <v>28</v>
      </c>
      <c r="C261">
        <v>700</v>
      </c>
      <c r="D261">
        <v>0</v>
      </c>
      <c r="E261" t="s">
        <v>34</v>
      </c>
      <c r="F261" t="s">
        <v>34</v>
      </c>
      <c r="G261" t="str">
        <f>"2026-07-10 00:13:36.861"</f>
        <v>2026-07-10 00:13:36.861</v>
      </c>
      <c r="H261" t="s">
        <v>22</v>
      </c>
      <c r="I261">
        <v>0</v>
      </c>
      <c r="J261" t="s">
        <v>46</v>
      </c>
    </row>
    <row r="262" spans="1:10" x14ac:dyDescent="0.25">
      <c r="A262" s="1">
        <v>62</v>
      </c>
      <c r="B262" t="s">
        <v>28</v>
      </c>
      <c r="C262">
        <v>700</v>
      </c>
      <c r="D262">
        <v>0</v>
      </c>
      <c r="E262" t="s">
        <v>34</v>
      </c>
      <c r="F262" t="s">
        <v>34</v>
      </c>
      <c r="G262" t="str">
        <f>"2026-07-10 00:04:04.634"</f>
        <v>2026-07-10 00:04:04.634</v>
      </c>
      <c r="H262" t="s">
        <v>22</v>
      </c>
      <c r="I262">
        <v>0</v>
      </c>
      <c r="J262" t="s">
        <v>46</v>
      </c>
    </row>
    <row r="263" spans="1:10" x14ac:dyDescent="0.25">
      <c r="A263" s="1">
        <v>63</v>
      </c>
      <c r="B263" t="s">
        <v>28</v>
      </c>
      <c r="C263">
        <v>700</v>
      </c>
      <c r="D263">
        <v>0</v>
      </c>
      <c r="E263" t="s">
        <v>34</v>
      </c>
      <c r="F263" t="s">
        <v>34</v>
      </c>
      <c r="G263" t="str">
        <f>"2026-07-09 23:42:10.637"</f>
        <v>2026-07-09 23:42:10.637</v>
      </c>
      <c r="H263" t="s">
        <v>22</v>
      </c>
      <c r="I263">
        <v>0</v>
      </c>
      <c r="J263" t="s">
        <v>46</v>
      </c>
    </row>
    <row r="264" spans="1:10" x14ac:dyDescent="0.25">
      <c r="A264" s="1">
        <v>64</v>
      </c>
      <c r="B264" t="s">
        <v>28</v>
      </c>
      <c r="C264">
        <v>700</v>
      </c>
      <c r="D264">
        <v>0</v>
      </c>
      <c r="E264" t="s">
        <v>34</v>
      </c>
      <c r="F264" t="s">
        <v>34</v>
      </c>
      <c r="G264" t="str">
        <f>"2026-07-09 22:46:30.815"</f>
        <v>2026-07-09 22:46:30.815</v>
      </c>
      <c r="H264" t="s">
        <v>22</v>
      </c>
      <c r="I264">
        <v>0</v>
      </c>
      <c r="J264" t="s">
        <v>46</v>
      </c>
    </row>
    <row r="265" spans="1:10" x14ac:dyDescent="0.25">
      <c r="A265" s="1">
        <v>65</v>
      </c>
      <c r="B265" t="s">
        <v>28</v>
      </c>
      <c r="C265">
        <v>700</v>
      </c>
      <c r="D265">
        <v>0</v>
      </c>
      <c r="E265" t="s">
        <v>34</v>
      </c>
      <c r="F265" t="s">
        <v>34</v>
      </c>
      <c r="G265" t="str">
        <f>"2026-07-09 20:48:40.727"</f>
        <v>2026-07-09 20:48:40.727</v>
      </c>
      <c r="H265" t="s">
        <v>22</v>
      </c>
    </row>
    <row r="266" spans="1:10" x14ac:dyDescent="0.25">
      <c r="A266" s="1">
        <v>66</v>
      </c>
      <c r="B266" t="s">
        <v>28</v>
      </c>
      <c r="C266">
        <v>700</v>
      </c>
      <c r="D266">
        <v>0</v>
      </c>
      <c r="E266" t="s">
        <v>34</v>
      </c>
      <c r="F266" t="s">
        <v>34</v>
      </c>
      <c r="G266" t="str">
        <f>"2026-07-09 14:39:04.682"</f>
        <v>2026-07-09 14:39:04.682</v>
      </c>
      <c r="H266" t="s">
        <v>22</v>
      </c>
    </row>
    <row r="267" spans="1:10" x14ac:dyDescent="0.25">
      <c r="A267" s="1">
        <v>67</v>
      </c>
      <c r="B267" t="s">
        <v>55</v>
      </c>
      <c r="C267">
        <v>87</v>
      </c>
      <c r="D267">
        <v>1</v>
      </c>
      <c r="E267" t="s">
        <v>58</v>
      </c>
      <c r="F267" t="s">
        <v>59</v>
      </c>
      <c r="G267" t="str">
        <f>"2026-07-09 14:30:26.184"</f>
        <v>2026-07-09 14:30:26.184</v>
      </c>
      <c r="H267" t="s">
        <v>22</v>
      </c>
    </row>
    <row r="268" spans="1:10" x14ac:dyDescent="0.25">
      <c r="A268" s="1">
        <v>68</v>
      </c>
      <c r="B268" t="s">
        <v>37</v>
      </c>
      <c r="C268">
        <v>89</v>
      </c>
      <c r="D268">
        <v>2</v>
      </c>
      <c r="E268" t="s">
        <v>56</v>
      </c>
      <c r="F268" t="s">
        <v>57</v>
      </c>
      <c r="G268" t="str">
        <f>"2026-07-09 14:26:52.684"</f>
        <v>2026-07-09 14:26:52.684</v>
      </c>
      <c r="H268" t="s">
        <v>22</v>
      </c>
    </row>
    <row r="269" spans="1:10" x14ac:dyDescent="0.25">
      <c r="A269" s="1">
        <v>69</v>
      </c>
      <c r="B269" t="s">
        <v>60</v>
      </c>
      <c r="C269">
        <v>87</v>
      </c>
      <c r="D269">
        <v>1</v>
      </c>
      <c r="E269" t="s">
        <v>58</v>
      </c>
      <c r="F269" t="s">
        <v>59</v>
      </c>
      <c r="G269" t="str">
        <f>"2026-07-09 14:25:53.122"</f>
        <v>2026-07-09 14:25:53.122</v>
      </c>
      <c r="H269" t="s">
        <v>22</v>
      </c>
      <c r="I269">
        <v>4.67</v>
      </c>
      <c r="J269" t="s">
        <v>54</v>
      </c>
    </row>
    <row r="270" spans="1:10" x14ac:dyDescent="0.25">
      <c r="A270" s="1">
        <v>70</v>
      </c>
      <c r="B270" t="s">
        <v>60</v>
      </c>
      <c r="C270">
        <v>89</v>
      </c>
      <c r="D270">
        <v>2</v>
      </c>
      <c r="E270" t="s">
        <v>56</v>
      </c>
      <c r="F270" t="s">
        <v>57</v>
      </c>
      <c r="G270" t="str">
        <f>"2026-07-09 14:25:47.985"</f>
        <v>2026-07-09 14:25:47.985</v>
      </c>
      <c r="H270" t="s">
        <v>22</v>
      </c>
      <c r="I270">
        <v>4.78</v>
      </c>
      <c r="J270" t="s">
        <v>54</v>
      </c>
    </row>
    <row r="271" spans="1:10" x14ac:dyDescent="0.25">
      <c r="A271" s="1">
        <v>71</v>
      </c>
      <c r="B271" t="s">
        <v>28</v>
      </c>
      <c r="C271">
        <v>700</v>
      </c>
      <c r="D271">
        <v>0</v>
      </c>
      <c r="E271" t="s">
        <v>34</v>
      </c>
      <c r="F271" t="s">
        <v>34</v>
      </c>
      <c r="G271" t="str">
        <f>"2026-07-09 13:30:49.624"</f>
        <v>2026-07-09 13:30:49.624</v>
      </c>
      <c r="H271" t="s">
        <v>22</v>
      </c>
      <c r="I271">
        <v>0</v>
      </c>
      <c r="J271" t="s">
        <v>46</v>
      </c>
    </row>
    <row r="272" spans="1:10" x14ac:dyDescent="0.25">
      <c r="A272" s="1">
        <v>72</v>
      </c>
      <c r="B272" t="s">
        <v>28</v>
      </c>
      <c r="C272">
        <v>700</v>
      </c>
      <c r="D272">
        <v>0</v>
      </c>
      <c r="E272" t="s">
        <v>34</v>
      </c>
      <c r="F272" t="s">
        <v>34</v>
      </c>
      <c r="G272" t="str">
        <f>"2026-07-09 12:32:13.633"</f>
        <v>2026-07-09 12:32:13.633</v>
      </c>
      <c r="H272" t="s">
        <v>22</v>
      </c>
      <c r="I272">
        <v>0</v>
      </c>
      <c r="J272" t="s">
        <v>46</v>
      </c>
    </row>
    <row r="273" spans="1:10" s="3" customFormat="1" x14ac:dyDescent="0.25">
      <c r="A273" s="2">
        <v>73</v>
      </c>
      <c r="B273" s="3" t="s">
        <v>37</v>
      </c>
      <c r="C273" s="3">
        <v>647</v>
      </c>
      <c r="D273" s="3">
        <v>1</v>
      </c>
      <c r="E273" s="3" t="s">
        <v>43</v>
      </c>
      <c r="F273" s="3" t="s">
        <v>44</v>
      </c>
      <c r="G273" s="3" t="str">
        <f>"2026-07-09 05:14:41.798"</f>
        <v>2026-07-09 05:14:41.798</v>
      </c>
      <c r="H273" s="3" t="s">
        <v>22</v>
      </c>
    </row>
    <row r="274" spans="1:10" s="3" customFormat="1" x14ac:dyDescent="0.25">
      <c r="A274" s="2">
        <v>74</v>
      </c>
      <c r="B274" s="3" t="s">
        <v>19</v>
      </c>
      <c r="C274" s="3">
        <v>647</v>
      </c>
      <c r="D274" s="3">
        <v>1</v>
      </c>
      <c r="E274" s="3" t="s">
        <v>43</v>
      </c>
      <c r="F274" s="3" t="s">
        <v>44</v>
      </c>
      <c r="G274" s="3" t="str">
        <f>"2026-07-09 05:14:38.099"</f>
        <v>2026-07-09 05:14:38.099</v>
      </c>
      <c r="H274" s="3" t="s">
        <v>22</v>
      </c>
      <c r="I274" s="3">
        <v>10.6</v>
      </c>
      <c r="J274" s="3" t="s">
        <v>45</v>
      </c>
    </row>
    <row r="275" spans="1:10" x14ac:dyDescent="0.25">
      <c r="A275" s="1">
        <v>75</v>
      </c>
      <c r="B275" t="s">
        <v>28</v>
      </c>
      <c r="C275">
        <v>700</v>
      </c>
      <c r="D275">
        <v>0</v>
      </c>
      <c r="E275" t="s">
        <v>34</v>
      </c>
      <c r="F275" t="s">
        <v>34</v>
      </c>
      <c r="G275" t="str">
        <f>"2026-07-09 02:45:32.640"</f>
        <v>2026-07-09 02:45:32.640</v>
      </c>
      <c r="H275" t="s">
        <v>22</v>
      </c>
      <c r="I275">
        <v>0</v>
      </c>
      <c r="J275" t="s">
        <v>46</v>
      </c>
    </row>
    <row r="276" spans="1:10" x14ac:dyDescent="0.25">
      <c r="A276" s="1">
        <v>76</v>
      </c>
      <c r="B276" t="s">
        <v>28</v>
      </c>
      <c r="C276">
        <v>700</v>
      </c>
      <c r="D276">
        <v>0</v>
      </c>
      <c r="E276" t="s">
        <v>34</v>
      </c>
      <c r="F276" t="s">
        <v>34</v>
      </c>
      <c r="G276" t="str">
        <f>"2026-07-09 00:21:41.731"</f>
        <v>2026-07-09 00:21:41.731</v>
      </c>
      <c r="H276" t="s">
        <v>22</v>
      </c>
    </row>
    <row r="277" spans="1:10" x14ac:dyDescent="0.25">
      <c r="A277" s="1">
        <v>77</v>
      </c>
      <c r="B277" t="s">
        <v>28</v>
      </c>
      <c r="C277">
        <v>706</v>
      </c>
      <c r="D277">
        <v>4</v>
      </c>
      <c r="E277" t="s">
        <v>35</v>
      </c>
      <c r="F277" t="s">
        <v>36</v>
      </c>
      <c r="G277" t="str">
        <f>"2026-07-08 22:56:14.670"</f>
        <v>2026-07-08 22:56:14.670</v>
      </c>
      <c r="H277" t="s">
        <v>22</v>
      </c>
      <c r="I277">
        <v>0</v>
      </c>
      <c r="J277" t="s">
        <v>23</v>
      </c>
    </row>
    <row r="278" spans="1:10" x14ac:dyDescent="0.25">
      <c r="A278" s="1">
        <v>78</v>
      </c>
      <c r="B278" t="s">
        <v>28</v>
      </c>
      <c r="C278">
        <v>700</v>
      </c>
      <c r="D278">
        <v>0</v>
      </c>
      <c r="E278" t="s">
        <v>34</v>
      </c>
      <c r="F278" t="s">
        <v>34</v>
      </c>
      <c r="G278" t="str">
        <f>"2026-07-08 22:55:47.710"</f>
        <v>2026-07-08 22:55:47.710</v>
      </c>
      <c r="H278" t="s">
        <v>22</v>
      </c>
      <c r="I278">
        <v>0</v>
      </c>
      <c r="J278" t="s">
        <v>46</v>
      </c>
    </row>
    <row r="279" spans="1:10" x14ac:dyDescent="0.25">
      <c r="A279" s="1">
        <v>79</v>
      </c>
      <c r="B279" t="s">
        <v>28</v>
      </c>
      <c r="C279">
        <v>700</v>
      </c>
      <c r="D279">
        <v>0</v>
      </c>
      <c r="E279" t="s">
        <v>34</v>
      </c>
      <c r="F279" t="s">
        <v>34</v>
      </c>
      <c r="G279" t="str">
        <f>"2026-07-08 22:53:01.629"</f>
        <v>2026-07-08 22:53:01.629</v>
      </c>
      <c r="H279" t="s">
        <v>22</v>
      </c>
    </row>
    <row r="280" spans="1:10" x14ac:dyDescent="0.25">
      <c r="A280" s="1">
        <v>80</v>
      </c>
      <c r="B280" t="s">
        <v>28</v>
      </c>
      <c r="C280">
        <v>706</v>
      </c>
      <c r="D280">
        <v>2</v>
      </c>
      <c r="E280" t="s">
        <v>35</v>
      </c>
      <c r="F280" t="s">
        <v>42</v>
      </c>
      <c r="G280" t="str">
        <f>"2026-07-08 21:34:24.568"</f>
        <v>2026-07-08 21:34:24.568</v>
      </c>
      <c r="H280" t="s">
        <v>22</v>
      </c>
      <c r="I280">
        <v>0</v>
      </c>
      <c r="J280" t="s">
        <v>23</v>
      </c>
    </row>
    <row r="281" spans="1:10" x14ac:dyDescent="0.25">
      <c r="A281" s="1">
        <v>81</v>
      </c>
      <c r="B281" t="s">
        <v>28</v>
      </c>
      <c r="C281">
        <v>700</v>
      </c>
      <c r="D281">
        <v>0</v>
      </c>
      <c r="E281" t="s">
        <v>34</v>
      </c>
      <c r="F281" t="s">
        <v>34</v>
      </c>
      <c r="G281" t="str">
        <f>"2026-07-08 21:33:31.618"</f>
        <v>2026-07-08 21:33:31.618</v>
      </c>
      <c r="H281" t="s">
        <v>22</v>
      </c>
      <c r="I281">
        <v>0</v>
      </c>
      <c r="J281" t="s">
        <v>46</v>
      </c>
    </row>
    <row r="282" spans="1:10" x14ac:dyDescent="0.25">
      <c r="A282" s="1">
        <v>82</v>
      </c>
      <c r="B282" t="s">
        <v>28</v>
      </c>
      <c r="C282">
        <v>706</v>
      </c>
      <c r="D282">
        <v>4</v>
      </c>
      <c r="E282" t="s">
        <v>35</v>
      </c>
      <c r="F282" t="s">
        <v>36</v>
      </c>
      <c r="G282" t="str">
        <f>"2026-07-08 20:50:13.676"</f>
        <v>2026-07-08 20:50:13.676</v>
      </c>
      <c r="H282" t="s">
        <v>22</v>
      </c>
      <c r="I282">
        <v>0</v>
      </c>
      <c r="J282" t="s">
        <v>23</v>
      </c>
    </row>
    <row r="283" spans="1:10" x14ac:dyDescent="0.25">
      <c r="A283" s="1">
        <v>83</v>
      </c>
      <c r="B283" t="s">
        <v>28</v>
      </c>
      <c r="C283">
        <v>700</v>
      </c>
      <c r="D283">
        <v>0</v>
      </c>
      <c r="E283" t="s">
        <v>34</v>
      </c>
      <c r="F283" t="s">
        <v>34</v>
      </c>
      <c r="G283" t="str">
        <f>"2026-07-08 20:45:38.826"</f>
        <v>2026-07-08 20:45:38.826</v>
      </c>
      <c r="H283" t="s">
        <v>22</v>
      </c>
    </row>
    <row r="284" spans="1:10" x14ac:dyDescent="0.25">
      <c r="A284" s="1">
        <v>84</v>
      </c>
      <c r="B284" t="s">
        <v>28</v>
      </c>
      <c r="C284">
        <v>700</v>
      </c>
      <c r="D284">
        <v>0</v>
      </c>
      <c r="E284" t="s">
        <v>34</v>
      </c>
      <c r="F284" t="s">
        <v>34</v>
      </c>
      <c r="G284" t="str">
        <f>"2026-07-08 19:57:42.704"</f>
        <v>2026-07-08 19:57:42.704</v>
      </c>
      <c r="H284" t="s">
        <v>22</v>
      </c>
    </row>
    <row r="285" spans="1:10" x14ac:dyDescent="0.25">
      <c r="A285" s="1">
        <v>85</v>
      </c>
      <c r="B285" t="s">
        <v>28</v>
      </c>
      <c r="C285">
        <v>700</v>
      </c>
      <c r="D285">
        <v>0</v>
      </c>
      <c r="E285" t="s">
        <v>34</v>
      </c>
      <c r="F285" t="s">
        <v>34</v>
      </c>
      <c r="G285" t="str">
        <f>"2026-07-08 19:15:49.627"</f>
        <v>2026-07-08 19:15:49.627</v>
      </c>
      <c r="H285" t="s">
        <v>22</v>
      </c>
      <c r="I285">
        <v>0</v>
      </c>
      <c r="J285" t="s">
        <v>46</v>
      </c>
    </row>
    <row r="286" spans="1:10" x14ac:dyDescent="0.25">
      <c r="A286" s="1">
        <v>86</v>
      </c>
      <c r="B286" t="s">
        <v>28</v>
      </c>
      <c r="C286">
        <v>700</v>
      </c>
      <c r="D286">
        <v>0</v>
      </c>
      <c r="E286" t="s">
        <v>34</v>
      </c>
      <c r="F286" t="s">
        <v>34</v>
      </c>
      <c r="G286" t="str">
        <f>"2026-07-08 19:10:27.051"</f>
        <v>2026-07-08 19:10:27.051</v>
      </c>
      <c r="H286" t="s">
        <v>22</v>
      </c>
      <c r="I286">
        <v>0</v>
      </c>
      <c r="J286" t="s">
        <v>46</v>
      </c>
    </row>
    <row r="287" spans="1:10" x14ac:dyDescent="0.25">
      <c r="A287" s="1">
        <v>87</v>
      </c>
      <c r="B287" t="s">
        <v>28</v>
      </c>
      <c r="C287">
        <v>700</v>
      </c>
      <c r="D287">
        <v>0</v>
      </c>
      <c r="E287" t="s">
        <v>34</v>
      </c>
      <c r="F287" t="s">
        <v>34</v>
      </c>
      <c r="G287" t="str">
        <f>"2026-07-08 18:40:54.763"</f>
        <v>2026-07-08 18:40:54.763</v>
      </c>
      <c r="H287" t="s">
        <v>22</v>
      </c>
    </row>
    <row r="288" spans="1:10" x14ac:dyDescent="0.25">
      <c r="A288" s="1">
        <v>88</v>
      </c>
      <c r="B288" t="s">
        <v>28</v>
      </c>
      <c r="C288">
        <v>700</v>
      </c>
      <c r="D288">
        <v>0</v>
      </c>
      <c r="E288" t="s">
        <v>34</v>
      </c>
      <c r="F288" t="s">
        <v>34</v>
      </c>
      <c r="G288" t="str">
        <f>"2026-07-08 18:20:37.656"</f>
        <v>2026-07-08 18:20:37.656</v>
      </c>
      <c r="H288" t="s">
        <v>22</v>
      </c>
      <c r="I288">
        <v>0</v>
      </c>
      <c r="J288" t="s">
        <v>46</v>
      </c>
    </row>
    <row r="289" spans="1:10" x14ac:dyDescent="0.25">
      <c r="A289" s="1">
        <v>89</v>
      </c>
      <c r="B289" t="s">
        <v>28</v>
      </c>
      <c r="C289">
        <v>700</v>
      </c>
      <c r="D289">
        <v>0</v>
      </c>
      <c r="E289" t="s">
        <v>34</v>
      </c>
      <c r="F289" t="s">
        <v>34</v>
      </c>
      <c r="G289" t="str">
        <f>"2026-07-08 17:30:15.864"</f>
        <v>2026-07-08 17:30:15.864</v>
      </c>
      <c r="H289" t="s">
        <v>22</v>
      </c>
      <c r="I289">
        <v>0</v>
      </c>
      <c r="J289" t="s">
        <v>46</v>
      </c>
    </row>
    <row r="290" spans="1:10" x14ac:dyDescent="0.25">
      <c r="A290" s="1">
        <v>90</v>
      </c>
      <c r="B290" t="s">
        <v>28</v>
      </c>
      <c r="C290">
        <v>700</v>
      </c>
      <c r="D290">
        <v>0</v>
      </c>
      <c r="E290" t="s">
        <v>34</v>
      </c>
      <c r="F290" t="s">
        <v>34</v>
      </c>
      <c r="G290" t="str">
        <f>"2026-07-08 13:40:20.636"</f>
        <v>2026-07-08 13:40:20.636</v>
      </c>
      <c r="H290" t="s">
        <v>22</v>
      </c>
      <c r="I290">
        <v>0</v>
      </c>
      <c r="J290" t="s">
        <v>46</v>
      </c>
    </row>
    <row r="291" spans="1:10" x14ac:dyDescent="0.25">
      <c r="A291" s="1">
        <v>91</v>
      </c>
      <c r="B291" t="s">
        <v>28</v>
      </c>
      <c r="C291">
        <v>700</v>
      </c>
      <c r="D291">
        <v>0</v>
      </c>
      <c r="E291" t="s">
        <v>34</v>
      </c>
      <c r="F291" t="s">
        <v>34</v>
      </c>
      <c r="G291" t="str">
        <f>"2026-07-08 05:38:19.619"</f>
        <v>2026-07-08 05:38:19.619</v>
      </c>
      <c r="H291" t="s">
        <v>22</v>
      </c>
      <c r="I291">
        <v>0</v>
      </c>
      <c r="J291" t="s">
        <v>46</v>
      </c>
    </row>
    <row r="292" spans="1:10" x14ac:dyDescent="0.25">
      <c r="A292" s="1">
        <v>92</v>
      </c>
      <c r="B292" t="s">
        <v>28</v>
      </c>
      <c r="C292">
        <v>700</v>
      </c>
      <c r="D292">
        <v>0</v>
      </c>
      <c r="E292" t="s">
        <v>34</v>
      </c>
      <c r="F292" t="s">
        <v>34</v>
      </c>
      <c r="G292" t="str">
        <f>"2026-07-08 01:03:49.634"</f>
        <v>2026-07-08 01:03:49.634</v>
      </c>
      <c r="H292" t="s">
        <v>22</v>
      </c>
    </row>
    <row r="293" spans="1:10" x14ac:dyDescent="0.25">
      <c r="A293" s="1">
        <v>93</v>
      </c>
      <c r="B293" t="s">
        <v>28</v>
      </c>
      <c r="C293">
        <v>700</v>
      </c>
      <c r="D293">
        <v>0</v>
      </c>
      <c r="E293" t="s">
        <v>34</v>
      </c>
      <c r="F293" t="s">
        <v>34</v>
      </c>
      <c r="G293" t="str">
        <f>"2026-07-07 22:03:15.622"</f>
        <v>2026-07-07 22:03:15.622</v>
      </c>
      <c r="H293" t="s">
        <v>22</v>
      </c>
    </row>
    <row r="294" spans="1:10" x14ac:dyDescent="0.25">
      <c r="A294" s="1">
        <v>94</v>
      </c>
      <c r="B294" t="s">
        <v>28</v>
      </c>
      <c r="C294">
        <v>700</v>
      </c>
      <c r="D294">
        <v>0</v>
      </c>
      <c r="E294" t="s">
        <v>34</v>
      </c>
      <c r="F294" t="s">
        <v>34</v>
      </c>
      <c r="G294" t="str">
        <f>"2026-07-07 20:37:32.801"</f>
        <v>2026-07-07 20:37:32.801</v>
      </c>
      <c r="H294" t="s">
        <v>22</v>
      </c>
      <c r="I294">
        <v>0</v>
      </c>
      <c r="J294" t="s">
        <v>46</v>
      </c>
    </row>
    <row r="295" spans="1:10" s="3" customFormat="1" x14ac:dyDescent="0.25">
      <c r="A295" s="2">
        <v>95</v>
      </c>
      <c r="B295" s="3" t="s">
        <v>37</v>
      </c>
      <c r="C295" s="3">
        <v>647</v>
      </c>
      <c r="D295" s="3">
        <v>1</v>
      </c>
      <c r="E295" s="3" t="s">
        <v>43</v>
      </c>
      <c r="F295" s="3" t="s">
        <v>44</v>
      </c>
      <c r="G295" s="3" t="str">
        <f>"2026-07-07 16:20:02.239"</f>
        <v>2026-07-07 16:20:02.239</v>
      </c>
      <c r="H295" s="3" t="s">
        <v>22</v>
      </c>
    </row>
    <row r="296" spans="1:10" s="3" customFormat="1" x14ac:dyDescent="0.25">
      <c r="A296" s="2">
        <v>96</v>
      </c>
      <c r="B296" s="3" t="s">
        <v>19</v>
      </c>
      <c r="C296" s="3">
        <v>647</v>
      </c>
      <c r="D296" s="3">
        <v>1</v>
      </c>
      <c r="E296" s="3" t="s">
        <v>43</v>
      </c>
      <c r="F296" s="3" t="s">
        <v>44</v>
      </c>
      <c r="G296" s="3" t="str">
        <f>"2026-07-07 16:20:00.539"</f>
        <v>2026-07-07 16:20:00.539</v>
      </c>
      <c r="H296" s="3" t="s">
        <v>22</v>
      </c>
      <c r="I296" s="3">
        <v>8.16</v>
      </c>
      <c r="J296" s="3" t="s">
        <v>45</v>
      </c>
    </row>
    <row r="297" spans="1:10" x14ac:dyDescent="0.25">
      <c r="A297" s="1">
        <v>97</v>
      </c>
      <c r="B297" t="s">
        <v>28</v>
      </c>
      <c r="C297">
        <v>700</v>
      </c>
      <c r="D297">
        <v>0</v>
      </c>
      <c r="E297" t="s">
        <v>34</v>
      </c>
      <c r="F297" t="s">
        <v>34</v>
      </c>
      <c r="G297" t="str">
        <f>"2026-07-07 13:40:28.644"</f>
        <v>2026-07-07 13:40:28.644</v>
      </c>
      <c r="H297" t="s">
        <v>22</v>
      </c>
      <c r="I297">
        <v>0</v>
      </c>
      <c r="J297" t="s">
        <v>46</v>
      </c>
    </row>
    <row r="298" spans="1:10" s="3" customFormat="1" x14ac:dyDescent="0.25">
      <c r="A298" s="2">
        <v>98</v>
      </c>
      <c r="B298" s="3" t="s">
        <v>37</v>
      </c>
      <c r="C298" s="3">
        <v>647</v>
      </c>
      <c r="D298" s="3">
        <v>1</v>
      </c>
      <c r="E298" s="3" t="s">
        <v>43</v>
      </c>
      <c r="F298" s="3" t="s">
        <v>44</v>
      </c>
      <c r="G298" s="3" t="str">
        <f>"2026-07-07 06:34:20.977"</f>
        <v>2026-07-07 06:34:20.977</v>
      </c>
      <c r="H298" s="3" t="s">
        <v>22</v>
      </c>
    </row>
    <row r="299" spans="1:10" s="3" customFormat="1" x14ac:dyDescent="0.25">
      <c r="A299" s="2">
        <v>99</v>
      </c>
      <c r="B299" s="3" t="s">
        <v>19</v>
      </c>
      <c r="C299" s="3">
        <v>647</v>
      </c>
      <c r="D299" s="3">
        <v>1</v>
      </c>
      <c r="E299" s="3" t="s">
        <v>43</v>
      </c>
      <c r="F299" s="3" t="s">
        <v>44</v>
      </c>
      <c r="G299" s="3" t="str">
        <f>"2026-07-07 06:34:18.677"</f>
        <v>2026-07-07 06:34:18.677</v>
      </c>
      <c r="H299" s="3" t="s">
        <v>22</v>
      </c>
      <c r="I299" s="3">
        <v>16.53</v>
      </c>
      <c r="J299" s="3" t="s">
        <v>45</v>
      </c>
    </row>
    <row r="300" spans="1:10" x14ac:dyDescent="0.25">
      <c r="A300" s="1">
        <v>0</v>
      </c>
      <c r="B300" t="s">
        <v>28</v>
      </c>
      <c r="C300">
        <v>706</v>
      </c>
      <c r="D300">
        <v>2</v>
      </c>
      <c r="E300" t="s">
        <v>35</v>
      </c>
      <c r="F300" t="s">
        <v>42</v>
      </c>
      <c r="G300" t="str">
        <f>"2026-07-07 05:50:57.136"</f>
        <v>2026-07-07 05:50:57.136</v>
      </c>
      <c r="H300" t="s">
        <v>22</v>
      </c>
      <c r="I300">
        <v>0</v>
      </c>
      <c r="J300" t="s">
        <v>23</v>
      </c>
    </row>
    <row r="301" spans="1:10" x14ac:dyDescent="0.25">
      <c r="A301" s="1">
        <v>1</v>
      </c>
      <c r="B301" t="s">
        <v>28</v>
      </c>
      <c r="C301">
        <v>700</v>
      </c>
      <c r="D301">
        <v>0</v>
      </c>
      <c r="E301" t="s">
        <v>34</v>
      </c>
      <c r="F301" t="s">
        <v>34</v>
      </c>
      <c r="G301" t="str">
        <f>"2026-07-07 05:49:59.636"</f>
        <v>2026-07-07 05:49:59.636</v>
      </c>
      <c r="H301" t="s">
        <v>22</v>
      </c>
    </row>
    <row r="302" spans="1:10" x14ac:dyDescent="0.25">
      <c r="A302" s="1">
        <v>2</v>
      </c>
      <c r="B302" t="s">
        <v>28</v>
      </c>
      <c r="C302">
        <v>700</v>
      </c>
      <c r="D302">
        <v>0</v>
      </c>
      <c r="E302" t="s">
        <v>34</v>
      </c>
      <c r="F302" t="s">
        <v>34</v>
      </c>
      <c r="G302" t="str">
        <f>"2026-07-07 02:05:47.607"</f>
        <v>2026-07-07 02:05:47.607</v>
      </c>
      <c r="H302" t="s">
        <v>22</v>
      </c>
      <c r="I302">
        <v>0</v>
      </c>
      <c r="J302" t="s">
        <v>46</v>
      </c>
    </row>
    <row r="303" spans="1:10" s="3" customFormat="1" x14ac:dyDescent="0.25">
      <c r="A303" s="2">
        <v>3</v>
      </c>
      <c r="B303" s="3" t="s">
        <v>37</v>
      </c>
      <c r="C303" s="3">
        <v>647</v>
      </c>
      <c r="D303" s="3">
        <v>1</v>
      </c>
      <c r="E303" s="3" t="s">
        <v>43</v>
      </c>
      <c r="F303" s="3" t="s">
        <v>44</v>
      </c>
      <c r="G303" s="3" t="str">
        <f>"2026-07-07 01:18:01.303"</f>
        <v>2026-07-07 01:18:01.303</v>
      </c>
      <c r="H303" s="3" t="s">
        <v>22</v>
      </c>
    </row>
    <row r="304" spans="1:10" s="3" customFormat="1" x14ac:dyDescent="0.25">
      <c r="A304" s="2">
        <v>4</v>
      </c>
      <c r="B304" s="3" t="s">
        <v>19</v>
      </c>
      <c r="C304" s="3">
        <v>647</v>
      </c>
      <c r="D304" s="3">
        <v>1</v>
      </c>
      <c r="E304" s="3" t="s">
        <v>43</v>
      </c>
      <c r="F304" s="3" t="s">
        <v>44</v>
      </c>
      <c r="G304" s="3" t="str">
        <f>"2026-07-07 01:17:59.403"</f>
        <v>2026-07-07 01:17:59.403</v>
      </c>
      <c r="H304" s="3" t="s">
        <v>22</v>
      </c>
      <c r="I304" s="3">
        <v>13.12</v>
      </c>
      <c r="J304" s="3" t="s">
        <v>45</v>
      </c>
    </row>
    <row r="305" spans="1:10" s="3" customFormat="1" x14ac:dyDescent="0.25">
      <c r="A305" s="2">
        <v>5</v>
      </c>
      <c r="B305" s="3" t="s">
        <v>37</v>
      </c>
      <c r="C305" s="3">
        <v>647</v>
      </c>
      <c r="D305" s="3">
        <v>1</v>
      </c>
      <c r="E305" s="3" t="s">
        <v>43</v>
      </c>
      <c r="F305" s="3" t="s">
        <v>44</v>
      </c>
      <c r="G305" s="3" t="str">
        <f>"2026-07-07 00:29:23.803"</f>
        <v>2026-07-07 00:29:23.803</v>
      </c>
      <c r="H305" s="3" t="s">
        <v>22</v>
      </c>
    </row>
    <row r="306" spans="1:10" s="3" customFormat="1" x14ac:dyDescent="0.25">
      <c r="A306" s="2">
        <v>6</v>
      </c>
      <c r="B306" s="3" t="s">
        <v>19</v>
      </c>
      <c r="C306" s="3">
        <v>647</v>
      </c>
      <c r="D306" s="3">
        <v>1</v>
      </c>
      <c r="E306" s="3" t="s">
        <v>43</v>
      </c>
      <c r="F306" s="3" t="s">
        <v>44</v>
      </c>
      <c r="G306" s="3" t="str">
        <f>"2026-07-07 00:29:21.103"</f>
        <v>2026-07-07 00:29:21.103</v>
      </c>
      <c r="H306" s="3" t="s">
        <v>22</v>
      </c>
      <c r="I306" s="3">
        <v>15.43</v>
      </c>
      <c r="J306" s="3" t="s">
        <v>45</v>
      </c>
    </row>
    <row r="307" spans="1:10" s="3" customFormat="1" x14ac:dyDescent="0.25">
      <c r="A307" s="2">
        <v>7</v>
      </c>
      <c r="B307" s="3" t="s">
        <v>37</v>
      </c>
      <c r="C307" s="3">
        <v>647</v>
      </c>
      <c r="D307" s="3">
        <v>1</v>
      </c>
      <c r="E307" s="3" t="s">
        <v>43</v>
      </c>
      <c r="F307" s="3" t="s">
        <v>44</v>
      </c>
      <c r="G307" s="3" t="str">
        <f>"2026-07-06 23:43:31.903"</f>
        <v>2026-07-06 23:43:31.903</v>
      </c>
      <c r="H307" s="3" t="s">
        <v>22</v>
      </c>
    </row>
    <row r="308" spans="1:10" s="3" customFormat="1" x14ac:dyDescent="0.25">
      <c r="A308" s="2">
        <v>8</v>
      </c>
      <c r="B308" s="3" t="s">
        <v>19</v>
      </c>
      <c r="C308" s="3">
        <v>647</v>
      </c>
      <c r="D308" s="3">
        <v>1</v>
      </c>
      <c r="E308" s="3" t="s">
        <v>43</v>
      </c>
      <c r="F308" s="3" t="s">
        <v>44</v>
      </c>
      <c r="G308" s="3" t="str">
        <f>"2026-07-06 23:43:29.403"</f>
        <v>2026-07-06 23:43:29.403</v>
      </c>
      <c r="H308" s="3" t="s">
        <v>22</v>
      </c>
      <c r="I308" s="3">
        <v>8.1300000000000008</v>
      </c>
      <c r="J308" s="3" t="s">
        <v>45</v>
      </c>
    </row>
    <row r="309" spans="1:10" s="3" customFormat="1" x14ac:dyDescent="0.25">
      <c r="A309" s="2">
        <v>9</v>
      </c>
      <c r="B309" s="3" t="s">
        <v>37</v>
      </c>
      <c r="C309" s="3">
        <v>647</v>
      </c>
      <c r="D309" s="3">
        <v>1</v>
      </c>
      <c r="E309" s="3" t="s">
        <v>43</v>
      </c>
      <c r="F309" s="3" t="s">
        <v>44</v>
      </c>
      <c r="G309" s="3" t="str">
        <f>"2026-07-06 22:57:35.903"</f>
        <v>2026-07-06 22:57:35.903</v>
      </c>
      <c r="H309" s="3" t="s">
        <v>22</v>
      </c>
    </row>
    <row r="310" spans="1:10" s="3" customFormat="1" x14ac:dyDescent="0.25">
      <c r="A310" s="2">
        <v>10</v>
      </c>
      <c r="B310" s="3" t="s">
        <v>19</v>
      </c>
      <c r="C310" s="3">
        <v>647</v>
      </c>
      <c r="D310" s="3">
        <v>1</v>
      </c>
      <c r="E310" s="3" t="s">
        <v>43</v>
      </c>
      <c r="F310" s="3" t="s">
        <v>44</v>
      </c>
      <c r="G310" s="3" t="str">
        <f>"2026-07-06 22:57:34.403"</f>
        <v>2026-07-06 22:57:34.403</v>
      </c>
      <c r="H310" s="3" t="s">
        <v>22</v>
      </c>
      <c r="I310" s="3">
        <v>12.27</v>
      </c>
      <c r="J310" s="3" t="s">
        <v>45</v>
      </c>
    </row>
    <row r="311" spans="1:10" s="3" customFormat="1" x14ac:dyDescent="0.25">
      <c r="A311" s="2">
        <v>11</v>
      </c>
      <c r="B311" s="3" t="s">
        <v>37</v>
      </c>
      <c r="C311" s="3">
        <v>647</v>
      </c>
      <c r="D311" s="3">
        <v>1</v>
      </c>
      <c r="E311" s="3" t="s">
        <v>43</v>
      </c>
      <c r="F311" s="3" t="s">
        <v>44</v>
      </c>
      <c r="G311" s="3" t="str">
        <f>"2026-07-06 20:21:22.803"</f>
        <v>2026-07-06 20:21:22.803</v>
      </c>
      <c r="H311" s="3" t="s">
        <v>22</v>
      </c>
    </row>
    <row r="312" spans="1:10" s="3" customFormat="1" x14ac:dyDescent="0.25">
      <c r="A312" s="2">
        <v>12</v>
      </c>
      <c r="B312" s="3" t="s">
        <v>19</v>
      </c>
      <c r="C312" s="3">
        <v>647</v>
      </c>
      <c r="D312" s="3">
        <v>1</v>
      </c>
      <c r="E312" s="3" t="s">
        <v>43</v>
      </c>
      <c r="F312" s="3" t="s">
        <v>44</v>
      </c>
      <c r="G312" s="3" t="str">
        <f>"2026-07-06 20:21:21.303"</f>
        <v>2026-07-06 20:21:21.303</v>
      </c>
      <c r="H312" s="3" t="s">
        <v>22</v>
      </c>
      <c r="I312" s="3">
        <v>10.17</v>
      </c>
      <c r="J312" s="3" t="s">
        <v>45</v>
      </c>
    </row>
    <row r="313" spans="1:10" s="3" customFormat="1" x14ac:dyDescent="0.25">
      <c r="A313" s="2">
        <v>13</v>
      </c>
      <c r="B313" s="3" t="s">
        <v>37</v>
      </c>
      <c r="C313" s="3">
        <v>647</v>
      </c>
      <c r="D313" s="3">
        <v>1</v>
      </c>
      <c r="E313" s="3" t="s">
        <v>43</v>
      </c>
      <c r="F313" s="3" t="s">
        <v>44</v>
      </c>
      <c r="G313" s="3" t="str">
        <f>"2026-07-06 19:44:38.703"</f>
        <v>2026-07-06 19:44:38.703</v>
      </c>
      <c r="H313" s="3" t="s">
        <v>22</v>
      </c>
    </row>
    <row r="314" spans="1:10" s="3" customFormat="1" x14ac:dyDescent="0.25">
      <c r="A314" s="2">
        <v>14</v>
      </c>
      <c r="B314" s="3" t="s">
        <v>19</v>
      </c>
      <c r="C314" s="3">
        <v>647</v>
      </c>
      <c r="D314" s="3">
        <v>1</v>
      </c>
      <c r="E314" s="3" t="s">
        <v>43</v>
      </c>
      <c r="F314" s="3" t="s">
        <v>44</v>
      </c>
      <c r="G314" s="3" t="str">
        <f>"2026-07-06 19:44:35.403"</f>
        <v>2026-07-06 19:44:35.403</v>
      </c>
      <c r="H314" s="3" t="s">
        <v>22</v>
      </c>
      <c r="I314" s="3">
        <v>14.81</v>
      </c>
      <c r="J314" s="3" t="s">
        <v>45</v>
      </c>
    </row>
    <row r="315" spans="1:10" x14ac:dyDescent="0.25">
      <c r="A315" s="1">
        <v>15</v>
      </c>
      <c r="B315" t="s">
        <v>28</v>
      </c>
      <c r="C315">
        <v>700</v>
      </c>
      <c r="D315">
        <v>0</v>
      </c>
      <c r="E315" t="s">
        <v>34</v>
      </c>
      <c r="F315" t="s">
        <v>34</v>
      </c>
      <c r="G315" t="str">
        <f>"2026-07-06 04:02:04.601"</f>
        <v>2026-07-06 04:02:04.601</v>
      </c>
      <c r="H315" t="s">
        <v>22</v>
      </c>
      <c r="I315">
        <v>0</v>
      </c>
      <c r="J315" t="s">
        <v>46</v>
      </c>
    </row>
    <row r="316" spans="1:10" x14ac:dyDescent="0.25">
      <c r="A316" s="1">
        <v>16</v>
      </c>
      <c r="B316" t="s">
        <v>28</v>
      </c>
      <c r="C316">
        <v>700</v>
      </c>
      <c r="D316">
        <v>0</v>
      </c>
      <c r="E316" t="s">
        <v>34</v>
      </c>
      <c r="F316" t="s">
        <v>34</v>
      </c>
      <c r="G316" t="str">
        <f>"2026-07-06 01:11:17.615"</f>
        <v>2026-07-06 01:11:17.615</v>
      </c>
      <c r="H316" t="s">
        <v>22</v>
      </c>
      <c r="I316">
        <v>0</v>
      </c>
      <c r="J316" t="s">
        <v>46</v>
      </c>
    </row>
    <row r="317" spans="1:10" x14ac:dyDescent="0.25">
      <c r="A317" s="1">
        <v>17</v>
      </c>
      <c r="B317" t="s">
        <v>28</v>
      </c>
      <c r="C317">
        <v>700</v>
      </c>
      <c r="D317">
        <v>0</v>
      </c>
      <c r="E317" t="s">
        <v>34</v>
      </c>
      <c r="F317" t="s">
        <v>34</v>
      </c>
      <c r="G317" t="str">
        <f>"2026-07-05 21:31:54.610"</f>
        <v>2026-07-05 21:31:54.610</v>
      </c>
      <c r="H317" t="s">
        <v>22</v>
      </c>
    </row>
    <row r="318" spans="1:10" x14ac:dyDescent="0.25">
      <c r="A318" s="1">
        <v>18</v>
      </c>
      <c r="B318" t="s">
        <v>37</v>
      </c>
      <c r="C318">
        <v>635</v>
      </c>
      <c r="D318">
        <v>1</v>
      </c>
      <c r="E318" t="s">
        <v>53</v>
      </c>
      <c r="F318" t="s">
        <v>48</v>
      </c>
      <c r="G318" t="str">
        <f>"2026-07-05 21:17:27.385"</f>
        <v>2026-07-05 21:17:27.385</v>
      </c>
      <c r="H318" t="s">
        <v>22</v>
      </c>
    </row>
    <row r="319" spans="1:10" x14ac:dyDescent="0.25">
      <c r="A319" s="1">
        <v>19</v>
      </c>
      <c r="B319" t="s">
        <v>19</v>
      </c>
      <c r="C319">
        <v>635</v>
      </c>
      <c r="D319">
        <v>1</v>
      </c>
      <c r="E319" t="s">
        <v>53</v>
      </c>
      <c r="F319" t="s">
        <v>48</v>
      </c>
      <c r="G319" t="str">
        <f>"2026-07-05 21:13:13.885"</f>
        <v>2026-07-05 21:13:13.885</v>
      </c>
      <c r="H319" t="s">
        <v>22</v>
      </c>
      <c r="I319">
        <v>5.85</v>
      </c>
      <c r="J319" t="s">
        <v>54</v>
      </c>
    </row>
    <row r="320" spans="1:10" x14ac:dyDescent="0.25">
      <c r="A320" s="1">
        <v>20</v>
      </c>
      <c r="B320" t="s">
        <v>37</v>
      </c>
      <c r="C320">
        <v>635</v>
      </c>
      <c r="D320">
        <v>1</v>
      </c>
      <c r="E320" t="s">
        <v>53</v>
      </c>
      <c r="F320" t="s">
        <v>48</v>
      </c>
      <c r="G320" t="str">
        <f>"2026-07-05 19:51:37.085"</f>
        <v>2026-07-05 19:51:37.085</v>
      </c>
      <c r="H320" t="s">
        <v>22</v>
      </c>
    </row>
    <row r="321" spans="1:10" x14ac:dyDescent="0.25">
      <c r="A321" s="1">
        <v>21</v>
      </c>
      <c r="B321" t="s">
        <v>19</v>
      </c>
      <c r="C321">
        <v>635</v>
      </c>
      <c r="D321">
        <v>1</v>
      </c>
      <c r="E321" t="s">
        <v>53</v>
      </c>
      <c r="F321" t="s">
        <v>48</v>
      </c>
      <c r="G321" t="str">
        <f>"2026-07-05 19:49:38.585"</f>
        <v>2026-07-05 19:49:38.585</v>
      </c>
      <c r="H321" t="s">
        <v>22</v>
      </c>
      <c r="I321">
        <v>5.1100000000000003</v>
      </c>
      <c r="J321" t="s">
        <v>54</v>
      </c>
    </row>
    <row r="322" spans="1:10" x14ac:dyDescent="0.25">
      <c r="A322" s="1">
        <v>22</v>
      </c>
      <c r="B322" t="s">
        <v>37</v>
      </c>
      <c r="C322">
        <v>619</v>
      </c>
      <c r="D322">
        <v>1</v>
      </c>
      <c r="E322" t="s">
        <v>47</v>
      </c>
      <c r="F322" t="s">
        <v>48</v>
      </c>
      <c r="G322" t="str">
        <f>"2026-07-05 13:47:35.232"</f>
        <v>2026-07-05 13:47:35.232</v>
      </c>
      <c r="H322" t="s">
        <v>49</v>
      </c>
    </row>
    <row r="323" spans="1:10" x14ac:dyDescent="0.25">
      <c r="A323" s="1">
        <v>23</v>
      </c>
      <c r="B323" t="s">
        <v>19</v>
      </c>
      <c r="C323">
        <v>619</v>
      </c>
      <c r="D323">
        <v>1</v>
      </c>
      <c r="E323" t="s">
        <v>47</v>
      </c>
      <c r="F323" t="s">
        <v>48</v>
      </c>
      <c r="G323" t="str">
        <f>"2026-07-05 13:47:19.232"</f>
        <v>2026-07-05 13:47:19.232</v>
      </c>
      <c r="H323" t="s">
        <v>49</v>
      </c>
      <c r="I323">
        <v>0</v>
      </c>
      <c r="J323" t="s">
        <v>23</v>
      </c>
    </row>
    <row r="324" spans="1:10" x14ac:dyDescent="0.25">
      <c r="A324" s="1">
        <v>24</v>
      </c>
      <c r="B324" t="s">
        <v>28</v>
      </c>
      <c r="C324">
        <v>700</v>
      </c>
      <c r="D324">
        <v>0</v>
      </c>
      <c r="E324" t="s">
        <v>34</v>
      </c>
      <c r="F324" t="s">
        <v>34</v>
      </c>
      <c r="G324" t="str">
        <f>"2026-07-05 13:47:11.624"</f>
        <v>2026-07-05 13:47:11.624</v>
      </c>
      <c r="H324" t="s">
        <v>22</v>
      </c>
    </row>
    <row r="325" spans="1:10" x14ac:dyDescent="0.25">
      <c r="A325" s="1">
        <v>25</v>
      </c>
      <c r="B325" t="s">
        <v>37</v>
      </c>
      <c r="C325">
        <v>635</v>
      </c>
      <c r="D325">
        <v>1</v>
      </c>
      <c r="E325" t="s">
        <v>53</v>
      </c>
      <c r="F325" t="s">
        <v>48</v>
      </c>
      <c r="G325" t="str">
        <f>"2026-07-05 04:59:56.991"</f>
        <v>2026-07-05 04:59:56.991</v>
      </c>
      <c r="H325" t="s">
        <v>22</v>
      </c>
    </row>
    <row r="326" spans="1:10" x14ac:dyDescent="0.25">
      <c r="A326" s="1">
        <v>26</v>
      </c>
      <c r="B326" t="s">
        <v>19</v>
      </c>
      <c r="C326">
        <v>635</v>
      </c>
      <c r="D326">
        <v>1</v>
      </c>
      <c r="E326" t="s">
        <v>53</v>
      </c>
      <c r="F326" t="s">
        <v>48</v>
      </c>
      <c r="G326" t="str">
        <f>"2026-07-05 04:55:26.491"</f>
        <v>2026-07-05 04:55:26.491</v>
      </c>
      <c r="H326" t="s">
        <v>22</v>
      </c>
      <c r="I326">
        <v>2.89</v>
      </c>
      <c r="J326" t="s">
        <v>54</v>
      </c>
    </row>
    <row r="327" spans="1:10" x14ac:dyDescent="0.25">
      <c r="A327" s="1">
        <v>27</v>
      </c>
      <c r="B327" t="s">
        <v>28</v>
      </c>
      <c r="C327">
        <v>706</v>
      </c>
      <c r="D327">
        <v>2</v>
      </c>
      <c r="E327" t="s">
        <v>35</v>
      </c>
      <c r="F327" t="s">
        <v>42</v>
      </c>
      <c r="G327" t="str">
        <f>"2026-07-05 02:12:22.291"</f>
        <v>2026-07-05 02:12:22.291</v>
      </c>
      <c r="H327" t="s">
        <v>22</v>
      </c>
      <c r="I327">
        <v>0</v>
      </c>
      <c r="J327" t="s">
        <v>23</v>
      </c>
    </row>
    <row r="328" spans="1:10" x14ac:dyDescent="0.25">
      <c r="A328" s="1">
        <v>28</v>
      </c>
      <c r="B328" t="s">
        <v>28</v>
      </c>
      <c r="C328">
        <v>700</v>
      </c>
      <c r="D328">
        <v>0</v>
      </c>
      <c r="E328" t="s">
        <v>34</v>
      </c>
      <c r="F328" t="s">
        <v>34</v>
      </c>
      <c r="G328" t="str">
        <f>"2026-07-05 02:07:01.601"</f>
        <v>2026-07-05 02:07:01.601</v>
      </c>
      <c r="H328" t="s">
        <v>22</v>
      </c>
    </row>
    <row r="329" spans="1:10" x14ac:dyDescent="0.25">
      <c r="A329" s="1">
        <v>29</v>
      </c>
      <c r="B329" t="s">
        <v>28</v>
      </c>
      <c r="C329">
        <v>700</v>
      </c>
      <c r="D329">
        <v>0</v>
      </c>
      <c r="E329" t="s">
        <v>34</v>
      </c>
      <c r="F329" t="s">
        <v>34</v>
      </c>
      <c r="G329" t="str">
        <f>"2026-07-05 01:30:04.773"</f>
        <v>2026-07-05 01:30:04.773</v>
      </c>
      <c r="H329" t="s">
        <v>22</v>
      </c>
      <c r="I329">
        <v>0</v>
      </c>
      <c r="J329" t="s">
        <v>46</v>
      </c>
    </row>
    <row r="330" spans="1:10" x14ac:dyDescent="0.25">
      <c r="A330" s="1">
        <v>30</v>
      </c>
      <c r="B330" t="s">
        <v>28</v>
      </c>
      <c r="C330">
        <v>700</v>
      </c>
      <c r="D330">
        <v>0</v>
      </c>
      <c r="E330" t="s">
        <v>34</v>
      </c>
      <c r="F330" t="s">
        <v>34</v>
      </c>
      <c r="G330" t="str">
        <f>"2026-07-04 21:15:00.630"</f>
        <v>2026-07-04 21:15:00.630</v>
      </c>
      <c r="H330" t="s">
        <v>22</v>
      </c>
    </row>
    <row r="331" spans="1:10" s="3" customFormat="1" x14ac:dyDescent="0.25">
      <c r="A331" s="2">
        <v>31</v>
      </c>
      <c r="B331" s="3" t="s">
        <v>37</v>
      </c>
      <c r="C331" s="3">
        <v>647</v>
      </c>
      <c r="D331" s="3">
        <v>1</v>
      </c>
      <c r="E331" s="3" t="s">
        <v>43</v>
      </c>
      <c r="F331" s="3" t="s">
        <v>44</v>
      </c>
      <c r="G331" s="3" t="str">
        <f>"2026-07-04 19:26:30.144"</f>
        <v>2026-07-04 19:26:30.144</v>
      </c>
      <c r="H331" s="3" t="s">
        <v>22</v>
      </c>
    </row>
    <row r="332" spans="1:10" s="3" customFormat="1" x14ac:dyDescent="0.25">
      <c r="A332" s="2">
        <v>32</v>
      </c>
      <c r="B332" s="3" t="s">
        <v>19</v>
      </c>
      <c r="C332" s="3">
        <v>647</v>
      </c>
      <c r="D332" s="3">
        <v>1</v>
      </c>
      <c r="E332" s="3" t="s">
        <v>43</v>
      </c>
      <c r="F332" s="3" t="s">
        <v>44</v>
      </c>
      <c r="G332" s="3" t="str">
        <f>"2026-07-04 19:26:28.644"</f>
        <v>2026-07-04 19:26:28.644</v>
      </c>
      <c r="H332" s="3" t="s">
        <v>22</v>
      </c>
      <c r="I332" s="3">
        <v>25.5</v>
      </c>
      <c r="J332" s="3" t="s">
        <v>45</v>
      </c>
    </row>
    <row r="333" spans="1:10" x14ac:dyDescent="0.25">
      <c r="A333" s="1">
        <v>33</v>
      </c>
      <c r="B333" t="s">
        <v>28</v>
      </c>
      <c r="C333">
        <v>700</v>
      </c>
      <c r="D333">
        <v>0</v>
      </c>
      <c r="E333" t="s">
        <v>34</v>
      </c>
      <c r="F333" t="s">
        <v>34</v>
      </c>
      <c r="G333" t="str">
        <f>"2026-07-04 14:10:35.592"</f>
        <v>2026-07-04 14:10:35.592</v>
      </c>
      <c r="H333" t="s">
        <v>22</v>
      </c>
    </row>
    <row r="334" spans="1:10" x14ac:dyDescent="0.25">
      <c r="A334" s="1">
        <v>34</v>
      </c>
      <c r="B334" t="s">
        <v>28</v>
      </c>
      <c r="C334">
        <v>700</v>
      </c>
      <c r="D334">
        <v>0</v>
      </c>
      <c r="E334" t="s">
        <v>34</v>
      </c>
      <c r="F334" t="s">
        <v>34</v>
      </c>
      <c r="G334" t="str">
        <f>"2026-07-04 05:24:44.625"</f>
        <v>2026-07-04 05:24:44.625</v>
      </c>
      <c r="H334" t="s">
        <v>22</v>
      </c>
      <c r="I334">
        <v>0</v>
      </c>
      <c r="J334" t="s">
        <v>46</v>
      </c>
    </row>
    <row r="335" spans="1:10" x14ac:dyDescent="0.25">
      <c r="A335" s="1">
        <v>35</v>
      </c>
      <c r="B335" t="s">
        <v>28</v>
      </c>
      <c r="C335">
        <v>700</v>
      </c>
      <c r="D335">
        <v>0</v>
      </c>
      <c r="E335" t="s">
        <v>34</v>
      </c>
      <c r="F335" t="s">
        <v>34</v>
      </c>
      <c r="G335" t="str">
        <f>"2026-07-04 00:55:09.585"</f>
        <v>2026-07-04 00:55:09.585</v>
      </c>
      <c r="H335" t="s">
        <v>22</v>
      </c>
    </row>
    <row r="336" spans="1:10" x14ac:dyDescent="0.25">
      <c r="A336" s="1">
        <v>36</v>
      </c>
      <c r="B336" t="s">
        <v>28</v>
      </c>
      <c r="C336">
        <v>700</v>
      </c>
      <c r="D336">
        <v>0</v>
      </c>
      <c r="E336" t="s">
        <v>34</v>
      </c>
      <c r="F336" t="s">
        <v>34</v>
      </c>
      <c r="G336" t="str">
        <f>"2026-07-03 22:45:33.626"</f>
        <v>2026-07-03 22:45:33.626</v>
      </c>
      <c r="H336" t="s">
        <v>22</v>
      </c>
    </row>
    <row r="337" spans="1:10" s="3" customFormat="1" x14ac:dyDescent="0.25">
      <c r="A337" s="2">
        <v>37</v>
      </c>
      <c r="B337" s="3" t="s">
        <v>37</v>
      </c>
      <c r="C337" s="3">
        <v>647</v>
      </c>
      <c r="D337" s="3">
        <v>1</v>
      </c>
      <c r="E337" s="3" t="s">
        <v>43</v>
      </c>
      <c r="F337" s="3" t="s">
        <v>44</v>
      </c>
      <c r="G337" s="3" t="str">
        <f>"2026-07-03 14:58:17.145"</f>
        <v>2026-07-03 14:58:17.145</v>
      </c>
      <c r="H337" s="3" t="s">
        <v>22</v>
      </c>
    </row>
    <row r="338" spans="1:10" s="3" customFormat="1" x14ac:dyDescent="0.25">
      <c r="A338" s="2">
        <v>38</v>
      </c>
      <c r="B338" s="3" t="s">
        <v>19</v>
      </c>
      <c r="C338" s="3">
        <v>647</v>
      </c>
      <c r="D338" s="3">
        <v>1</v>
      </c>
      <c r="E338" s="3" t="s">
        <v>43</v>
      </c>
      <c r="F338" s="3" t="s">
        <v>44</v>
      </c>
      <c r="G338" s="3" t="str">
        <f>"2026-07-03 14:58:14.245"</f>
        <v>2026-07-03 14:58:14.245</v>
      </c>
      <c r="H338" s="3" t="s">
        <v>22</v>
      </c>
      <c r="I338" s="3">
        <v>10.09</v>
      </c>
      <c r="J338" s="3" t="s">
        <v>45</v>
      </c>
    </row>
    <row r="339" spans="1:10" x14ac:dyDescent="0.25">
      <c r="A339" s="1">
        <v>39</v>
      </c>
      <c r="B339" t="s">
        <v>37</v>
      </c>
      <c r="C339">
        <v>635</v>
      </c>
      <c r="D339">
        <v>1</v>
      </c>
      <c r="E339" t="s">
        <v>53</v>
      </c>
      <c r="F339" t="s">
        <v>48</v>
      </c>
      <c r="G339" t="str">
        <f>"2026-07-03 12:05:56.297"</f>
        <v>2026-07-03 12:05:56.297</v>
      </c>
      <c r="H339" t="s">
        <v>22</v>
      </c>
    </row>
    <row r="340" spans="1:10" x14ac:dyDescent="0.25">
      <c r="A340" s="1">
        <v>40</v>
      </c>
      <c r="B340" t="s">
        <v>19</v>
      </c>
      <c r="C340">
        <v>635</v>
      </c>
      <c r="D340">
        <v>1</v>
      </c>
      <c r="E340" t="s">
        <v>53</v>
      </c>
      <c r="F340" t="s">
        <v>48</v>
      </c>
      <c r="G340" t="str">
        <f>"2026-07-03 12:02:23.297"</f>
        <v>2026-07-03 12:02:23.297</v>
      </c>
      <c r="H340" t="s">
        <v>22</v>
      </c>
      <c r="I340">
        <v>1.31</v>
      </c>
      <c r="J340" t="s">
        <v>45</v>
      </c>
    </row>
    <row r="341" spans="1:10" x14ac:dyDescent="0.25">
      <c r="A341" s="1">
        <v>41</v>
      </c>
      <c r="B341" t="s">
        <v>37</v>
      </c>
      <c r="C341">
        <v>635</v>
      </c>
      <c r="D341">
        <v>1</v>
      </c>
      <c r="E341" t="s">
        <v>53</v>
      </c>
      <c r="F341" t="s">
        <v>48</v>
      </c>
      <c r="G341" t="str">
        <f>"2026-07-03 09:28:05.097"</f>
        <v>2026-07-03 09:28:05.097</v>
      </c>
      <c r="H341" t="s">
        <v>22</v>
      </c>
    </row>
    <row r="342" spans="1:10" x14ac:dyDescent="0.25">
      <c r="A342" s="1">
        <v>42</v>
      </c>
      <c r="B342" t="s">
        <v>19</v>
      </c>
      <c r="C342">
        <v>635</v>
      </c>
      <c r="D342">
        <v>1</v>
      </c>
      <c r="E342" t="s">
        <v>53</v>
      </c>
      <c r="F342" t="s">
        <v>48</v>
      </c>
      <c r="G342" t="str">
        <f>"2026-07-03 09:17:52.098"</f>
        <v>2026-07-03 09:17:52.098</v>
      </c>
      <c r="H342" t="s">
        <v>22</v>
      </c>
      <c r="I342">
        <v>2.85</v>
      </c>
      <c r="J342" t="s">
        <v>54</v>
      </c>
    </row>
    <row r="343" spans="1:10" x14ac:dyDescent="0.25">
      <c r="A343" s="1">
        <v>43</v>
      </c>
      <c r="B343" t="s">
        <v>28</v>
      </c>
      <c r="C343">
        <v>706</v>
      </c>
      <c r="D343">
        <v>4</v>
      </c>
      <c r="E343" t="s">
        <v>35</v>
      </c>
      <c r="F343" t="s">
        <v>36</v>
      </c>
      <c r="G343" t="str">
        <f>"2026-07-03 03:23:50.475"</f>
        <v>2026-07-03 03:23:50.475</v>
      </c>
      <c r="H343" t="s">
        <v>22</v>
      </c>
      <c r="I343">
        <v>0</v>
      </c>
      <c r="J343" t="s">
        <v>23</v>
      </c>
    </row>
    <row r="344" spans="1:10" x14ac:dyDescent="0.25">
      <c r="A344" s="1">
        <v>44</v>
      </c>
      <c r="B344" t="s">
        <v>28</v>
      </c>
      <c r="C344">
        <v>700</v>
      </c>
      <c r="D344">
        <v>0</v>
      </c>
      <c r="E344" t="s">
        <v>34</v>
      </c>
      <c r="F344" t="s">
        <v>34</v>
      </c>
      <c r="G344" t="str">
        <f>"2026-07-03 03:23:22.585"</f>
        <v>2026-07-03 03:23:22.585</v>
      </c>
      <c r="H344" t="s">
        <v>22</v>
      </c>
    </row>
    <row r="345" spans="1:10" x14ac:dyDescent="0.25">
      <c r="A345" s="1">
        <v>45</v>
      </c>
      <c r="B345" t="s">
        <v>28</v>
      </c>
      <c r="C345">
        <v>700</v>
      </c>
      <c r="D345">
        <v>0</v>
      </c>
      <c r="E345" t="s">
        <v>34</v>
      </c>
      <c r="F345" t="s">
        <v>34</v>
      </c>
      <c r="G345" t="str">
        <f>"2026-07-03 00:33:15.622"</f>
        <v>2026-07-03 00:33:15.622</v>
      </c>
      <c r="H345" t="s">
        <v>22</v>
      </c>
      <c r="I345">
        <v>0</v>
      </c>
      <c r="J345" t="s">
        <v>46</v>
      </c>
    </row>
    <row r="346" spans="1:10" x14ac:dyDescent="0.25">
      <c r="A346" s="1">
        <v>46</v>
      </c>
      <c r="B346" t="s">
        <v>37</v>
      </c>
      <c r="C346">
        <v>619</v>
      </c>
      <c r="D346">
        <v>1</v>
      </c>
      <c r="E346" t="s">
        <v>47</v>
      </c>
      <c r="F346" t="s">
        <v>48</v>
      </c>
      <c r="G346" t="str">
        <f>"2026-07-02 06:11:09.301"</f>
        <v>2026-07-02 06:11:09.301</v>
      </c>
      <c r="H346" t="s">
        <v>49</v>
      </c>
    </row>
    <row r="347" spans="1:10" x14ac:dyDescent="0.25">
      <c r="A347" s="1">
        <v>47</v>
      </c>
      <c r="B347" t="s">
        <v>19</v>
      </c>
      <c r="C347">
        <v>619</v>
      </c>
      <c r="D347">
        <v>1</v>
      </c>
      <c r="E347" t="s">
        <v>47</v>
      </c>
      <c r="F347" t="s">
        <v>48</v>
      </c>
      <c r="G347" t="str">
        <f>"2026-07-02 06:09:33.202"</f>
        <v>2026-07-02 06:09:33.202</v>
      </c>
      <c r="H347" t="s">
        <v>49</v>
      </c>
      <c r="I347">
        <v>0</v>
      </c>
      <c r="J347" t="s">
        <v>50</v>
      </c>
    </row>
    <row r="348" spans="1:10" x14ac:dyDescent="0.25">
      <c r="A348" s="1">
        <v>48</v>
      </c>
      <c r="B348" t="s">
        <v>28</v>
      </c>
      <c r="C348">
        <v>700</v>
      </c>
      <c r="D348">
        <v>0</v>
      </c>
      <c r="E348" t="s">
        <v>34</v>
      </c>
      <c r="F348" t="s">
        <v>34</v>
      </c>
      <c r="G348" t="str">
        <f>"2026-07-02 05:09:12.603"</f>
        <v>2026-07-02 05:09:12.603</v>
      </c>
      <c r="H348" t="s">
        <v>22</v>
      </c>
      <c r="I348">
        <v>0</v>
      </c>
      <c r="J348" t="s">
        <v>46</v>
      </c>
    </row>
    <row r="349" spans="1:10" x14ac:dyDescent="0.25">
      <c r="A349" s="1">
        <v>49</v>
      </c>
      <c r="B349" t="s">
        <v>28</v>
      </c>
      <c r="C349">
        <v>700</v>
      </c>
      <c r="D349">
        <v>0</v>
      </c>
      <c r="E349" t="s">
        <v>34</v>
      </c>
      <c r="F349" t="s">
        <v>34</v>
      </c>
      <c r="G349" t="str">
        <f>"2026-07-02 01:35:01.791"</f>
        <v>2026-07-02 01:35:01.791</v>
      </c>
      <c r="H349" t="s">
        <v>22</v>
      </c>
    </row>
    <row r="350" spans="1:10" s="3" customFormat="1" x14ac:dyDescent="0.25">
      <c r="A350" s="2">
        <v>50</v>
      </c>
      <c r="B350" s="3" t="s">
        <v>37</v>
      </c>
      <c r="C350" s="3">
        <v>647</v>
      </c>
      <c r="D350" s="3">
        <v>1</v>
      </c>
      <c r="E350" s="3" t="s">
        <v>43</v>
      </c>
      <c r="F350" s="3" t="s">
        <v>44</v>
      </c>
      <c r="G350" s="3" t="str">
        <f>"2026-07-01 23:44:28.511"</f>
        <v>2026-07-01 23:44:28.511</v>
      </c>
      <c r="H350" s="3" t="s">
        <v>22</v>
      </c>
    </row>
    <row r="351" spans="1:10" s="3" customFormat="1" x14ac:dyDescent="0.25">
      <c r="A351" s="2">
        <v>51</v>
      </c>
      <c r="B351" s="3" t="s">
        <v>19</v>
      </c>
      <c r="C351" s="3">
        <v>647</v>
      </c>
      <c r="D351" s="3">
        <v>1</v>
      </c>
      <c r="E351" s="3" t="s">
        <v>43</v>
      </c>
      <c r="F351" s="3" t="s">
        <v>44</v>
      </c>
      <c r="G351" s="3" t="str">
        <f>"2026-07-01 23:44:25.812"</f>
        <v>2026-07-01 23:44:25.812</v>
      </c>
      <c r="H351" s="3" t="s">
        <v>22</v>
      </c>
      <c r="I351" s="3">
        <v>13.38</v>
      </c>
      <c r="J351" s="3" t="s">
        <v>45</v>
      </c>
    </row>
    <row r="352" spans="1:10" x14ac:dyDescent="0.25">
      <c r="A352" s="1">
        <v>52</v>
      </c>
      <c r="B352" t="s">
        <v>28</v>
      </c>
      <c r="C352">
        <v>700</v>
      </c>
      <c r="D352">
        <v>0</v>
      </c>
      <c r="E352" t="s">
        <v>34</v>
      </c>
      <c r="F352" t="s">
        <v>34</v>
      </c>
      <c r="G352" t="str">
        <f>"2026-07-01 20:23:45.614"</f>
        <v>2026-07-01 20:23:45.614</v>
      </c>
      <c r="H352" t="s">
        <v>22</v>
      </c>
    </row>
    <row r="353" spans="1:10" s="3" customFormat="1" x14ac:dyDescent="0.25">
      <c r="A353" s="2">
        <v>53</v>
      </c>
      <c r="B353" s="3" t="s">
        <v>37</v>
      </c>
      <c r="C353" s="3">
        <v>647</v>
      </c>
      <c r="D353" s="3">
        <v>1</v>
      </c>
      <c r="E353" s="3" t="s">
        <v>43</v>
      </c>
      <c r="F353" s="3" t="s">
        <v>44</v>
      </c>
      <c r="G353" s="3" t="str">
        <f>"2026-07-01 18:44:19.679"</f>
        <v>2026-07-01 18:44:19.679</v>
      </c>
      <c r="H353" s="3" t="s">
        <v>22</v>
      </c>
    </row>
    <row r="354" spans="1:10" s="3" customFormat="1" x14ac:dyDescent="0.25">
      <c r="A354" s="2">
        <v>54</v>
      </c>
      <c r="B354" s="3" t="s">
        <v>19</v>
      </c>
      <c r="C354" s="3">
        <v>647</v>
      </c>
      <c r="D354" s="3">
        <v>1</v>
      </c>
      <c r="E354" s="3" t="s">
        <v>43</v>
      </c>
      <c r="F354" s="3" t="s">
        <v>44</v>
      </c>
      <c r="G354" s="3" t="str">
        <f>"2026-07-01 18:44:17.079"</f>
        <v>2026-07-01 18:44:17.079</v>
      </c>
      <c r="H354" s="3" t="s">
        <v>22</v>
      </c>
      <c r="I354" s="3">
        <v>9.27</v>
      </c>
      <c r="J354" s="3" t="s">
        <v>50</v>
      </c>
    </row>
    <row r="355" spans="1:10" x14ac:dyDescent="0.25">
      <c r="A355" s="1">
        <v>55</v>
      </c>
      <c r="B355" t="s">
        <v>28</v>
      </c>
      <c r="C355">
        <v>700</v>
      </c>
      <c r="D355">
        <v>0</v>
      </c>
      <c r="E355" t="s">
        <v>34</v>
      </c>
      <c r="F355" t="s">
        <v>34</v>
      </c>
      <c r="G355" t="str">
        <f>"2026-07-01 13:14:36.577"</f>
        <v>2026-07-01 13:14:36.577</v>
      </c>
      <c r="H355" t="s">
        <v>22</v>
      </c>
    </row>
    <row r="356" spans="1:10" x14ac:dyDescent="0.25">
      <c r="A356" s="1">
        <v>56</v>
      </c>
      <c r="B356" t="s">
        <v>37</v>
      </c>
      <c r="C356">
        <v>635</v>
      </c>
      <c r="D356">
        <v>1</v>
      </c>
      <c r="E356" t="s">
        <v>53</v>
      </c>
      <c r="F356" t="s">
        <v>48</v>
      </c>
      <c r="G356" t="str">
        <f>"2026-07-01 05:01:35.869"</f>
        <v>2026-07-01 05:01:35.869</v>
      </c>
      <c r="H356" t="s">
        <v>22</v>
      </c>
    </row>
    <row r="357" spans="1:10" x14ac:dyDescent="0.25">
      <c r="A357" s="1">
        <v>57</v>
      </c>
      <c r="B357" t="s">
        <v>19</v>
      </c>
      <c r="C357">
        <v>635</v>
      </c>
      <c r="D357">
        <v>1</v>
      </c>
      <c r="E357" t="s">
        <v>53</v>
      </c>
      <c r="F357" t="s">
        <v>48</v>
      </c>
      <c r="G357" t="str">
        <f>"2026-07-01 04:55:50.870"</f>
        <v>2026-07-01 04:55:50.870</v>
      </c>
      <c r="H357" t="s">
        <v>22</v>
      </c>
      <c r="I357">
        <v>5.4</v>
      </c>
      <c r="J357" t="s">
        <v>54</v>
      </c>
    </row>
    <row r="358" spans="1:10" x14ac:dyDescent="0.25">
      <c r="A358" s="1">
        <v>58</v>
      </c>
      <c r="B358" t="s">
        <v>28</v>
      </c>
      <c r="C358">
        <v>700</v>
      </c>
      <c r="D358">
        <v>0</v>
      </c>
      <c r="E358" t="s">
        <v>34</v>
      </c>
      <c r="F358" t="s">
        <v>34</v>
      </c>
      <c r="G358" t="str">
        <f>"2026-07-01 04:38:33.569"</f>
        <v>2026-07-01 04:38:33.569</v>
      </c>
      <c r="H358" t="s">
        <v>22</v>
      </c>
    </row>
    <row r="359" spans="1:10" x14ac:dyDescent="0.25">
      <c r="A359" s="1">
        <v>59</v>
      </c>
      <c r="B359" t="s">
        <v>28</v>
      </c>
      <c r="C359">
        <v>700</v>
      </c>
      <c r="D359">
        <v>0</v>
      </c>
      <c r="E359" t="s">
        <v>34</v>
      </c>
      <c r="F359" t="s">
        <v>34</v>
      </c>
      <c r="G359" t="str">
        <f>"2026-07-01 01:46:26.661"</f>
        <v>2026-07-01 01:46:26.661</v>
      </c>
      <c r="H359" t="s">
        <v>22</v>
      </c>
      <c r="I359">
        <v>0</v>
      </c>
      <c r="J359" t="s">
        <v>46</v>
      </c>
    </row>
    <row r="360" spans="1:10" x14ac:dyDescent="0.25">
      <c r="A360" s="1">
        <v>60</v>
      </c>
      <c r="B360" t="s">
        <v>28</v>
      </c>
      <c r="C360">
        <v>706</v>
      </c>
      <c r="D360">
        <v>4</v>
      </c>
      <c r="E360" t="s">
        <v>35</v>
      </c>
      <c r="F360" t="s">
        <v>36</v>
      </c>
      <c r="G360" t="str">
        <f>"2026-07-01 01:20:20.825"</f>
        <v>2026-07-01 01:20:20.825</v>
      </c>
      <c r="H360" t="s">
        <v>22</v>
      </c>
      <c r="I360">
        <v>0</v>
      </c>
      <c r="J360" t="s">
        <v>23</v>
      </c>
    </row>
    <row r="361" spans="1:10" x14ac:dyDescent="0.25">
      <c r="A361" s="1">
        <v>61</v>
      </c>
      <c r="B361" t="s">
        <v>28</v>
      </c>
      <c r="C361">
        <v>700</v>
      </c>
      <c r="D361">
        <v>0</v>
      </c>
      <c r="E361" t="s">
        <v>34</v>
      </c>
      <c r="F361" t="s">
        <v>34</v>
      </c>
      <c r="G361" t="str">
        <f>"2026-06-30 23:43:49.625"</f>
        <v>2026-06-30 23:43:49.625</v>
      </c>
      <c r="H361" t="s">
        <v>22</v>
      </c>
      <c r="I361">
        <v>0</v>
      </c>
      <c r="J361" t="s">
        <v>46</v>
      </c>
    </row>
    <row r="362" spans="1:10" x14ac:dyDescent="0.25">
      <c r="A362" s="1">
        <v>62</v>
      </c>
      <c r="B362" t="s">
        <v>37</v>
      </c>
      <c r="C362">
        <v>635</v>
      </c>
      <c r="D362">
        <v>1</v>
      </c>
      <c r="E362" t="s">
        <v>53</v>
      </c>
      <c r="F362" t="s">
        <v>48</v>
      </c>
      <c r="G362" t="str">
        <f>"2026-06-30 22:59:16.724"</f>
        <v>2026-06-30 22:59:16.724</v>
      </c>
      <c r="H362" t="s">
        <v>22</v>
      </c>
    </row>
    <row r="363" spans="1:10" x14ac:dyDescent="0.25">
      <c r="A363" s="1">
        <v>63</v>
      </c>
      <c r="B363" t="s">
        <v>19</v>
      </c>
      <c r="C363">
        <v>635</v>
      </c>
      <c r="D363">
        <v>1</v>
      </c>
      <c r="E363" t="s">
        <v>53</v>
      </c>
      <c r="F363" t="s">
        <v>48</v>
      </c>
      <c r="G363" t="str">
        <f>"2026-06-30 22:56:36.724"</f>
        <v>2026-06-30 22:56:36.724</v>
      </c>
      <c r="H363" t="s">
        <v>22</v>
      </c>
      <c r="I363">
        <v>6.76</v>
      </c>
      <c r="J363" t="s">
        <v>54</v>
      </c>
    </row>
    <row r="364" spans="1:10" x14ac:dyDescent="0.25">
      <c r="A364" s="1">
        <v>64</v>
      </c>
      <c r="B364" t="s">
        <v>28</v>
      </c>
      <c r="C364">
        <v>700</v>
      </c>
      <c r="D364">
        <v>0</v>
      </c>
      <c r="E364" t="s">
        <v>34</v>
      </c>
      <c r="F364" t="s">
        <v>34</v>
      </c>
      <c r="G364" t="str">
        <f>"2026-06-30 14:10:29.573"</f>
        <v>2026-06-30 14:10:29.573</v>
      </c>
      <c r="H364" t="s">
        <v>22</v>
      </c>
    </row>
    <row r="365" spans="1:10" s="3" customFormat="1" x14ac:dyDescent="0.25">
      <c r="A365" s="2">
        <v>65</v>
      </c>
      <c r="B365" s="3" t="s">
        <v>37</v>
      </c>
      <c r="C365" s="3">
        <v>647</v>
      </c>
      <c r="D365" s="3">
        <v>1</v>
      </c>
      <c r="E365" s="3" t="s">
        <v>43</v>
      </c>
      <c r="F365" s="3" t="s">
        <v>44</v>
      </c>
      <c r="G365" s="3" t="str">
        <f>"2026-06-30 12:40:16.411"</f>
        <v>2026-06-30 12:40:16.411</v>
      </c>
      <c r="H365" s="3" t="s">
        <v>22</v>
      </c>
    </row>
    <row r="366" spans="1:10" s="3" customFormat="1" x14ac:dyDescent="0.25">
      <c r="A366" s="2">
        <v>66</v>
      </c>
      <c r="B366" s="3" t="s">
        <v>19</v>
      </c>
      <c r="C366" s="3">
        <v>647</v>
      </c>
      <c r="D366" s="3">
        <v>1</v>
      </c>
      <c r="E366" s="3" t="s">
        <v>43</v>
      </c>
      <c r="F366" s="3" t="s">
        <v>44</v>
      </c>
      <c r="G366" s="3" t="str">
        <f>"2026-06-30 12:40:14.811"</f>
        <v>2026-06-30 12:40:14.811</v>
      </c>
      <c r="H366" s="3" t="s">
        <v>22</v>
      </c>
      <c r="I366" s="3">
        <v>24.11</v>
      </c>
      <c r="J366" s="3" t="s">
        <v>45</v>
      </c>
    </row>
    <row r="367" spans="1:10" s="3" customFormat="1" x14ac:dyDescent="0.25">
      <c r="A367" s="2">
        <v>67</v>
      </c>
      <c r="B367" s="3" t="s">
        <v>37</v>
      </c>
      <c r="C367" s="3">
        <v>647</v>
      </c>
      <c r="D367" s="3">
        <v>1</v>
      </c>
      <c r="E367" s="3" t="s">
        <v>43</v>
      </c>
      <c r="F367" s="3" t="s">
        <v>44</v>
      </c>
      <c r="G367" s="3" t="str">
        <f>"2026-06-30 10:53:03.111"</f>
        <v>2026-06-30 10:53:03.111</v>
      </c>
      <c r="H367" s="3" t="s">
        <v>22</v>
      </c>
    </row>
    <row r="368" spans="1:10" s="3" customFormat="1" x14ac:dyDescent="0.25">
      <c r="A368" s="2">
        <v>68</v>
      </c>
      <c r="B368" s="3" t="s">
        <v>19</v>
      </c>
      <c r="C368" s="3">
        <v>647</v>
      </c>
      <c r="D368" s="3">
        <v>1</v>
      </c>
      <c r="E368" s="3" t="s">
        <v>43</v>
      </c>
      <c r="F368" s="3" t="s">
        <v>44</v>
      </c>
      <c r="G368" s="3" t="str">
        <f>"2026-06-30 10:53:01.811"</f>
        <v>2026-06-30 10:53:01.811</v>
      </c>
      <c r="H368" s="3" t="s">
        <v>22</v>
      </c>
      <c r="I368" s="3">
        <v>28.73</v>
      </c>
      <c r="J368" s="3" t="s">
        <v>45</v>
      </c>
    </row>
    <row r="369" spans="1:10" x14ac:dyDescent="0.25">
      <c r="A369" s="1">
        <v>69</v>
      </c>
      <c r="B369" t="s">
        <v>28</v>
      </c>
      <c r="C369">
        <v>700</v>
      </c>
      <c r="D369">
        <v>0</v>
      </c>
      <c r="E369" t="s">
        <v>34</v>
      </c>
      <c r="F369" t="s">
        <v>34</v>
      </c>
      <c r="G369" t="str">
        <f>"2026-06-30 06:00:03.617"</f>
        <v>2026-06-30 06:00:03.617</v>
      </c>
      <c r="H369" t="s">
        <v>22</v>
      </c>
    </row>
    <row r="370" spans="1:10" x14ac:dyDescent="0.25">
      <c r="A370" s="1">
        <v>70</v>
      </c>
      <c r="B370" t="s">
        <v>28</v>
      </c>
      <c r="C370">
        <v>700</v>
      </c>
      <c r="D370">
        <v>0</v>
      </c>
      <c r="E370" t="s">
        <v>34</v>
      </c>
      <c r="F370" t="s">
        <v>34</v>
      </c>
      <c r="G370" t="str">
        <f>"2026-06-30 01:30:04.577"</f>
        <v>2026-06-30 01:30:04.577</v>
      </c>
      <c r="H370" t="s">
        <v>22</v>
      </c>
    </row>
    <row r="371" spans="1:10" x14ac:dyDescent="0.25">
      <c r="A371" s="1">
        <v>71</v>
      </c>
      <c r="B371" t="s">
        <v>28</v>
      </c>
      <c r="C371">
        <v>706</v>
      </c>
      <c r="D371">
        <v>4</v>
      </c>
      <c r="E371" t="s">
        <v>35</v>
      </c>
      <c r="F371" t="s">
        <v>36</v>
      </c>
      <c r="G371" t="str">
        <f>"2026-06-30 00:08:47.665"</f>
        <v>2026-06-30 00:08:47.665</v>
      </c>
      <c r="H371" t="s">
        <v>22</v>
      </c>
      <c r="I371">
        <v>0</v>
      </c>
      <c r="J371" t="s">
        <v>23</v>
      </c>
    </row>
    <row r="372" spans="1:10" x14ac:dyDescent="0.25">
      <c r="A372" s="1">
        <v>72</v>
      </c>
      <c r="B372" t="s">
        <v>28</v>
      </c>
      <c r="C372">
        <v>700</v>
      </c>
      <c r="D372">
        <v>0</v>
      </c>
      <c r="E372" t="s">
        <v>34</v>
      </c>
      <c r="F372" t="s">
        <v>34</v>
      </c>
      <c r="G372" t="str">
        <f>"2026-06-30 00:08:29.615"</f>
        <v>2026-06-30 00:08:29.615</v>
      </c>
      <c r="H372" t="s">
        <v>22</v>
      </c>
    </row>
    <row r="373" spans="1:10" x14ac:dyDescent="0.25">
      <c r="A373" s="1">
        <v>73</v>
      </c>
      <c r="B373" t="s">
        <v>55</v>
      </c>
      <c r="C373">
        <v>47</v>
      </c>
      <c r="D373">
        <v>2</v>
      </c>
      <c r="E373" t="s">
        <v>66</v>
      </c>
      <c r="F373" t="s">
        <v>67</v>
      </c>
      <c r="G373" t="str">
        <f>"2026-06-29 23:50:25.488"</f>
        <v>2026-06-29 23:50:25.488</v>
      </c>
      <c r="H373" t="s">
        <v>68</v>
      </c>
    </row>
    <row r="374" spans="1:10" x14ac:dyDescent="0.25">
      <c r="A374" s="1">
        <v>74</v>
      </c>
      <c r="B374" t="s">
        <v>60</v>
      </c>
      <c r="C374">
        <v>47</v>
      </c>
      <c r="D374">
        <v>2</v>
      </c>
      <c r="E374" t="s">
        <v>66</v>
      </c>
      <c r="F374" t="s">
        <v>67</v>
      </c>
      <c r="G374" t="str">
        <f>"2026-06-29 23:50:22.689"</f>
        <v>2026-06-29 23:50:22.689</v>
      </c>
      <c r="H374" t="s">
        <v>68</v>
      </c>
      <c r="I374">
        <v>0</v>
      </c>
      <c r="J374" t="s">
        <v>23</v>
      </c>
    </row>
    <row r="375" spans="1:10" x14ac:dyDescent="0.25">
      <c r="A375" s="1">
        <v>75</v>
      </c>
      <c r="B375" t="s">
        <v>28</v>
      </c>
      <c r="C375">
        <v>706</v>
      </c>
      <c r="D375">
        <v>4</v>
      </c>
      <c r="E375" t="s">
        <v>35</v>
      </c>
      <c r="F375" t="s">
        <v>36</v>
      </c>
      <c r="G375" t="str">
        <f>"2026-06-29 23:50:17.867"</f>
        <v>2026-06-29 23:50:17.867</v>
      </c>
      <c r="H375" t="s">
        <v>22</v>
      </c>
      <c r="I375">
        <v>0</v>
      </c>
      <c r="J375" t="s">
        <v>23</v>
      </c>
    </row>
    <row r="376" spans="1:10" x14ac:dyDescent="0.25">
      <c r="A376" s="1">
        <v>76</v>
      </c>
      <c r="B376" t="s">
        <v>28</v>
      </c>
      <c r="C376">
        <v>700</v>
      </c>
      <c r="D376">
        <v>0</v>
      </c>
      <c r="E376" t="s">
        <v>34</v>
      </c>
      <c r="F376" t="s">
        <v>34</v>
      </c>
      <c r="G376" t="str">
        <f>"2026-06-29 23:44:28.577"</f>
        <v>2026-06-29 23:44:28.577</v>
      </c>
      <c r="H376" t="s">
        <v>22</v>
      </c>
    </row>
    <row r="377" spans="1:10" x14ac:dyDescent="0.25">
      <c r="A377" s="1">
        <v>77</v>
      </c>
      <c r="B377" t="s">
        <v>28</v>
      </c>
      <c r="C377">
        <v>700</v>
      </c>
      <c r="D377">
        <v>0</v>
      </c>
      <c r="E377" t="s">
        <v>34</v>
      </c>
      <c r="F377" t="s">
        <v>34</v>
      </c>
      <c r="G377" t="str">
        <f>"2026-06-29 22:23:33.597"</f>
        <v>2026-06-29 22:23:33.597</v>
      </c>
      <c r="H377" t="s">
        <v>22</v>
      </c>
    </row>
    <row r="378" spans="1:10" x14ac:dyDescent="0.25">
      <c r="A378" s="1">
        <v>78</v>
      </c>
      <c r="B378" t="s">
        <v>28</v>
      </c>
      <c r="C378">
        <v>700</v>
      </c>
      <c r="D378">
        <v>0</v>
      </c>
      <c r="E378" t="s">
        <v>34</v>
      </c>
      <c r="F378" t="s">
        <v>34</v>
      </c>
      <c r="G378" t="str">
        <f>"2026-06-29 19:59:37.579"</f>
        <v>2026-06-29 19:59:37.579</v>
      </c>
      <c r="H378" t="s">
        <v>22</v>
      </c>
    </row>
    <row r="379" spans="1:10" s="3" customFormat="1" x14ac:dyDescent="0.25">
      <c r="A379" s="2">
        <v>79</v>
      </c>
      <c r="B379" s="3" t="s">
        <v>37</v>
      </c>
      <c r="C379" s="3">
        <v>647</v>
      </c>
      <c r="D379" s="3">
        <v>1</v>
      </c>
      <c r="E379" s="3" t="s">
        <v>43</v>
      </c>
      <c r="F379" s="3" t="s">
        <v>44</v>
      </c>
      <c r="G379" s="3" t="str">
        <f>"2026-06-29 18:06:43.617"</f>
        <v>2026-06-29 18:06:43.617</v>
      </c>
      <c r="H379" s="3" t="s">
        <v>22</v>
      </c>
    </row>
    <row r="380" spans="1:10" s="3" customFormat="1" x14ac:dyDescent="0.25">
      <c r="A380" s="2">
        <v>80</v>
      </c>
      <c r="B380" s="3" t="s">
        <v>19</v>
      </c>
      <c r="C380" s="3">
        <v>647</v>
      </c>
      <c r="D380" s="3">
        <v>1</v>
      </c>
      <c r="E380" s="3" t="s">
        <v>43</v>
      </c>
      <c r="F380" s="3" t="s">
        <v>44</v>
      </c>
      <c r="G380" s="3" t="str">
        <f>"2026-06-29 18:06:41.715"</f>
        <v>2026-06-29 18:06:41.715</v>
      </c>
      <c r="H380" s="3" t="s">
        <v>22</v>
      </c>
      <c r="I380" s="3">
        <v>9.1199999999999992</v>
      </c>
      <c r="J380" s="3" t="s">
        <v>45</v>
      </c>
    </row>
    <row r="381" spans="1:10" x14ac:dyDescent="0.25">
      <c r="A381" s="1">
        <v>81</v>
      </c>
      <c r="B381" t="s">
        <v>28</v>
      </c>
      <c r="C381">
        <v>700</v>
      </c>
      <c r="D381">
        <v>0</v>
      </c>
      <c r="E381" t="s">
        <v>34</v>
      </c>
      <c r="F381" t="s">
        <v>34</v>
      </c>
      <c r="G381" t="str">
        <f>"2026-06-29 05:05:01.613"</f>
        <v>2026-06-29 05:05:01.613</v>
      </c>
      <c r="H381" t="s">
        <v>22</v>
      </c>
      <c r="I381">
        <v>0</v>
      </c>
      <c r="J381" t="s">
        <v>46</v>
      </c>
    </row>
    <row r="382" spans="1:10" x14ac:dyDescent="0.25">
      <c r="A382" s="1">
        <v>82</v>
      </c>
      <c r="B382" t="s">
        <v>28</v>
      </c>
      <c r="C382">
        <v>700</v>
      </c>
      <c r="D382">
        <v>0</v>
      </c>
      <c r="E382" t="s">
        <v>34</v>
      </c>
      <c r="F382" t="s">
        <v>34</v>
      </c>
      <c r="G382" t="str">
        <f>"2026-06-29 00:30:44.704"</f>
        <v>2026-06-29 00:30:44.704</v>
      </c>
      <c r="H382" t="s">
        <v>22</v>
      </c>
    </row>
    <row r="383" spans="1:10" x14ac:dyDescent="0.25">
      <c r="A383" s="1">
        <v>83</v>
      </c>
      <c r="B383" t="s">
        <v>37</v>
      </c>
      <c r="C383">
        <v>61</v>
      </c>
      <c r="D383">
        <v>2</v>
      </c>
      <c r="E383" t="s">
        <v>69</v>
      </c>
      <c r="F383" t="s">
        <v>70</v>
      </c>
      <c r="G383" t="str">
        <f>"2026-06-28 19:24:32.507"</f>
        <v>2026-06-28 19:24:32.507</v>
      </c>
      <c r="H383" t="s">
        <v>22</v>
      </c>
    </row>
    <row r="384" spans="1:10" x14ac:dyDescent="0.25">
      <c r="A384" s="1">
        <v>84</v>
      </c>
      <c r="B384" t="s">
        <v>60</v>
      </c>
      <c r="C384">
        <v>61</v>
      </c>
      <c r="D384">
        <v>2</v>
      </c>
      <c r="E384" t="s">
        <v>69</v>
      </c>
      <c r="F384" t="s">
        <v>70</v>
      </c>
      <c r="G384" t="str">
        <f>"2026-06-28 19:24:19.307"</f>
        <v>2026-06-28 19:24:19.307</v>
      </c>
      <c r="H384" t="s">
        <v>22</v>
      </c>
      <c r="I384">
        <v>35.299999999999997</v>
      </c>
      <c r="J384" t="s">
        <v>45</v>
      </c>
    </row>
    <row r="385" spans="1:10" x14ac:dyDescent="0.25">
      <c r="A385" s="1">
        <v>85</v>
      </c>
      <c r="B385" t="s">
        <v>28</v>
      </c>
      <c r="C385">
        <v>700</v>
      </c>
      <c r="D385">
        <v>0</v>
      </c>
      <c r="E385" t="s">
        <v>34</v>
      </c>
      <c r="F385" t="s">
        <v>34</v>
      </c>
      <c r="G385" t="str">
        <f>"2026-06-28 13:37:21.605"</f>
        <v>2026-06-28 13:37:21.605</v>
      </c>
      <c r="H385" t="s">
        <v>22</v>
      </c>
      <c r="I385">
        <v>0</v>
      </c>
      <c r="J385" t="s">
        <v>46</v>
      </c>
    </row>
    <row r="386" spans="1:10" s="3" customFormat="1" x14ac:dyDescent="0.25">
      <c r="A386" s="2">
        <v>86</v>
      </c>
      <c r="B386" s="3" t="s">
        <v>37</v>
      </c>
      <c r="C386" s="3">
        <v>647</v>
      </c>
      <c r="D386" s="3">
        <v>1</v>
      </c>
      <c r="E386" s="3" t="s">
        <v>43</v>
      </c>
      <c r="F386" s="3" t="s">
        <v>44</v>
      </c>
      <c r="G386" s="3" t="str">
        <f>"2026-06-28 05:13:32.400"</f>
        <v>2026-06-28 05:13:32.400</v>
      </c>
      <c r="H386" s="3" t="s">
        <v>22</v>
      </c>
    </row>
    <row r="387" spans="1:10" s="3" customFormat="1" x14ac:dyDescent="0.25">
      <c r="A387" s="2">
        <v>87</v>
      </c>
      <c r="B387" s="3" t="s">
        <v>19</v>
      </c>
      <c r="C387" s="3">
        <v>647</v>
      </c>
      <c r="D387" s="3">
        <v>1</v>
      </c>
      <c r="E387" s="3" t="s">
        <v>43</v>
      </c>
      <c r="F387" s="3" t="s">
        <v>44</v>
      </c>
      <c r="G387" s="3" t="str">
        <f>"2026-06-28 05:13:28.700"</f>
        <v>2026-06-28 05:13:28.700</v>
      </c>
      <c r="H387" s="3" t="s">
        <v>22</v>
      </c>
      <c r="I387" s="3">
        <v>15.8</v>
      </c>
      <c r="J387" s="3" t="s">
        <v>45</v>
      </c>
    </row>
    <row r="388" spans="1:10" s="3" customFormat="1" x14ac:dyDescent="0.25">
      <c r="A388" s="2">
        <v>88</v>
      </c>
      <c r="B388" s="3" t="s">
        <v>37</v>
      </c>
      <c r="C388" s="3">
        <v>647</v>
      </c>
      <c r="D388" s="3">
        <v>1</v>
      </c>
      <c r="E388" s="3" t="s">
        <v>43</v>
      </c>
      <c r="F388" s="3" t="s">
        <v>44</v>
      </c>
      <c r="G388" s="3" t="str">
        <f>"2026-06-28 05:13:23.800"</f>
        <v>2026-06-28 05:13:23.800</v>
      </c>
      <c r="H388" s="3" t="s">
        <v>22</v>
      </c>
    </row>
    <row r="389" spans="1:10" s="3" customFormat="1" x14ac:dyDescent="0.25">
      <c r="A389" s="2">
        <v>89</v>
      </c>
      <c r="B389" s="3" t="s">
        <v>19</v>
      </c>
      <c r="C389" s="3">
        <v>647</v>
      </c>
      <c r="D389" s="3">
        <v>1</v>
      </c>
      <c r="E389" s="3" t="s">
        <v>43</v>
      </c>
      <c r="F389" s="3" t="s">
        <v>44</v>
      </c>
      <c r="G389" s="3" t="str">
        <f>"2026-06-28 05:13:22.700"</f>
        <v>2026-06-28 05:13:22.700</v>
      </c>
      <c r="H389" s="3" t="s">
        <v>22</v>
      </c>
      <c r="I389" s="3">
        <v>16.079999999999998</v>
      </c>
      <c r="J389" s="3" t="s">
        <v>45</v>
      </c>
    </row>
    <row r="390" spans="1:10" s="3" customFormat="1" x14ac:dyDescent="0.25">
      <c r="A390" s="2">
        <v>90</v>
      </c>
      <c r="B390" s="3" t="s">
        <v>37</v>
      </c>
      <c r="C390" s="3">
        <v>647</v>
      </c>
      <c r="D390" s="3">
        <v>1</v>
      </c>
      <c r="E390" s="3" t="s">
        <v>43</v>
      </c>
      <c r="F390" s="3" t="s">
        <v>44</v>
      </c>
      <c r="G390" s="3" t="str">
        <f>"2026-06-28 04:09:13.300"</f>
        <v>2026-06-28 04:09:13.300</v>
      </c>
      <c r="H390" s="3" t="s">
        <v>22</v>
      </c>
    </row>
    <row r="391" spans="1:10" s="3" customFormat="1" x14ac:dyDescent="0.25">
      <c r="A391" s="2">
        <v>91</v>
      </c>
      <c r="B391" s="3" t="s">
        <v>19</v>
      </c>
      <c r="C391" s="3">
        <v>647</v>
      </c>
      <c r="D391" s="3">
        <v>1</v>
      </c>
      <c r="E391" s="3" t="s">
        <v>43</v>
      </c>
      <c r="F391" s="3" t="s">
        <v>44</v>
      </c>
      <c r="G391" s="3" t="str">
        <f>"2026-06-28 04:09:10.000"</f>
        <v>2026-06-28 04:09:10.000</v>
      </c>
      <c r="H391" s="3" t="s">
        <v>22</v>
      </c>
      <c r="I391" s="3">
        <v>12.8</v>
      </c>
      <c r="J391" s="3" t="s">
        <v>45</v>
      </c>
    </row>
    <row r="392" spans="1:10" s="3" customFormat="1" x14ac:dyDescent="0.25">
      <c r="A392" s="2">
        <v>92</v>
      </c>
      <c r="B392" s="3" t="s">
        <v>37</v>
      </c>
      <c r="C392" s="3">
        <v>647</v>
      </c>
      <c r="D392" s="3">
        <v>1</v>
      </c>
      <c r="E392" s="3" t="s">
        <v>43</v>
      </c>
      <c r="F392" s="3" t="s">
        <v>44</v>
      </c>
      <c r="G392" s="3" t="str">
        <f>"2026-06-28 04:08:10.500"</f>
        <v>2026-06-28 04:08:10.500</v>
      </c>
      <c r="H392" s="3" t="s">
        <v>22</v>
      </c>
    </row>
    <row r="393" spans="1:10" s="3" customFormat="1" x14ac:dyDescent="0.25">
      <c r="A393" s="2">
        <v>93</v>
      </c>
      <c r="B393" s="3" t="s">
        <v>19</v>
      </c>
      <c r="C393" s="3">
        <v>647</v>
      </c>
      <c r="D393" s="3">
        <v>1</v>
      </c>
      <c r="E393" s="3" t="s">
        <v>43</v>
      </c>
      <c r="F393" s="3" t="s">
        <v>44</v>
      </c>
      <c r="G393" s="3" t="str">
        <f>"2026-06-28 04:08:08.200"</f>
        <v>2026-06-28 04:08:08.200</v>
      </c>
      <c r="H393" s="3" t="s">
        <v>22</v>
      </c>
      <c r="I393" s="3">
        <v>11.5</v>
      </c>
      <c r="J393" s="3" t="s">
        <v>45</v>
      </c>
    </row>
    <row r="394" spans="1:10" s="3" customFormat="1" x14ac:dyDescent="0.25">
      <c r="A394" s="2">
        <v>94</v>
      </c>
      <c r="B394" s="3" t="s">
        <v>37</v>
      </c>
      <c r="C394" s="3">
        <v>647</v>
      </c>
      <c r="D394" s="3">
        <v>1</v>
      </c>
      <c r="E394" s="3" t="s">
        <v>43</v>
      </c>
      <c r="F394" s="3" t="s">
        <v>44</v>
      </c>
      <c r="G394" s="3" t="str">
        <f>"2026-06-28 04:08:01.700"</f>
        <v>2026-06-28 04:08:01.700</v>
      </c>
      <c r="H394" s="3" t="s">
        <v>22</v>
      </c>
    </row>
    <row r="395" spans="1:10" s="3" customFormat="1" x14ac:dyDescent="0.25">
      <c r="A395" s="2">
        <v>95</v>
      </c>
      <c r="B395" s="3" t="s">
        <v>19</v>
      </c>
      <c r="C395" s="3">
        <v>647</v>
      </c>
      <c r="D395" s="3">
        <v>1</v>
      </c>
      <c r="E395" s="3" t="s">
        <v>43</v>
      </c>
      <c r="F395" s="3" t="s">
        <v>44</v>
      </c>
      <c r="G395" s="3" t="str">
        <f>"2026-06-28 04:07:58.200"</f>
        <v>2026-06-28 04:07:58.200</v>
      </c>
      <c r="H395" s="3" t="s">
        <v>22</v>
      </c>
      <c r="I395" s="3">
        <v>10.96</v>
      </c>
      <c r="J395" s="3" t="s">
        <v>45</v>
      </c>
    </row>
    <row r="396" spans="1:10" s="3" customFormat="1" x14ac:dyDescent="0.25">
      <c r="A396" s="2">
        <v>96</v>
      </c>
      <c r="B396" s="3" t="s">
        <v>37</v>
      </c>
      <c r="C396" s="3">
        <v>647</v>
      </c>
      <c r="D396" s="3">
        <v>1</v>
      </c>
      <c r="E396" s="3" t="s">
        <v>43</v>
      </c>
      <c r="F396" s="3" t="s">
        <v>44</v>
      </c>
      <c r="G396" s="3" t="str">
        <f>"2026-06-28 04:07:32.100"</f>
        <v>2026-06-28 04:07:32.100</v>
      </c>
      <c r="H396" s="3" t="s">
        <v>22</v>
      </c>
    </row>
    <row r="397" spans="1:10" s="3" customFormat="1" x14ac:dyDescent="0.25">
      <c r="A397" s="2">
        <v>97</v>
      </c>
      <c r="B397" s="3" t="s">
        <v>19</v>
      </c>
      <c r="C397" s="3">
        <v>647</v>
      </c>
      <c r="D397" s="3">
        <v>1</v>
      </c>
      <c r="E397" s="3" t="s">
        <v>43</v>
      </c>
      <c r="F397" s="3" t="s">
        <v>44</v>
      </c>
      <c r="G397" s="3" t="str">
        <f>"2026-06-28 04:07:26.000"</f>
        <v>2026-06-28 04:07:26.000</v>
      </c>
      <c r="H397" s="3" t="s">
        <v>22</v>
      </c>
      <c r="I397" s="3">
        <v>11.28</v>
      </c>
      <c r="J397" s="3" t="s">
        <v>45</v>
      </c>
    </row>
    <row r="398" spans="1:10" x14ac:dyDescent="0.25">
      <c r="A398" s="1">
        <v>98</v>
      </c>
      <c r="B398" t="s">
        <v>37</v>
      </c>
      <c r="C398">
        <v>635</v>
      </c>
      <c r="D398">
        <v>1</v>
      </c>
      <c r="E398" t="s">
        <v>53</v>
      </c>
      <c r="F398" t="s">
        <v>48</v>
      </c>
      <c r="G398" t="str">
        <f>"2026-06-28 03:26:43.900"</f>
        <v>2026-06-28 03:26:43.900</v>
      </c>
      <c r="H398" t="s">
        <v>22</v>
      </c>
    </row>
    <row r="399" spans="1:10" x14ac:dyDescent="0.25">
      <c r="A399" s="1">
        <v>99</v>
      </c>
      <c r="B399" t="s">
        <v>19</v>
      </c>
      <c r="C399">
        <v>635</v>
      </c>
      <c r="D399">
        <v>1</v>
      </c>
      <c r="E399" t="s">
        <v>53</v>
      </c>
      <c r="F399" t="s">
        <v>48</v>
      </c>
      <c r="G399" t="str">
        <f>"2026-06-28 03:24:11.900"</f>
        <v>2026-06-28 03:24:11.900</v>
      </c>
      <c r="H399" t="s">
        <v>22</v>
      </c>
      <c r="I399">
        <v>-0.7</v>
      </c>
      <c r="J399" t="s">
        <v>54</v>
      </c>
    </row>
    <row r="400" spans="1:10" s="3" customFormat="1" x14ac:dyDescent="0.25">
      <c r="A400" s="2">
        <v>0</v>
      </c>
      <c r="B400" s="3" t="s">
        <v>37</v>
      </c>
      <c r="C400" s="3">
        <v>647</v>
      </c>
      <c r="D400" s="3">
        <v>1</v>
      </c>
      <c r="E400" s="3" t="s">
        <v>43</v>
      </c>
      <c r="F400" s="3" t="s">
        <v>44</v>
      </c>
      <c r="G400" s="3" t="str">
        <f>"2026-06-28 03:18:50.500"</f>
        <v>2026-06-28 03:18:50.500</v>
      </c>
      <c r="H400" s="3" t="s">
        <v>22</v>
      </c>
    </row>
    <row r="401" spans="1:10" s="3" customFormat="1" x14ac:dyDescent="0.25">
      <c r="A401" s="2">
        <v>1</v>
      </c>
      <c r="B401" s="3" t="s">
        <v>19</v>
      </c>
      <c r="C401" s="3">
        <v>647</v>
      </c>
      <c r="D401" s="3">
        <v>1</v>
      </c>
      <c r="E401" s="3" t="s">
        <v>43</v>
      </c>
      <c r="F401" s="3" t="s">
        <v>44</v>
      </c>
      <c r="G401" s="3" t="str">
        <f>"2026-06-28 03:18:45.200"</f>
        <v>2026-06-28 03:18:45.200</v>
      </c>
      <c r="H401" s="3" t="s">
        <v>22</v>
      </c>
      <c r="I401" s="3">
        <v>12.24</v>
      </c>
      <c r="J401" s="3" t="s">
        <v>45</v>
      </c>
    </row>
    <row r="402" spans="1:10" s="3" customFormat="1" x14ac:dyDescent="0.25">
      <c r="A402" s="2">
        <v>2</v>
      </c>
      <c r="B402" s="3" t="s">
        <v>37</v>
      </c>
      <c r="C402" s="3">
        <v>647</v>
      </c>
      <c r="D402" s="3">
        <v>1</v>
      </c>
      <c r="E402" s="3" t="s">
        <v>43</v>
      </c>
      <c r="F402" s="3" t="s">
        <v>44</v>
      </c>
      <c r="G402" s="3" t="str">
        <f>"2026-06-28 03:18:09.300"</f>
        <v>2026-06-28 03:18:09.300</v>
      </c>
      <c r="H402" s="3" t="s">
        <v>22</v>
      </c>
    </row>
    <row r="403" spans="1:10" s="3" customFormat="1" x14ac:dyDescent="0.25">
      <c r="A403" s="2">
        <v>3</v>
      </c>
      <c r="B403" s="3" t="s">
        <v>19</v>
      </c>
      <c r="C403" s="3">
        <v>647</v>
      </c>
      <c r="D403" s="3">
        <v>1</v>
      </c>
      <c r="E403" s="3" t="s">
        <v>43</v>
      </c>
      <c r="F403" s="3" t="s">
        <v>44</v>
      </c>
      <c r="G403" s="3" t="str">
        <f>"2026-06-28 03:18:07.600"</f>
        <v>2026-06-28 03:18:07.600</v>
      </c>
      <c r="H403" s="3" t="s">
        <v>22</v>
      </c>
      <c r="I403" s="3">
        <v>13.86</v>
      </c>
      <c r="J403" s="3" t="s">
        <v>45</v>
      </c>
    </row>
    <row r="404" spans="1:10" s="3" customFormat="1" x14ac:dyDescent="0.25">
      <c r="A404" s="2">
        <v>4</v>
      </c>
      <c r="B404" s="3" t="s">
        <v>37</v>
      </c>
      <c r="C404" s="3">
        <v>647</v>
      </c>
      <c r="D404" s="3">
        <v>1</v>
      </c>
      <c r="E404" s="3" t="s">
        <v>43</v>
      </c>
      <c r="F404" s="3" t="s">
        <v>44</v>
      </c>
      <c r="G404" s="3" t="str">
        <f>"2026-06-28 03:18:03.100"</f>
        <v>2026-06-28 03:18:03.100</v>
      </c>
      <c r="H404" s="3" t="s">
        <v>22</v>
      </c>
    </row>
    <row r="405" spans="1:10" s="3" customFormat="1" x14ac:dyDescent="0.25">
      <c r="A405" s="2">
        <v>5</v>
      </c>
      <c r="B405" s="3" t="s">
        <v>19</v>
      </c>
      <c r="C405" s="3">
        <v>647</v>
      </c>
      <c r="D405" s="3">
        <v>1</v>
      </c>
      <c r="E405" s="3" t="s">
        <v>43</v>
      </c>
      <c r="F405" s="3" t="s">
        <v>44</v>
      </c>
      <c r="G405" s="3" t="str">
        <f>"2026-06-28 03:18:00.800"</f>
        <v>2026-06-28 03:18:00.800</v>
      </c>
      <c r="H405" s="3" t="s">
        <v>22</v>
      </c>
      <c r="I405" s="3">
        <v>13.92</v>
      </c>
      <c r="J405" s="3" t="s">
        <v>45</v>
      </c>
    </row>
    <row r="406" spans="1:10" s="3" customFormat="1" x14ac:dyDescent="0.25">
      <c r="A406" s="2">
        <v>6</v>
      </c>
      <c r="B406" s="3" t="s">
        <v>37</v>
      </c>
      <c r="C406" s="3">
        <v>647</v>
      </c>
      <c r="D406" s="3">
        <v>1</v>
      </c>
      <c r="E406" s="3" t="s">
        <v>43</v>
      </c>
      <c r="F406" s="3" t="s">
        <v>44</v>
      </c>
      <c r="G406" s="3" t="str">
        <f>"2026-06-28 03:17:58.700"</f>
        <v>2026-06-28 03:17:58.700</v>
      </c>
      <c r="H406" s="3" t="s">
        <v>22</v>
      </c>
    </row>
    <row r="407" spans="1:10" s="3" customFormat="1" x14ac:dyDescent="0.25">
      <c r="A407" s="2">
        <v>7</v>
      </c>
      <c r="B407" s="3" t="s">
        <v>19</v>
      </c>
      <c r="C407" s="3">
        <v>647</v>
      </c>
      <c r="D407" s="3">
        <v>1</v>
      </c>
      <c r="E407" s="3" t="s">
        <v>43</v>
      </c>
      <c r="F407" s="3" t="s">
        <v>44</v>
      </c>
      <c r="G407" s="3" t="str">
        <f>"2026-06-28 03:17:53.600"</f>
        <v>2026-06-28 03:17:53.600</v>
      </c>
      <c r="H407" s="3" t="s">
        <v>22</v>
      </c>
      <c r="I407" s="3">
        <v>13.05</v>
      </c>
      <c r="J407" s="3" t="s">
        <v>45</v>
      </c>
    </row>
    <row r="408" spans="1:10" s="3" customFormat="1" x14ac:dyDescent="0.25">
      <c r="A408" s="2">
        <v>8</v>
      </c>
      <c r="B408" s="3" t="s">
        <v>37</v>
      </c>
      <c r="C408" s="3">
        <v>647</v>
      </c>
      <c r="D408" s="3">
        <v>1</v>
      </c>
      <c r="E408" s="3" t="s">
        <v>43</v>
      </c>
      <c r="F408" s="3" t="s">
        <v>44</v>
      </c>
      <c r="G408" s="3" t="str">
        <f>"2026-06-28 03:17:34.700"</f>
        <v>2026-06-28 03:17:34.700</v>
      </c>
      <c r="H408" s="3" t="s">
        <v>22</v>
      </c>
    </row>
    <row r="409" spans="1:10" s="3" customFormat="1" x14ac:dyDescent="0.25">
      <c r="A409" s="2">
        <v>9</v>
      </c>
      <c r="B409" s="3" t="s">
        <v>19</v>
      </c>
      <c r="C409" s="3">
        <v>647</v>
      </c>
      <c r="D409" s="3">
        <v>1</v>
      </c>
      <c r="E409" s="3" t="s">
        <v>43</v>
      </c>
      <c r="F409" s="3" t="s">
        <v>44</v>
      </c>
      <c r="G409" s="3" t="str">
        <f>"2026-06-28 03:17:33.400"</f>
        <v>2026-06-28 03:17:33.400</v>
      </c>
      <c r="H409" s="3" t="s">
        <v>22</v>
      </c>
      <c r="I409" s="3">
        <v>13.73</v>
      </c>
      <c r="J409" s="3" t="s">
        <v>45</v>
      </c>
    </row>
    <row r="410" spans="1:10" s="3" customFormat="1" x14ac:dyDescent="0.25">
      <c r="A410" s="2">
        <v>10</v>
      </c>
      <c r="B410" s="3" t="s">
        <v>37</v>
      </c>
      <c r="C410" s="3">
        <v>647</v>
      </c>
      <c r="D410" s="3">
        <v>1</v>
      </c>
      <c r="E410" s="3" t="s">
        <v>43</v>
      </c>
      <c r="F410" s="3" t="s">
        <v>44</v>
      </c>
      <c r="G410" s="3" t="str">
        <f>"2026-06-28 03:17:14.300"</f>
        <v>2026-06-28 03:17:14.300</v>
      </c>
      <c r="H410" s="3" t="s">
        <v>22</v>
      </c>
    </row>
    <row r="411" spans="1:10" s="3" customFormat="1" x14ac:dyDescent="0.25">
      <c r="A411" s="2">
        <v>11</v>
      </c>
      <c r="B411" s="3" t="s">
        <v>19</v>
      </c>
      <c r="C411" s="3">
        <v>647</v>
      </c>
      <c r="D411" s="3">
        <v>1</v>
      </c>
      <c r="E411" s="3" t="s">
        <v>43</v>
      </c>
      <c r="F411" s="3" t="s">
        <v>44</v>
      </c>
      <c r="G411" s="3" t="str">
        <f>"2026-06-28 03:17:12.001"</f>
        <v>2026-06-28 03:17:12.001</v>
      </c>
      <c r="H411" s="3" t="s">
        <v>22</v>
      </c>
      <c r="I411" s="3">
        <v>11.02</v>
      </c>
      <c r="J411" s="3" t="s">
        <v>45</v>
      </c>
    </row>
    <row r="412" spans="1:10" x14ac:dyDescent="0.25">
      <c r="A412" s="1">
        <v>12</v>
      </c>
      <c r="B412" t="s">
        <v>28</v>
      </c>
      <c r="C412">
        <v>706</v>
      </c>
      <c r="D412">
        <v>4</v>
      </c>
      <c r="E412" t="s">
        <v>35</v>
      </c>
      <c r="F412" t="s">
        <v>36</v>
      </c>
      <c r="G412" t="str">
        <f>"2026-06-28 00:26:43.897"</f>
        <v>2026-06-28 00:26:43.897</v>
      </c>
      <c r="H412" t="s">
        <v>22</v>
      </c>
      <c r="I412">
        <v>0</v>
      </c>
      <c r="J412" t="s">
        <v>23</v>
      </c>
    </row>
    <row r="413" spans="1:10" x14ac:dyDescent="0.25">
      <c r="A413" s="1">
        <v>13</v>
      </c>
      <c r="B413" t="s">
        <v>28</v>
      </c>
      <c r="C413">
        <v>700</v>
      </c>
      <c r="D413">
        <v>0</v>
      </c>
      <c r="E413" t="s">
        <v>34</v>
      </c>
      <c r="F413" t="s">
        <v>34</v>
      </c>
      <c r="G413" t="str">
        <f>"2026-06-27 23:19:44.587"</f>
        <v>2026-06-27 23:19:44.587</v>
      </c>
      <c r="H413" t="s">
        <v>22</v>
      </c>
    </row>
    <row r="414" spans="1:10" s="3" customFormat="1" x14ac:dyDescent="0.25">
      <c r="A414" s="2">
        <v>14</v>
      </c>
      <c r="B414" s="3" t="s">
        <v>37</v>
      </c>
      <c r="C414" s="3">
        <v>647</v>
      </c>
      <c r="D414" s="3">
        <v>1</v>
      </c>
      <c r="E414" s="3" t="s">
        <v>43</v>
      </c>
      <c r="F414" s="3" t="s">
        <v>44</v>
      </c>
      <c r="G414" s="3" t="str">
        <f>"2026-06-27 16:08:03.961"</f>
        <v>2026-06-27 16:08:03.961</v>
      </c>
      <c r="H414" s="3" t="s">
        <v>22</v>
      </c>
    </row>
    <row r="415" spans="1:10" s="3" customFormat="1" x14ac:dyDescent="0.25">
      <c r="A415" s="2">
        <v>15</v>
      </c>
      <c r="B415" s="3" t="s">
        <v>19</v>
      </c>
      <c r="C415" s="3">
        <v>647</v>
      </c>
      <c r="D415" s="3">
        <v>1</v>
      </c>
      <c r="E415" s="3" t="s">
        <v>43</v>
      </c>
      <c r="F415" s="3" t="s">
        <v>44</v>
      </c>
      <c r="G415" s="3" t="str">
        <f>"2026-06-27 16:08:00.662"</f>
        <v>2026-06-27 16:08:00.662</v>
      </c>
      <c r="H415" s="3" t="s">
        <v>22</v>
      </c>
      <c r="I415" s="3">
        <v>8.91</v>
      </c>
      <c r="J415" s="3" t="s">
        <v>45</v>
      </c>
    </row>
    <row r="416" spans="1:10" x14ac:dyDescent="0.25">
      <c r="A416" s="1">
        <v>16</v>
      </c>
      <c r="B416" t="s">
        <v>28</v>
      </c>
      <c r="C416">
        <v>700</v>
      </c>
      <c r="D416">
        <v>0</v>
      </c>
      <c r="E416" t="s">
        <v>34</v>
      </c>
      <c r="F416" t="s">
        <v>34</v>
      </c>
      <c r="G416" t="str">
        <f>"2026-06-27 13:51:38.555"</f>
        <v>2026-06-27 13:51:38.555</v>
      </c>
      <c r="H416" t="s">
        <v>22</v>
      </c>
    </row>
    <row r="417" spans="1:10" x14ac:dyDescent="0.25">
      <c r="A417" s="1">
        <v>17</v>
      </c>
      <c r="B417" t="s">
        <v>28</v>
      </c>
      <c r="C417">
        <v>700</v>
      </c>
      <c r="D417">
        <v>0</v>
      </c>
      <c r="E417" t="s">
        <v>34</v>
      </c>
      <c r="F417" t="s">
        <v>34</v>
      </c>
      <c r="G417" t="str">
        <f>"2026-06-27 05:10:23.589"</f>
        <v>2026-06-27 05:10:23.589</v>
      </c>
      <c r="H417" t="s">
        <v>22</v>
      </c>
    </row>
    <row r="418" spans="1:10" s="3" customFormat="1" x14ac:dyDescent="0.25">
      <c r="A418" s="2">
        <v>18</v>
      </c>
      <c r="B418" s="3" t="s">
        <v>37</v>
      </c>
      <c r="C418" s="3">
        <v>647</v>
      </c>
      <c r="D418" s="3">
        <v>1</v>
      </c>
      <c r="E418" s="3" t="s">
        <v>43</v>
      </c>
      <c r="F418" s="3" t="s">
        <v>44</v>
      </c>
      <c r="G418" s="3" t="str">
        <f>"2026-06-27 03:39:15.329"</f>
        <v>2026-06-27 03:39:15.329</v>
      </c>
      <c r="H418" s="3" t="s">
        <v>22</v>
      </c>
    </row>
    <row r="419" spans="1:10" s="3" customFormat="1" x14ac:dyDescent="0.25">
      <c r="A419" s="2">
        <v>19</v>
      </c>
      <c r="B419" s="3" t="s">
        <v>19</v>
      </c>
      <c r="C419" s="3">
        <v>647</v>
      </c>
      <c r="D419" s="3">
        <v>1</v>
      </c>
      <c r="E419" s="3" t="s">
        <v>43</v>
      </c>
      <c r="F419" s="3" t="s">
        <v>44</v>
      </c>
      <c r="G419" s="3" t="str">
        <f>"2026-06-27 03:39:13.030"</f>
        <v>2026-06-27 03:39:13.030</v>
      </c>
      <c r="H419" s="3" t="s">
        <v>22</v>
      </c>
      <c r="I419" s="3">
        <v>15.23</v>
      </c>
      <c r="J419" s="3" t="s">
        <v>45</v>
      </c>
    </row>
    <row r="420" spans="1:10" x14ac:dyDescent="0.25">
      <c r="A420" s="1">
        <v>20</v>
      </c>
      <c r="B420" t="s">
        <v>28</v>
      </c>
      <c r="C420">
        <v>700</v>
      </c>
      <c r="D420">
        <v>0</v>
      </c>
      <c r="E420" t="s">
        <v>34</v>
      </c>
      <c r="F420" t="s">
        <v>34</v>
      </c>
      <c r="G420" t="str">
        <f>"2026-06-27 01:25:38.630"</f>
        <v>2026-06-27 01:25:38.630</v>
      </c>
      <c r="H420" t="s">
        <v>22</v>
      </c>
      <c r="I420">
        <v>0</v>
      </c>
      <c r="J420" t="s">
        <v>46</v>
      </c>
    </row>
    <row r="421" spans="1:10" x14ac:dyDescent="0.25">
      <c r="A421" s="1">
        <v>21</v>
      </c>
      <c r="B421" t="s">
        <v>28</v>
      </c>
      <c r="C421">
        <v>700</v>
      </c>
      <c r="D421">
        <v>0</v>
      </c>
      <c r="E421" t="s">
        <v>34</v>
      </c>
      <c r="F421" t="s">
        <v>34</v>
      </c>
      <c r="G421" t="str">
        <f>"2026-06-26 20:31:42.593"</f>
        <v>2026-06-26 20:31:42.593</v>
      </c>
      <c r="H421" t="s">
        <v>22</v>
      </c>
      <c r="I421">
        <v>0</v>
      </c>
      <c r="J421" t="s">
        <v>46</v>
      </c>
    </row>
    <row r="422" spans="1:10" x14ac:dyDescent="0.25">
      <c r="A422" s="1">
        <v>22</v>
      </c>
      <c r="B422" t="s">
        <v>37</v>
      </c>
      <c r="C422">
        <v>635</v>
      </c>
      <c r="D422">
        <v>1</v>
      </c>
      <c r="E422" t="s">
        <v>53</v>
      </c>
      <c r="F422" t="s">
        <v>48</v>
      </c>
      <c r="G422" t="str">
        <f>"2026-06-26 10:02:02.367"</f>
        <v>2026-06-26 10:02:02.367</v>
      </c>
      <c r="H422" t="s">
        <v>22</v>
      </c>
    </row>
    <row r="423" spans="1:10" x14ac:dyDescent="0.25">
      <c r="A423" s="1">
        <v>23</v>
      </c>
      <c r="B423" t="s">
        <v>19</v>
      </c>
      <c r="C423">
        <v>635</v>
      </c>
      <c r="D423">
        <v>1</v>
      </c>
      <c r="E423" t="s">
        <v>53</v>
      </c>
      <c r="F423" t="s">
        <v>48</v>
      </c>
      <c r="G423" t="str">
        <f>"2026-06-26 09:59:05.867"</f>
        <v>2026-06-26 09:59:05.867</v>
      </c>
      <c r="H423" t="s">
        <v>22</v>
      </c>
      <c r="I423">
        <v>6.42</v>
      </c>
      <c r="J423" t="s">
        <v>54</v>
      </c>
    </row>
    <row r="424" spans="1:10" s="3" customFormat="1" x14ac:dyDescent="0.25">
      <c r="A424" s="2">
        <v>24</v>
      </c>
      <c r="B424" s="3" t="s">
        <v>37</v>
      </c>
      <c r="C424" s="3">
        <v>647</v>
      </c>
      <c r="D424" s="3">
        <v>1</v>
      </c>
      <c r="E424" s="3" t="s">
        <v>43</v>
      </c>
      <c r="F424" s="3" t="s">
        <v>44</v>
      </c>
      <c r="G424" s="3" t="str">
        <f>"2026-06-26 05:21:55.267"</f>
        <v>2026-06-26 05:21:55.267</v>
      </c>
      <c r="H424" s="3" t="s">
        <v>22</v>
      </c>
    </row>
    <row r="425" spans="1:10" s="3" customFormat="1" x14ac:dyDescent="0.25">
      <c r="A425" s="2">
        <v>25</v>
      </c>
      <c r="B425" s="3" t="s">
        <v>19</v>
      </c>
      <c r="C425" s="3">
        <v>647</v>
      </c>
      <c r="D425" s="3">
        <v>1</v>
      </c>
      <c r="E425" s="3" t="s">
        <v>43</v>
      </c>
      <c r="F425" s="3" t="s">
        <v>44</v>
      </c>
      <c r="G425" s="3" t="str">
        <f>"2026-06-26 05:21:53.767"</f>
        <v>2026-06-26 05:21:53.767</v>
      </c>
      <c r="H425" s="3" t="s">
        <v>22</v>
      </c>
      <c r="I425" s="3">
        <v>16.72</v>
      </c>
      <c r="J425" s="3" t="s">
        <v>45</v>
      </c>
    </row>
    <row r="426" spans="1:10" s="3" customFormat="1" x14ac:dyDescent="0.25">
      <c r="A426" s="2">
        <v>26</v>
      </c>
      <c r="B426" s="3" t="s">
        <v>37</v>
      </c>
      <c r="C426" s="3">
        <v>647</v>
      </c>
      <c r="D426" s="3">
        <v>1</v>
      </c>
      <c r="E426" s="3" t="s">
        <v>43</v>
      </c>
      <c r="F426" s="3" t="s">
        <v>44</v>
      </c>
      <c r="G426" s="3" t="str">
        <f>"2026-06-26 04:44:01.367"</f>
        <v>2026-06-26 04:44:01.367</v>
      </c>
      <c r="H426" s="3" t="s">
        <v>22</v>
      </c>
    </row>
    <row r="427" spans="1:10" s="3" customFormat="1" x14ac:dyDescent="0.25">
      <c r="A427" s="2">
        <v>27</v>
      </c>
      <c r="B427" s="3" t="s">
        <v>19</v>
      </c>
      <c r="C427" s="3">
        <v>647</v>
      </c>
      <c r="D427" s="3">
        <v>1</v>
      </c>
      <c r="E427" s="3" t="s">
        <v>43</v>
      </c>
      <c r="F427" s="3" t="s">
        <v>44</v>
      </c>
      <c r="G427" s="3" t="str">
        <f>"2026-06-26 04:44:00.267"</f>
        <v>2026-06-26 04:44:00.267</v>
      </c>
      <c r="H427" s="3" t="s">
        <v>22</v>
      </c>
      <c r="I427" s="3">
        <v>12.57</v>
      </c>
      <c r="J427" s="3" t="s">
        <v>45</v>
      </c>
    </row>
    <row r="428" spans="1:10" s="3" customFormat="1" x14ac:dyDescent="0.25">
      <c r="A428" s="2">
        <v>28</v>
      </c>
      <c r="B428" s="3" t="s">
        <v>37</v>
      </c>
      <c r="C428" s="3">
        <v>647</v>
      </c>
      <c r="D428" s="3">
        <v>1</v>
      </c>
      <c r="E428" s="3" t="s">
        <v>43</v>
      </c>
      <c r="F428" s="3" t="s">
        <v>44</v>
      </c>
      <c r="G428" s="3" t="str">
        <f>"2026-06-26 04:09:54.267"</f>
        <v>2026-06-26 04:09:54.267</v>
      </c>
      <c r="H428" s="3" t="s">
        <v>22</v>
      </c>
    </row>
    <row r="429" spans="1:10" s="3" customFormat="1" x14ac:dyDescent="0.25">
      <c r="A429" s="2">
        <v>29</v>
      </c>
      <c r="B429" s="3" t="s">
        <v>19</v>
      </c>
      <c r="C429" s="3">
        <v>647</v>
      </c>
      <c r="D429" s="3">
        <v>1</v>
      </c>
      <c r="E429" s="3" t="s">
        <v>43</v>
      </c>
      <c r="F429" s="3" t="s">
        <v>44</v>
      </c>
      <c r="G429" s="3" t="str">
        <f>"2026-06-26 04:09:49.968"</f>
        <v>2026-06-26 04:09:49.968</v>
      </c>
      <c r="H429" s="3" t="s">
        <v>22</v>
      </c>
      <c r="I429" s="3">
        <v>9.23</v>
      </c>
      <c r="J429" s="3" t="s">
        <v>45</v>
      </c>
    </row>
    <row r="430" spans="1:10" x14ac:dyDescent="0.25">
      <c r="A430" s="1">
        <v>30</v>
      </c>
      <c r="B430" t="s">
        <v>28</v>
      </c>
      <c r="C430">
        <v>700</v>
      </c>
      <c r="D430">
        <v>0</v>
      </c>
      <c r="E430" t="s">
        <v>34</v>
      </c>
      <c r="F430" t="s">
        <v>34</v>
      </c>
      <c r="G430" t="str">
        <f>"2026-06-26 02:40:21.555"</f>
        <v>2026-06-26 02:40:21.555</v>
      </c>
      <c r="H430" t="s">
        <v>22</v>
      </c>
      <c r="I430">
        <v>0</v>
      </c>
      <c r="J430" t="s">
        <v>46</v>
      </c>
    </row>
    <row r="431" spans="1:10" x14ac:dyDescent="0.25">
      <c r="A431" s="1">
        <v>31</v>
      </c>
      <c r="B431" t="s">
        <v>28</v>
      </c>
      <c r="C431">
        <v>700</v>
      </c>
      <c r="D431">
        <v>0</v>
      </c>
      <c r="E431" t="s">
        <v>34</v>
      </c>
      <c r="F431" t="s">
        <v>34</v>
      </c>
      <c r="G431" t="str">
        <f>"2026-06-26 01:50:18.546"</f>
        <v>2026-06-26 01:50:18.546</v>
      </c>
      <c r="H431" t="s">
        <v>22</v>
      </c>
    </row>
    <row r="432" spans="1:10" x14ac:dyDescent="0.25">
      <c r="A432" s="1">
        <v>32</v>
      </c>
      <c r="B432" t="s">
        <v>28</v>
      </c>
      <c r="C432">
        <v>700</v>
      </c>
      <c r="D432">
        <v>0</v>
      </c>
      <c r="E432" t="s">
        <v>34</v>
      </c>
      <c r="F432" t="s">
        <v>34</v>
      </c>
      <c r="G432" t="str">
        <f>"2026-06-26 00:39:02.534"</f>
        <v>2026-06-26 00:39:02.534</v>
      </c>
      <c r="H432" t="s">
        <v>22</v>
      </c>
    </row>
    <row r="433" spans="1:10" s="3" customFormat="1" x14ac:dyDescent="0.25">
      <c r="A433" s="2">
        <v>33</v>
      </c>
      <c r="B433" s="3" t="s">
        <v>37</v>
      </c>
      <c r="C433" s="3">
        <v>647</v>
      </c>
      <c r="D433" s="3">
        <v>1</v>
      </c>
      <c r="E433" s="3" t="s">
        <v>43</v>
      </c>
      <c r="F433" s="3" t="s">
        <v>44</v>
      </c>
      <c r="G433" s="3" t="str">
        <f>"2026-06-25 22:39:31.467"</f>
        <v>2026-06-25 22:39:31.467</v>
      </c>
      <c r="H433" s="3" t="s">
        <v>22</v>
      </c>
    </row>
    <row r="434" spans="1:10" s="3" customFormat="1" x14ac:dyDescent="0.25">
      <c r="A434" s="2">
        <v>34</v>
      </c>
      <c r="B434" s="3" t="s">
        <v>19</v>
      </c>
      <c r="C434" s="3">
        <v>647</v>
      </c>
      <c r="D434" s="3">
        <v>1</v>
      </c>
      <c r="E434" s="3" t="s">
        <v>43</v>
      </c>
      <c r="F434" s="3" t="s">
        <v>44</v>
      </c>
      <c r="G434" s="3" t="str">
        <f>"2026-06-25 22:39:29.567"</f>
        <v>2026-06-25 22:39:29.567</v>
      </c>
      <c r="H434" s="3" t="s">
        <v>22</v>
      </c>
      <c r="I434" s="3">
        <v>11.64</v>
      </c>
      <c r="J434" s="3" t="s">
        <v>45</v>
      </c>
    </row>
    <row r="435" spans="1:10" s="3" customFormat="1" x14ac:dyDescent="0.25">
      <c r="A435" s="2">
        <v>35</v>
      </c>
      <c r="B435" s="3" t="s">
        <v>37</v>
      </c>
      <c r="C435" s="3">
        <v>647</v>
      </c>
      <c r="D435" s="3">
        <v>1</v>
      </c>
      <c r="E435" s="3" t="s">
        <v>43</v>
      </c>
      <c r="F435" s="3" t="s">
        <v>44</v>
      </c>
      <c r="G435" s="3" t="str">
        <f>"2026-06-25 22:36:54.467"</f>
        <v>2026-06-25 22:36:54.467</v>
      </c>
      <c r="H435" s="3" t="s">
        <v>22</v>
      </c>
    </row>
    <row r="436" spans="1:10" s="3" customFormat="1" x14ac:dyDescent="0.25">
      <c r="A436" s="2">
        <v>36</v>
      </c>
      <c r="B436" s="3" t="s">
        <v>19</v>
      </c>
      <c r="C436" s="3">
        <v>647</v>
      </c>
      <c r="D436" s="3">
        <v>1</v>
      </c>
      <c r="E436" s="3" t="s">
        <v>43</v>
      </c>
      <c r="F436" s="3" t="s">
        <v>44</v>
      </c>
      <c r="G436" s="3" t="str">
        <f>"2026-06-25 22:36:53.167"</f>
        <v>2026-06-25 22:36:53.167</v>
      </c>
      <c r="H436" s="3" t="s">
        <v>22</v>
      </c>
      <c r="I436" s="3">
        <v>11.53</v>
      </c>
      <c r="J436" s="3" t="s">
        <v>45</v>
      </c>
    </row>
    <row r="437" spans="1:10" x14ac:dyDescent="0.25">
      <c r="A437" s="1">
        <v>37</v>
      </c>
      <c r="B437" t="s">
        <v>37</v>
      </c>
      <c r="C437">
        <v>619</v>
      </c>
      <c r="D437">
        <v>1</v>
      </c>
      <c r="E437" t="s">
        <v>47</v>
      </c>
      <c r="F437" t="s">
        <v>48</v>
      </c>
      <c r="G437" t="str">
        <f>"2026-06-25 22:25:10.567"</f>
        <v>2026-06-25 22:25:10.567</v>
      </c>
      <c r="H437" t="s">
        <v>49</v>
      </c>
    </row>
    <row r="438" spans="1:10" x14ac:dyDescent="0.25">
      <c r="A438" s="1">
        <v>38</v>
      </c>
      <c r="B438" t="s">
        <v>19</v>
      </c>
      <c r="C438">
        <v>619</v>
      </c>
      <c r="D438">
        <v>1</v>
      </c>
      <c r="E438" t="s">
        <v>47</v>
      </c>
      <c r="F438" t="s">
        <v>48</v>
      </c>
      <c r="G438" t="str">
        <f>"2026-06-25 22:24:43.119"</f>
        <v>2026-06-25 22:24:43.119</v>
      </c>
      <c r="H438" t="s">
        <v>49</v>
      </c>
      <c r="I438">
        <v>0</v>
      </c>
      <c r="J438" t="s">
        <v>23</v>
      </c>
    </row>
    <row r="439" spans="1:10" x14ac:dyDescent="0.25">
      <c r="A439" s="1">
        <v>39</v>
      </c>
      <c r="B439" t="s">
        <v>28</v>
      </c>
      <c r="C439">
        <v>700</v>
      </c>
      <c r="D439">
        <v>0</v>
      </c>
      <c r="E439" t="s">
        <v>34</v>
      </c>
      <c r="F439" t="s">
        <v>34</v>
      </c>
      <c r="G439" t="str">
        <f>"2026-06-25 22:24:36.545"</f>
        <v>2026-06-25 22:24:36.545</v>
      </c>
      <c r="H439" t="s">
        <v>22</v>
      </c>
    </row>
    <row r="440" spans="1:10" s="3" customFormat="1" x14ac:dyDescent="0.25">
      <c r="A440" s="2">
        <v>40</v>
      </c>
      <c r="B440" s="3" t="s">
        <v>37</v>
      </c>
      <c r="C440" s="3">
        <v>647</v>
      </c>
      <c r="D440" s="3">
        <v>1</v>
      </c>
      <c r="E440" s="3" t="s">
        <v>43</v>
      </c>
      <c r="F440" s="3" t="s">
        <v>44</v>
      </c>
      <c r="G440" s="3" t="str">
        <f>"2026-06-25 20:33:54.263"</f>
        <v>2026-06-25 20:33:54.263</v>
      </c>
      <c r="H440" s="3" t="s">
        <v>22</v>
      </c>
    </row>
    <row r="441" spans="1:10" s="3" customFormat="1" x14ac:dyDescent="0.25">
      <c r="A441" s="2">
        <v>41</v>
      </c>
      <c r="B441" s="3" t="s">
        <v>19</v>
      </c>
      <c r="C441" s="3">
        <v>647</v>
      </c>
      <c r="D441" s="3">
        <v>1</v>
      </c>
      <c r="E441" s="3" t="s">
        <v>43</v>
      </c>
      <c r="F441" s="3" t="s">
        <v>44</v>
      </c>
      <c r="G441" s="3" t="str">
        <f>"2026-06-25 20:33:49.364"</f>
        <v>2026-06-25 20:33:49.364</v>
      </c>
      <c r="H441" s="3" t="s">
        <v>22</v>
      </c>
      <c r="I441" s="3">
        <v>8.43</v>
      </c>
      <c r="J441" s="3" t="s">
        <v>45</v>
      </c>
    </row>
    <row r="442" spans="1:10" x14ac:dyDescent="0.25">
      <c r="A442" s="1">
        <v>42</v>
      </c>
      <c r="B442" t="s">
        <v>28</v>
      </c>
      <c r="C442">
        <v>700</v>
      </c>
      <c r="D442">
        <v>0</v>
      </c>
      <c r="E442" t="s">
        <v>34</v>
      </c>
      <c r="F442" t="s">
        <v>34</v>
      </c>
      <c r="G442" t="str">
        <f>"2026-06-25 11:08:27.544"</f>
        <v>2026-06-25 11:08:27.544</v>
      </c>
      <c r="H442" t="s">
        <v>22</v>
      </c>
    </row>
    <row r="443" spans="1:10" x14ac:dyDescent="0.25">
      <c r="A443" s="1">
        <v>43</v>
      </c>
      <c r="B443" t="s">
        <v>28</v>
      </c>
      <c r="C443">
        <v>700</v>
      </c>
      <c r="D443">
        <v>0</v>
      </c>
      <c r="E443" t="s">
        <v>34</v>
      </c>
      <c r="F443" t="s">
        <v>34</v>
      </c>
      <c r="G443" t="str">
        <f>"2026-06-25 10:45:09.548"</f>
        <v>2026-06-25 10:45:09.548</v>
      </c>
      <c r="H443" t="s">
        <v>22</v>
      </c>
      <c r="I443">
        <v>0</v>
      </c>
      <c r="J443" t="s">
        <v>46</v>
      </c>
    </row>
    <row r="444" spans="1:10" x14ac:dyDescent="0.25">
      <c r="A444" s="1">
        <v>44</v>
      </c>
      <c r="B444" t="s">
        <v>28</v>
      </c>
      <c r="C444">
        <v>700</v>
      </c>
      <c r="D444">
        <v>0</v>
      </c>
      <c r="E444" t="s">
        <v>34</v>
      </c>
      <c r="F444" t="s">
        <v>34</v>
      </c>
      <c r="G444" t="str">
        <f>"2026-06-25 10:36:21.525"</f>
        <v>2026-06-25 10:36:21.525</v>
      </c>
      <c r="H444" t="s">
        <v>22</v>
      </c>
    </row>
    <row r="445" spans="1:10" x14ac:dyDescent="0.25">
      <c r="A445" s="1">
        <v>45</v>
      </c>
      <c r="B445" t="s">
        <v>28</v>
      </c>
      <c r="C445">
        <v>700</v>
      </c>
      <c r="D445">
        <v>0</v>
      </c>
      <c r="E445" t="s">
        <v>34</v>
      </c>
      <c r="F445" t="s">
        <v>34</v>
      </c>
      <c r="G445" t="str">
        <f>"2026-06-25 10:02:45.547"</f>
        <v>2026-06-25 10:02:45.547</v>
      </c>
      <c r="H445" t="s">
        <v>22</v>
      </c>
    </row>
    <row r="446" spans="1:10" x14ac:dyDescent="0.25">
      <c r="A446" s="1">
        <v>46</v>
      </c>
      <c r="B446" t="s">
        <v>28</v>
      </c>
      <c r="C446">
        <v>700</v>
      </c>
      <c r="D446">
        <v>0</v>
      </c>
      <c r="E446" t="s">
        <v>34</v>
      </c>
      <c r="F446" t="s">
        <v>34</v>
      </c>
      <c r="G446" t="str">
        <f>"2026-06-25 09:59:04.607"</f>
        <v>2026-06-25 09:59:04.607</v>
      </c>
      <c r="H446" t="s">
        <v>22</v>
      </c>
    </row>
    <row r="447" spans="1:10" x14ac:dyDescent="0.25">
      <c r="A447" s="1">
        <v>47</v>
      </c>
      <c r="B447" t="s">
        <v>28</v>
      </c>
      <c r="C447">
        <v>700</v>
      </c>
      <c r="D447">
        <v>0</v>
      </c>
      <c r="E447" t="s">
        <v>34</v>
      </c>
      <c r="F447" t="s">
        <v>34</v>
      </c>
      <c r="G447" t="str">
        <f>"2026-06-25 09:21:48.533"</f>
        <v>2026-06-25 09:21:48.533</v>
      </c>
      <c r="H447" t="s">
        <v>22</v>
      </c>
    </row>
    <row r="448" spans="1:10" x14ac:dyDescent="0.25">
      <c r="A448" s="1">
        <v>48</v>
      </c>
      <c r="B448" t="s">
        <v>28</v>
      </c>
      <c r="C448">
        <v>700</v>
      </c>
      <c r="D448">
        <v>0</v>
      </c>
      <c r="E448" t="s">
        <v>34</v>
      </c>
      <c r="F448" t="s">
        <v>34</v>
      </c>
      <c r="G448" t="str">
        <f>"2026-06-25 06:18:39.700"</f>
        <v>2026-06-25 06:18:39.700</v>
      </c>
      <c r="H448" t="s">
        <v>22</v>
      </c>
      <c r="I448">
        <v>0</v>
      </c>
      <c r="J448" t="s">
        <v>46</v>
      </c>
    </row>
    <row r="449" spans="1:10" s="3" customFormat="1" x14ac:dyDescent="0.25">
      <c r="A449" s="2">
        <v>49</v>
      </c>
      <c r="B449" s="3" t="s">
        <v>37</v>
      </c>
      <c r="C449" s="3">
        <v>647</v>
      </c>
      <c r="D449" s="3">
        <v>1</v>
      </c>
      <c r="E449" s="3" t="s">
        <v>43</v>
      </c>
      <c r="F449" s="3" t="s">
        <v>44</v>
      </c>
      <c r="G449" s="3" t="str">
        <f>"2026-06-25 01:39:14.868"</f>
        <v>2026-06-25 01:39:14.868</v>
      </c>
      <c r="H449" s="3" t="s">
        <v>22</v>
      </c>
    </row>
    <row r="450" spans="1:10" s="3" customFormat="1" x14ac:dyDescent="0.25">
      <c r="A450" s="2">
        <v>50</v>
      </c>
      <c r="B450" s="3" t="s">
        <v>19</v>
      </c>
      <c r="C450" s="3">
        <v>647</v>
      </c>
      <c r="D450" s="3">
        <v>1</v>
      </c>
      <c r="E450" s="3" t="s">
        <v>43</v>
      </c>
      <c r="F450" s="3" t="s">
        <v>44</v>
      </c>
      <c r="G450" s="3" t="str">
        <f>"2026-06-25 01:39:13.568"</f>
        <v>2026-06-25 01:39:13.568</v>
      </c>
      <c r="H450" s="3" t="s">
        <v>22</v>
      </c>
      <c r="I450" s="3">
        <v>12.59</v>
      </c>
      <c r="J450" s="3" t="s">
        <v>45</v>
      </c>
    </row>
    <row r="451" spans="1:10" s="3" customFormat="1" x14ac:dyDescent="0.25">
      <c r="A451" s="2">
        <v>51</v>
      </c>
      <c r="B451" s="3" t="s">
        <v>37</v>
      </c>
      <c r="C451" s="3">
        <v>647</v>
      </c>
      <c r="D451" s="3">
        <v>1</v>
      </c>
      <c r="E451" s="3" t="s">
        <v>43</v>
      </c>
      <c r="F451" s="3" t="s">
        <v>44</v>
      </c>
      <c r="G451" s="3" t="str">
        <f>"2026-06-25 01:38:57.468"</f>
        <v>2026-06-25 01:38:57.468</v>
      </c>
      <c r="H451" s="3" t="s">
        <v>22</v>
      </c>
    </row>
    <row r="452" spans="1:10" s="3" customFormat="1" x14ac:dyDescent="0.25">
      <c r="A452" s="2">
        <v>52</v>
      </c>
      <c r="B452" s="3" t="s">
        <v>19</v>
      </c>
      <c r="C452" s="3">
        <v>647</v>
      </c>
      <c r="D452" s="3">
        <v>1</v>
      </c>
      <c r="E452" s="3" t="s">
        <v>43</v>
      </c>
      <c r="F452" s="3" t="s">
        <v>44</v>
      </c>
      <c r="G452" s="3" t="str">
        <f>"2026-06-25 01:38:56.368"</f>
        <v>2026-06-25 01:38:56.368</v>
      </c>
      <c r="H452" s="3" t="s">
        <v>22</v>
      </c>
      <c r="I452" s="3">
        <v>11.64</v>
      </c>
      <c r="J452" s="3" t="s">
        <v>45</v>
      </c>
    </row>
    <row r="453" spans="1:10" s="3" customFormat="1" x14ac:dyDescent="0.25">
      <c r="A453" s="2">
        <v>53</v>
      </c>
      <c r="B453" s="3" t="s">
        <v>37</v>
      </c>
      <c r="C453" s="3">
        <v>647</v>
      </c>
      <c r="D453" s="3">
        <v>1</v>
      </c>
      <c r="E453" s="3" t="s">
        <v>43</v>
      </c>
      <c r="F453" s="3" t="s">
        <v>44</v>
      </c>
      <c r="G453" s="3" t="str">
        <f>"2026-06-25 01:38:53.868"</f>
        <v>2026-06-25 01:38:53.868</v>
      </c>
      <c r="H453" s="3" t="s">
        <v>22</v>
      </c>
    </row>
    <row r="454" spans="1:10" s="3" customFormat="1" x14ac:dyDescent="0.25">
      <c r="A454" s="2">
        <v>54</v>
      </c>
      <c r="B454" s="3" t="s">
        <v>19</v>
      </c>
      <c r="C454" s="3">
        <v>647</v>
      </c>
      <c r="D454" s="3">
        <v>1</v>
      </c>
      <c r="E454" s="3" t="s">
        <v>43</v>
      </c>
      <c r="F454" s="3" t="s">
        <v>44</v>
      </c>
      <c r="G454" s="3" t="str">
        <f>"2026-06-25 01:38:51.368"</f>
        <v>2026-06-25 01:38:51.368</v>
      </c>
      <c r="H454" s="3" t="s">
        <v>22</v>
      </c>
      <c r="I454" s="3">
        <v>11.66</v>
      </c>
      <c r="J454" s="3" t="s">
        <v>45</v>
      </c>
    </row>
    <row r="455" spans="1:10" s="3" customFormat="1" x14ac:dyDescent="0.25">
      <c r="A455" s="2">
        <v>55</v>
      </c>
      <c r="B455" s="3" t="s">
        <v>37</v>
      </c>
      <c r="C455" s="3">
        <v>647</v>
      </c>
      <c r="D455" s="3">
        <v>1</v>
      </c>
      <c r="E455" s="3" t="s">
        <v>43</v>
      </c>
      <c r="F455" s="3" t="s">
        <v>44</v>
      </c>
      <c r="G455" s="3" t="str">
        <f>"2026-06-25 00:59:29.968"</f>
        <v>2026-06-25 00:59:29.968</v>
      </c>
      <c r="H455" s="3" t="s">
        <v>22</v>
      </c>
    </row>
    <row r="456" spans="1:10" s="3" customFormat="1" x14ac:dyDescent="0.25">
      <c r="A456" s="2">
        <v>56</v>
      </c>
      <c r="B456" s="3" t="s">
        <v>19</v>
      </c>
      <c r="C456" s="3">
        <v>647</v>
      </c>
      <c r="D456" s="3">
        <v>1</v>
      </c>
      <c r="E456" s="3" t="s">
        <v>43</v>
      </c>
      <c r="F456" s="3" t="s">
        <v>44</v>
      </c>
      <c r="G456" s="3" t="str">
        <f>"2026-06-25 00:59:28.869"</f>
        <v>2026-06-25 00:59:28.869</v>
      </c>
      <c r="H456" s="3" t="s">
        <v>22</v>
      </c>
      <c r="I456" s="3">
        <v>13</v>
      </c>
      <c r="J456" s="3" t="s">
        <v>45</v>
      </c>
    </row>
    <row r="457" spans="1:10" x14ac:dyDescent="0.25">
      <c r="A457" s="1">
        <v>57</v>
      </c>
      <c r="B457" t="s">
        <v>28</v>
      </c>
      <c r="C457">
        <v>700</v>
      </c>
      <c r="D457">
        <v>0</v>
      </c>
      <c r="E457" t="s">
        <v>34</v>
      </c>
      <c r="F457" t="s">
        <v>34</v>
      </c>
      <c r="G457" t="str">
        <f>"2026-06-25 00:15:23.550"</f>
        <v>2026-06-25 00:15:23.550</v>
      </c>
      <c r="H457" t="s">
        <v>22</v>
      </c>
      <c r="I457">
        <v>0</v>
      </c>
      <c r="J457" t="s">
        <v>46</v>
      </c>
    </row>
    <row r="458" spans="1:10" x14ac:dyDescent="0.25">
      <c r="A458" s="1">
        <v>58</v>
      </c>
      <c r="B458" t="s">
        <v>28</v>
      </c>
      <c r="C458">
        <v>700</v>
      </c>
      <c r="D458">
        <v>0</v>
      </c>
      <c r="E458" t="s">
        <v>34</v>
      </c>
      <c r="F458" t="s">
        <v>34</v>
      </c>
      <c r="G458" t="str">
        <f>"2026-06-24 22:51:52.551"</f>
        <v>2026-06-24 22:51:52.551</v>
      </c>
      <c r="H458" t="s">
        <v>22</v>
      </c>
      <c r="I458">
        <v>0</v>
      </c>
      <c r="J458" t="s">
        <v>46</v>
      </c>
    </row>
    <row r="459" spans="1:10" s="3" customFormat="1" x14ac:dyDescent="0.25">
      <c r="A459" s="2">
        <v>59</v>
      </c>
      <c r="B459" s="3" t="s">
        <v>37</v>
      </c>
      <c r="C459" s="3">
        <v>647</v>
      </c>
      <c r="D459" s="3">
        <v>1</v>
      </c>
      <c r="E459" s="3" t="s">
        <v>43</v>
      </c>
      <c r="F459" s="3" t="s">
        <v>44</v>
      </c>
      <c r="G459" s="3" t="str">
        <f>"2026-06-24 21:35:16.184"</f>
        <v>2026-06-24 21:35:16.184</v>
      </c>
      <c r="H459" s="3" t="s">
        <v>22</v>
      </c>
    </row>
    <row r="460" spans="1:10" s="3" customFormat="1" x14ac:dyDescent="0.25">
      <c r="A460" s="2">
        <v>60</v>
      </c>
      <c r="B460" s="3" t="s">
        <v>19</v>
      </c>
      <c r="C460" s="3">
        <v>647</v>
      </c>
      <c r="D460" s="3">
        <v>1</v>
      </c>
      <c r="E460" s="3" t="s">
        <v>43</v>
      </c>
      <c r="F460" s="3" t="s">
        <v>44</v>
      </c>
      <c r="G460" s="3" t="str">
        <f>"2026-06-24 21:35:14.884"</f>
        <v>2026-06-24 21:35:14.884</v>
      </c>
      <c r="H460" s="3" t="s">
        <v>22</v>
      </c>
      <c r="I460" s="3">
        <v>18.12</v>
      </c>
      <c r="J460" s="3" t="s">
        <v>45</v>
      </c>
    </row>
    <row r="461" spans="1:10" s="3" customFormat="1" x14ac:dyDescent="0.25">
      <c r="A461" s="2">
        <v>61</v>
      </c>
      <c r="B461" s="3" t="s">
        <v>37</v>
      </c>
      <c r="C461" s="3">
        <v>647</v>
      </c>
      <c r="D461" s="3">
        <v>1</v>
      </c>
      <c r="E461" s="3" t="s">
        <v>43</v>
      </c>
      <c r="F461" s="3" t="s">
        <v>44</v>
      </c>
      <c r="G461" s="3" t="str">
        <f>"2026-06-24 21:35:05.383"</f>
        <v>2026-06-24 21:35:05.383</v>
      </c>
      <c r="H461" s="3" t="s">
        <v>22</v>
      </c>
    </row>
    <row r="462" spans="1:10" s="3" customFormat="1" x14ac:dyDescent="0.25">
      <c r="A462" s="2">
        <v>62</v>
      </c>
      <c r="B462" s="3" t="s">
        <v>19</v>
      </c>
      <c r="C462" s="3">
        <v>647</v>
      </c>
      <c r="D462" s="3">
        <v>1</v>
      </c>
      <c r="E462" s="3" t="s">
        <v>43</v>
      </c>
      <c r="F462" s="3" t="s">
        <v>44</v>
      </c>
      <c r="G462" s="3" t="str">
        <f>"2026-06-24 21:35:03.883"</f>
        <v>2026-06-24 21:35:03.883</v>
      </c>
      <c r="H462" s="3" t="s">
        <v>22</v>
      </c>
      <c r="I462" s="3">
        <v>17.63</v>
      </c>
      <c r="J462" s="3" t="s">
        <v>45</v>
      </c>
    </row>
    <row r="463" spans="1:10" s="3" customFormat="1" x14ac:dyDescent="0.25">
      <c r="A463" s="2">
        <v>63</v>
      </c>
      <c r="B463" s="3" t="s">
        <v>37</v>
      </c>
      <c r="C463" s="3">
        <v>647</v>
      </c>
      <c r="D463" s="3">
        <v>1</v>
      </c>
      <c r="E463" s="3" t="s">
        <v>43</v>
      </c>
      <c r="F463" s="3" t="s">
        <v>44</v>
      </c>
      <c r="G463" s="3" t="str">
        <f>"2026-06-24 21:34:51.384"</f>
        <v>2026-06-24 21:34:51.384</v>
      </c>
      <c r="H463" s="3" t="s">
        <v>22</v>
      </c>
    </row>
    <row r="464" spans="1:10" s="3" customFormat="1" x14ac:dyDescent="0.25">
      <c r="A464" s="2">
        <v>64</v>
      </c>
      <c r="B464" s="3" t="s">
        <v>19</v>
      </c>
      <c r="C464" s="3">
        <v>647</v>
      </c>
      <c r="D464" s="3">
        <v>1</v>
      </c>
      <c r="E464" s="3" t="s">
        <v>43</v>
      </c>
      <c r="F464" s="3" t="s">
        <v>44</v>
      </c>
      <c r="G464" s="3" t="str">
        <f>"2026-06-24 21:34:50.284"</f>
        <v>2026-06-24 21:34:50.284</v>
      </c>
      <c r="H464" s="3" t="s">
        <v>22</v>
      </c>
      <c r="I464" s="3">
        <v>17.5</v>
      </c>
      <c r="J464" s="3" t="s">
        <v>45</v>
      </c>
    </row>
    <row r="465" spans="1:10" s="3" customFormat="1" x14ac:dyDescent="0.25">
      <c r="A465" s="2">
        <v>65</v>
      </c>
      <c r="B465" s="3" t="s">
        <v>37</v>
      </c>
      <c r="C465" s="3">
        <v>647</v>
      </c>
      <c r="D465" s="3">
        <v>1</v>
      </c>
      <c r="E465" s="3" t="s">
        <v>43</v>
      </c>
      <c r="F465" s="3" t="s">
        <v>44</v>
      </c>
      <c r="G465" s="3" t="str">
        <f>"2026-06-24 21:34:19.984"</f>
        <v>2026-06-24 21:34:19.984</v>
      </c>
      <c r="H465" s="3" t="s">
        <v>22</v>
      </c>
    </row>
    <row r="466" spans="1:10" s="3" customFormat="1" x14ac:dyDescent="0.25">
      <c r="A466" s="2">
        <v>66</v>
      </c>
      <c r="B466" s="3" t="s">
        <v>19</v>
      </c>
      <c r="C466" s="3">
        <v>647</v>
      </c>
      <c r="D466" s="3">
        <v>1</v>
      </c>
      <c r="E466" s="3" t="s">
        <v>43</v>
      </c>
      <c r="F466" s="3" t="s">
        <v>44</v>
      </c>
      <c r="G466" s="3" t="str">
        <f>"2026-06-24 21:34:18.484"</f>
        <v>2026-06-24 21:34:18.484</v>
      </c>
      <c r="H466" s="3" t="s">
        <v>22</v>
      </c>
      <c r="I466" s="3">
        <v>15.7</v>
      </c>
      <c r="J466" s="3" t="s">
        <v>45</v>
      </c>
    </row>
    <row r="467" spans="1:10" s="3" customFormat="1" x14ac:dyDescent="0.25">
      <c r="A467" s="2">
        <v>67</v>
      </c>
      <c r="B467" s="3" t="s">
        <v>37</v>
      </c>
      <c r="C467" s="3">
        <v>647</v>
      </c>
      <c r="D467" s="3">
        <v>1</v>
      </c>
      <c r="E467" s="3" t="s">
        <v>43</v>
      </c>
      <c r="F467" s="3" t="s">
        <v>44</v>
      </c>
      <c r="G467" s="3" t="str">
        <f>"2026-06-24 21:34:14.784"</f>
        <v>2026-06-24 21:34:14.784</v>
      </c>
      <c r="H467" s="3" t="s">
        <v>22</v>
      </c>
    </row>
    <row r="468" spans="1:10" s="3" customFormat="1" x14ac:dyDescent="0.25">
      <c r="A468" s="2">
        <v>68</v>
      </c>
      <c r="B468" s="3" t="s">
        <v>19</v>
      </c>
      <c r="C468" s="3">
        <v>647</v>
      </c>
      <c r="D468" s="3">
        <v>1</v>
      </c>
      <c r="E468" s="3" t="s">
        <v>43</v>
      </c>
      <c r="F468" s="3" t="s">
        <v>44</v>
      </c>
      <c r="G468" s="3" t="str">
        <f>"2026-06-24 21:34:13.485"</f>
        <v>2026-06-24 21:34:13.485</v>
      </c>
      <c r="H468" s="3" t="s">
        <v>22</v>
      </c>
      <c r="I468" s="3">
        <v>15.53</v>
      </c>
      <c r="J468" s="3" t="s">
        <v>45</v>
      </c>
    </row>
    <row r="469" spans="1:10" x14ac:dyDescent="0.25">
      <c r="A469" s="1">
        <v>69</v>
      </c>
      <c r="B469" t="s">
        <v>28</v>
      </c>
      <c r="C469">
        <v>700</v>
      </c>
      <c r="D469">
        <v>0</v>
      </c>
      <c r="E469" t="s">
        <v>34</v>
      </c>
      <c r="F469" t="s">
        <v>34</v>
      </c>
      <c r="G469" t="str">
        <f>"2026-06-24 08:48:32.572"</f>
        <v>2026-06-24 08:48:32.572</v>
      </c>
      <c r="H469" t="s">
        <v>22</v>
      </c>
      <c r="I469">
        <v>0</v>
      </c>
      <c r="J469" t="s">
        <v>46</v>
      </c>
    </row>
    <row r="470" spans="1:10" x14ac:dyDescent="0.25">
      <c r="A470" s="1">
        <v>70</v>
      </c>
      <c r="B470" t="s">
        <v>37</v>
      </c>
      <c r="C470">
        <v>635</v>
      </c>
      <c r="D470">
        <v>1</v>
      </c>
      <c r="E470" t="s">
        <v>53</v>
      </c>
      <c r="F470" t="s">
        <v>48</v>
      </c>
      <c r="G470" t="str">
        <f>"2026-06-24 06:54:03.156"</f>
        <v>2026-06-24 06:54:03.156</v>
      </c>
      <c r="H470" t="s">
        <v>22</v>
      </c>
    </row>
    <row r="471" spans="1:10" x14ac:dyDescent="0.25">
      <c r="A471" s="1">
        <v>71</v>
      </c>
      <c r="B471" t="s">
        <v>19</v>
      </c>
      <c r="C471">
        <v>635</v>
      </c>
      <c r="D471">
        <v>1</v>
      </c>
      <c r="E471" t="s">
        <v>53</v>
      </c>
      <c r="F471" t="s">
        <v>48</v>
      </c>
      <c r="G471" t="str">
        <f>"2026-06-24 06:50:13.656"</f>
        <v>2026-06-24 06:50:13.656</v>
      </c>
      <c r="H471" t="s">
        <v>22</v>
      </c>
      <c r="I471">
        <v>4.8</v>
      </c>
      <c r="J471" t="s">
        <v>54</v>
      </c>
    </row>
    <row r="472" spans="1:10" s="3" customFormat="1" x14ac:dyDescent="0.25">
      <c r="A472" s="2">
        <v>72</v>
      </c>
      <c r="B472" s="3" t="s">
        <v>37</v>
      </c>
      <c r="C472" s="3">
        <v>647</v>
      </c>
      <c r="D472" s="3">
        <v>1</v>
      </c>
      <c r="E472" s="3" t="s">
        <v>43</v>
      </c>
      <c r="F472" s="3" t="s">
        <v>44</v>
      </c>
      <c r="G472" s="3" t="str">
        <f>"2026-06-24 04:16:46.657"</f>
        <v>2026-06-24 04:16:46.657</v>
      </c>
      <c r="H472" s="3" t="s">
        <v>22</v>
      </c>
    </row>
    <row r="473" spans="1:10" s="3" customFormat="1" x14ac:dyDescent="0.25">
      <c r="A473" s="2">
        <v>73</v>
      </c>
      <c r="B473" s="3" t="s">
        <v>19</v>
      </c>
      <c r="C473" s="3">
        <v>647</v>
      </c>
      <c r="D473" s="3">
        <v>1</v>
      </c>
      <c r="E473" s="3" t="s">
        <v>43</v>
      </c>
      <c r="F473" s="3" t="s">
        <v>44</v>
      </c>
      <c r="G473" s="3" t="str">
        <f>"2026-06-24 04:16:43.557"</f>
        <v>2026-06-24 04:16:43.557</v>
      </c>
      <c r="H473" s="3" t="s">
        <v>22</v>
      </c>
      <c r="I473" s="3">
        <v>10.34</v>
      </c>
      <c r="J473" s="3" t="s">
        <v>45</v>
      </c>
    </row>
    <row r="474" spans="1:10" s="3" customFormat="1" x14ac:dyDescent="0.25">
      <c r="A474" s="2">
        <v>74</v>
      </c>
      <c r="B474" s="3" t="s">
        <v>37</v>
      </c>
      <c r="C474" s="3">
        <v>647</v>
      </c>
      <c r="D474" s="3">
        <v>1</v>
      </c>
      <c r="E474" s="3" t="s">
        <v>43</v>
      </c>
      <c r="F474" s="3" t="s">
        <v>44</v>
      </c>
      <c r="G474" s="3" t="str">
        <f>"2026-06-24 04:16:35.657"</f>
        <v>2026-06-24 04:16:35.657</v>
      </c>
      <c r="H474" s="3" t="s">
        <v>22</v>
      </c>
    </row>
    <row r="475" spans="1:10" s="3" customFormat="1" x14ac:dyDescent="0.25">
      <c r="A475" s="2">
        <v>75</v>
      </c>
      <c r="B475" s="3" t="s">
        <v>19</v>
      </c>
      <c r="C475" s="3">
        <v>647</v>
      </c>
      <c r="D475" s="3">
        <v>1</v>
      </c>
      <c r="E475" s="3" t="s">
        <v>43</v>
      </c>
      <c r="F475" s="3" t="s">
        <v>44</v>
      </c>
      <c r="G475" s="3" t="str">
        <f>"2026-06-24 04:16:28.557"</f>
        <v>2026-06-24 04:16:28.557</v>
      </c>
      <c r="H475" s="3" t="s">
        <v>22</v>
      </c>
      <c r="I475" s="3">
        <v>10.27</v>
      </c>
      <c r="J475" s="3" t="s">
        <v>45</v>
      </c>
    </row>
    <row r="476" spans="1:10" s="3" customFormat="1" x14ac:dyDescent="0.25">
      <c r="A476" s="2">
        <v>76</v>
      </c>
      <c r="B476" s="3" t="s">
        <v>37</v>
      </c>
      <c r="C476" s="3">
        <v>647</v>
      </c>
      <c r="D476" s="3">
        <v>1</v>
      </c>
      <c r="E476" s="3" t="s">
        <v>43</v>
      </c>
      <c r="F476" s="3" t="s">
        <v>44</v>
      </c>
      <c r="G476" s="3" t="str">
        <f>"2026-06-24 03:10:48.357"</f>
        <v>2026-06-24 03:10:48.357</v>
      </c>
      <c r="H476" s="3" t="s">
        <v>22</v>
      </c>
    </row>
    <row r="477" spans="1:10" s="3" customFormat="1" x14ac:dyDescent="0.25">
      <c r="A477" s="2">
        <v>77</v>
      </c>
      <c r="B477" s="3" t="s">
        <v>19</v>
      </c>
      <c r="C477" s="3">
        <v>647</v>
      </c>
      <c r="D477" s="3">
        <v>1</v>
      </c>
      <c r="E477" s="3" t="s">
        <v>43</v>
      </c>
      <c r="F477" s="3" t="s">
        <v>44</v>
      </c>
      <c r="G477" s="3" t="str">
        <f>"2026-06-24 03:10:47.257"</f>
        <v>2026-06-24 03:10:47.257</v>
      </c>
      <c r="H477" s="3" t="s">
        <v>22</v>
      </c>
      <c r="I477" s="3">
        <v>9.7899999999999991</v>
      </c>
      <c r="J477" s="3" t="s">
        <v>45</v>
      </c>
    </row>
    <row r="478" spans="1:10" s="3" customFormat="1" x14ac:dyDescent="0.25">
      <c r="A478" s="2">
        <v>78</v>
      </c>
      <c r="B478" s="3" t="s">
        <v>37</v>
      </c>
      <c r="C478" s="3">
        <v>647</v>
      </c>
      <c r="D478" s="3">
        <v>1</v>
      </c>
      <c r="E478" s="3" t="s">
        <v>43</v>
      </c>
      <c r="F478" s="3" t="s">
        <v>44</v>
      </c>
      <c r="G478" s="3" t="str">
        <f>"2026-06-24 02:17:58.756"</f>
        <v>2026-06-24 02:17:58.756</v>
      </c>
      <c r="H478" s="3" t="s">
        <v>22</v>
      </c>
    </row>
    <row r="479" spans="1:10" s="3" customFormat="1" x14ac:dyDescent="0.25">
      <c r="A479" s="2">
        <v>79</v>
      </c>
      <c r="B479" s="3" t="s">
        <v>19</v>
      </c>
      <c r="C479" s="3">
        <v>647</v>
      </c>
      <c r="D479" s="3">
        <v>1</v>
      </c>
      <c r="E479" s="3" t="s">
        <v>43</v>
      </c>
      <c r="F479" s="3" t="s">
        <v>44</v>
      </c>
      <c r="G479" s="3" t="str">
        <f>"2026-06-24 02:17:57.257"</f>
        <v>2026-06-24 02:17:57.257</v>
      </c>
      <c r="H479" s="3" t="s">
        <v>22</v>
      </c>
      <c r="I479" s="3">
        <v>8.42</v>
      </c>
      <c r="J479" s="3" t="s">
        <v>45</v>
      </c>
    </row>
    <row r="480" spans="1:10" s="3" customFormat="1" x14ac:dyDescent="0.25">
      <c r="A480" s="2">
        <v>80</v>
      </c>
      <c r="B480" s="3" t="s">
        <v>37</v>
      </c>
      <c r="C480" s="3">
        <v>647</v>
      </c>
      <c r="D480" s="3">
        <v>1</v>
      </c>
      <c r="E480" s="3" t="s">
        <v>43</v>
      </c>
      <c r="F480" s="3" t="s">
        <v>44</v>
      </c>
      <c r="G480" s="3" t="str">
        <f>"2026-06-24 02:17:54.357"</f>
        <v>2026-06-24 02:17:54.357</v>
      </c>
      <c r="H480" s="3" t="s">
        <v>22</v>
      </c>
    </row>
    <row r="481" spans="1:10" s="3" customFormat="1" x14ac:dyDescent="0.25">
      <c r="A481" s="2">
        <v>81</v>
      </c>
      <c r="B481" s="3" t="s">
        <v>19</v>
      </c>
      <c r="C481" s="3">
        <v>647</v>
      </c>
      <c r="D481" s="3">
        <v>1</v>
      </c>
      <c r="E481" s="3" t="s">
        <v>43</v>
      </c>
      <c r="F481" s="3" t="s">
        <v>44</v>
      </c>
      <c r="G481" s="3" t="str">
        <f>"2026-06-24 02:17:52.857"</f>
        <v>2026-06-24 02:17:52.857</v>
      </c>
      <c r="H481" s="3" t="s">
        <v>22</v>
      </c>
      <c r="I481" s="3">
        <v>10.55</v>
      </c>
      <c r="J481" s="3" t="s">
        <v>45</v>
      </c>
    </row>
    <row r="482" spans="1:10" x14ac:dyDescent="0.25">
      <c r="A482" s="1">
        <v>82</v>
      </c>
      <c r="B482" t="s">
        <v>37</v>
      </c>
      <c r="C482">
        <v>635</v>
      </c>
      <c r="D482">
        <v>1</v>
      </c>
      <c r="E482" t="s">
        <v>53</v>
      </c>
      <c r="F482" t="s">
        <v>48</v>
      </c>
      <c r="G482" t="str">
        <f>"2026-06-24 01:34:50.956"</f>
        <v>2026-06-24 01:34:50.956</v>
      </c>
      <c r="H482" t="s">
        <v>22</v>
      </c>
    </row>
    <row r="483" spans="1:10" x14ac:dyDescent="0.25">
      <c r="A483" s="1">
        <v>83</v>
      </c>
      <c r="B483" t="s">
        <v>19</v>
      </c>
      <c r="C483">
        <v>635</v>
      </c>
      <c r="D483">
        <v>1</v>
      </c>
      <c r="E483" t="s">
        <v>53</v>
      </c>
      <c r="F483" t="s">
        <v>48</v>
      </c>
      <c r="G483" t="str">
        <f>"2026-06-24 01:32:12.457"</f>
        <v>2026-06-24 01:32:12.457</v>
      </c>
      <c r="H483" t="s">
        <v>22</v>
      </c>
      <c r="I483">
        <v>0.85</v>
      </c>
      <c r="J483" t="s">
        <v>50</v>
      </c>
    </row>
    <row r="484" spans="1:10" x14ac:dyDescent="0.25">
      <c r="A484" s="1">
        <v>84</v>
      </c>
      <c r="B484" t="s">
        <v>28</v>
      </c>
      <c r="C484">
        <v>700</v>
      </c>
      <c r="D484">
        <v>0</v>
      </c>
      <c r="E484" t="s">
        <v>34</v>
      </c>
      <c r="F484" t="s">
        <v>34</v>
      </c>
      <c r="G484" t="str">
        <f>"2026-06-24 01:16:27.527"</f>
        <v>2026-06-24 01:16:27.527</v>
      </c>
      <c r="H484" t="s">
        <v>22</v>
      </c>
      <c r="I484">
        <v>0</v>
      </c>
      <c r="J484" t="s">
        <v>46</v>
      </c>
    </row>
    <row r="485" spans="1:10" x14ac:dyDescent="0.25">
      <c r="A485" s="1">
        <v>85</v>
      </c>
      <c r="B485" t="s">
        <v>28</v>
      </c>
      <c r="C485">
        <v>700</v>
      </c>
      <c r="D485">
        <v>0</v>
      </c>
      <c r="E485" t="s">
        <v>34</v>
      </c>
      <c r="F485" t="s">
        <v>34</v>
      </c>
      <c r="G485" t="str">
        <f>"2026-06-23 21:57:42.539"</f>
        <v>2026-06-23 21:57:42.539</v>
      </c>
      <c r="H485" t="s">
        <v>22</v>
      </c>
    </row>
    <row r="486" spans="1:10" x14ac:dyDescent="0.25">
      <c r="A486" s="1">
        <v>86</v>
      </c>
      <c r="B486" t="s">
        <v>37</v>
      </c>
      <c r="C486">
        <v>61</v>
      </c>
      <c r="D486">
        <v>2</v>
      </c>
      <c r="E486" t="s">
        <v>69</v>
      </c>
      <c r="F486" t="s">
        <v>70</v>
      </c>
      <c r="G486" t="str">
        <f>"2026-06-23 18:34:32.277"</f>
        <v>2026-06-23 18:34:32.277</v>
      </c>
      <c r="H486" t="s">
        <v>22</v>
      </c>
    </row>
    <row r="487" spans="1:10" x14ac:dyDescent="0.25">
      <c r="A487" s="1">
        <v>87</v>
      </c>
      <c r="B487" t="s">
        <v>60</v>
      </c>
      <c r="C487">
        <v>61</v>
      </c>
      <c r="D487">
        <v>2</v>
      </c>
      <c r="E487" t="s">
        <v>69</v>
      </c>
      <c r="F487" t="s">
        <v>70</v>
      </c>
      <c r="G487" t="str">
        <f>"2026-06-23 18:34:21.877"</f>
        <v>2026-06-23 18:34:21.877</v>
      </c>
      <c r="H487" t="s">
        <v>22</v>
      </c>
      <c r="I487">
        <v>35.93</v>
      </c>
      <c r="J487" t="s">
        <v>45</v>
      </c>
    </row>
    <row r="488" spans="1:10" x14ac:dyDescent="0.25">
      <c r="A488" s="1">
        <v>88</v>
      </c>
      <c r="B488" t="s">
        <v>37</v>
      </c>
      <c r="C488">
        <v>635</v>
      </c>
      <c r="D488">
        <v>1</v>
      </c>
      <c r="E488" t="s">
        <v>53</v>
      </c>
      <c r="F488" t="s">
        <v>48</v>
      </c>
      <c r="G488" t="str">
        <f>"2026-06-23 16:00:10.276"</f>
        <v>2026-06-23 16:00:10.276</v>
      </c>
      <c r="H488" t="s">
        <v>22</v>
      </c>
    </row>
    <row r="489" spans="1:10" x14ac:dyDescent="0.25">
      <c r="A489" s="1">
        <v>89</v>
      </c>
      <c r="B489" t="s">
        <v>19</v>
      </c>
      <c r="C489">
        <v>635</v>
      </c>
      <c r="D489">
        <v>1</v>
      </c>
      <c r="E489" t="s">
        <v>53</v>
      </c>
      <c r="F489" t="s">
        <v>48</v>
      </c>
      <c r="G489" t="str">
        <f>"2026-06-23 15:57:33.276"</f>
        <v>2026-06-23 15:57:33.276</v>
      </c>
      <c r="H489" t="s">
        <v>22</v>
      </c>
      <c r="I489">
        <v>3.4</v>
      </c>
      <c r="J489" t="s">
        <v>50</v>
      </c>
    </row>
    <row r="490" spans="1:10" x14ac:dyDescent="0.25">
      <c r="A490" s="1">
        <v>90</v>
      </c>
      <c r="B490" t="s">
        <v>28</v>
      </c>
      <c r="C490">
        <v>700</v>
      </c>
      <c r="D490">
        <v>0</v>
      </c>
      <c r="E490" t="s">
        <v>34</v>
      </c>
      <c r="F490" t="s">
        <v>34</v>
      </c>
      <c r="G490" t="str">
        <f>"2026-06-23 07:41:48.544"</f>
        <v>2026-06-23 07:41:48.544</v>
      </c>
      <c r="H490" t="s">
        <v>22</v>
      </c>
      <c r="I490">
        <v>0</v>
      </c>
      <c r="J490" t="s">
        <v>46</v>
      </c>
    </row>
    <row r="491" spans="1:10" s="3" customFormat="1" x14ac:dyDescent="0.25">
      <c r="A491" s="2">
        <v>91</v>
      </c>
      <c r="B491" s="3" t="s">
        <v>37</v>
      </c>
      <c r="C491" s="3">
        <v>647</v>
      </c>
      <c r="D491" s="3">
        <v>1</v>
      </c>
      <c r="E491" s="3" t="s">
        <v>43</v>
      </c>
      <c r="F491" s="3" t="s">
        <v>44</v>
      </c>
      <c r="G491" s="3" t="str">
        <f>"2026-06-23 07:24:43.239"</f>
        <v>2026-06-23 07:24:43.239</v>
      </c>
      <c r="H491" s="3" t="s">
        <v>22</v>
      </c>
    </row>
    <row r="492" spans="1:10" s="3" customFormat="1" x14ac:dyDescent="0.25">
      <c r="A492" s="2">
        <v>92</v>
      </c>
      <c r="B492" s="3" t="s">
        <v>19</v>
      </c>
      <c r="C492" s="3">
        <v>647</v>
      </c>
      <c r="D492" s="3">
        <v>1</v>
      </c>
      <c r="E492" s="3" t="s">
        <v>43</v>
      </c>
      <c r="F492" s="3" t="s">
        <v>44</v>
      </c>
      <c r="G492" s="3" t="str">
        <f>"2026-06-23 07:24:41.740"</f>
        <v>2026-06-23 07:24:41.740</v>
      </c>
      <c r="H492" s="3" t="s">
        <v>22</v>
      </c>
      <c r="I492" s="3">
        <v>15.27</v>
      </c>
      <c r="J492" s="3" t="s">
        <v>45</v>
      </c>
    </row>
    <row r="493" spans="1:10" x14ac:dyDescent="0.25">
      <c r="A493" s="1">
        <v>93</v>
      </c>
      <c r="B493" t="s">
        <v>28</v>
      </c>
      <c r="C493">
        <v>700</v>
      </c>
      <c r="D493">
        <v>0</v>
      </c>
      <c r="E493" t="s">
        <v>34</v>
      </c>
      <c r="F493" t="s">
        <v>34</v>
      </c>
      <c r="G493" t="str">
        <f>"2026-06-23 03:17:55.502"</f>
        <v>2026-06-23 03:17:55.502</v>
      </c>
      <c r="H493" t="s">
        <v>22</v>
      </c>
    </row>
    <row r="494" spans="1:10" x14ac:dyDescent="0.25">
      <c r="A494" s="1">
        <v>94</v>
      </c>
      <c r="B494" t="s">
        <v>28</v>
      </c>
      <c r="C494">
        <v>700</v>
      </c>
      <c r="D494">
        <v>0</v>
      </c>
      <c r="E494" t="s">
        <v>34</v>
      </c>
      <c r="F494" t="s">
        <v>34</v>
      </c>
      <c r="G494" t="str">
        <f>"2026-06-23 02:33:32.520"</f>
        <v>2026-06-23 02:33:32.520</v>
      </c>
      <c r="H494" t="s">
        <v>22</v>
      </c>
      <c r="I494">
        <v>0</v>
      </c>
      <c r="J494" t="s">
        <v>46</v>
      </c>
    </row>
    <row r="495" spans="1:10" s="3" customFormat="1" x14ac:dyDescent="0.25">
      <c r="A495" s="2">
        <v>95</v>
      </c>
      <c r="B495" s="3" t="s">
        <v>37</v>
      </c>
      <c r="C495" s="3">
        <v>647</v>
      </c>
      <c r="D495" s="3">
        <v>1</v>
      </c>
      <c r="E495" s="3" t="s">
        <v>43</v>
      </c>
      <c r="F495" s="3" t="s">
        <v>44</v>
      </c>
      <c r="G495" s="3" t="str">
        <f>"2026-06-23 01:47:59.240"</f>
        <v>2026-06-23 01:47:59.240</v>
      </c>
      <c r="H495" s="3" t="s">
        <v>22</v>
      </c>
    </row>
    <row r="496" spans="1:10" s="3" customFormat="1" x14ac:dyDescent="0.25">
      <c r="A496" s="2">
        <v>96</v>
      </c>
      <c r="B496" s="3" t="s">
        <v>19</v>
      </c>
      <c r="C496" s="3">
        <v>647</v>
      </c>
      <c r="D496" s="3">
        <v>1</v>
      </c>
      <c r="E496" s="3" t="s">
        <v>43</v>
      </c>
      <c r="F496" s="3" t="s">
        <v>44</v>
      </c>
      <c r="G496" s="3" t="str">
        <f>"2026-06-23 01:47:57.340"</f>
        <v>2026-06-23 01:47:57.340</v>
      </c>
      <c r="H496" s="3" t="s">
        <v>22</v>
      </c>
      <c r="I496" s="3">
        <v>10.97</v>
      </c>
      <c r="J496" s="3" t="s">
        <v>45</v>
      </c>
    </row>
    <row r="497" spans="1:10" s="3" customFormat="1" x14ac:dyDescent="0.25">
      <c r="A497" s="2">
        <v>97</v>
      </c>
      <c r="B497" s="3" t="s">
        <v>37</v>
      </c>
      <c r="C497" s="3">
        <v>647</v>
      </c>
      <c r="D497" s="3">
        <v>1</v>
      </c>
      <c r="E497" s="3" t="s">
        <v>43</v>
      </c>
      <c r="F497" s="3" t="s">
        <v>44</v>
      </c>
      <c r="G497" s="3" t="str">
        <f>"2026-06-23 01:47:43.040"</f>
        <v>2026-06-23 01:47:43.040</v>
      </c>
      <c r="H497" s="3" t="s">
        <v>22</v>
      </c>
    </row>
    <row r="498" spans="1:10" s="3" customFormat="1" x14ac:dyDescent="0.25">
      <c r="A498" s="2">
        <v>98</v>
      </c>
      <c r="B498" s="3" t="s">
        <v>19</v>
      </c>
      <c r="C498" s="3">
        <v>647</v>
      </c>
      <c r="D498" s="3">
        <v>1</v>
      </c>
      <c r="E498" s="3" t="s">
        <v>43</v>
      </c>
      <c r="F498" s="3" t="s">
        <v>44</v>
      </c>
      <c r="G498" s="3" t="str">
        <f>"2026-06-23 01:47:38.541"</f>
        <v>2026-06-23 01:47:38.541</v>
      </c>
      <c r="H498" s="3" t="s">
        <v>22</v>
      </c>
      <c r="I498" s="3">
        <v>12.7</v>
      </c>
      <c r="J498" s="3" t="s">
        <v>45</v>
      </c>
    </row>
    <row r="499" spans="1:10" x14ac:dyDescent="0.25">
      <c r="A499" s="1">
        <v>99</v>
      </c>
      <c r="B499" t="s">
        <v>28</v>
      </c>
      <c r="C499">
        <v>706</v>
      </c>
      <c r="D499">
        <v>4</v>
      </c>
      <c r="E499" t="s">
        <v>35</v>
      </c>
      <c r="F499" t="s">
        <v>36</v>
      </c>
      <c r="G499" t="str">
        <f>"2026-06-23 01:38:34.022"</f>
        <v>2026-06-23 01:38:34.022</v>
      </c>
      <c r="H499" t="s">
        <v>22</v>
      </c>
      <c r="I499">
        <v>0</v>
      </c>
      <c r="J499" t="s">
        <v>23</v>
      </c>
    </row>
    <row r="500" spans="1:10" x14ac:dyDescent="0.25">
      <c r="A500" s="1">
        <v>0</v>
      </c>
      <c r="B500" t="s">
        <v>28</v>
      </c>
      <c r="C500">
        <v>700</v>
      </c>
      <c r="D500">
        <v>0</v>
      </c>
      <c r="E500" t="s">
        <v>34</v>
      </c>
      <c r="F500" t="s">
        <v>34</v>
      </c>
      <c r="G500" t="str">
        <f>"2026-06-22 05:36:33.502"</f>
        <v>2026-06-22 05:36:33.502</v>
      </c>
      <c r="H500" t="s">
        <v>22</v>
      </c>
    </row>
    <row r="501" spans="1:10" x14ac:dyDescent="0.25">
      <c r="A501" s="1">
        <v>1</v>
      </c>
      <c r="B501" t="s">
        <v>28</v>
      </c>
      <c r="C501">
        <v>700</v>
      </c>
      <c r="D501">
        <v>0</v>
      </c>
      <c r="E501" t="s">
        <v>34</v>
      </c>
      <c r="F501" t="s">
        <v>34</v>
      </c>
      <c r="G501" t="str">
        <f>"2026-06-22 05:31:56.665"</f>
        <v>2026-06-22 05:31:56.665</v>
      </c>
      <c r="H501" t="s">
        <v>22</v>
      </c>
    </row>
    <row r="502" spans="1:10" x14ac:dyDescent="0.25">
      <c r="A502" s="1">
        <v>2</v>
      </c>
      <c r="B502" t="s">
        <v>28</v>
      </c>
      <c r="C502">
        <v>706</v>
      </c>
      <c r="D502">
        <v>3</v>
      </c>
      <c r="E502" t="s">
        <v>35</v>
      </c>
      <c r="F502" t="s">
        <v>71</v>
      </c>
      <c r="G502" t="str">
        <f>"2026-06-22 05:22:21.536"</f>
        <v>2026-06-22 05:22:21.536</v>
      </c>
      <c r="H502" t="s">
        <v>22</v>
      </c>
      <c r="I502">
        <v>0</v>
      </c>
      <c r="J502" t="s">
        <v>23</v>
      </c>
    </row>
    <row r="503" spans="1:10" x14ac:dyDescent="0.25">
      <c r="A503" s="1">
        <v>3</v>
      </c>
      <c r="B503" t="s">
        <v>28</v>
      </c>
      <c r="C503">
        <v>700</v>
      </c>
      <c r="D503">
        <v>0</v>
      </c>
      <c r="E503" t="s">
        <v>34</v>
      </c>
      <c r="F503" t="s">
        <v>34</v>
      </c>
      <c r="G503" t="str">
        <f>"2026-06-22 00:36:06.536"</f>
        <v>2026-06-22 00:36:06.536</v>
      </c>
      <c r="H503" t="s">
        <v>22</v>
      </c>
      <c r="I503">
        <v>0</v>
      </c>
      <c r="J503" t="s">
        <v>46</v>
      </c>
    </row>
    <row r="504" spans="1:10" x14ac:dyDescent="0.25">
      <c r="A504" s="1">
        <v>4</v>
      </c>
      <c r="B504" t="s">
        <v>37</v>
      </c>
      <c r="C504">
        <v>635</v>
      </c>
      <c r="D504">
        <v>1</v>
      </c>
      <c r="E504" t="s">
        <v>53</v>
      </c>
      <c r="F504" t="s">
        <v>48</v>
      </c>
      <c r="G504" t="str">
        <f>"2026-06-21 21:20:41.857"</f>
        <v>2026-06-21 21:20:41.857</v>
      </c>
      <c r="H504" t="s">
        <v>22</v>
      </c>
    </row>
    <row r="505" spans="1:10" x14ac:dyDescent="0.25">
      <c r="A505" s="1">
        <v>5</v>
      </c>
      <c r="B505" t="s">
        <v>19</v>
      </c>
      <c r="C505">
        <v>635</v>
      </c>
      <c r="D505">
        <v>1</v>
      </c>
      <c r="E505" t="s">
        <v>53</v>
      </c>
      <c r="F505" t="s">
        <v>48</v>
      </c>
      <c r="G505" t="str">
        <f>"2026-06-21 21:17:37.357"</f>
        <v>2026-06-21 21:17:37.357</v>
      </c>
      <c r="H505" t="s">
        <v>22</v>
      </c>
      <c r="I505">
        <v>8.44</v>
      </c>
      <c r="J505" t="s">
        <v>54</v>
      </c>
    </row>
    <row r="506" spans="1:10" x14ac:dyDescent="0.25">
      <c r="A506" s="1">
        <v>6</v>
      </c>
      <c r="B506" t="s">
        <v>28</v>
      </c>
      <c r="C506">
        <v>700</v>
      </c>
      <c r="D506">
        <v>0</v>
      </c>
      <c r="E506" t="s">
        <v>34</v>
      </c>
      <c r="F506" t="s">
        <v>34</v>
      </c>
      <c r="G506" t="str">
        <f>"2026-06-21 17:35:09.509"</f>
        <v>2026-06-21 17:35:09.509</v>
      </c>
      <c r="H506" t="s">
        <v>22</v>
      </c>
    </row>
    <row r="507" spans="1:10" x14ac:dyDescent="0.25">
      <c r="A507" s="1">
        <v>7</v>
      </c>
      <c r="B507" t="s">
        <v>28</v>
      </c>
      <c r="C507">
        <v>700</v>
      </c>
      <c r="D507">
        <v>0</v>
      </c>
      <c r="E507" t="s">
        <v>34</v>
      </c>
      <c r="F507" t="s">
        <v>34</v>
      </c>
      <c r="G507" t="str">
        <f>"2026-06-21 16:41:18.505"</f>
        <v>2026-06-21 16:41:18.505</v>
      </c>
      <c r="H507" t="s">
        <v>22</v>
      </c>
      <c r="I507">
        <v>0</v>
      </c>
      <c r="J507" t="s">
        <v>46</v>
      </c>
    </row>
    <row r="508" spans="1:10" x14ac:dyDescent="0.25">
      <c r="A508" s="1">
        <v>8</v>
      </c>
      <c r="B508" t="s">
        <v>28</v>
      </c>
      <c r="C508">
        <v>700</v>
      </c>
      <c r="D508">
        <v>0</v>
      </c>
      <c r="E508" t="s">
        <v>34</v>
      </c>
      <c r="F508" t="s">
        <v>34</v>
      </c>
      <c r="G508" t="str">
        <f>"2026-06-21 15:26:09.519"</f>
        <v>2026-06-21 15:26:09.519</v>
      </c>
      <c r="H508" t="s">
        <v>22</v>
      </c>
      <c r="I508">
        <v>0</v>
      </c>
      <c r="J508" t="s">
        <v>46</v>
      </c>
    </row>
    <row r="509" spans="1:10" x14ac:dyDescent="0.25">
      <c r="A509" s="1">
        <v>9</v>
      </c>
      <c r="B509" t="s">
        <v>28</v>
      </c>
      <c r="C509">
        <v>700</v>
      </c>
      <c r="D509">
        <v>0</v>
      </c>
      <c r="E509" t="s">
        <v>34</v>
      </c>
      <c r="F509" t="s">
        <v>34</v>
      </c>
      <c r="G509" t="str">
        <f>"2026-06-21 15:20:56.506"</f>
        <v>2026-06-21 15:20:56.506</v>
      </c>
      <c r="H509" t="s">
        <v>22</v>
      </c>
    </row>
    <row r="510" spans="1:10" x14ac:dyDescent="0.25">
      <c r="A510" s="1">
        <v>10</v>
      </c>
      <c r="B510" t="s">
        <v>28</v>
      </c>
      <c r="C510">
        <v>700</v>
      </c>
      <c r="D510">
        <v>0</v>
      </c>
      <c r="E510" t="s">
        <v>34</v>
      </c>
      <c r="F510" t="s">
        <v>34</v>
      </c>
      <c r="G510" t="str">
        <f>"2026-06-21 15:19:27.510"</f>
        <v>2026-06-21 15:19:27.510</v>
      </c>
      <c r="H510" t="s">
        <v>22</v>
      </c>
      <c r="I510">
        <v>0</v>
      </c>
      <c r="J510" t="s">
        <v>46</v>
      </c>
    </row>
    <row r="511" spans="1:10" x14ac:dyDescent="0.25">
      <c r="A511" s="1">
        <v>11</v>
      </c>
      <c r="B511" t="s">
        <v>28</v>
      </c>
      <c r="C511">
        <v>700</v>
      </c>
      <c r="D511">
        <v>0</v>
      </c>
      <c r="E511" t="s">
        <v>34</v>
      </c>
      <c r="F511" t="s">
        <v>34</v>
      </c>
      <c r="G511" t="str">
        <f>"2026-06-21 09:07:59.517"</f>
        <v>2026-06-21 09:07:59.517</v>
      </c>
      <c r="H511" t="s">
        <v>22</v>
      </c>
      <c r="I511">
        <v>0</v>
      </c>
      <c r="J511" t="s">
        <v>46</v>
      </c>
    </row>
    <row r="512" spans="1:10" x14ac:dyDescent="0.25">
      <c r="A512" s="1">
        <v>12</v>
      </c>
      <c r="B512" t="s">
        <v>28</v>
      </c>
      <c r="C512">
        <v>700</v>
      </c>
      <c r="D512">
        <v>0</v>
      </c>
      <c r="E512" t="s">
        <v>34</v>
      </c>
      <c r="F512" t="s">
        <v>34</v>
      </c>
      <c r="G512" t="str">
        <f>"2026-06-21 07:43:08.506"</f>
        <v>2026-06-21 07:43:08.506</v>
      </c>
      <c r="H512" t="s">
        <v>22</v>
      </c>
      <c r="I512">
        <v>0</v>
      </c>
      <c r="J512" t="s">
        <v>46</v>
      </c>
    </row>
    <row r="513" spans="1:10" x14ac:dyDescent="0.25">
      <c r="A513" s="1">
        <v>13</v>
      </c>
      <c r="B513" t="s">
        <v>28</v>
      </c>
      <c r="C513">
        <v>700</v>
      </c>
      <c r="D513">
        <v>0</v>
      </c>
      <c r="E513" t="s">
        <v>34</v>
      </c>
      <c r="F513" t="s">
        <v>34</v>
      </c>
      <c r="G513" t="str">
        <f>"2026-06-21 02:03:09.531"</f>
        <v>2026-06-21 02:03:09.531</v>
      </c>
      <c r="H513" t="s">
        <v>22</v>
      </c>
      <c r="I513">
        <v>0</v>
      </c>
      <c r="J513" t="s">
        <v>46</v>
      </c>
    </row>
    <row r="514" spans="1:10" x14ac:dyDescent="0.25">
      <c r="A514" s="1">
        <v>14</v>
      </c>
      <c r="B514" t="s">
        <v>28</v>
      </c>
      <c r="C514">
        <v>700</v>
      </c>
      <c r="D514">
        <v>0</v>
      </c>
      <c r="E514" t="s">
        <v>34</v>
      </c>
      <c r="F514" t="s">
        <v>34</v>
      </c>
      <c r="G514" t="str">
        <f>"2026-06-20 22:08:49.696"</f>
        <v>2026-06-20 22:08:49.696</v>
      </c>
      <c r="H514" t="s">
        <v>22</v>
      </c>
    </row>
    <row r="515" spans="1:10" x14ac:dyDescent="0.25">
      <c r="A515" s="1">
        <v>15</v>
      </c>
      <c r="B515" t="s">
        <v>28</v>
      </c>
      <c r="C515">
        <v>706</v>
      </c>
      <c r="D515">
        <v>4</v>
      </c>
      <c r="E515" t="s">
        <v>35</v>
      </c>
      <c r="F515" t="s">
        <v>36</v>
      </c>
      <c r="G515" t="str">
        <f>"2026-06-20 20:21:18.403"</f>
        <v>2026-06-20 20:21:18.403</v>
      </c>
      <c r="H515" t="s">
        <v>22</v>
      </c>
      <c r="I515">
        <v>0</v>
      </c>
      <c r="J515" t="s">
        <v>23</v>
      </c>
    </row>
    <row r="516" spans="1:10" x14ac:dyDescent="0.25">
      <c r="A516" s="1">
        <v>16</v>
      </c>
      <c r="B516" t="s">
        <v>28</v>
      </c>
      <c r="C516">
        <v>700</v>
      </c>
      <c r="D516">
        <v>0</v>
      </c>
      <c r="E516" t="s">
        <v>34</v>
      </c>
      <c r="F516" t="s">
        <v>34</v>
      </c>
      <c r="G516" t="str">
        <f>"2026-06-20 19:57:52.513"</f>
        <v>2026-06-20 19:57:52.513</v>
      </c>
      <c r="H516" t="s">
        <v>22</v>
      </c>
      <c r="I516">
        <v>0</v>
      </c>
      <c r="J516" t="s">
        <v>46</v>
      </c>
    </row>
    <row r="517" spans="1:10" x14ac:dyDescent="0.25">
      <c r="A517" s="1">
        <v>17</v>
      </c>
      <c r="B517" t="s">
        <v>28</v>
      </c>
      <c r="C517">
        <v>700</v>
      </c>
      <c r="D517">
        <v>0</v>
      </c>
      <c r="E517" t="s">
        <v>34</v>
      </c>
      <c r="F517" t="s">
        <v>34</v>
      </c>
      <c r="G517" t="str">
        <f>"2026-06-20 17:27:04.505"</f>
        <v>2026-06-20 17:27:04.505</v>
      </c>
      <c r="H517" t="s">
        <v>22</v>
      </c>
    </row>
    <row r="518" spans="1:10" x14ac:dyDescent="0.25">
      <c r="A518" s="1">
        <v>18</v>
      </c>
      <c r="B518" t="s">
        <v>28</v>
      </c>
      <c r="C518">
        <v>700</v>
      </c>
      <c r="D518">
        <v>0</v>
      </c>
      <c r="E518" t="s">
        <v>34</v>
      </c>
      <c r="F518" t="s">
        <v>34</v>
      </c>
      <c r="G518" t="str">
        <f>"2026-06-20 17:03:48.528"</f>
        <v>2026-06-20 17:03:48.528</v>
      </c>
      <c r="H518" t="s">
        <v>22</v>
      </c>
    </row>
    <row r="519" spans="1:10" x14ac:dyDescent="0.25">
      <c r="A519" s="1">
        <v>19</v>
      </c>
      <c r="B519" t="s">
        <v>28</v>
      </c>
      <c r="C519">
        <v>706</v>
      </c>
      <c r="D519">
        <v>2</v>
      </c>
      <c r="E519" t="s">
        <v>35</v>
      </c>
      <c r="F519" t="s">
        <v>42</v>
      </c>
      <c r="G519" t="str">
        <f>"2026-06-20 16:57:26.989"</f>
        <v>2026-06-20 16:57:26.989</v>
      </c>
      <c r="H519" t="s">
        <v>22</v>
      </c>
      <c r="I519">
        <v>0</v>
      </c>
      <c r="J519" t="s">
        <v>23</v>
      </c>
    </row>
    <row r="520" spans="1:10" x14ac:dyDescent="0.25">
      <c r="A520" s="1">
        <v>20</v>
      </c>
      <c r="B520" t="s">
        <v>61</v>
      </c>
      <c r="C520">
        <v>86</v>
      </c>
      <c r="D520">
        <v>8</v>
      </c>
      <c r="E520" t="s">
        <v>62</v>
      </c>
      <c r="F520" t="s">
        <v>63</v>
      </c>
      <c r="G520" t="str">
        <f>"2026-06-20 16:57:23.833"</f>
        <v>2026-06-20 16:57:23.833</v>
      </c>
      <c r="H520" t="s">
        <v>22</v>
      </c>
    </row>
    <row r="521" spans="1:10" x14ac:dyDescent="0.25">
      <c r="A521" s="1">
        <v>21</v>
      </c>
      <c r="B521" t="s">
        <v>28</v>
      </c>
      <c r="C521">
        <v>706</v>
      </c>
      <c r="D521">
        <v>3</v>
      </c>
      <c r="E521" t="s">
        <v>35</v>
      </c>
      <c r="F521" t="s">
        <v>71</v>
      </c>
      <c r="G521" t="str">
        <f>"2026-06-20 16:57:15.669"</f>
        <v>2026-06-20 16:57:15.669</v>
      </c>
      <c r="H521" t="s">
        <v>22</v>
      </c>
      <c r="I521">
        <v>0</v>
      </c>
      <c r="J521" t="s">
        <v>23</v>
      </c>
    </row>
    <row r="522" spans="1:10" x14ac:dyDescent="0.25">
      <c r="A522" s="1">
        <v>22</v>
      </c>
      <c r="B522" t="s">
        <v>60</v>
      </c>
      <c r="C522">
        <v>86</v>
      </c>
      <c r="D522">
        <v>8</v>
      </c>
      <c r="E522" t="s">
        <v>62</v>
      </c>
      <c r="F522" t="s">
        <v>63</v>
      </c>
      <c r="G522" t="str">
        <f>"2026-06-20 16:56:53.800"</f>
        <v>2026-06-20 16:56:53.800</v>
      </c>
      <c r="H522" t="s">
        <v>22</v>
      </c>
      <c r="I522">
        <v>0</v>
      </c>
      <c r="J522" t="s">
        <v>23</v>
      </c>
    </row>
    <row r="523" spans="1:10" x14ac:dyDescent="0.25">
      <c r="A523" s="1">
        <v>23</v>
      </c>
      <c r="B523" t="s">
        <v>28</v>
      </c>
      <c r="C523">
        <v>700</v>
      </c>
      <c r="D523">
        <v>0</v>
      </c>
      <c r="E523" t="s">
        <v>34</v>
      </c>
      <c r="F523" t="s">
        <v>34</v>
      </c>
      <c r="G523" t="str">
        <f>"2026-06-20 16:56:45.829"</f>
        <v>2026-06-20 16:56:45.829</v>
      </c>
      <c r="H523" t="s">
        <v>22</v>
      </c>
      <c r="I523">
        <v>0</v>
      </c>
      <c r="J523" t="s">
        <v>46</v>
      </c>
    </row>
    <row r="524" spans="1:10" x14ac:dyDescent="0.25">
      <c r="A524" s="1">
        <v>24</v>
      </c>
      <c r="B524" t="s">
        <v>28</v>
      </c>
      <c r="C524">
        <v>700</v>
      </c>
      <c r="D524">
        <v>0</v>
      </c>
      <c r="E524" t="s">
        <v>34</v>
      </c>
      <c r="F524" t="s">
        <v>34</v>
      </c>
      <c r="G524" t="str">
        <f>"2026-06-20 16:19:57.681"</f>
        <v>2026-06-20 16:19:57.681</v>
      </c>
      <c r="H524" t="s">
        <v>22</v>
      </c>
      <c r="I524">
        <v>0</v>
      </c>
      <c r="J524" t="s">
        <v>46</v>
      </c>
    </row>
    <row r="525" spans="1:10" x14ac:dyDescent="0.25">
      <c r="A525" s="1">
        <v>25</v>
      </c>
      <c r="B525" t="s">
        <v>28</v>
      </c>
      <c r="C525">
        <v>700</v>
      </c>
      <c r="D525">
        <v>0</v>
      </c>
      <c r="E525" t="s">
        <v>34</v>
      </c>
      <c r="F525" t="s">
        <v>34</v>
      </c>
      <c r="G525" t="str">
        <f>"2026-06-20 16:04:14.530"</f>
        <v>2026-06-20 16:04:14.530</v>
      </c>
      <c r="H525" t="s">
        <v>22</v>
      </c>
      <c r="I525">
        <v>0</v>
      </c>
      <c r="J525" t="s">
        <v>46</v>
      </c>
    </row>
    <row r="526" spans="1:10" s="3" customFormat="1" x14ac:dyDescent="0.25">
      <c r="A526" s="2">
        <v>26</v>
      </c>
      <c r="B526" s="3" t="s">
        <v>37</v>
      </c>
      <c r="C526" s="3">
        <v>647</v>
      </c>
      <c r="D526" s="3">
        <v>1</v>
      </c>
      <c r="E526" s="3" t="s">
        <v>43</v>
      </c>
      <c r="F526" s="3" t="s">
        <v>44</v>
      </c>
      <c r="G526" s="3" t="str">
        <f>"2026-06-20 14:15:12.271"</f>
        <v>2026-06-20 14:15:12.271</v>
      </c>
      <c r="H526" s="3" t="s">
        <v>22</v>
      </c>
    </row>
    <row r="527" spans="1:10" s="3" customFormat="1" x14ac:dyDescent="0.25">
      <c r="A527" s="2">
        <v>27</v>
      </c>
      <c r="B527" s="3" t="s">
        <v>19</v>
      </c>
      <c r="C527" s="3">
        <v>647</v>
      </c>
      <c r="D527" s="3">
        <v>1</v>
      </c>
      <c r="E527" s="3" t="s">
        <v>43</v>
      </c>
      <c r="F527" s="3" t="s">
        <v>44</v>
      </c>
      <c r="G527" s="3" t="str">
        <f>"2026-06-20 14:15:09.171"</f>
        <v>2026-06-20 14:15:09.171</v>
      </c>
      <c r="H527" s="3" t="s">
        <v>22</v>
      </c>
      <c r="I527" s="3">
        <v>11.96</v>
      </c>
      <c r="J527" s="3" t="s">
        <v>45</v>
      </c>
    </row>
    <row r="528" spans="1:10" x14ac:dyDescent="0.25">
      <c r="A528" s="1">
        <v>28</v>
      </c>
      <c r="B528" t="s">
        <v>28</v>
      </c>
      <c r="C528">
        <v>700</v>
      </c>
      <c r="D528">
        <v>0</v>
      </c>
      <c r="E528" t="s">
        <v>34</v>
      </c>
      <c r="F528" t="s">
        <v>34</v>
      </c>
      <c r="G528" t="str">
        <f>"2026-06-20 14:12:14.529"</f>
        <v>2026-06-20 14:12:14.529</v>
      </c>
      <c r="H528" t="s">
        <v>22</v>
      </c>
      <c r="I528">
        <v>0</v>
      </c>
      <c r="J528" t="s">
        <v>46</v>
      </c>
    </row>
    <row r="529" spans="1:10" x14ac:dyDescent="0.25">
      <c r="A529" s="1">
        <v>29</v>
      </c>
      <c r="B529" t="s">
        <v>28</v>
      </c>
      <c r="C529">
        <v>700</v>
      </c>
      <c r="D529">
        <v>0</v>
      </c>
      <c r="E529" t="s">
        <v>34</v>
      </c>
      <c r="F529" t="s">
        <v>34</v>
      </c>
      <c r="G529" t="str">
        <f>"2026-06-20 02:20:45.522"</f>
        <v>2026-06-20 02:20:45.522</v>
      </c>
      <c r="H529" t="s">
        <v>22</v>
      </c>
    </row>
    <row r="530" spans="1:10" x14ac:dyDescent="0.25">
      <c r="A530" s="1">
        <v>30</v>
      </c>
      <c r="B530" t="s">
        <v>28</v>
      </c>
      <c r="C530">
        <v>706</v>
      </c>
      <c r="D530">
        <v>4</v>
      </c>
      <c r="E530" t="s">
        <v>35</v>
      </c>
      <c r="F530" t="s">
        <v>36</v>
      </c>
      <c r="G530" t="str">
        <f>"2026-06-19 21:38:22.881"</f>
        <v>2026-06-19 21:38:22.881</v>
      </c>
      <c r="H530" t="s">
        <v>22</v>
      </c>
      <c r="I530">
        <v>0</v>
      </c>
      <c r="J530" t="s">
        <v>23</v>
      </c>
    </row>
    <row r="531" spans="1:10" x14ac:dyDescent="0.25">
      <c r="A531" s="1">
        <v>31</v>
      </c>
      <c r="B531" t="s">
        <v>28</v>
      </c>
      <c r="C531">
        <v>700</v>
      </c>
      <c r="D531">
        <v>0</v>
      </c>
      <c r="E531" t="s">
        <v>34</v>
      </c>
      <c r="F531" t="s">
        <v>34</v>
      </c>
      <c r="G531" t="str">
        <f>"2026-06-19 21:38:08.491"</f>
        <v>2026-06-19 21:38:08.491</v>
      </c>
      <c r="H531" t="s">
        <v>22</v>
      </c>
    </row>
    <row r="532" spans="1:10" x14ac:dyDescent="0.25">
      <c r="A532" s="1">
        <v>32</v>
      </c>
      <c r="B532" t="s">
        <v>28</v>
      </c>
      <c r="C532">
        <v>700</v>
      </c>
      <c r="D532">
        <v>0</v>
      </c>
      <c r="E532" t="s">
        <v>34</v>
      </c>
      <c r="F532" t="s">
        <v>34</v>
      </c>
      <c r="G532" t="str">
        <f>"2026-06-19 20:41:13.519"</f>
        <v>2026-06-19 20:41:13.519</v>
      </c>
      <c r="H532" t="s">
        <v>22</v>
      </c>
      <c r="I532">
        <v>0</v>
      </c>
      <c r="J532" t="s">
        <v>46</v>
      </c>
    </row>
    <row r="533" spans="1:10" x14ac:dyDescent="0.25">
      <c r="A533" s="1">
        <v>33</v>
      </c>
      <c r="B533" t="s">
        <v>28</v>
      </c>
      <c r="C533">
        <v>706</v>
      </c>
      <c r="D533">
        <v>4</v>
      </c>
      <c r="E533" t="s">
        <v>35</v>
      </c>
      <c r="F533" t="s">
        <v>36</v>
      </c>
      <c r="G533" t="str">
        <f>"2026-06-19 20:06:47.841"</f>
        <v>2026-06-19 20:06:47.841</v>
      </c>
      <c r="H533" t="s">
        <v>22</v>
      </c>
      <c r="I533">
        <v>0</v>
      </c>
      <c r="J533" t="s">
        <v>23</v>
      </c>
    </row>
    <row r="534" spans="1:10" x14ac:dyDescent="0.25">
      <c r="A534" s="1">
        <v>34</v>
      </c>
      <c r="B534" t="s">
        <v>28</v>
      </c>
      <c r="C534">
        <v>700</v>
      </c>
      <c r="D534">
        <v>0</v>
      </c>
      <c r="E534" t="s">
        <v>34</v>
      </c>
      <c r="F534" t="s">
        <v>34</v>
      </c>
      <c r="G534" t="str">
        <f>"2026-06-19 20:02:49.511"</f>
        <v>2026-06-19 20:02:49.511</v>
      </c>
      <c r="H534" t="s">
        <v>22</v>
      </c>
      <c r="I534">
        <v>0</v>
      </c>
      <c r="J534" t="s">
        <v>46</v>
      </c>
    </row>
    <row r="535" spans="1:10" x14ac:dyDescent="0.25">
      <c r="A535" s="1">
        <v>35</v>
      </c>
      <c r="B535" t="s">
        <v>28</v>
      </c>
      <c r="C535">
        <v>706</v>
      </c>
      <c r="D535">
        <v>2</v>
      </c>
      <c r="E535" t="s">
        <v>35</v>
      </c>
      <c r="F535" t="s">
        <v>42</v>
      </c>
      <c r="G535" t="str">
        <f>"2026-06-19 15:11:23.673"</f>
        <v>2026-06-19 15:11:23.673</v>
      </c>
      <c r="H535" t="s">
        <v>22</v>
      </c>
      <c r="I535">
        <v>0</v>
      </c>
      <c r="J535" t="s">
        <v>23</v>
      </c>
    </row>
    <row r="536" spans="1:10" x14ac:dyDescent="0.25">
      <c r="A536" s="1">
        <v>36</v>
      </c>
      <c r="B536" t="s">
        <v>28</v>
      </c>
      <c r="C536">
        <v>706</v>
      </c>
      <c r="D536">
        <v>4</v>
      </c>
      <c r="E536" t="s">
        <v>35</v>
      </c>
      <c r="F536" t="s">
        <v>36</v>
      </c>
      <c r="G536" t="str">
        <f>"2026-06-19 14:51:08.053"</f>
        <v>2026-06-19 14:51:08.053</v>
      </c>
      <c r="H536" t="s">
        <v>22</v>
      </c>
      <c r="I536">
        <v>0</v>
      </c>
      <c r="J536" t="s">
        <v>23</v>
      </c>
    </row>
    <row r="537" spans="1:10" x14ac:dyDescent="0.25">
      <c r="A537" s="1">
        <v>37</v>
      </c>
      <c r="B537" t="s">
        <v>28</v>
      </c>
      <c r="C537">
        <v>700</v>
      </c>
      <c r="D537">
        <v>0</v>
      </c>
      <c r="E537" t="s">
        <v>34</v>
      </c>
      <c r="F537" t="s">
        <v>34</v>
      </c>
      <c r="G537" t="str">
        <f>"2026-06-19 14:44:35.503"</f>
        <v>2026-06-19 14:44:35.503</v>
      </c>
      <c r="H537" t="s">
        <v>22</v>
      </c>
    </row>
    <row r="538" spans="1:10" x14ac:dyDescent="0.25">
      <c r="A538" s="1">
        <v>38</v>
      </c>
      <c r="B538" t="s">
        <v>28</v>
      </c>
      <c r="C538">
        <v>706</v>
      </c>
      <c r="D538">
        <v>4</v>
      </c>
      <c r="E538" t="s">
        <v>35</v>
      </c>
      <c r="F538" t="s">
        <v>36</v>
      </c>
      <c r="G538" t="str">
        <f>"2026-06-19 14:21:29.649"</f>
        <v>2026-06-19 14:21:29.649</v>
      </c>
      <c r="H538" t="s">
        <v>22</v>
      </c>
      <c r="I538">
        <v>0</v>
      </c>
      <c r="J538" t="s">
        <v>23</v>
      </c>
    </row>
    <row r="539" spans="1:10" x14ac:dyDescent="0.25">
      <c r="A539" s="1">
        <v>39</v>
      </c>
      <c r="B539" t="s">
        <v>28</v>
      </c>
      <c r="C539">
        <v>700</v>
      </c>
      <c r="D539">
        <v>0</v>
      </c>
      <c r="E539" t="s">
        <v>34</v>
      </c>
      <c r="F539" t="s">
        <v>34</v>
      </c>
      <c r="G539" t="str">
        <f>"2026-06-19 14:17:59.489"</f>
        <v>2026-06-19 14:17:59.489</v>
      </c>
      <c r="H539" t="s">
        <v>22</v>
      </c>
      <c r="I539">
        <v>0</v>
      </c>
      <c r="J539" t="s">
        <v>46</v>
      </c>
    </row>
    <row r="540" spans="1:10" x14ac:dyDescent="0.25">
      <c r="A540" s="1">
        <v>40</v>
      </c>
      <c r="B540" t="s">
        <v>28</v>
      </c>
      <c r="C540">
        <v>706</v>
      </c>
      <c r="D540">
        <v>4</v>
      </c>
      <c r="E540" t="s">
        <v>35</v>
      </c>
      <c r="F540" t="s">
        <v>36</v>
      </c>
      <c r="G540" t="str">
        <f>"2026-06-19 14:06:08.365"</f>
        <v>2026-06-19 14:06:08.365</v>
      </c>
      <c r="H540" t="s">
        <v>22</v>
      </c>
      <c r="I540">
        <v>0</v>
      </c>
      <c r="J540" t="s">
        <v>23</v>
      </c>
    </row>
    <row r="541" spans="1:10" x14ac:dyDescent="0.25">
      <c r="A541" s="1">
        <v>41</v>
      </c>
      <c r="B541" t="s">
        <v>28</v>
      </c>
      <c r="C541">
        <v>700</v>
      </c>
      <c r="D541">
        <v>0</v>
      </c>
      <c r="E541" t="s">
        <v>34</v>
      </c>
      <c r="F541" t="s">
        <v>34</v>
      </c>
      <c r="G541" t="str">
        <f>"2026-06-19 14:05:48.495"</f>
        <v>2026-06-19 14:05:48.495</v>
      </c>
      <c r="H541" t="s">
        <v>22</v>
      </c>
      <c r="I541">
        <v>0</v>
      </c>
      <c r="J541" t="s">
        <v>46</v>
      </c>
    </row>
    <row r="542" spans="1:10" x14ac:dyDescent="0.25">
      <c r="A542" s="1">
        <v>42</v>
      </c>
      <c r="B542" t="s">
        <v>28</v>
      </c>
      <c r="C542">
        <v>700</v>
      </c>
      <c r="D542">
        <v>0</v>
      </c>
      <c r="E542" t="s">
        <v>34</v>
      </c>
      <c r="F542" t="s">
        <v>34</v>
      </c>
      <c r="G542" t="str">
        <f>"2026-06-19 12:15:46.517"</f>
        <v>2026-06-19 12:15:46.517</v>
      </c>
      <c r="H542" t="s">
        <v>22</v>
      </c>
      <c r="I542">
        <v>0</v>
      </c>
      <c r="J542" t="s">
        <v>46</v>
      </c>
    </row>
    <row r="543" spans="1:10" x14ac:dyDescent="0.25">
      <c r="A543" s="1">
        <v>43</v>
      </c>
      <c r="B543" t="s">
        <v>28</v>
      </c>
      <c r="C543">
        <v>700</v>
      </c>
      <c r="D543">
        <v>0</v>
      </c>
      <c r="E543" t="s">
        <v>34</v>
      </c>
      <c r="F543" t="s">
        <v>34</v>
      </c>
      <c r="G543" t="str">
        <f>"2026-06-19 08:46:59.519"</f>
        <v>2026-06-19 08:46:59.519</v>
      </c>
      <c r="H543" t="s">
        <v>22</v>
      </c>
    </row>
    <row r="544" spans="1:10" x14ac:dyDescent="0.25">
      <c r="A544" s="1">
        <v>44</v>
      </c>
      <c r="B544" t="s">
        <v>28</v>
      </c>
      <c r="C544">
        <v>706</v>
      </c>
      <c r="D544">
        <v>4</v>
      </c>
      <c r="E544" t="s">
        <v>35</v>
      </c>
      <c r="F544" t="s">
        <v>36</v>
      </c>
      <c r="G544" t="str">
        <f>"2026-06-19 08:27:13.717"</f>
        <v>2026-06-19 08:27:13.717</v>
      </c>
      <c r="H544" t="s">
        <v>22</v>
      </c>
      <c r="I544">
        <v>0</v>
      </c>
      <c r="J544" t="s">
        <v>23</v>
      </c>
    </row>
    <row r="545" spans="1:10" x14ac:dyDescent="0.25">
      <c r="A545" s="1">
        <v>45</v>
      </c>
      <c r="B545" t="s">
        <v>28</v>
      </c>
      <c r="C545">
        <v>700</v>
      </c>
      <c r="D545">
        <v>0</v>
      </c>
      <c r="E545" t="s">
        <v>34</v>
      </c>
      <c r="F545" t="s">
        <v>34</v>
      </c>
      <c r="G545" t="str">
        <f>"2026-06-19 02:02:08.537"</f>
        <v>2026-06-19 02:02:08.537</v>
      </c>
      <c r="H545" t="s">
        <v>22</v>
      </c>
      <c r="I545">
        <v>0</v>
      </c>
      <c r="J545" t="s">
        <v>46</v>
      </c>
    </row>
    <row r="546" spans="1:10" x14ac:dyDescent="0.25">
      <c r="A546" s="1">
        <v>46</v>
      </c>
      <c r="B546" t="s">
        <v>37</v>
      </c>
      <c r="C546">
        <v>635</v>
      </c>
      <c r="D546">
        <v>1</v>
      </c>
      <c r="E546" t="s">
        <v>53</v>
      </c>
      <c r="F546" t="s">
        <v>48</v>
      </c>
      <c r="G546" t="str">
        <f>"2026-06-19 00:06:20.679"</f>
        <v>2026-06-19 00:06:20.679</v>
      </c>
      <c r="H546" t="s">
        <v>22</v>
      </c>
    </row>
    <row r="547" spans="1:10" x14ac:dyDescent="0.25">
      <c r="A547" s="1">
        <v>47</v>
      </c>
      <c r="B547" t="s">
        <v>19</v>
      </c>
      <c r="C547">
        <v>635</v>
      </c>
      <c r="D547">
        <v>1</v>
      </c>
      <c r="E547" t="s">
        <v>53</v>
      </c>
      <c r="F547" t="s">
        <v>48</v>
      </c>
      <c r="G547" t="str">
        <f>"2026-06-19 00:00:05.679"</f>
        <v>2026-06-19 00:00:05.679</v>
      </c>
      <c r="H547" t="s">
        <v>22</v>
      </c>
      <c r="I547">
        <v>9.16</v>
      </c>
      <c r="J547" t="s">
        <v>54</v>
      </c>
    </row>
    <row r="548" spans="1:10" x14ac:dyDescent="0.25">
      <c r="A548" s="1">
        <v>48</v>
      </c>
      <c r="B548" t="s">
        <v>37</v>
      </c>
      <c r="C548">
        <v>635</v>
      </c>
      <c r="D548">
        <v>1</v>
      </c>
      <c r="E548" t="s">
        <v>53</v>
      </c>
      <c r="F548" t="s">
        <v>48</v>
      </c>
      <c r="G548" t="str">
        <f>"2026-06-18 19:11:55.479"</f>
        <v>2026-06-18 19:11:55.479</v>
      </c>
      <c r="H548" t="s">
        <v>22</v>
      </c>
    </row>
    <row r="549" spans="1:10" x14ac:dyDescent="0.25">
      <c r="A549" s="1">
        <v>49</v>
      </c>
      <c r="B549" t="s">
        <v>19</v>
      </c>
      <c r="C549">
        <v>635</v>
      </c>
      <c r="D549">
        <v>1</v>
      </c>
      <c r="E549" t="s">
        <v>53</v>
      </c>
      <c r="F549" t="s">
        <v>48</v>
      </c>
      <c r="G549" t="str">
        <f>"2026-06-18 19:06:44.479"</f>
        <v>2026-06-18 19:06:44.479</v>
      </c>
      <c r="H549" t="s">
        <v>22</v>
      </c>
      <c r="I549">
        <v>0.03</v>
      </c>
      <c r="J549" t="s">
        <v>50</v>
      </c>
    </row>
    <row r="550" spans="1:10" x14ac:dyDescent="0.25">
      <c r="A550" s="1">
        <v>50</v>
      </c>
      <c r="B550" t="s">
        <v>37</v>
      </c>
      <c r="C550">
        <v>635</v>
      </c>
      <c r="D550">
        <v>1</v>
      </c>
      <c r="E550" t="s">
        <v>53</v>
      </c>
      <c r="F550" t="s">
        <v>48</v>
      </c>
      <c r="G550" t="str">
        <f>"2026-06-18 18:50:16.979"</f>
        <v>2026-06-18 18:50:16.979</v>
      </c>
      <c r="H550" t="s">
        <v>22</v>
      </c>
    </row>
    <row r="551" spans="1:10" x14ac:dyDescent="0.25">
      <c r="A551" s="1">
        <v>51</v>
      </c>
      <c r="B551" t="s">
        <v>19</v>
      </c>
      <c r="C551">
        <v>635</v>
      </c>
      <c r="D551">
        <v>1</v>
      </c>
      <c r="E551" t="s">
        <v>53</v>
      </c>
      <c r="F551" t="s">
        <v>48</v>
      </c>
      <c r="G551" t="str">
        <f>"2026-06-18 18:25:33.079"</f>
        <v>2026-06-18 18:25:33.079</v>
      </c>
      <c r="H551" t="s">
        <v>22</v>
      </c>
      <c r="I551">
        <v>6.21</v>
      </c>
      <c r="J551" t="s">
        <v>54</v>
      </c>
    </row>
    <row r="552" spans="1:10" x14ac:dyDescent="0.25">
      <c r="A552" s="1">
        <v>52</v>
      </c>
      <c r="B552" t="s">
        <v>28</v>
      </c>
      <c r="C552">
        <v>700</v>
      </c>
      <c r="D552">
        <v>0</v>
      </c>
      <c r="E552" t="s">
        <v>34</v>
      </c>
      <c r="F552" t="s">
        <v>34</v>
      </c>
      <c r="G552" t="str">
        <f>"2026-06-18 15:36:40.491"</f>
        <v>2026-06-18 15:36:40.491</v>
      </c>
      <c r="H552" t="s">
        <v>22</v>
      </c>
      <c r="I552">
        <v>0</v>
      </c>
      <c r="J552" t="s">
        <v>46</v>
      </c>
    </row>
    <row r="553" spans="1:10" x14ac:dyDescent="0.25">
      <c r="A553" s="1">
        <v>53</v>
      </c>
      <c r="B553" t="s">
        <v>28</v>
      </c>
      <c r="C553">
        <v>706</v>
      </c>
      <c r="D553">
        <v>2</v>
      </c>
      <c r="E553" t="s">
        <v>35</v>
      </c>
      <c r="F553" t="s">
        <v>42</v>
      </c>
      <c r="G553" t="str">
        <f>"2026-06-18 10:38:17.351"</f>
        <v>2026-06-18 10:38:17.351</v>
      </c>
      <c r="H553" t="s">
        <v>22</v>
      </c>
      <c r="I553">
        <v>0</v>
      </c>
      <c r="J553" t="s">
        <v>23</v>
      </c>
    </row>
    <row r="554" spans="1:10" x14ac:dyDescent="0.25">
      <c r="A554" s="1">
        <v>54</v>
      </c>
      <c r="B554" t="s">
        <v>28</v>
      </c>
      <c r="C554">
        <v>700</v>
      </c>
      <c r="D554">
        <v>0</v>
      </c>
      <c r="E554" t="s">
        <v>34</v>
      </c>
      <c r="F554" t="s">
        <v>34</v>
      </c>
      <c r="G554" t="str">
        <f>"2026-06-18 10:37:31.491"</f>
        <v>2026-06-18 10:37:31.491</v>
      </c>
      <c r="H554" t="s">
        <v>22</v>
      </c>
      <c r="I554">
        <v>0</v>
      </c>
      <c r="J554" t="s">
        <v>46</v>
      </c>
    </row>
    <row r="555" spans="1:10" x14ac:dyDescent="0.25">
      <c r="A555" s="1">
        <v>55</v>
      </c>
      <c r="B555" t="s">
        <v>28</v>
      </c>
      <c r="C555">
        <v>706</v>
      </c>
      <c r="D555">
        <v>4</v>
      </c>
      <c r="E555" t="s">
        <v>35</v>
      </c>
      <c r="F555" t="s">
        <v>36</v>
      </c>
      <c r="G555" t="str">
        <f>"2026-06-18 09:52:28.224"</f>
        <v>2026-06-18 09:52:28.224</v>
      </c>
      <c r="H555" t="s">
        <v>22</v>
      </c>
      <c r="I555">
        <v>0</v>
      </c>
      <c r="J555" t="s">
        <v>23</v>
      </c>
    </row>
    <row r="556" spans="1:10" x14ac:dyDescent="0.25">
      <c r="A556" s="1">
        <v>56</v>
      </c>
      <c r="B556" t="s">
        <v>28</v>
      </c>
      <c r="C556">
        <v>700</v>
      </c>
      <c r="D556">
        <v>0</v>
      </c>
      <c r="E556" t="s">
        <v>34</v>
      </c>
      <c r="F556" t="s">
        <v>34</v>
      </c>
      <c r="G556" t="str">
        <f>"2026-06-18 09:39:12.494"</f>
        <v>2026-06-18 09:39:12.494</v>
      </c>
      <c r="H556" t="s">
        <v>22</v>
      </c>
      <c r="I556">
        <v>0</v>
      </c>
      <c r="J556" t="s">
        <v>46</v>
      </c>
    </row>
    <row r="557" spans="1:10" x14ac:dyDescent="0.25">
      <c r="A557" s="1">
        <v>57</v>
      </c>
      <c r="B557" t="s">
        <v>28</v>
      </c>
      <c r="C557">
        <v>706</v>
      </c>
      <c r="D557">
        <v>2</v>
      </c>
      <c r="E557" t="s">
        <v>35</v>
      </c>
      <c r="F557" t="s">
        <v>42</v>
      </c>
      <c r="G557" t="str">
        <f>"2026-06-18 09:23:27.604"</f>
        <v>2026-06-18 09:23:27.604</v>
      </c>
      <c r="H557" t="s">
        <v>22</v>
      </c>
      <c r="I557">
        <v>0</v>
      </c>
      <c r="J557" t="s">
        <v>23</v>
      </c>
    </row>
    <row r="558" spans="1:10" x14ac:dyDescent="0.25">
      <c r="A558" s="1">
        <v>58</v>
      </c>
      <c r="B558" t="s">
        <v>28</v>
      </c>
      <c r="C558">
        <v>700</v>
      </c>
      <c r="D558">
        <v>0</v>
      </c>
      <c r="E558" t="s">
        <v>34</v>
      </c>
      <c r="F558" t="s">
        <v>34</v>
      </c>
      <c r="G558" t="str">
        <f>"2026-06-18 09:23:06.484"</f>
        <v>2026-06-18 09:23:06.484</v>
      </c>
      <c r="H558" t="s">
        <v>22</v>
      </c>
    </row>
    <row r="559" spans="1:10" x14ac:dyDescent="0.25">
      <c r="A559" s="1">
        <v>59</v>
      </c>
      <c r="B559" t="s">
        <v>28</v>
      </c>
      <c r="C559">
        <v>700</v>
      </c>
      <c r="D559">
        <v>0</v>
      </c>
      <c r="E559" t="s">
        <v>34</v>
      </c>
      <c r="F559" t="s">
        <v>34</v>
      </c>
      <c r="G559" t="str">
        <f>"2026-06-18 09:19:58.726"</f>
        <v>2026-06-18 09:19:58.726</v>
      </c>
      <c r="H559" t="s">
        <v>22</v>
      </c>
    </row>
    <row r="560" spans="1:10" x14ac:dyDescent="0.25">
      <c r="A560" s="1">
        <v>60</v>
      </c>
      <c r="B560" t="s">
        <v>28</v>
      </c>
      <c r="C560">
        <v>700</v>
      </c>
      <c r="D560">
        <v>0</v>
      </c>
      <c r="E560" t="s">
        <v>34</v>
      </c>
      <c r="F560" t="s">
        <v>34</v>
      </c>
      <c r="G560" t="str">
        <f>"2026-06-18 08:38:26.501"</f>
        <v>2026-06-18 08:38:26.501</v>
      </c>
      <c r="H560" t="s">
        <v>22</v>
      </c>
      <c r="I560">
        <v>0</v>
      </c>
      <c r="J560" t="s">
        <v>46</v>
      </c>
    </row>
    <row r="561" spans="1:10" x14ac:dyDescent="0.25">
      <c r="A561" s="1">
        <v>61</v>
      </c>
      <c r="B561" t="s">
        <v>28</v>
      </c>
      <c r="C561">
        <v>700</v>
      </c>
      <c r="D561">
        <v>0</v>
      </c>
      <c r="E561" t="s">
        <v>34</v>
      </c>
      <c r="F561" t="s">
        <v>34</v>
      </c>
      <c r="G561" t="str">
        <f>"2026-06-18 01:26:59.734"</f>
        <v>2026-06-18 01:26:59.734</v>
      </c>
      <c r="H561" t="s">
        <v>22</v>
      </c>
    </row>
    <row r="562" spans="1:10" s="3" customFormat="1" x14ac:dyDescent="0.25">
      <c r="A562" s="2">
        <v>62</v>
      </c>
      <c r="B562" s="3" t="s">
        <v>37</v>
      </c>
      <c r="C562" s="3">
        <v>647</v>
      </c>
      <c r="D562" s="3">
        <v>1</v>
      </c>
      <c r="E562" s="3" t="s">
        <v>43</v>
      </c>
      <c r="F562" s="3" t="s">
        <v>44</v>
      </c>
      <c r="G562" s="3" t="str">
        <f>"2026-06-17 23:18:23.667"</f>
        <v>2026-06-17 23:18:23.667</v>
      </c>
      <c r="H562" s="3" t="s">
        <v>22</v>
      </c>
    </row>
    <row r="563" spans="1:10" s="3" customFormat="1" x14ac:dyDescent="0.25">
      <c r="A563" s="2">
        <v>63</v>
      </c>
      <c r="B563" s="3" t="s">
        <v>19</v>
      </c>
      <c r="C563" s="3">
        <v>647</v>
      </c>
      <c r="D563" s="3">
        <v>1</v>
      </c>
      <c r="E563" s="3" t="s">
        <v>43</v>
      </c>
      <c r="F563" s="3" t="s">
        <v>44</v>
      </c>
      <c r="G563" s="3" t="str">
        <f>"2026-06-17 23:18:22.167"</f>
        <v>2026-06-17 23:18:22.167</v>
      </c>
      <c r="H563" s="3" t="s">
        <v>22</v>
      </c>
      <c r="I563" s="3">
        <v>19.420000000000002</v>
      </c>
      <c r="J563" s="3" t="s">
        <v>45</v>
      </c>
    </row>
    <row r="564" spans="1:10" x14ac:dyDescent="0.25">
      <c r="A564" s="1">
        <v>64</v>
      </c>
      <c r="B564" t="s">
        <v>28</v>
      </c>
      <c r="C564">
        <v>706</v>
      </c>
      <c r="D564">
        <v>2</v>
      </c>
      <c r="E564" t="s">
        <v>35</v>
      </c>
      <c r="F564" t="s">
        <v>42</v>
      </c>
      <c r="G564" t="str">
        <f>"2026-06-17 21:51:34.495"</f>
        <v>2026-06-17 21:51:34.495</v>
      </c>
      <c r="H564" t="s">
        <v>22</v>
      </c>
      <c r="I564">
        <v>0</v>
      </c>
      <c r="J564" t="s">
        <v>23</v>
      </c>
    </row>
    <row r="565" spans="1:10" x14ac:dyDescent="0.25">
      <c r="A565" s="1">
        <v>65</v>
      </c>
      <c r="B565" t="s">
        <v>28</v>
      </c>
      <c r="C565">
        <v>700</v>
      </c>
      <c r="D565">
        <v>0</v>
      </c>
      <c r="E565" t="s">
        <v>34</v>
      </c>
      <c r="F565" t="s">
        <v>34</v>
      </c>
      <c r="G565" t="str">
        <f>"2026-06-17 21:45:31.505"</f>
        <v>2026-06-17 21:45:31.505</v>
      </c>
      <c r="H565" t="s">
        <v>22</v>
      </c>
    </row>
    <row r="566" spans="1:10" x14ac:dyDescent="0.25">
      <c r="A566" s="1">
        <v>66</v>
      </c>
      <c r="B566" t="s">
        <v>28</v>
      </c>
      <c r="C566">
        <v>700</v>
      </c>
      <c r="D566">
        <v>0</v>
      </c>
      <c r="E566" t="s">
        <v>34</v>
      </c>
      <c r="F566" t="s">
        <v>34</v>
      </c>
      <c r="G566" t="str">
        <f>"2026-06-17 21:30:19.480"</f>
        <v>2026-06-17 21:30:19.480</v>
      </c>
      <c r="H566" t="s">
        <v>22</v>
      </c>
    </row>
    <row r="567" spans="1:10" x14ac:dyDescent="0.25">
      <c r="A567" s="1">
        <v>67</v>
      </c>
      <c r="B567" t="s">
        <v>28</v>
      </c>
      <c r="C567">
        <v>700</v>
      </c>
      <c r="D567">
        <v>0</v>
      </c>
      <c r="E567" t="s">
        <v>34</v>
      </c>
      <c r="F567" t="s">
        <v>34</v>
      </c>
      <c r="G567" t="str">
        <f>"2026-06-17 21:18:27.487"</f>
        <v>2026-06-17 21:18:27.487</v>
      </c>
      <c r="H567" t="s">
        <v>22</v>
      </c>
      <c r="I567">
        <v>0</v>
      </c>
      <c r="J567" t="s">
        <v>46</v>
      </c>
    </row>
    <row r="568" spans="1:10" x14ac:dyDescent="0.25">
      <c r="A568" s="1">
        <v>68</v>
      </c>
      <c r="B568" t="s">
        <v>37</v>
      </c>
      <c r="C568">
        <v>619</v>
      </c>
      <c r="D568">
        <v>1</v>
      </c>
      <c r="E568" t="s">
        <v>47</v>
      </c>
      <c r="F568" t="s">
        <v>48</v>
      </c>
      <c r="G568" t="str">
        <f>"2026-06-17 19:50:49.141"</f>
        <v>2026-06-17 19:50:49.141</v>
      </c>
      <c r="H568" t="s">
        <v>49</v>
      </c>
    </row>
    <row r="569" spans="1:10" x14ac:dyDescent="0.25">
      <c r="A569" s="1">
        <v>69</v>
      </c>
      <c r="B569" t="s">
        <v>19</v>
      </c>
      <c r="C569">
        <v>619</v>
      </c>
      <c r="D569">
        <v>1</v>
      </c>
      <c r="E569" t="s">
        <v>47</v>
      </c>
      <c r="F569" t="s">
        <v>48</v>
      </c>
      <c r="G569" t="str">
        <f>"2026-06-17 19:49:56.741"</f>
        <v>2026-06-17 19:49:56.741</v>
      </c>
      <c r="H569" t="s">
        <v>49</v>
      </c>
      <c r="I569">
        <v>0</v>
      </c>
      <c r="J569" t="s">
        <v>50</v>
      </c>
    </row>
    <row r="570" spans="1:10" x14ac:dyDescent="0.25">
      <c r="A570" s="1">
        <v>70</v>
      </c>
      <c r="B570" t="s">
        <v>37</v>
      </c>
      <c r="C570">
        <v>635</v>
      </c>
      <c r="D570">
        <v>1</v>
      </c>
      <c r="E570" t="s">
        <v>53</v>
      </c>
      <c r="F570" t="s">
        <v>48</v>
      </c>
      <c r="G570" t="str">
        <f>"2026-06-17 19:05:11.941"</f>
        <v>2026-06-17 19:05:11.941</v>
      </c>
      <c r="H570" t="s">
        <v>22</v>
      </c>
    </row>
    <row r="571" spans="1:10" x14ac:dyDescent="0.25">
      <c r="A571" s="1">
        <v>71</v>
      </c>
      <c r="B571" t="s">
        <v>19</v>
      </c>
      <c r="C571">
        <v>635</v>
      </c>
      <c r="D571">
        <v>1</v>
      </c>
      <c r="E571" t="s">
        <v>53</v>
      </c>
      <c r="F571" t="s">
        <v>48</v>
      </c>
      <c r="G571" t="str">
        <f>"2026-06-17 19:00:07.441"</f>
        <v>2026-06-17 19:00:07.441</v>
      </c>
      <c r="H571" t="s">
        <v>22</v>
      </c>
      <c r="I571">
        <v>0.84</v>
      </c>
      <c r="J571" t="s">
        <v>54</v>
      </c>
    </row>
    <row r="572" spans="1:10" x14ac:dyDescent="0.25">
      <c r="A572" s="1">
        <v>72</v>
      </c>
      <c r="B572" t="s">
        <v>28</v>
      </c>
      <c r="C572">
        <v>700</v>
      </c>
      <c r="D572">
        <v>0</v>
      </c>
      <c r="E572" t="s">
        <v>34</v>
      </c>
      <c r="F572" t="s">
        <v>34</v>
      </c>
      <c r="G572" t="str">
        <f>"2026-06-17 18:44:05.480"</f>
        <v>2026-06-17 18:44:05.480</v>
      </c>
      <c r="H572" t="s">
        <v>22</v>
      </c>
    </row>
    <row r="573" spans="1:10" x14ac:dyDescent="0.25">
      <c r="A573" s="1">
        <v>73</v>
      </c>
      <c r="B573" t="s">
        <v>28</v>
      </c>
      <c r="C573">
        <v>700</v>
      </c>
      <c r="D573">
        <v>0</v>
      </c>
      <c r="E573" t="s">
        <v>34</v>
      </c>
      <c r="F573" t="s">
        <v>34</v>
      </c>
      <c r="G573" t="str">
        <f>"2026-06-17 18:24:55.535"</f>
        <v>2026-06-17 18:24:55.535</v>
      </c>
      <c r="H573" t="s">
        <v>22</v>
      </c>
      <c r="I573">
        <v>0</v>
      </c>
      <c r="J573" t="s">
        <v>46</v>
      </c>
    </row>
    <row r="574" spans="1:10" x14ac:dyDescent="0.25">
      <c r="A574" s="1">
        <v>74</v>
      </c>
      <c r="B574" t="s">
        <v>28</v>
      </c>
      <c r="C574">
        <v>706</v>
      </c>
      <c r="D574">
        <v>2</v>
      </c>
      <c r="E574" t="s">
        <v>35</v>
      </c>
      <c r="F574" t="s">
        <v>42</v>
      </c>
      <c r="G574" t="str">
        <f>"2026-06-17 18:20:28.084"</f>
        <v>2026-06-17 18:20:28.084</v>
      </c>
      <c r="H574" t="s">
        <v>22</v>
      </c>
      <c r="I574">
        <v>0</v>
      </c>
      <c r="J574" t="s">
        <v>23</v>
      </c>
    </row>
    <row r="575" spans="1:10" x14ac:dyDescent="0.25">
      <c r="A575" s="1">
        <v>75</v>
      </c>
      <c r="B575" t="s">
        <v>28</v>
      </c>
      <c r="C575">
        <v>700</v>
      </c>
      <c r="D575">
        <v>0</v>
      </c>
      <c r="E575" t="s">
        <v>34</v>
      </c>
      <c r="F575" t="s">
        <v>34</v>
      </c>
      <c r="G575" t="str">
        <f>"2026-06-17 18:17:04.474"</f>
        <v>2026-06-17 18:17:04.474</v>
      </c>
      <c r="H575" t="s">
        <v>22</v>
      </c>
    </row>
    <row r="576" spans="1:10" x14ac:dyDescent="0.25">
      <c r="A576" s="1">
        <v>76</v>
      </c>
      <c r="B576" t="s">
        <v>28</v>
      </c>
      <c r="C576">
        <v>700</v>
      </c>
      <c r="D576">
        <v>0</v>
      </c>
      <c r="E576" t="s">
        <v>34</v>
      </c>
      <c r="F576" t="s">
        <v>34</v>
      </c>
      <c r="G576" t="str">
        <f>"2026-06-17 18:12:28.473"</f>
        <v>2026-06-17 18:12:28.473</v>
      </c>
      <c r="H576" t="s">
        <v>22</v>
      </c>
    </row>
    <row r="577" spans="1:10" x14ac:dyDescent="0.25">
      <c r="A577" s="1">
        <v>77</v>
      </c>
      <c r="B577" t="s">
        <v>28</v>
      </c>
      <c r="C577">
        <v>706</v>
      </c>
      <c r="D577">
        <v>2</v>
      </c>
      <c r="E577" t="s">
        <v>35</v>
      </c>
      <c r="F577" t="s">
        <v>42</v>
      </c>
      <c r="G577" t="str">
        <f>"2026-06-17 16:08:18.360"</f>
        <v>2026-06-17 16:08:18.360</v>
      </c>
      <c r="H577" t="s">
        <v>22</v>
      </c>
      <c r="I577">
        <v>0</v>
      </c>
      <c r="J577" t="s">
        <v>23</v>
      </c>
    </row>
    <row r="578" spans="1:10" x14ac:dyDescent="0.25">
      <c r="A578" s="1">
        <v>78</v>
      </c>
      <c r="B578" t="s">
        <v>28</v>
      </c>
      <c r="C578">
        <v>700</v>
      </c>
      <c r="D578">
        <v>0</v>
      </c>
      <c r="E578" t="s">
        <v>34</v>
      </c>
      <c r="F578" t="s">
        <v>34</v>
      </c>
      <c r="G578" t="str">
        <f>"2026-06-17 15:57:43.530"</f>
        <v>2026-06-17 15:57:43.530</v>
      </c>
      <c r="H578" t="s">
        <v>22</v>
      </c>
      <c r="I578">
        <v>0</v>
      </c>
      <c r="J578" t="s">
        <v>46</v>
      </c>
    </row>
    <row r="579" spans="1:10" x14ac:dyDescent="0.25">
      <c r="A579" s="1">
        <v>79</v>
      </c>
      <c r="B579" t="s">
        <v>28</v>
      </c>
      <c r="C579">
        <v>776</v>
      </c>
      <c r="D579">
        <v>2</v>
      </c>
      <c r="E579" t="s">
        <v>29</v>
      </c>
      <c r="F579" t="s">
        <v>30</v>
      </c>
      <c r="G579" t="str">
        <f>"2026-06-17 15:43:28.432"</f>
        <v>2026-06-17 15:43:28.432</v>
      </c>
      <c r="H579" t="s">
        <v>22</v>
      </c>
      <c r="I579">
        <v>0</v>
      </c>
      <c r="J579" t="s">
        <v>23</v>
      </c>
    </row>
    <row r="580" spans="1:10" x14ac:dyDescent="0.25">
      <c r="A580" s="1">
        <v>80</v>
      </c>
      <c r="B580" t="s">
        <v>28</v>
      </c>
      <c r="C580">
        <v>776</v>
      </c>
      <c r="D580">
        <v>1</v>
      </c>
      <c r="E580" t="s">
        <v>29</v>
      </c>
      <c r="F580" t="s">
        <v>33</v>
      </c>
      <c r="G580" t="str">
        <f>"2026-06-17 15:43:28.372"</f>
        <v>2026-06-17 15:43:28.372</v>
      </c>
      <c r="H580" t="s">
        <v>22</v>
      </c>
      <c r="I580">
        <v>0</v>
      </c>
      <c r="J580" t="s">
        <v>72</v>
      </c>
    </row>
    <row r="581" spans="1:10" x14ac:dyDescent="0.25">
      <c r="A581" s="1">
        <v>81</v>
      </c>
      <c r="B581" t="s">
        <v>28</v>
      </c>
      <c r="C581">
        <v>700</v>
      </c>
      <c r="D581">
        <v>0</v>
      </c>
      <c r="E581" t="s">
        <v>34</v>
      </c>
      <c r="F581" t="s">
        <v>34</v>
      </c>
      <c r="G581" t="str">
        <f>"2026-06-17 15:43:24.558"</f>
        <v>2026-06-17 15:43:24.558</v>
      </c>
      <c r="H581" t="s">
        <v>22</v>
      </c>
      <c r="I581">
        <v>0</v>
      </c>
      <c r="J581" t="s">
        <v>46</v>
      </c>
    </row>
    <row r="582" spans="1:10" x14ac:dyDescent="0.25">
      <c r="A582" s="1">
        <v>82</v>
      </c>
      <c r="B582" t="s">
        <v>28</v>
      </c>
      <c r="C582">
        <v>706</v>
      </c>
      <c r="D582">
        <v>2</v>
      </c>
      <c r="E582" t="s">
        <v>35</v>
      </c>
      <c r="F582" t="s">
        <v>42</v>
      </c>
      <c r="G582" t="str">
        <f>"2026-04-18 06:14:54.173"</f>
        <v>2026-04-18 06:14:54.173</v>
      </c>
      <c r="H582" t="s">
        <v>22</v>
      </c>
      <c r="I582">
        <v>0</v>
      </c>
      <c r="J582" t="s">
        <v>23</v>
      </c>
    </row>
    <row r="583" spans="1:10" x14ac:dyDescent="0.25">
      <c r="A583" s="1">
        <v>83</v>
      </c>
      <c r="B583" t="s">
        <v>28</v>
      </c>
      <c r="C583">
        <v>706</v>
      </c>
      <c r="D583">
        <v>3</v>
      </c>
      <c r="E583" t="s">
        <v>35</v>
      </c>
      <c r="F583" t="s">
        <v>71</v>
      </c>
      <c r="G583" t="str">
        <f>"2026-04-18 06:14:31.853"</f>
        <v>2026-04-18 06:14:31.853</v>
      </c>
      <c r="H583" t="s">
        <v>22</v>
      </c>
      <c r="I583">
        <v>0</v>
      </c>
      <c r="J583" t="s">
        <v>23</v>
      </c>
    </row>
    <row r="584" spans="1:10" x14ac:dyDescent="0.25">
      <c r="A584" s="1">
        <v>84</v>
      </c>
      <c r="B584" t="s">
        <v>28</v>
      </c>
      <c r="C584">
        <v>706</v>
      </c>
      <c r="D584">
        <v>2</v>
      </c>
      <c r="E584" t="s">
        <v>35</v>
      </c>
      <c r="F584" t="s">
        <v>42</v>
      </c>
      <c r="G584" t="str">
        <f>"2026-04-18 06:13:17.773"</f>
        <v>2026-04-18 06:13:17.773</v>
      </c>
      <c r="H584" t="s">
        <v>22</v>
      </c>
      <c r="I584">
        <v>0</v>
      </c>
      <c r="J584" t="s">
        <v>23</v>
      </c>
    </row>
    <row r="585" spans="1:10" s="3" customFormat="1" x14ac:dyDescent="0.25">
      <c r="A585" s="2">
        <v>85</v>
      </c>
      <c r="B585" s="3" t="s">
        <v>37</v>
      </c>
      <c r="C585" s="3">
        <v>647</v>
      </c>
      <c r="D585" s="3">
        <v>1</v>
      </c>
      <c r="E585" s="3" t="s">
        <v>43</v>
      </c>
      <c r="F585" s="3" t="s">
        <v>44</v>
      </c>
      <c r="G585" s="3" t="str">
        <f>"2026-04-17 16:11:04.683"</f>
        <v>2026-04-17 16:11:04.683</v>
      </c>
      <c r="H585" s="3" t="s">
        <v>22</v>
      </c>
    </row>
    <row r="586" spans="1:10" s="3" customFormat="1" x14ac:dyDescent="0.25">
      <c r="A586" s="2">
        <v>86</v>
      </c>
      <c r="B586" s="3" t="s">
        <v>19</v>
      </c>
      <c r="C586" s="3">
        <v>647</v>
      </c>
      <c r="D586" s="3">
        <v>1</v>
      </c>
      <c r="E586" s="3" t="s">
        <v>43</v>
      </c>
      <c r="F586" s="3" t="s">
        <v>44</v>
      </c>
      <c r="G586" s="3" t="str">
        <f>"2026-04-17 16:10:46.583"</f>
        <v>2026-04-17 16:10:46.583</v>
      </c>
      <c r="H586" s="3" t="s">
        <v>22</v>
      </c>
      <c r="I586" s="3">
        <v>11.56</v>
      </c>
      <c r="J586" s="3" t="s">
        <v>45</v>
      </c>
    </row>
    <row r="587" spans="1:10" x14ac:dyDescent="0.25">
      <c r="A587" s="1">
        <v>87</v>
      </c>
      <c r="B587" t="s">
        <v>28</v>
      </c>
      <c r="C587">
        <v>700</v>
      </c>
      <c r="D587">
        <v>0</v>
      </c>
      <c r="E587" t="s">
        <v>34</v>
      </c>
      <c r="F587" t="s">
        <v>34</v>
      </c>
      <c r="G587" t="str">
        <f>"2026-04-17 13:26:26.543"</f>
        <v>2026-04-17 13:26:26.543</v>
      </c>
      <c r="H587" t="s">
        <v>22</v>
      </c>
      <c r="I587">
        <v>0</v>
      </c>
      <c r="J587" t="s">
        <v>46</v>
      </c>
    </row>
    <row r="588" spans="1:10" x14ac:dyDescent="0.25">
      <c r="A588" s="1">
        <v>88</v>
      </c>
      <c r="B588" t="s">
        <v>37</v>
      </c>
      <c r="C588">
        <v>630</v>
      </c>
      <c r="D588">
        <v>5</v>
      </c>
      <c r="E588" t="s">
        <v>73</v>
      </c>
      <c r="F588" t="s">
        <v>74</v>
      </c>
      <c r="G588" t="str">
        <f>"2026-04-17 12:43:23.087"</f>
        <v>2026-04-17 12:43:23.087</v>
      </c>
      <c r="H588" t="s">
        <v>75</v>
      </c>
    </row>
    <row r="589" spans="1:10" x14ac:dyDescent="0.25">
      <c r="A589" s="1">
        <v>89</v>
      </c>
      <c r="B589" t="s">
        <v>28</v>
      </c>
      <c r="C589">
        <v>706</v>
      </c>
      <c r="D589">
        <v>4</v>
      </c>
      <c r="E589" t="s">
        <v>35</v>
      </c>
      <c r="F589" t="s">
        <v>36</v>
      </c>
      <c r="G589" t="str">
        <f>"2026-04-17 12:42:52.980"</f>
        <v>2026-04-17 12:42:52.980</v>
      </c>
      <c r="H589" t="s">
        <v>22</v>
      </c>
      <c r="I589">
        <v>0</v>
      </c>
      <c r="J589" t="s">
        <v>23</v>
      </c>
    </row>
    <row r="590" spans="1:10" x14ac:dyDescent="0.25">
      <c r="A590" s="1">
        <v>90</v>
      </c>
      <c r="B590" t="s">
        <v>60</v>
      </c>
      <c r="C590">
        <v>630</v>
      </c>
      <c r="D590">
        <v>5</v>
      </c>
      <c r="E590" t="s">
        <v>73</v>
      </c>
      <c r="F590" t="s">
        <v>74</v>
      </c>
      <c r="G590" t="str">
        <f>"2026-04-17 12:31:07.987"</f>
        <v>2026-04-17 12:31:07.987</v>
      </c>
      <c r="H590" t="s">
        <v>75</v>
      </c>
      <c r="I590">
        <v>0</v>
      </c>
      <c r="J590" t="s">
        <v>23</v>
      </c>
    </row>
    <row r="591" spans="1:10" s="3" customFormat="1" x14ac:dyDescent="0.25">
      <c r="A591" s="2">
        <v>91</v>
      </c>
      <c r="B591" s="3" t="s">
        <v>37</v>
      </c>
      <c r="C591" s="3">
        <v>647</v>
      </c>
      <c r="D591" s="3">
        <v>1</v>
      </c>
      <c r="E591" s="3" t="s">
        <v>43</v>
      </c>
      <c r="F591" s="3" t="s">
        <v>44</v>
      </c>
      <c r="G591" s="3" t="str">
        <f>"2026-04-17 10:38:10.887"</f>
        <v>2026-04-17 10:38:10.887</v>
      </c>
      <c r="H591" s="3" t="s">
        <v>22</v>
      </c>
    </row>
    <row r="592" spans="1:10" s="3" customFormat="1" x14ac:dyDescent="0.25">
      <c r="A592" s="2">
        <v>92</v>
      </c>
      <c r="B592" s="3" t="s">
        <v>19</v>
      </c>
      <c r="C592" s="3">
        <v>647</v>
      </c>
      <c r="D592" s="3">
        <v>1</v>
      </c>
      <c r="E592" s="3" t="s">
        <v>43</v>
      </c>
      <c r="F592" s="3" t="s">
        <v>44</v>
      </c>
      <c r="G592" s="3" t="str">
        <f>"2026-04-17 10:38:07.788"</f>
        <v>2026-04-17 10:38:07.788</v>
      </c>
      <c r="H592" s="3" t="s">
        <v>22</v>
      </c>
      <c r="I592" s="3">
        <v>10.53</v>
      </c>
      <c r="J592" s="3" t="s">
        <v>45</v>
      </c>
    </row>
    <row r="593" spans="1:10" x14ac:dyDescent="0.25">
      <c r="A593" s="1">
        <v>93</v>
      </c>
      <c r="B593" t="s">
        <v>28</v>
      </c>
      <c r="C593">
        <v>700</v>
      </c>
      <c r="D593">
        <v>0</v>
      </c>
      <c r="E593" t="s">
        <v>34</v>
      </c>
      <c r="F593" t="s">
        <v>34</v>
      </c>
      <c r="G593" t="str">
        <f>"2026-04-17 06:01:01.520"</f>
        <v>2026-04-17 06:01:01.520</v>
      </c>
      <c r="H593" t="s">
        <v>22</v>
      </c>
    </row>
    <row r="594" spans="1:10" x14ac:dyDescent="0.25">
      <c r="A594" s="1">
        <v>94</v>
      </c>
      <c r="B594" t="s">
        <v>37</v>
      </c>
      <c r="C594">
        <v>630</v>
      </c>
      <c r="D594">
        <v>5</v>
      </c>
      <c r="E594" t="s">
        <v>73</v>
      </c>
      <c r="F594" t="s">
        <v>74</v>
      </c>
      <c r="G594" t="str">
        <f>"2026-04-17 05:46:33.488"</f>
        <v>2026-04-17 05:46:33.488</v>
      </c>
      <c r="H594" t="s">
        <v>75</v>
      </c>
    </row>
    <row r="595" spans="1:10" x14ac:dyDescent="0.25">
      <c r="A595" s="1">
        <v>95</v>
      </c>
      <c r="B595" t="s">
        <v>28</v>
      </c>
      <c r="C595">
        <v>706</v>
      </c>
      <c r="D595">
        <v>4</v>
      </c>
      <c r="E595" t="s">
        <v>35</v>
      </c>
      <c r="F595" t="s">
        <v>36</v>
      </c>
      <c r="G595" t="str">
        <f>"2026-04-17 05:46:03.436"</f>
        <v>2026-04-17 05:46:03.436</v>
      </c>
      <c r="H595" t="s">
        <v>22</v>
      </c>
      <c r="I595">
        <v>0</v>
      </c>
      <c r="J595" t="s">
        <v>23</v>
      </c>
    </row>
    <row r="596" spans="1:10" x14ac:dyDescent="0.25">
      <c r="A596" s="1">
        <v>96</v>
      </c>
      <c r="B596" t="s">
        <v>60</v>
      </c>
      <c r="C596">
        <v>630</v>
      </c>
      <c r="D596">
        <v>5</v>
      </c>
      <c r="E596" t="s">
        <v>73</v>
      </c>
      <c r="F596" t="s">
        <v>74</v>
      </c>
      <c r="G596" t="str">
        <f>"2026-04-17 05:39:28.288"</f>
        <v>2026-04-17 05:39:28.288</v>
      </c>
      <c r="H596" t="s">
        <v>75</v>
      </c>
      <c r="I596">
        <v>0</v>
      </c>
      <c r="J596" t="s">
        <v>23</v>
      </c>
    </row>
    <row r="597" spans="1:10" x14ac:dyDescent="0.25">
      <c r="A597" s="1">
        <v>97</v>
      </c>
      <c r="B597" t="s">
        <v>28</v>
      </c>
      <c r="C597">
        <v>700</v>
      </c>
      <c r="D597">
        <v>0</v>
      </c>
      <c r="E597" t="s">
        <v>34</v>
      </c>
      <c r="F597" t="s">
        <v>34</v>
      </c>
      <c r="G597" t="str">
        <f>"2026-04-17 05:34:25.526"</f>
        <v>2026-04-17 05:34:25.526</v>
      </c>
      <c r="H597" t="s">
        <v>22</v>
      </c>
    </row>
    <row r="598" spans="1:10" x14ac:dyDescent="0.25">
      <c r="A598" s="1">
        <v>98</v>
      </c>
      <c r="B598" t="s">
        <v>28</v>
      </c>
      <c r="C598">
        <v>700</v>
      </c>
      <c r="D598">
        <v>0</v>
      </c>
      <c r="E598" t="s">
        <v>34</v>
      </c>
      <c r="F598" t="s">
        <v>34</v>
      </c>
      <c r="G598" t="str">
        <f>"2026-04-17 03:56:07.770"</f>
        <v>2026-04-17 03:56:07.770</v>
      </c>
      <c r="H598" t="s">
        <v>22</v>
      </c>
      <c r="I598">
        <v>0</v>
      </c>
      <c r="J598" t="s">
        <v>46</v>
      </c>
    </row>
    <row r="599" spans="1:10" x14ac:dyDescent="0.25">
      <c r="A599" s="1">
        <v>99</v>
      </c>
      <c r="B599" t="s">
        <v>28</v>
      </c>
      <c r="C599">
        <v>700</v>
      </c>
      <c r="D599">
        <v>0</v>
      </c>
      <c r="E599" t="s">
        <v>34</v>
      </c>
      <c r="F599" t="s">
        <v>34</v>
      </c>
      <c r="G599" t="str">
        <f>"2026-04-16 21:07:28.553"</f>
        <v>2026-04-16 21:07:28.553</v>
      </c>
      <c r="H599" t="s">
        <v>22</v>
      </c>
    </row>
    <row r="600" spans="1:10" x14ac:dyDescent="0.25">
      <c r="A600" s="1">
        <v>0</v>
      </c>
      <c r="B600" t="s">
        <v>37</v>
      </c>
      <c r="C600">
        <v>98</v>
      </c>
      <c r="D600">
        <v>1</v>
      </c>
      <c r="E600" t="s">
        <v>76</v>
      </c>
      <c r="F600" t="s">
        <v>77</v>
      </c>
      <c r="G600" t="str">
        <f>"2026-04-15 23:42:27.582"</f>
        <v>2026-04-15 23:42:27.582</v>
      </c>
      <c r="H600" t="s">
        <v>22</v>
      </c>
    </row>
    <row r="601" spans="1:10" x14ac:dyDescent="0.25">
      <c r="A601" s="1">
        <v>1</v>
      </c>
      <c r="B601" t="s">
        <v>19</v>
      </c>
      <c r="C601">
        <v>98</v>
      </c>
      <c r="D601">
        <v>1</v>
      </c>
      <c r="E601" t="s">
        <v>76</v>
      </c>
      <c r="F601" t="s">
        <v>77</v>
      </c>
      <c r="G601" t="str">
        <f>"2026-04-15 23:42:26.582"</f>
        <v>2026-04-15 23:42:26.582</v>
      </c>
      <c r="H601" t="s">
        <v>22</v>
      </c>
      <c r="I601">
        <v>6.78</v>
      </c>
      <c r="J601" t="s">
        <v>54</v>
      </c>
    </row>
    <row r="602" spans="1:10" x14ac:dyDescent="0.25">
      <c r="A602" s="1">
        <v>2</v>
      </c>
      <c r="B602" t="s">
        <v>37</v>
      </c>
      <c r="C602">
        <v>98</v>
      </c>
      <c r="D602">
        <v>1</v>
      </c>
      <c r="E602" t="s">
        <v>76</v>
      </c>
      <c r="F602" t="s">
        <v>77</v>
      </c>
      <c r="G602" t="str">
        <f>"2026-04-15 23:19:22.481"</f>
        <v>2026-04-15 23:19:22.481</v>
      </c>
      <c r="H602" t="s">
        <v>22</v>
      </c>
    </row>
    <row r="603" spans="1:10" x14ac:dyDescent="0.25">
      <c r="A603" s="1">
        <v>3</v>
      </c>
      <c r="B603" t="s">
        <v>19</v>
      </c>
      <c r="C603">
        <v>98</v>
      </c>
      <c r="D603">
        <v>1</v>
      </c>
      <c r="E603" t="s">
        <v>76</v>
      </c>
      <c r="F603" t="s">
        <v>77</v>
      </c>
      <c r="G603" t="str">
        <f>"2026-04-15 23:19:21.482"</f>
        <v>2026-04-15 23:19:21.482</v>
      </c>
      <c r="H603" t="s">
        <v>22</v>
      </c>
      <c r="I603">
        <v>8.2200000000000006</v>
      </c>
      <c r="J603" t="s">
        <v>54</v>
      </c>
    </row>
    <row r="604" spans="1:10" x14ac:dyDescent="0.25">
      <c r="A604" s="1">
        <v>4</v>
      </c>
      <c r="B604" t="s">
        <v>37</v>
      </c>
      <c r="C604">
        <v>635</v>
      </c>
      <c r="D604">
        <v>1</v>
      </c>
      <c r="E604" t="s">
        <v>53</v>
      </c>
      <c r="F604" t="s">
        <v>48</v>
      </c>
      <c r="G604" t="str">
        <f>"2026-04-15 19:06:41.669"</f>
        <v>2026-04-15 19:06:41.669</v>
      </c>
      <c r="H604" t="s">
        <v>22</v>
      </c>
    </row>
    <row r="605" spans="1:10" x14ac:dyDescent="0.25">
      <c r="A605" s="1">
        <v>5</v>
      </c>
      <c r="B605" t="s">
        <v>19</v>
      </c>
      <c r="C605">
        <v>635</v>
      </c>
      <c r="D605">
        <v>1</v>
      </c>
      <c r="E605" t="s">
        <v>53</v>
      </c>
      <c r="F605" t="s">
        <v>48</v>
      </c>
      <c r="G605" t="str">
        <f>"2026-04-15 19:03:20.169"</f>
        <v>2026-04-15 19:03:20.169</v>
      </c>
      <c r="H605" t="s">
        <v>22</v>
      </c>
      <c r="I605">
        <v>0</v>
      </c>
      <c r="J605" t="s">
        <v>50</v>
      </c>
    </row>
    <row r="606" spans="1:10" x14ac:dyDescent="0.25">
      <c r="A606" s="1">
        <v>6</v>
      </c>
      <c r="B606" t="s">
        <v>28</v>
      </c>
      <c r="C606">
        <v>700</v>
      </c>
      <c r="D606">
        <v>0</v>
      </c>
      <c r="E606" t="s">
        <v>34</v>
      </c>
      <c r="F606" t="s">
        <v>34</v>
      </c>
      <c r="G606" t="str">
        <f>"2026-04-15 13:18:22.521"</f>
        <v>2026-04-15 13:18:22.521</v>
      </c>
      <c r="H606" t="s">
        <v>22</v>
      </c>
      <c r="I606">
        <v>0</v>
      </c>
      <c r="J606" t="s">
        <v>46</v>
      </c>
    </row>
    <row r="607" spans="1:10" x14ac:dyDescent="0.25">
      <c r="A607" s="1">
        <v>7</v>
      </c>
      <c r="B607" t="s">
        <v>37</v>
      </c>
      <c r="C607">
        <v>635</v>
      </c>
      <c r="D607">
        <v>1</v>
      </c>
      <c r="E607" t="s">
        <v>53</v>
      </c>
      <c r="F607" t="s">
        <v>48</v>
      </c>
      <c r="G607" t="str">
        <f>"2026-04-15 04:17:48.043"</f>
        <v>2026-04-15 04:17:48.043</v>
      </c>
      <c r="H607" t="s">
        <v>22</v>
      </c>
    </row>
    <row r="608" spans="1:10" x14ac:dyDescent="0.25">
      <c r="A608" s="1">
        <v>8</v>
      </c>
      <c r="B608" t="s">
        <v>19</v>
      </c>
      <c r="C608">
        <v>635</v>
      </c>
      <c r="D608">
        <v>1</v>
      </c>
      <c r="E608" t="s">
        <v>53</v>
      </c>
      <c r="F608" t="s">
        <v>48</v>
      </c>
      <c r="G608" t="str">
        <f>"2026-04-15 04:14:20.543"</f>
        <v>2026-04-15 04:14:20.543</v>
      </c>
      <c r="H608" t="s">
        <v>22</v>
      </c>
      <c r="I608">
        <v>3.87</v>
      </c>
      <c r="J608" t="s">
        <v>54</v>
      </c>
    </row>
    <row r="609" spans="1:10" x14ac:dyDescent="0.25">
      <c r="A609" s="1">
        <v>9</v>
      </c>
      <c r="B609" t="s">
        <v>37</v>
      </c>
      <c r="C609">
        <v>635</v>
      </c>
      <c r="D609">
        <v>1</v>
      </c>
      <c r="E609" t="s">
        <v>53</v>
      </c>
      <c r="F609" t="s">
        <v>48</v>
      </c>
      <c r="G609" t="str">
        <f>"2026-04-14 21:41:16.943"</f>
        <v>2026-04-14 21:41:16.943</v>
      </c>
      <c r="H609" t="s">
        <v>22</v>
      </c>
    </row>
    <row r="610" spans="1:10" x14ac:dyDescent="0.25">
      <c r="A610" s="1">
        <v>10</v>
      </c>
      <c r="B610" t="s">
        <v>19</v>
      </c>
      <c r="C610">
        <v>635</v>
      </c>
      <c r="D610">
        <v>1</v>
      </c>
      <c r="E610" t="s">
        <v>53</v>
      </c>
      <c r="F610" t="s">
        <v>48</v>
      </c>
      <c r="G610" t="str">
        <f>"2026-04-14 21:34:41.943"</f>
        <v>2026-04-14 21:34:41.943</v>
      </c>
      <c r="H610" t="s">
        <v>22</v>
      </c>
      <c r="I610">
        <v>5.64</v>
      </c>
      <c r="J610" t="s">
        <v>54</v>
      </c>
    </row>
    <row r="611" spans="1:10" x14ac:dyDescent="0.25">
      <c r="A611" s="1">
        <v>11</v>
      </c>
      <c r="B611" t="s">
        <v>37</v>
      </c>
      <c r="C611">
        <v>635</v>
      </c>
      <c r="D611">
        <v>1</v>
      </c>
      <c r="E611" t="s">
        <v>53</v>
      </c>
      <c r="F611" t="s">
        <v>48</v>
      </c>
      <c r="G611" t="str">
        <f>"2026-04-14 14:30:12.343"</f>
        <v>2026-04-14 14:30:12.343</v>
      </c>
      <c r="H611" t="s">
        <v>22</v>
      </c>
    </row>
    <row r="612" spans="1:10" x14ac:dyDescent="0.25">
      <c r="A612" s="1">
        <v>12</v>
      </c>
      <c r="B612" t="s">
        <v>19</v>
      </c>
      <c r="C612">
        <v>635</v>
      </c>
      <c r="D612">
        <v>1</v>
      </c>
      <c r="E612" t="s">
        <v>53</v>
      </c>
      <c r="F612" t="s">
        <v>48</v>
      </c>
      <c r="G612" t="str">
        <f>"2026-04-14 14:18:51.943"</f>
        <v>2026-04-14 14:18:51.943</v>
      </c>
      <c r="H612" t="s">
        <v>22</v>
      </c>
      <c r="I612">
        <v>5.81</v>
      </c>
      <c r="J612" t="s">
        <v>54</v>
      </c>
    </row>
    <row r="613" spans="1:10" s="3" customFormat="1" x14ac:dyDescent="0.25">
      <c r="A613" s="2">
        <v>13</v>
      </c>
      <c r="B613" s="3" t="s">
        <v>37</v>
      </c>
      <c r="C613" s="3">
        <v>647</v>
      </c>
      <c r="D613" s="3">
        <v>1</v>
      </c>
      <c r="E613" s="3" t="s">
        <v>43</v>
      </c>
      <c r="F613" s="3" t="s">
        <v>44</v>
      </c>
      <c r="G613" s="3" t="str">
        <f>"2026-04-14 14:05:17.197"</f>
        <v>2026-04-14 14:05:17.197</v>
      </c>
      <c r="H613" s="3" t="s">
        <v>22</v>
      </c>
    </row>
    <row r="614" spans="1:10" s="3" customFormat="1" x14ac:dyDescent="0.25">
      <c r="A614" s="2">
        <v>14</v>
      </c>
      <c r="B614" s="3" t="s">
        <v>19</v>
      </c>
      <c r="C614" s="3">
        <v>647</v>
      </c>
      <c r="D614" s="3">
        <v>1</v>
      </c>
      <c r="E614" s="3" t="s">
        <v>43</v>
      </c>
      <c r="F614" s="3" t="s">
        <v>44</v>
      </c>
      <c r="G614" s="3" t="str">
        <f>"2026-04-14 14:05:12.197"</f>
        <v>2026-04-14 14:05:12.197</v>
      </c>
      <c r="H614" s="3" t="s">
        <v>22</v>
      </c>
      <c r="I614" s="3">
        <v>8.7200000000000006</v>
      </c>
      <c r="J614" s="3" t="s">
        <v>45</v>
      </c>
    </row>
    <row r="615" spans="1:10" x14ac:dyDescent="0.25">
      <c r="A615" s="1">
        <v>15</v>
      </c>
      <c r="B615" t="s">
        <v>37</v>
      </c>
      <c r="C615">
        <v>635</v>
      </c>
      <c r="D615">
        <v>1</v>
      </c>
      <c r="E615" t="s">
        <v>53</v>
      </c>
      <c r="F615" t="s">
        <v>48</v>
      </c>
      <c r="G615" t="str">
        <f>"2026-04-13 14:53:35.443"</f>
        <v>2026-04-13 14:53:35.443</v>
      </c>
      <c r="H615" t="s">
        <v>22</v>
      </c>
    </row>
    <row r="616" spans="1:10" x14ac:dyDescent="0.25">
      <c r="A616" s="1">
        <v>16</v>
      </c>
      <c r="B616" t="s">
        <v>19</v>
      </c>
      <c r="C616">
        <v>635</v>
      </c>
      <c r="D616">
        <v>1</v>
      </c>
      <c r="E616" t="s">
        <v>53</v>
      </c>
      <c r="F616" t="s">
        <v>48</v>
      </c>
      <c r="G616" t="str">
        <f>"2026-04-13 14:47:41.443"</f>
        <v>2026-04-13 14:47:41.443</v>
      </c>
      <c r="H616" t="s">
        <v>22</v>
      </c>
      <c r="I616">
        <v>6.97</v>
      </c>
      <c r="J616" t="s">
        <v>54</v>
      </c>
    </row>
    <row r="617" spans="1:10" x14ac:dyDescent="0.25">
      <c r="A617" s="1">
        <v>17</v>
      </c>
      <c r="B617" t="s">
        <v>37</v>
      </c>
      <c r="C617">
        <v>635</v>
      </c>
      <c r="D617">
        <v>1</v>
      </c>
      <c r="E617" t="s">
        <v>53</v>
      </c>
      <c r="F617" t="s">
        <v>48</v>
      </c>
      <c r="G617" t="str">
        <f>"2026-04-12 19:18:24.443"</f>
        <v>2026-04-12 19:18:24.443</v>
      </c>
      <c r="H617" t="s">
        <v>22</v>
      </c>
    </row>
    <row r="618" spans="1:10" x14ac:dyDescent="0.25">
      <c r="A618" s="1">
        <v>18</v>
      </c>
      <c r="B618" t="s">
        <v>19</v>
      </c>
      <c r="C618">
        <v>635</v>
      </c>
      <c r="D618">
        <v>1</v>
      </c>
      <c r="E618" t="s">
        <v>53</v>
      </c>
      <c r="F618" t="s">
        <v>48</v>
      </c>
      <c r="G618" t="str">
        <f>"2026-04-12 19:12:39.443"</f>
        <v>2026-04-12 19:12:39.443</v>
      </c>
      <c r="H618" t="s">
        <v>22</v>
      </c>
      <c r="I618">
        <v>2.02</v>
      </c>
      <c r="J618" t="s">
        <v>54</v>
      </c>
    </row>
    <row r="619" spans="1:10" x14ac:dyDescent="0.25">
      <c r="A619" s="1">
        <v>19</v>
      </c>
      <c r="B619" t="s">
        <v>28</v>
      </c>
      <c r="C619">
        <v>700</v>
      </c>
      <c r="D619">
        <v>0</v>
      </c>
      <c r="E619" t="s">
        <v>34</v>
      </c>
      <c r="F619" t="s">
        <v>34</v>
      </c>
      <c r="G619" t="str">
        <f>"2026-04-10 12:42:49.516"</f>
        <v>2026-04-10 12:42:49.516</v>
      </c>
      <c r="H619" t="s">
        <v>22</v>
      </c>
    </row>
    <row r="620" spans="1:10" s="3" customFormat="1" x14ac:dyDescent="0.25">
      <c r="A620" s="2">
        <v>20</v>
      </c>
      <c r="B620" s="3" t="s">
        <v>37</v>
      </c>
      <c r="C620" s="3">
        <v>647</v>
      </c>
      <c r="D620" s="3">
        <v>1</v>
      </c>
      <c r="E620" s="3" t="s">
        <v>43</v>
      </c>
      <c r="F620" s="3" t="s">
        <v>44</v>
      </c>
      <c r="G620" s="3" t="str">
        <f>"2026-04-10 10:21:51.883"</f>
        <v>2026-04-10 10:21:51.883</v>
      </c>
      <c r="H620" s="3" t="s">
        <v>22</v>
      </c>
    </row>
    <row r="621" spans="1:10" s="3" customFormat="1" x14ac:dyDescent="0.25">
      <c r="A621" s="2">
        <v>21</v>
      </c>
      <c r="B621" s="3" t="s">
        <v>19</v>
      </c>
      <c r="C621" s="3">
        <v>647</v>
      </c>
      <c r="D621" s="3">
        <v>1</v>
      </c>
      <c r="E621" s="3" t="s">
        <v>43</v>
      </c>
      <c r="F621" s="3" t="s">
        <v>44</v>
      </c>
      <c r="G621" s="3" t="str">
        <f>"2026-04-10 10:21:42.183"</f>
        <v>2026-04-10 10:21:42.183</v>
      </c>
      <c r="H621" s="3" t="s">
        <v>22</v>
      </c>
      <c r="I621" s="3">
        <v>10.78</v>
      </c>
      <c r="J621" s="3" t="s">
        <v>45</v>
      </c>
    </row>
    <row r="622" spans="1:10" s="3" customFormat="1" x14ac:dyDescent="0.25">
      <c r="A622" s="2">
        <v>22</v>
      </c>
      <c r="B622" s="3" t="s">
        <v>37</v>
      </c>
      <c r="C622" s="3">
        <v>647</v>
      </c>
      <c r="D622" s="3">
        <v>1</v>
      </c>
      <c r="E622" s="3" t="s">
        <v>43</v>
      </c>
      <c r="F622" s="3" t="s">
        <v>44</v>
      </c>
      <c r="G622" s="3" t="str">
        <f>"2026-04-09 19:08:00.583"</f>
        <v>2026-04-09 19:08:00.583</v>
      </c>
      <c r="H622" s="3" t="s">
        <v>22</v>
      </c>
    </row>
    <row r="623" spans="1:10" s="3" customFormat="1" x14ac:dyDescent="0.25">
      <c r="A623" s="2">
        <v>23</v>
      </c>
      <c r="B623" s="3" t="s">
        <v>19</v>
      </c>
      <c r="C623" s="3">
        <v>647</v>
      </c>
      <c r="D623" s="3">
        <v>1</v>
      </c>
      <c r="E623" s="3" t="s">
        <v>43</v>
      </c>
      <c r="F623" s="3" t="s">
        <v>44</v>
      </c>
      <c r="G623" s="3" t="str">
        <f>"2026-04-09 19:07:35.183"</f>
        <v>2026-04-09 19:07:35.183</v>
      </c>
      <c r="H623" s="3" t="s">
        <v>22</v>
      </c>
      <c r="I623" s="3">
        <v>8.17</v>
      </c>
      <c r="J623" s="3" t="s">
        <v>45</v>
      </c>
    </row>
    <row r="624" spans="1:10" x14ac:dyDescent="0.25">
      <c r="A624" s="1">
        <v>24</v>
      </c>
      <c r="B624" t="s">
        <v>37</v>
      </c>
      <c r="C624">
        <v>635</v>
      </c>
      <c r="D624">
        <v>1</v>
      </c>
      <c r="E624" t="s">
        <v>53</v>
      </c>
      <c r="F624" t="s">
        <v>48</v>
      </c>
      <c r="G624" t="str">
        <f>"2026-04-09 13:14:10.335"</f>
        <v>2026-04-09 13:14:10.335</v>
      </c>
      <c r="H624" t="s">
        <v>22</v>
      </c>
    </row>
    <row r="625" spans="1:10" x14ac:dyDescent="0.25">
      <c r="A625" s="1">
        <v>25</v>
      </c>
      <c r="B625" t="s">
        <v>19</v>
      </c>
      <c r="C625">
        <v>635</v>
      </c>
      <c r="D625">
        <v>1</v>
      </c>
      <c r="E625" t="s">
        <v>53</v>
      </c>
      <c r="F625" t="s">
        <v>48</v>
      </c>
      <c r="G625" t="str">
        <f>"2026-04-09 13:09:33.834"</f>
        <v>2026-04-09 13:09:33.834</v>
      </c>
      <c r="H625" t="s">
        <v>22</v>
      </c>
      <c r="I625">
        <v>-0.04</v>
      </c>
      <c r="J625" t="s">
        <v>50</v>
      </c>
    </row>
    <row r="626" spans="1:10" x14ac:dyDescent="0.25">
      <c r="A626" s="1">
        <v>26</v>
      </c>
      <c r="B626" t="s">
        <v>37</v>
      </c>
      <c r="C626">
        <v>635</v>
      </c>
      <c r="D626">
        <v>1</v>
      </c>
      <c r="E626" t="s">
        <v>53</v>
      </c>
      <c r="F626" t="s">
        <v>48</v>
      </c>
      <c r="G626" t="str">
        <f>"2026-04-08 04:14:44.035"</f>
        <v>2026-04-08 04:14:44.035</v>
      </c>
      <c r="H626" t="s">
        <v>22</v>
      </c>
    </row>
    <row r="627" spans="1:10" x14ac:dyDescent="0.25">
      <c r="A627" s="1">
        <v>27</v>
      </c>
      <c r="B627" t="s">
        <v>19</v>
      </c>
      <c r="C627">
        <v>635</v>
      </c>
      <c r="D627">
        <v>1</v>
      </c>
      <c r="E627" t="s">
        <v>53</v>
      </c>
      <c r="F627" t="s">
        <v>48</v>
      </c>
      <c r="G627" t="str">
        <f>"2026-04-08 04:09:19.035"</f>
        <v>2026-04-08 04:09:19.035</v>
      </c>
      <c r="H627" t="s">
        <v>22</v>
      </c>
      <c r="I627">
        <v>4.26</v>
      </c>
      <c r="J627" t="s">
        <v>54</v>
      </c>
    </row>
    <row r="628" spans="1:10" x14ac:dyDescent="0.25">
      <c r="A628" s="1">
        <v>28</v>
      </c>
      <c r="B628" t="s">
        <v>28</v>
      </c>
      <c r="C628">
        <v>700</v>
      </c>
      <c r="D628">
        <v>0</v>
      </c>
      <c r="E628" t="s">
        <v>34</v>
      </c>
      <c r="F628" t="s">
        <v>34</v>
      </c>
      <c r="G628" t="str">
        <f>"2026-04-07 13:39:33.526"</f>
        <v>2026-04-07 13:39:33.526</v>
      </c>
      <c r="H628" t="s">
        <v>22</v>
      </c>
      <c r="I628">
        <v>0</v>
      </c>
      <c r="J628" t="s">
        <v>46</v>
      </c>
    </row>
    <row r="629" spans="1:10" x14ac:dyDescent="0.25">
      <c r="A629" s="1">
        <v>29</v>
      </c>
      <c r="B629" t="s">
        <v>28</v>
      </c>
      <c r="C629">
        <v>700</v>
      </c>
      <c r="D629">
        <v>0</v>
      </c>
      <c r="E629" t="s">
        <v>34</v>
      </c>
      <c r="F629" t="s">
        <v>34</v>
      </c>
      <c r="G629" t="str">
        <f>"2026-04-06 11:33:19.522"</f>
        <v>2026-04-06 11:33:19.522</v>
      </c>
      <c r="H629" t="s">
        <v>22</v>
      </c>
    </row>
    <row r="630" spans="1:10" x14ac:dyDescent="0.25">
      <c r="A630" s="1">
        <v>30</v>
      </c>
      <c r="B630" t="s">
        <v>28</v>
      </c>
      <c r="C630">
        <v>706</v>
      </c>
      <c r="D630">
        <v>4</v>
      </c>
      <c r="E630" t="s">
        <v>35</v>
      </c>
      <c r="F630" t="s">
        <v>36</v>
      </c>
      <c r="G630" t="str">
        <f>"2026-04-06 11:19:10.434"</f>
        <v>2026-04-06 11:19:10.434</v>
      </c>
      <c r="H630" t="s">
        <v>22</v>
      </c>
      <c r="I630">
        <v>0</v>
      </c>
      <c r="J630" t="s">
        <v>23</v>
      </c>
    </row>
    <row r="631" spans="1:10" x14ac:dyDescent="0.25">
      <c r="A631" s="1">
        <v>31</v>
      </c>
      <c r="B631" t="s">
        <v>28</v>
      </c>
      <c r="C631">
        <v>706</v>
      </c>
      <c r="D631">
        <v>4</v>
      </c>
      <c r="E631" t="s">
        <v>35</v>
      </c>
      <c r="F631" t="s">
        <v>36</v>
      </c>
      <c r="G631" t="str">
        <f>"2026-04-06 11:18:56.334"</f>
        <v>2026-04-06 11:18:56.334</v>
      </c>
      <c r="H631" t="s">
        <v>22</v>
      </c>
      <c r="I631">
        <v>0</v>
      </c>
      <c r="J631" t="s">
        <v>23</v>
      </c>
    </row>
    <row r="632" spans="1:10" x14ac:dyDescent="0.25">
      <c r="A632" s="1">
        <v>32</v>
      </c>
      <c r="B632" t="s">
        <v>28</v>
      </c>
      <c r="C632">
        <v>700</v>
      </c>
      <c r="D632">
        <v>0</v>
      </c>
      <c r="E632" t="s">
        <v>34</v>
      </c>
      <c r="F632" t="s">
        <v>34</v>
      </c>
      <c r="G632" t="str">
        <f>"2026-04-06 11:12:07.524"</f>
        <v>2026-04-06 11:12:07.524</v>
      </c>
      <c r="H632" t="s">
        <v>22</v>
      </c>
      <c r="I632">
        <v>0</v>
      </c>
      <c r="J632" t="s">
        <v>46</v>
      </c>
    </row>
    <row r="633" spans="1:10" x14ac:dyDescent="0.25">
      <c r="A633" s="1">
        <v>33</v>
      </c>
      <c r="B633" t="s">
        <v>28</v>
      </c>
      <c r="C633">
        <v>700</v>
      </c>
      <c r="D633">
        <v>0</v>
      </c>
      <c r="E633" t="s">
        <v>34</v>
      </c>
      <c r="F633" t="s">
        <v>34</v>
      </c>
      <c r="G633" t="str">
        <f>"2026-04-06 08:03:04.503"</f>
        <v>2026-04-06 08:03:04.503</v>
      </c>
      <c r="H633" t="s">
        <v>22</v>
      </c>
    </row>
    <row r="634" spans="1:10" x14ac:dyDescent="0.25">
      <c r="A634" s="1">
        <v>34</v>
      </c>
      <c r="B634" t="s">
        <v>28</v>
      </c>
      <c r="C634">
        <v>700</v>
      </c>
      <c r="D634">
        <v>0</v>
      </c>
      <c r="E634" t="s">
        <v>34</v>
      </c>
      <c r="F634" t="s">
        <v>34</v>
      </c>
      <c r="G634" t="str">
        <f>"2026-04-06 07:59:01.510"</f>
        <v>2026-04-06 07:59:01.510</v>
      </c>
      <c r="H634" t="s">
        <v>22</v>
      </c>
    </row>
    <row r="635" spans="1:10" x14ac:dyDescent="0.25">
      <c r="A635" s="1">
        <v>35</v>
      </c>
      <c r="B635" t="s">
        <v>37</v>
      </c>
      <c r="C635">
        <v>98</v>
      </c>
      <c r="D635">
        <v>1</v>
      </c>
      <c r="E635" t="s">
        <v>76</v>
      </c>
      <c r="F635" t="s">
        <v>77</v>
      </c>
      <c r="G635" t="str">
        <f>"2026-04-05 22:24:35.770"</f>
        <v>2026-04-05 22:24:35.770</v>
      </c>
      <c r="H635" t="s">
        <v>22</v>
      </c>
    </row>
    <row r="636" spans="1:10" x14ac:dyDescent="0.25">
      <c r="A636" s="1">
        <v>36</v>
      </c>
      <c r="B636" t="s">
        <v>19</v>
      </c>
      <c r="C636">
        <v>98</v>
      </c>
      <c r="D636">
        <v>1</v>
      </c>
      <c r="E636" t="s">
        <v>76</v>
      </c>
      <c r="F636" t="s">
        <v>77</v>
      </c>
      <c r="G636" t="str">
        <f>"2026-04-05 22:24:32.170"</f>
        <v>2026-04-05 22:24:32.170</v>
      </c>
      <c r="H636" t="s">
        <v>22</v>
      </c>
      <c r="I636">
        <v>16.18</v>
      </c>
      <c r="J636" t="s">
        <v>54</v>
      </c>
    </row>
    <row r="637" spans="1:10" x14ac:dyDescent="0.25">
      <c r="A637" s="1">
        <v>37</v>
      </c>
      <c r="B637" t="s">
        <v>37</v>
      </c>
      <c r="C637">
        <v>98</v>
      </c>
      <c r="D637">
        <v>1</v>
      </c>
      <c r="E637" t="s">
        <v>76</v>
      </c>
      <c r="F637" t="s">
        <v>77</v>
      </c>
      <c r="G637" t="str">
        <f>"2026-04-05 22:24:30.269"</f>
        <v>2026-04-05 22:24:30.269</v>
      </c>
      <c r="H637" t="s">
        <v>22</v>
      </c>
    </row>
    <row r="638" spans="1:10" x14ac:dyDescent="0.25">
      <c r="A638" s="1">
        <v>38</v>
      </c>
      <c r="B638" t="s">
        <v>19</v>
      </c>
      <c r="C638">
        <v>98</v>
      </c>
      <c r="D638">
        <v>1</v>
      </c>
      <c r="E638" t="s">
        <v>76</v>
      </c>
      <c r="F638" t="s">
        <v>77</v>
      </c>
      <c r="G638" t="str">
        <f>"2026-04-05 22:24:29.170"</f>
        <v>2026-04-05 22:24:29.170</v>
      </c>
      <c r="H638" t="s">
        <v>22</v>
      </c>
      <c r="I638">
        <v>16.399999999999999</v>
      </c>
      <c r="J638" t="s">
        <v>54</v>
      </c>
    </row>
    <row r="639" spans="1:10" x14ac:dyDescent="0.25">
      <c r="A639" s="1">
        <v>39</v>
      </c>
      <c r="B639" t="s">
        <v>37</v>
      </c>
      <c r="C639">
        <v>635</v>
      </c>
      <c r="D639">
        <v>1</v>
      </c>
      <c r="E639" t="s">
        <v>53</v>
      </c>
      <c r="F639" t="s">
        <v>48</v>
      </c>
      <c r="G639" t="str">
        <f>"2026-04-05 14:20:20.969"</f>
        <v>2026-04-05 14:20:20.969</v>
      </c>
      <c r="H639" t="s">
        <v>22</v>
      </c>
    </row>
    <row r="640" spans="1:10" x14ac:dyDescent="0.25">
      <c r="A640" s="1">
        <v>40</v>
      </c>
      <c r="B640" t="s">
        <v>19</v>
      </c>
      <c r="C640">
        <v>635</v>
      </c>
      <c r="D640">
        <v>1</v>
      </c>
      <c r="E640" t="s">
        <v>53</v>
      </c>
      <c r="F640" t="s">
        <v>48</v>
      </c>
      <c r="G640" t="str">
        <f>"2026-04-05 14:14:21.468"</f>
        <v>2026-04-05 14:14:21.468</v>
      </c>
      <c r="H640" t="s">
        <v>22</v>
      </c>
      <c r="I640">
        <v>1.92</v>
      </c>
      <c r="J640" t="s">
        <v>45</v>
      </c>
    </row>
    <row r="641" spans="1:10" x14ac:dyDescent="0.25">
      <c r="A641" s="1">
        <v>41</v>
      </c>
      <c r="B641" t="s">
        <v>28</v>
      </c>
      <c r="C641">
        <v>700</v>
      </c>
      <c r="D641">
        <v>0</v>
      </c>
      <c r="E641" t="s">
        <v>34</v>
      </c>
      <c r="F641" t="s">
        <v>34</v>
      </c>
      <c r="G641" t="str">
        <f>"2026-04-05 10:37:47.688"</f>
        <v>2026-04-05 10:37:47.688</v>
      </c>
      <c r="H641" t="s">
        <v>22</v>
      </c>
    </row>
    <row r="642" spans="1:10" s="3" customFormat="1" x14ac:dyDescent="0.25">
      <c r="A642" s="2">
        <v>42</v>
      </c>
      <c r="B642" s="3" t="s">
        <v>37</v>
      </c>
      <c r="C642" s="3">
        <v>647</v>
      </c>
      <c r="D642" s="3">
        <v>1</v>
      </c>
      <c r="E642" s="3" t="s">
        <v>43</v>
      </c>
      <c r="F642" s="3" t="s">
        <v>44</v>
      </c>
      <c r="G642" s="3" t="str">
        <f>"2026-04-05 07:48:04.573"</f>
        <v>2026-04-05 07:48:04.573</v>
      </c>
      <c r="H642" s="3" t="s">
        <v>22</v>
      </c>
    </row>
    <row r="643" spans="1:10" s="3" customFormat="1" x14ac:dyDescent="0.25">
      <c r="A643" s="2">
        <v>43</v>
      </c>
      <c r="B643" s="3" t="s">
        <v>19</v>
      </c>
      <c r="C643" s="3">
        <v>647</v>
      </c>
      <c r="D643" s="3">
        <v>1</v>
      </c>
      <c r="E643" s="3" t="s">
        <v>43</v>
      </c>
      <c r="F643" s="3" t="s">
        <v>44</v>
      </c>
      <c r="G643" s="3" t="str">
        <f>"2026-04-05 07:47:57.873"</f>
        <v>2026-04-05 07:47:57.873</v>
      </c>
      <c r="H643" s="3" t="s">
        <v>22</v>
      </c>
      <c r="I643" s="3">
        <v>9.07</v>
      </c>
      <c r="J643" s="3" t="s">
        <v>45</v>
      </c>
    </row>
    <row r="644" spans="1:10" s="3" customFormat="1" x14ac:dyDescent="0.25">
      <c r="A644" s="2">
        <v>44</v>
      </c>
      <c r="B644" s="3" t="s">
        <v>37</v>
      </c>
      <c r="C644" s="3">
        <v>647</v>
      </c>
      <c r="D644" s="3">
        <v>1</v>
      </c>
      <c r="E644" s="3" t="s">
        <v>43</v>
      </c>
      <c r="F644" s="3" t="s">
        <v>44</v>
      </c>
      <c r="G644" s="3" t="str">
        <f>"2026-04-04 11:09:11.773"</f>
        <v>2026-04-04 11:09:11.773</v>
      </c>
      <c r="H644" s="3" t="s">
        <v>22</v>
      </c>
    </row>
    <row r="645" spans="1:10" s="3" customFormat="1" x14ac:dyDescent="0.25">
      <c r="A645" s="2">
        <v>45</v>
      </c>
      <c r="B645" s="3" t="s">
        <v>19</v>
      </c>
      <c r="C645" s="3">
        <v>647</v>
      </c>
      <c r="D645" s="3">
        <v>1</v>
      </c>
      <c r="E645" s="3" t="s">
        <v>43</v>
      </c>
      <c r="F645" s="3" t="s">
        <v>44</v>
      </c>
      <c r="G645" s="3" t="str">
        <f>"2026-04-04 11:08:46.373"</f>
        <v>2026-04-04 11:08:46.373</v>
      </c>
      <c r="H645" s="3" t="s">
        <v>22</v>
      </c>
      <c r="I645" s="3">
        <v>9.91</v>
      </c>
      <c r="J645" s="3" t="s">
        <v>45</v>
      </c>
    </row>
    <row r="646" spans="1:10" s="3" customFormat="1" x14ac:dyDescent="0.25">
      <c r="A646" s="2">
        <v>46</v>
      </c>
      <c r="B646" s="3" t="s">
        <v>37</v>
      </c>
      <c r="C646" s="3">
        <v>647</v>
      </c>
      <c r="D646" s="3">
        <v>1</v>
      </c>
      <c r="E646" s="3" t="s">
        <v>43</v>
      </c>
      <c r="F646" s="3" t="s">
        <v>44</v>
      </c>
      <c r="G646" s="3" t="str">
        <f>"2026-04-04 10:43:48.473"</f>
        <v>2026-04-04 10:43:48.473</v>
      </c>
      <c r="H646" s="3" t="s">
        <v>22</v>
      </c>
    </row>
    <row r="647" spans="1:10" s="3" customFormat="1" x14ac:dyDescent="0.25">
      <c r="A647" s="2">
        <v>47</v>
      </c>
      <c r="B647" s="3" t="s">
        <v>19</v>
      </c>
      <c r="C647" s="3">
        <v>647</v>
      </c>
      <c r="D647" s="3">
        <v>1</v>
      </c>
      <c r="E647" s="3" t="s">
        <v>43</v>
      </c>
      <c r="F647" s="3" t="s">
        <v>44</v>
      </c>
      <c r="G647" s="3" t="str">
        <f>"2026-04-04 10:43:25.173"</f>
        <v>2026-04-04 10:43:25.173</v>
      </c>
      <c r="H647" s="3" t="s">
        <v>22</v>
      </c>
      <c r="I647" s="3">
        <v>9.52</v>
      </c>
      <c r="J647" s="3" t="s">
        <v>45</v>
      </c>
    </row>
    <row r="648" spans="1:10" x14ac:dyDescent="0.25">
      <c r="A648" s="1">
        <v>48</v>
      </c>
      <c r="B648" t="s">
        <v>37</v>
      </c>
      <c r="C648">
        <v>635</v>
      </c>
      <c r="D648">
        <v>1</v>
      </c>
      <c r="E648" t="s">
        <v>53</v>
      </c>
      <c r="F648" t="s">
        <v>48</v>
      </c>
      <c r="G648" t="str">
        <f>"2026-04-04 07:10:35.672"</f>
        <v>2026-04-04 07:10:35.672</v>
      </c>
      <c r="H648" t="s">
        <v>22</v>
      </c>
    </row>
    <row r="649" spans="1:10" x14ac:dyDescent="0.25">
      <c r="A649" s="1">
        <v>49</v>
      </c>
      <c r="B649" t="s">
        <v>19</v>
      </c>
      <c r="C649">
        <v>635</v>
      </c>
      <c r="D649">
        <v>1</v>
      </c>
      <c r="E649" t="s">
        <v>53</v>
      </c>
      <c r="F649" t="s">
        <v>48</v>
      </c>
      <c r="G649" t="str">
        <f>"2026-04-04 06:54:07.672"</f>
        <v>2026-04-04 06:54:07.672</v>
      </c>
      <c r="H649" t="s">
        <v>22</v>
      </c>
      <c r="I649">
        <v>2.3199999999999998</v>
      </c>
      <c r="J649" t="s">
        <v>54</v>
      </c>
    </row>
    <row r="650" spans="1:10" x14ac:dyDescent="0.25">
      <c r="A650" s="1">
        <v>50</v>
      </c>
      <c r="B650" t="s">
        <v>37</v>
      </c>
      <c r="C650">
        <v>635</v>
      </c>
      <c r="D650">
        <v>1</v>
      </c>
      <c r="E650" t="s">
        <v>53</v>
      </c>
      <c r="F650" t="s">
        <v>48</v>
      </c>
      <c r="G650" t="str">
        <f>"2026-04-04 05:24:02.372"</f>
        <v>2026-04-04 05:24:02.372</v>
      </c>
      <c r="H650" t="s">
        <v>22</v>
      </c>
    </row>
    <row r="651" spans="1:10" x14ac:dyDescent="0.25">
      <c r="A651" s="1">
        <v>51</v>
      </c>
      <c r="B651" t="s">
        <v>19</v>
      </c>
      <c r="C651">
        <v>635</v>
      </c>
      <c r="D651">
        <v>1</v>
      </c>
      <c r="E651" t="s">
        <v>53</v>
      </c>
      <c r="F651" t="s">
        <v>48</v>
      </c>
      <c r="G651" t="str">
        <f>"2026-04-04 05:20:25.872"</f>
        <v>2026-04-04 05:20:25.872</v>
      </c>
      <c r="H651" t="s">
        <v>22</v>
      </c>
      <c r="I651">
        <v>1.47</v>
      </c>
      <c r="J651" t="s">
        <v>54</v>
      </c>
    </row>
    <row r="652" spans="1:10" s="3" customFormat="1" x14ac:dyDescent="0.25">
      <c r="A652" s="2">
        <v>52</v>
      </c>
      <c r="B652" s="3" t="s">
        <v>37</v>
      </c>
      <c r="C652" s="3">
        <v>647</v>
      </c>
      <c r="D652" s="3">
        <v>1</v>
      </c>
      <c r="E652" s="3" t="s">
        <v>43</v>
      </c>
      <c r="F652" s="3" t="s">
        <v>44</v>
      </c>
      <c r="G652" s="3" t="str">
        <f>"2026-04-03 15:04:02.273"</f>
        <v>2026-04-03 15:04:02.273</v>
      </c>
      <c r="H652" s="3" t="s">
        <v>22</v>
      </c>
    </row>
    <row r="653" spans="1:10" s="3" customFormat="1" x14ac:dyDescent="0.25">
      <c r="A653" s="2">
        <v>53</v>
      </c>
      <c r="B653" s="3" t="s">
        <v>19</v>
      </c>
      <c r="C653" s="3">
        <v>647</v>
      </c>
      <c r="D653" s="3">
        <v>1</v>
      </c>
      <c r="E653" s="3" t="s">
        <v>43</v>
      </c>
      <c r="F653" s="3" t="s">
        <v>44</v>
      </c>
      <c r="G653" s="3" t="str">
        <f>"2026-04-03 15:03:49.073"</f>
        <v>2026-04-03 15:03:49.073</v>
      </c>
      <c r="H653" s="3" t="s">
        <v>22</v>
      </c>
      <c r="I653" s="3">
        <v>9.1300000000000008</v>
      </c>
      <c r="J653" s="3" t="s">
        <v>45</v>
      </c>
    </row>
    <row r="654" spans="1:10" s="3" customFormat="1" x14ac:dyDescent="0.25">
      <c r="A654" s="2">
        <v>54</v>
      </c>
      <c r="B654" s="3" t="s">
        <v>37</v>
      </c>
      <c r="C654" s="3">
        <v>647</v>
      </c>
      <c r="D654" s="3">
        <v>1</v>
      </c>
      <c r="E654" s="3" t="s">
        <v>43</v>
      </c>
      <c r="F654" s="3" t="s">
        <v>44</v>
      </c>
      <c r="G654" s="3" t="str">
        <f>"2026-04-03 13:07:49.273"</f>
        <v>2026-04-03 13:07:49.273</v>
      </c>
      <c r="H654" s="3" t="s">
        <v>22</v>
      </c>
    </row>
    <row r="655" spans="1:10" s="3" customFormat="1" x14ac:dyDescent="0.25">
      <c r="A655" s="2">
        <v>55</v>
      </c>
      <c r="B655" s="3" t="s">
        <v>19</v>
      </c>
      <c r="C655" s="3">
        <v>647</v>
      </c>
      <c r="D655" s="3">
        <v>1</v>
      </c>
      <c r="E655" s="3" t="s">
        <v>43</v>
      </c>
      <c r="F655" s="3" t="s">
        <v>44</v>
      </c>
      <c r="G655" s="3" t="str">
        <f>"2026-04-03 13:07:40.973"</f>
        <v>2026-04-03 13:07:40.973</v>
      </c>
      <c r="H655" s="3" t="s">
        <v>22</v>
      </c>
      <c r="I655" s="3">
        <v>9.4499999999999993</v>
      </c>
      <c r="J655" s="3" t="s">
        <v>45</v>
      </c>
    </row>
    <row r="656" spans="1:10" s="3" customFormat="1" x14ac:dyDescent="0.25">
      <c r="A656" s="2">
        <v>56</v>
      </c>
      <c r="B656" s="3" t="s">
        <v>37</v>
      </c>
      <c r="C656" s="3">
        <v>647</v>
      </c>
      <c r="D656" s="3">
        <v>1</v>
      </c>
      <c r="E656" s="3" t="s">
        <v>43</v>
      </c>
      <c r="F656" s="3" t="s">
        <v>44</v>
      </c>
      <c r="G656" s="3" t="str">
        <f>"2026-04-03 10:50:47.373"</f>
        <v>2026-04-03 10:50:47.373</v>
      </c>
      <c r="H656" s="3" t="s">
        <v>22</v>
      </c>
    </row>
    <row r="657" spans="1:10" s="3" customFormat="1" x14ac:dyDescent="0.25">
      <c r="A657" s="2">
        <v>57</v>
      </c>
      <c r="B657" s="3" t="s">
        <v>19</v>
      </c>
      <c r="C657" s="3">
        <v>647</v>
      </c>
      <c r="D657" s="3">
        <v>1</v>
      </c>
      <c r="E657" s="3" t="s">
        <v>43</v>
      </c>
      <c r="F657" s="3" t="s">
        <v>44</v>
      </c>
      <c r="G657" s="3" t="str">
        <f>"2026-04-03 10:50:30.273"</f>
        <v>2026-04-03 10:50:30.273</v>
      </c>
      <c r="H657" s="3" t="s">
        <v>22</v>
      </c>
      <c r="I657" s="3">
        <v>9.3699999999999992</v>
      </c>
      <c r="J657" s="3" t="s">
        <v>45</v>
      </c>
    </row>
    <row r="658" spans="1:10" s="3" customFormat="1" x14ac:dyDescent="0.25">
      <c r="A658" s="2">
        <v>58</v>
      </c>
      <c r="B658" s="3" t="s">
        <v>37</v>
      </c>
      <c r="C658" s="3">
        <v>647</v>
      </c>
      <c r="D658" s="3">
        <v>1</v>
      </c>
      <c r="E658" s="3" t="s">
        <v>43</v>
      </c>
      <c r="F658" s="3" t="s">
        <v>44</v>
      </c>
      <c r="G658" s="3" t="str">
        <f>"2026-04-03 09:49:01.373"</f>
        <v>2026-04-03 09:49:01.373</v>
      </c>
      <c r="H658" s="3" t="s">
        <v>22</v>
      </c>
    </row>
    <row r="659" spans="1:10" s="3" customFormat="1" x14ac:dyDescent="0.25">
      <c r="A659" s="2">
        <v>59</v>
      </c>
      <c r="B659" s="3" t="s">
        <v>19</v>
      </c>
      <c r="C659" s="3">
        <v>647</v>
      </c>
      <c r="D659" s="3">
        <v>1</v>
      </c>
      <c r="E659" s="3" t="s">
        <v>43</v>
      </c>
      <c r="F659" s="3" t="s">
        <v>44</v>
      </c>
      <c r="G659" s="3" t="str">
        <f>"2026-04-03 09:48:41.073"</f>
        <v>2026-04-03 09:48:41.073</v>
      </c>
      <c r="H659" s="3" t="s">
        <v>22</v>
      </c>
      <c r="I659" s="3">
        <v>8.94</v>
      </c>
      <c r="J659" s="3" t="s">
        <v>45</v>
      </c>
    </row>
    <row r="660" spans="1:10" s="3" customFormat="1" x14ac:dyDescent="0.25">
      <c r="A660" s="2">
        <v>60</v>
      </c>
      <c r="B660" s="3" t="s">
        <v>37</v>
      </c>
      <c r="C660" s="3">
        <v>647</v>
      </c>
      <c r="D660" s="3">
        <v>1</v>
      </c>
      <c r="E660" s="3" t="s">
        <v>43</v>
      </c>
      <c r="F660" s="3" t="s">
        <v>44</v>
      </c>
      <c r="G660" s="3" t="str">
        <f>"2026-04-03 08:49:22.073"</f>
        <v>2026-04-03 08:49:22.073</v>
      </c>
      <c r="H660" s="3" t="s">
        <v>22</v>
      </c>
    </row>
    <row r="661" spans="1:10" s="3" customFormat="1" x14ac:dyDescent="0.25">
      <c r="A661" s="2">
        <v>61</v>
      </c>
      <c r="B661" s="3" t="s">
        <v>19</v>
      </c>
      <c r="C661" s="3">
        <v>647</v>
      </c>
      <c r="D661" s="3">
        <v>1</v>
      </c>
      <c r="E661" s="3" t="s">
        <v>43</v>
      </c>
      <c r="F661" s="3" t="s">
        <v>44</v>
      </c>
      <c r="G661" s="3" t="str">
        <f>"2026-04-03 08:49:03.573"</f>
        <v>2026-04-03 08:49:03.573</v>
      </c>
      <c r="H661" s="3" t="s">
        <v>22</v>
      </c>
      <c r="I661" s="3">
        <v>18.010000000000002</v>
      </c>
      <c r="J661" s="3" t="s">
        <v>45</v>
      </c>
    </row>
    <row r="662" spans="1:10" s="3" customFormat="1" x14ac:dyDescent="0.25">
      <c r="A662" s="2">
        <v>62</v>
      </c>
      <c r="B662" s="3" t="s">
        <v>37</v>
      </c>
      <c r="C662" s="3">
        <v>647</v>
      </c>
      <c r="D662" s="3">
        <v>1</v>
      </c>
      <c r="E662" s="3" t="s">
        <v>43</v>
      </c>
      <c r="F662" s="3" t="s">
        <v>44</v>
      </c>
      <c r="G662" s="3" t="str">
        <f>"2026-04-03 08:48:59.473"</f>
        <v>2026-04-03 08:48:59.473</v>
      </c>
      <c r="H662" s="3" t="s">
        <v>22</v>
      </c>
    </row>
    <row r="663" spans="1:10" s="3" customFormat="1" x14ac:dyDescent="0.25">
      <c r="A663" s="2">
        <v>63</v>
      </c>
      <c r="B663" s="3" t="s">
        <v>19</v>
      </c>
      <c r="C663" s="3">
        <v>647</v>
      </c>
      <c r="D663" s="3">
        <v>1</v>
      </c>
      <c r="E663" s="3" t="s">
        <v>43</v>
      </c>
      <c r="F663" s="3" t="s">
        <v>44</v>
      </c>
      <c r="G663" s="3" t="str">
        <f>"2026-04-03 08:48:40.773"</f>
        <v>2026-04-03 08:48:40.773</v>
      </c>
      <c r="H663" s="3" t="s">
        <v>22</v>
      </c>
      <c r="I663" s="3">
        <v>8.1300000000000008</v>
      </c>
      <c r="J663" s="3" t="s">
        <v>45</v>
      </c>
    </row>
    <row r="664" spans="1:10" x14ac:dyDescent="0.25">
      <c r="A664" s="1">
        <v>64</v>
      </c>
      <c r="B664" t="s">
        <v>37</v>
      </c>
      <c r="C664">
        <v>635</v>
      </c>
      <c r="D664">
        <v>1</v>
      </c>
      <c r="E664" t="s">
        <v>53</v>
      </c>
      <c r="F664" t="s">
        <v>48</v>
      </c>
      <c r="G664" t="str">
        <f>"2026-04-03 07:25:30.272"</f>
        <v>2026-04-03 07:25:30.272</v>
      </c>
      <c r="H664" t="s">
        <v>22</v>
      </c>
    </row>
    <row r="665" spans="1:10" x14ac:dyDescent="0.25">
      <c r="A665" s="1">
        <v>65</v>
      </c>
      <c r="B665" t="s">
        <v>19</v>
      </c>
      <c r="C665">
        <v>635</v>
      </c>
      <c r="D665">
        <v>1</v>
      </c>
      <c r="E665" t="s">
        <v>53</v>
      </c>
      <c r="F665" t="s">
        <v>48</v>
      </c>
      <c r="G665" t="str">
        <f>"2026-04-03 07:09:49.772"</f>
        <v>2026-04-03 07:09:49.772</v>
      </c>
      <c r="H665" t="s">
        <v>22</v>
      </c>
      <c r="I665">
        <v>4.8499999999999996</v>
      </c>
      <c r="J665" t="s">
        <v>54</v>
      </c>
    </row>
    <row r="666" spans="1:10" s="3" customFormat="1" x14ac:dyDescent="0.25">
      <c r="A666" s="2">
        <v>66</v>
      </c>
      <c r="B666" s="3" t="s">
        <v>37</v>
      </c>
      <c r="C666" s="3">
        <v>647</v>
      </c>
      <c r="D666" s="3">
        <v>1</v>
      </c>
      <c r="E666" s="3" t="s">
        <v>43</v>
      </c>
      <c r="F666" s="3" t="s">
        <v>44</v>
      </c>
      <c r="G666" s="3" t="str">
        <f>"2026-04-03 05:48:38.673"</f>
        <v>2026-04-03 05:48:38.673</v>
      </c>
      <c r="H666" s="3" t="s">
        <v>22</v>
      </c>
    </row>
    <row r="667" spans="1:10" s="3" customFormat="1" x14ac:dyDescent="0.25">
      <c r="A667" s="2">
        <v>67</v>
      </c>
      <c r="B667" s="3" t="s">
        <v>19</v>
      </c>
      <c r="C667" s="3">
        <v>647</v>
      </c>
      <c r="D667" s="3">
        <v>1</v>
      </c>
      <c r="E667" s="3" t="s">
        <v>43</v>
      </c>
      <c r="F667" s="3" t="s">
        <v>44</v>
      </c>
      <c r="G667" s="3" t="str">
        <f>"2026-04-03 05:48:36.973"</f>
        <v>2026-04-03 05:48:36.973</v>
      </c>
      <c r="H667" s="3" t="s">
        <v>22</v>
      </c>
      <c r="I667" s="3">
        <v>8.52</v>
      </c>
      <c r="J667" s="3" t="s">
        <v>45</v>
      </c>
    </row>
    <row r="668" spans="1:10" x14ac:dyDescent="0.25">
      <c r="A668" s="1">
        <v>68</v>
      </c>
      <c r="B668" t="s">
        <v>37</v>
      </c>
      <c r="C668">
        <v>635</v>
      </c>
      <c r="D668">
        <v>1</v>
      </c>
      <c r="E668" t="s">
        <v>53</v>
      </c>
      <c r="F668" t="s">
        <v>48</v>
      </c>
      <c r="G668" t="str">
        <f>"2026-04-03 04:29:55.572"</f>
        <v>2026-04-03 04:29:55.572</v>
      </c>
      <c r="H668" t="s">
        <v>22</v>
      </c>
    </row>
    <row r="669" spans="1:10" x14ac:dyDescent="0.25">
      <c r="A669" s="1">
        <v>69</v>
      </c>
      <c r="B669" t="s">
        <v>19</v>
      </c>
      <c r="C669">
        <v>635</v>
      </c>
      <c r="D669">
        <v>1</v>
      </c>
      <c r="E669" t="s">
        <v>53</v>
      </c>
      <c r="F669" t="s">
        <v>48</v>
      </c>
      <c r="G669" t="str">
        <f>"2026-04-03 04:17:07.672"</f>
        <v>2026-04-03 04:17:07.672</v>
      </c>
      <c r="H669" t="s">
        <v>22</v>
      </c>
      <c r="I669">
        <v>7.4</v>
      </c>
      <c r="J669" t="s">
        <v>45</v>
      </c>
    </row>
    <row r="670" spans="1:10" x14ac:dyDescent="0.25">
      <c r="A670" s="1">
        <v>70</v>
      </c>
      <c r="B670" t="s">
        <v>37</v>
      </c>
      <c r="C670">
        <v>635</v>
      </c>
      <c r="D670">
        <v>1</v>
      </c>
      <c r="E670" t="s">
        <v>53</v>
      </c>
      <c r="F670" t="s">
        <v>48</v>
      </c>
      <c r="G670" t="str">
        <f>"2026-04-02 20:11:56.672"</f>
        <v>2026-04-02 20:11:56.672</v>
      </c>
      <c r="H670" t="s">
        <v>22</v>
      </c>
    </row>
    <row r="671" spans="1:10" x14ac:dyDescent="0.25">
      <c r="A671" s="1">
        <v>71</v>
      </c>
      <c r="B671" t="s">
        <v>19</v>
      </c>
      <c r="C671">
        <v>635</v>
      </c>
      <c r="D671">
        <v>1</v>
      </c>
      <c r="E671" t="s">
        <v>53</v>
      </c>
      <c r="F671" t="s">
        <v>48</v>
      </c>
      <c r="G671" t="str">
        <f>"2026-04-02 20:01:49.672"</f>
        <v>2026-04-02 20:01:49.672</v>
      </c>
      <c r="H671" t="s">
        <v>22</v>
      </c>
      <c r="I671">
        <v>4.5</v>
      </c>
      <c r="J671" t="s">
        <v>54</v>
      </c>
    </row>
    <row r="672" spans="1:10" x14ac:dyDescent="0.25">
      <c r="A672" s="1">
        <v>72</v>
      </c>
      <c r="B672" t="s">
        <v>37</v>
      </c>
      <c r="C672">
        <v>635</v>
      </c>
      <c r="D672">
        <v>1</v>
      </c>
      <c r="E672" t="s">
        <v>53</v>
      </c>
      <c r="F672" t="s">
        <v>48</v>
      </c>
      <c r="G672" t="str">
        <f>"2026-04-02 15:14:16.372"</f>
        <v>2026-04-02 15:14:16.372</v>
      </c>
      <c r="H672" t="s">
        <v>22</v>
      </c>
    </row>
    <row r="673" spans="1:10" x14ac:dyDescent="0.25">
      <c r="A673" s="1">
        <v>73</v>
      </c>
      <c r="B673" t="s">
        <v>19</v>
      </c>
      <c r="C673">
        <v>635</v>
      </c>
      <c r="D673">
        <v>1</v>
      </c>
      <c r="E673" t="s">
        <v>53</v>
      </c>
      <c r="F673" t="s">
        <v>48</v>
      </c>
      <c r="G673" t="str">
        <f>"2026-04-02 15:11:19.872"</f>
        <v>2026-04-02 15:11:19.872</v>
      </c>
      <c r="H673" t="s">
        <v>22</v>
      </c>
      <c r="I673">
        <v>3.63</v>
      </c>
      <c r="J673" t="s">
        <v>54</v>
      </c>
    </row>
    <row r="674" spans="1:10" x14ac:dyDescent="0.25">
      <c r="A674" s="1">
        <v>74</v>
      </c>
      <c r="B674" t="s">
        <v>28</v>
      </c>
      <c r="C674">
        <v>706</v>
      </c>
      <c r="D674">
        <v>4</v>
      </c>
      <c r="E674" t="s">
        <v>35</v>
      </c>
      <c r="F674" t="s">
        <v>36</v>
      </c>
      <c r="G674" t="str">
        <f>"2026-04-02 14:02:20.272"</f>
        <v>2026-04-02 14:02:20.272</v>
      </c>
      <c r="H674" t="s">
        <v>22</v>
      </c>
      <c r="I674">
        <v>0</v>
      </c>
      <c r="J674" t="s">
        <v>23</v>
      </c>
    </row>
    <row r="675" spans="1:10" x14ac:dyDescent="0.25">
      <c r="A675" s="1">
        <v>75</v>
      </c>
      <c r="B675" t="s">
        <v>28</v>
      </c>
      <c r="C675">
        <v>700</v>
      </c>
      <c r="D675">
        <v>0</v>
      </c>
      <c r="E675" t="s">
        <v>34</v>
      </c>
      <c r="F675" t="s">
        <v>34</v>
      </c>
      <c r="G675" t="str">
        <f>"2026-04-02 14:02:02.502"</f>
        <v>2026-04-02 14:02:02.502</v>
      </c>
      <c r="H675" t="s">
        <v>22</v>
      </c>
      <c r="I675">
        <v>0</v>
      </c>
      <c r="J675" t="s">
        <v>46</v>
      </c>
    </row>
    <row r="676" spans="1:10" s="3" customFormat="1" x14ac:dyDescent="0.25">
      <c r="A676" s="2">
        <v>76</v>
      </c>
      <c r="B676" s="3" t="s">
        <v>37</v>
      </c>
      <c r="C676" s="3">
        <v>647</v>
      </c>
      <c r="D676" s="3">
        <v>1</v>
      </c>
      <c r="E676" s="3" t="s">
        <v>43</v>
      </c>
      <c r="F676" s="3" t="s">
        <v>44</v>
      </c>
      <c r="G676" s="3" t="str">
        <f>"2026-04-02 10:30:10.673"</f>
        <v>2026-04-02 10:30:10.673</v>
      </c>
      <c r="H676" s="3" t="s">
        <v>22</v>
      </c>
    </row>
    <row r="677" spans="1:10" s="3" customFormat="1" x14ac:dyDescent="0.25">
      <c r="A677" s="2">
        <v>77</v>
      </c>
      <c r="B677" s="3" t="s">
        <v>19</v>
      </c>
      <c r="C677" s="3">
        <v>647</v>
      </c>
      <c r="D677" s="3">
        <v>1</v>
      </c>
      <c r="E677" s="3" t="s">
        <v>43</v>
      </c>
      <c r="F677" s="3" t="s">
        <v>44</v>
      </c>
      <c r="G677" s="3" t="str">
        <f>"2026-04-02 10:30:06.773"</f>
        <v>2026-04-02 10:30:06.773</v>
      </c>
      <c r="H677" s="3" t="s">
        <v>22</v>
      </c>
      <c r="I677" s="3">
        <v>14.56</v>
      </c>
      <c r="J677" s="3" t="s">
        <v>45</v>
      </c>
    </row>
    <row r="678" spans="1:10" s="3" customFormat="1" x14ac:dyDescent="0.25">
      <c r="A678" s="2">
        <v>78</v>
      </c>
      <c r="B678" s="3" t="s">
        <v>37</v>
      </c>
      <c r="C678" s="3">
        <v>647</v>
      </c>
      <c r="D678" s="3">
        <v>1</v>
      </c>
      <c r="E678" s="3" t="s">
        <v>43</v>
      </c>
      <c r="F678" s="3" t="s">
        <v>44</v>
      </c>
      <c r="G678" s="3" t="str">
        <f>"2026-04-01 15:48:05.373"</f>
        <v>2026-04-01 15:48:05.373</v>
      </c>
      <c r="H678" s="3" t="s">
        <v>22</v>
      </c>
    </row>
    <row r="679" spans="1:10" s="3" customFormat="1" x14ac:dyDescent="0.25">
      <c r="A679" s="2">
        <v>79</v>
      </c>
      <c r="B679" s="3" t="s">
        <v>19</v>
      </c>
      <c r="C679" s="3">
        <v>647</v>
      </c>
      <c r="D679" s="3">
        <v>1</v>
      </c>
      <c r="E679" s="3" t="s">
        <v>43</v>
      </c>
      <c r="F679" s="3" t="s">
        <v>44</v>
      </c>
      <c r="G679" s="3" t="str">
        <f>"2026-04-01 15:47:44.273"</f>
        <v>2026-04-01 15:47:44.273</v>
      </c>
      <c r="H679" s="3" t="s">
        <v>22</v>
      </c>
      <c r="I679" s="3">
        <v>13.35</v>
      </c>
      <c r="J679" s="3" t="s">
        <v>45</v>
      </c>
    </row>
    <row r="680" spans="1:10" x14ac:dyDescent="0.25">
      <c r="A680" s="1">
        <v>80</v>
      </c>
      <c r="B680" t="s">
        <v>37</v>
      </c>
      <c r="C680">
        <v>635</v>
      </c>
      <c r="D680">
        <v>1</v>
      </c>
      <c r="E680" t="s">
        <v>53</v>
      </c>
      <c r="F680" t="s">
        <v>48</v>
      </c>
      <c r="G680" t="str">
        <f>"2026-04-01 12:08:20.125"</f>
        <v>2026-04-01 12:08:20.125</v>
      </c>
      <c r="H680" t="s">
        <v>22</v>
      </c>
    </row>
    <row r="681" spans="1:10" x14ac:dyDescent="0.25">
      <c r="A681" s="1">
        <v>81</v>
      </c>
      <c r="B681" t="s">
        <v>19</v>
      </c>
      <c r="C681">
        <v>635</v>
      </c>
      <c r="D681">
        <v>1</v>
      </c>
      <c r="E681" t="s">
        <v>53</v>
      </c>
      <c r="F681" t="s">
        <v>48</v>
      </c>
      <c r="G681" t="str">
        <f>"2026-04-01 12:04:13.125"</f>
        <v>2026-04-01 12:04:13.125</v>
      </c>
      <c r="H681" t="s">
        <v>22</v>
      </c>
      <c r="I681">
        <v>2.81</v>
      </c>
      <c r="J681" t="s">
        <v>50</v>
      </c>
    </row>
    <row r="682" spans="1:10" s="3" customFormat="1" x14ac:dyDescent="0.25">
      <c r="A682" s="2">
        <v>82</v>
      </c>
      <c r="B682" s="3" t="s">
        <v>37</v>
      </c>
      <c r="C682" s="3">
        <v>647</v>
      </c>
      <c r="D682" s="3">
        <v>1</v>
      </c>
      <c r="E682" s="3" t="s">
        <v>43</v>
      </c>
      <c r="F682" s="3" t="s">
        <v>44</v>
      </c>
      <c r="G682" s="3" t="str">
        <f>"2026-03-30 21:26:42.273"</f>
        <v>2026-03-30 21:26:42.273</v>
      </c>
      <c r="H682" s="3" t="s">
        <v>22</v>
      </c>
    </row>
    <row r="683" spans="1:10" s="3" customFormat="1" x14ac:dyDescent="0.25">
      <c r="A683" s="2">
        <v>83</v>
      </c>
      <c r="B683" s="3" t="s">
        <v>19</v>
      </c>
      <c r="C683" s="3">
        <v>647</v>
      </c>
      <c r="D683" s="3">
        <v>1</v>
      </c>
      <c r="E683" s="3" t="s">
        <v>43</v>
      </c>
      <c r="F683" s="3" t="s">
        <v>44</v>
      </c>
      <c r="G683" s="3" t="str">
        <f>"2026-03-30 21:26:37.173"</f>
        <v>2026-03-30 21:26:37.173</v>
      </c>
      <c r="H683" s="3" t="s">
        <v>22</v>
      </c>
      <c r="I683" s="3">
        <v>17.88</v>
      </c>
      <c r="J683" s="3" t="s">
        <v>45</v>
      </c>
    </row>
    <row r="684" spans="1:10" s="3" customFormat="1" x14ac:dyDescent="0.25">
      <c r="A684" s="2">
        <v>84</v>
      </c>
      <c r="B684" s="3" t="s">
        <v>37</v>
      </c>
      <c r="C684" s="3">
        <v>647</v>
      </c>
      <c r="D684" s="3">
        <v>1</v>
      </c>
      <c r="E684" s="3" t="s">
        <v>43</v>
      </c>
      <c r="F684" s="3" t="s">
        <v>44</v>
      </c>
      <c r="G684" s="3" t="str">
        <f>"2026-03-30 21:06:22.073"</f>
        <v>2026-03-30 21:06:22.073</v>
      </c>
      <c r="H684" s="3" t="s">
        <v>22</v>
      </c>
    </row>
    <row r="685" spans="1:10" s="3" customFormat="1" x14ac:dyDescent="0.25">
      <c r="A685" s="2">
        <v>85</v>
      </c>
      <c r="B685" s="3" t="s">
        <v>19</v>
      </c>
      <c r="C685" s="3">
        <v>647</v>
      </c>
      <c r="D685" s="3">
        <v>1</v>
      </c>
      <c r="E685" s="3" t="s">
        <v>43</v>
      </c>
      <c r="F685" s="3" t="s">
        <v>44</v>
      </c>
      <c r="G685" s="3" t="str">
        <f>"2026-03-30 21:06:18.773"</f>
        <v>2026-03-30 21:06:18.773</v>
      </c>
      <c r="H685" s="3" t="s">
        <v>22</v>
      </c>
      <c r="I685" s="3">
        <v>10.98</v>
      </c>
      <c r="J685" s="3" t="s">
        <v>45</v>
      </c>
    </row>
    <row r="686" spans="1:10" x14ac:dyDescent="0.25">
      <c r="A686" s="1">
        <v>86</v>
      </c>
      <c r="B686" t="s">
        <v>37</v>
      </c>
      <c r="C686">
        <v>635</v>
      </c>
      <c r="D686">
        <v>1</v>
      </c>
      <c r="E686" t="s">
        <v>53</v>
      </c>
      <c r="F686" t="s">
        <v>48</v>
      </c>
      <c r="G686" t="str">
        <f>"2026-03-30 08:28:53.925"</f>
        <v>2026-03-30 08:28:53.925</v>
      </c>
      <c r="H686" t="s">
        <v>22</v>
      </c>
    </row>
    <row r="687" spans="1:10" x14ac:dyDescent="0.25">
      <c r="A687" s="1">
        <v>87</v>
      </c>
      <c r="B687" t="s">
        <v>19</v>
      </c>
      <c r="C687">
        <v>635</v>
      </c>
      <c r="D687">
        <v>1</v>
      </c>
      <c r="E687" t="s">
        <v>53</v>
      </c>
      <c r="F687" t="s">
        <v>48</v>
      </c>
      <c r="G687" t="str">
        <f>"2026-03-30 08:24:31.425"</f>
        <v>2026-03-30 08:24:31.425</v>
      </c>
      <c r="H687" t="s">
        <v>22</v>
      </c>
      <c r="I687">
        <v>3.44</v>
      </c>
      <c r="J687" t="s">
        <v>54</v>
      </c>
    </row>
    <row r="688" spans="1:10" x14ac:dyDescent="0.25">
      <c r="A688" s="1">
        <v>88</v>
      </c>
      <c r="B688" t="s">
        <v>28</v>
      </c>
      <c r="C688">
        <v>700</v>
      </c>
      <c r="D688">
        <v>0</v>
      </c>
      <c r="E688" t="s">
        <v>34</v>
      </c>
      <c r="F688" t="s">
        <v>34</v>
      </c>
      <c r="G688" t="str">
        <f>"2026-03-30 04:07:22.496"</f>
        <v>2026-03-30 04:07:22.496</v>
      </c>
      <c r="H688" t="s">
        <v>22</v>
      </c>
      <c r="I688">
        <v>0</v>
      </c>
      <c r="J688" t="s">
        <v>46</v>
      </c>
    </row>
    <row r="689" spans="1:10" x14ac:dyDescent="0.25">
      <c r="A689" s="1">
        <v>89</v>
      </c>
      <c r="B689" t="s">
        <v>37</v>
      </c>
      <c r="C689">
        <v>635</v>
      </c>
      <c r="D689">
        <v>1</v>
      </c>
      <c r="E689" t="s">
        <v>53</v>
      </c>
      <c r="F689" t="s">
        <v>48</v>
      </c>
      <c r="G689" t="str">
        <f>"2026-03-30 00:33:24.019"</f>
        <v>2026-03-30 00:33:24.019</v>
      </c>
      <c r="H689" t="s">
        <v>22</v>
      </c>
    </row>
    <row r="690" spans="1:10" x14ac:dyDescent="0.25">
      <c r="A690" s="1">
        <v>90</v>
      </c>
      <c r="B690" t="s">
        <v>19</v>
      </c>
      <c r="C690">
        <v>635</v>
      </c>
      <c r="D690">
        <v>1</v>
      </c>
      <c r="E690" t="s">
        <v>53</v>
      </c>
      <c r="F690" t="s">
        <v>48</v>
      </c>
      <c r="G690" t="str">
        <f>"2026-03-30 00:29:39.519"</f>
        <v>2026-03-30 00:29:39.519</v>
      </c>
      <c r="H690" t="s">
        <v>22</v>
      </c>
      <c r="I690">
        <v>6.56</v>
      </c>
      <c r="J690" t="s">
        <v>54</v>
      </c>
    </row>
    <row r="691" spans="1:10" x14ac:dyDescent="0.25">
      <c r="A691" s="1">
        <v>91</v>
      </c>
      <c r="B691" t="s">
        <v>28</v>
      </c>
      <c r="C691">
        <v>700</v>
      </c>
      <c r="D691">
        <v>0</v>
      </c>
      <c r="E691" t="s">
        <v>34</v>
      </c>
      <c r="F691" t="s">
        <v>34</v>
      </c>
      <c r="G691" t="str">
        <f>"2026-03-29 13:34:42.492"</f>
        <v>2026-03-29 13:34:42.492</v>
      </c>
      <c r="H691" t="s">
        <v>22</v>
      </c>
    </row>
    <row r="692" spans="1:10" s="3" customFormat="1" x14ac:dyDescent="0.25">
      <c r="A692" s="2">
        <v>92</v>
      </c>
      <c r="B692" s="3" t="s">
        <v>37</v>
      </c>
      <c r="C692" s="3">
        <v>647</v>
      </c>
      <c r="D692" s="3">
        <v>1</v>
      </c>
      <c r="E692" s="3" t="s">
        <v>43</v>
      </c>
      <c r="F692" s="3" t="s">
        <v>44</v>
      </c>
      <c r="G692" s="3" t="str">
        <f>"2026-03-29 02:21:48.674"</f>
        <v>2026-03-29 02:21:48.674</v>
      </c>
      <c r="H692" s="3" t="s">
        <v>22</v>
      </c>
    </row>
    <row r="693" spans="1:10" s="3" customFormat="1" x14ac:dyDescent="0.25">
      <c r="A693" s="2">
        <v>93</v>
      </c>
      <c r="B693" s="3" t="s">
        <v>19</v>
      </c>
      <c r="C693" s="3">
        <v>647</v>
      </c>
      <c r="D693" s="3">
        <v>1</v>
      </c>
      <c r="E693" s="3" t="s">
        <v>43</v>
      </c>
      <c r="F693" s="3" t="s">
        <v>44</v>
      </c>
      <c r="G693" s="3" t="str">
        <f>"2026-03-29 02:21:41.574"</f>
        <v>2026-03-29 02:21:41.574</v>
      </c>
      <c r="H693" s="3" t="s">
        <v>22</v>
      </c>
      <c r="I693" s="3">
        <v>17.27</v>
      </c>
      <c r="J693" s="3" t="s">
        <v>45</v>
      </c>
    </row>
    <row r="694" spans="1:10" x14ac:dyDescent="0.25">
      <c r="A694" s="1">
        <v>94</v>
      </c>
      <c r="B694" t="s">
        <v>37</v>
      </c>
      <c r="C694">
        <v>635</v>
      </c>
      <c r="D694">
        <v>1</v>
      </c>
      <c r="E694" t="s">
        <v>53</v>
      </c>
      <c r="F694" t="s">
        <v>48</v>
      </c>
      <c r="G694" t="str">
        <f>"2026-03-28 21:52:12.174"</f>
        <v>2026-03-28 21:52:12.174</v>
      </c>
      <c r="H694" t="s">
        <v>22</v>
      </c>
    </row>
    <row r="695" spans="1:10" x14ac:dyDescent="0.25">
      <c r="A695" s="1">
        <v>95</v>
      </c>
      <c r="B695" t="s">
        <v>19</v>
      </c>
      <c r="C695">
        <v>635</v>
      </c>
      <c r="D695">
        <v>1</v>
      </c>
      <c r="E695" t="s">
        <v>53</v>
      </c>
      <c r="F695" t="s">
        <v>48</v>
      </c>
      <c r="G695" t="str">
        <f>"2026-03-28 21:46:52.674"</f>
        <v>2026-03-28 21:46:52.674</v>
      </c>
      <c r="H695" t="s">
        <v>22</v>
      </c>
      <c r="I695">
        <v>3.38</v>
      </c>
      <c r="J695" t="s">
        <v>54</v>
      </c>
    </row>
    <row r="696" spans="1:10" s="3" customFormat="1" x14ac:dyDescent="0.25">
      <c r="A696" s="2">
        <v>96</v>
      </c>
      <c r="B696" s="3" t="s">
        <v>37</v>
      </c>
      <c r="C696" s="3">
        <v>647</v>
      </c>
      <c r="D696" s="3">
        <v>1</v>
      </c>
      <c r="E696" s="3" t="s">
        <v>43</v>
      </c>
      <c r="F696" s="3" t="s">
        <v>44</v>
      </c>
      <c r="G696" s="3" t="str">
        <f>"2026-03-28 16:44:19.574"</f>
        <v>2026-03-28 16:44:19.574</v>
      </c>
      <c r="H696" s="3" t="s">
        <v>22</v>
      </c>
    </row>
    <row r="697" spans="1:10" s="3" customFormat="1" x14ac:dyDescent="0.25">
      <c r="A697" s="2">
        <v>97</v>
      </c>
      <c r="B697" s="3" t="s">
        <v>19</v>
      </c>
      <c r="C697" s="3">
        <v>647</v>
      </c>
      <c r="D697" s="3">
        <v>1</v>
      </c>
      <c r="E697" s="3" t="s">
        <v>43</v>
      </c>
      <c r="F697" s="3" t="s">
        <v>44</v>
      </c>
      <c r="G697" s="3" t="str">
        <f>"2026-03-28 16:44:00.274"</f>
        <v>2026-03-28 16:44:00.274</v>
      </c>
      <c r="H697" s="3" t="s">
        <v>22</v>
      </c>
      <c r="I697" s="3">
        <v>10.91</v>
      </c>
      <c r="J697" s="3" t="s">
        <v>45</v>
      </c>
    </row>
    <row r="698" spans="1:10" s="3" customFormat="1" x14ac:dyDescent="0.25">
      <c r="A698" s="2">
        <v>98</v>
      </c>
      <c r="B698" s="3" t="s">
        <v>37</v>
      </c>
      <c r="C698" s="3">
        <v>647</v>
      </c>
      <c r="D698" s="3">
        <v>1</v>
      </c>
      <c r="E698" s="3" t="s">
        <v>43</v>
      </c>
      <c r="F698" s="3" t="s">
        <v>44</v>
      </c>
      <c r="G698" s="3" t="str">
        <f>"2026-03-28 13:51:08.874"</f>
        <v>2026-03-28 13:51:08.874</v>
      </c>
      <c r="H698" s="3" t="s">
        <v>22</v>
      </c>
    </row>
    <row r="699" spans="1:10" s="3" customFormat="1" x14ac:dyDescent="0.25">
      <c r="A699" s="2">
        <v>99</v>
      </c>
      <c r="B699" s="3" t="s">
        <v>19</v>
      </c>
      <c r="C699" s="3">
        <v>647</v>
      </c>
      <c r="D699" s="3">
        <v>1</v>
      </c>
      <c r="E699" s="3" t="s">
        <v>43</v>
      </c>
      <c r="F699" s="3" t="s">
        <v>44</v>
      </c>
      <c r="G699" s="3" t="str">
        <f>"2026-03-28 13:50:40.574"</f>
        <v>2026-03-28 13:50:40.574</v>
      </c>
      <c r="H699" s="3" t="s">
        <v>22</v>
      </c>
      <c r="I699" s="3">
        <v>13.94</v>
      </c>
      <c r="J699" s="3" t="s">
        <v>45</v>
      </c>
    </row>
    <row r="700" spans="1:10" s="3" customFormat="1" x14ac:dyDescent="0.25">
      <c r="A700" s="2">
        <v>0</v>
      </c>
      <c r="B700" s="3" t="s">
        <v>37</v>
      </c>
      <c r="C700" s="3">
        <v>647</v>
      </c>
      <c r="D700" s="3">
        <v>1</v>
      </c>
      <c r="E700" s="3" t="s">
        <v>43</v>
      </c>
      <c r="F700" s="3" t="s">
        <v>44</v>
      </c>
      <c r="G700" s="3" t="str">
        <f>"2026-03-28 12:29:27.874"</f>
        <v>2026-03-28 12:29:27.874</v>
      </c>
      <c r="H700" s="3" t="s">
        <v>22</v>
      </c>
    </row>
    <row r="701" spans="1:10" s="3" customFormat="1" x14ac:dyDescent="0.25">
      <c r="A701" s="2">
        <v>1</v>
      </c>
      <c r="B701" s="3" t="s">
        <v>19</v>
      </c>
      <c r="C701" s="3">
        <v>647</v>
      </c>
      <c r="D701" s="3">
        <v>1</v>
      </c>
      <c r="E701" s="3" t="s">
        <v>43</v>
      </c>
      <c r="F701" s="3" t="s">
        <v>44</v>
      </c>
      <c r="G701" s="3" t="str">
        <f>"2026-03-28 12:29:26.774"</f>
        <v>2026-03-28 12:29:26.774</v>
      </c>
      <c r="H701" s="3" t="s">
        <v>22</v>
      </c>
      <c r="I701" s="3">
        <v>9.25</v>
      </c>
      <c r="J701" s="3" t="s">
        <v>50</v>
      </c>
    </row>
    <row r="702" spans="1:10" s="3" customFormat="1" x14ac:dyDescent="0.25">
      <c r="A702" s="2">
        <v>2</v>
      </c>
      <c r="B702" s="3" t="s">
        <v>37</v>
      </c>
      <c r="C702" s="3">
        <v>647</v>
      </c>
      <c r="D702" s="3">
        <v>1</v>
      </c>
      <c r="E702" s="3" t="s">
        <v>43</v>
      </c>
      <c r="F702" s="3" t="s">
        <v>44</v>
      </c>
      <c r="G702" s="3" t="str">
        <f>"2026-03-27 15:18:38.274"</f>
        <v>2026-03-27 15:18:38.274</v>
      </c>
      <c r="H702" s="3" t="s">
        <v>22</v>
      </c>
    </row>
    <row r="703" spans="1:10" s="3" customFormat="1" x14ac:dyDescent="0.25">
      <c r="A703" s="2">
        <v>3</v>
      </c>
      <c r="B703" s="3" t="s">
        <v>19</v>
      </c>
      <c r="C703" s="3">
        <v>647</v>
      </c>
      <c r="D703" s="3">
        <v>1</v>
      </c>
      <c r="E703" s="3" t="s">
        <v>43</v>
      </c>
      <c r="F703" s="3" t="s">
        <v>44</v>
      </c>
      <c r="G703" s="3" t="str">
        <f>"2026-03-27 15:18:20.975"</f>
        <v>2026-03-27 15:18:20.975</v>
      </c>
      <c r="H703" s="3" t="s">
        <v>22</v>
      </c>
      <c r="I703" s="3">
        <v>19.61</v>
      </c>
      <c r="J703" s="3" t="s">
        <v>45</v>
      </c>
    </row>
    <row r="704" spans="1:10" x14ac:dyDescent="0.25">
      <c r="A704" s="1">
        <v>4</v>
      </c>
      <c r="B704" t="s">
        <v>28</v>
      </c>
      <c r="C704">
        <v>706</v>
      </c>
      <c r="D704">
        <v>4</v>
      </c>
      <c r="E704" t="s">
        <v>35</v>
      </c>
      <c r="F704" t="s">
        <v>36</v>
      </c>
      <c r="G704" t="str">
        <f>"2026-03-26 23:38:03.687"</f>
        <v>2026-03-26 23:38:03.687</v>
      </c>
      <c r="H704" t="s">
        <v>22</v>
      </c>
      <c r="I704">
        <v>0</v>
      </c>
      <c r="J704" t="s">
        <v>23</v>
      </c>
    </row>
    <row r="705" spans="1:10" x14ac:dyDescent="0.25">
      <c r="A705" s="1">
        <v>5</v>
      </c>
      <c r="B705" t="s">
        <v>28</v>
      </c>
      <c r="C705">
        <v>706</v>
      </c>
      <c r="D705">
        <v>4</v>
      </c>
      <c r="E705" t="s">
        <v>35</v>
      </c>
      <c r="F705" t="s">
        <v>36</v>
      </c>
      <c r="G705" t="str">
        <f>"2026-03-26 23:21:14.107"</f>
        <v>2026-03-26 23:21:14.107</v>
      </c>
      <c r="H705" t="s">
        <v>22</v>
      </c>
      <c r="I705">
        <v>0</v>
      </c>
      <c r="J705" t="s">
        <v>23</v>
      </c>
    </row>
    <row r="706" spans="1:10" x14ac:dyDescent="0.25">
      <c r="A706" s="1">
        <v>6</v>
      </c>
      <c r="B706" t="s">
        <v>28</v>
      </c>
      <c r="C706">
        <v>706</v>
      </c>
      <c r="D706">
        <v>3</v>
      </c>
      <c r="E706" t="s">
        <v>35</v>
      </c>
      <c r="F706" t="s">
        <v>71</v>
      </c>
      <c r="G706" t="str">
        <f>"2026-03-26 22:50:21.677"</f>
        <v>2026-03-26 22:50:21.677</v>
      </c>
      <c r="H706" t="s">
        <v>22</v>
      </c>
      <c r="I706">
        <v>0</v>
      </c>
      <c r="J706" t="s">
        <v>23</v>
      </c>
    </row>
    <row r="707" spans="1:10" x14ac:dyDescent="0.25">
      <c r="A707" s="1">
        <v>7</v>
      </c>
      <c r="B707" t="s">
        <v>28</v>
      </c>
      <c r="C707">
        <v>706</v>
      </c>
      <c r="D707">
        <v>4</v>
      </c>
      <c r="E707" t="s">
        <v>35</v>
      </c>
      <c r="F707" t="s">
        <v>36</v>
      </c>
      <c r="G707" t="str">
        <f>"2026-03-26 22:32:58.417"</f>
        <v>2026-03-26 22:32:58.417</v>
      </c>
      <c r="H707" t="s">
        <v>22</v>
      </c>
      <c r="I707">
        <v>0</v>
      </c>
      <c r="J707" t="s">
        <v>23</v>
      </c>
    </row>
    <row r="708" spans="1:10" x14ac:dyDescent="0.25">
      <c r="A708" s="1">
        <v>8</v>
      </c>
      <c r="B708" t="s">
        <v>28</v>
      </c>
      <c r="C708">
        <v>700</v>
      </c>
      <c r="D708">
        <v>0</v>
      </c>
      <c r="E708" t="s">
        <v>34</v>
      </c>
      <c r="F708" t="s">
        <v>34</v>
      </c>
      <c r="G708" t="str">
        <f>"2026-03-26 22:20:29.487"</f>
        <v>2026-03-26 22:20:29.487</v>
      </c>
      <c r="H708" t="s">
        <v>22</v>
      </c>
    </row>
    <row r="709" spans="1:10" x14ac:dyDescent="0.25">
      <c r="A709" s="1">
        <v>9</v>
      </c>
      <c r="B709" t="s">
        <v>28</v>
      </c>
      <c r="C709">
        <v>706</v>
      </c>
      <c r="D709">
        <v>2</v>
      </c>
      <c r="E709" t="s">
        <v>35</v>
      </c>
      <c r="F709" t="s">
        <v>42</v>
      </c>
      <c r="G709" t="str">
        <f>"2026-03-26 22:10:54.245"</f>
        <v>2026-03-26 22:10:54.245</v>
      </c>
      <c r="H709" t="s">
        <v>22</v>
      </c>
      <c r="I709">
        <v>0</v>
      </c>
      <c r="J709" t="s">
        <v>23</v>
      </c>
    </row>
    <row r="710" spans="1:10" x14ac:dyDescent="0.25">
      <c r="A710" s="1">
        <v>10</v>
      </c>
      <c r="B710" t="s">
        <v>28</v>
      </c>
      <c r="C710">
        <v>700</v>
      </c>
      <c r="D710">
        <v>0</v>
      </c>
      <c r="E710" t="s">
        <v>34</v>
      </c>
      <c r="F710" t="s">
        <v>34</v>
      </c>
      <c r="G710" t="str">
        <f>"2026-03-26 21:40:45.475"</f>
        <v>2026-03-26 21:40:45.475</v>
      </c>
      <c r="H710" t="s">
        <v>22</v>
      </c>
    </row>
    <row r="711" spans="1:10" x14ac:dyDescent="0.25">
      <c r="A711" s="1">
        <v>11</v>
      </c>
      <c r="B711" t="s">
        <v>28</v>
      </c>
      <c r="C711">
        <v>700</v>
      </c>
      <c r="D711">
        <v>0</v>
      </c>
      <c r="E711" t="s">
        <v>34</v>
      </c>
      <c r="F711" t="s">
        <v>34</v>
      </c>
      <c r="G711" t="str">
        <f>"2026-03-26 21:05:55.483"</f>
        <v>2026-03-26 21:05:55.483</v>
      </c>
      <c r="H711" t="s">
        <v>22</v>
      </c>
      <c r="I711">
        <v>0</v>
      </c>
      <c r="J711" t="s">
        <v>46</v>
      </c>
    </row>
    <row r="712" spans="1:10" s="3" customFormat="1" x14ac:dyDescent="0.25">
      <c r="A712" s="2">
        <v>12</v>
      </c>
      <c r="B712" s="3" t="s">
        <v>37</v>
      </c>
      <c r="C712" s="3">
        <v>647</v>
      </c>
      <c r="D712" s="3">
        <v>1</v>
      </c>
      <c r="E712" s="3" t="s">
        <v>43</v>
      </c>
      <c r="F712" s="3" t="s">
        <v>44</v>
      </c>
      <c r="G712" s="3" t="str">
        <f>"2026-03-26 19:15:09.663"</f>
        <v>2026-03-26 19:15:09.663</v>
      </c>
      <c r="H712" s="3" t="s">
        <v>22</v>
      </c>
    </row>
    <row r="713" spans="1:10" s="3" customFormat="1" x14ac:dyDescent="0.25">
      <c r="A713" s="2">
        <v>13</v>
      </c>
      <c r="B713" s="3" t="s">
        <v>19</v>
      </c>
      <c r="C713" s="3">
        <v>647</v>
      </c>
      <c r="D713" s="3">
        <v>1</v>
      </c>
      <c r="E713" s="3" t="s">
        <v>43</v>
      </c>
      <c r="F713" s="3" t="s">
        <v>44</v>
      </c>
      <c r="G713" s="3" t="str">
        <f>"2026-03-26 19:15:08.263"</f>
        <v>2026-03-26 19:15:08.263</v>
      </c>
      <c r="H713" s="3" t="s">
        <v>22</v>
      </c>
      <c r="I713" s="3">
        <v>10.49</v>
      </c>
      <c r="J713" s="3" t="s">
        <v>50</v>
      </c>
    </row>
    <row r="714" spans="1:10" s="3" customFormat="1" x14ac:dyDescent="0.25">
      <c r="A714" s="2">
        <v>14</v>
      </c>
      <c r="B714" s="3" t="s">
        <v>37</v>
      </c>
      <c r="C714" s="3">
        <v>647</v>
      </c>
      <c r="D714" s="3">
        <v>1</v>
      </c>
      <c r="E714" s="3" t="s">
        <v>43</v>
      </c>
      <c r="F714" s="3" t="s">
        <v>44</v>
      </c>
      <c r="G714" s="3" t="str">
        <f>"2026-03-26 16:41:28.963"</f>
        <v>2026-03-26 16:41:28.963</v>
      </c>
      <c r="H714" s="3" t="s">
        <v>22</v>
      </c>
    </row>
    <row r="715" spans="1:10" s="3" customFormat="1" x14ac:dyDescent="0.25">
      <c r="A715" s="2">
        <v>15</v>
      </c>
      <c r="B715" s="3" t="s">
        <v>19</v>
      </c>
      <c r="C715" s="3">
        <v>647</v>
      </c>
      <c r="D715" s="3">
        <v>1</v>
      </c>
      <c r="E715" s="3" t="s">
        <v>43</v>
      </c>
      <c r="F715" s="3" t="s">
        <v>44</v>
      </c>
      <c r="G715" s="3" t="str">
        <f>"2026-03-26 16:41:21.763"</f>
        <v>2026-03-26 16:41:21.763</v>
      </c>
      <c r="H715" s="3" t="s">
        <v>22</v>
      </c>
      <c r="I715" s="3">
        <v>10.039999999999999</v>
      </c>
      <c r="J715" s="3" t="s">
        <v>45</v>
      </c>
    </row>
    <row r="716" spans="1:10" s="3" customFormat="1" x14ac:dyDescent="0.25">
      <c r="A716" s="2">
        <v>16</v>
      </c>
      <c r="B716" s="3" t="s">
        <v>37</v>
      </c>
      <c r="C716" s="3">
        <v>647</v>
      </c>
      <c r="D716" s="3">
        <v>1</v>
      </c>
      <c r="E716" s="3" t="s">
        <v>43</v>
      </c>
      <c r="F716" s="3" t="s">
        <v>44</v>
      </c>
      <c r="G716" s="3" t="str">
        <f>"2026-03-26 16:40:35.163"</f>
        <v>2026-03-26 16:40:35.163</v>
      </c>
      <c r="H716" s="3" t="s">
        <v>22</v>
      </c>
    </row>
    <row r="717" spans="1:10" s="3" customFormat="1" x14ac:dyDescent="0.25">
      <c r="A717" s="2">
        <v>17</v>
      </c>
      <c r="B717" s="3" t="s">
        <v>19</v>
      </c>
      <c r="C717" s="3">
        <v>647</v>
      </c>
      <c r="D717" s="3">
        <v>1</v>
      </c>
      <c r="E717" s="3" t="s">
        <v>43</v>
      </c>
      <c r="F717" s="3" t="s">
        <v>44</v>
      </c>
      <c r="G717" s="3" t="str">
        <f>"2026-03-26 16:40:19.463"</f>
        <v>2026-03-26 16:40:19.463</v>
      </c>
      <c r="H717" s="3" t="s">
        <v>22</v>
      </c>
      <c r="I717" s="3">
        <v>8.84</v>
      </c>
      <c r="J717" s="3" t="s">
        <v>45</v>
      </c>
    </row>
    <row r="718" spans="1:10" x14ac:dyDescent="0.25">
      <c r="A718" s="1">
        <v>18</v>
      </c>
      <c r="B718" t="s">
        <v>28</v>
      </c>
      <c r="C718">
        <v>700</v>
      </c>
      <c r="D718">
        <v>0</v>
      </c>
      <c r="E718" t="s">
        <v>34</v>
      </c>
      <c r="F718" t="s">
        <v>34</v>
      </c>
      <c r="G718" t="str">
        <f>"2026-03-26 14:29:54.469"</f>
        <v>2026-03-26 14:29:54.469</v>
      </c>
      <c r="H718" t="s">
        <v>22</v>
      </c>
    </row>
    <row r="719" spans="1:10" s="3" customFormat="1" x14ac:dyDescent="0.25">
      <c r="A719" s="2">
        <v>19</v>
      </c>
      <c r="B719" s="3" t="s">
        <v>37</v>
      </c>
      <c r="C719" s="3">
        <v>647</v>
      </c>
      <c r="D719" s="3">
        <v>1</v>
      </c>
      <c r="E719" s="3" t="s">
        <v>43</v>
      </c>
      <c r="F719" s="3" t="s">
        <v>44</v>
      </c>
      <c r="G719" s="3" t="str">
        <f>"2026-03-25 11:32:30.215"</f>
        <v>2026-03-25 11:32:30.215</v>
      </c>
      <c r="H719" s="3" t="s">
        <v>22</v>
      </c>
    </row>
    <row r="720" spans="1:10" s="3" customFormat="1" x14ac:dyDescent="0.25">
      <c r="A720" s="2">
        <v>20</v>
      </c>
      <c r="B720" s="3" t="s">
        <v>19</v>
      </c>
      <c r="C720" s="3">
        <v>647</v>
      </c>
      <c r="D720" s="3">
        <v>1</v>
      </c>
      <c r="E720" s="3" t="s">
        <v>43</v>
      </c>
      <c r="F720" s="3" t="s">
        <v>44</v>
      </c>
      <c r="G720" s="3" t="str">
        <f>"2026-03-25 11:32:22.515"</f>
        <v>2026-03-25 11:32:22.515</v>
      </c>
      <c r="H720" s="3" t="s">
        <v>22</v>
      </c>
      <c r="I720" s="3">
        <v>17.53</v>
      </c>
      <c r="J720" s="3" t="s">
        <v>45</v>
      </c>
    </row>
    <row r="721" spans="1:10" s="3" customFormat="1" x14ac:dyDescent="0.25">
      <c r="A721" s="2">
        <v>21</v>
      </c>
      <c r="B721" s="3" t="s">
        <v>37</v>
      </c>
      <c r="C721" s="3">
        <v>647</v>
      </c>
      <c r="D721" s="3">
        <v>1</v>
      </c>
      <c r="E721" s="3" t="s">
        <v>43</v>
      </c>
      <c r="F721" s="3" t="s">
        <v>44</v>
      </c>
      <c r="G721" s="3" t="str">
        <f>"2026-03-25 11:32:13.815"</f>
        <v>2026-03-25 11:32:13.815</v>
      </c>
      <c r="H721" s="3" t="s">
        <v>22</v>
      </c>
    </row>
    <row r="722" spans="1:10" s="3" customFormat="1" x14ac:dyDescent="0.25">
      <c r="A722" s="2">
        <v>22</v>
      </c>
      <c r="B722" s="3" t="s">
        <v>19</v>
      </c>
      <c r="C722" s="3">
        <v>647</v>
      </c>
      <c r="D722" s="3">
        <v>1</v>
      </c>
      <c r="E722" s="3" t="s">
        <v>43</v>
      </c>
      <c r="F722" s="3" t="s">
        <v>44</v>
      </c>
      <c r="G722" s="3" t="str">
        <f>"2026-03-25 11:32:07.715"</f>
        <v>2026-03-25 11:32:07.715</v>
      </c>
      <c r="H722" s="3" t="s">
        <v>22</v>
      </c>
      <c r="I722" s="3">
        <v>18.84</v>
      </c>
      <c r="J722" s="3" t="s">
        <v>45</v>
      </c>
    </row>
    <row r="723" spans="1:10" x14ac:dyDescent="0.25">
      <c r="A723" s="1">
        <v>23</v>
      </c>
      <c r="B723" t="s">
        <v>37</v>
      </c>
      <c r="C723">
        <v>635</v>
      </c>
      <c r="D723">
        <v>1</v>
      </c>
      <c r="E723" t="s">
        <v>53</v>
      </c>
      <c r="F723" t="s">
        <v>48</v>
      </c>
      <c r="G723" t="str">
        <f>"2026-03-25 11:03:03.667"</f>
        <v>2026-03-25 11:03:03.667</v>
      </c>
      <c r="H723" t="s">
        <v>22</v>
      </c>
    </row>
    <row r="724" spans="1:10" x14ac:dyDescent="0.25">
      <c r="A724" s="1">
        <v>24</v>
      </c>
      <c r="B724" t="s">
        <v>19</v>
      </c>
      <c r="C724">
        <v>635</v>
      </c>
      <c r="D724">
        <v>1</v>
      </c>
      <c r="E724" t="s">
        <v>53</v>
      </c>
      <c r="F724" t="s">
        <v>48</v>
      </c>
      <c r="G724" t="str">
        <f>"2026-03-25 10:49:08.168"</f>
        <v>2026-03-25 10:49:08.168</v>
      </c>
      <c r="H724" t="s">
        <v>22</v>
      </c>
      <c r="I724">
        <v>2.69</v>
      </c>
      <c r="J724" t="s">
        <v>54</v>
      </c>
    </row>
    <row r="725" spans="1:10" x14ac:dyDescent="0.25">
      <c r="A725" s="1">
        <v>25</v>
      </c>
      <c r="B725" t="s">
        <v>28</v>
      </c>
      <c r="C725">
        <v>700</v>
      </c>
      <c r="D725">
        <v>0</v>
      </c>
      <c r="E725" t="s">
        <v>34</v>
      </c>
      <c r="F725" t="s">
        <v>34</v>
      </c>
      <c r="G725" t="str">
        <f>"2026-03-24 12:58:53.534"</f>
        <v>2026-03-24 12:58:53.534</v>
      </c>
      <c r="H725" t="s">
        <v>22</v>
      </c>
      <c r="I725">
        <v>0</v>
      </c>
      <c r="J725" t="s">
        <v>46</v>
      </c>
    </row>
    <row r="726" spans="1:10" x14ac:dyDescent="0.25">
      <c r="A726" s="1">
        <v>26</v>
      </c>
      <c r="B726" t="s">
        <v>28</v>
      </c>
      <c r="C726">
        <v>700</v>
      </c>
      <c r="D726">
        <v>0</v>
      </c>
      <c r="E726" t="s">
        <v>34</v>
      </c>
      <c r="F726" t="s">
        <v>34</v>
      </c>
      <c r="G726" t="str">
        <f>"2026-03-23 08:47:59.471"</f>
        <v>2026-03-23 08:47:59.471</v>
      </c>
      <c r="H726" t="s">
        <v>22</v>
      </c>
      <c r="I726">
        <v>0</v>
      </c>
      <c r="J726" t="s">
        <v>46</v>
      </c>
    </row>
    <row r="727" spans="1:10" x14ac:dyDescent="0.25">
      <c r="A727" s="1">
        <v>27</v>
      </c>
      <c r="B727" t="s">
        <v>37</v>
      </c>
      <c r="C727">
        <v>635</v>
      </c>
      <c r="D727">
        <v>1</v>
      </c>
      <c r="E727" t="s">
        <v>53</v>
      </c>
      <c r="F727" t="s">
        <v>48</v>
      </c>
      <c r="G727" t="str">
        <f>"2026-03-23 01:00:22.137"</f>
        <v>2026-03-23 01:00:22.137</v>
      </c>
      <c r="H727" t="s">
        <v>22</v>
      </c>
    </row>
    <row r="728" spans="1:10" x14ac:dyDescent="0.25">
      <c r="A728" s="1">
        <v>28</v>
      </c>
      <c r="B728" t="s">
        <v>19</v>
      </c>
      <c r="C728">
        <v>635</v>
      </c>
      <c r="D728">
        <v>1</v>
      </c>
      <c r="E728" t="s">
        <v>53</v>
      </c>
      <c r="F728" t="s">
        <v>48</v>
      </c>
      <c r="G728" t="str">
        <f>"2026-03-23 00:57:03.137"</f>
        <v>2026-03-23 00:57:03.137</v>
      </c>
      <c r="H728" t="s">
        <v>22</v>
      </c>
      <c r="I728">
        <v>4.47</v>
      </c>
      <c r="J728" t="s">
        <v>54</v>
      </c>
    </row>
    <row r="729" spans="1:10" x14ac:dyDescent="0.25">
      <c r="A729" s="1">
        <v>29</v>
      </c>
      <c r="B729" t="s">
        <v>28</v>
      </c>
      <c r="C729">
        <v>706</v>
      </c>
      <c r="D729">
        <v>4</v>
      </c>
      <c r="E729" t="s">
        <v>35</v>
      </c>
      <c r="F729" t="s">
        <v>36</v>
      </c>
      <c r="G729" t="str">
        <f>"2026-03-22 20:50:46.959"</f>
        <v>2026-03-22 20:50:46.959</v>
      </c>
      <c r="H729" t="s">
        <v>22</v>
      </c>
      <c r="I729">
        <v>0</v>
      </c>
      <c r="J729" t="s">
        <v>23</v>
      </c>
    </row>
    <row r="730" spans="1:10" x14ac:dyDescent="0.25">
      <c r="A730" s="1">
        <v>30</v>
      </c>
      <c r="B730" t="s">
        <v>37</v>
      </c>
      <c r="C730">
        <v>635</v>
      </c>
      <c r="D730">
        <v>1</v>
      </c>
      <c r="E730" t="s">
        <v>53</v>
      </c>
      <c r="F730" t="s">
        <v>48</v>
      </c>
      <c r="G730" t="str">
        <f>"2026-03-22 13:00:52.737"</f>
        <v>2026-03-22 13:00:52.737</v>
      </c>
      <c r="H730" t="s">
        <v>22</v>
      </c>
    </row>
    <row r="731" spans="1:10" x14ac:dyDescent="0.25">
      <c r="A731" s="1">
        <v>31</v>
      </c>
      <c r="B731" t="s">
        <v>19</v>
      </c>
      <c r="C731">
        <v>635</v>
      </c>
      <c r="D731">
        <v>1</v>
      </c>
      <c r="E731" t="s">
        <v>53</v>
      </c>
      <c r="F731" t="s">
        <v>48</v>
      </c>
      <c r="G731" t="str">
        <f>"2026-03-22 12:56:46.237"</f>
        <v>2026-03-22 12:56:46.237</v>
      </c>
      <c r="H731" t="s">
        <v>22</v>
      </c>
      <c r="I731">
        <v>3.43</v>
      </c>
      <c r="J731" t="s">
        <v>45</v>
      </c>
    </row>
    <row r="732" spans="1:10" x14ac:dyDescent="0.25">
      <c r="A732" s="1">
        <v>32</v>
      </c>
      <c r="B732" t="s">
        <v>37</v>
      </c>
      <c r="C732">
        <v>635</v>
      </c>
      <c r="D732">
        <v>1</v>
      </c>
      <c r="E732" t="s">
        <v>53</v>
      </c>
      <c r="F732" t="s">
        <v>48</v>
      </c>
      <c r="G732" t="str">
        <f>"2026-03-22 09:12:23.737"</f>
        <v>2026-03-22 09:12:23.737</v>
      </c>
      <c r="H732" t="s">
        <v>22</v>
      </c>
    </row>
    <row r="733" spans="1:10" x14ac:dyDescent="0.25">
      <c r="A733" s="1">
        <v>33</v>
      </c>
      <c r="B733" t="s">
        <v>19</v>
      </c>
      <c r="C733">
        <v>635</v>
      </c>
      <c r="D733">
        <v>1</v>
      </c>
      <c r="E733" t="s">
        <v>53</v>
      </c>
      <c r="F733" t="s">
        <v>48</v>
      </c>
      <c r="G733" t="str">
        <f>"2026-03-22 09:09:16.737"</f>
        <v>2026-03-22 09:09:16.737</v>
      </c>
      <c r="H733" t="s">
        <v>22</v>
      </c>
      <c r="I733">
        <v>1.74</v>
      </c>
      <c r="J733" t="s">
        <v>54</v>
      </c>
    </row>
    <row r="734" spans="1:10" x14ac:dyDescent="0.25">
      <c r="A734" s="1">
        <v>34</v>
      </c>
      <c r="B734" t="s">
        <v>28</v>
      </c>
      <c r="C734">
        <v>700</v>
      </c>
      <c r="D734">
        <v>0</v>
      </c>
      <c r="E734" t="s">
        <v>34</v>
      </c>
      <c r="F734" t="s">
        <v>34</v>
      </c>
      <c r="G734" t="str">
        <f>"2026-03-22 03:27:08.499"</f>
        <v>2026-03-22 03:27:08.499</v>
      </c>
      <c r="H734" t="s">
        <v>22</v>
      </c>
      <c r="I734">
        <v>0</v>
      </c>
      <c r="J734" t="s">
        <v>46</v>
      </c>
    </row>
    <row r="735" spans="1:10" x14ac:dyDescent="0.25">
      <c r="A735" s="1">
        <v>35</v>
      </c>
      <c r="B735" t="s">
        <v>37</v>
      </c>
      <c r="C735">
        <v>635</v>
      </c>
      <c r="D735">
        <v>1</v>
      </c>
      <c r="E735" t="s">
        <v>53</v>
      </c>
      <c r="F735" t="s">
        <v>48</v>
      </c>
      <c r="G735" t="str">
        <f>"2026-03-21 15:54:54.579"</f>
        <v>2026-03-21 15:54:54.579</v>
      </c>
      <c r="H735" t="s">
        <v>22</v>
      </c>
    </row>
    <row r="736" spans="1:10" x14ac:dyDescent="0.25">
      <c r="A736" s="1">
        <v>36</v>
      </c>
      <c r="B736" t="s">
        <v>19</v>
      </c>
      <c r="C736">
        <v>635</v>
      </c>
      <c r="D736">
        <v>1</v>
      </c>
      <c r="E736" t="s">
        <v>53</v>
      </c>
      <c r="F736" t="s">
        <v>48</v>
      </c>
      <c r="G736" t="str">
        <f>"2026-03-21 15:50:43.579"</f>
        <v>2026-03-21 15:50:43.579</v>
      </c>
      <c r="H736" t="s">
        <v>22</v>
      </c>
      <c r="I736">
        <v>1.29</v>
      </c>
      <c r="J736" t="s">
        <v>54</v>
      </c>
    </row>
    <row r="737" spans="1:10" x14ac:dyDescent="0.25">
      <c r="A737" s="1">
        <v>37</v>
      </c>
      <c r="B737" t="s">
        <v>28</v>
      </c>
      <c r="C737">
        <v>700</v>
      </c>
      <c r="D737">
        <v>0</v>
      </c>
      <c r="E737" t="s">
        <v>34</v>
      </c>
      <c r="F737" t="s">
        <v>34</v>
      </c>
      <c r="G737" t="str">
        <f>"2026-03-21 12:55:25.485"</f>
        <v>2026-03-21 12:55:25.485</v>
      </c>
      <c r="H737" t="s">
        <v>22</v>
      </c>
    </row>
    <row r="738" spans="1:10" x14ac:dyDescent="0.25">
      <c r="A738" s="1">
        <v>38</v>
      </c>
      <c r="B738" t="s">
        <v>37</v>
      </c>
      <c r="C738">
        <v>635</v>
      </c>
      <c r="D738">
        <v>1</v>
      </c>
      <c r="E738" t="s">
        <v>53</v>
      </c>
      <c r="F738" t="s">
        <v>48</v>
      </c>
      <c r="G738" t="str">
        <f>"2026-03-21 11:15:13.637"</f>
        <v>2026-03-21 11:15:13.637</v>
      </c>
      <c r="H738" t="s">
        <v>22</v>
      </c>
    </row>
    <row r="739" spans="1:10" x14ac:dyDescent="0.25">
      <c r="A739" s="1">
        <v>39</v>
      </c>
      <c r="B739" t="s">
        <v>19</v>
      </c>
      <c r="C739">
        <v>635</v>
      </c>
      <c r="D739">
        <v>1</v>
      </c>
      <c r="E739" t="s">
        <v>53</v>
      </c>
      <c r="F739" t="s">
        <v>48</v>
      </c>
      <c r="G739" t="str">
        <f>"2026-03-21 11:09:10.137"</f>
        <v>2026-03-21 11:09:10.137</v>
      </c>
      <c r="H739" t="s">
        <v>22</v>
      </c>
      <c r="I739">
        <v>-1.46</v>
      </c>
      <c r="J739" t="s">
        <v>54</v>
      </c>
    </row>
    <row r="740" spans="1:10" x14ac:dyDescent="0.25">
      <c r="A740" s="1">
        <v>40</v>
      </c>
      <c r="B740" t="s">
        <v>37</v>
      </c>
      <c r="C740">
        <v>635</v>
      </c>
      <c r="D740">
        <v>1</v>
      </c>
      <c r="E740" t="s">
        <v>53</v>
      </c>
      <c r="F740" t="s">
        <v>48</v>
      </c>
      <c r="G740" t="str">
        <f>"2026-03-21 00:34:09.437"</f>
        <v>2026-03-21 00:34:09.437</v>
      </c>
      <c r="H740" t="s">
        <v>22</v>
      </c>
    </row>
    <row r="741" spans="1:10" x14ac:dyDescent="0.25">
      <c r="A741" s="1">
        <v>41</v>
      </c>
      <c r="B741" t="s">
        <v>19</v>
      </c>
      <c r="C741">
        <v>635</v>
      </c>
      <c r="D741">
        <v>1</v>
      </c>
      <c r="E741" t="s">
        <v>53</v>
      </c>
      <c r="F741" t="s">
        <v>48</v>
      </c>
      <c r="G741" t="str">
        <f>"2026-03-21 00:26:01.537"</f>
        <v>2026-03-21 00:26:01.537</v>
      </c>
      <c r="H741" t="s">
        <v>22</v>
      </c>
      <c r="I741">
        <v>0.79</v>
      </c>
      <c r="J741" t="s">
        <v>54</v>
      </c>
    </row>
    <row r="742" spans="1:10" x14ac:dyDescent="0.25">
      <c r="A742" s="1">
        <v>42</v>
      </c>
      <c r="B742" t="s">
        <v>37</v>
      </c>
      <c r="C742">
        <v>635</v>
      </c>
      <c r="D742">
        <v>1</v>
      </c>
      <c r="E742" t="s">
        <v>53</v>
      </c>
      <c r="F742" t="s">
        <v>48</v>
      </c>
      <c r="G742" t="str">
        <f>"2026-03-20 15:06:21.737"</f>
        <v>2026-03-20 15:06:21.737</v>
      </c>
      <c r="H742" t="s">
        <v>22</v>
      </c>
    </row>
    <row r="743" spans="1:10" x14ac:dyDescent="0.25">
      <c r="A743" s="1">
        <v>43</v>
      </c>
      <c r="B743" t="s">
        <v>19</v>
      </c>
      <c r="C743">
        <v>635</v>
      </c>
      <c r="D743">
        <v>1</v>
      </c>
      <c r="E743" t="s">
        <v>53</v>
      </c>
      <c r="F743" t="s">
        <v>48</v>
      </c>
      <c r="G743" t="str">
        <f>"2026-03-20 15:03:13.237"</f>
        <v>2026-03-20 15:03:13.237</v>
      </c>
      <c r="H743" t="s">
        <v>22</v>
      </c>
      <c r="I743">
        <v>3.36</v>
      </c>
      <c r="J743" t="s">
        <v>54</v>
      </c>
    </row>
    <row r="744" spans="1:10" x14ac:dyDescent="0.25">
      <c r="A744" s="1">
        <v>44</v>
      </c>
      <c r="B744" t="s">
        <v>37</v>
      </c>
      <c r="C744">
        <v>635</v>
      </c>
      <c r="D744">
        <v>1</v>
      </c>
      <c r="E744" t="s">
        <v>53</v>
      </c>
      <c r="F744" t="s">
        <v>48</v>
      </c>
      <c r="G744" t="str">
        <f>"2026-03-20 14:28:08.837"</f>
        <v>2026-03-20 14:28:08.837</v>
      </c>
      <c r="H744" t="s">
        <v>22</v>
      </c>
    </row>
    <row r="745" spans="1:10" x14ac:dyDescent="0.25">
      <c r="A745" s="1">
        <v>45</v>
      </c>
      <c r="B745" t="s">
        <v>19</v>
      </c>
      <c r="C745">
        <v>635</v>
      </c>
      <c r="D745">
        <v>1</v>
      </c>
      <c r="E745" t="s">
        <v>53</v>
      </c>
      <c r="F745" t="s">
        <v>48</v>
      </c>
      <c r="G745" t="str">
        <f>"2026-03-20 14:25:42.338"</f>
        <v>2026-03-20 14:25:42.338</v>
      </c>
      <c r="H745" t="s">
        <v>22</v>
      </c>
      <c r="I745">
        <v>5.12</v>
      </c>
      <c r="J745" t="s">
        <v>54</v>
      </c>
    </row>
    <row r="746" spans="1:10" x14ac:dyDescent="0.25">
      <c r="A746" s="1">
        <v>46</v>
      </c>
      <c r="B746" t="s">
        <v>28</v>
      </c>
      <c r="C746">
        <v>700</v>
      </c>
      <c r="D746">
        <v>0</v>
      </c>
      <c r="E746" t="s">
        <v>34</v>
      </c>
      <c r="F746" t="s">
        <v>34</v>
      </c>
      <c r="G746" t="str">
        <f>"2026-03-20 13:11:49.496"</f>
        <v>2026-03-20 13:11:49.496</v>
      </c>
      <c r="H746" t="s">
        <v>22</v>
      </c>
      <c r="I746">
        <v>0</v>
      </c>
      <c r="J746" t="s">
        <v>46</v>
      </c>
    </row>
    <row r="747" spans="1:10" x14ac:dyDescent="0.25">
      <c r="A747" s="1">
        <v>47</v>
      </c>
      <c r="B747" t="s">
        <v>37</v>
      </c>
      <c r="C747">
        <v>635</v>
      </c>
      <c r="D747">
        <v>1</v>
      </c>
      <c r="E747" t="s">
        <v>53</v>
      </c>
      <c r="F747" t="s">
        <v>48</v>
      </c>
      <c r="G747" t="str">
        <f>"2026-03-20 04:04:56.332"</f>
        <v>2026-03-20 04:04:56.332</v>
      </c>
      <c r="H747" t="s">
        <v>22</v>
      </c>
    </row>
    <row r="748" spans="1:10" x14ac:dyDescent="0.25">
      <c r="A748" s="1">
        <v>48</v>
      </c>
      <c r="B748" t="s">
        <v>19</v>
      </c>
      <c r="C748">
        <v>635</v>
      </c>
      <c r="D748">
        <v>1</v>
      </c>
      <c r="E748" t="s">
        <v>53</v>
      </c>
      <c r="F748" t="s">
        <v>48</v>
      </c>
      <c r="G748" t="str">
        <f>"2026-03-20 04:01:38.332"</f>
        <v>2026-03-20 04:01:38.332</v>
      </c>
      <c r="H748" t="s">
        <v>22</v>
      </c>
      <c r="I748">
        <v>4.8</v>
      </c>
      <c r="J748" t="s">
        <v>45</v>
      </c>
    </row>
    <row r="749" spans="1:10" x14ac:dyDescent="0.25">
      <c r="A749" s="1">
        <v>49</v>
      </c>
      <c r="B749" t="s">
        <v>37</v>
      </c>
      <c r="C749">
        <v>635</v>
      </c>
      <c r="D749">
        <v>1</v>
      </c>
      <c r="E749" t="s">
        <v>53</v>
      </c>
      <c r="F749" t="s">
        <v>48</v>
      </c>
      <c r="G749" t="str">
        <f>"2026-03-19 19:15:50.532"</f>
        <v>2026-03-19 19:15:50.532</v>
      </c>
      <c r="H749" t="s">
        <v>22</v>
      </c>
    </row>
    <row r="750" spans="1:10" x14ac:dyDescent="0.25">
      <c r="A750" s="1">
        <v>50</v>
      </c>
      <c r="B750" t="s">
        <v>19</v>
      </c>
      <c r="C750">
        <v>635</v>
      </c>
      <c r="D750">
        <v>1</v>
      </c>
      <c r="E750" t="s">
        <v>53</v>
      </c>
      <c r="F750" t="s">
        <v>48</v>
      </c>
      <c r="G750" t="str">
        <f>"2026-03-19 19:12:47.532"</f>
        <v>2026-03-19 19:12:47.532</v>
      </c>
      <c r="H750" t="s">
        <v>22</v>
      </c>
      <c r="I750">
        <v>4.13</v>
      </c>
      <c r="J750" t="s">
        <v>54</v>
      </c>
    </row>
    <row r="751" spans="1:10" x14ac:dyDescent="0.25">
      <c r="A751" s="1">
        <v>51</v>
      </c>
      <c r="B751" t="s">
        <v>28</v>
      </c>
      <c r="C751">
        <v>706</v>
      </c>
      <c r="D751">
        <v>4</v>
      </c>
      <c r="E751" t="s">
        <v>35</v>
      </c>
      <c r="F751" t="s">
        <v>36</v>
      </c>
      <c r="G751" t="str">
        <f>"2026-03-19 05:26:34.536"</f>
        <v>2026-03-19 05:26:34.536</v>
      </c>
      <c r="H751" t="s">
        <v>22</v>
      </c>
      <c r="I751">
        <v>0</v>
      </c>
      <c r="J751" t="s">
        <v>23</v>
      </c>
    </row>
    <row r="752" spans="1:10" x14ac:dyDescent="0.25">
      <c r="A752" s="1">
        <v>52</v>
      </c>
      <c r="B752" t="s">
        <v>37</v>
      </c>
      <c r="C752">
        <v>98</v>
      </c>
      <c r="D752">
        <v>1</v>
      </c>
      <c r="E752" t="s">
        <v>76</v>
      </c>
      <c r="F752" t="s">
        <v>77</v>
      </c>
      <c r="G752" t="str">
        <f>"2026-03-19 05:07:40.893"</f>
        <v>2026-03-19 05:07:40.893</v>
      </c>
      <c r="H752" t="s">
        <v>22</v>
      </c>
    </row>
    <row r="753" spans="1:10" x14ac:dyDescent="0.25">
      <c r="A753" s="1">
        <v>53</v>
      </c>
      <c r="B753" t="s">
        <v>19</v>
      </c>
      <c r="C753">
        <v>98</v>
      </c>
      <c r="D753">
        <v>1</v>
      </c>
      <c r="E753" t="s">
        <v>76</v>
      </c>
      <c r="F753" t="s">
        <v>77</v>
      </c>
      <c r="G753" t="str">
        <f>"2026-03-19 05:07:39.693"</f>
        <v>2026-03-19 05:07:39.693</v>
      </c>
      <c r="H753" t="s">
        <v>22</v>
      </c>
      <c r="I753">
        <v>3.94</v>
      </c>
      <c r="J753" t="s">
        <v>54</v>
      </c>
    </row>
    <row r="754" spans="1:10" s="3" customFormat="1" x14ac:dyDescent="0.25">
      <c r="A754" s="2">
        <v>54</v>
      </c>
      <c r="B754" s="3" t="s">
        <v>37</v>
      </c>
      <c r="C754" s="3">
        <v>647</v>
      </c>
      <c r="D754" s="3">
        <v>1</v>
      </c>
      <c r="E754" s="3" t="s">
        <v>43</v>
      </c>
      <c r="F754" s="3" t="s">
        <v>44</v>
      </c>
      <c r="G754" s="3" t="str">
        <f>"2026-03-18 13:52:02.080"</f>
        <v>2026-03-18 13:52:02.080</v>
      </c>
      <c r="H754" s="3" t="s">
        <v>22</v>
      </c>
    </row>
    <row r="755" spans="1:10" s="3" customFormat="1" x14ac:dyDescent="0.25">
      <c r="A755" s="2">
        <v>55</v>
      </c>
      <c r="B755" s="3" t="s">
        <v>19</v>
      </c>
      <c r="C755" s="3">
        <v>647</v>
      </c>
      <c r="D755" s="3">
        <v>1</v>
      </c>
      <c r="E755" s="3" t="s">
        <v>43</v>
      </c>
      <c r="F755" s="3" t="s">
        <v>44</v>
      </c>
      <c r="G755" s="3" t="str">
        <f>"2026-03-18 13:51:58.081"</f>
        <v>2026-03-18 13:51:58.081</v>
      </c>
      <c r="H755" s="3" t="s">
        <v>22</v>
      </c>
      <c r="I755" s="3">
        <v>9.1300000000000008</v>
      </c>
      <c r="J755" s="3" t="s">
        <v>50</v>
      </c>
    </row>
    <row r="756" spans="1:10" x14ac:dyDescent="0.25">
      <c r="A756" s="1">
        <v>56</v>
      </c>
      <c r="B756" t="s">
        <v>28</v>
      </c>
      <c r="C756">
        <v>700</v>
      </c>
      <c r="D756">
        <v>0</v>
      </c>
      <c r="E756" t="s">
        <v>34</v>
      </c>
      <c r="F756" t="s">
        <v>34</v>
      </c>
      <c r="G756" t="str">
        <f>"2026-03-18 13:27:15.476"</f>
        <v>2026-03-18 13:27:15.476</v>
      </c>
      <c r="H756" t="s">
        <v>22</v>
      </c>
    </row>
    <row r="757" spans="1:10" x14ac:dyDescent="0.25">
      <c r="A757" s="1">
        <v>57</v>
      </c>
      <c r="B757" t="s">
        <v>28</v>
      </c>
      <c r="C757">
        <v>700</v>
      </c>
      <c r="D757">
        <v>0</v>
      </c>
      <c r="E757" t="s">
        <v>34</v>
      </c>
      <c r="F757" t="s">
        <v>34</v>
      </c>
      <c r="G757" t="str">
        <f>"2026-03-16 16:25:12.463"</f>
        <v>2026-03-16 16:25:12.463</v>
      </c>
      <c r="H757" t="s">
        <v>22</v>
      </c>
      <c r="I757">
        <v>0</v>
      </c>
      <c r="J757" t="s">
        <v>46</v>
      </c>
    </row>
    <row r="758" spans="1:10" x14ac:dyDescent="0.25">
      <c r="A758" s="1">
        <v>58</v>
      </c>
      <c r="B758" t="s">
        <v>28</v>
      </c>
      <c r="C758">
        <v>706</v>
      </c>
      <c r="D758">
        <v>4</v>
      </c>
      <c r="E758" t="s">
        <v>35</v>
      </c>
      <c r="F758" t="s">
        <v>36</v>
      </c>
      <c r="G758" t="str">
        <f>"2026-03-16 15:28:05.791"</f>
        <v>2026-03-16 15:28:05.791</v>
      </c>
      <c r="H758" t="s">
        <v>22</v>
      </c>
      <c r="I758">
        <v>0</v>
      </c>
      <c r="J758" t="s">
        <v>23</v>
      </c>
    </row>
    <row r="759" spans="1:10" x14ac:dyDescent="0.25">
      <c r="A759" s="1">
        <v>59</v>
      </c>
      <c r="B759" t="s">
        <v>28</v>
      </c>
      <c r="C759">
        <v>700</v>
      </c>
      <c r="D759">
        <v>0</v>
      </c>
      <c r="E759" t="s">
        <v>34</v>
      </c>
      <c r="F759" t="s">
        <v>34</v>
      </c>
      <c r="G759" t="str">
        <f>"2026-03-16 14:54:56.512"</f>
        <v>2026-03-16 14:54:56.512</v>
      </c>
      <c r="H759" t="s">
        <v>22</v>
      </c>
      <c r="I759">
        <v>0</v>
      </c>
      <c r="J759" t="s">
        <v>46</v>
      </c>
    </row>
    <row r="760" spans="1:10" x14ac:dyDescent="0.25">
      <c r="A760" s="1">
        <v>60</v>
      </c>
      <c r="B760" t="s">
        <v>37</v>
      </c>
      <c r="C760">
        <v>630</v>
      </c>
      <c r="D760">
        <v>5</v>
      </c>
      <c r="E760" t="s">
        <v>73</v>
      </c>
      <c r="F760" t="s">
        <v>74</v>
      </c>
      <c r="G760" t="str">
        <f>"2026-03-16 13:43:36.767"</f>
        <v>2026-03-16 13:43:36.767</v>
      </c>
      <c r="H760" t="s">
        <v>75</v>
      </c>
    </row>
    <row r="761" spans="1:10" x14ac:dyDescent="0.25">
      <c r="A761" s="1">
        <v>61</v>
      </c>
      <c r="B761" t="s">
        <v>60</v>
      </c>
      <c r="C761">
        <v>630</v>
      </c>
      <c r="D761">
        <v>5</v>
      </c>
      <c r="E761" t="s">
        <v>73</v>
      </c>
      <c r="F761" t="s">
        <v>74</v>
      </c>
      <c r="G761" t="str">
        <f>"2026-03-16 13:40:20.368"</f>
        <v>2026-03-16 13:40:20.368</v>
      </c>
      <c r="H761" t="s">
        <v>75</v>
      </c>
      <c r="I761">
        <v>0</v>
      </c>
      <c r="J761" t="s">
        <v>23</v>
      </c>
    </row>
    <row r="762" spans="1:10" x14ac:dyDescent="0.25">
      <c r="A762" s="1">
        <v>62</v>
      </c>
      <c r="B762" t="s">
        <v>28</v>
      </c>
      <c r="C762">
        <v>706</v>
      </c>
      <c r="D762">
        <v>4</v>
      </c>
      <c r="E762" t="s">
        <v>35</v>
      </c>
      <c r="F762" t="s">
        <v>36</v>
      </c>
      <c r="G762" t="str">
        <f>"2026-03-16 10:16:26.054"</f>
        <v>2026-03-16 10:16:26.054</v>
      </c>
      <c r="H762" t="s">
        <v>22</v>
      </c>
      <c r="I762">
        <v>0</v>
      </c>
      <c r="J762" t="s">
        <v>23</v>
      </c>
    </row>
    <row r="763" spans="1:10" x14ac:dyDescent="0.25">
      <c r="A763" s="1">
        <v>63</v>
      </c>
      <c r="B763" t="s">
        <v>28</v>
      </c>
      <c r="C763">
        <v>700</v>
      </c>
      <c r="D763">
        <v>0</v>
      </c>
      <c r="E763" t="s">
        <v>34</v>
      </c>
      <c r="F763" t="s">
        <v>34</v>
      </c>
      <c r="G763" t="str">
        <f>"2026-03-16 10:15:53.454"</f>
        <v>2026-03-16 10:15:53.454</v>
      </c>
      <c r="H763" t="s">
        <v>22</v>
      </c>
    </row>
    <row r="764" spans="1:10" x14ac:dyDescent="0.25">
      <c r="A764" s="1">
        <v>64</v>
      </c>
      <c r="B764" t="s">
        <v>37</v>
      </c>
      <c r="C764">
        <v>635</v>
      </c>
      <c r="D764">
        <v>1</v>
      </c>
      <c r="E764" t="s">
        <v>53</v>
      </c>
      <c r="F764" t="s">
        <v>48</v>
      </c>
      <c r="G764" t="str">
        <f>"2026-03-15 20:34:13.566"</f>
        <v>2026-03-15 20:34:13.566</v>
      </c>
      <c r="H764" t="s">
        <v>22</v>
      </c>
    </row>
    <row r="765" spans="1:10" x14ac:dyDescent="0.25">
      <c r="A765" s="1">
        <v>65</v>
      </c>
      <c r="B765" t="s">
        <v>19</v>
      </c>
      <c r="C765">
        <v>635</v>
      </c>
      <c r="D765">
        <v>1</v>
      </c>
      <c r="E765" t="s">
        <v>53</v>
      </c>
      <c r="F765" t="s">
        <v>48</v>
      </c>
      <c r="G765" t="str">
        <f>"2026-03-15 20:30:58.566"</f>
        <v>2026-03-15 20:30:58.566</v>
      </c>
      <c r="H765" t="s">
        <v>22</v>
      </c>
      <c r="I765">
        <v>3.4</v>
      </c>
      <c r="J765" t="s">
        <v>54</v>
      </c>
    </row>
    <row r="766" spans="1:10" x14ac:dyDescent="0.25">
      <c r="A766" s="1">
        <v>66</v>
      </c>
      <c r="B766" t="s">
        <v>37</v>
      </c>
      <c r="C766">
        <v>635</v>
      </c>
      <c r="D766">
        <v>1</v>
      </c>
      <c r="E766" t="s">
        <v>53</v>
      </c>
      <c r="F766" t="s">
        <v>48</v>
      </c>
      <c r="G766" t="str">
        <f>"2026-03-15 16:02:12.666"</f>
        <v>2026-03-15 16:02:12.666</v>
      </c>
      <c r="H766" t="s">
        <v>22</v>
      </c>
    </row>
    <row r="767" spans="1:10" x14ac:dyDescent="0.25">
      <c r="A767" s="1">
        <v>67</v>
      </c>
      <c r="B767" t="s">
        <v>19</v>
      </c>
      <c r="C767">
        <v>635</v>
      </c>
      <c r="D767">
        <v>1</v>
      </c>
      <c r="E767" t="s">
        <v>53</v>
      </c>
      <c r="F767" t="s">
        <v>48</v>
      </c>
      <c r="G767" t="str">
        <f>"2026-03-15 15:58:05.666"</f>
        <v>2026-03-15 15:58:05.666</v>
      </c>
      <c r="H767" t="s">
        <v>22</v>
      </c>
      <c r="I767">
        <v>4.7</v>
      </c>
      <c r="J767" t="s">
        <v>45</v>
      </c>
    </row>
    <row r="768" spans="1:10" x14ac:dyDescent="0.25">
      <c r="A768" s="1">
        <v>68</v>
      </c>
      <c r="B768" t="s">
        <v>28</v>
      </c>
      <c r="C768">
        <v>706</v>
      </c>
      <c r="D768">
        <v>4</v>
      </c>
      <c r="E768" t="s">
        <v>35</v>
      </c>
      <c r="F768" t="s">
        <v>36</v>
      </c>
      <c r="G768" t="str">
        <f>"2026-03-15 14:09:03.462"</f>
        <v>2026-03-15 14:09:03.462</v>
      </c>
      <c r="H768" t="s">
        <v>22</v>
      </c>
      <c r="I768">
        <v>0</v>
      </c>
      <c r="J768" t="s">
        <v>23</v>
      </c>
    </row>
    <row r="769" spans="1:10" x14ac:dyDescent="0.25">
      <c r="A769" s="1">
        <v>69</v>
      </c>
      <c r="B769" t="s">
        <v>28</v>
      </c>
      <c r="C769">
        <v>700</v>
      </c>
      <c r="D769">
        <v>0</v>
      </c>
      <c r="E769" t="s">
        <v>34</v>
      </c>
      <c r="F769" t="s">
        <v>34</v>
      </c>
      <c r="G769" t="str">
        <f>"2026-03-15 14:08:34.452"</f>
        <v>2026-03-15 14:08:34.452</v>
      </c>
      <c r="H769" t="s">
        <v>22</v>
      </c>
    </row>
    <row r="770" spans="1:10" x14ac:dyDescent="0.25">
      <c r="A770" s="1">
        <v>70</v>
      </c>
      <c r="B770" t="s">
        <v>28</v>
      </c>
      <c r="C770">
        <v>706</v>
      </c>
      <c r="D770">
        <v>4</v>
      </c>
      <c r="E770" t="s">
        <v>35</v>
      </c>
      <c r="F770" t="s">
        <v>36</v>
      </c>
      <c r="G770" t="str">
        <f>"2026-03-15 13:40:33.083"</f>
        <v>2026-03-15 13:40:33.083</v>
      </c>
      <c r="H770" t="s">
        <v>22</v>
      </c>
      <c r="I770">
        <v>0</v>
      </c>
      <c r="J770" t="s">
        <v>23</v>
      </c>
    </row>
    <row r="771" spans="1:10" x14ac:dyDescent="0.25">
      <c r="A771" s="1">
        <v>71</v>
      </c>
      <c r="B771" t="s">
        <v>28</v>
      </c>
      <c r="C771">
        <v>700</v>
      </c>
      <c r="D771">
        <v>0</v>
      </c>
      <c r="E771" t="s">
        <v>34</v>
      </c>
      <c r="F771" t="s">
        <v>34</v>
      </c>
      <c r="G771" t="str">
        <f>"2026-03-15 13:40:09.463"</f>
        <v>2026-03-15 13:40:09.463</v>
      </c>
      <c r="H771" t="s">
        <v>22</v>
      </c>
    </row>
    <row r="772" spans="1:10" x14ac:dyDescent="0.25">
      <c r="A772" s="1">
        <v>72</v>
      </c>
      <c r="B772" t="s">
        <v>37</v>
      </c>
      <c r="C772">
        <v>635</v>
      </c>
      <c r="D772">
        <v>1</v>
      </c>
      <c r="E772" t="s">
        <v>53</v>
      </c>
      <c r="F772" t="s">
        <v>48</v>
      </c>
      <c r="G772" t="str">
        <f>"2026-03-15 05:02:00.095"</f>
        <v>2026-03-15 05:02:00.095</v>
      </c>
      <c r="H772" t="s">
        <v>22</v>
      </c>
    </row>
    <row r="773" spans="1:10" x14ac:dyDescent="0.25">
      <c r="A773" s="1">
        <v>73</v>
      </c>
      <c r="B773" t="s">
        <v>19</v>
      </c>
      <c r="C773">
        <v>635</v>
      </c>
      <c r="D773">
        <v>1</v>
      </c>
      <c r="E773" t="s">
        <v>53</v>
      </c>
      <c r="F773" t="s">
        <v>48</v>
      </c>
      <c r="G773" t="str">
        <f>"2026-03-15 04:56:31.095"</f>
        <v>2026-03-15 04:56:31.095</v>
      </c>
      <c r="H773" t="s">
        <v>22</v>
      </c>
      <c r="I773">
        <v>0</v>
      </c>
      <c r="J773" t="s">
        <v>50</v>
      </c>
    </row>
    <row r="774" spans="1:10" x14ac:dyDescent="0.25">
      <c r="A774" s="1">
        <v>74</v>
      </c>
      <c r="B774" t="s">
        <v>37</v>
      </c>
      <c r="C774">
        <v>630</v>
      </c>
      <c r="D774">
        <v>5</v>
      </c>
      <c r="E774" t="s">
        <v>73</v>
      </c>
      <c r="F774" t="s">
        <v>74</v>
      </c>
      <c r="G774" t="str">
        <f>"2026-03-14 18:34:03.043"</f>
        <v>2026-03-14 18:34:03.043</v>
      </c>
      <c r="H774" t="s">
        <v>75</v>
      </c>
    </row>
    <row r="775" spans="1:10" x14ac:dyDescent="0.25">
      <c r="A775" s="1">
        <v>75</v>
      </c>
      <c r="B775" t="s">
        <v>28</v>
      </c>
      <c r="C775">
        <v>706</v>
      </c>
      <c r="D775">
        <v>2</v>
      </c>
      <c r="E775" t="s">
        <v>35</v>
      </c>
      <c r="F775" t="s">
        <v>42</v>
      </c>
      <c r="G775" t="str">
        <f>"2026-03-14 18:33:32.950"</f>
        <v>2026-03-14 18:33:32.950</v>
      </c>
      <c r="H775" t="s">
        <v>22</v>
      </c>
      <c r="I775">
        <v>0</v>
      </c>
      <c r="J775" t="s">
        <v>23</v>
      </c>
    </row>
    <row r="776" spans="1:10" x14ac:dyDescent="0.25">
      <c r="A776" s="1">
        <v>76</v>
      </c>
      <c r="B776" t="s">
        <v>60</v>
      </c>
      <c r="C776">
        <v>630</v>
      </c>
      <c r="D776">
        <v>5</v>
      </c>
      <c r="E776" t="s">
        <v>73</v>
      </c>
      <c r="F776" t="s">
        <v>74</v>
      </c>
      <c r="G776" t="str">
        <f>"2026-03-14 18:33:10.244"</f>
        <v>2026-03-14 18:33:10.244</v>
      </c>
      <c r="H776" t="s">
        <v>75</v>
      </c>
      <c r="I776">
        <v>0</v>
      </c>
      <c r="J776" t="s">
        <v>23</v>
      </c>
    </row>
    <row r="777" spans="1:10" x14ac:dyDescent="0.25">
      <c r="A777" s="1">
        <v>77</v>
      </c>
      <c r="B777" t="s">
        <v>28</v>
      </c>
      <c r="C777">
        <v>700</v>
      </c>
      <c r="D777">
        <v>0</v>
      </c>
      <c r="E777" t="s">
        <v>34</v>
      </c>
      <c r="F777" t="s">
        <v>34</v>
      </c>
      <c r="G777" t="str">
        <f>"2026-03-14 18:28:07.480"</f>
        <v>2026-03-14 18:28:07.480</v>
      </c>
      <c r="H777" t="s">
        <v>22</v>
      </c>
    </row>
    <row r="778" spans="1:10" s="3" customFormat="1" x14ac:dyDescent="0.25">
      <c r="A778" s="2">
        <v>78</v>
      </c>
      <c r="B778" s="3" t="s">
        <v>37</v>
      </c>
      <c r="C778" s="3">
        <v>647</v>
      </c>
      <c r="D778" s="3">
        <v>1</v>
      </c>
      <c r="E778" s="3" t="s">
        <v>43</v>
      </c>
      <c r="F778" s="3" t="s">
        <v>44</v>
      </c>
      <c r="G778" s="3" t="str">
        <f>"2026-03-14 17:50:34.283"</f>
        <v>2026-03-14 17:50:34.283</v>
      </c>
      <c r="H778" s="3" t="s">
        <v>22</v>
      </c>
    </row>
    <row r="779" spans="1:10" s="3" customFormat="1" x14ac:dyDescent="0.25">
      <c r="A779" s="2">
        <v>79</v>
      </c>
      <c r="B779" s="3" t="s">
        <v>19</v>
      </c>
      <c r="C779" s="3">
        <v>647</v>
      </c>
      <c r="D779" s="3">
        <v>1</v>
      </c>
      <c r="E779" s="3" t="s">
        <v>43</v>
      </c>
      <c r="F779" s="3" t="s">
        <v>44</v>
      </c>
      <c r="G779" s="3" t="str">
        <f>"2026-03-14 17:50:32.783"</f>
        <v>2026-03-14 17:50:32.783</v>
      </c>
      <c r="H779" s="3" t="s">
        <v>22</v>
      </c>
      <c r="I779" s="3">
        <v>18.010000000000002</v>
      </c>
      <c r="J779" s="3" t="s">
        <v>45</v>
      </c>
    </row>
    <row r="780" spans="1:10" s="3" customFormat="1" x14ac:dyDescent="0.25">
      <c r="A780" s="2">
        <v>80</v>
      </c>
      <c r="B780" s="3" t="s">
        <v>37</v>
      </c>
      <c r="C780" s="3">
        <v>647</v>
      </c>
      <c r="D780" s="3">
        <v>1</v>
      </c>
      <c r="E780" s="3" t="s">
        <v>43</v>
      </c>
      <c r="F780" s="3" t="s">
        <v>44</v>
      </c>
      <c r="G780" s="3" t="str">
        <f>"2026-03-14 17:24:40.683"</f>
        <v>2026-03-14 17:24:40.683</v>
      </c>
      <c r="H780" s="3" t="s">
        <v>22</v>
      </c>
    </row>
    <row r="781" spans="1:10" s="3" customFormat="1" x14ac:dyDescent="0.25">
      <c r="A781" s="2">
        <v>81</v>
      </c>
      <c r="B781" s="3" t="s">
        <v>19</v>
      </c>
      <c r="C781" s="3">
        <v>647</v>
      </c>
      <c r="D781" s="3">
        <v>1</v>
      </c>
      <c r="E781" s="3" t="s">
        <v>43</v>
      </c>
      <c r="F781" s="3" t="s">
        <v>44</v>
      </c>
      <c r="G781" s="3" t="str">
        <f>"2026-03-14 17:24:39.383"</f>
        <v>2026-03-14 17:24:39.383</v>
      </c>
      <c r="H781" s="3" t="s">
        <v>22</v>
      </c>
      <c r="I781" s="3">
        <v>9.7200000000000006</v>
      </c>
      <c r="J781" s="3" t="s">
        <v>45</v>
      </c>
    </row>
    <row r="782" spans="1:10" s="3" customFormat="1" x14ac:dyDescent="0.25">
      <c r="A782" s="2">
        <v>82</v>
      </c>
      <c r="B782" s="3" t="s">
        <v>37</v>
      </c>
      <c r="C782" s="3">
        <v>647</v>
      </c>
      <c r="D782" s="3">
        <v>1</v>
      </c>
      <c r="E782" s="3" t="s">
        <v>43</v>
      </c>
      <c r="F782" s="3" t="s">
        <v>44</v>
      </c>
      <c r="G782" s="3" t="str">
        <f>"2026-03-14 14:45:26.883"</f>
        <v>2026-03-14 14:45:26.883</v>
      </c>
      <c r="H782" s="3" t="s">
        <v>22</v>
      </c>
    </row>
    <row r="783" spans="1:10" s="3" customFormat="1" x14ac:dyDescent="0.25">
      <c r="A783" s="2">
        <v>83</v>
      </c>
      <c r="B783" s="3" t="s">
        <v>19</v>
      </c>
      <c r="C783" s="3">
        <v>647</v>
      </c>
      <c r="D783" s="3">
        <v>1</v>
      </c>
      <c r="E783" s="3" t="s">
        <v>43</v>
      </c>
      <c r="F783" s="3" t="s">
        <v>44</v>
      </c>
      <c r="G783" s="3" t="str">
        <f>"2026-03-14 14:45:24.583"</f>
        <v>2026-03-14 14:45:24.583</v>
      </c>
      <c r="H783" s="3" t="s">
        <v>22</v>
      </c>
      <c r="I783" s="3">
        <v>8.27</v>
      </c>
      <c r="J783" s="3" t="s">
        <v>45</v>
      </c>
    </row>
    <row r="784" spans="1:10" x14ac:dyDescent="0.25">
      <c r="A784" s="1">
        <v>84</v>
      </c>
      <c r="B784" t="s">
        <v>28</v>
      </c>
      <c r="C784">
        <v>706</v>
      </c>
      <c r="D784">
        <v>4</v>
      </c>
      <c r="E784" t="s">
        <v>35</v>
      </c>
      <c r="F784" t="s">
        <v>36</v>
      </c>
      <c r="G784" t="str">
        <f>"2026-03-14 00:45:08.340"</f>
        <v>2026-03-14 00:45:08.340</v>
      </c>
      <c r="H784" t="s">
        <v>22</v>
      </c>
      <c r="I784">
        <v>0</v>
      </c>
      <c r="J784" t="s">
        <v>23</v>
      </c>
    </row>
    <row r="785" spans="1:10" x14ac:dyDescent="0.25">
      <c r="A785" s="1">
        <v>85</v>
      </c>
      <c r="B785" t="s">
        <v>28</v>
      </c>
      <c r="C785">
        <v>700</v>
      </c>
      <c r="D785">
        <v>0</v>
      </c>
      <c r="E785" t="s">
        <v>34</v>
      </c>
      <c r="F785" t="s">
        <v>34</v>
      </c>
      <c r="G785" t="str">
        <f>"2026-03-13 08:53:25.470"</f>
        <v>2026-03-13 08:53:25.470</v>
      </c>
      <c r="H785" t="s">
        <v>22</v>
      </c>
      <c r="I785">
        <v>0</v>
      </c>
      <c r="J785" t="s">
        <v>46</v>
      </c>
    </row>
    <row r="786" spans="1:10" x14ac:dyDescent="0.25">
      <c r="A786" s="1">
        <v>86</v>
      </c>
      <c r="B786" t="s">
        <v>37</v>
      </c>
      <c r="C786">
        <v>630</v>
      </c>
      <c r="D786">
        <v>5</v>
      </c>
      <c r="E786" t="s">
        <v>73</v>
      </c>
      <c r="F786" t="s">
        <v>74</v>
      </c>
      <c r="G786" t="str">
        <f>"2026-03-13 02:48:50.372"</f>
        <v>2026-03-13 02:48:50.372</v>
      </c>
      <c r="H786" t="s">
        <v>75</v>
      </c>
    </row>
    <row r="787" spans="1:10" x14ac:dyDescent="0.25">
      <c r="A787" s="1">
        <v>87</v>
      </c>
      <c r="B787" t="s">
        <v>28</v>
      </c>
      <c r="C787">
        <v>706</v>
      </c>
      <c r="D787">
        <v>4</v>
      </c>
      <c r="E787" t="s">
        <v>35</v>
      </c>
      <c r="F787" t="s">
        <v>36</v>
      </c>
      <c r="G787" t="str">
        <f>"2026-03-13 02:48:20.320"</f>
        <v>2026-03-13 02:48:20.320</v>
      </c>
      <c r="H787" t="s">
        <v>22</v>
      </c>
      <c r="I787">
        <v>0</v>
      </c>
      <c r="J787" t="s">
        <v>23</v>
      </c>
    </row>
    <row r="788" spans="1:10" x14ac:dyDescent="0.25">
      <c r="A788" s="1">
        <v>88</v>
      </c>
      <c r="B788" t="s">
        <v>60</v>
      </c>
      <c r="C788">
        <v>630</v>
      </c>
      <c r="D788">
        <v>5</v>
      </c>
      <c r="E788" t="s">
        <v>73</v>
      </c>
      <c r="F788" t="s">
        <v>74</v>
      </c>
      <c r="G788" t="str">
        <f>"2026-03-13 02:37:16.672"</f>
        <v>2026-03-13 02:37:16.672</v>
      </c>
      <c r="H788" t="s">
        <v>75</v>
      </c>
      <c r="I788">
        <v>0</v>
      </c>
      <c r="J788" t="s">
        <v>23</v>
      </c>
    </row>
    <row r="789" spans="1:10" x14ac:dyDescent="0.25">
      <c r="A789" s="1">
        <v>89</v>
      </c>
      <c r="B789" t="s">
        <v>28</v>
      </c>
      <c r="C789">
        <v>700</v>
      </c>
      <c r="D789">
        <v>0</v>
      </c>
      <c r="E789" t="s">
        <v>34</v>
      </c>
      <c r="F789" t="s">
        <v>34</v>
      </c>
      <c r="G789" t="str">
        <f>"2026-03-12 16:07:40.460"</f>
        <v>2026-03-12 16:07:40.460</v>
      </c>
      <c r="H789" t="s">
        <v>22</v>
      </c>
      <c r="I789">
        <v>0</v>
      </c>
      <c r="J789" t="s">
        <v>46</v>
      </c>
    </row>
    <row r="790" spans="1:10" x14ac:dyDescent="0.25">
      <c r="A790" s="1">
        <v>90</v>
      </c>
      <c r="B790" t="s">
        <v>28</v>
      </c>
      <c r="C790">
        <v>706</v>
      </c>
      <c r="D790">
        <v>4</v>
      </c>
      <c r="E790" t="s">
        <v>35</v>
      </c>
      <c r="F790" t="s">
        <v>36</v>
      </c>
      <c r="G790" t="str">
        <f>"2026-03-12 08:36:28.208"</f>
        <v>2026-03-12 08:36:28.208</v>
      </c>
      <c r="H790" t="s">
        <v>22</v>
      </c>
      <c r="I790">
        <v>0</v>
      </c>
      <c r="J790" t="s">
        <v>23</v>
      </c>
    </row>
    <row r="791" spans="1:10" s="3" customFormat="1" x14ac:dyDescent="0.25">
      <c r="A791" s="2">
        <v>91</v>
      </c>
      <c r="B791" s="3" t="s">
        <v>37</v>
      </c>
      <c r="C791" s="3">
        <v>647</v>
      </c>
      <c r="D791" s="3">
        <v>1</v>
      </c>
      <c r="E791" s="3" t="s">
        <v>43</v>
      </c>
      <c r="F791" s="3" t="s">
        <v>44</v>
      </c>
      <c r="G791" s="3" t="str">
        <f>"2026-03-12 03:47:07.970"</f>
        <v>2026-03-12 03:47:07.970</v>
      </c>
      <c r="H791" s="3" t="s">
        <v>22</v>
      </c>
    </row>
    <row r="792" spans="1:10" s="3" customFormat="1" x14ac:dyDescent="0.25">
      <c r="A792" s="2">
        <v>92</v>
      </c>
      <c r="B792" s="3" t="s">
        <v>19</v>
      </c>
      <c r="C792" s="3">
        <v>647</v>
      </c>
      <c r="D792" s="3">
        <v>1</v>
      </c>
      <c r="E792" s="3" t="s">
        <v>43</v>
      </c>
      <c r="F792" s="3" t="s">
        <v>44</v>
      </c>
      <c r="G792" s="3" t="str">
        <f>"2026-03-12 03:47:06.570"</f>
        <v>2026-03-12 03:47:06.570</v>
      </c>
      <c r="H792" s="3" t="s">
        <v>22</v>
      </c>
      <c r="I792" s="3">
        <v>10.18</v>
      </c>
      <c r="J792" s="3" t="s">
        <v>45</v>
      </c>
    </row>
    <row r="793" spans="1:10" x14ac:dyDescent="0.25">
      <c r="A793" s="1">
        <v>93</v>
      </c>
      <c r="B793" t="s">
        <v>37</v>
      </c>
      <c r="C793">
        <v>635</v>
      </c>
      <c r="D793">
        <v>1</v>
      </c>
      <c r="E793" t="s">
        <v>53</v>
      </c>
      <c r="F793" t="s">
        <v>48</v>
      </c>
      <c r="G793" t="str">
        <f>"2026-03-11 20:30:25.470"</f>
        <v>2026-03-11 20:30:25.470</v>
      </c>
      <c r="H793" t="s">
        <v>22</v>
      </c>
    </row>
    <row r="794" spans="1:10" x14ac:dyDescent="0.25">
      <c r="A794" s="1">
        <v>94</v>
      </c>
      <c r="B794" t="s">
        <v>19</v>
      </c>
      <c r="C794">
        <v>635</v>
      </c>
      <c r="D794">
        <v>1</v>
      </c>
      <c r="E794" t="s">
        <v>53</v>
      </c>
      <c r="F794" t="s">
        <v>48</v>
      </c>
      <c r="G794" t="str">
        <f>"2026-03-11 20:26:53.470"</f>
        <v>2026-03-11 20:26:53.470</v>
      </c>
      <c r="H794" t="s">
        <v>22</v>
      </c>
      <c r="I794">
        <v>2.41</v>
      </c>
      <c r="J794" t="s">
        <v>54</v>
      </c>
    </row>
    <row r="795" spans="1:10" x14ac:dyDescent="0.25">
      <c r="A795" s="1">
        <v>95</v>
      </c>
      <c r="B795" t="s">
        <v>28</v>
      </c>
      <c r="C795">
        <v>700</v>
      </c>
      <c r="D795">
        <v>0</v>
      </c>
      <c r="E795" t="s">
        <v>34</v>
      </c>
      <c r="F795" t="s">
        <v>34</v>
      </c>
      <c r="G795" t="str">
        <f>"2026-03-11 16:24:00.458"</f>
        <v>2026-03-11 16:24:00.458</v>
      </c>
      <c r="H795" t="s">
        <v>22</v>
      </c>
      <c r="I795">
        <v>0</v>
      </c>
      <c r="J795" t="s">
        <v>46</v>
      </c>
    </row>
    <row r="796" spans="1:10" x14ac:dyDescent="0.25">
      <c r="A796" s="1">
        <v>96</v>
      </c>
      <c r="B796" t="s">
        <v>28</v>
      </c>
      <c r="C796">
        <v>700</v>
      </c>
      <c r="D796">
        <v>0</v>
      </c>
      <c r="E796" t="s">
        <v>34</v>
      </c>
      <c r="F796" t="s">
        <v>34</v>
      </c>
      <c r="G796" t="str">
        <f>"2026-03-11 15:00:32.499"</f>
        <v>2026-03-11 15:00:32.499</v>
      </c>
      <c r="H796" t="s">
        <v>22</v>
      </c>
    </row>
    <row r="797" spans="1:10" x14ac:dyDescent="0.25">
      <c r="A797" s="1">
        <v>97</v>
      </c>
      <c r="B797" t="s">
        <v>28</v>
      </c>
      <c r="C797">
        <v>700</v>
      </c>
      <c r="D797">
        <v>0</v>
      </c>
      <c r="E797" t="s">
        <v>34</v>
      </c>
      <c r="F797" t="s">
        <v>34</v>
      </c>
      <c r="G797" t="str">
        <f>"2026-03-11 14:50:55.531"</f>
        <v>2026-03-11 14:50:55.531</v>
      </c>
      <c r="H797" t="s">
        <v>22</v>
      </c>
    </row>
    <row r="798" spans="1:10" x14ac:dyDescent="0.25">
      <c r="A798" s="1">
        <v>98</v>
      </c>
      <c r="B798" t="s">
        <v>28</v>
      </c>
      <c r="C798">
        <v>700</v>
      </c>
      <c r="D798">
        <v>0</v>
      </c>
      <c r="E798" t="s">
        <v>34</v>
      </c>
      <c r="F798" t="s">
        <v>34</v>
      </c>
      <c r="G798" t="str">
        <f>"2026-03-11 14:44:53.437"</f>
        <v>2026-03-11 14:44:53.437</v>
      </c>
      <c r="H798" t="s">
        <v>22</v>
      </c>
    </row>
    <row r="799" spans="1:10" x14ac:dyDescent="0.25">
      <c r="A799" s="1">
        <v>0</v>
      </c>
      <c r="B799" t="s">
        <v>37</v>
      </c>
      <c r="C799">
        <v>630</v>
      </c>
      <c r="D799">
        <v>5</v>
      </c>
      <c r="E799" t="s">
        <v>73</v>
      </c>
      <c r="F799" t="s">
        <v>74</v>
      </c>
      <c r="G799" t="str">
        <f>"2026-03-10 13:22:38.799"</f>
        <v>2026-03-10 13:22:38.799</v>
      </c>
      <c r="H799" t="s">
        <v>75</v>
      </c>
    </row>
    <row r="800" spans="1:10" x14ac:dyDescent="0.25">
      <c r="A800" s="1">
        <v>1</v>
      </c>
      <c r="B800" t="s">
        <v>28</v>
      </c>
      <c r="C800">
        <v>706</v>
      </c>
      <c r="D800">
        <v>4</v>
      </c>
      <c r="E800" t="s">
        <v>35</v>
      </c>
      <c r="F800" t="s">
        <v>36</v>
      </c>
      <c r="G800" t="str">
        <f>"2026-03-10 13:22:08.680"</f>
        <v>2026-03-10 13:22:08.680</v>
      </c>
      <c r="H800" t="s">
        <v>22</v>
      </c>
      <c r="I800">
        <v>0</v>
      </c>
      <c r="J800" t="s">
        <v>23</v>
      </c>
    </row>
    <row r="801" spans="1:10" x14ac:dyDescent="0.25">
      <c r="A801" s="1">
        <v>2</v>
      </c>
      <c r="B801" t="s">
        <v>60</v>
      </c>
      <c r="C801">
        <v>630</v>
      </c>
      <c r="D801">
        <v>5</v>
      </c>
      <c r="E801" t="s">
        <v>73</v>
      </c>
      <c r="F801" t="s">
        <v>74</v>
      </c>
      <c r="G801" t="str">
        <f>"2026-03-10 13:03:21.699"</f>
        <v>2026-03-10 13:03:21.699</v>
      </c>
      <c r="H801" t="s">
        <v>75</v>
      </c>
      <c r="I801">
        <v>0</v>
      </c>
      <c r="J801" t="s">
        <v>23</v>
      </c>
    </row>
    <row r="802" spans="1:10" x14ac:dyDescent="0.25">
      <c r="A802" s="1">
        <v>3</v>
      </c>
      <c r="B802" t="s">
        <v>37</v>
      </c>
      <c r="C802">
        <v>635</v>
      </c>
      <c r="D802">
        <v>1</v>
      </c>
      <c r="E802" t="s">
        <v>53</v>
      </c>
      <c r="F802" t="s">
        <v>48</v>
      </c>
      <c r="G802" t="str">
        <f>"2026-03-10 10:58:08.199"</f>
        <v>2026-03-10 10:58:08.199</v>
      </c>
      <c r="H802" t="s">
        <v>22</v>
      </c>
    </row>
    <row r="803" spans="1:10" x14ac:dyDescent="0.25">
      <c r="A803" s="1">
        <v>4</v>
      </c>
      <c r="B803" t="s">
        <v>19</v>
      </c>
      <c r="C803">
        <v>635</v>
      </c>
      <c r="D803">
        <v>1</v>
      </c>
      <c r="E803" t="s">
        <v>53</v>
      </c>
      <c r="F803" t="s">
        <v>48</v>
      </c>
      <c r="G803" t="str">
        <f>"2026-03-10 10:55:03.199"</f>
        <v>2026-03-10 10:55:03.199</v>
      </c>
      <c r="H803" t="s">
        <v>22</v>
      </c>
      <c r="I803">
        <v>7.07</v>
      </c>
      <c r="J803" t="s">
        <v>50</v>
      </c>
    </row>
    <row r="804" spans="1:10" x14ac:dyDescent="0.25">
      <c r="A804" s="1">
        <v>5</v>
      </c>
      <c r="B804" t="s">
        <v>28</v>
      </c>
      <c r="C804">
        <v>700</v>
      </c>
      <c r="D804">
        <v>0</v>
      </c>
      <c r="E804" t="s">
        <v>34</v>
      </c>
      <c r="F804" t="s">
        <v>34</v>
      </c>
      <c r="G804" t="str">
        <f>"2026-03-10 08:49:54.480"</f>
        <v>2026-03-10 08:49:54.480</v>
      </c>
      <c r="H804" t="s">
        <v>22</v>
      </c>
    </row>
    <row r="805" spans="1:10" s="3" customFormat="1" x14ac:dyDescent="0.25">
      <c r="A805" s="2">
        <v>6</v>
      </c>
      <c r="B805" s="3" t="s">
        <v>37</v>
      </c>
      <c r="C805" s="3">
        <v>647</v>
      </c>
      <c r="D805" s="3">
        <v>1</v>
      </c>
      <c r="E805" s="3" t="s">
        <v>43</v>
      </c>
      <c r="F805" s="3" t="s">
        <v>44</v>
      </c>
      <c r="G805" s="3" t="str">
        <f>"2026-03-10 05:46:55.382"</f>
        <v>2026-03-10 05:46:55.382</v>
      </c>
      <c r="H805" s="3" t="s">
        <v>22</v>
      </c>
    </row>
    <row r="806" spans="1:10" s="3" customFormat="1" x14ac:dyDescent="0.25">
      <c r="A806" s="2">
        <v>7</v>
      </c>
      <c r="B806" s="3" t="s">
        <v>19</v>
      </c>
      <c r="C806" s="3">
        <v>647</v>
      </c>
      <c r="D806" s="3">
        <v>1</v>
      </c>
      <c r="E806" s="3" t="s">
        <v>43</v>
      </c>
      <c r="F806" s="3" t="s">
        <v>44</v>
      </c>
      <c r="G806" s="3" t="str">
        <f>"2026-03-10 05:46:33.682"</f>
        <v>2026-03-10 05:46:33.682</v>
      </c>
      <c r="H806" s="3" t="s">
        <v>22</v>
      </c>
      <c r="I806" s="3">
        <v>8.85</v>
      </c>
      <c r="J806" s="3" t="s">
        <v>45</v>
      </c>
    </row>
    <row r="807" spans="1:10" s="3" customFormat="1" x14ac:dyDescent="0.25">
      <c r="A807" s="2">
        <v>8</v>
      </c>
      <c r="B807" s="3" t="s">
        <v>37</v>
      </c>
      <c r="C807" s="3">
        <v>647</v>
      </c>
      <c r="D807" s="3">
        <v>1</v>
      </c>
      <c r="E807" s="3" t="s">
        <v>43</v>
      </c>
      <c r="F807" s="3" t="s">
        <v>44</v>
      </c>
      <c r="G807" s="3" t="str">
        <f>"2026-03-10 01:02:42.582"</f>
        <v>2026-03-10 01:02:42.582</v>
      </c>
      <c r="H807" s="3" t="s">
        <v>22</v>
      </c>
    </row>
    <row r="808" spans="1:10" s="3" customFormat="1" x14ac:dyDescent="0.25">
      <c r="A808" s="2">
        <v>9</v>
      </c>
      <c r="B808" s="3" t="s">
        <v>19</v>
      </c>
      <c r="C808" s="3">
        <v>647</v>
      </c>
      <c r="D808" s="3">
        <v>1</v>
      </c>
      <c r="E808" s="3" t="s">
        <v>43</v>
      </c>
      <c r="F808" s="3" t="s">
        <v>44</v>
      </c>
      <c r="G808" s="3" t="str">
        <f>"2026-03-10 01:02:35.882"</f>
        <v>2026-03-10 01:02:35.882</v>
      </c>
      <c r="H808" s="3" t="s">
        <v>22</v>
      </c>
      <c r="I808" s="3">
        <v>9.91</v>
      </c>
      <c r="J808" s="3" t="s">
        <v>50</v>
      </c>
    </row>
    <row r="809" spans="1:10" s="3" customFormat="1" x14ac:dyDescent="0.25">
      <c r="A809" s="2">
        <v>10</v>
      </c>
      <c r="B809" s="3" t="s">
        <v>37</v>
      </c>
      <c r="C809" s="3">
        <v>647</v>
      </c>
      <c r="D809" s="3">
        <v>1</v>
      </c>
      <c r="E809" s="3" t="s">
        <v>43</v>
      </c>
      <c r="F809" s="3" t="s">
        <v>44</v>
      </c>
      <c r="G809" s="3" t="str">
        <f>"2026-03-09 14:48:59.382"</f>
        <v>2026-03-09 14:48:59.382</v>
      </c>
      <c r="H809" s="3" t="s">
        <v>22</v>
      </c>
    </row>
    <row r="810" spans="1:10" s="3" customFormat="1" x14ac:dyDescent="0.25">
      <c r="A810" s="2">
        <v>11</v>
      </c>
      <c r="B810" s="3" t="s">
        <v>19</v>
      </c>
      <c r="C810" s="3">
        <v>647</v>
      </c>
      <c r="D810" s="3">
        <v>1</v>
      </c>
      <c r="E810" s="3" t="s">
        <v>43</v>
      </c>
      <c r="F810" s="3" t="s">
        <v>44</v>
      </c>
      <c r="G810" s="3" t="str">
        <f>"2026-03-09 14:48:54.382"</f>
        <v>2026-03-09 14:48:54.382</v>
      </c>
      <c r="H810" s="3" t="s">
        <v>22</v>
      </c>
      <c r="I810" s="3">
        <v>9.08</v>
      </c>
      <c r="J810" s="3" t="s">
        <v>45</v>
      </c>
    </row>
    <row r="811" spans="1:10" s="3" customFormat="1" x14ac:dyDescent="0.25">
      <c r="A811" s="2">
        <v>12</v>
      </c>
      <c r="B811" s="3" t="s">
        <v>37</v>
      </c>
      <c r="C811" s="3">
        <v>647</v>
      </c>
      <c r="D811" s="3">
        <v>1</v>
      </c>
      <c r="E811" s="3" t="s">
        <v>43</v>
      </c>
      <c r="F811" s="3" t="s">
        <v>44</v>
      </c>
      <c r="G811" s="3" t="str">
        <f>"2026-03-09 14:10:31.882"</f>
        <v>2026-03-09 14:10:31.882</v>
      </c>
      <c r="H811" s="3" t="s">
        <v>22</v>
      </c>
    </row>
    <row r="812" spans="1:10" s="3" customFormat="1" x14ac:dyDescent="0.25">
      <c r="A812" s="2">
        <v>13</v>
      </c>
      <c r="B812" s="3" t="s">
        <v>19</v>
      </c>
      <c r="C812" s="3">
        <v>647</v>
      </c>
      <c r="D812" s="3">
        <v>1</v>
      </c>
      <c r="E812" s="3" t="s">
        <v>43</v>
      </c>
      <c r="F812" s="3" t="s">
        <v>44</v>
      </c>
      <c r="G812" s="3" t="str">
        <f>"2026-03-09 14:10:30.683"</f>
        <v>2026-03-09 14:10:30.683</v>
      </c>
      <c r="H812" s="3" t="s">
        <v>22</v>
      </c>
      <c r="I812" s="3">
        <v>20.63</v>
      </c>
      <c r="J812" s="3" t="s">
        <v>45</v>
      </c>
    </row>
    <row r="813" spans="1:10" x14ac:dyDescent="0.25">
      <c r="A813" s="1">
        <v>14</v>
      </c>
      <c r="B813" t="s">
        <v>37</v>
      </c>
      <c r="C813">
        <v>98</v>
      </c>
      <c r="D813">
        <v>1</v>
      </c>
      <c r="E813" t="s">
        <v>76</v>
      </c>
      <c r="F813" t="s">
        <v>77</v>
      </c>
      <c r="G813" t="str">
        <f>"2026-03-09 10:00:33.794"</f>
        <v>2026-03-09 10:00:33.794</v>
      </c>
      <c r="H813" t="s">
        <v>22</v>
      </c>
    </row>
    <row r="814" spans="1:10" x14ac:dyDescent="0.25">
      <c r="A814" s="1">
        <v>15</v>
      </c>
      <c r="B814" t="s">
        <v>19</v>
      </c>
      <c r="C814">
        <v>98</v>
      </c>
      <c r="D814">
        <v>1</v>
      </c>
      <c r="E814" t="s">
        <v>76</v>
      </c>
      <c r="F814" t="s">
        <v>77</v>
      </c>
      <c r="G814" t="str">
        <f>"2026-03-09 10:00:32.794"</f>
        <v>2026-03-09 10:00:32.794</v>
      </c>
      <c r="H814" t="s">
        <v>22</v>
      </c>
      <c r="I814">
        <v>0</v>
      </c>
      <c r="J814" t="s">
        <v>50</v>
      </c>
    </row>
    <row r="815" spans="1:10" x14ac:dyDescent="0.25">
      <c r="A815" s="1">
        <v>16</v>
      </c>
      <c r="B815" t="s">
        <v>37</v>
      </c>
      <c r="C815">
        <v>98</v>
      </c>
      <c r="D815">
        <v>1</v>
      </c>
      <c r="E815" t="s">
        <v>76</v>
      </c>
      <c r="F815" t="s">
        <v>77</v>
      </c>
      <c r="G815" t="str">
        <f>"2026-03-09 10:00:32.194"</f>
        <v>2026-03-09 10:00:32.194</v>
      </c>
      <c r="H815" t="s">
        <v>22</v>
      </c>
    </row>
    <row r="816" spans="1:10" x14ac:dyDescent="0.25">
      <c r="A816" s="1">
        <v>17</v>
      </c>
      <c r="B816" t="s">
        <v>19</v>
      </c>
      <c r="C816">
        <v>98</v>
      </c>
      <c r="D816">
        <v>1</v>
      </c>
      <c r="E816" t="s">
        <v>76</v>
      </c>
      <c r="F816" t="s">
        <v>77</v>
      </c>
      <c r="G816" t="str">
        <f>"2026-03-09 10:00:31.195"</f>
        <v>2026-03-09 10:00:31.195</v>
      </c>
      <c r="H816" t="s">
        <v>22</v>
      </c>
      <c r="I816">
        <v>0</v>
      </c>
      <c r="J816" t="s">
        <v>50</v>
      </c>
    </row>
    <row r="817" spans="1:10" x14ac:dyDescent="0.25">
      <c r="A817" s="1">
        <v>18</v>
      </c>
      <c r="B817" t="s">
        <v>28</v>
      </c>
      <c r="C817">
        <v>700</v>
      </c>
      <c r="D817">
        <v>0</v>
      </c>
      <c r="E817" t="s">
        <v>34</v>
      </c>
      <c r="F817" t="s">
        <v>34</v>
      </c>
      <c r="G817" t="str">
        <f>"2026-03-09 08:36:28.464"</f>
        <v>2026-03-09 08:36:28.464</v>
      </c>
      <c r="H817" t="s">
        <v>22</v>
      </c>
      <c r="I817">
        <v>0</v>
      </c>
      <c r="J817" t="s">
        <v>46</v>
      </c>
    </row>
    <row r="818" spans="1:10" x14ac:dyDescent="0.25">
      <c r="A818" s="1">
        <v>19</v>
      </c>
      <c r="B818" t="s">
        <v>37</v>
      </c>
      <c r="C818">
        <v>635</v>
      </c>
      <c r="D818">
        <v>1</v>
      </c>
      <c r="E818" t="s">
        <v>53</v>
      </c>
      <c r="F818" t="s">
        <v>48</v>
      </c>
      <c r="G818" t="str">
        <f>"2026-03-09 03:44:43.174"</f>
        <v>2026-03-09 03:44:43.174</v>
      </c>
      <c r="H818" t="s">
        <v>22</v>
      </c>
    </row>
    <row r="819" spans="1:10" x14ac:dyDescent="0.25">
      <c r="A819" s="1">
        <v>20</v>
      </c>
      <c r="B819" t="s">
        <v>19</v>
      </c>
      <c r="C819">
        <v>635</v>
      </c>
      <c r="D819">
        <v>1</v>
      </c>
      <c r="E819" t="s">
        <v>53</v>
      </c>
      <c r="F819" t="s">
        <v>48</v>
      </c>
      <c r="G819" t="str">
        <f>"2026-03-09 03:34:55.674"</f>
        <v>2026-03-09 03:34:55.674</v>
      </c>
      <c r="H819" t="s">
        <v>22</v>
      </c>
      <c r="I819">
        <v>2.15</v>
      </c>
      <c r="J819" t="s">
        <v>54</v>
      </c>
    </row>
    <row r="820" spans="1:10" x14ac:dyDescent="0.25">
      <c r="A820" s="1">
        <v>21</v>
      </c>
      <c r="B820" t="s">
        <v>37</v>
      </c>
      <c r="C820">
        <v>635</v>
      </c>
      <c r="D820">
        <v>1</v>
      </c>
      <c r="E820" t="s">
        <v>53</v>
      </c>
      <c r="F820" t="s">
        <v>48</v>
      </c>
      <c r="G820" t="str">
        <f>"2026-03-08 21:41:30.974"</f>
        <v>2026-03-08 21:41:30.974</v>
      </c>
      <c r="H820" t="s">
        <v>22</v>
      </c>
    </row>
    <row r="821" spans="1:10" x14ac:dyDescent="0.25">
      <c r="A821" s="1">
        <v>22</v>
      </c>
      <c r="B821" t="s">
        <v>19</v>
      </c>
      <c r="C821">
        <v>635</v>
      </c>
      <c r="D821">
        <v>1</v>
      </c>
      <c r="E821" t="s">
        <v>53</v>
      </c>
      <c r="F821" t="s">
        <v>48</v>
      </c>
      <c r="G821" t="str">
        <f>"2026-03-08 21:38:14.474"</f>
        <v>2026-03-08 21:38:14.474</v>
      </c>
      <c r="H821" t="s">
        <v>22</v>
      </c>
      <c r="I821">
        <v>0.01</v>
      </c>
      <c r="J821" t="s">
        <v>50</v>
      </c>
    </row>
    <row r="822" spans="1:10" x14ac:dyDescent="0.25">
      <c r="A822" s="1">
        <v>24</v>
      </c>
      <c r="B822" t="s">
        <v>28</v>
      </c>
      <c r="C822">
        <v>700</v>
      </c>
      <c r="D822">
        <v>0</v>
      </c>
      <c r="E822" t="s">
        <v>34</v>
      </c>
      <c r="F822" t="s">
        <v>34</v>
      </c>
      <c r="G822" t="str">
        <f>"2026-03-08 09:43:11.456"</f>
        <v>2026-03-08 09:43:11.456</v>
      </c>
      <c r="H822" t="s">
        <v>22</v>
      </c>
      <c r="I822">
        <v>0</v>
      </c>
      <c r="J822" t="s">
        <v>46</v>
      </c>
    </row>
    <row r="823" spans="1:10" x14ac:dyDescent="0.25">
      <c r="A823" s="1">
        <v>25</v>
      </c>
      <c r="B823" t="s">
        <v>37</v>
      </c>
      <c r="C823">
        <v>42</v>
      </c>
      <c r="D823">
        <v>1</v>
      </c>
      <c r="E823" t="s">
        <v>78</v>
      </c>
      <c r="F823" t="s">
        <v>79</v>
      </c>
      <c r="G823" t="str">
        <f>"2026-03-06 06:17:41.572"</f>
        <v>2026-03-06 06:17:41.572</v>
      </c>
      <c r="H823" t="s">
        <v>80</v>
      </c>
    </row>
    <row r="824" spans="1:10" x14ac:dyDescent="0.25">
      <c r="A824" s="1">
        <v>26</v>
      </c>
      <c r="B824" t="s">
        <v>19</v>
      </c>
      <c r="C824">
        <v>42</v>
      </c>
      <c r="D824">
        <v>1</v>
      </c>
      <c r="E824" t="s">
        <v>78</v>
      </c>
      <c r="F824" t="s">
        <v>79</v>
      </c>
      <c r="G824" t="str">
        <f>"2026-03-06 06:17:31.151"</f>
        <v>2026-03-06 06:17:31.151</v>
      </c>
      <c r="H824" t="s">
        <v>80</v>
      </c>
      <c r="I824">
        <v>0</v>
      </c>
      <c r="J824" t="s">
        <v>23</v>
      </c>
    </row>
    <row r="825" spans="1:10" x14ac:dyDescent="0.25">
      <c r="A825" s="1">
        <v>27</v>
      </c>
      <c r="B825" t="s">
        <v>37</v>
      </c>
      <c r="C825">
        <v>98</v>
      </c>
      <c r="D825">
        <v>1</v>
      </c>
      <c r="E825" t="s">
        <v>76</v>
      </c>
      <c r="F825" t="s">
        <v>77</v>
      </c>
      <c r="G825" t="str">
        <f>"2026-03-06 06:17:18.073"</f>
        <v>2026-03-06 06:17:18.073</v>
      </c>
      <c r="H825" t="s">
        <v>22</v>
      </c>
    </row>
    <row r="826" spans="1:10" x14ac:dyDescent="0.25">
      <c r="A826" s="1">
        <v>28</v>
      </c>
      <c r="B826" t="s">
        <v>19</v>
      </c>
      <c r="C826">
        <v>98</v>
      </c>
      <c r="D826">
        <v>1</v>
      </c>
      <c r="E826" t="s">
        <v>76</v>
      </c>
      <c r="F826" t="s">
        <v>77</v>
      </c>
      <c r="G826" t="str">
        <f>"2026-03-06 06:17:17.073"</f>
        <v>2026-03-06 06:17:17.073</v>
      </c>
      <c r="H826" t="s">
        <v>22</v>
      </c>
      <c r="I826">
        <v>0</v>
      </c>
      <c r="J826" t="s">
        <v>50</v>
      </c>
    </row>
    <row r="827" spans="1:10" x14ac:dyDescent="0.25">
      <c r="A827" s="1">
        <v>29</v>
      </c>
      <c r="B827" t="s">
        <v>37</v>
      </c>
      <c r="C827">
        <v>98</v>
      </c>
      <c r="D827">
        <v>1</v>
      </c>
      <c r="E827" t="s">
        <v>76</v>
      </c>
      <c r="F827" t="s">
        <v>77</v>
      </c>
      <c r="G827" t="str">
        <f>"2026-03-06 06:17:16.273"</f>
        <v>2026-03-06 06:17:16.273</v>
      </c>
      <c r="H827" t="s">
        <v>22</v>
      </c>
    </row>
    <row r="828" spans="1:10" x14ac:dyDescent="0.25">
      <c r="A828" s="1">
        <v>30</v>
      </c>
      <c r="B828" t="s">
        <v>19</v>
      </c>
      <c r="C828">
        <v>98</v>
      </c>
      <c r="D828">
        <v>1</v>
      </c>
      <c r="E828" t="s">
        <v>76</v>
      </c>
      <c r="F828" t="s">
        <v>77</v>
      </c>
      <c r="G828" t="str">
        <f>"2026-03-06 06:17:15.274"</f>
        <v>2026-03-06 06:17:15.274</v>
      </c>
      <c r="H828" t="s">
        <v>22</v>
      </c>
      <c r="I828">
        <v>0</v>
      </c>
      <c r="J828" t="s">
        <v>50</v>
      </c>
    </row>
    <row r="829" spans="1:10" x14ac:dyDescent="0.25">
      <c r="A829" s="1">
        <v>31</v>
      </c>
      <c r="B829" t="s">
        <v>28</v>
      </c>
      <c r="C829">
        <v>700</v>
      </c>
      <c r="D829">
        <v>0</v>
      </c>
      <c r="E829" t="s">
        <v>34</v>
      </c>
      <c r="F829" t="s">
        <v>34</v>
      </c>
      <c r="G829" t="str">
        <f>"2026-03-05 23:32:58.433"</f>
        <v>2026-03-05 23:32:58.433</v>
      </c>
      <c r="H829" t="s">
        <v>22</v>
      </c>
    </row>
    <row r="830" spans="1:10" x14ac:dyDescent="0.25">
      <c r="A830" s="1">
        <v>32</v>
      </c>
      <c r="B830" t="s">
        <v>37</v>
      </c>
      <c r="C830">
        <v>630</v>
      </c>
      <c r="D830">
        <v>5</v>
      </c>
      <c r="E830" t="s">
        <v>73</v>
      </c>
      <c r="F830" t="s">
        <v>74</v>
      </c>
      <c r="G830" t="str">
        <f>"2026-03-05 22:01:55.601"</f>
        <v>2026-03-05 22:01:55.601</v>
      </c>
      <c r="H830" t="s">
        <v>75</v>
      </c>
    </row>
    <row r="831" spans="1:10" x14ac:dyDescent="0.25">
      <c r="A831" s="1">
        <v>33</v>
      </c>
      <c r="B831" t="s">
        <v>28</v>
      </c>
      <c r="C831">
        <v>706</v>
      </c>
      <c r="D831">
        <v>2</v>
      </c>
      <c r="E831" t="s">
        <v>35</v>
      </c>
      <c r="F831" t="s">
        <v>42</v>
      </c>
      <c r="G831" t="str">
        <f>"2026-03-05 22:01:25.509"</f>
        <v>2026-03-05 22:01:25.509</v>
      </c>
      <c r="H831" t="s">
        <v>22</v>
      </c>
      <c r="I831">
        <v>0</v>
      </c>
      <c r="J831" t="s">
        <v>23</v>
      </c>
    </row>
    <row r="832" spans="1:10" x14ac:dyDescent="0.25">
      <c r="A832" s="1">
        <v>34</v>
      </c>
      <c r="B832" t="s">
        <v>28</v>
      </c>
      <c r="C832">
        <v>706</v>
      </c>
      <c r="D832">
        <v>4</v>
      </c>
      <c r="E832" t="s">
        <v>35</v>
      </c>
      <c r="F832" t="s">
        <v>36</v>
      </c>
      <c r="G832" t="str">
        <f>"2026-03-05 22:01:13.039"</f>
        <v>2026-03-05 22:01:13.039</v>
      </c>
      <c r="H832" t="s">
        <v>22</v>
      </c>
      <c r="I832">
        <v>0</v>
      </c>
      <c r="J832" t="s">
        <v>23</v>
      </c>
    </row>
    <row r="833" spans="1:10" x14ac:dyDescent="0.25">
      <c r="A833" s="1">
        <v>35</v>
      </c>
      <c r="B833" t="s">
        <v>60</v>
      </c>
      <c r="C833">
        <v>630</v>
      </c>
      <c r="D833">
        <v>5</v>
      </c>
      <c r="E833" t="s">
        <v>73</v>
      </c>
      <c r="F833" t="s">
        <v>74</v>
      </c>
      <c r="G833" t="str">
        <f>"2026-03-05 21:47:14.102"</f>
        <v>2026-03-05 21:47:14.102</v>
      </c>
      <c r="H833" t="s">
        <v>75</v>
      </c>
      <c r="I833">
        <v>0</v>
      </c>
      <c r="J833" t="s">
        <v>23</v>
      </c>
    </row>
    <row r="834" spans="1:10" x14ac:dyDescent="0.25">
      <c r="A834" s="1">
        <v>36</v>
      </c>
      <c r="B834" t="s">
        <v>28</v>
      </c>
      <c r="C834">
        <v>700</v>
      </c>
      <c r="D834">
        <v>0</v>
      </c>
      <c r="E834" t="s">
        <v>34</v>
      </c>
      <c r="F834" t="s">
        <v>34</v>
      </c>
      <c r="G834" t="str">
        <f>"2026-03-05 21:42:11.439"</f>
        <v>2026-03-05 21:42:11.439</v>
      </c>
      <c r="H834" t="s">
        <v>22</v>
      </c>
    </row>
    <row r="835" spans="1:10" x14ac:dyDescent="0.25">
      <c r="A835" s="1">
        <v>37</v>
      </c>
      <c r="B835" t="s">
        <v>28</v>
      </c>
      <c r="C835">
        <v>700</v>
      </c>
      <c r="D835">
        <v>0</v>
      </c>
      <c r="E835" t="s">
        <v>34</v>
      </c>
      <c r="F835" t="s">
        <v>34</v>
      </c>
      <c r="G835" t="str">
        <f>"2026-03-05 20:54:49.421"</f>
        <v>2026-03-05 20:54:49.421</v>
      </c>
      <c r="H835" t="s">
        <v>22</v>
      </c>
    </row>
    <row r="836" spans="1:10" x14ac:dyDescent="0.25">
      <c r="A836" s="1">
        <v>39</v>
      </c>
      <c r="B836" t="s">
        <v>28</v>
      </c>
      <c r="C836">
        <v>706</v>
      </c>
      <c r="D836">
        <v>2</v>
      </c>
      <c r="E836" t="s">
        <v>35</v>
      </c>
      <c r="F836" t="s">
        <v>42</v>
      </c>
      <c r="G836" t="str">
        <f>"2026-03-04 08:42:24.328"</f>
        <v>2026-03-04 08:42:24.328</v>
      </c>
      <c r="H836" t="s">
        <v>22</v>
      </c>
      <c r="I836">
        <v>0</v>
      </c>
      <c r="J836" t="s">
        <v>23</v>
      </c>
    </row>
    <row r="837" spans="1:10" x14ac:dyDescent="0.25">
      <c r="A837" s="1">
        <v>40</v>
      </c>
      <c r="B837" t="s">
        <v>28</v>
      </c>
      <c r="C837">
        <v>706</v>
      </c>
      <c r="D837">
        <v>2</v>
      </c>
      <c r="E837" t="s">
        <v>35</v>
      </c>
      <c r="F837" t="s">
        <v>42</v>
      </c>
      <c r="G837" t="str">
        <f>"2026-03-04 05:25:01.928"</f>
        <v>2026-03-04 05:25:01.928</v>
      </c>
      <c r="H837" t="s">
        <v>22</v>
      </c>
      <c r="I837">
        <v>0</v>
      </c>
      <c r="J837" t="s">
        <v>23</v>
      </c>
    </row>
    <row r="838" spans="1:10" x14ac:dyDescent="0.25">
      <c r="A838" s="1">
        <v>41</v>
      </c>
      <c r="B838" t="s">
        <v>28</v>
      </c>
      <c r="C838">
        <v>700</v>
      </c>
      <c r="D838">
        <v>0</v>
      </c>
      <c r="E838" t="s">
        <v>34</v>
      </c>
      <c r="F838" t="s">
        <v>34</v>
      </c>
      <c r="G838" t="str">
        <f>"2026-03-04 05:23:54.438"</f>
        <v>2026-03-04 05:23:54.438</v>
      </c>
      <c r="H838" t="s">
        <v>22</v>
      </c>
      <c r="I838">
        <v>0</v>
      </c>
      <c r="J838" t="s">
        <v>46</v>
      </c>
    </row>
    <row r="839" spans="1:10" x14ac:dyDescent="0.25">
      <c r="A839" s="1">
        <v>42</v>
      </c>
      <c r="B839" t="s">
        <v>28</v>
      </c>
      <c r="C839">
        <v>700</v>
      </c>
      <c r="D839">
        <v>0</v>
      </c>
      <c r="E839" t="s">
        <v>34</v>
      </c>
      <c r="F839" t="s">
        <v>34</v>
      </c>
      <c r="G839" t="str">
        <f>"2026-03-04 04:22:25.489"</f>
        <v>2026-03-04 04:22:25.489</v>
      </c>
      <c r="H839" t="s">
        <v>22</v>
      </c>
    </row>
    <row r="840" spans="1:10" x14ac:dyDescent="0.25">
      <c r="A840" s="1">
        <v>43</v>
      </c>
      <c r="B840" t="s">
        <v>28</v>
      </c>
      <c r="C840">
        <v>706</v>
      </c>
      <c r="D840">
        <v>4</v>
      </c>
      <c r="E840" t="s">
        <v>35</v>
      </c>
      <c r="F840" t="s">
        <v>36</v>
      </c>
      <c r="G840" t="str">
        <f>"2026-03-04 03:49:10.697"</f>
        <v>2026-03-04 03:49:10.697</v>
      </c>
      <c r="H840" t="s">
        <v>22</v>
      </c>
      <c r="I840">
        <v>0</v>
      </c>
      <c r="J840" t="s">
        <v>23</v>
      </c>
    </row>
    <row r="841" spans="1:10" x14ac:dyDescent="0.25">
      <c r="A841" s="1">
        <v>44</v>
      </c>
      <c r="B841" t="s">
        <v>28</v>
      </c>
      <c r="C841">
        <v>706</v>
      </c>
      <c r="D841">
        <v>3</v>
      </c>
      <c r="E841" t="s">
        <v>35</v>
      </c>
      <c r="F841" t="s">
        <v>71</v>
      </c>
      <c r="G841" t="str">
        <f>"2026-03-04 03:48:59.867"</f>
        <v>2026-03-04 03:48:59.867</v>
      </c>
      <c r="H841" t="s">
        <v>22</v>
      </c>
      <c r="I841">
        <v>0</v>
      </c>
      <c r="J841" t="s">
        <v>23</v>
      </c>
    </row>
    <row r="842" spans="1:10" x14ac:dyDescent="0.25">
      <c r="A842" s="1">
        <v>45</v>
      </c>
      <c r="B842" t="s">
        <v>28</v>
      </c>
      <c r="C842">
        <v>706</v>
      </c>
      <c r="D842">
        <v>4</v>
      </c>
      <c r="E842" t="s">
        <v>35</v>
      </c>
      <c r="F842" t="s">
        <v>36</v>
      </c>
      <c r="G842" t="str">
        <f>"2026-03-04 03:20:16.457"</f>
        <v>2026-03-04 03:20:16.457</v>
      </c>
      <c r="H842" t="s">
        <v>22</v>
      </c>
      <c r="I842">
        <v>0</v>
      </c>
      <c r="J842" t="s">
        <v>23</v>
      </c>
    </row>
    <row r="843" spans="1:10" x14ac:dyDescent="0.25">
      <c r="A843" s="1">
        <v>46</v>
      </c>
      <c r="B843" t="s">
        <v>28</v>
      </c>
      <c r="C843">
        <v>706</v>
      </c>
      <c r="D843">
        <v>4</v>
      </c>
      <c r="E843" t="s">
        <v>35</v>
      </c>
      <c r="F843" t="s">
        <v>36</v>
      </c>
      <c r="G843" t="str">
        <f>"2026-03-04 03:17:00.967"</f>
        <v>2026-03-04 03:17:00.967</v>
      </c>
      <c r="H843" t="s">
        <v>22</v>
      </c>
      <c r="I843">
        <v>0</v>
      </c>
      <c r="J843" t="s">
        <v>23</v>
      </c>
    </row>
    <row r="844" spans="1:10" x14ac:dyDescent="0.25">
      <c r="A844" s="1">
        <v>47</v>
      </c>
      <c r="B844" t="s">
        <v>28</v>
      </c>
      <c r="C844">
        <v>706</v>
      </c>
      <c r="D844">
        <v>4</v>
      </c>
      <c r="E844" t="s">
        <v>35</v>
      </c>
      <c r="F844" t="s">
        <v>36</v>
      </c>
      <c r="G844" t="str">
        <f>"2026-03-04 03:16:09.967"</f>
        <v>2026-03-04 03:16:09.967</v>
      </c>
      <c r="H844" t="s">
        <v>22</v>
      </c>
      <c r="I844">
        <v>0</v>
      </c>
      <c r="J844" t="s">
        <v>23</v>
      </c>
    </row>
    <row r="845" spans="1:10" x14ac:dyDescent="0.25">
      <c r="A845" s="1">
        <v>48</v>
      </c>
      <c r="B845" t="s">
        <v>37</v>
      </c>
      <c r="C845">
        <v>630</v>
      </c>
      <c r="D845">
        <v>5</v>
      </c>
      <c r="E845" t="s">
        <v>73</v>
      </c>
      <c r="F845" t="s">
        <v>74</v>
      </c>
      <c r="G845" t="str">
        <f>"2026-03-04 01:20:52.905"</f>
        <v>2026-03-04 01:20:52.905</v>
      </c>
      <c r="H845" t="s">
        <v>75</v>
      </c>
    </row>
    <row r="846" spans="1:10" x14ac:dyDescent="0.25">
      <c r="A846" s="1">
        <v>49</v>
      </c>
      <c r="B846" t="s">
        <v>60</v>
      </c>
      <c r="C846">
        <v>630</v>
      </c>
      <c r="D846">
        <v>5</v>
      </c>
      <c r="E846" t="s">
        <v>73</v>
      </c>
      <c r="F846" t="s">
        <v>74</v>
      </c>
      <c r="G846" t="str">
        <f>"2026-03-04 01:19:35.205"</f>
        <v>2026-03-04 01:19:35.205</v>
      </c>
      <c r="H846" t="s">
        <v>75</v>
      </c>
      <c r="I846">
        <v>0</v>
      </c>
      <c r="J846" t="s">
        <v>23</v>
      </c>
    </row>
    <row r="847" spans="1:10" x14ac:dyDescent="0.25">
      <c r="A847" s="1">
        <v>50</v>
      </c>
      <c r="B847" t="s">
        <v>28</v>
      </c>
      <c r="C847">
        <v>706</v>
      </c>
      <c r="D847">
        <v>4</v>
      </c>
      <c r="E847" t="s">
        <v>35</v>
      </c>
      <c r="F847" t="s">
        <v>36</v>
      </c>
      <c r="G847" t="str">
        <f>"2026-03-03 15:51:24.027"</f>
        <v>2026-03-03 15:51:24.027</v>
      </c>
      <c r="H847" t="s">
        <v>22</v>
      </c>
      <c r="I847">
        <v>0</v>
      </c>
      <c r="J847" t="s">
        <v>23</v>
      </c>
    </row>
    <row r="848" spans="1:10" x14ac:dyDescent="0.25">
      <c r="A848" s="1">
        <v>51</v>
      </c>
      <c r="B848" t="s">
        <v>28</v>
      </c>
      <c r="C848">
        <v>706</v>
      </c>
      <c r="D848">
        <v>4</v>
      </c>
      <c r="E848" t="s">
        <v>35</v>
      </c>
      <c r="F848" t="s">
        <v>36</v>
      </c>
      <c r="G848" t="str">
        <f>"2026-03-03 13:38:23.517"</f>
        <v>2026-03-03 13:38:23.517</v>
      </c>
      <c r="H848" t="s">
        <v>22</v>
      </c>
      <c r="I848">
        <v>0</v>
      </c>
      <c r="J848" t="s">
        <v>23</v>
      </c>
    </row>
    <row r="849" spans="1:10" x14ac:dyDescent="0.25">
      <c r="A849" s="1">
        <v>52</v>
      </c>
      <c r="B849" t="s">
        <v>37</v>
      </c>
      <c r="C849">
        <v>635</v>
      </c>
      <c r="D849">
        <v>1</v>
      </c>
      <c r="E849" t="s">
        <v>53</v>
      </c>
      <c r="F849" t="s">
        <v>48</v>
      </c>
      <c r="G849" t="str">
        <f>"2026-03-03 04:18:39.805"</f>
        <v>2026-03-03 04:18:39.805</v>
      </c>
      <c r="H849" t="s">
        <v>22</v>
      </c>
    </row>
    <row r="850" spans="1:10" x14ac:dyDescent="0.25">
      <c r="A850" s="1">
        <v>53</v>
      </c>
      <c r="B850" t="s">
        <v>19</v>
      </c>
      <c r="C850">
        <v>635</v>
      </c>
      <c r="D850">
        <v>1</v>
      </c>
      <c r="E850" t="s">
        <v>53</v>
      </c>
      <c r="F850" t="s">
        <v>48</v>
      </c>
      <c r="G850" t="str">
        <f>"2026-03-03 04:14:41.805"</f>
        <v>2026-03-03 04:14:41.805</v>
      </c>
      <c r="H850" t="s">
        <v>22</v>
      </c>
      <c r="I850">
        <v>5.27</v>
      </c>
      <c r="J850" t="s">
        <v>50</v>
      </c>
    </row>
    <row r="851" spans="1:10" x14ac:dyDescent="0.25">
      <c r="A851" s="1">
        <v>55</v>
      </c>
      <c r="B851" t="s">
        <v>28</v>
      </c>
      <c r="C851">
        <v>706</v>
      </c>
      <c r="D851">
        <v>4</v>
      </c>
      <c r="E851" t="s">
        <v>35</v>
      </c>
      <c r="F851" t="s">
        <v>36</v>
      </c>
      <c r="G851" t="str">
        <f>"2026-03-02 09:57:19.867"</f>
        <v>2026-03-02 09:57:19.867</v>
      </c>
      <c r="H851" t="s">
        <v>22</v>
      </c>
      <c r="I851">
        <v>0</v>
      </c>
      <c r="J851" t="s">
        <v>23</v>
      </c>
    </row>
    <row r="852" spans="1:10" x14ac:dyDescent="0.25">
      <c r="A852" s="1">
        <v>56</v>
      </c>
      <c r="B852" t="s">
        <v>28</v>
      </c>
      <c r="C852">
        <v>700</v>
      </c>
      <c r="D852">
        <v>0</v>
      </c>
      <c r="E852" t="s">
        <v>34</v>
      </c>
      <c r="F852" t="s">
        <v>34</v>
      </c>
      <c r="G852" t="str">
        <f>"2026-03-01 10:41:58.477"</f>
        <v>2026-03-01 10:41:58.477</v>
      </c>
      <c r="H852" t="s">
        <v>22</v>
      </c>
      <c r="I852">
        <v>0</v>
      </c>
      <c r="J852" t="s">
        <v>46</v>
      </c>
    </row>
    <row r="853" spans="1:10" s="3" customFormat="1" x14ac:dyDescent="0.25">
      <c r="A853" s="2">
        <v>57</v>
      </c>
      <c r="B853" s="3" t="s">
        <v>37</v>
      </c>
      <c r="C853" s="3">
        <v>647</v>
      </c>
      <c r="D853" s="3">
        <v>1</v>
      </c>
      <c r="E853" s="3" t="s">
        <v>43</v>
      </c>
      <c r="F853" s="3" t="s">
        <v>44</v>
      </c>
      <c r="G853" s="3" t="str">
        <f>"2026-02-28 05:10:17.956"</f>
        <v>2026-02-28 05:10:17.956</v>
      </c>
      <c r="H853" s="3" t="s">
        <v>22</v>
      </c>
    </row>
    <row r="854" spans="1:10" s="3" customFormat="1" x14ac:dyDescent="0.25">
      <c r="A854" s="2">
        <v>58</v>
      </c>
      <c r="B854" s="3" t="s">
        <v>19</v>
      </c>
      <c r="C854" s="3">
        <v>647</v>
      </c>
      <c r="D854" s="3">
        <v>1</v>
      </c>
      <c r="E854" s="3" t="s">
        <v>43</v>
      </c>
      <c r="F854" s="3" t="s">
        <v>44</v>
      </c>
      <c r="G854" s="3" t="str">
        <f>"2026-02-28 05:10:15.456"</f>
        <v>2026-02-28 05:10:15.456</v>
      </c>
      <c r="H854" s="3" t="s">
        <v>22</v>
      </c>
      <c r="I854" s="3">
        <v>16</v>
      </c>
      <c r="J854" s="3" t="s">
        <v>45</v>
      </c>
    </row>
    <row r="855" spans="1:10" s="3" customFormat="1" x14ac:dyDescent="0.25">
      <c r="A855" s="2">
        <v>59</v>
      </c>
      <c r="B855" s="3" t="s">
        <v>37</v>
      </c>
      <c r="C855" s="3">
        <v>647</v>
      </c>
      <c r="D855" s="3">
        <v>1</v>
      </c>
      <c r="E855" s="3" t="s">
        <v>43</v>
      </c>
      <c r="F855" s="3" t="s">
        <v>44</v>
      </c>
      <c r="G855" s="3" t="str">
        <f>"2026-02-28 03:47:31.156"</f>
        <v>2026-02-28 03:47:31.156</v>
      </c>
      <c r="H855" s="3" t="s">
        <v>22</v>
      </c>
    </row>
    <row r="856" spans="1:10" s="3" customFormat="1" x14ac:dyDescent="0.25">
      <c r="A856" s="2">
        <v>60</v>
      </c>
      <c r="B856" s="3" t="s">
        <v>19</v>
      </c>
      <c r="C856" s="3">
        <v>647</v>
      </c>
      <c r="D856" s="3">
        <v>1</v>
      </c>
      <c r="E856" s="3" t="s">
        <v>43</v>
      </c>
      <c r="F856" s="3" t="s">
        <v>44</v>
      </c>
      <c r="G856" s="3" t="str">
        <f>"2026-02-28 03:47:28.056"</f>
        <v>2026-02-28 03:47:28.056</v>
      </c>
      <c r="H856" s="3" t="s">
        <v>22</v>
      </c>
      <c r="I856" s="3">
        <v>16.89</v>
      </c>
      <c r="J856" s="3" t="s">
        <v>45</v>
      </c>
    </row>
    <row r="857" spans="1:10" x14ac:dyDescent="0.25">
      <c r="A857" s="1">
        <v>61</v>
      </c>
      <c r="B857" t="s">
        <v>28</v>
      </c>
      <c r="C857">
        <v>706</v>
      </c>
      <c r="D857">
        <v>2</v>
      </c>
      <c r="E857" t="s">
        <v>35</v>
      </c>
      <c r="F857" t="s">
        <v>42</v>
      </c>
      <c r="G857" t="str">
        <f>"2026-02-28 02:59:49.694"</f>
        <v>2026-02-28 02:59:49.694</v>
      </c>
      <c r="H857" t="s">
        <v>22</v>
      </c>
      <c r="I857">
        <v>0</v>
      </c>
      <c r="J857" t="s">
        <v>23</v>
      </c>
    </row>
    <row r="858" spans="1:10" x14ac:dyDescent="0.25">
      <c r="A858" s="1">
        <v>62</v>
      </c>
      <c r="B858" t="s">
        <v>28</v>
      </c>
      <c r="C858">
        <v>700</v>
      </c>
      <c r="D858">
        <v>0</v>
      </c>
      <c r="E858" t="s">
        <v>34</v>
      </c>
      <c r="F858" t="s">
        <v>34</v>
      </c>
      <c r="G858" t="str">
        <f>"2026-02-28 02:47:25.514"</f>
        <v>2026-02-28 02:47:25.514</v>
      </c>
      <c r="H858" t="s">
        <v>22</v>
      </c>
    </row>
    <row r="859" spans="1:10" x14ac:dyDescent="0.25">
      <c r="A859" s="1">
        <v>63</v>
      </c>
      <c r="B859" t="s">
        <v>28</v>
      </c>
      <c r="C859">
        <v>700</v>
      </c>
      <c r="D859">
        <v>0</v>
      </c>
      <c r="E859" t="s">
        <v>34</v>
      </c>
      <c r="F859" t="s">
        <v>34</v>
      </c>
      <c r="G859" t="str">
        <f>"2026-02-27 21:25:45.555"</f>
        <v>2026-02-27 21:25:45.555</v>
      </c>
      <c r="H859" t="s">
        <v>22</v>
      </c>
      <c r="I859">
        <v>0</v>
      </c>
      <c r="J859" t="s">
        <v>46</v>
      </c>
    </row>
    <row r="860" spans="1:10" x14ac:dyDescent="0.25">
      <c r="A860" s="1">
        <v>64</v>
      </c>
      <c r="B860" t="s">
        <v>28</v>
      </c>
      <c r="C860">
        <v>706</v>
      </c>
      <c r="D860">
        <v>2</v>
      </c>
      <c r="E860" t="s">
        <v>35</v>
      </c>
      <c r="F860" t="s">
        <v>42</v>
      </c>
      <c r="G860" t="str">
        <f>"2026-02-26 10:41:39.343"</f>
        <v>2026-02-26 10:41:39.343</v>
      </c>
      <c r="H860" t="s">
        <v>22</v>
      </c>
      <c r="I860">
        <v>0</v>
      </c>
      <c r="J860" t="s">
        <v>23</v>
      </c>
    </row>
    <row r="861" spans="1:10" x14ac:dyDescent="0.25">
      <c r="A861" s="1">
        <v>65</v>
      </c>
      <c r="B861" t="s">
        <v>28</v>
      </c>
      <c r="C861">
        <v>700</v>
      </c>
      <c r="D861">
        <v>0</v>
      </c>
      <c r="E861" t="s">
        <v>34</v>
      </c>
      <c r="F861" t="s">
        <v>34</v>
      </c>
      <c r="G861" t="str">
        <f>"2026-02-26 09:17:57.433"</f>
        <v>2026-02-26 09:17:57.433</v>
      </c>
      <c r="H861" t="s">
        <v>22</v>
      </c>
    </row>
    <row r="862" spans="1:10" x14ac:dyDescent="0.25">
      <c r="A862" s="1">
        <v>66</v>
      </c>
      <c r="B862" t="s">
        <v>28</v>
      </c>
      <c r="C862">
        <v>700</v>
      </c>
      <c r="D862">
        <v>0</v>
      </c>
      <c r="E862" t="s">
        <v>34</v>
      </c>
      <c r="F862" t="s">
        <v>34</v>
      </c>
      <c r="G862" t="str">
        <f>"2026-02-26 09:14:39.411"</f>
        <v>2026-02-26 09:14:39.411</v>
      </c>
      <c r="H862" t="s">
        <v>22</v>
      </c>
    </row>
    <row r="863" spans="1:10" x14ac:dyDescent="0.25">
      <c r="A863" s="1">
        <v>67</v>
      </c>
      <c r="B863" t="s">
        <v>37</v>
      </c>
      <c r="C863">
        <v>635</v>
      </c>
      <c r="D863">
        <v>1</v>
      </c>
      <c r="E863" t="s">
        <v>53</v>
      </c>
      <c r="F863" t="s">
        <v>48</v>
      </c>
      <c r="G863" t="str">
        <f>"2026-02-26 03:44:51.343"</f>
        <v>2026-02-26 03:44:51.343</v>
      </c>
      <c r="H863" t="s">
        <v>22</v>
      </c>
    </row>
    <row r="864" spans="1:10" x14ac:dyDescent="0.25">
      <c r="A864" s="1">
        <v>68</v>
      </c>
      <c r="B864" t="s">
        <v>19</v>
      </c>
      <c r="C864">
        <v>635</v>
      </c>
      <c r="D864">
        <v>1</v>
      </c>
      <c r="E864" t="s">
        <v>53</v>
      </c>
      <c r="F864" t="s">
        <v>48</v>
      </c>
      <c r="G864" t="str">
        <f>"2026-02-26 03:38:13.343"</f>
        <v>2026-02-26 03:38:13.343</v>
      </c>
      <c r="H864" t="s">
        <v>22</v>
      </c>
      <c r="I864">
        <v>3.01</v>
      </c>
      <c r="J864" t="s">
        <v>45</v>
      </c>
    </row>
    <row r="865" spans="1:10" x14ac:dyDescent="0.25">
      <c r="A865" s="1">
        <v>69</v>
      </c>
      <c r="B865" t="s">
        <v>28</v>
      </c>
      <c r="C865">
        <v>706</v>
      </c>
      <c r="D865">
        <v>4</v>
      </c>
      <c r="E865" t="s">
        <v>35</v>
      </c>
      <c r="F865" t="s">
        <v>36</v>
      </c>
      <c r="G865" t="str">
        <f>"2026-02-25 12:35:07.186"</f>
        <v>2026-02-25 12:35:07.186</v>
      </c>
      <c r="H865" t="s">
        <v>22</v>
      </c>
      <c r="I865">
        <v>0</v>
      </c>
      <c r="J865" t="s">
        <v>23</v>
      </c>
    </row>
    <row r="866" spans="1:10" x14ac:dyDescent="0.25">
      <c r="A866" s="1">
        <v>70</v>
      </c>
      <c r="B866" t="s">
        <v>28</v>
      </c>
      <c r="C866">
        <v>706</v>
      </c>
      <c r="D866">
        <v>4</v>
      </c>
      <c r="E866" t="s">
        <v>35</v>
      </c>
      <c r="F866" t="s">
        <v>36</v>
      </c>
      <c r="G866" t="str">
        <f>"2026-02-25 12:11:53.036"</f>
        <v>2026-02-25 12:11:53.036</v>
      </c>
      <c r="H866" t="s">
        <v>22</v>
      </c>
      <c r="I866">
        <v>0</v>
      </c>
      <c r="J866" t="s">
        <v>23</v>
      </c>
    </row>
    <row r="867" spans="1:10" s="3" customFormat="1" x14ac:dyDescent="0.25">
      <c r="A867" s="2">
        <v>71</v>
      </c>
      <c r="B867" s="3" t="s">
        <v>37</v>
      </c>
      <c r="C867" s="3">
        <v>647</v>
      </c>
      <c r="D867" s="3">
        <v>1</v>
      </c>
      <c r="E867" s="3" t="s">
        <v>43</v>
      </c>
      <c r="F867" s="3" t="s">
        <v>44</v>
      </c>
      <c r="G867" s="3" t="str">
        <f>"2026-02-25 00:54:54.697"</f>
        <v>2026-02-25 00:54:54.697</v>
      </c>
      <c r="H867" s="3" t="s">
        <v>22</v>
      </c>
    </row>
    <row r="868" spans="1:10" s="3" customFormat="1" x14ac:dyDescent="0.25">
      <c r="A868" s="2">
        <v>72</v>
      </c>
      <c r="B868" s="3" t="s">
        <v>19</v>
      </c>
      <c r="C868" s="3">
        <v>647</v>
      </c>
      <c r="D868" s="3">
        <v>1</v>
      </c>
      <c r="E868" s="3" t="s">
        <v>43</v>
      </c>
      <c r="F868" s="3" t="s">
        <v>44</v>
      </c>
      <c r="G868" s="3" t="str">
        <f>"2026-02-25 00:54:41.697"</f>
        <v>2026-02-25 00:54:41.697</v>
      </c>
      <c r="H868" s="3" t="s">
        <v>22</v>
      </c>
      <c r="I868" s="3">
        <v>9.8699999999999992</v>
      </c>
      <c r="J868" s="3" t="s">
        <v>45</v>
      </c>
    </row>
    <row r="869" spans="1:10" s="3" customFormat="1" x14ac:dyDescent="0.25">
      <c r="A869" s="2">
        <v>73</v>
      </c>
      <c r="B869" s="3" t="s">
        <v>37</v>
      </c>
      <c r="C869" s="3">
        <v>647</v>
      </c>
      <c r="D869" s="3">
        <v>1</v>
      </c>
      <c r="E869" s="3" t="s">
        <v>43</v>
      </c>
      <c r="F869" s="3" t="s">
        <v>44</v>
      </c>
      <c r="G869" s="3" t="str">
        <f>"2026-02-24 22:16:49.597"</f>
        <v>2026-02-24 22:16:49.597</v>
      </c>
      <c r="H869" s="3" t="s">
        <v>22</v>
      </c>
    </row>
    <row r="870" spans="1:10" s="3" customFormat="1" x14ac:dyDescent="0.25">
      <c r="A870" s="2">
        <v>74</v>
      </c>
      <c r="B870" s="3" t="s">
        <v>19</v>
      </c>
      <c r="C870" s="3">
        <v>647</v>
      </c>
      <c r="D870" s="3">
        <v>1</v>
      </c>
      <c r="E870" s="3" t="s">
        <v>43</v>
      </c>
      <c r="F870" s="3" t="s">
        <v>44</v>
      </c>
      <c r="G870" s="3" t="str">
        <f>"2026-02-24 22:16:46.397"</f>
        <v>2026-02-24 22:16:46.397</v>
      </c>
      <c r="H870" s="3" t="s">
        <v>22</v>
      </c>
      <c r="I870" s="3">
        <v>9.6</v>
      </c>
      <c r="J870" s="3" t="s">
        <v>50</v>
      </c>
    </row>
    <row r="871" spans="1:10" x14ac:dyDescent="0.25">
      <c r="A871" s="1">
        <v>75</v>
      </c>
      <c r="B871" t="s">
        <v>28</v>
      </c>
      <c r="C871">
        <v>706</v>
      </c>
      <c r="D871">
        <v>4</v>
      </c>
      <c r="E871" t="s">
        <v>35</v>
      </c>
      <c r="F871" t="s">
        <v>36</v>
      </c>
      <c r="G871" t="str">
        <f>"2026-02-24 11:08:18.986"</f>
        <v>2026-02-24 11:08:18.986</v>
      </c>
      <c r="H871" t="s">
        <v>22</v>
      </c>
      <c r="I871">
        <v>0</v>
      </c>
      <c r="J871" t="s">
        <v>23</v>
      </c>
    </row>
    <row r="872" spans="1:10" x14ac:dyDescent="0.25">
      <c r="A872" s="1">
        <v>76</v>
      </c>
      <c r="B872" t="s">
        <v>37</v>
      </c>
      <c r="C872">
        <v>635</v>
      </c>
      <c r="D872">
        <v>1</v>
      </c>
      <c r="E872" t="s">
        <v>53</v>
      </c>
      <c r="F872" t="s">
        <v>48</v>
      </c>
      <c r="G872" t="str">
        <f>"2026-02-23 23:48:06.143"</f>
        <v>2026-02-23 23:48:06.143</v>
      </c>
      <c r="H872" t="s">
        <v>22</v>
      </c>
    </row>
    <row r="873" spans="1:10" x14ac:dyDescent="0.25">
      <c r="A873" s="1">
        <v>77</v>
      </c>
      <c r="B873" t="s">
        <v>19</v>
      </c>
      <c r="C873">
        <v>635</v>
      </c>
      <c r="D873">
        <v>1</v>
      </c>
      <c r="E873" t="s">
        <v>53</v>
      </c>
      <c r="F873" t="s">
        <v>48</v>
      </c>
      <c r="G873" t="str">
        <f>"2026-02-23 23:43:16.643"</f>
        <v>2026-02-23 23:43:16.643</v>
      </c>
      <c r="H873" t="s">
        <v>22</v>
      </c>
      <c r="I873">
        <v>0</v>
      </c>
      <c r="J873" t="s">
        <v>54</v>
      </c>
    </row>
    <row r="874" spans="1:10" x14ac:dyDescent="0.25">
      <c r="A874" s="1">
        <v>78</v>
      </c>
      <c r="B874" t="s">
        <v>28</v>
      </c>
      <c r="C874">
        <v>706</v>
      </c>
      <c r="D874">
        <v>4</v>
      </c>
      <c r="E874" t="s">
        <v>35</v>
      </c>
      <c r="F874" t="s">
        <v>36</v>
      </c>
      <c r="G874" t="str">
        <f>"2026-02-23 10:23:33.876"</f>
        <v>2026-02-23 10:23:33.876</v>
      </c>
      <c r="H874" t="s">
        <v>22</v>
      </c>
      <c r="I874">
        <v>0</v>
      </c>
      <c r="J874" t="s">
        <v>23</v>
      </c>
    </row>
    <row r="875" spans="1:10" x14ac:dyDescent="0.25">
      <c r="A875" s="1">
        <v>79</v>
      </c>
      <c r="B875" t="s">
        <v>37</v>
      </c>
      <c r="C875">
        <v>635</v>
      </c>
      <c r="D875">
        <v>1</v>
      </c>
      <c r="E875" t="s">
        <v>53</v>
      </c>
      <c r="F875" t="s">
        <v>48</v>
      </c>
      <c r="G875" t="str">
        <f>"2026-02-23 02:56:20.643"</f>
        <v>2026-02-23 02:56:20.643</v>
      </c>
      <c r="H875" t="s">
        <v>22</v>
      </c>
    </row>
    <row r="876" spans="1:10" x14ac:dyDescent="0.25">
      <c r="A876" s="1">
        <v>80</v>
      </c>
      <c r="B876" t="s">
        <v>19</v>
      </c>
      <c r="C876">
        <v>635</v>
      </c>
      <c r="D876">
        <v>1</v>
      </c>
      <c r="E876" t="s">
        <v>53</v>
      </c>
      <c r="F876" t="s">
        <v>48</v>
      </c>
      <c r="G876" t="str">
        <f>"2026-02-23 02:52:33.243"</f>
        <v>2026-02-23 02:52:33.243</v>
      </c>
      <c r="H876" t="s">
        <v>22</v>
      </c>
      <c r="I876">
        <v>0</v>
      </c>
      <c r="J876" t="s">
        <v>50</v>
      </c>
    </row>
    <row r="877" spans="1:10" x14ac:dyDescent="0.25">
      <c r="A877" s="1">
        <v>81</v>
      </c>
      <c r="B877" t="s">
        <v>28</v>
      </c>
      <c r="C877">
        <v>706</v>
      </c>
      <c r="D877">
        <v>2</v>
      </c>
      <c r="E877" t="s">
        <v>35</v>
      </c>
      <c r="F877" t="s">
        <v>42</v>
      </c>
      <c r="G877" t="str">
        <f>"2026-02-22 08:20:01.706"</f>
        <v>2026-02-22 08:20:01.706</v>
      </c>
      <c r="H877" t="s">
        <v>22</v>
      </c>
      <c r="I877">
        <v>0</v>
      </c>
      <c r="J877" t="s">
        <v>23</v>
      </c>
    </row>
    <row r="878" spans="1:10" x14ac:dyDescent="0.25">
      <c r="A878" s="1">
        <v>82</v>
      </c>
      <c r="B878" t="s">
        <v>28</v>
      </c>
      <c r="C878">
        <v>706</v>
      </c>
      <c r="D878">
        <v>2</v>
      </c>
      <c r="E878" t="s">
        <v>35</v>
      </c>
      <c r="F878" t="s">
        <v>42</v>
      </c>
      <c r="G878" t="str">
        <f>"2026-02-22 08:15:59.106"</f>
        <v>2026-02-22 08:15:59.106</v>
      </c>
      <c r="H878" t="s">
        <v>22</v>
      </c>
      <c r="I878">
        <v>0</v>
      </c>
      <c r="J878" t="s">
        <v>23</v>
      </c>
    </row>
    <row r="879" spans="1:10" x14ac:dyDescent="0.25">
      <c r="A879" s="1">
        <v>83</v>
      </c>
      <c r="B879" t="s">
        <v>28</v>
      </c>
      <c r="C879">
        <v>706</v>
      </c>
      <c r="D879">
        <v>2</v>
      </c>
      <c r="E879" t="s">
        <v>35</v>
      </c>
      <c r="F879" t="s">
        <v>42</v>
      </c>
      <c r="G879" t="str">
        <f>"2026-02-22 08:15:04.906"</f>
        <v>2026-02-22 08:15:04.906</v>
      </c>
      <c r="H879" t="s">
        <v>22</v>
      </c>
      <c r="I879">
        <v>0</v>
      </c>
      <c r="J879" t="s">
        <v>23</v>
      </c>
    </row>
    <row r="880" spans="1:10" x14ac:dyDescent="0.25">
      <c r="A880" s="1">
        <v>84</v>
      </c>
      <c r="B880" t="s">
        <v>28</v>
      </c>
      <c r="C880">
        <v>700</v>
      </c>
      <c r="D880">
        <v>0</v>
      </c>
      <c r="E880" t="s">
        <v>34</v>
      </c>
      <c r="F880" t="s">
        <v>34</v>
      </c>
      <c r="G880" t="str">
        <f>"2026-02-22 08:14:35.406"</f>
        <v>2026-02-22 08:14:35.406</v>
      </c>
      <c r="H880" t="s">
        <v>22</v>
      </c>
      <c r="I880">
        <v>0</v>
      </c>
      <c r="J880" t="s">
        <v>46</v>
      </c>
    </row>
    <row r="881" spans="1:10" x14ac:dyDescent="0.25">
      <c r="A881" s="1">
        <v>85</v>
      </c>
      <c r="B881" t="s">
        <v>28</v>
      </c>
      <c r="C881">
        <v>706</v>
      </c>
      <c r="D881">
        <v>2</v>
      </c>
      <c r="E881" t="s">
        <v>35</v>
      </c>
      <c r="F881" t="s">
        <v>42</v>
      </c>
      <c r="G881" t="str">
        <f>"2026-02-22 03:48:16.125"</f>
        <v>2026-02-22 03:48:16.125</v>
      </c>
      <c r="H881" t="s">
        <v>22</v>
      </c>
      <c r="I881">
        <v>0</v>
      </c>
      <c r="J881" t="s">
        <v>23</v>
      </c>
    </row>
    <row r="882" spans="1:10" x14ac:dyDescent="0.25">
      <c r="A882" s="1">
        <v>86</v>
      </c>
      <c r="B882" t="s">
        <v>28</v>
      </c>
      <c r="C882">
        <v>700</v>
      </c>
      <c r="D882">
        <v>0</v>
      </c>
      <c r="E882" t="s">
        <v>34</v>
      </c>
      <c r="F882" t="s">
        <v>34</v>
      </c>
      <c r="G882" t="str">
        <f>"2026-02-22 03:28:00.415"</f>
        <v>2026-02-22 03:28:00.415</v>
      </c>
      <c r="H882" t="s">
        <v>22</v>
      </c>
      <c r="I882">
        <v>0</v>
      </c>
      <c r="J882" t="s">
        <v>46</v>
      </c>
    </row>
    <row r="883" spans="1:10" x14ac:dyDescent="0.25">
      <c r="A883" s="1">
        <v>87</v>
      </c>
      <c r="B883" t="s">
        <v>28</v>
      </c>
      <c r="C883">
        <v>700</v>
      </c>
      <c r="D883">
        <v>0</v>
      </c>
      <c r="E883" t="s">
        <v>34</v>
      </c>
      <c r="F883" t="s">
        <v>34</v>
      </c>
      <c r="G883" t="str">
        <f>"2026-02-22 02:19:36.420"</f>
        <v>2026-02-22 02:19:36.420</v>
      </c>
      <c r="H883" t="s">
        <v>22</v>
      </c>
      <c r="I883">
        <v>0</v>
      </c>
      <c r="J883" t="s">
        <v>46</v>
      </c>
    </row>
    <row r="884" spans="1:10" x14ac:dyDescent="0.25">
      <c r="A884" s="1">
        <v>88</v>
      </c>
      <c r="B884" t="s">
        <v>28</v>
      </c>
      <c r="C884">
        <v>706</v>
      </c>
      <c r="D884">
        <v>2</v>
      </c>
      <c r="E884" t="s">
        <v>35</v>
      </c>
      <c r="F884" t="s">
        <v>42</v>
      </c>
      <c r="G884" t="str">
        <f>"2026-02-21 14:13:42.018"</f>
        <v>2026-02-21 14:13:42.018</v>
      </c>
      <c r="H884" t="s">
        <v>22</v>
      </c>
      <c r="I884">
        <v>0</v>
      </c>
      <c r="J884" t="s">
        <v>23</v>
      </c>
    </row>
    <row r="885" spans="1:10" s="3" customFormat="1" x14ac:dyDescent="0.25">
      <c r="A885" s="2">
        <v>89</v>
      </c>
      <c r="B885" s="3" t="s">
        <v>37</v>
      </c>
      <c r="C885" s="3">
        <v>647</v>
      </c>
      <c r="D885" s="3">
        <v>1</v>
      </c>
      <c r="E885" s="3" t="s">
        <v>43</v>
      </c>
      <c r="F885" s="3" t="s">
        <v>44</v>
      </c>
      <c r="G885" s="3" t="str">
        <f>"2026-02-21 02:07:01.060"</f>
        <v>2026-02-21 02:07:01.060</v>
      </c>
      <c r="H885" s="3" t="s">
        <v>22</v>
      </c>
    </row>
    <row r="886" spans="1:10" s="3" customFormat="1" x14ac:dyDescent="0.25">
      <c r="A886" s="2">
        <v>90</v>
      </c>
      <c r="B886" s="3" t="s">
        <v>19</v>
      </c>
      <c r="C886" s="3">
        <v>647</v>
      </c>
      <c r="D886" s="3">
        <v>1</v>
      </c>
      <c r="E886" s="3" t="s">
        <v>43</v>
      </c>
      <c r="F886" s="3" t="s">
        <v>44</v>
      </c>
      <c r="G886" s="3" t="str">
        <f>"2026-02-21 02:06:58.560"</f>
        <v>2026-02-21 02:06:58.560</v>
      </c>
      <c r="H886" s="3" t="s">
        <v>22</v>
      </c>
      <c r="I886" s="3">
        <v>10.5</v>
      </c>
      <c r="J886" s="3" t="s">
        <v>50</v>
      </c>
    </row>
    <row r="887" spans="1:10" x14ac:dyDescent="0.25">
      <c r="A887" s="1">
        <v>91</v>
      </c>
      <c r="B887" t="s">
        <v>28</v>
      </c>
      <c r="C887">
        <v>706</v>
      </c>
      <c r="D887">
        <v>4</v>
      </c>
      <c r="E887" t="s">
        <v>35</v>
      </c>
      <c r="F887" t="s">
        <v>36</v>
      </c>
      <c r="G887" t="str">
        <f>"2026-02-20 13:48:32.407"</f>
        <v>2026-02-20 13:48:32.407</v>
      </c>
      <c r="H887" t="s">
        <v>22</v>
      </c>
      <c r="I887">
        <v>0</v>
      </c>
      <c r="J887" t="s">
        <v>23</v>
      </c>
    </row>
    <row r="888" spans="1:10" s="3" customFormat="1" x14ac:dyDescent="0.25">
      <c r="A888" s="2">
        <v>92</v>
      </c>
      <c r="B888" s="3" t="s">
        <v>37</v>
      </c>
      <c r="C888" s="3">
        <v>647</v>
      </c>
      <c r="D888" s="3">
        <v>1</v>
      </c>
      <c r="E888" s="3" t="s">
        <v>43</v>
      </c>
      <c r="F888" s="3" t="s">
        <v>44</v>
      </c>
      <c r="G888" s="3" t="str">
        <f>"2026-02-19 23:04:05.260"</f>
        <v>2026-02-19 23:04:05.260</v>
      </c>
      <c r="H888" s="3" t="s">
        <v>22</v>
      </c>
    </row>
    <row r="889" spans="1:10" s="3" customFormat="1" x14ac:dyDescent="0.25">
      <c r="A889" s="2">
        <v>93</v>
      </c>
      <c r="B889" s="3" t="s">
        <v>19</v>
      </c>
      <c r="C889" s="3">
        <v>647</v>
      </c>
      <c r="D889" s="3">
        <v>1</v>
      </c>
      <c r="E889" s="3" t="s">
        <v>43</v>
      </c>
      <c r="F889" s="3" t="s">
        <v>44</v>
      </c>
      <c r="G889" s="3" t="str">
        <f>"2026-02-19 23:03:55.960"</f>
        <v>2026-02-19 23:03:55.960</v>
      </c>
      <c r="H889" s="3" t="s">
        <v>22</v>
      </c>
      <c r="I889" s="3">
        <v>9.34</v>
      </c>
      <c r="J889" s="3" t="s">
        <v>50</v>
      </c>
    </row>
    <row r="890" spans="1:10" x14ac:dyDescent="0.25">
      <c r="A890" s="1">
        <v>94</v>
      </c>
      <c r="B890" t="s">
        <v>28</v>
      </c>
      <c r="C890">
        <v>706</v>
      </c>
      <c r="D890">
        <v>2</v>
      </c>
      <c r="E890" t="s">
        <v>35</v>
      </c>
      <c r="F890" t="s">
        <v>42</v>
      </c>
      <c r="G890" t="str">
        <f>"2026-02-19 13:10:53.118"</f>
        <v>2026-02-19 13:10:53.118</v>
      </c>
      <c r="H890" t="s">
        <v>22</v>
      </c>
      <c r="I890">
        <v>0</v>
      </c>
      <c r="J890" t="s">
        <v>23</v>
      </c>
    </row>
    <row r="891" spans="1:10" s="3" customFormat="1" x14ac:dyDescent="0.25">
      <c r="A891" s="2">
        <v>95</v>
      </c>
      <c r="B891" s="3" t="s">
        <v>37</v>
      </c>
      <c r="C891" s="3">
        <v>647</v>
      </c>
      <c r="D891" s="3">
        <v>1</v>
      </c>
      <c r="E891" s="3" t="s">
        <v>43</v>
      </c>
      <c r="F891" s="3" t="s">
        <v>44</v>
      </c>
      <c r="G891" s="3" t="str">
        <f>"2026-02-18 21:52:58.360"</f>
        <v>2026-02-18 21:52:58.360</v>
      </c>
      <c r="H891" s="3" t="s">
        <v>22</v>
      </c>
    </row>
    <row r="892" spans="1:10" s="3" customFormat="1" x14ac:dyDescent="0.25">
      <c r="A892" s="2">
        <v>96</v>
      </c>
      <c r="B892" s="3" t="s">
        <v>19</v>
      </c>
      <c r="C892" s="3">
        <v>647</v>
      </c>
      <c r="D892" s="3">
        <v>1</v>
      </c>
      <c r="E892" s="3" t="s">
        <v>43</v>
      </c>
      <c r="F892" s="3" t="s">
        <v>44</v>
      </c>
      <c r="G892" s="3" t="str">
        <f>"2026-02-18 21:52:56.060"</f>
        <v>2026-02-18 21:52:56.060</v>
      </c>
      <c r="H892" s="3" t="s">
        <v>22</v>
      </c>
      <c r="I892" s="3">
        <v>8.44</v>
      </c>
      <c r="J892" s="3" t="s">
        <v>45</v>
      </c>
    </row>
    <row r="893" spans="1:10" s="3" customFormat="1" x14ac:dyDescent="0.25">
      <c r="A893" s="2">
        <v>97</v>
      </c>
      <c r="B893" s="3" t="s">
        <v>37</v>
      </c>
      <c r="C893" s="3">
        <v>647</v>
      </c>
      <c r="D893" s="3">
        <v>1</v>
      </c>
      <c r="E893" s="3" t="s">
        <v>43</v>
      </c>
      <c r="F893" s="3" t="s">
        <v>44</v>
      </c>
      <c r="G893" s="3" t="str">
        <f>"2026-02-18 21:52:08.060"</f>
        <v>2026-02-18 21:52:08.060</v>
      </c>
      <c r="H893" s="3" t="s">
        <v>22</v>
      </c>
    </row>
    <row r="894" spans="1:10" s="3" customFormat="1" x14ac:dyDescent="0.25">
      <c r="A894" s="2">
        <v>98</v>
      </c>
      <c r="B894" s="3" t="s">
        <v>19</v>
      </c>
      <c r="C894" s="3">
        <v>647</v>
      </c>
      <c r="D894" s="3">
        <v>1</v>
      </c>
      <c r="E894" s="3" t="s">
        <v>43</v>
      </c>
      <c r="F894" s="3" t="s">
        <v>44</v>
      </c>
      <c r="G894" s="3" t="str">
        <f>"2026-02-18 21:51:34.660"</f>
        <v>2026-02-18 21:51:34.660</v>
      </c>
      <c r="H894" s="3" t="s">
        <v>22</v>
      </c>
      <c r="I894" s="3">
        <v>9.06</v>
      </c>
      <c r="J894" s="3" t="s">
        <v>45</v>
      </c>
    </row>
    <row r="895" spans="1:10" s="3" customFormat="1" x14ac:dyDescent="0.25">
      <c r="A895" s="2">
        <v>99</v>
      </c>
      <c r="B895" s="3" t="s">
        <v>37</v>
      </c>
      <c r="C895" s="3">
        <v>647</v>
      </c>
      <c r="D895" s="3">
        <v>1</v>
      </c>
      <c r="E895" s="3" t="s">
        <v>43</v>
      </c>
      <c r="F895" s="3" t="s">
        <v>44</v>
      </c>
      <c r="G895" s="3" t="str">
        <f>"2026-02-18 21:50:39.160"</f>
        <v>2026-02-18 21:50:39.160</v>
      </c>
      <c r="H895" s="3" t="s">
        <v>22</v>
      </c>
    </row>
    <row r="896" spans="1:10" s="3" customFormat="1" x14ac:dyDescent="0.25">
      <c r="A896" s="2">
        <v>0</v>
      </c>
      <c r="B896" s="3" t="s">
        <v>19</v>
      </c>
      <c r="C896" s="3">
        <v>647</v>
      </c>
      <c r="D896" s="3">
        <v>1</v>
      </c>
      <c r="E896" s="3" t="s">
        <v>43</v>
      </c>
      <c r="F896" s="3" t="s">
        <v>44</v>
      </c>
      <c r="G896" s="3" t="str">
        <f>"2026-02-18 21:50:28.260"</f>
        <v>2026-02-18 21:50:28.260</v>
      </c>
      <c r="H896" s="3" t="s">
        <v>22</v>
      </c>
      <c r="I896" s="3">
        <v>8.5500000000000007</v>
      </c>
      <c r="J896" s="3" t="s">
        <v>45</v>
      </c>
    </row>
    <row r="897" spans="1:10" x14ac:dyDescent="0.25">
      <c r="A897" s="1">
        <v>1</v>
      </c>
      <c r="B897" t="s">
        <v>28</v>
      </c>
      <c r="C897">
        <v>700</v>
      </c>
      <c r="D897">
        <v>0</v>
      </c>
      <c r="E897" t="s">
        <v>34</v>
      </c>
      <c r="F897" t="s">
        <v>34</v>
      </c>
      <c r="G897" t="str">
        <f>"2026-02-18 17:55:22.408"</f>
        <v>2026-02-18 17:55:22.408</v>
      </c>
      <c r="H897" t="s">
        <v>22</v>
      </c>
    </row>
    <row r="898" spans="1:10" x14ac:dyDescent="0.25">
      <c r="A898" s="1">
        <v>2</v>
      </c>
      <c r="B898" t="s">
        <v>37</v>
      </c>
      <c r="C898">
        <v>635</v>
      </c>
      <c r="D898">
        <v>1</v>
      </c>
      <c r="E898" t="s">
        <v>53</v>
      </c>
      <c r="F898" t="s">
        <v>48</v>
      </c>
      <c r="G898" t="str">
        <f>"2026-02-18 02:38:53.641"</f>
        <v>2026-02-18 02:38:53.641</v>
      </c>
      <c r="H898" t="s">
        <v>22</v>
      </c>
    </row>
    <row r="899" spans="1:10" x14ac:dyDescent="0.25">
      <c r="A899" s="1">
        <v>3</v>
      </c>
      <c r="B899" t="s">
        <v>19</v>
      </c>
      <c r="C899">
        <v>635</v>
      </c>
      <c r="D899">
        <v>1</v>
      </c>
      <c r="E899" t="s">
        <v>53</v>
      </c>
      <c r="F899" t="s">
        <v>48</v>
      </c>
      <c r="G899" t="str">
        <f>"2026-02-18 02:32:46.142"</f>
        <v>2026-02-18 02:32:46.142</v>
      </c>
      <c r="H899" t="s">
        <v>22</v>
      </c>
      <c r="I899">
        <v>4.1500000000000004</v>
      </c>
      <c r="J899" t="s">
        <v>45</v>
      </c>
    </row>
    <row r="900" spans="1:10" x14ac:dyDescent="0.25">
      <c r="A900" s="1">
        <v>4</v>
      </c>
      <c r="B900" t="s">
        <v>28</v>
      </c>
      <c r="C900">
        <v>700</v>
      </c>
      <c r="D900">
        <v>0</v>
      </c>
      <c r="E900" t="s">
        <v>34</v>
      </c>
      <c r="F900" t="s">
        <v>34</v>
      </c>
      <c r="G900" t="str">
        <f>"2026-02-17 07:53:09.439"</f>
        <v>2026-02-17 07:53:09.439</v>
      </c>
      <c r="H900" t="s">
        <v>22</v>
      </c>
      <c r="I900">
        <v>0</v>
      </c>
      <c r="J900" t="s">
        <v>46</v>
      </c>
    </row>
    <row r="901" spans="1:10" x14ac:dyDescent="0.25">
      <c r="A901" s="1">
        <v>5</v>
      </c>
      <c r="B901" t="s">
        <v>37</v>
      </c>
      <c r="C901">
        <v>635</v>
      </c>
      <c r="D901">
        <v>1</v>
      </c>
      <c r="E901" t="s">
        <v>53</v>
      </c>
      <c r="F901" t="s">
        <v>48</v>
      </c>
      <c r="G901" t="str">
        <f>"2026-02-17 03:17:07.275"</f>
        <v>2026-02-17 03:17:07.275</v>
      </c>
      <c r="H901" t="s">
        <v>22</v>
      </c>
    </row>
    <row r="902" spans="1:10" x14ac:dyDescent="0.25">
      <c r="A902" s="1">
        <v>6</v>
      </c>
      <c r="B902" t="s">
        <v>19</v>
      </c>
      <c r="C902">
        <v>635</v>
      </c>
      <c r="D902">
        <v>1</v>
      </c>
      <c r="E902" t="s">
        <v>53</v>
      </c>
      <c r="F902" t="s">
        <v>48</v>
      </c>
      <c r="G902" t="str">
        <f>"2026-02-17 03:10:22.775"</f>
        <v>2026-02-17 03:10:22.775</v>
      </c>
      <c r="H902" t="s">
        <v>22</v>
      </c>
      <c r="I902">
        <v>4.6900000000000004</v>
      </c>
      <c r="J902" t="s">
        <v>45</v>
      </c>
    </row>
    <row r="903" spans="1:10" x14ac:dyDescent="0.25">
      <c r="A903" s="1">
        <v>7</v>
      </c>
      <c r="B903" t="s">
        <v>28</v>
      </c>
      <c r="C903">
        <v>706</v>
      </c>
      <c r="D903">
        <v>4</v>
      </c>
      <c r="E903" t="s">
        <v>35</v>
      </c>
      <c r="F903" t="s">
        <v>36</v>
      </c>
      <c r="G903" t="str">
        <f>"2026-02-16 23:02:47.285"</f>
        <v>2026-02-16 23:02:47.285</v>
      </c>
      <c r="H903" t="s">
        <v>22</v>
      </c>
      <c r="I903">
        <v>0</v>
      </c>
      <c r="J903" t="s">
        <v>23</v>
      </c>
    </row>
    <row r="904" spans="1:10" x14ac:dyDescent="0.25">
      <c r="A904" s="1">
        <v>8</v>
      </c>
      <c r="B904" t="s">
        <v>37</v>
      </c>
      <c r="C904">
        <v>635</v>
      </c>
      <c r="D904">
        <v>1</v>
      </c>
      <c r="E904" t="s">
        <v>53</v>
      </c>
      <c r="F904" t="s">
        <v>48</v>
      </c>
      <c r="G904" t="str">
        <f>"2026-02-16 17:19:17.975"</f>
        <v>2026-02-16 17:19:17.975</v>
      </c>
      <c r="H904" t="s">
        <v>22</v>
      </c>
    </row>
    <row r="905" spans="1:10" x14ac:dyDescent="0.25">
      <c r="A905" s="1">
        <v>9</v>
      </c>
      <c r="B905" t="s">
        <v>19</v>
      </c>
      <c r="C905">
        <v>635</v>
      </c>
      <c r="D905">
        <v>1</v>
      </c>
      <c r="E905" t="s">
        <v>53</v>
      </c>
      <c r="F905" t="s">
        <v>48</v>
      </c>
      <c r="G905" t="str">
        <f>"2026-02-16 17:14:21.075"</f>
        <v>2026-02-16 17:14:21.075</v>
      </c>
      <c r="H905" t="s">
        <v>22</v>
      </c>
      <c r="I905">
        <v>3.77</v>
      </c>
      <c r="J905" t="s">
        <v>45</v>
      </c>
    </row>
    <row r="906" spans="1:10" x14ac:dyDescent="0.25">
      <c r="A906" s="1">
        <v>10</v>
      </c>
      <c r="B906" t="s">
        <v>37</v>
      </c>
      <c r="C906">
        <v>635</v>
      </c>
      <c r="D906">
        <v>1</v>
      </c>
      <c r="E906" t="s">
        <v>53</v>
      </c>
      <c r="F906" t="s">
        <v>48</v>
      </c>
      <c r="G906" t="str">
        <f>"2026-02-16 12:38:22.075"</f>
        <v>2026-02-16 12:38:22.075</v>
      </c>
      <c r="H906" t="s">
        <v>22</v>
      </c>
    </row>
    <row r="907" spans="1:10" x14ac:dyDescent="0.25">
      <c r="A907" s="1">
        <v>11</v>
      </c>
      <c r="B907" t="s">
        <v>19</v>
      </c>
      <c r="C907">
        <v>635</v>
      </c>
      <c r="D907">
        <v>1</v>
      </c>
      <c r="E907" t="s">
        <v>53</v>
      </c>
      <c r="F907" t="s">
        <v>48</v>
      </c>
      <c r="G907" t="str">
        <f>"2026-02-16 12:22:58.175"</f>
        <v>2026-02-16 12:22:58.175</v>
      </c>
      <c r="H907" t="s">
        <v>22</v>
      </c>
      <c r="I907">
        <v>1.25</v>
      </c>
      <c r="J907" t="s">
        <v>54</v>
      </c>
    </row>
    <row r="908" spans="1:10" x14ac:dyDescent="0.25">
      <c r="A908" s="1">
        <v>12</v>
      </c>
      <c r="B908" t="s">
        <v>37</v>
      </c>
      <c r="C908">
        <v>635</v>
      </c>
      <c r="D908">
        <v>1</v>
      </c>
      <c r="E908" t="s">
        <v>53</v>
      </c>
      <c r="F908" t="s">
        <v>48</v>
      </c>
      <c r="G908" t="str">
        <f>"2026-02-16 10:33:12.375"</f>
        <v>2026-02-16 10:33:12.375</v>
      </c>
      <c r="H908" t="s">
        <v>22</v>
      </c>
    </row>
    <row r="909" spans="1:10" x14ac:dyDescent="0.25">
      <c r="A909" s="1">
        <v>13</v>
      </c>
      <c r="B909" t="s">
        <v>19</v>
      </c>
      <c r="C909">
        <v>635</v>
      </c>
      <c r="D909">
        <v>1</v>
      </c>
      <c r="E909" t="s">
        <v>53</v>
      </c>
      <c r="F909" t="s">
        <v>48</v>
      </c>
      <c r="G909" t="str">
        <f>"2026-02-16 10:23:24.875"</f>
        <v>2026-02-16 10:23:24.875</v>
      </c>
      <c r="H909" t="s">
        <v>22</v>
      </c>
      <c r="I909">
        <v>3.77</v>
      </c>
      <c r="J909" t="s">
        <v>54</v>
      </c>
    </row>
    <row r="910" spans="1:10" x14ac:dyDescent="0.25">
      <c r="A910" s="1">
        <v>14</v>
      </c>
      <c r="B910" t="s">
        <v>28</v>
      </c>
      <c r="C910">
        <v>700</v>
      </c>
      <c r="D910">
        <v>0</v>
      </c>
      <c r="E910" t="s">
        <v>34</v>
      </c>
      <c r="F910" t="s">
        <v>34</v>
      </c>
      <c r="G910" t="str">
        <f>"2026-02-15 13:20:11.435"</f>
        <v>2026-02-15 13:20:11.435</v>
      </c>
      <c r="H910" t="s">
        <v>22</v>
      </c>
      <c r="I910">
        <v>0</v>
      </c>
      <c r="J910" t="s">
        <v>46</v>
      </c>
    </row>
    <row r="911" spans="1:10" x14ac:dyDescent="0.25">
      <c r="A911" s="1">
        <v>15</v>
      </c>
      <c r="B911" t="s">
        <v>28</v>
      </c>
      <c r="C911">
        <v>706</v>
      </c>
      <c r="D911">
        <v>2</v>
      </c>
      <c r="E911" t="s">
        <v>35</v>
      </c>
      <c r="F911" t="s">
        <v>42</v>
      </c>
      <c r="G911" t="str">
        <f>"2026-02-14 21:21:23.752"</f>
        <v>2026-02-14 21:21:23.752</v>
      </c>
      <c r="H911" t="s">
        <v>22</v>
      </c>
      <c r="I911">
        <v>0</v>
      </c>
      <c r="J911" t="s">
        <v>23</v>
      </c>
    </row>
    <row r="912" spans="1:10" x14ac:dyDescent="0.25">
      <c r="A912" s="1">
        <v>16</v>
      </c>
      <c r="B912" t="s">
        <v>28</v>
      </c>
      <c r="C912">
        <v>700</v>
      </c>
      <c r="D912">
        <v>0</v>
      </c>
      <c r="E912" t="s">
        <v>34</v>
      </c>
      <c r="F912" t="s">
        <v>34</v>
      </c>
      <c r="G912" t="str">
        <f>"2026-02-14 19:47:07.472"</f>
        <v>2026-02-14 19:47:07.472</v>
      </c>
      <c r="H912" t="s">
        <v>22</v>
      </c>
      <c r="I912">
        <v>0</v>
      </c>
      <c r="J912" t="s">
        <v>46</v>
      </c>
    </row>
    <row r="913" spans="1:10" x14ac:dyDescent="0.25">
      <c r="A913" s="1">
        <v>17</v>
      </c>
      <c r="B913" t="s">
        <v>28</v>
      </c>
      <c r="C913">
        <v>706</v>
      </c>
      <c r="D913">
        <v>4</v>
      </c>
      <c r="E913" t="s">
        <v>35</v>
      </c>
      <c r="F913" t="s">
        <v>36</v>
      </c>
      <c r="G913" t="str">
        <f>"2026-02-13 20:16:19.785"</f>
        <v>2026-02-13 20:16:19.785</v>
      </c>
      <c r="H913" t="s">
        <v>22</v>
      </c>
      <c r="I913">
        <v>0</v>
      </c>
      <c r="J913" t="s">
        <v>23</v>
      </c>
    </row>
    <row r="914" spans="1:10" x14ac:dyDescent="0.25">
      <c r="A914" s="1">
        <v>18</v>
      </c>
      <c r="B914" t="s">
        <v>28</v>
      </c>
      <c r="C914">
        <v>706</v>
      </c>
      <c r="D914">
        <v>4</v>
      </c>
      <c r="E914" t="s">
        <v>35</v>
      </c>
      <c r="F914" t="s">
        <v>36</v>
      </c>
      <c r="G914" t="str">
        <f>"2026-02-12 23:17:01.875"</f>
        <v>2026-02-12 23:17:01.875</v>
      </c>
      <c r="H914" t="s">
        <v>22</v>
      </c>
      <c r="I914">
        <v>0</v>
      </c>
      <c r="J914" t="s">
        <v>23</v>
      </c>
    </row>
    <row r="915" spans="1:10" x14ac:dyDescent="0.25">
      <c r="A915" s="1">
        <v>19</v>
      </c>
      <c r="B915" t="s">
        <v>28</v>
      </c>
      <c r="C915">
        <v>700</v>
      </c>
      <c r="D915">
        <v>0</v>
      </c>
      <c r="E915" t="s">
        <v>34</v>
      </c>
      <c r="F915" t="s">
        <v>34</v>
      </c>
      <c r="G915" t="str">
        <f>"2026-02-12 17:02:23.395"</f>
        <v>2026-02-12 17:02:23.395</v>
      </c>
      <c r="H915" t="s">
        <v>22</v>
      </c>
    </row>
    <row r="916" spans="1:10" x14ac:dyDescent="0.25">
      <c r="A916" s="1">
        <v>20</v>
      </c>
      <c r="B916" t="s">
        <v>28</v>
      </c>
      <c r="C916">
        <v>700</v>
      </c>
      <c r="D916">
        <v>0</v>
      </c>
      <c r="E916" t="s">
        <v>34</v>
      </c>
      <c r="F916" t="s">
        <v>34</v>
      </c>
      <c r="G916" t="str">
        <f>"2026-02-12 12:28:08.420"</f>
        <v>2026-02-12 12:28:08.420</v>
      </c>
      <c r="H916" t="s">
        <v>22</v>
      </c>
    </row>
    <row r="917" spans="1:10" x14ac:dyDescent="0.25">
      <c r="A917" s="1">
        <v>21</v>
      </c>
      <c r="B917" t="s">
        <v>28</v>
      </c>
      <c r="C917">
        <v>700</v>
      </c>
      <c r="D917">
        <v>0</v>
      </c>
      <c r="E917" t="s">
        <v>34</v>
      </c>
      <c r="F917" t="s">
        <v>34</v>
      </c>
      <c r="G917" t="str">
        <f>"2026-02-12 01:50:17.387"</f>
        <v>2026-02-12 01:50:17.387</v>
      </c>
      <c r="H917" t="s">
        <v>22</v>
      </c>
    </row>
    <row r="918" spans="1:10" x14ac:dyDescent="0.25">
      <c r="A918" s="1">
        <v>22</v>
      </c>
      <c r="B918" t="s">
        <v>28</v>
      </c>
      <c r="C918">
        <v>700</v>
      </c>
      <c r="D918">
        <v>0</v>
      </c>
      <c r="E918" t="s">
        <v>34</v>
      </c>
      <c r="F918" t="s">
        <v>34</v>
      </c>
      <c r="G918" t="str">
        <f>"2026-02-12 01:39:16.490"</f>
        <v>2026-02-12 01:39:16.490</v>
      </c>
      <c r="H918" t="s">
        <v>22</v>
      </c>
      <c r="I918">
        <v>0</v>
      </c>
      <c r="J918" t="s">
        <v>46</v>
      </c>
    </row>
    <row r="919" spans="1:10" x14ac:dyDescent="0.25">
      <c r="A919" s="1">
        <v>23</v>
      </c>
      <c r="B919" t="s">
        <v>28</v>
      </c>
      <c r="C919">
        <v>706</v>
      </c>
      <c r="D919">
        <v>4</v>
      </c>
      <c r="E919" t="s">
        <v>35</v>
      </c>
      <c r="F919" t="s">
        <v>36</v>
      </c>
      <c r="G919" t="str">
        <f>"2026-02-12 01:37:16.655"</f>
        <v>2026-02-12 01:37:16.655</v>
      </c>
      <c r="H919" t="s">
        <v>22</v>
      </c>
      <c r="I919">
        <v>0</v>
      </c>
      <c r="J919" t="s">
        <v>23</v>
      </c>
    </row>
    <row r="920" spans="1:10" x14ac:dyDescent="0.25">
      <c r="A920" s="1">
        <v>24</v>
      </c>
      <c r="B920" t="s">
        <v>28</v>
      </c>
      <c r="C920">
        <v>700</v>
      </c>
      <c r="D920">
        <v>0</v>
      </c>
      <c r="E920" t="s">
        <v>34</v>
      </c>
      <c r="F920" t="s">
        <v>34</v>
      </c>
      <c r="G920" t="str">
        <f>"2026-02-12 01:32:37.395"</f>
        <v>2026-02-12 01:32:37.395</v>
      </c>
      <c r="H920" t="s">
        <v>22</v>
      </c>
    </row>
    <row r="921" spans="1:10" x14ac:dyDescent="0.25">
      <c r="A921" s="1">
        <v>25</v>
      </c>
      <c r="B921" t="s">
        <v>28</v>
      </c>
      <c r="C921">
        <v>700</v>
      </c>
      <c r="D921">
        <v>0</v>
      </c>
      <c r="E921" t="s">
        <v>34</v>
      </c>
      <c r="F921" t="s">
        <v>34</v>
      </c>
      <c r="G921" t="str">
        <f>"2026-02-12 00:15:54.478"</f>
        <v>2026-02-12 00:15:54.478</v>
      </c>
      <c r="H921" t="s">
        <v>22</v>
      </c>
      <c r="I921">
        <v>0</v>
      </c>
      <c r="J921" t="s">
        <v>46</v>
      </c>
    </row>
    <row r="922" spans="1:10" x14ac:dyDescent="0.25">
      <c r="A922" s="1">
        <v>26</v>
      </c>
      <c r="B922" t="s">
        <v>37</v>
      </c>
      <c r="C922">
        <v>635</v>
      </c>
      <c r="D922">
        <v>1</v>
      </c>
      <c r="E922" t="s">
        <v>53</v>
      </c>
      <c r="F922" t="s">
        <v>48</v>
      </c>
      <c r="G922" t="str">
        <f>"2026-02-11 15:34:45.181"</f>
        <v>2026-02-11 15:34:45.181</v>
      </c>
      <c r="H922" t="s">
        <v>22</v>
      </c>
    </row>
    <row r="923" spans="1:10" x14ac:dyDescent="0.25">
      <c r="A923" s="1">
        <v>27</v>
      </c>
      <c r="B923" t="s">
        <v>19</v>
      </c>
      <c r="C923">
        <v>635</v>
      </c>
      <c r="D923">
        <v>1</v>
      </c>
      <c r="E923" t="s">
        <v>53</v>
      </c>
      <c r="F923" t="s">
        <v>48</v>
      </c>
      <c r="G923" t="str">
        <f>"2026-02-11 15:22:50.181"</f>
        <v>2026-02-11 15:22:50.181</v>
      </c>
      <c r="H923" t="s">
        <v>22</v>
      </c>
      <c r="I923">
        <v>0.86</v>
      </c>
      <c r="J923" t="s">
        <v>50</v>
      </c>
    </row>
    <row r="924" spans="1:10" x14ac:dyDescent="0.25">
      <c r="A924" s="1">
        <v>28</v>
      </c>
      <c r="B924" t="s">
        <v>28</v>
      </c>
      <c r="C924">
        <v>700</v>
      </c>
      <c r="D924">
        <v>0</v>
      </c>
      <c r="E924" t="s">
        <v>34</v>
      </c>
      <c r="F924" t="s">
        <v>34</v>
      </c>
      <c r="G924" t="str">
        <f>"2026-02-11 13:09:09.430"</f>
        <v>2026-02-11 13:09:09.430</v>
      </c>
      <c r="H924" t="s">
        <v>22</v>
      </c>
      <c r="I924">
        <v>0</v>
      </c>
      <c r="J924" t="s">
        <v>46</v>
      </c>
    </row>
    <row r="925" spans="1:10" x14ac:dyDescent="0.25">
      <c r="A925" s="1">
        <v>29</v>
      </c>
      <c r="B925" t="s">
        <v>28</v>
      </c>
      <c r="C925">
        <v>700</v>
      </c>
      <c r="D925">
        <v>0</v>
      </c>
      <c r="E925" t="s">
        <v>34</v>
      </c>
      <c r="F925" t="s">
        <v>34</v>
      </c>
      <c r="G925" t="str">
        <f>"2026-02-11 07:54:59.410"</f>
        <v>2026-02-11 07:54:59.410</v>
      </c>
      <c r="H925" t="s">
        <v>22</v>
      </c>
    </row>
    <row r="926" spans="1:10" x14ac:dyDescent="0.25">
      <c r="A926" s="1">
        <v>30</v>
      </c>
      <c r="B926" t="s">
        <v>37</v>
      </c>
      <c r="C926">
        <v>635</v>
      </c>
      <c r="D926">
        <v>1</v>
      </c>
      <c r="E926" t="s">
        <v>53</v>
      </c>
      <c r="F926" t="s">
        <v>48</v>
      </c>
      <c r="G926" t="str">
        <f>"2026-02-11 03:50:55.615"</f>
        <v>2026-02-11 03:50:55.615</v>
      </c>
      <c r="H926" t="s">
        <v>22</v>
      </c>
    </row>
    <row r="927" spans="1:10" x14ac:dyDescent="0.25">
      <c r="A927" s="1">
        <v>31</v>
      </c>
      <c r="B927" t="s">
        <v>19</v>
      </c>
      <c r="C927">
        <v>635</v>
      </c>
      <c r="D927">
        <v>1</v>
      </c>
      <c r="E927" t="s">
        <v>53</v>
      </c>
      <c r="F927" t="s">
        <v>48</v>
      </c>
      <c r="G927" t="str">
        <f>"2026-02-11 03:46:28.715"</f>
        <v>2026-02-11 03:46:28.715</v>
      </c>
      <c r="H927" t="s">
        <v>22</v>
      </c>
      <c r="I927">
        <v>10.18</v>
      </c>
      <c r="J927" t="s">
        <v>45</v>
      </c>
    </row>
    <row r="928" spans="1:10" x14ac:dyDescent="0.25">
      <c r="A928" s="1">
        <v>32</v>
      </c>
      <c r="B928" t="s">
        <v>28</v>
      </c>
      <c r="C928">
        <v>700</v>
      </c>
      <c r="D928">
        <v>0</v>
      </c>
      <c r="E928" t="s">
        <v>34</v>
      </c>
      <c r="F928" t="s">
        <v>34</v>
      </c>
      <c r="G928" t="str">
        <f>"2026-02-10 21:25:52.406"</f>
        <v>2026-02-10 21:25:52.406</v>
      </c>
      <c r="H928" t="s">
        <v>22</v>
      </c>
    </row>
    <row r="929" spans="1:10" x14ac:dyDescent="0.25">
      <c r="A929" s="1">
        <v>33</v>
      </c>
      <c r="B929" t="s">
        <v>28</v>
      </c>
      <c r="C929">
        <v>700</v>
      </c>
      <c r="D929">
        <v>0</v>
      </c>
      <c r="E929" t="s">
        <v>34</v>
      </c>
      <c r="F929" t="s">
        <v>34</v>
      </c>
      <c r="G929" t="str">
        <f>"2026-02-10 08:17:56.473"</f>
        <v>2026-02-10 08:17:56.473</v>
      </c>
      <c r="H929" t="s">
        <v>22</v>
      </c>
      <c r="I929">
        <v>0</v>
      </c>
      <c r="J929" t="s">
        <v>46</v>
      </c>
    </row>
    <row r="930" spans="1:10" x14ac:dyDescent="0.25">
      <c r="A930" s="1">
        <v>34</v>
      </c>
      <c r="B930" t="s">
        <v>37</v>
      </c>
      <c r="C930">
        <v>635</v>
      </c>
      <c r="D930">
        <v>1</v>
      </c>
      <c r="E930" t="s">
        <v>53</v>
      </c>
      <c r="F930" t="s">
        <v>48</v>
      </c>
      <c r="G930" t="str">
        <f>"2026-02-09 22:50:03.357"</f>
        <v>2026-02-09 22:50:03.357</v>
      </c>
      <c r="H930" t="s">
        <v>22</v>
      </c>
    </row>
    <row r="931" spans="1:10" x14ac:dyDescent="0.25">
      <c r="A931" s="1">
        <v>35</v>
      </c>
      <c r="B931" t="s">
        <v>19</v>
      </c>
      <c r="C931">
        <v>635</v>
      </c>
      <c r="D931">
        <v>1</v>
      </c>
      <c r="E931" t="s">
        <v>53</v>
      </c>
      <c r="F931" t="s">
        <v>48</v>
      </c>
      <c r="G931" t="str">
        <f>"2026-02-09 22:47:33.857"</f>
        <v>2026-02-09 22:47:33.857</v>
      </c>
      <c r="H931" t="s">
        <v>22</v>
      </c>
      <c r="I931">
        <v>1.44</v>
      </c>
      <c r="J931" t="s">
        <v>45</v>
      </c>
    </row>
    <row r="932" spans="1:10" x14ac:dyDescent="0.25">
      <c r="A932" s="1">
        <v>36</v>
      </c>
      <c r="B932" t="s">
        <v>37</v>
      </c>
      <c r="C932">
        <v>635</v>
      </c>
      <c r="D932">
        <v>1</v>
      </c>
      <c r="E932" t="s">
        <v>53</v>
      </c>
      <c r="F932" t="s">
        <v>48</v>
      </c>
      <c r="G932" t="str">
        <f>"2026-02-09 15:51:58.757"</f>
        <v>2026-02-09 15:51:58.757</v>
      </c>
      <c r="H932" t="s">
        <v>22</v>
      </c>
    </row>
    <row r="933" spans="1:10" x14ac:dyDescent="0.25">
      <c r="A933" s="1">
        <v>37</v>
      </c>
      <c r="B933" t="s">
        <v>19</v>
      </c>
      <c r="C933">
        <v>635</v>
      </c>
      <c r="D933">
        <v>1</v>
      </c>
      <c r="E933" t="s">
        <v>53</v>
      </c>
      <c r="F933" t="s">
        <v>48</v>
      </c>
      <c r="G933" t="str">
        <f>"2026-02-09 15:47:18.757"</f>
        <v>2026-02-09 15:47:18.757</v>
      </c>
      <c r="H933" t="s">
        <v>22</v>
      </c>
      <c r="I933">
        <v>7.95</v>
      </c>
      <c r="J933" t="s">
        <v>54</v>
      </c>
    </row>
    <row r="934" spans="1:10" x14ac:dyDescent="0.25">
      <c r="A934" s="1">
        <v>38</v>
      </c>
      <c r="B934" t="s">
        <v>28</v>
      </c>
      <c r="C934">
        <v>700</v>
      </c>
      <c r="D934">
        <v>0</v>
      </c>
      <c r="E934" t="s">
        <v>34</v>
      </c>
      <c r="F934" t="s">
        <v>34</v>
      </c>
      <c r="G934" t="str">
        <f>"2026-02-09 09:56:32.410"</f>
        <v>2026-02-09 09:56:32.410</v>
      </c>
      <c r="H934" t="s">
        <v>22</v>
      </c>
      <c r="I934">
        <v>0</v>
      </c>
      <c r="J934" t="s">
        <v>46</v>
      </c>
    </row>
    <row r="935" spans="1:10" x14ac:dyDescent="0.25">
      <c r="A935" s="1">
        <v>39</v>
      </c>
      <c r="B935" t="s">
        <v>37</v>
      </c>
      <c r="C935">
        <v>635</v>
      </c>
      <c r="D935">
        <v>1</v>
      </c>
      <c r="E935" t="s">
        <v>53</v>
      </c>
      <c r="F935" t="s">
        <v>48</v>
      </c>
      <c r="G935" t="str">
        <f>"2026-02-08 23:00:55.584"</f>
        <v>2026-02-08 23:00:55.584</v>
      </c>
      <c r="H935" t="s">
        <v>22</v>
      </c>
    </row>
    <row r="936" spans="1:10" x14ac:dyDescent="0.25">
      <c r="A936" s="1">
        <v>40</v>
      </c>
      <c r="B936" t="s">
        <v>19</v>
      </c>
      <c r="C936">
        <v>635</v>
      </c>
      <c r="D936">
        <v>1</v>
      </c>
      <c r="E936" t="s">
        <v>53</v>
      </c>
      <c r="F936" t="s">
        <v>48</v>
      </c>
      <c r="G936" t="str">
        <f>"2026-02-08 22:55:32.684"</f>
        <v>2026-02-08 22:55:32.684</v>
      </c>
      <c r="H936" t="s">
        <v>22</v>
      </c>
      <c r="I936">
        <v>1.55</v>
      </c>
      <c r="J936" t="s">
        <v>54</v>
      </c>
    </row>
    <row r="937" spans="1:10" x14ac:dyDescent="0.25">
      <c r="A937" s="1">
        <v>41</v>
      </c>
      <c r="B937" t="s">
        <v>28</v>
      </c>
      <c r="C937">
        <v>706</v>
      </c>
      <c r="D937">
        <v>4</v>
      </c>
      <c r="E937" t="s">
        <v>35</v>
      </c>
      <c r="F937" t="s">
        <v>36</v>
      </c>
      <c r="G937" t="str">
        <f>"2026-02-08 20:32:17.554"</f>
        <v>2026-02-08 20:32:17.554</v>
      </c>
      <c r="H937" t="s">
        <v>22</v>
      </c>
      <c r="I937">
        <v>0</v>
      </c>
      <c r="J937" t="s">
        <v>23</v>
      </c>
    </row>
    <row r="938" spans="1:10" x14ac:dyDescent="0.25">
      <c r="A938" s="1">
        <v>42</v>
      </c>
      <c r="B938" t="s">
        <v>28</v>
      </c>
      <c r="C938">
        <v>700</v>
      </c>
      <c r="D938">
        <v>0</v>
      </c>
      <c r="E938" t="s">
        <v>34</v>
      </c>
      <c r="F938" t="s">
        <v>34</v>
      </c>
      <c r="G938" t="str">
        <f>"2026-02-07 08:13:37.424"</f>
        <v>2026-02-07 08:13:37.424</v>
      </c>
      <c r="H938" t="s">
        <v>22</v>
      </c>
    </row>
    <row r="939" spans="1:10" x14ac:dyDescent="0.25">
      <c r="A939" s="1">
        <v>43</v>
      </c>
      <c r="B939" t="s">
        <v>28</v>
      </c>
      <c r="C939">
        <v>700</v>
      </c>
      <c r="D939">
        <v>0</v>
      </c>
      <c r="E939" t="s">
        <v>34</v>
      </c>
      <c r="F939" t="s">
        <v>34</v>
      </c>
      <c r="G939" t="str">
        <f>"2026-02-06 21:46:00.412"</f>
        <v>2026-02-06 21:46:00.412</v>
      </c>
      <c r="H939" t="s">
        <v>22</v>
      </c>
    </row>
    <row r="940" spans="1:10" x14ac:dyDescent="0.25">
      <c r="A940" s="1">
        <v>44</v>
      </c>
      <c r="B940" t="s">
        <v>28</v>
      </c>
      <c r="C940">
        <v>706</v>
      </c>
      <c r="D940">
        <v>2</v>
      </c>
      <c r="E940" t="s">
        <v>35</v>
      </c>
      <c r="F940" t="s">
        <v>42</v>
      </c>
      <c r="G940" t="str">
        <f>"2026-02-05 22:38:44.657"</f>
        <v>2026-02-05 22:38:44.657</v>
      </c>
      <c r="H940" t="s">
        <v>22</v>
      </c>
      <c r="I940">
        <v>0</v>
      </c>
      <c r="J940" t="s">
        <v>23</v>
      </c>
    </row>
    <row r="941" spans="1:10" x14ac:dyDescent="0.25">
      <c r="A941" s="1">
        <v>45</v>
      </c>
      <c r="B941" t="s">
        <v>28</v>
      </c>
      <c r="C941">
        <v>700</v>
      </c>
      <c r="D941">
        <v>0</v>
      </c>
      <c r="E941" t="s">
        <v>34</v>
      </c>
      <c r="F941" t="s">
        <v>34</v>
      </c>
      <c r="G941" t="str">
        <f>"2026-02-05 22:30:02.507"</f>
        <v>2026-02-05 22:30:02.507</v>
      </c>
      <c r="H941" t="s">
        <v>22</v>
      </c>
      <c r="I941">
        <v>0</v>
      </c>
      <c r="J941" t="s">
        <v>46</v>
      </c>
    </row>
    <row r="942" spans="1:10" x14ac:dyDescent="0.25">
      <c r="A942" s="1">
        <v>46</v>
      </c>
      <c r="B942" t="s">
        <v>37</v>
      </c>
      <c r="C942">
        <v>635</v>
      </c>
      <c r="D942">
        <v>1</v>
      </c>
      <c r="E942" t="s">
        <v>53</v>
      </c>
      <c r="F942" t="s">
        <v>48</v>
      </c>
      <c r="G942" t="str">
        <f>"2026-02-05 11:42:15.021"</f>
        <v>2026-02-05 11:42:15.021</v>
      </c>
      <c r="H942" t="s">
        <v>22</v>
      </c>
    </row>
    <row r="943" spans="1:10" x14ac:dyDescent="0.25">
      <c r="A943" s="1">
        <v>47</v>
      </c>
      <c r="B943" t="s">
        <v>19</v>
      </c>
      <c r="C943">
        <v>635</v>
      </c>
      <c r="D943">
        <v>1</v>
      </c>
      <c r="E943" t="s">
        <v>53</v>
      </c>
      <c r="F943" t="s">
        <v>48</v>
      </c>
      <c r="G943" t="str">
        <f>"2026-02-05 11:39:49.521"</f>
        <v>2026-02-05 11:39:49.521</v>
      </c>
      <c r="H943" t="s">
        <v>22</v>
      </c>
      <c r="I943">
        <v>7.52</v>
      </c>
      <c r="J943" t="s">
        <v>54</v>
      </c>
    </row>
    <row r="944" spans="1:10" x14ac:dyDescent="0.25">
      <c r="A944" s="1">
        <v>48</v>
      </c>
      <c r="B944" t="s">
        <v>28</v>
      </c>
      <c r="C944">
        <v>706</v>
      </c>
      <c r="D944">
        <v>4</v>
      </c>
      <c r="E944" t="s">
        <v>35</v>
      </c>
      <c r="F944" t="s">
        <v>36</v>
      </c>
      <c r="G944" t="str">
        <f>"2026-02-04 22:43:30.293"</f>
        <v>2026-02-04 22:43:30.293</v>
      </c>
      <c r="H944" t="s">
        <v>22</v>
      </c>
      <c r="I944">
        <v>0</v>
      </c>
      <c r="J944" t="s">
        <v>23</v>
      </c>
    </row>
    <row r="945" spans="1:10" x14ac:dyDescent="0.25">
      <c r="A945" s="1">
        <v>49</v>
      </c>
      <c r="B945" t="s">
        <v>28</v>
      </c>
      <c r="C945">
        <v>700</v>
      </c>
      <c r="D945">
        <v>0</v>
      </c>
      <c r="E945" t="s">
        <v>34</v>
      </c>
      <c r="F945" t="s">
        <v>34</v>
      </c>
      <c r="G945" t="str">
        <f>"2026-02-04 12:40:20.373"</f>
        <v>2026-02-04 12:40:20.373</v>
      </c>
      <c r="H945" t="s">
        <v>22</v>
      </c>
      <c r="I945">
        <v>0</v>
      </c>
      <c r="J945" t="s">
        <v>46</v>
      </c>
    </row>
    <row r="946" spans="1:10" x14ac:dyDescent="0.25">
      <c r="A946" s="1">
        <v>50</v>
      </c>
      <c r="B946" t="s">
        <v>37</v>
      </c>
      <c r="C946">
        <v>635</v>
      </c>
      <c r="D946">
        <v>1</v>
      </c>
      <c r="E946" t="s">
        <v>53</v>
      </c>
      <c r="F946" t="s">
        <v>48</v>
      </c>
      <c r="G946" t="str">
        <f>"2026-02-04 08:28:42.153"</f>
        <v>2026-02-04 08:28:42.153</v>
      </c>
      <c r="H946" t="s">
        <v>22</v>
      </c>
    </row>
    <row r="947" spans="1:10" x14ac:dyDescent="0.25">
      <c r="A947" s="1">
        <v>51</v>
      </c>
      <c r="B947" t="s">
        <v>19</v>
      </c>
      <c r="C947">
        <v>635</v>
      </c>
      <c r="D947">
        <v>1</v>
      </c>
      <c r="E947" t="s">
        <v>53</v>
      </c>
      <c r="F947" t="s">
        <v>48</v>
      </c>
      <c r="G947" t="str">
        <f>"2026-02-04 08:24:37.653"</f>
        <v>2026-02-04 08:24:37.653</v>
      </c>
      <c r="H947" t="s">
        <v>22</v>
      </c>
      <c r="I947">
        <v>7.48</v>
      </c>
      <c r="J947" t="s">
        <v>54</v>
      </c>
    </row>
    <row r="948" spans="1:10" x14ac:dyDescent="0.25">
      <c r="A948" s="1">
        <v>52</v>
      </c>
      <c r="B948" t="s">
        <v>28</v>
      </c>
      <c r="C948">
        <v>706</v>
      </c>
      <c r="D948">
        <v>4</v>
      </c>
      <c r="E948" t="s">
        <v>35</v>
      </c>
      <c r="F948" t="s">
        <v>36</v>
      </c>
      <c r="G948" t="str">
        <f>"2026-02-03 23:16:55.085"</f>
        <v>2026-02-03 23:16:55.085</v>
      </c>
      <c r="H948" t="s">
        <v>22</v>
      </c>
      <c r="I948">
        <v>0</v>
      </c>
      <c r="J948" t="s">
        <v>23</v>
      </c>
    </row>
    <row r="949" spans="1:10" x14ac:dyDescent="0.25">
      <c r="A949" s="1">
        <v>53</v>
      </c>
      <c r="B949" t="s">
        <v>28</v>
      </c>
      <c r="C949">
        <v>700</v>
      </c>
      <c r="D949">
        <v>0</v>
      </c>
      <c r="E949" t="s">
        <v>34</v>
      </c>
      <c r="F949" t="s">
        <v>34</v>
      </c>
      <c r="G949" t="str">
        <f>"2026-02-03 13:50:37.395"</f>
        <v>2026-02-03 13:50:37.395</v>
      </c>
      <c r="H949" t="s">
        <v>22</v>
      </c>
    </row>
    <row r="950" spans="1:10" x14ac:dyDescent="0.25">
      <c r="A950" s="1">
        <v>54</v>
      </c>
      <c r="B950" t="s">
        <v>28</v>
      </c>
      <c r="C950">
        <v>700</v>
      </c>
      <c r="D950">
        <v>0</v>
      </c>
      <c r="E950" t="s">
        <v>34</v>
      </c>
      <c r="F950" t="s">
        <v>34</v>
      </c>
      <c r="G950" t="str">
        <f>"2026-02-01 08:03:27.384"</f>
        <v>2026-02-01 08:03:27.384</v>
      </c>
      <c r="H950" t="s">
        <v>22</v>
      </c>
    </row>
    <row r="951" spans="1:10" x14ac:dyDescent="0.25">
      <c r="A951" s="1">
        <v>55</v>
      </c>
      <c r="B951" t="s">
        <v>28</v>
      </c>
      <c r="C951">
        <v>706</v>
      </c>
      <c r="D951">
        <v>4</v>
      </c>
      <c r="E951" t="s">
        <v>35</v>
      </c>
      <c r="F951" t="s">
        <v>36</v>
      </c>
      <c r="G951" t="str">
        <f>"2026-02-01 06:44:43.708"</f>
        <v>2026-02-01 06:44:43.708</v>
      </c>
      <c r="H951" t="s">
        <v>22</v>
      </c>
      <c r="I951">
        <v>0</v>
      </c>
      <c r="J951" t="s">
        <v>23</v>
      </c>
    </row>
    <row r="952" spans="1:10" x14ac:dyDescent="0.25">
      <c r="A952" s="1">
        <v>56</v>
      </c>
      <c r="B952" t="s">
        <v>28</v>
      </c>
      <c r="C952">
        <v>700</v>
      </c>
      <c r="D952">
        <v>0</v>
      </c>
      <c r="E952" t="s">
        <v>34</v>
      </c>
      <c r="F952" t="s">
        <v>34</v>
      </c>
      <c r="G952" t="str">
        <f>"2026-02-01 06:19:07.378"</f>
        <v>2026-02-01 06:19:07.378</v>
      </c>
      <c r="H952" t="s">
        <v>22</v>
      </c>
      <c r="I952">
        <v>0</v>
      </c>
      <c r="J952" t="s">
        <v>46</v>
      </c>
    </row>
    <row r="953" spans="1:10" x14ac:dyDescent="0.25">
      <c r="A953" s="1">
        <v>57</v>
      </c>
      <c r="B953" t="s">
        <v>28</v>
      </c>
      <c r="C953">
        <v>700</v>
      </c>
      <c r="D953">
        <v>0</v>
      </c>
      <c r="E953" t="s">
        <v>34</v>
      </c>
      <c r="F953" t="s">
        <v>34</v>
      </c>
      <c r="G953" t="str">
        <f>"2026-02-01 05:13:25.620"</f>
        <v>2026-02-01 05:13:25.620</v>
      </c>
      <c r="H953" t="s">
        <v>22</v>
      </c>
    </row>
    <row r="954" spans="1:10" x14ac:dyDescent="0.25">
      <c r="A954" s="1">
        <v>58</v>
      </c>
      <c r="B954" t="s">
        <v>28</v>
      </c>
      <c r="C954">
        <v>706</v>
      </c>
      <c r="D954">
        <v>4</v>
      </c>
      <c r="E954" t="s">
        <v>35</v>
      </c>
      <c r="F954" t="s">
        <v>36</v>
      </c>
      <c r="G954" t="str">
        <f>"2026-02-01 01:23:15.466"</f>
        <v>2026-02-01 01:23:15.466</v>
      </c>
      <c r="H954" t="s">
        <v>22</v>
      </c>
      <c r="I954">
        <v>0</v>
      </c>
      <c r="J954" t="s">
        <v>23</v>
      </c>
    </row>
    <row r="955" spans="1:10" x14ac:dyDescent="0.25">
      <c r="A955" s="1">
        <v>59</v>
      </c>
      <c r="B955" t="s">
        <v>28</v>
      </c>
      <c r="C955">
        <v>706</v>
      </c>
      <c r="D955">
        <v>2</v>
      </c>
      <c r="E955" t="s">
        <v>35</v>
      </c>
      <c r="F955" t="s">
        <v>42</v>
      </c>
      <c r="G955" t="str">
        <f>"2026-01-30 20:54:16.166"</f>
        <v>2026-01-30 20:54:16.166</v>
      </c>
      <c r="H955" t="s">
        <v>22</v>
      </c>
      <c r="I955">
        <v>0</v>
      </c>
      <c r="J955" t="s">
        <v>23</v>
      </c>
    </row>
    <row r="956" spans="1:10" x14ac:dyDescent="0.25">
      <c r="A956" s="1">
        <v>60</v>
      </c>
      <c r="B956" t="s">
        <v>28</v>
      </c>
      <c r="C956">
        <v>706</v>
      </c>
      <c r="D956">
        <v>4</v>
      </c>
      <c r="E956" t="s">
        <v>35</v>
      </c>
      <c r="F956" t="s">
        <v>36</v>
      </c>
      <c r="G956" t="str">
        <f>"2026-01-30 17:48:19.056"</f>
        <v>2026-01-30 17:48:19.056</v>
      </c>
      <c r="H956" t="s">
        <v>22</v>
      </c>
      <c r="I956">
        <v>0</v>
      </c>
      <c r="J956" t="s">
        <v>23</v>
      </c>
    </row>
    <row r="957" spans="1:10" x14ac:dyDescent="0.25">
      <c r="A957" s="1">
        <v>61</v>
      </c>
      <c r="B957" t="s">
        <v>28</v>
      </c>
      <c r="C957">
        <v>700</v>
      </c>
      <c r="D957">
        <v>0</v>
      </c>
      <c r="E957" t="s">
        <v>34</v>
      </c>
      <c r="F957" t="s">
        <v>34</v>
      </c>
      <c r="G957" t="str">
        <f>"2026-01-30 17:43:50.366"</f>
        <v>2026-01-30 17:43:50.366</v>
      </c>
      <c r="H957" t="s">
        <v>22</v>
      </c>
    </row>
    <row r="958" spans="1:10" x14ac:dyDescent="0.25">
      <c r="A958" s="1">
        <v>62</v>
      </c>
      <c r="B958" t="s">
        <v>28</v>
      </c>
      <c r="C958">
        <v>700</v>
      </c>
      <c r="D958">
        <v>0</v>
      </c>
      <c r="E958" t="s">
        <v>34</v>
      </c>
      <c r="F958" t="s">
        <v>34</v>
      </c>
      <c r="G958" t="str">
        <f>"2026-01-30 17:41:34.381"</f>
        <v>2026-01-30 17:41:34.381</v>
      </c>
      <c r="H958" t="s">
        <v>22</v>
      </c>
    </row>
    <row r="959" spans="1:10" x14ac:dyDescent="0.25">
      <c r="A959" s="1">
        <v>63</v>
      </c>
      <c r="B959" t="s">
        <v>28</v>
      </c>
      <c r="C959">
        <v>700</v>
      </c>
      <c r="D959">
        <v>0</v>
      </c>
      <c r="E959" t="s">
        <v>34</v>
      </c>
      <c r="F959" t="s">
        <v>34</v>
      </c>
      <c r="G959" t="str">
        <f>"2026-01-30 15:09:46.371"</f>
        <v>2026-01-30 15:09:46.371</v>
      </c>
      <c r="H959" t="s">
        <v>22</v>
      </c>
    </row>
    <row r="960" spans="1:10" x14ac:dyDescent="0.25">
      <c r="A960" s="1">
        <v>65</v>
      </c>
      <c r="B960" t="s">
        <v>28</v>
      </c>
      <c r="C960">
        <v>706</v>
      </c>
      <c r="D960">
        <v>4</v>
      </c>
      <c r="E960" t="s">
        <v>35</v>
      </c>
      <c r="F960" t="s">
        <v>36</v>
      </c>
      <c r="G960" t="str">
        <f>"2026-01-29 21:21:16.530"</f>
        <v>2026-01-29 21:21:16.530</v>
      </c>
      <c r="H960" t="s">
        <v>22</v>
      </c>
      <c r="I960">
        <v>0</v>
      </c>
      <c r="J960" t="s">
        <v>23</v>
      </c>
    </row>
    <row r="961" spans="1:10" x14ac:dyDescent="0.25">
      <c r="A961" s="1">
        <v>66</v>
      </c>
      <c r="B961" t="s">
        <v>28</v>
      </c>
      <c r="C961">
        <v>700</v>
      </c>
      <c r="D961">
        <v>0</v>
      </c>
      <c r="E961" t="s">
        <v>34</v>
      </c>
      <c r="F961" t="s">
        <v>34</v>
      </c>
      <c r="G961" t="str">
        <f>"2026-01-29 15:29:56.390"</f>
        <v>2026-01-29 15:29:56.390</v>
      </c>
      <c r="H961" t="s">
        <v>22</v>
      </c>
    </row>
    <row r="962" spans="1:10" x14ac:dyDescent="0.25">
      <c r="A962" s="1">
        <v>67</v>
      </c>
      <c r="B962" t="s">
        <v>37</v>
      </c>
      <c r="C962">
        <v>635</v>
      </c>
      <c r="D962">
        <v>1</v>
      </c>
      <c r="E962" t="s">
        <v>53</v>
      </c>
      <c r="F962" t="s">
        <v>48</v>
      </c>
      <c r="G962" t="str">
        <f>"2026-01-29 09:55:20.104"</f>
        <v>2026-01-29 09:55:20.104</v>
      </c>
      <c r="H962" t="s">
        <v>22</v>
      </c>
    </row>
    <row r="963" spans="1:10" x14ac:dyDescent="0.25">
      <c r="A963" s="1">
        <v>68</v>
      </c>
      <c r="B963" t="s">
        <v>19</v>
      </c>
      <c r="C963">
        <v>635</v>
      </c>
      <c r="D963">
        <v>1</v>
      </c>
      <c r="E963" t="s">
        <v>53</v>
      </c>
      <c r="F963" t="s">
        <v>48</v>
      </c>
      <c r="G963" t="str">
        <f>"2026-01-29 09:50:44.104"</f>
        <v>2026-01-29 09:50:44.104</v>
      </c>
      <c r="H963" t="s">
        <v>22</v>
      </c>
      <c r="I963">
        <v>-0.27</v>
      </c>
      <c r="J963" t="s">
        <v>50</v>
      </c>
    </row>
    <row r="964" spans="1:10" x14ac:dyDescent="0.25">
      <c r="A964" s="1">
        <v>69</v>
      </c>
      <c r="B964" t="s">
        <v>37</v>
      </c>
      <c r="C964">
        <v>98</v>
      </c>
      <c r="D964">
        <v>1</v>
      </c>
      <c r="E964" t="s">
        <v>76</v>
      </c>
      <c r="F964" t="s">
        <v>77</v>
      </c>
      <c r="G964" t="str">
        <f>"2026-01-29 08:03:00.864"</f>
        <v>2026-01-29 08:03:00.864</v>
      </c>
      <c r="H964" t="s">
        <v>22</v>
      </c>
    </row>
    <row r="965" spans="1:10" x14ac:dyDescent="0.25">
      <c r="A965" s="1">
        <v>70</v>
      </c>
      <c r="B965" t="s">
        <v>19</v>
      </c>
      <c r="C965">
        <v>98</v>
      </c>
      <c r="D965">
        <v>1</v>
      </c>
      <c r="E965" t="s">
        <v>76</v>
      </c>
      <c r="F965" t="s">
        <v>77</v>
      </c>
      <c r="G965" t="str">
        <f>"2026-01-29 08:02:59.864"</f>
        <v>2026-01-29 08:02:59.864</v>
      </c>
      <c r="H965" t="s">
        <v>22</v>
      </c>
      <c r="I965">
        <v>0</v>
      </c>
      <c r="J965" t="s">
        <v>50</v>
      </c>
    </row>
    <row r="966" spans="1:10" x14ac:dyDescent="0.25">
      <c r="A966" s="1">
        <v>71</v>
      </c>
      <c r="B966" t="s">
        <v>28</v>
      </c>
      <c r="C966">
        <v>706</v>
      </c>
      <c r="D966">
        <v>2</v>
      </c>
      <c r="E966" t="s">
        <v>35</v>
      </c>
      <c r="F966" t="s">
        <v>42</v>
      </c>
      <c r="G966" t="str">
        <f>"2026-01-28 20:52:33.175"</f>
        <v>2026-01-28 20:52:33.175</v>
      </c>
      <c r="H966" t="s">
        <v>22</v>
      </c>
      <c r="I966">
        <v>0</v>
      </c>
      <c r="J966" t="s">
        <v>23</v>
      </c>
    </row>
    <row r="967" spans="1:10" x14ac:dyDescent="0.25">
      <c r="A967" s="1">
        <v>72</v>
      </c>
      <c r="B967" t="s">
        <v>37</v>
      </c>
      <c r="C967">
        <v>635</v>
      </c>
      <c r="D967">
        <v>1</v>
      </c>
      <c r="E967" t="s">
        <v>53</v>
      </c>
      <c r="F967" t="s">
        <v>48</v>
      </c>
      <c r="G967" t="str">
        <f>"2026-01-28 17:37:27.704"</f>
        <v>2026-01-28 17:37:27.704</v>
      </c>
      <c r="H967" t="s">
        <v>22</v>
      </c>
    </row>
    <row r="968" spans="1:10" x14ac:dyDescent="0.25">
      <c r="A968" s="1">
        <v>73</v>
      </c>
      <c r="B968" t="s">
        <v>19</v>
      </c>
      <c r="C968">
        <v>635</v>
      </c>
      <c r="D968">
        <v>1</v>
      </c>
      <c r="E968" t="s">
        <v>53</v>
      </c>
      <c r="F968" t="s">
        <v>48</v>
      </c>
      <c r="G968" t="str">
        <f>"2026-01-28 17:33:31.704"</f>
        <v>2026-01-28 17:33:31.704</v>
      </c>
      <c r="H968" t="s">
        <v>22</v>
      </c>
      <c r="I968">
        <v>10.16</v>
      </c>
      <c r="J968" t="s">
        <v>45</v>
      </c>
    </row>
    <row r="969" spans="1:10" x14ac:dyDescent="0.25">
      <c r="A969" s="1">
        <v>74</v>
      </c>
      <c r="B969" t="s">
        <v>28</v>
      </c>
      <c r="C969">
        <v>706</v>
      </c>
      <c r="D969">
        <v>2</v>
      </c>
      <c r="E969" t="s">
        <v>35</v>
      </c>
      <c r="F969" t="s">
        <v>42</v>
      </c>
      <c r="G969" t="str">
        <f>"2026-01-28 08:48:32.275"</f>
        <v>2026-01-28 08:48:32.275</v>
      </c>
      <c r="H969" t="s">
        <v>22</v>
      </c>
      <c r="I969">
        <v>0</v>
      </c>
      <c r="J969" t="s">
        <v>23</v>
      </c>
    </row>
    <row r="970" spans="1:10" x14ac:dyDescent="0.25">
      <c r="A970" s="1">
        <v>75</v>
      </c>
      <c r="B970" t="s">
        <v>37</v>
      </c>
      <c r="C970">
        <v>98</v>
      </c>
      <c r="D970">
        <v>1</v>
      </c>
      <c r="E970" t="s">
        <v>76</v>
      </c>
      <c r="F970" t="s">
        <v>77</v>
      </c>
      <c r="G970" t="str">
        <f>"2026-01-28 03:23:15.465"</f>
        <v>2026-01-28 03:23:15.465</v>
      </c>
      <c r="H970" t="s">
        <v>22</v>
      </c>
    </row>
    <row r="971" spans="1:10" x14ac:dyDescent="0.25">
      <c r="A971" s="1">
        <v>76</v>
      </c>
      <c r="B971" t="s">
        <v>19</v>
      </c>
      <c r="C971">
        <v>98</v>
      </c>
      <c r="D971">
        <v>1</v>
      </c>
      <c r="E971" t="s">
        <v>76</v>
      </c>
      <c r="F971" t="s">
        <v>77</v>
      </c>
      <c r="G971" t="str">
        <f>"2026-01-28 03:23:14.465"</f>
        <v>2026-01-28 03:23:14.465</v>
      </c>
      <c r="H971" t="s">
        <v>22</v>
      </c>
      <c r="I971">
        <v>10.210000000000001</v>
      </c>
      <c r="J971" t="s">
        <v>45</v>
      </c>
    </row>
    <row r="972" spans="1:10" x14ac:dyDescent="0.25">
      <c r="A972" s="1">
        <v>77</v>
      </c>
      <c r="B972" t="s">
        <v>28</v>
      </c>
      <c r="C972">
        <v>706</v>
      </c>
      <c r="D972">
        <v>4</v>
      </c>
      <c r="E972" t="s">
        <v>35</v>
      </c>
      <c r="F972" t="s">
        <v>36</v>
      </c>
      <c r="G972" t="str">
        <f>"2026-01-27 23:52:32.755"</f>
        <v>2026-01-27 23:52:32.755</v>
      </c>
      <c r="H972" t="s">
        <v>22</v>
      </c>
      <c r="I972">
        <v>0</v>
      </c>
      <c r="J972" t="s">
        <v>23</v>
      </c>
    </row>
    <row r="973" spans="1:10" x14ac:dyDescent="0.25">
      <c r="A973" s="1">
        <v>78</v>
      </c>
      <c r="B973" t="s">
        <v>28</v>
      </c>
      <c r="C973">
        <v>706</v>
      </c>
      <c r="D973">
        <v>4</v>
      </c>
      <c r="E973" t="s">
        <v>35</v>
      </c>
      <c r="F973" t="s">
        <v>36</v>
      </c>
      <c r="G973" t="str">
        <f>"2026-01-26 22:53:04.105"</f>
        <v>2026-01-26 22:53:04.105</v>
      </c>
      <c r="H973" t="s">
        <v>22</v>
      </c>
      <c r="I973">
        <v>0</v>
      </c>
      <c r="J973" t="s">
        <v>23</v>
      </c>
    </row>
    <row r="974" spans="1:10" x14ac:dyDescent="0.25">
      <c r="A974" s="1">
        <v>79</v>
      </c>
      <c r="B974" t="s">
        <v>37</v>
      </c>
      <c r="C974">
        <v>98</v>
      </c>
      <c r="D974">
        <v>1</v>
      </c>
      <c r="E974" t="s">
        <v>76</v>
      </c>
      <c r="F974" t="s">
        <v>77</v>
      </c>
      <c r="G974" t="str">
        <f>"2026-01-26 07:51:03.764"</f>
        <v>2026-01-26 07:51:03.764</v>
      </c>
      <c r="H974" t="s">
        <v>22</v>
      </c>
    </row>
    <row r="975" spans="1:10" x14ac:dyDescent="0.25">
      <c r="A975" s="1">
        <v>80</v>
      </c>
      <c r="B975" t="s">
        <v>19</v>
      </c>
      <c r="C975">
        <v>98</v>
      </c>
      <c r="D975">
        <v>1</v>
      </c>
      <c r="E975" t="s">
        <v>76</v>
      </c>
      <c r="F975" t="s">
        <v>77</v>
      </c>
      <c r="G975" t="str">
        <f>"2026-01-26 07:51:02.764"</f>
        <v>2026-01-26 07:51:02.764</v>
      </c>
      <c r="H975" t="s">
        <v>22</v>
      </c>
      <c r="I975">
        <v>0</v>
      </c>
      <c r="J975" t="s">
        <v>50</v>
      </c>
    </row>
    <row r="976" spans="1:10" x14ac:dyDescent="0.25">
      <c r="A976" s="1">
        <v>81</v>
      </c>
      <c r="B976" t="s">
        <v>37</v>
      </c>
      <c r="C976">
        <v>98</v>
      </c>
      <c r="D976">
        <v>1</v>
      </c>
      <c r="E976" t="s">
        <v>76</v>
      </c>
      <c r="F976" t="s">
        <v>77</v>
      </c>
      <c r="G976" t="str">
        <f>"2026-01-26 07:50:19.764"</f>
        <v>2026-01-26 07:50:19.764</v>
      </c>
      <c r="H976" t="s">
        <v>22</v>
      </c>
    </row>
    <row r="977" spans="1:10" x14ac:dyDescent="0.25">
      <c r="A977" s="1">
        <v>82</v>
      </c>
      <c r="B977" t="s">
        <v>19</v>
      </c>
      <c r="C977">
        <v>98</v>
      </c>
      <c r="D977">
        <v>1</v>
      </c>
      <c r="E977" t="s">
        <v>76</v>
      </c>
      <c r="F977" t="s">
        <v>77</v>
      </c>
      <c r="G977" t="str">
        <f>"2026-01-26 07:50:18.765"</f>
        <v>2026-01-26 07:50:18.765</v>
      </c>
      <c r="H977" t="s">
        <v>22</v>
      </c>
      <c r="I977">
        <v>0</v>
      </c>
      <c r="J977" t="s">
        <v>50</v>
      </c>
    </row>
    <row r="978" spans="1:10" x14ac:dyDescent="0.25">
      <c r="A978" s="1">
        <v>84</v>
      </c>
      <c r="B978" t="s">
        <v>28</v>
      </c>
      <c r="C978">
        <v>706</v>
      </c>
      <c r="D978">
        <v>2</v>
      </c>
      <c r="E978" t="s">
        <v>35</v>
      </c>
      <c r="F978" t="s">
        <v>42</v>
      </c>
      <c r="G978" t="str">
        <f>"2026-01-25 22:56:11.375"</f>
        <v>2026-01-25 22:56:11.375</v>
      </c>
      <c r="H978" t="s">
        <v>22</v>
      </c>
      <c r="I978">
        <v>0</v>
      </c>
      <c r="J978" t="s">
        <v>23</v>
      </c>
    </row>
    <row r="979" spans="1:10" x14ac:dyDescent="0.25">
      <c r="A979" s="1">
        <v>85</v>
      </c>
      <c r="B979" t="s">
        <v>37</v>
      </c>
      <c r="C979">
        <v>635</v>
      </c>
      <c r="D979">
        <v>1</v>
      </c>
      <c r="E979" t="s">
        <v>53</v>
      </c>
      <c r="F979" t="s">
        <v>48</v>
      </c>
      <c r="G979" t="str">
        <f>"2026-01-25 11:55:55.004"</f>
        <v>2026-01-25 11:55:55.004</v>
      </c>
      <c r="H979" t="s">
        <v>22</v>
      </c>
    </row>
    <row r="980" spans="1:10" x14ac:dyDescent="0.25">
      <c r="A980" s="1">
        <v>86</v>
      </c>
      <c r="B980" t="s">
        <v>19</v>
      </c>
      <c r="C980">
        <v>635</v>
      </c>
      <c r="D980">
        <v>1</v>
      </c>
      <c r="E980" t="s">
        <v>53</v>
      </c>
      <c r="F980" t="s">
        <v>48</v>
      </c>
      <c r="G980" t="str">
        <f>"2026-01-25 11:51:29.004"</f>
        <v>2026-01-25 11:51:29.004</v>
      </c>
      <c r="H980" t="s">
        <v>22</v>
      </c>
      <c r="I980">
        <v>3.05</v>
      </c>
      <c r="J980" t="s">
        <v>54</v>
      </c>
    </row>
    <row r="981" spans="1:10" x14ac:dyDescent="0.25">
      <c r="A981" s="1">
        <v>87</v>
      </c>
      <c r="B981" t="s">
        <v>37</v>
      </c>
      <c r="C981">
        <v>635</v>
      </c>
      <c r="D981">
        <v>1</v>
      </c>
      <c r="E981" t="s">
        <v>53</v>
      </c>
      <c r="F981" t="s">
        <v>48</v>
      </c>
      <c r="G981" t="str">
        <f>"2026-01-25 04:48:09.904"</f>
        <v>2026-01-25 04:48:09.904</v>
      </c>
      <c r="H981" t="s">
        <v>22</v>
      </c>
    </row>
    <row r="982" spans="1:10" x14ac:dyDescent="0.25">
      <c r="A982" s="1">
        <v>88</v>
      </c>
      <c r="B982" t="s">
        <v>19</v>
      </c>
      <c r="C982">
        <v>635</v>
      </c>
      <c r="D982">
        <v>1</v>
      </c>
      <c r="E982" t="s">
        <v>53</v>
      </c>
      <c r="F982" t="s">
        <v>48</v>
      </c>
      <c r="G982" t="str">
        <f>"2026-01-25 04:44:43.904"</f>
        <v>2026-01-25 04:44:43.904</v>
      </c>
      <c r="H982" t="s">
        <v>22</v>
      </c>
      <c r="I982">
        <v>6.63</v>
      </c>
      <c r="J982" t="s">
        <v>54</v>
      </c>
    </row>
    <row r="983" spans="1:10" x14ac:dyDescent="0.25">
      <c r="A983" s="1">
        <v>89</v>
      </c>
      <c r="B983" t="s">
        <v>28</v>
      </c>
      <c r="C983">
        <v>706</v>
      </c>
      <c r="D983">
        <v>4</v>
      </c>
      <c r="E983" t="s">
        <v>35</v>
      </c>
      <c r="F983" t="s">
        <v>36</v>
      </c>
      <c r="G983" t="str">
        <f>"2026-01-24 21:35:10.685"</f>
        <v>2026-01-24 21:35:10.685</v>
      </c>
      <c r="H983" t="s">
        <v>22</v>
      </c>
      <c r="I983">
        <v>0</v>
      </c>
      <c r="J983" t="s">
        <v>23</v>
      </c>
    </row>
    <row r="984" spans="1:10" x14ac:dyDescent="0.25">
      <c r="A984" s="1">
        <v>90</v>
      </c>
      <c r="B984" t="s">
        <v>37</v>
      </c>
      <c r="C984">
        <v>635</v>
      </c>
      <c r="D984">
        <v>1</v>
      </c>
      <c r="E984" t="s">
        <v>53</v>
      </c>
      <c r="F984" t="s">
        <v>48</v>
      </c>
      <c r="G984" t="str">
        <f>"2026-01-24 08:26:49.404"</f>
        <v>2026-01-24 08:26:49.404</v>
      </c>
      <c r="H984" t="s">
        <v>22</v>
      </c>
    </row>
    <row r="985" spans="1:10" x14ac:dyDescent="0.25">
      <c r="A985" s="1">
        <v>91</v>
      </c>
      <c r="B985" t="s">
        <v>19</v>
      </c>
      <c r="C985">
        <v>635</v>
      </c>
      <c r="D985">
        <v>1</v>
      </c>
      <c r="E985" t="s">
        <v>53</v>
      </c>
      <c r="F985" t="s">
        <v>48</v>
      </c>
      <c r="G985" t="str">
        <f>"2026-01-24 08:21:14.904"</f>
        <v>2026-01-24 08:21:14.904</v>
      </c>
      <c r="H985" t="s">
        <v>22</v>
      </c>
      <c r="I985">
        <v>0</v>
      </c>
      <c r="J985" t="s">
        <v>50</v>
      </c>
    </row>
    <row r="986" spans="1:10" x14ac:dyDescent="0.25">
      <c r="A986" s="1">
        <v>92</v>
      </c>
      <c r="B986" t="s">
        <v>37</v>
      </c>
      <c r="C986">
        <v>635</v>
      </c>
      <c r="D986">
        <v>1</v>
      </c>
      <c r="E986" t="s">
        <v>53</v>
      </c>
      <c r="F986" t="s">
        <v>48</v>
      </c>
      <c r="G986" t="str">
        <f>"2026-01-24 02:38:32.604"</f>
        <v>2026-01-24 02:38:32.604</v>
      </c>
      <c r="H986" t="s">
        <v>22</v>
      </c>
    </row>
    <row r="987" spans="1:10" x14ac:dyDescent="0.25">
      <c r="A987" s="1">
        <v>93</v>
      </c>
      <c r="B987" t="s">
        <v>19</v>
      </c>
      <c r="C987">
        <v>635</v>
      </c>
      <c r="D987">
        <v>1</v>
      </c>
      <c r="E987" t="s">
        <v>53</v>
      </c>
      <c r="F987" t="s">
        <v>48</v>
      </c>
      <c r="G987" t="str">
        <f>"2026-01-24 02:34:33.604"</f>
        <v>2026-01-24 02:34:33.604</v>
      </c>
      <c r="H987" t="s">
        <v>22</v>
      </c>
      <c r="I987">
        <v>3.8</v>
      </c>
      <c r="J987" t="s">
        <v>45</v>
      </c>
    </row>
    <row r="988" spans="1:10" x14ac:dyDescent="0.25">
      <c r="A988" s="1">
        <v>94</v>
      </c>
      <c r="B988" t="s">
        <v>28</v>
      </c>
      <c r="C988">
        <v>706</v>
      </c>
      <c r="D988">
        <v>2</v>
      </c>
      <c r="E988" t="s">
        <v>35</v>
      </c>
      <c r="F988" t="s">
        <v>42</v>
      </c>
      <c r="G988" t="str">
        <f>"2026-01-23 22:13:13.275"</f>
        <v>2026-01-23 22:13:13.275</v>
      </c>
      <c r="H988" t="s">
        <v>22</v>
      </c>
      <c r="I988">
        <v>0</v>
      </c>
      <c r="J988" t="s">
        <v>23</v>
      </c>
    </row>
    <row r="989" spans="1:10" x14ac:dyDescent="0.25">
      <c r="A989" s="1">
        <v>95</v>
      </c>
      <c r="B989" t="s">
        <v>28</v>
      </c>
      <c r="C989">
        <v>700</v>
      </c>
      <c r="D989">
        <v>0</v>
      </c>
      <c r="E989" t="s">
        <v>34</v>
      </c>
      <c r="F989" t="s">
        <v>34</v>
      </c>
      <c r="G989" t="str">
        <f>"2026-01-23 12:06:14.385"</f>
        <v>2026-01-23 12:06:14.385</v>
      </c>
      <c r="H989" t="s">
        <v>22</v>
      </c>
    </row>
    <row r="990" spans="1:10" x14ac:dyDescent="0.25">
      <c r="A990" s="1">
        <v>96</v>
      </c>
      <c r="B990" t="s">
        <v>37</v>
      </c>
      <c r="C990">
        <v>635</v>
      </c>
      <c r="D990">
        <v>1</v>
      </c>
      <c r="E990" t="s">
        <v>53</v>
      </c>
      <c r="F990" t="s">
        <v>48</v>
      </c>
      <c r="G990" t="str">
        <f>"2026-01-22 15:55:03.983"</f>
        <v>2026-01-22 15:55:03.983</v>
      </c>
      <c r="H990" t="s">
        <v>22</v>
      </c>
    </row>
    <row r="991" spans="1:10" x14ac:dyDescent="0.25">
      <c r="A991" s="1">
        <v>97</v>
      </c>
      <c r="B991" t="s">
        <v>19</v>
      </c>
      <c r="C991">
        <v>635</v>
      </c>
      <c r="D991">
        <v>1</v>
      </c>
      <c r="E991" t="s">
        <v>53</v>
      </c>
      <c r="F991" t="s">
        <v>48</v>
      </c>
      <c r="G991" t="str">
        <f>"2026-01-22 15:38:24.083"</f>
        <v>2026-01-22 15:38:24.083</v>
      </c>
      <c r="H991" t="s">
        <v>22</v>
      </c>
      <c r="I991">
        <v>6.14</v>
      </c>
      <c r="J991" t="s">
        <v>54</v>
      </c>
    </row>
    <row r="992" spans="1:10" x14ac:dyDescent="0.25">
      <c r="A992" s="1">
        <v>98</v>
      </c>
      <c r="B992" t="s">
        <v>37</v>
      </c>
      <c r="C992">
        <v>635</v>
      </c>
      <c r="D992">
        <v>1</v>
      </c>
      <c r="E992" t="s">
        <v>53</v>
      </c>
      <c r="F992" t="s">
        <v>48</v>
      </c>
      <c r="G992" t="str">
        <f>"2026-01-22 08:56:46.383"</f>
        <v>2026-01-22 08:56:46.383</v>
      </c>
      <c r="H992" t="s">
        <v>22</v>
      </c>
    </row>
    <row r="993" spans="1:10" x14ac:dyDescent="0.25">
      <c r="A993" s="1">
        <v>99</v>
      </c>
      <c r="B993" t="s">
        <v>19</v>
      </c>
      <c r="C993">
        <v>635</v>
      </c>
      <c r="D993">
        <v>1</v>
      </c>
      <c r="E993" t="s">
        <v>53</v>
      </c>
      <c r="F993" t="s">
        <v>48</v>
      </c>
      <c r="G993" t="str">
        <f>"2026-01-22 08:35:04.483"</f>
        <v>2026-01-22 08:35:04.483</v>
      </c>
      <c r="H993" t="s">
        <v>22</v>
      </c>
      <c r="I993">
        <v>5.84</v>
      </c>
      <c r="J993" t="s">
        <v>54</v>
      </c>
    </row>
    <row r="994" spans="1:10" x14ac:dyDescent="0.25">
      <c r="A994" s="1">
        <v>100</v>
      </c>
      <c r="B994" t="s">
        <v>37</v>
      </c>
      <c r="C994">
        <v>98</v>
      </c>
      <c r="D994">
        <v>1</v>
      </c>
      <c r="E994" t="s">
        <v>76</v>
      </c>
      <c r="F994" t="s">
        <v>77</v>
      </c>
      <c r="G994" t="str">
        <f>"2026-01-22 04:55:13.095"</f>
        <v>2026-01-22 04:55:13.095</v>
      </c>
      <c r="H994" t="s">
        <v>22</v>
      </c>
    </row>
    <row r="995" spans="1:10" x14ac:dyDescent="0.25">
      <c r="A995" s="1">
        <v>101</v>
      </c>
      <c r="B995" t="s">
        <v>19</v>
      </c>
      <c r="C995">
        <v>98</v>
      </c>
      <c r="D995">
        <v>1</v>
      </c>
      <c r="E995" t="s">
        <v>76</v>
      </c>
      <c r="F995" t="s">
        <v>77</v>
      </c>
      <c r="G995" t="str">
        <f>"2026-01-22 04:55:11.996"</f>
        <v>2026-01-22 04:55:11.996</v>
      </c>
      <c r="H995" t="s">
        <v>22</v>
      </c>
      <c r="I995">
        <v>13.77</v>
      </c>
      <c r="J995" t="s">
        <v>54</v>
      </c>
    </row>
    <row r="996" spans="1:10" x14ac:dyDescent="0.25">
      <c r="A996" s="1">
        <v>102</v>
      </c>
      <c r="B996" t="s">
        <v>28</v>
      </c>
      <c r="C996">
        <v>706</v>
      </c>
      <c r="D996">
        <v>4</v>
      </c>
      <c r="E996" t="s">
        <v>35</v>
      </c>
      <c r="F996" t="s">
        <v>36</v>
      </c>
      <c r="G996" t="str">
        <f>"2026-01-21 17:04:40.246"</f>
        <v>2026-01-21 17:04:40.246</v>
      </c>
      <c r="H996" t="s">
        <v>22</v>
      </c>
      <c r="I996">
        <v>0</v>
      </c>
      <c r="J996" t="s">
        <v>23</v>
      </c>
    </row>
    <row r="997" spans="1:10" x14ac:dyDescent="0.25">
      <c r="A997" s="1">
        <v>103</v>
      </c>
      <c r="B997" t="s">
        <v>28</v>
      </c>
      <c r="C997">
        <v>700</v>
      </c>
      <c r="D997">
        <v>0</v>
      </c>
      <c r="E997" t="s">
        <v>34</v>
      </c>
      <c r="F997" t="s">
        <v>34</v>
      </c>
      <c r="G997" t="str">
        <f>"2026-01-21 17:01:30.496"</f>
        <v>2026-01-21 17:01:30.496</v>
      </c>
      <c r="H997" t="s">
        <v>22</v>
      </c>
      <c r="I997">
        <v>0</v>
      </c>
      <c r="J997" t="s">
        <v>46</v>
      </c>
    </row>
    <row r="998" spans="1:10" x14ac:dyDescent="0.25">
      <c r="A998" s="1">
        <v>104</v>
      </c>
      <c r="B998" t="s">
        <v>28</v>
      </c>
      <c r="C998">
        <v>706</v>
      </c>
      <c r="D998">
        <v>2</v>
      </c>
      <c r="E998" t="s">
        <v>35</v>
      </c>
      <c r="F998" t="s">
        <v>42</v>
      </c>
      <c r="G998" t="str">
        <f>"2026-01-20 21:44:19.122"</f>
        <v>2026-01-20 21:44:19.122</v>
      </c>
      <c r="H998" t="s">
        <v>22</v>
      </c>
      <c r="I998">
        <v>0</v>
      </c>
      <c r="J998" t="s">
        <v>23</v>
      </c>
    </row>
    <row r="999" spans="1:10" x14ac:dyDescent="0.25">
      <c r="A999" s="1">
        <v>105</v>
      </c>
      <c r="B999" t="s">
        <v>28</v>
      </c>
      <c r="C999">
        <v>700</v>
      </c>
      <c r="D999">
        <v>0</v>
      </c>
      <c r="E999" t="s">
        <v>34</v>
      </c>
      <c r="F999" t="s">
        <v>34</v>
      </c>
      <c r="G999" t="str">
        <f>"2026-01-20 21:36:50.342"</f>
        <v>2026-01-20 21:36:50.342</v>
      </c>
      <c r="H999" t="s">
        <v>22</v>
      </c>
    </row>
    <row r="1000" spans="1:10" x14ac:dyDescent="0.25">
      <c r="A1000" s="1">
        <v>106</v>
      </c>
      <c r="B1000" t="s">
        <v>37</v>
      </c>
      <c r="C1000">
        <v>635</v>
      </c>
      <c r="D1000">
        <v>1</v>
      </c>
      <c r="E1000" t="s">
        <v>53</v>
      </c>
      <c r="F1000" t="s">
        <v>48</v>
      </c>
      <c r="G1000" t="str">
        <f>"2026-01-19 21:54:30.992"</f>
        <v>2026-01-19 21:54:30.992</v>
      </c>
      <c r="H1000" t="s">
        <v>22</v>
      </c>
    </row>
    <row r="1001" spans="1:10" x14ac:dyDescent="0.25">
      <c r="A1001" s="1">
        <v>107</v>
      </c>
      <c r="B1001" t="s">
        <v>19</v>
      </c>
      <c r="C1001">
        <v>635</v>
      </c>
      <c r="D1001">
        <v>1</v>
      </c>
      <c r="E1001" t="s">
        <v>53</v>
      </c>
      <c r="F1001" t="s">
        <v>48</v>
      </c>
      <c r="G1001" t="str">
        <f>"2026-01-19 21:49:33.492"</f>
        <v>2026-01-19 21:49:33.492</v>
      </c>
      <c r="H1001" t="s">
        <v>22</v>
      </c>
      <c r="I1001">
        <v>6.15</v>
      </c>
      <c r="J1001" t="s">
        <v>54</v>
      </c>
    </row>
    <row r="1002" spans="1:10" x14ac:dyDescent="0.25">
      <c r="A1002" s="1">
        <v>108</v>
      </c>
      <c r="B1002" t="s">
        <v>28</v>
      </c>
      <c r="C1002">
        <v>706</v>
      </c>
      <c r="D1002">
        <v>4</v>
      </c>
      <c r="E1002" t="s">
        <v>35</v>
      </c>
      <c r="F1002" t="s">
        <v>36</v>
      </c>
      <c r="G1002" t="str">
        <f>"2026-01-18 22:16:08.441"</f>
        <v>2026-01-18 22:16:08.441</v>
      </c>
      <c r="H1002" t="s">
        <v>22</v>
      </c>
      <c r="I1002">
        <v>0</v>
      </c>
      <c r="J1002" t="s">
        <v>23</v>
      </c>
    </row>
    <row r="1003" spans="1:10" x14ac:dyDescent="0.25">
      <c r="A1003" s="1">
        <v>109</v>
      </c>
      <c r="B1003" t="s">
        <v>28</v>
      </c>
      <c r="C1003">
        <v>700</v>
      </c>
      <c r="D1003">
        <v>0</v>
      </c>
      <c r="E1003" t="s">
        <v>34</v>
      </c>
      <c r="F1003" t="s">
        <v>34</v>
      </c>
      <c r="G1003" t="str">
        <f>"2026-01-18 22:04:03.411"</f>
        <v>2026-01-18 22:04:03.411</v>
      </c>
      <c r="H1003" t="s">
        <v>22</v>
      </c>
    </row>
    <row r="1004" spans="1:10" x14ac:dyDescent="0.25">
      <c r="A1004" s="1">
        <v>110</v>
      </c>
      <c r="B1004" t="s">
        <v>28</v>
      </c>
      <c r="C1004">
        <v>700</v>
      </c>
      <c r="D1004">
        <v>0</v>
      </c>
      <c r="E1004" t="s">
        <v>34</v>
      </c>
      <c r="F1004" t="s">
        <v>34</v>
      </c>
      <c r="G1004" t="str">
        <f>"2026-01-18 21:17:33.347"</f>
        <v>2026-01-18 21:17:33.347</v>
      </c>
      <c r="H1004" t="s">
        <v>22</v>
      </c>
      <c r="I1004">
        <v>0</v>
      </c>
      <c r="J1004" t="s">
        <v>46</v>
      </c>
    </row>
    <row r="1005" spans="1:10" x14ac:dyDescent="0.25">
      <c r="A1005" s="1">
        <v>111</v>
      </c>
      <c r="B1005" t="s">
        <v>28</v>
      </c>
      <c r="C1005">
        <v>700</v>
      </c>
      <c r="D1005">
        <v>0</v>
      </c>
      <c r="E1005" t="s">
        <v>34</v>
      </c>
      <c r="F1005" t="s">
        <v>34</v>
      </c>
      <c r="G1005" t="str">
        <f>"2026-01-18 21:14:12.369"</f>
        <v>2026-01-18 21:14:12.369</v>
      </c>
      <c r="H1005" t="s">
        <v>22</v>
      </c>
    </row>
    <row r="1006" spans="1:10" x14ac:dyDescent="0.25">
      <c r="A1006" s="1">
        <v>112</v>
      </c>
      <c r="B1006" t="s">
        <v>28</v>
      </c>
      <c r="C1006">
        <v>700</v>
      </c>
      <c r="D1006">
        <v>0</v>
      </c>
      <c r="E1006" t="s">
        <v>34</v>
      </c>
      <c r="F1006" t="s">
        <v>34</v>
      </c>
      <c r="G1006" t="str">
        <f>"2026-01-18 21:08:48.345"</f>
        <v>2026-01-18 21:08:48.345</v>
      </c>
      <c r="H1006" t="s">
        <v>22</v>
      </c>
      <c r="I1006">
        <v>0</v>
      </c>
      <c r="J1006" t="s">
        <v>46</v>
      </c>
    </row>
    <row r="1007" spans="1:10" x14ac:dyDescent="0.25">
      <c r="A1007" s="1">
        <v>113</v>
      </c>
      <c r="B1007" t="s">
        <v>28</v>
      </c>
      <c r="C1007">
        <v>700</v>
      </c>
      <c r="D1007">
        <v>0</v>
      </c>
      <c r="E1007" t="s">
        <v>34</v>
      </c>
      <c r="F1007" t="s">
        <v>34</v>
      </c>
      <c r="G1007" t="str">
        <f>"2026-01-18 20:30:17.348"</f>
        <v>2026-01-18 20:30:17.348</v>
      </c>
      <c r="H1007" t="s">
        <v>22</v>
      </c>
    </row>
    <row r="1008" spans="1:10" x14ac:dyDescent="0.25">
      <c r="A1008" s="1">
        <v>114</v>
      </c>
      <c r="B1008" t="s">
        <v>28</v>
      </c>
      <c r="C1008">
        <v>700</v>
      </c>
      <c r="D1008">
        <v>0</v>
      </c>
      <c r="E1008" t="s">
        <v>34</v>
      </c>
      <c r="F1008" t="s">
        <v>34</v>
      </c>
      <c r="G1008" t="str">
        <f>"2026-01-18 20:27:12.347"</f>
        <v>2026-01-18 20:27:12.347</v>
      </c>
      <c r="H1008" t="s">
        <v>22</v>
      </c>
    </row>
    <row r="1009" spans="1:10" x14ac:dyDescent="0.25">
      <c r="A1009" s="1">
        <v>115</v>
      </c>
      <c r="B1009" t="s">
        <v>28</v>
      </c>
      <c r="C1009">
        <v>700</v>
      </c>
      <c r="D1009">
        <v>0</v>
      </c>
      <c r="E1009" t="s">
        <v>34</v>
      </c>
      <c r="F1009" t="s">
        <v>34</v>
      </c>
      <c r="G1009" t="str">
        <f>"2026-01-18 15:01:23.351"</f>
        <v>2026-01-18 15:01:23.351</v>
      </c>
      <c r="H1009" t="s">
        <v>22</v>
      </c>
    </row>
    <row r="1010" spans="1:10" x14ac:dyDescent="0.25">
      <c r="A1010" s="1">
        <v>116</v>
      </c>
      <c r="B1010" t="s">
        <v>37</v>
      </c>
      <c r="C1010">
        <v>635</v>
      </c>
      <c r="D1010">
        <v>1</v>
      </c>
      <c r="E1010" t="s">
        <v>53</v>
      </c>
      <c r="F1010" t="s">
        <v>48</v>
      </c>
      <c r="G1010" t="str">
        <f>"2026-01-18 14:03:10.460"</f>
        <v>2026-01-18 14:03:10.460</v>
      </c>
      <c r="H1010" t="s">
        <v>22</v>
      </c>
    </row>
    <row r="1011" spans="1:10" x14ac:dyDescent="0.25">
      <c r="A1011" s="1">
        <v>117</v>
      </c>
      <c r="B1011" t="s">
        <v>19</v>
      </c>
      <c r="C1011">
        <v>635</v>
      </c>
      <c r="D1011">
        <v>1</v>
      </c>
      <c r="E1011" t="s">
        <v>53</v>
      </c>
      <c r="F1011" t="s">
        <v>48</v>
      </c>
      <c r="G1011" t="str">
        <f>"2026-01-18 14:00:09.460"</f>
        <v>2026-01-18 14:00:09.460</v>
      </c>
      <c r="H1011" t="s">
        <v>22</v>
      </c>
      <c r="I1011">
        <v>2.58</v>
      </c>
      <c r="J1011" t="s">
        <v>54</v>
      </c>
    </row>
    <row r="1012" spans="1:10" x14ac:dyDescent="0.25">
      <c r="A1012" s="1">
        <v>118</v>
      </c>
      <c r="B1012" t="s">
        <v>37</v>
      </c>
      <c r="C1012">
        <v>635</v>
      </c>
      <c r="D1012">
        <v>1</v>
      </c>
      <c r="E1012" t="s">
        <v>53</v>
      </c>
      <c r="F1012" t="s">
        <v>48</v>
      </c>
      <c r="G1012" t="str">
        <f>"2026-01-18 07:12:05.760"</f>
        <v>2026-01-18 07:12:05.760</v>
      </c>
      <c r="H1012" t="s">
        <v>22</v>
      </c>
    </row>
    <row r="1013" spans="1:10" x14ac:dyDescent="0.25">
      <c r="A1013" s="1">
        <v>119</v>
      </c>
      <c r="B1013" t="s">
        <v>19</v>
      </c>
      <c r="C1013">
        <v>635</v>
      </c>
      <c r="D1013">
        <v>1</v>
      </c>
      <c r="E1013" t="s">
        <v>53</v>
      </c>
      <c r="F1013" t="s">
        <v>48</v>
      </c>
      <c r="G1013" t="str">
        <f>"2026-01-18 07:09:56.760"</f>
        <v>2026-01-18 07:09:56.760</v>
      </c>
      <c r="H1013" t="s">
        <v>22</v>
      </c>
      <c r="I1013">
        <v>6.73</v>
      </c>
      <c r="J1013" t="s">
        <v>54</v>
      </c>
    </row>
    <row r="1014" spans="1:10" x14ac:dyDescent="0.25">
      <c r="A1014" s="1">
        <v>120</v>
      </c>
      <c r="B1014" t="s">
        <v>37</v>
      </c>
      <c r="C1014">
        <v>635</v>
      </c>
      <c r="D1014">
        <v>1</v>
      </c>
      <c r="E1014" t="s">
        <v>53</v>
      </c>
      <c r="F1014" t="s">
        <v>48</v>
      </c>
      <c r="G1014" t="str">
        <f>"2026-01-17 12:16:12.560"</f>
        <v>2026-01-17 12:16:12.560</v>
      </c>
      <c r="H1014" t="s">
        <v>22</v>
      </c>
    </row>
    <row r="1015" spans="1:10" x14ac:dyDescent="0.25">
      <c r="A1015" s="1">
        <v>121</v>
      </c>
      <c r="B1015" t="s">
        <v>19</v>
      </c>
      <c r="C1015">
        <v>635</v>
      </c>
      <c r="D1015">
        <v>1</v>
      </c>
      <c r="E1015" t="s">
        <v>53</v>
      </c>
      <c r="F1015" t="s">
        <v>48</v>
      </c>
      <c r="G1015" t="str">
        <f>"2026-01-17 12:12:23.060"</f>
        <v>2026-01-17 12:12:23.060</v>
      </c>
      <c r="H1015" t="s">
        <v>22</v>
      </c>
      <c r="I1015">
        <v>3.02</v>
      </c>
      <c r="J1015" t="s">
        <v>54</v>
      </c>
    </row>
    <row r="1016" spans="1:10" x14ac:dyDescent="0.25">
      <c r="A1016" s="1">
        <v>122</v>
      </c>
      <c r="B1016" t="s">
        <v>28</v>
      </c>
      <c r="C1016">
        <v>700</v>
      </c>
      <c r="D1016">
        <v>0</v>
      </c>
      <c r="E1016" t="s">
        <v>34</v>
      </c>
      <c r="F1016" t="s">
        <v>34</v>
      </c>
      <c r="G1016" t="str">
        <f>"2026-01-16 16:59:56.378"</f>
        <v>2026-01-16 16:59:56.378</v>
      </c>
      <c r="H1016" t="s">
        <v>22</v>
      </c>
      <c r="I1016">
        <v>0</v>
      </c>
      <c r="J1016" t="s">
        <v>46</v>
      </c>
    </row>
    <row r="1017" spans="1:10" x14ac:dyDescent="0.25">
      <c r="A1017" s="1">
        <v>123</v>
      </c>
      <c r="B1017" t="s">
        <v>28</v>
      </c>
      <c r="C1017">
        <v>700</v>
      </c>
      <c r="D1017">
        <v>0</v>
      </c>
      <c r="E1017" t="s">
        <v>34</v>
      </c>
      <c r="F1017" t="s">
        <v>34</v>
      </c>
      <c r="G1017" t="str">
        <f>"2026-01-15 14:02:50.377"</f>
        <v>2026-01-15 14:02:50.377</v>
      </c>
      <c r="H1017" t="s">
        <v>22</v>
      </c>
      <c r="I1017">
        <v>0</v>
      </c>
      <c r="J1017" t="s">
        <v>46</v>
      </c>
    </row>
    <row r="1018" spans="1:10" x14ac:dyDescent="0.25">
      <c r="A1018" s="1">
        <v>124</v>
      </c>
      <c r="B1018" t="s">
        <v>28</v>
      </c>
      <c r="C1018">
        <v>700</v>
      </c>
      <c r="D1018">
        <v>0</v>
      </c>
      <c r="E1018" t="s">
        <v>34</v>
      </c>
      <c r="F1018" t="s">
        <v>34</v>
      </c>
      <c r="G1018" t="str">
        <f>"2026-01-14 22:02:51.375"</f>
        <v>2026-01-14 22:02:51.375</v>
      </c>
      <c r="H1018" t="s">
        <v>22</v>
      </c>
      <c r="I1018">
        <v>0</v>
      </c>
      <c r="J1018" t="s">
        <v>46</v>
      </c>
    </row>
    <row r="1019" spans="1:10" x14ac:dyDescent="0.25">
      <c r="A1019" s="1">
        <v>125</v>
      </c>
      <c r="B1019" t="s">
        <v>37</v>
      </c>
      <c r="C1019">
        <v>635</v>
      </c>
      <c r="D1019">
        <v>1</v>
      </c>
      <c r="E1019" t="s">
        <v>53</v>
      </c>
      <c r="F1019" t="s">
        <v>48</v>
      </c>
      <c r="G1019" t="str">
        <f>"2026-01-14 14:35:57.354"</f>
        <v>2026-01-14 14:35:57.354</v>
      </c>
      <c r="H1019" t="s">
        <v>22</v>
      </c>
    </row>
    <row r="1020" spans="1:10" x14ac:dyDescent="0.25">
      <c r="A1020" s="1">
        <v>126</v>
      </c>
      <c r="B1020" t="s">
        <v>19</v>
      </c>
      <c r="C1020">
        <v>635</v>
      </c>
      <c r="D1020">
        <v>1</v>
      </c>
      <c r="E1020" t="s">
        <v>53</v>
      </c>
      <c r="F1020" t="s">
        <v>48</v>
      </c>
      <c r="G1020" t="str">
        <f>"2026-01-14 14:24:36.854"</f>
        <v>2026-01-14 14:24:36.854</v>
      </c>
      <c r="H1020" t="s">
        <v>22</v>
      </c>
      <c r="I1020">
        <v>4.8099999999999996</v>
      </c>
      <c r="J1020" t="s">
        <v>50</v>
      </c>
    </row>
    <row r="1021" spans="1:10" x14ac:dyDescent="0.25">
      <c r="A1021" s="1">
        <v>127</v>
      </c>
      <c r="B1021" t="s">
        <v>28</v>
      </c>
      <c r="C1021">
        <v>700</v>
      </c>
      <c r="D1021">
        <v>0</v>
      </c>
      <c r="E1021" t="s">
        <v>34</v>
      </c>
      <c r="F1021" t="s">
        <v>34</v>
      </c>
      <c r="G1021" t="str">
        <f>"2026-01-14 09:26:03.423"</f>
        <v>2026-01-14 09:26:03.423</v>
      </c>
      <c r="H1021" t="s">
        <v>22</v>
      </c>
      <c r="I1021">
        <v>0</v>
      </c>
      <c r="J1021" t="s">
        <v>46</v>
      </c>
    </row>
    <row r="1022" spans="1:10" x14ac:dyDescent="0.25">
      <c r="A1022" s="1">
        <v>128</v>
      </c>
      <c r="B1022" t="s">
        <v>37</v>
      </c>
      <c r="C1022">
        <v>635</v>
      </c>
      <c r="D1022">
        <v>1</v>
      </c>
      <c r="E1022" t="s">
        <v>53</v>
      </c>
      <c r="F1022" t="s">
        <v>48</v>
      </c>
      <c r="G1022" t="str">
        <f>"2026-01-14 05:05:44.738"</f>
        <v>2026-01-14 05:05:44.738</v>
      </c>
      <c r="H1022" t="s">
        <v>22</v>
      </c>
    </row>
    <row r="1023" spans="1:10" x14ac:dyDescent="0.25">
      <c r="A1023" s="1">
        <v>129</v>
      </c>
      <c r="B1023" t="s">
        <v>19</v>
      </c>
      <c r="C1023">
        <v>635</v>
      </c>
      <c r="D1023">
        <v>1</v>
      </c>
      <c r="E1023" t="s">
        <v>53</v>
      </c>
      <c r="F1023" t="s">
        <v>48</v>
      </c>
      <c r="G1023" t="str">
        <f>"2026-01-14 05:03:29.238"</f>
        <v>2026-01-14 05:03:29.238</v>
      </c>
      <c r="H1023" t="s">
        <v>22</v>
      </c>
      <c r="I1023">
        <v>3.3</v>
      </c>
      <c r="J1023" t="s">
        <v>54</v>
      </c>
    </row>
    <row r="1024" spans="1:10" x14ac:dyDescent="0.25">
      <c r="A1024" s="1">
        <v>130</v>
      </c>
      <c r="B1024" t="s">
        <v>55</v>
      </c>
      <c r="C1024">
        <v>33</v>
      </c>
      <c r="D1024">
        <v>1</v>
      </c>
      <c r="E1024" t="s">
        <v>81</v>
      </c>
      <c r="F1024" t="s">
        <v>82</v>
      </c>
      <c r="G1024" t="str">
        <f>"2026-01-13 21:16:59.538"</f>
        <v>2026-01-13 21:16:59.538</v>
      </c>
      <c r="H1024" t="s">
        <v>83</v>
      </c>
    </row>
    <row r="1025" spans="1:10" x14ac:dyDescent="0.25">
      <c r="A1025" s="1">
        <v>131</v>
      </c>
      <c r="B1025" t="s">
        <v>60</v>
      </c>
      <c r="C1025">
        <v>33</v>
      </c>
      <c r="D1025">
        <v>1</v>
      </c>
      <c r="E1025" t="s">
        <v>81</v>
      </c>
      <c r="F1025" t="s">
        <v>82</v>
      </c>
      <c r="G1025" t="str">
        <f>"2026-01-13 21:16:04.850"</f>
        <v>2026-01-13 21:16:04.850</v>
      </c>
      <c r="H1025" t="s">
        <v>83</v>
      </c>
      <c r="I1025">
        <v>14.2</v>
      </c>
      <c r="J1025" t="s">
        <v>50</v>
      </c>
    </row>
    <row r="1026" spans="1:10" x14ac:dyDescent="0.25">
      <c r="A1026" s="1">
        <v>132</v>
      </c>
      <c r="B1026" t="s">
        <v>28</v>
      </c>
      <c r="C1026">
        <v>700</v>
      </c>
      <c r="D1026">
        <v>0</v>
      </c>
      <c r="E1026" t="s">
        <v>34</v>
      </c>
      <c r="F1026" t="s">
        <v>34</v>
      </c>
      <c r="G1026" t="str">
        <f>"2026-01-13 10:40:36.510"</f>
        <v>2026-01-13 10:40:36.510</v>
      </c>
      <c r="H1026" t="s">
        <v>22</v>
      </c>
      <c r="I1026">
        <v>0</v>
      </c>
      <c r="J1026" t="s">
        <v>46</v>
      </c>
    </row>
    <row r="1027" spans="1:10" x14ac:dyDescent="0.25">
      <c r="A1027" s="1">
        <v>133</v>
      </c>
      <c r="B1027" t="s">
        <v>37</v>
      </c>
      <c r="C1027">
        <v>635</v>
      </c>
      <c r="D1027">
        <v>1</v>
      </c>
      <c r="E1027" t="s">
        <v>53</v>
      </c>
      <c r="F1027" t="s">
        <v>48</v>
      </c>
      <c r="G1027" t="str">
        <f>"2026-01-12 17:37:31.329"</f>
        <v>2026-01-12 17:37:31.329</v>
      </c>
      <c r="H1027" t="s">
        <v>22</v>
      </c>
    </row>
    <row r="1028" spans="1:10" x14ac:dyDescent="0.25">
      <c r="A1028" s="1">
        <v>134</v>
      </c>
      <c r="B1028" t="s">
        <v>19</v>
      </c>
      <c r="C1028">
        <v>635</v>
      </c>
      <c r="D1028">
        <v>1</v>
      </c>
      <c r="E1028" t="s">
        <v>53</v>
      </c>
      <c r="F1028" t="s">
        <v>48</v>
      </c>
      <c r="G1028" t="str">
        <f>"2026-01-12 17:33:53.929"</f>
        <v>2026-01-12 17:33:53.929</v>
      </c>
      <c r="H1028" t="s">
        <v>22</v>
      </c>
      <c r="I1028">
        <v>5.53</v>
      </c>
      <c r="J1028" t="s">
        <v>54</v>
      </c>
    </row>
    <row r="1029" spans="1:10" x14ac:dyDescent="0.25">
      <c r="A1029" s="1">
        <v>135</v>
      </c>
      <c r="B1029" t="s">
        <v>55</v>
      </c>
      <c r="C1029">
        <v>33</v>
      </c>
      <c r="D1029">
        <v>1</v>
      </c>
      <c r="E1029" t="s">
        <v>81</v>
      </c>
      <c r="F1029" t="s">
        <v>82</v>
      </c>
      <c r="G1029" t="str">
        <f>"2026-01-12 10:02:17.430"</f>
        <v>2026-01-12 10:02:17.430</v>
      </c>
      <c r="H1029" t="s">
        <v>83</v>
      </c>
    </row>
    <row r="1030" spans="1:10" x14ac:dyDescent="0.25">
      <c r="A1030" s="1">
        <v>136</v>
      </c>
      <c r="B1030" t="s">
        <v>60</v>
      </c>
      <c r="C1030">
        <v>33</v>
      </c>
      <c r="D1030">
        <v>1</v>
      </c>
      <c r="E1030" t="s">
        <v>81</v>
      </c>
      <c r="F1030" t="s">
        <v>82</v>
      </c>
      <c r="G1030" t="str">
        <f>"2026-01-12 10:01:26.049"</f>
        <v>2026-01-12 10:01:26.049</v>
      </c>
      <c r="H1030" t="s">
        <v>83</v>
      </c>
      <c r="I1030">
        <v>9.1</v>
      </c>
      <c r="J1030" t="s">
        <v>54</v>
      </c>
    </row>
    <row r="1031" spans="1:10" x14ac:dyDescent="0.25">
      <c r="A1031" s="1">
        <v>137</v>
      </c>
      <c r="B1031" t="s">
        <v>28</v>
      </c>
      <c r="C1031">
        <v>700</v>
      </c>
      <c r="D1031">
        <v>0</v>
      </c>
      <c r="E1031" t="s">
        <v>34</v>
      </c>
      <c r="F1031" t="s">
        <v>34</v>
      </c>
      <c r="G1031" t="str">
        <f>"2026-01-12 08:51:54.375"</f>
        <v>2026-01-12 08:51:54.375</v>
      </c>
      <c r="H1031" t="s">
        <v>22</v>
      </c>
    </row>
    <row r="1032" spans="1:10" x14ac:dyDescent="0.25">
      <c r="A1032" s="1">
        <v>138</v>
      </c>
      <c r="B1032" t="s">
        <v>37</v>
      </c>
      <c r="C1032">
        <v>635</v>
      </c>
      <c r="D1032">
        <v>1</v>
      </c>
      <c r="E1032" t="s">
        <v>53</v>
      </c>
      <c r="F1032" t="s">
        <v>48</v>
      </c>
      <c r="G1032" t="str">
        <f>"2026-01-12 04:22:10.624"</f>
        <v>2026-01-12 04:22:10.624</v>
      </c>
      <c r="H1032" t="s">
        <v>22</v>
      </c>
    </row>
    <row r="1033" spans="1:10" x14ac:dyDescent="0.25">
      <c r="A1033" s="1">
        <v>139</v>
      </c>
      <c r="B1033" t="s">
        <v>19</v>
      </c>
      <c r="C1033">
        <v>635</v>
      </c>
      <c r="D1033">
        <v>1</v>
      </c>
      <c r="E1033" t="s">
        <v>53</v>
      </c>
      <c r="F1033" t="s">
        <v>48</v>
      </c>
      <c r="G1033" t="str">
        <f>"2026-01-12 04:19:58.624"</f>
        <v>2026-01-12 04:19:58.624</v>
      </c>
      <c r="H1033" t="s">
        <v>22</v>
      </c>
      <c r="I1033">
        <v>2.81</v>
      </c>
      <c r="J1033" t="s">
        <v>54</v>
      </c>
    </row>
    <row r="1034" spans="1:10" x14ac:dyDescent="0.25">
      <c r="A1034" s="1">
        <v>140</v>
      </c>
      <c r="B1034" t="s">
        <v>37</v>
      </c>
      <c r="C1034">
        <v>635</v>
      </c>
      <c r="D1034">
        <v>1</v>
      </c>
      <c r="E1034" t="s">
        <v>53</v>
      </c>
      <c r="F1034" t="s">
        <v>48</v>
      </c>
      <c r="G1034" t="str">
        <f>"2026-01-10 20:26:44.624"</f>
        <v>2026-01-10 20:26:44.624</v>
      </c>
      <c r="H1034" t="s">
        <v>22</v>
      </c>
    </row>
    <row r="1035" spans="1:10" x14ac:dyDescent="0.25">
      <c r="A1035" s="1">
        <v>141</v>
      </c>
      <c r="B1035" t="s">
        <v>19</v>
      </c>
      <c r="C1035">
        <v>635</v>
      </c>
      <c r="D1035">
        <v>1</v>
      </c>
      <c r="E1035" t="s">
        <v>53</v>
      </c>
      <c r="F1035" t="s">
        <v>48</v>
      </c>
      <c r="G1035" t="str">
        <f>"2026-01-10 20:23:37.124"</f>
        <v>2026-01-10 20:23:37.124</v>
      </c>
      <c r="H1035" t="s">
        <v>22</v>
      </c>
      <c r="I1035">
        <v>2.98</v>
      </c>
      <c r="J1035" t="s">
        <v>54</v>
      </c>
    </row>
    <row r="1036" spans="1:10" x14ac:dyDescent="0.25">
      <c r="A1036" s="1">
        <v>142</v>
      </c>
      <c r="B1036" t="s">
        <v>37</v>
      </c>
      <c r="C1036">
        <v>635</v>
      </c>
      <c r="D1036">
        <v>1</v>
      </c>
      <c r="E1036" t="s">
        <v>53</v>
      </c>
      <c r="F1036" t="s">
        <v>48</v>
      </c>
      <c r="G1036" t="str">
        <f>"2026-01-10 19:09:49.724"</f>
        <v>2026-01-10 19:09:49.724</v>
      </c>
      <c r="H1036" t="s">
        <v>22</v>
      </c>
    </row>
    <row r="1037" spans="1:10" x14ac:dyDescent="0.25">
      <c r="A1037" s="1">
        <v>143</v>
      </c>
      <c r="B1037" t="s">
        <v>19</v>
      </c>
      <c r="C1037">
        <v>635</v>
      </c>
      <c r="D1037">
        <v>1</v>
      </c>
      <c r="E1037" t="s">
        <v>53</v>
      </c>
      <c r="F1037" t="s">
        <v>48</v>
      </c>
      <c r="G1037" t="str">
        <f>"2026-01-10 19:04:13.224"</f>
        <v>2026-01-10 19:04:13.224</v>
      </c>
      <c r="H1037" t="s">
        <v>22</v>
      </c>
      <c r="I1037">
        <v>5.35</v>
      </c>
      <c r="J1037" t="s">
        <v>54</v>
      </c>
    </row>
    <row r="1038" spans="1:10" x14ac:dyDescent="0.25">
      <c r="A1038" s="1">
        <v>144</v>
      </c>
      <c r="B1038" t="s">
        <v>28</v>
      </c>
      <c r="C1038">
        <v>700</v>
      </c>
      <c r="D1038">
        <v>0</v>
      </c>
      <c r="E1038" t="s">
        <v>34</v>
      </c>
      <c r="F1038" t="s">
        <v>34</v>
      </c>
      <c r="G1038" t="str">
        <f>"2026-01-10 17:20:48.339"</f>
        <v>2026-01-10 17:20:48.339</v>
      </c>
      <c r="H1038" t="s">
        <v>22</v>
      </c>
      <c r="I1038">
        <v>0</v>
      </c>
      <c r="J1038" t="s">
        <v>46</v>
      </c>
    </row>
    <row r="1039" spans="1:10" x14ac:dyDescent="0.25">
      <c r="A1039" s="1">
        <v>145</v>
      </c>
      <c r="B1039" t="s">
        <v>28</v>
      </c>
      <c r="C1039">
        <v>706</v>
      </c>
      <c r="D1039">
        <v>4</v>
      </c>
      <c r="E1039" t="s">
        <v>35</v>
      </c>
      <c r="F1039" t="s">
        <v>36</v>
      </c>
      <c r="G1039" t="str">
        <f>"2026-01-10 17:06:25.612"</f>
        <v>2026-01-10 17:06:25.612</v>
      </c>
      <c r="H1039" t="s">
        <v>22</v>
      </c>
      <c r="I1039">
        <v>0</v>
      </c>
      <c r="J1039" t="s">
        <v>23</v>
      </c>
    </row>
    <row r="1040" spans="1:10" x14ac:dyDescent="0.25">
      <c r="A1040" s="1">
        <v>146</v>
      </c>
      <c r="B1040" t="s">
        <v>28</v>
      </c>
      <c r="C1040">
        <v>700</v>
      </c>
      <c r="D1040">
        <v>0</v>
      </c>
      <c r="E1040" t="s">
        <v>34</v>
      </c>
      <c r="F1040" t="s">
        <v>34</v>
      </c>
      <c r="G1040" t="str">
        <f>"2026-01-10 16:44:24.312"</f>
        <v>2026-01-10 16:44:24.312</v>
      </c>
      <c r="H1040" t="s">
        <v>22</v>
      </c>
    </row>
    <row r="1041" spans="1:10" x14ac:dyDescent="0.25">
      <c r="A1041" s="1">
        <v>147</v>
      </c>
      <c r="B1041" t="s">
        <v>28</v>
      </c>
      <c r="C1041">
        <v>700</v>
      </c>
      <c r="D1041">
        <v>0</v>
      </c>
      <c r="E1041" t="s">
        <v>34</v>
      </c>
      <c r="F1041" t="s">
        <v>34</v>
      </c>
      <c r="G1041" t="str">
        <f>"2026-01-10 15:48:19.312"</f>
        <v>2026-01-10 15:48:19.312</v>
      </c>
      <c r="H1041" t="s">
        <v>22</v>
      </c>
      <c r="I1041">
        <v>0</v>
      </c>
      <c r="J1041" t="s">
        <v>46</v>
      </c>
    </row>
    <row r="1042" spans="1:10" x14ac:dyDescent="0.25">
      <c r="A1042" s="1">
        <v>148</v>
      </c>
      <c r="B1042" t="s">
        <v>28</v>
      </c>
      <c r="C1042">
        <v>700</v>
      </c>
      <c r="D1042">
        <v>0</v>
      </c>
      <c r="E1042" t="s">
        <v>34</v>
      </c>
      <c r="F1042" t="s">
        <v>34</v>
      </c>
      <c r="G1042" t="str">
        <f>"2026-01-10 15:31:26.323"</f>
        <v>2026-01-10 15:31:26.323</v>
      </c>
      <c r="H1042" t="s">
        <v>22</v>
      </c>
      <c r="I1042">
        <v>0</v>
      </c>
      <c r="J1042" t="s">
        <v>46</v>
      </c>
    </row>
    <row r="1043" spans="1:10" x14ac:dyDescent="0.25">
      <c r="A1043" s="1">
        <v>149</v>
      </c>
      <c r="B1043" t="s">
        <v>28</v>
      </c>
      <c r="C1043">
        <v>700</v>
      </c>
      <c r="D1043">
        <v>0</v>
      </c>
      <c r="E1043" t="s">
        <v>34</v>
      </c>
      <c r="F1043" t="s">
        <v>34</v>
      </c>
      <c r="G1043" t="str">
        <f>"2026-01-10 14:45:17.300"</f>
        <v>2026-01-10 14:45:17.300</v>
      </c>
      <c r="H1043" t="s">
        <v>22</v>
      </c>
      <c r="I1043">
        <v>0</v>
      </c>
      <c r="J1043" t="s">
        <v>46</v>
      </c>
    </row>
    <row r="1044" spans="1:10" x14ac:dyDescent="0.25">
      <c r="A1044" s="1">
        <v>150</v>
      </c>
      <c r="B1044" t="s">
        <v>28</v>
      </c>
      <c r="C1044">
        <v>700</v>
      </c>
      <c r="D1044">
        <v>0</v>
      </c>
      <c r="E1044" t="s">
        <v>34</v>
      </c>
      <c r="F1044" t="s">
        <v>34</v>
      </c>
      <c r="G1044" t="str">
        <f>"2026-01-10 14:27:24.347"</f>
        <v>2026-01-10 14:27:24.347</v>
      </c>
      <c r="H1044" t="s">
        <v>22</v>
      </c>
      <c r="I1044">
        <v>0</v>
      </c>
      <c r="J1044" t="s">
        <v>46</v>
      </c>
    </row>
    <row r="1045" spans="1:10" x14ac:dyDescent="0.25">
      <c r="A1045" s="1">
        <v>151</v>
      </c>
      <c r="B1045" t="s">
        <v>28</v>
      </c>
      <c r="C1045">
        <v>700</v>
      </c>
      <c r="D1045">
        <v>0</v>
      </c>
      <c r="E1045" t="s">
        <v>34</v>
      </c>
      <c r="F1045" t="s">
        <v>34</v>
      </c>
      <c r="G1045" t="str">
        <f>"2026-01-10 09:52:01.349"</f>
        <v>2026-01-10 09:52:01.349</v>
      </c>
      <c r="H1045" t="s">
        <v>22</v>
      </c>
      <c r="I1045">
        <v>0</v>
      </c>
      <c r="J1045" t="s">
        <v>46</v>
      </c>
    </row>
    <row r="1046" spans="1:10" x14ac:dyDescent="0.25">
      <c r="A1046" s="1">
        <v>152</v>
      </c>
      <c r="B1046" t="s">
        <v>37</v>
      </c>
      <c r="C1046">
        <v>635</v>
      </c>
      <c r="D1046">
        <v>1</v>
      </c>
      <c r="E1046" t="s">
        <v>53</v>
      </c>
      <c r="F1046" t="s">
        <v>48</v>
      </c>
      <c r="G1046" t="str">
        <f>"2026-01-10 09:38:39.120"</f>
        <v>2026-01-10 09:38:39.120</v>
      </c>
      <c r="H1046" t="s">
        <v>22</v>
      </c>
    </row>
    <row r="1047" spans="1:10" x14ac:dyDescent="0.25">
      <c r="A1047" s="1">
        <v>153</v>
      </c>
      <c r="B1047" t="s">
        <v>19</v>
      </c>
      <c r="C1047">
        <v>635</v>
      </c>
      <c r="D1047">
        <v>1</v>
      </c>
      <c r="E1047" t="s">
        <v>53</v>
      </c>
      <c r="F1047" t="s">
        <v>48</v>
      </c>
      <c r="G1047" t="str">
        <f>"2026-01-10 09:33:54.120"</f>
        <v>2026-01-10 09:33:54.120</v>
      </c>
      <c r="H1047" t="s">
        <v>22</v>
      </c>
      <c r="I1047">
        <v>3.46</v>
      </c>
      <c r="J1047" t="s">
        <v>54</v>
      </c>
    </row>
    <row r="1048" spans="1:10" x14ac:dyDescent="0.25">
      <c r="A1048" s="1">
        <v>154</v>
      </c>
      <c r="B1048" t="s">
        <v>37</v>
      </c>
      <c r="C1048">
        <v>635</v>
      </c>
      <c r="D1048">
        <v>1</v>
      </c>
      <c r="E1048" t="s">
        <v>53</v>
      </c>
      <c r="F1048" t="s">
        <v>48</v>
      </c>
      <c r="G1048" t="str">
        <f>"2026-01-09 17:16:34.120"</f>
        <v>2026-01-09 17:16:34.120</v>
      </c>
      <c r="H1048" t="s">
        <v>22</v>
      </c>
    </row>
    <row r="1049" spans="1:10" x14ac:dyDescent="0.25">
      <c r="A1049" s="1">
        <v>155</v>
      </c>
      <c r="B1049" t="s">
        <v>19</v>
      </c>
      <c r="C1049">
        <v>635</v>
      </c>
      <c r="D1049">
        <v>1</v>
      </c>
      <c r="E1049" t="s">
        <v>53</v>
      </c>
      <c r="F1049" t="s">
        <v>48</v>
      </c>
      <c r="G1049" t="str">
        <f>"2026-01-09 17:12:50.120"</f>
        <v>2026-01-09 17:12:50.120</v>
      </c>
      <c r="H1049" t="s">
        <v>22</v>
      </c>
      <c r="I1049">
        <v>6.45</v>
      </c>
      <c r="J1049" t="s">
        <v>54</v>
      </c>
    </row>
    <row r="1050" spans="1:10" x14ac:dyDescent="0.25">
      <c r="A1050" s="1">
        <v>156</v>
      </c>
      <c r="B1050" t="s">
        <v>28</v>
      </c>
      <c r="C1050">
        <v>700</v>
      </c>
      <c r="D1050">
        <v>0</v>
      </c>
      <c r="E1050" t="s">
        <v>34</v>
      </c>
      <c r="F1050" t="s">
        <v>34</v>
      </c>
      <c r="G1050" t="str">
        <f>"2026-01-09 10:12:47.370"</f>
        <v>2026-01-09 10:12:47.370</v>
      </c>
      <c r="H1050" t="s">
        <v>22</v>
      </c>
      <c r="I1050">
        <v>0</v>
      </c>
      <c r="J1050" t="s">
        <v>46</v>
      </c>
    </row>
    <row r="1051" spans="1:10" x14ac:dyDescent="0.25">
      <c r="A1051" s="1">
        <v>157</v>
      </c>
      <c r="B1051" t="s">
        <v>37</v>
      </c>
      <c r="C1051">
        <v>61</v>
      </c>
      <c r="D1051">
        <v>2</v>
      </c>
      <c r="E1051" t="s">
        <v>69</v>
      </c>
      <c r="F1051" t="s">
        <v>70</v>
      </c>
      <c r="G1051" t="str">
        <f>"2026-01-07 22:33:41.917"</f>
        <v>2026-01-07 22:33:41.917</v>
      </c>
      <c r="H1051" t="s">
        <v>22</v>
      </c>
    </row>
    <row r="1052" spans="1:10" x14ac:dyDescent="0.25">
      <c r="A1052" s="1">
        <v>158</v>
      </c>
      <c r="B1052" t="s">
        <v>60</v>
      </c>
      <c r="C1052">
        <v>61</v>
      </c>
      <c r="D1052">
        <v>2</v>
      </c>
      <c r="E1052" t="s">
        <v>69</v>
      </c>
      <c r="F1052" t="s">
        <v>70</v>
      </c>
      <c r="G1052" t="str">
        <f>"2026-01-07 22:33:32.517"</f>
        <v>2026-01-07 22:33:32.517</v>
      </c>
      <c r="H1052" t="s">
        <v>22</v>
      </c>
      <c r="I1052">
        <v>29.77</v>
      </c>
      <c r="J1052" t="s">
        <v>45</v>
      </c>
    </row>
    <row r="1053" spans="1:10" x14ac:dyDescent="0.25">
      <c r="A1053" s="1">
        <v>161</v>
      </c>
      <c r="B1053" t="s">
        <v>28</v>
      </c>
      <c r="C1053">
        <v>700</v>
      </c>
      <c r="D1053">
        <v>0</v>
      </c>
      <c r="E1053" t="s">
        <v>34</v>
      </c>
      <c r="F1053" t="s">
        <v>34</v>
      </c>
      <c r="G1053" t="str">
        <f>"2026-01-07 09:58:03.423"</f>
        <v>2026-01-07 09:58:03.423</v>
      </c>
      <c r="H1053" t="s">
        <v>22</v>
      </c>
      <c r="I1053">
        <v>0</v>
      </c>
      <c r="J1053" t="s">
        <v>46</v>
      </c>
    </row>
    <row r="1054" spans="1:10" x14ac:dyDescent="0.25">
      <c r="A1054" s="1">
        <v>162</v>
      </c>
      <c r="B1054" t="s">
        <v>37</v>
      </c>
      <c r="C1054">
        <v>635</v>
      </c>
      <c r="D1054">
        <v>1</v>
      </c>
      <c r="E1054" t="s">
        <v>53</v>
      </c>
      <c r="F1054" t="s">
        <v>48</v>
      </c>
      <c r="G1054" t="str">
        <f>"2026-01-06 15:21:12.745"</f>
        <v>2026-01-06 15:21:12.745</v>
      </c>
      <c r="H1054" t="s">
        <v>22</v>
      </c>
    </row>
    <row r="1055" spans="1:10" x14ac:dyDescent="0.25">
      <c r="A1055" s="1">
        <v>163</v>
      </c>
      <c r="B1055" t="s">
        <v>19</v>
      </c>
      <c r="C1055">
        <v>635</v>
      </c>
      <c r="D1055">
        <v>1</v>
      </c>
      <c r="E1055" t="s">
        <v>53</v>
      </c>
      <c r="F1055" t="s">
        <v>48</v>
      </c>
      <c r="G1055" t="str">
        <f>"2026-01-06 15:17:44.246"</f>
        <v>2026-01-06 15:17:44.246</v>
      </c>
      <c r="H1055" t="s">
        <v>22</v>
      </c>
      <c r="I1055">
        <v>4.32</v>
      </c>
      <c r="J1055" t="s">
        <v>54</v>
      </c>
    </row>
    <row r="1056" spans="1:10" x14ac:dyDescent="0.25">
      <c r="A1056" s="1">
        <v>164</v>
      </c>
      <c r="B1056" t="s">
        <v>28</v>
      </c>
      <c r="C1056">
        <v>700</v>
      </c>
      <c r="D1056">
        <v>0</v>
      </c>
      <c r="E1056" t="s">
        <v>34</v>
      </c>
      <c r="F1056" t="s">
        <v>34</v>
      </c>
      <c r="G1056" t="str">
        <f>"2026-01-06 13:29:31.295"</f>
        <v>2026-01-06 13:29:31.295</v>
      </c>
      <c r="H1056" t="s">
        <v>22</v>
      </c>
      <c r="I1056">
        <v>0</v>
      </c>
      <c r="J1056" t="s">
        <v>46</v>
      </c>
    </row>
    <row r="1057" spans="1:10" x14ac:dyDescent="0.25">
      <c r="A1057" s="1">
        <v>166</v>
      </c>
      <c r="B1057" t="s">
        <v>37</v>
      </c>
      <c r="C1057">
        <v>98</v>
      </c>
      <c r="D1057">
        <v>1</v>
      </c>
      <c r="E1057" t="s">
        <v>76</v>
      </c>
      <c r="F1057" t="s">
        <v>77</v>
      </c>
      <c r="G1057" t="str">
        <f>"2026-01-05 23:35:36.192"</f>
        <v>2026-01-05 23:35:36.192</v>
      </c>
      <c r="H1057" t="s">
        <v>22</v>
      </c>
    </row>
    <row r="1058" spans="1:10" x14ac:dyDescent="0.25">
      <c r="A1058" s="1">
        <v>167</v>
      </c>
      <c r="B1058" t="s">
        <v>19</v>
      </c>
      <c r="C1058">
        <v>98</v>
      </c>
      <c r="D1058">
        <v>1</v>
      </c>
      <c r="E1058" t="s">
        <v>76</v>
      </c>
      <c r="F1058" t="s">
        <v>77</v>
      </c>
      <c r="G1058" t="str">
        <f>"2026-01-05 23:35:28.992"</f>
        <v>2026-01-05 23:35:28.992</v>
      </c>
      <c r="H1058" t="s">
        <v>22</v>
      </c>
      <c r="I1058">
        <v>6.31</v>
      </c>
      <c r="J1058" t="s">
        <v>54</v>
      </c>
    </row>
    <row r="1059" spans="1:10" x14ac:dyDescent="0.25">
      <c r="A1059" s="1">
        <v>168</v>
      </c>
      <c r="B1059" t="s">
        <v>37</v>
      </c>
      <c r="C1059">
        <v>98</v>
      </c>
      <c r="D1059">
        <v>1</v>
      </c>
      <c r="E1059" t="s">
        <v>76</v>
      </c>
      <c r="F1059" t="s">
        <v>77</v>
      </c>
      <c r="G1059" t="str">
        <f>"2026-01-05 23:35:25.192"</f>
        <v>2026-01-05 23:35:25.192</v>
      </c>
      <c r="H1059" t="s">
        <v>22</v>
      </c>
    </row>
    <row r="1060" spans="1:10" x14ac:dyDescent="0.25">
      <c r="A1060" s="1">
        <v>169</v>
      </c>
      <c r="B1060" t="s">
        <v>19</v>
      </c>
      <c r="C1060">
        <v>98</v>
      </c>
      <c r="D1060">
        <v>1</v>
      </c>
      <c r="E1060" t="s">
        <v>76</v>
      </c>
      <c r="F1060" t="s">
        <v>77</v>
      </c>
      <c r="G1060" t="str">
        <f>"2026-01-05 23:35:23.192"</f>
        <v>2026-01-05 23:35:23.192</v>
      </c>
      <c r="H1060" t="s">
        <v>22</v>
      </c>
      <c r="I1060">
        <v>6.15</v>
      </c>
      <c r="J1060" t="s">
        <v>54</v>
      </c>
    </row>
    <row r="1061" spans="1:10" x14ac:dyDescent="0.25">
      <c r="A1061" s="1">
        <v>170</v>
      </c>
      <c r="B1061" t="s">
        <v>37</v>
      </c>
      <c r="C1061">
        <v>98</v>
      </c>
      <c r="D1061">
        <v>1</v>
      </c>
      <c r="E1061" t="s">
        <v>76</v>
      </c>
      <c r="F1061" t="s">
        <v>77</v>
      </c>
      <c r="G1061" t="str">
        <f>"2026-01-05 23:35:18.592"</f>
        <v>2026-01-05 23:35:18.592</v>
      </c>
      <c r="H1061" t="s">
        <v>22</v>
      </c>
    </row>
    <row r="1062" spans="1:10" x14ac:dyDescent="0.25">
      <c r="A1062" s="1">
        <v>171</v>
      </c>
      <c r="B1062" t="s">
        <v>19</v>
      </c>
      <c r="C1062">
        <v>98</v>
      </c>
      <c r="D1062">
        <v>1</v>
      </c>
      <c r="E1062" t="s">
        <v>76</v>
      </c>
      <c r="F1062" t="s">
        <v>77</v>
      </c>
      <c r="G1062" t="str">
        <f>"2026-01-05 23:35:16.592"</f>
        <v>2026-01-05 23:35:16.592</v>
      </c>
      <c r="H1062" t="s">
        <v>22</v>
      </c>
      <c r="I1062">
        <v>6.29</v>
      </c>
      <c r="J1062" t="s">
        <v>54</v>
      </c>
    </row>
    <row r="1063" spans="1:10" x14ac:dyDescent="0.25">
      <c r="A1063" s="1">
        <v>172</v>
      </c>
      <c r="B1063" t="s">
        <v>28</v>
      </c>
      <c r="C1063">
        <v>700</v>
      </c>
      <c r="D1063">
        <v>0</v>
      </c>
      <c r="E1063" t="s">
        <v>34</v>
      </c>
      <c r="F1063" t="s">
        <v>34</v>
      </c>
      <c r="G1063" t="str">
        <f>"2026-01-05 09:56:03.271"</f>
        <v>2026-01-05 09:56:03.271</v>
      </c>
      <c r="H1063" t="s">
        <v>22</v>
      </c>
    </row>
    <row r="1064" spans="1:10" x14ac:dyDescent="0.25">
      <c r="A1064" s="1">
        <v>176</v>
      </c>
      <c r="B1064" t="s">
        <v>28</v>
      </c>
      <c r="C1064">
        <v>700</v>
      </c>
      <c r="D1064">
        <v>0</v>
      </c>
      <c r="E1064" t="s">
        <v>34</v>
      </c>
      <c r="F1064" t="s">
        <v>34</v>
      </c>
      <c r="G1064" t="str">
        <f>"2026-01-04 09:46:36.292"</f>
        <v>2026-01-04 09:46:36.292</v>
      </c>
      <c r="H1064" t="s">
        <v>22</v>
      </c>
      <c r="I1064">
        <v>0</v>
      </c>
      <c r="J1064" t="s">
        <v>46</v>
      </c>
    </row>
    <row r="1065" spans="1:10" x14ac:dyDescent="0.25">
      <c r="A1065" s="1">
        <v>177</v>
      </c>
      <c r="B1065" t="s">
        <v>37</v>
      </c>
      <c r="C1065">
        <v>61</v>
      </c>
      <c r="D1065">
        <v>2</v>
      </c>
      <c r="E1065" t="s">
        <v>69</v>
      </c>
      <c r="F1065" t="s">
        <v>70</v>
      </c>
      <c r="G1065" t="str">
        <f>"2026-01-04 05:42:13.134"</f>
        <v>2026-01-04 05:42:13.134</v>
      </c>
      <c r="H1065" t="s">
        <v>22</v>
      </c>
    </row>
    <row r="1066" spans="1:10" x14ac:dyDescent="0.25">
      <c r="A1066" s="1">
        <v>178</v>
      </c>
      <c r="B1066" t="s">
        <v>60</v>
      </c>
      <c r="C1066">
        <v>61</v>
      </c>
      <c r="D1066">
        <v>2</v>
      </c>
      <c r="E1066" t="s">
        <v>69</v>
      </c>
      <c r="F1066" t="s">
        <v>70</v>
      </c>
      <c r="G1066" t="str">
        <f>"2026-01-04 05:41:57.935"</f>
        <v>2026-01-04 05:41:57.935</v>
      </c>
      <c r="H1066" t="s">
        <v>22</v>
      </c>
      <c r="I1066">
        <v>30.61</v>
      </c>
      <c r="J1066" t="s">
        <v>45</v>
      </c>
    </row>
    <row r="1067" spans="1:10" x14ac:dyDescent="0.25">
      <c r="A1067" s="1">
        <v>180</v>
      </c>
      <c r="B1067" t="s">
        <v>28</v>
      </c>
      <c r="C1067">
        <v>700</v>
      </c>
      <c r="D1067">
        <v>0</v>
      </c>
      <c r="E1067" t="s">
        <v>34</v>
      </c>
      <c r="F1067" t="s">
        <v>34</v>
      </c>
      <c r="G1067" t="str">
        <f>"2026-01-03 13:15:55.310"</f>
        <v>2026-01-03 13:15:55.310</v>
      </c>
      <c r="H1067" t="s">
        <v>22</v>
      </c>
    </row>
    <row r="1068" spans="1:10" x14ac:dyDescent="0.25">
      <c r="A1068" s="1">
        <v>181</v>
      </c>
      <c r="B1068" t="s">
        <v>28</v>
      </c>
      <c r="C1068">
        <v>700</v>
      </c>
      <c r="D1068">
        <v>0</v>
      </c>
      <c r="E1068" t="s">
        <v>34</v>
      </c>
      <c r="F1068" t="s">
        <v>34</v>
      </c>
      <c r="G1068" t="str">
        <f>"2026-01-02 08:17:34.449"</f>
        <v>2026-01-02 08:17:34.449</v>
      </c>
      <c r="H1068" t="s">
        <v>22</v>
      </c>
      <c r="I1068">
        <v>0</v>
      </c>
      <c r="J1068" t="s">
        <v>46</v>
      </c>
    </row>
    <row r="1069" spans="1:10" x14ac:dyDescent="0.25">
      <c r="A1069" s="1">
        <v>182</v>
      </c>
      <c r="B1069" t="s">
        <v>37</v>
      </c>
      <c r="C1069">
        <v>635</v>
      </c>
      <c r="D1069">
        <v>1</v>
      </c>
      <c r="E1069" t="s">
        <v>53</v>
      </c>
      <c r="F1069" t="s">
        <v>48</v>
      </c>
      <c r="G1069" t="str">
        <f>"2026-01-02 06:13:58.782"</f>
        <v>2026-01-02 06:13:58.782</v>
      </c>
      <c r="H1069" t="s">
        <v>22</v>
      </c>
    </row>
    <row r="1070" spans="1:10" x14ac:dyDescent="0.25">
      <c r="A1070" s="1">
        <v>183</v>
      </c>
      <c r="B1070" t="s">
        <v>19</v>
      </c>
      <c r="C1070">
        <v>635</v>
      </c>
      <c r="D1070">
        <v>1</v>
      </c>
      <c r="E1070" t="s">
        <v>53</v>
      </c>
      <c r="F1070" t="s">
        <v>48</v>
      </c>
      <c r="G1070" t="str">
        <f>"2026-01-02 06:10:28.782"</f>
        <v>2026-01-02 06:10:28.782</v>
      </c>
      <c r="H1070" t="s">
        <v>22</v>
      </c>
      <c r="I1070">
        <v>0</v>
      </c>
      <c r="J1070" t="s">
        <v>50</v>
      </c>
    </row>
    <row r="1071" spans="1:10" x14ac:dyDescent="0.25">
      <c r="A1071" s="1">
        <v>184</v>
      </c>
      <c r="B1071" t="s">
        <v>37</v>
      </c>
      <c r="C1071">
        <v>635</v>
      </c>
      <c r="D1071">
        <v>1</v>
      </c>
      <c r="E1071" t="s">
        <v>53</v>
      </c>
      <c r="F1071" t="s">
        <v>48</v>
      </c>
      <c r="G1071" t="str">
        <f>"2026-01-01 08:18:29.982"</f>
        <v>2026-01-01 08:18:29.982</v>
      </c>
      <c r="H1071" t="s">
        <v>22</v>
      </c>
    </row>
    <row r="1072" spans="1:10" x14ac:dyDescent="0.25">
      <c r="A1072" s="1">
        <v>185</v>
      </c>
      <c r="B1072" t="s">
        <v>19</v>
      </c>
      <c r="C1072">
        <v>635</v>
      </c>
      <c r="D1072">
        <v>1</v>
      </c>
      <c r="E1072" t="s">
        <v>53</v>
      </c>
      <c r="F1072" t="s">
        <v>48</v>
      </c>
      <c r="G1072" t="str">
        <f>"2026-01-01 08:13:12.482"</f>
        <v>2026-01-01 08:13:12.482</v>
      </c>
      <c r="H1072" t="s">
        <v>22</v>
      </c>
      <c r="I1072">
        <v>2.48</v>
      </c>
      <c r="J1072" t="s">
        <v>50</v>
      </c>
    </row>
    <row r="1073" spans="1:10" x14ac:dyDescent="0.25">
      <c r="A1073" s="1">
        <v>186</v>
      </c>
      <c r="B1073" t="s">
        <v>28</v>
      </c>
      <c r="C1073">
        <v>706</v>
      </c>
      <c r="D1073">
        <v>4</v>
      </c>
      <c r="E1073" t="s">
        <v>35</v>
      </c>
      <c r="F1073" t="s">
        <v>36</v>
      </c>
      <c r="G1073" t="str">
        <f>"2025-12-31 12:21:31.857"</f>
        <v>2025-12-31 12:21:31.857</v>
      </c>
      <c r="H1073" t="s">
        <v>22</v>
      </c>
      <c r="I1073">
        <v>0</v>
      </c>
      <c r="J1073" t="s">
        <v>23</v>
      </c>
    </row>
    <row r="1074" spans="1:10" x14ac:dyDescent="0.25">
      <c r="A1074" s="1">
        <v>187</v>
      </c>
      <c r="B1074" t="s">
        <v>28</v>
      </c>
      <c r="C1074">
        <v>706</v>
      </c>
      <c r="D1074">
        <v>4</v>
      </c>
      <c r="E1074" t="s">
        <v>35</v>
      </c>
      <c r="F1074" t="s">
        <v>36</v>
      </c>
      <c r="G1074" t="str">
        <f>"2025-12-31 12:18:41.467"</f>
        <v>2025-12-31 12:18:41.467</v>
      </c>
      <c r="H1074" t="s">
        <v>22</v>
      </c>
      <c r="I1074">
        <v>0</v>
      </c>
      <c r="J1074" t="s">
        <v>23</v>
      </c>
    </row>
    <row r="1075" spans="1:10" x14ac:dyDescent="0.25">
      <c r="A1075" s="1">
        <v>188</v>
      </c>
      <c r="B1075" t="s">
        <v>28</v>
      </c>
      <c r="C1075">
        <v>700</v>
      </c>
      <c r="D1075">
        <v>0</v>
      </c>
      <c r="E1075" t="s">
        <v>34</v>
      </c>
      <c r="F1075" t="s">
        <v>34</v>
      </c>
      <c r="G1075" t="str">
        <f>"2025-12-31 12:18:08.277"</f>
        <v>2025-12-31 12:18:08.277</v>
      </c>
      <c r="H1075" t="s">
        <v>22</v>
      </c>
    </row>
    <row r="1076" spans="1:10" x14ac:dyDescent="0.25">
      <c r="A1076" s="1">
        <v>189</v>
      </c>
      <c r="B1076" t="s">
        <v>28</v>
      </c>
      <c r="C1076">
        <v>700</v>
      </c>
      <c r="D1076">
        <v>0</v>
      </c>
      <c r="E1076" t="s">
        <v>34</v>
      </c>
      <c r="F1076" t="s">
        <v>34</v>
      </c>
      <c r="G1076" t="str">
        <f>"2025-12-31 08:49:31.321"</f>
        <v>2025-12-31 08:49:31.321</v>
      </c>
      <c r="H1076" t="s">
        <v>22</v>
      </c>
    </row>
    <row r="1077" spans="1:10" x14ac:dyDescent="0.25">
      <c r="A1077" s="1">
        <v>190</v>
      </c>
      <c r="B1077" t="s">
        <v>60</v>
      </c>
      <c r="C1077">
        <v>630</v>
      </c>
      <c r="D1077">
        <v>5</v>
      </c>
      <c r="E1077" t="s">
        <v>73</v>
      </c>
      <c r="F1077" t="s">
        <v>74</v>
      </c>
      <c r="G1077" t="str">
        <f>"2025-12-31 08:35:17.269"</f>
        <v>2025-12-31 08:35:17.269</v>
      </c>
      <c r="H1077" t="s">
        <v>75</v>
      </c>
      <c r="I1077">
        <v>0</v>
      </c>
      <c r="J1077" t="s">
        <v>23</v>
      </c>
    </row>
    <row r="1078" spans="1:10" x14ac:dyDescent="0.25">
      <c r="A1078" s="1">
        <v>191</v>
      </c>
      <c r="B1078" t="s">
        <v>28</v>
      </c>
      <c r="C1078">
        <v>700</v>
      </c>
      <c r="D1078">
        <v>0</v>
      </c>
      <c r="E1078" t="s">
        <v>34</v>
      </c>
      <c r="F1078" t="s">
        <v>34</v>
      </c>
      <c r="G1078" t="str">
        <f>"2025-12-31 08:30:14.519"</f>
        <v>2025-12-31 08:30:14.519</v>
      </c>
      <c r="H1078" t="s">
        <v>22</v>
      </c>
    </row>
    <row r="1079" spans="1:10" x14ac:dyDescent="0.25">
      <c r="A1079" s="1">
        <v>192</v>
      </c>
      <c r="B1079" t="s">
        <v>37</v>
      </c>
      <c r="C1079">
        <v>635</v>
      </c>
      <c r="D1079">
        <v>1</v>
      </c>
      <c r="E1079" t="s">
        <v>53</v>
      </c>
      <c r="F1079" t="s">
        <v>48</v>
      </c>
      <c r="G1079" t="str">
        <f>"2025-12-30 10:27:11.903"</f>
        <v>2025-12-30 10:27:11.903</v>
      </c>
      <c r="H1079" t="s">
        <v>22</v>
      </c>
    </row>
    <row r="1080" spans="1:10" x14ac:dyDescent="0.25">
      <c r="A1080" s="1">
        <v>193</v>
      </c>
      <c r="B1080" t="s">
        <v>19</v>
      </c>
      <c r="C1080">
        <v>635</v>
      </c>
      <c r="D1080">
        <v>1</v>
      </c>
      <c r="E1080" t="s">
        <v>53</v>
      </c>
      <c r="F1080" t="s">
        <v>48</v>
      </c>
      <c r="G1080" t="str">
        <f>"2025-12-30 10:23:13.903"</f>
        <v>2025-12-30 10:23:13.903</v>
      </c>
      <c r="H1080" t="s">
        <v>22</v>
      </c>
      <c r="I1080">
        <v>3.37</v>
      </c>
      <c r="J1080" t="s">
        <v>54</v>
      </c>
    </row>
    <row r="1081" spans="1:10" x14ac:dyDescent="0.25">
      <c r="A1081" s="1">
        <v>194</v>
      </c>
      <c r="B1081" t="s">
        <v>37</v>
      </c>
      <c r="C1081">
        <v>635</v>
      </c>
      <c r="D1081">
        <v>1</v>
      </c>
      <c r="E1081" t="s">
        <v>53</v>
      </c>
      <c r="F1081" t="s">
        <v>48</v>
      </c>
      <c r="G1081" t="str">
        <f>"2025-12-30 08:08:23.703"</f>
        <v>2025-12-30 08:08:23.703</v>
      </c>
      <c r="H1081" t="s">
        <v>22</v>
      </c>
    </row>
    <row r="1082" spans="1:10" x14ac:dyDescent="0.25">
      <c r="A1082" s="1">
        <v>195</v>
      </c>
      <c r="B1082" t="s">
        <v>19</v>
      </c>
      <c r="C1082">
        <v>635</v>
      </c>
      <c r="D1082">
        <v>1</v>
      </c>
      <c r="E1082" t="s">
        <v>53</v>
      </c>
      <c r="F1082" t="s">
        <v>48</v>
      </c>
      <c r="G1082" t="str">
        <f>"2025-12-30 08:05:34.703"</f>
        <v>2025-12-30 08:05:34.703</v>
      </c>
      <c r="H1082" t="s">
        <v>22</v>
      </c>
      <c r="I1082">
        <v>0.97</v>
      </c>
      <c r="J1082" t="s">
        <v>45</v>
      </c>
    </row>
    <row r="1083" spans="1:10" x14ac:dyDescent="0.25">
      <c r="A1083" s="1">
        <v>196</v>
      </c>
      <c r="B1083" t="s">
        <v>37</v>
      </c>
      <c r="C1083">
        <v>635</v>
      </c>
      <c r="D1083">
        <v>1</v>
      </c>
      <c r="E1083" t="s">
        <v>53</v>
      </c>
      <c r="F1083" t="s">
        <v>48</v>
      </c>
      <c r="G1083" t="str">
        <f>"2025-12-30 04:46:42.603"</f>
        <v>2025-12-30 04:46:42.603</v>
      </c>
      <c r="H1083" t="s">
        <v>22</v>
      </c>
    </row>
    <row r="1084" spans="1:10" x14ac:dyDescent="0.25">
      <c r="A1084" s="1">
        <v>197</v>
      </c>
      <c r="B1084" t="s">
        <v>19</v>
      </c>
      <c r="C1084">
        <v>635</v>
      </c>
      <c r="D1084">
        <v>1</v>
      </c>
      <c r="E1084" t="s">
        <v>53</v>
      </c>
      <c r="F1084" t="s">
        <v>48</v>
      </c>
      <c r="G1084" t="str">
        <f>"2025-12-30 04:44:10.103"</f>
        <v>2025-12-30 04:44:10.103</v>
      </c>
      <c r="H1084" t="s">
        <v>22</v>
      </c>
      <c r="I1084">
        <v>0.19</v>
      </c>
      <c r="J1084" t="s">
        <v>50</v>
      </c>
    </row>
    <row r="1085" spans="1:10" x14ac:dyDescent="0.25">
      <c r="A1085" s="1">
        <v>198</v>
      </c>
      <c r="B1085" t="s">
        <v>28</v>
      </c>
      <c r="C1085">
        <v>700</v>
      </c>
      <c r="D1085">
        <v>0</v>
      </c>
      <c r="E1085" t="s">
        <v>34</v>
      </c>
      <c r="F1085" t="s">
        <v>34</v>
      </c>
      <c r="G1085" t="str">
        <f>"2025-12-29 10:02:06.286"</f>
        <v>2025-12-29 10:02:06.286</v>
      </c>
      <c r="H1085" t="s">
        <v>22</v>
      </c>
      <c r="I1085">
        <v>0</v>
      </c>
      <c r="J1085" t="s">
        <v>46</v>
      </c>
    </row>
    <row r="1086" spans="1:10" x14ac:dyDescent="0.25">
      <c r="A1086" s="1">
        <v>200</v>
      </c>
      <c r="B1086" t="s">
        <v>37</v>
      </c>
      <c r="C1086">
        <v>635</v>
      </c>
      <c r="D1086">
        <v>1</v>
      </c>
      <c r="E1086" t="s">
        <v>53</v>
      </c>
      <c r="F1086" t="s">
        <v>48</v>
      </c>
      <c r="G1086" t="str">
        <f>"2025-12-28 12:11:06.992"</f>
        <v>2025-12-28 12:11:06.992</v>
      </c>
      <c r="H1086" t="s">
        <v>22</v>
      </c>
    </row>
    <row r="1087" spans="1:10" x14ac:dyDescent="0.25">
      <c r="A1087" s="1">
        <v>201</v>
      </c>
      <c r="B1087" t="s">
        <v>19</v>
      </c>
      <c r="C1087">
        <v>635</v>
      </c>
      <c r="D1087">
        <v>1</v>
      </c>
      <c r="E1087" t="s">
        <v>53</v>
      </c>
      <c r="F1087" t="s">
        <v>48</v>
      </c>
      <c r="G1087" t="str">
        <f>"2025-12-28 12:04:18.492"</f>
        <v>2025-12-28 12:04:18.492</v>
      </c>
      <c r="H1087" t="s">
        <v>22</v>
      </c>
      <c r="I1087">
        <v>0.12</v>
      </c>
      <c r="J1087" t="s">
        <v>50</v>
      </c>
    </row>
    <row r="1088" spans="1:10" x14ac:dyDescent="0.25">
      <c r="A1088" s="1">
        <v>202</v>
      </c>
      <c r="B1088" t="s">
        <v>37</v>
      </c>
      <c r="C1088">
        <v>630</v>
      </c>
      <c r="D1088">
        <v>5</v>
      </c>
      <c r="E1088" t="s">
        <v>73</v>
      </c>
      <c r="F1088" t="s">
        <v>74</v>
      </c>
      <c r="G1088" t="str">
        <f>"2025-12-28 08:40:38.892"</f>
        <v>2025-12-28 08:40:38.892</v>
      </c>
      <c r="H1088" t="s">
        <v>75</v>
      </c>
    </row>
    <row r="1089" spans="1:10" x14ac:dyDescent="0.25">
      <c r="A1089" s="1">
        <v>203</v>
      </c>
      <c r="B1089" t="s">
        <v>28</v>
      </c>
      <c r="C1089">
        <v>706</v>
      </c>
      <c r="D1089">
        <v>4</v>
      </c>
      <c r="E1089" t="s">
        <v>35</v>
      </c>
      <c r="F1089" t="s">
        <v>36</v>
      </c>
      <c r="G1089" t="str">
        <f>"2025-12-28 08:40:08.824"</f>
        <v>2025-12-28 08:40:08.824</v>
      </c>
      <c r="H1089" t="s">
        <v>22</v>
      </c>
      <c r="I1089">
        <v>0</v>
      </c>
      <c r="J1089" t="s">
        <v>23</v>
      </c>
    </row>
    <row r="1090" spans="1:10" x14ac:dyDescent="0.25">
      <c r="A1090" s="1">
        <v>204</v>
      </c>
      <c r="B1090" t="s">
        <v>60</v>
      </c>
      <c r="C1090">
        <v>630</v>
      </c>
      <c r="D1090">
        <v>5</v>
      </c>
      <c r="E1090" t="s">
        <v>73</v>
      </c>
      <c r="F1090" t="s">
        <v>74</v>
      </c>
      <c r="G1090" t="str">
        <f>"2025-12-28 08:34:44.993"</f>
        <v>2025-12-28 08:34:44.993</v>
      </c>
      <c r="H1090" t="s">
        <v>75</v>
      </c>
      <c r="I1090">
        <v>0</v>
      </c>
      <c r="J1090" t="s">
        <v>23</v>
      </c>
    </row>
    <row r="1091" spans="1:10" x14ac:dyDescent="0.25">
      <c r="A1091" s="1">
        <v>205</v>
      </c>
      <c r="B1091" t="s">
        <v>28</v>
      </c>
      <c r="C1091">
        <v>700</v>
      </c>
      <c r="D1091">
        <v>0</v>
      </c>
      <c r="E1091" t="s">
        <v>34</v>
      </c>
      <c r="F1091" t="s">
        <v>34</v>
      </c>
      <c r="G1091" t="str">
        <f>"2025-12-27 16:12:50.274"</f>
        <v>2025-12-27 16:12:50.274</v>
      </c>
      <c r="H1091" t="s">
        <v>22</v>
      </c>
    </row>
    <row r="1092" spans="1:10" x14ac:dyDescent="0.25">
      <c r="A1092" s="1">
        <v>207</v>
      </c>
      <c r="B1092" t="s">
        <v>28</v>
      </c>
      <c r="C1092">
        <v>706</v>
      </c>
      <c r="D1092">
        <v>2</v>
      </c>
      <c r="E1092" t="s">
        <v>35</v>
      </c>
      <c r="F1092" t="s">
        <v>42</v>
      </c>
      <c r="G1092" t="str">
        <f>"2025-12-27 09:12:18.352"</f>
        <v>2025-12-27 09:12:18.352</v>
      </c>
      <c r="H1092" t="s">
        <v>22</v>
      </c>
      <c r="I1092">
        <v>0</v>
      </c>
      <c r="J1092" t="s">
        <v>23</v>
      </c>
    </row>
    <row r="1093" spans="1:10" x14ac:dyDescent="0.25">
      <c r="A1093" s="1">
        <v>208</v>
      </c>
      <c r="B1093" t="s">
        <v>37</v>
      </c>
      <c r="C1093">
        <v>635</v>
      </c>
      <c r="D1093">
        <v>1</v>
      </c>
      <c r="E1093" t="s">
        <v>53</v>
      </c>
      <c r="F1093" t="s">
        <v>48</v>
      </c>
      <c r="G1093" t="str">
        <f>"2025-12-27 05:37:49.491"</f>
        <v>2025-12-27 05:37:49.491</v>
      </c>
      <c r="H1093" t="s">
        <v>22</v>
      </c>
    </row>
    <row r="1094" spans="1:10" x14ac:dyDescent="0.25">
      <c r="A1094" s="1">
        <v>209</v>
      </c>
      <c r="B1094" t="s">
        <v>19</v>
      </c>
      <c r="C1094">
        <v>635</v>
      </c>
      <c r="D1094">
        <v>1</v>
      </c>
      <c r="E1094" t="s">
        <v>53</v>
      </c>
      <c r="F1094" t="s">
        <v>48</v>
      </c>
      <c r="G1094" t="str">
        <f>"2025-12-27 05:34:14.491"</f>
        <v>2025-12-27 05:34:14.491</v>
      </c>
      <c r="H1094" t="s">
        <v>22</v>
      </c>
      <c r="I1094">
        <v>2.06</v>
      </c>
      <c r="J1094" t="s">
        <v>45</v>
      </c>
    </row>
    <row r="1095" spans="1:10" x14ac:dyDescent="0.25">
      <c r="A1095" s="1">
        <v>210</v>
      </c>
      <c r="B1095" t="s">
        <v>28</v>
      </c>
      <c r="C1095">
        <v>700</v>
      </c>
      <c r="D1095">
        <v>0</v>
      </c>
      <c r="E1095" t="s">
        <v>34</v>
      </c>
      <c r="F1095" t="s">
        <v>34</v>
      </c>
      <c r="G1095" t="str">
        <f>"2025-12-26 09:22:42.272"</f>
        <v>2025-12-26 09:22:42.272</v>
      </c>
      <c r="H1095" t="s">
        <v>22</v>
      </c>
    </row>
    <row r="1096" spans="1:10" x14ac:dyDescent="0.25">
      <c r="A1096" s="1">
        <v>212</v>
      </c>
      <c r="B1096" t="s">
        <v>28</v>
      </c>
      <c r="C1096">
        <v>700</v>
      </c>
      <c r="D1096">
        <v>0</v>
      </c>
      <c r="E1096" t="s">
        <v>34</v>
      </c>
      <c r="F1096" t="s">
        <v>34</v>
      </c>
      <c r="G1096" t="str">
        <f>"2025-12-25 11:00:14.432"</f>
        <v>2025-12-25 11:00:14.432</v>
      </c>
      <c r="H1096" t="s">
        <v>22</v>
      </c>
    </row>
    <row r="1097" spans="1:10" x14ac:dyDescent="0.25">
      <c r="A1097" s="1">
        <v>213</v>
      </c>
      <c r="B1097" t="s">
        <v>37</v>
      </c>
      <c r="C1097">
        <v>635</v>
      </c>
      <c r="D1097">
        <v>1</v>
      </c>
      <c r="E1097" t="s">
        <v>53</v>
      </c>
      <c r="F1097" t="s">
        <v>48</v>
      </c>
      <c r="G1097" t="str">
        <f>"2025-12-25 05:07:59.331"</f>
        <v>2025-12-25 05:07:59.331</v>
      </c>
      <c r="H1097" t="s">
        <v>22</v>
      </c>
    </row>
    <row r="1098" spans="1:10" x14ac:dyDescent="0.25">
      <c r="A1098" s="1">
        <v>214</v>
      </c>
      <c r="B1098" t="s">
        <v>19</v>
      </c>
      <c r="C1098">
        <v>635</v>
      </c>
      <c r="D1098">
        <v>1</v>
      </c>
      <c r="E1098" t="s">
        <v>53</v>
      </c>
      <c r="F1098" t="s">
        <v>48</v>
      </c>
      <c r="G1098" t="str">
        <f>"2025-12-25 05:05:13.431"</f>
        <v>2025-12-25 05:05:13.431</v>
      </c>
      <c r="H1098" t="s">
        <v>22</v>
      </c>
      <c r="I1098">
        <v>2.38</v>
      </c>
      <c r="J1098" t="s">
        <v>45</v>
      </c>
    </row>
    <row r="1099" spans="1:10" x14ac:dyDescent="0.25">
      <c r="A1099" s="1">
        <v>215</v>
      </c>
      <c r="B1099" t="s">
        <v>37</v>
      </c>
      <c r="C1099">
        <v>98</v>
      </c>
      <c r="D1099">
        <v>1</v>
      </c>
      <c r="E1099" t="s">
        <v>76</v>
      </c>
      <c r="F1099" t="s">
        <v>77</v>
      </c>
      <c r="G1099" t="str">
        <f>"2025-12-24 20:11:54.043"</f>
        <v>2025-12-24 20:11:54.043</v>
      </c>
      <c r="H1099" t="s">
        <v>22</v>
      </c>
    </row>
    <row r="1100" spans="1:10" x14ac:dyDescent="0.25">
      <c r="A1100" s="1">
        <v>216</v>
      </c>
      <c r="B1100" t="s">
        <v>19</v>
      </c>
      <c r="C1100">
        <v>98</v>
      </c>
      <c r="D1100">
        <v>1</v>
      </c>
      <c r="E1100" t="s">
        <v>76</v>
      </c>
      <c r="F1100" t="s">
        <v>77</v>
      </c>
      <c r="G1100" t="str">
        <f>"2025-12-24 20:11:52.944"</f>
        <v>2025-12-24 20:11:52.944</v>
      </c>
      <c r="H1100" t="s">
        <v>22</v>
      </c>
      <c r="I1100">
        <v>0.26</v>
      </c>
      <c r="J1100" t="s">
        <v>54</v>
      </c>
    </row>
    <row r="1101" spans="1:10" x14ac:dyDescent="0.25">
      <c r="A1101" s="1">
        <v>217</v>
      </c>
      <c r="B1101" t="s">
        <v>37</v>
      </c>
      <c r="C1101">
        <v>635</v>
      </c>
      <c r="D1101">
        <v>1</v>
      </c>
      <c r="E1101" t="s">
        <v>53</v>
      </c>
      <c r="F1101" t="s">
        <v>48</v>
      </c>
      <c r="G1101" t="str">
        <f>"2025-12-24 17:13:39.331"</f>
        <v>2025-12-24 17:13:39.331</v>
      </c>
      <c r="H1101" t="s">
        <v>22</v>
      </c>
    </row>
    <row r="1102" spans="1:10" x14ac:dyDescent="0.25">
      <c r="A1102" s="1">
        <v>218</v>
      </c>
      <c r="B1102" t="s">
        <v>19</v>
      </c>
      <c r="C1102">
        <v>635</v>
      </c>
      <c r="D1102">
        <v>1</v>
      </c>
      <c r="E1102" t="s">
        <v>53</v>
      </c>
      <c r="F1102" t="s">
        <v>48</v>
      </c>
      <c r="G1102" t="str">
        <f>"2025-12-24 16:57:21.931"</f>
        <v>2025-12-24 16:57:21.931</v>
      </c>
      <c r="H1102" t="s">
        <v>22</v>
      </c>
      <c r="I1102">
        <v>0</v>
      </c>
      <c r="J1102" t="s">
        <v>50</v>
      </c>
    </row>
    <row r="1103" spans="1:10" x14ac:dyDescent="0.25">
      <c r="A1103" s="1">
        <v>219</v>
      </c>
      <c r="B1103" t="s">
        <v>37</v>
      </c>
      <c r="C1103">
        <v>635</v>
      </c>
      <c r="D1103">
        <v>1</v>
      </c>
      <c r="E1103" t="s">
        <v>53</v>
      </c>
      <c r="F1103" t="s">
        <v>48</v>
      </c>
      <c r="G1103" t="str">
        <f>"2025-12-24 02:30:25.631"</f>
        <v>2025-12-24 02:30:25.631</v>
      </c>
      <c r="H1103" t="s">
        <v>22</v>
      </c>
    </row>
    <row r="1104" spans="1:10" x14ac:dyDescent="0.25">
      <c r="A1104" s="1">
        <v>220</v>
      </c>
      <c r="B1104" t="s">
        <v>19</v>
      </c>
      <c r="C1104">
        <v>635</v>
      </c>
      <c r="D1104">
        <v>1</v>
      </c>
      <c r="E1104" t="s">
        <v>53</v>
      </c>
      <c r="F1104" t="s">
        <v>48</v>
      </c>
      <c r="G1104" t="str">
        <f>"2025-12-24 02:27:03.731"</f>
        <v>2025-12-24 02:27:03.731</v>
      </c>
      <c r="H1104" t="s">
        <v>22</v>
      </c>
      <c r="I1104">
        <v>0.37</v>
      </c>
      <c r="J1104" t="s">
        <v>45</v>
      </c>
    </row>
    <row r="1105" spans="1:10" x14ac:dyDescent="0.25">
      <c r="A1105" s="1">
        <v>221</v>
      </c>
      <c r="B1105" t="s">
        <v>37</v>
      </c>
      <c r="C1105">
        <v>98</v>
      </c>
      <c r="D1105">
        <v>1</v>
      </c>
      <c r="E1105" t="s">
        <v>76</v>
      </c>
      <c r="F1105" t="s">
        <v>77</v>
      </c>
      <c r="G1105" t="str">
        <f>"2025-12-22 20:00:46.043"</f>
        <v>2025-12-22 20:00:46.043</v>
      </c>
      <c r="H1105" t="s">
        <v>22</v>
      </c>
    </row>
    <row r="1106" spans="1:10" x14ac:dyDescent="0.25">
      <c r="A1106" s="1">
        <v>222</v>
      </c>
      <c r="B1106" t="s">
        <v>19</v>
      </c>
      <c r="C1106">
        <v>98</v>
      </c>
      <c r="D1106">
        <v>1</v>
      </c>
      <c r="E1106" t="s">
        <v>76</v>
      </c>
      <c r="F1106" t="s">
        <v>77</v>
      </c>
      <c r="G1106" t="str">
        <f>"2025-12-22 20:00:44.944"</f>
        <v>2025-12-22 20:00:44.944</v>
      </c>
      <c r="H1106" t="s">
        <v>22</v>
      </c>
      <c r="I1106">
        <v>0</v>
      </c>
      <c r="J1106" t="s">
        <v>50</v>
      </c>
    </row>
    <row r="1107" spans="1:10" x14ac:dyDescent="0.25">
      <c r="A1107" s="1">
        <v>223</v>
      </c>
      <c r="B1107" t="s">
        <v>28</v>
      </c>
      <c r="C1107">
        <v>700</v>
      </c>
      <c r="D1107">
        <v>0</v>
      </c>
      <c r="E1107" t="s">
        <v>34</v>
      </c>
      <c r="F1107" t="s">
        <v>34</v>
      </c>
      <c r="G1107" t="str">
        <f>"2025-12-22 09:14:11.293"</f>
        <v>2025-12-22 09:14:11.293</v>
      </c>
      <c r="H1107" t="s">
        <v>22</v>
      </c>
    </row>
    <row r="1108" spans="1:10" x14ac:dyDescent="0.25">
      <c r="A1108" s="1">
        <v>224</v>
      </c>
      <c r="B1108" t="s">
        <v>28</v>
      </c>
      <c r="C1108">
        <v>706</v>
      </c>
      <c r="D1108">
        <v>2</v>
      </c>
      <c r="E1108" t="s">
        <v>35</v>
      </c>
      <c r="F1108" t="s">
        <v>42</v>
      </c>
      <c r="G1108" t="str">
        <f>"2025-12-20 23:43:53.319"</f>
        <v>2025-12-20 23:43:53.319</v>
      </c>
      <c r="H1108" t="s">
        <v>22</v>
      </c>
      <c r="I1108">
        <v>0</v>
      </c>
      <c r="J1108" t="s">
        <v>23</v>
      </c>
    </row>
    <row r="1109" spans="1:10" x14ac:dyDescent="0.25">
      <c r="A1109" s="1">
        <v>225</v>
      </c>
      <c r="B1109" t="s">
        <v>28</v>
      </c>
      <c r="C1109">
        <v>700</v>
      </c>
      <c r="D1109">
        <v>0</v>
      </c>
      <c r="E1109" t="s">
        <v>34</v>
      </c>
      <c r="F1109" t="s">
        <v>34</v>
      </c>
      <c r="G1109" t="str">
        <f>"2025-12-20 22:14:55.269"</f>
        <v>2025-12-20 22:14:55.269</v>
      </c>
      <c r="H1109" t="s">
        <v>22</v>
      </c>
    </row>
    <row r="1110" spans="1:10" x14ac:dyDescent="0.25">
      <c r="A1110" s="1">
        <v>226</v>
      </c>
      <c r="B1110" t="s">
        <v>60</v>
      </c>
      <c r="C1110">
        <v>630</v>
      </c>
      <c r="D1110">
        <v>5</v>
      </c>
      <c r="E1110" t="s">
        <v>73</v>
      </c>
      <c r="F1110" t="s">
        <v>74</v>
      </c>
      <c r="G1110" t="str">
        <f>"2025-12-20 21:35:56.966"</f>
        <v>2025-12-20 21:35:56.966</v>
      </c>
      <c r="H1110" t="s">
        <v>75</v>
      </c>
      <c r="I1110">
        <v>0</v>
      </c>
      <c r="J1110" t="s">
        <v>23</v>
      </c>
    </row>
    <row r="1111" spans="1:10" x14ac:dyDescent="0.25">
      <c r="A1111" s="1">
        <v>227</v>
      </c>
      <c r="B1111" t="s">
        <v>28</v>
      </c>
      <c r="C1111">
        <v>700</v>
      </c>
      <c r="D1111">
        <v>0</v>
      </c>
      <c r="E1111" t="s">
        <v>34</v>
      </c>
      <c r="F1111" t="s">
        <v>34</v>
      </c>
      <c r="G1111" t="str">
        <f>"2025-12-20 21:30:54.338"</f>
        <v>2025-12-20 21:30:54.338</v>
      </c>
      <c r="H1111" t="s">
        <v>22</v>
      </c>
    </row>
    <row r="1112" spans="1:10" x14ac:dyDescent="0.25">
      <c r="A1112" s="1">
        <v>228</v>
      </c>
      <c r="B1112" t="s">
        <v>28</v>
      </c>
      <c r="C1112">
        <v>706</v>
      </c>
      <c r="D1112">
        <v>2</v>
      </c>
      <c r="E1112" t="s">
        <v>35</v>
      </c>
      <c r="F1112" t="s">
        <v>42</v>
      </c>
      <c r="G1112" t="str">
        <f>"2025-12-20 20:27:12.292"</f>
        <v>2025-12-20 20:27:12.292</v>
      </c>
      <c r="H1112" t="s">
        <v>22</v>
      </c>
      <c r="I1112">
        <v>0</v>
      </c>
      <c r="J1112" t="s">
        <v>23</v>
      </c>
    </row>
    <row r="1113" spans="1:10" x14ac:dyDescent="0.25">
      <c r="A1113" s="1">
        <v>229</v>
      </c>
      <c r="B1113" t="s">
        <v>28</v>
      </c>
      <c r="C1113">
        <v>700</v>
      </c>
      <c r="D1113">
        <v>0</v>
      </c>
      <c r="E1113" t="s">
        <v>34</v>
      </c>
      <c r="F1113" t="s">
        <v>34</v>
      </c>
      <c r="G1113" t="str">
        <f>"2025-12-19 17:19:31.262"</f>
        <v>2025-12-19 17:19:31.262</v>
      </c>
      <c r="H1113" t="s">
        <v>22</v>
      </c>
    </row>
    <row r="1114" spans="1:10" x14ac:dyDescent="0.25">
      <c r="A1114" s="1">
        <v>230</v>
      </c>
      <c r="B1114" t="s">
        <v>28</v>
      </c>
      <c r="C1114">
        <v>700</v>
      </c>
      <c r="D1114">
        <v>0</v>
      </c>
      <c r="E1114" t="s">
        <v>34</v>
      </c>
      <c r="F1114" t="s">
        <v>34</v>
      </c>
      <c r="G1114" t="str">
        <f>"2025-12-19 16:53:42.257"</f>
        <v>2025-12-19 16:53:42.257</v>
      </c>
      <c r="H1114" t="s">
        <v>22</v>
      </c>
      <c r="I1114">
        <v>0</v>
      </c>
      <c r="J1114" t="s">
        <v>46</v>
      </c>
    </row>
    <row r="1115" spans="1:10" x14ac:dyDescent="0.25">
      <c r="A1115" s="1">
        <v>231</v>
      </c>
      <c r="B1115" t="s">
        <v>37</v>
      </c>
      <c r="C1115">
        <v>61</v>
      </c>
      <c r="D1115">
        <v>2</v>
      </c>
      <c r="E1115" t="s">
        <v>69</v>
      </c>
      <c r="F1115" t="s">
        <v>70</v>
      </c>
      <c r="G1115" t="str">
        <f>"2025-12-19 07:32:37.597"</f>
        <v>2025-12-19 07:32:37.597</v>
      </c>
      <c r="H1115" t="s">
        <v>22</v>
      </c>
    </row>
    <row r="1116" spans="1:10" x14ac:dyDescent="0.25">
      <c r="A1116" s="1">
        <v>232</v>
      </c>
      <c r="B1116" t="s">
        <v>60</v>
      </c>
      <c r="C1116">
        <v>61</v>
      </c>
      <c r="D1116">
        <v>2</v>
      </c>
      <c r="E1116" t="s">
        <v>69</v>
      </c>
      <c r="F1116" t="s">
        <v>70</v>
      </c>
      <c r="G1116" t="str">
        <f>"2025-12-19 07:32:25.897"</f>
        <v>2025-12-19 07:32:25.897</v>
      </c>
      <c r="H1116" t="s">
        <v>22</v>
      </c>
      <c r="I1116">
        <v>29.47</v>
      </c>
      <c r="J1116" t="s">
        <v>45</v>
      </c>
    </row>
    <row r="1117" spans="1:10" x14ac:dyDescent="0.25">
      <c r="A1117" s="1">
        <v>233</v>
      </c>
      <c r="B1117" t="s">
        <v>37</v>
      </c>
      <c r="C1117">
        <v>635</v>
      </c>
      <c r="D1117">
        <v>1</v>
      </c>
      <c r="E1117" t="s">
        <v>53</v>
      </c>
      <c r="F1117" t="s">
        <v>48</v>
      </c>
      <c r="G1117" t="str">
        <f>"2025-12-18 21:47:00.784"</f>
        <v>2025-12-18 21:47:00.784</v>
      </c>
      <c r="H1117" t="s">
        <v>22</v>
      </c>
    </row>
    <row r="1118" spans="1:10" x14ac:dyDescent="0.25">
      <c r="A1118" s="1">
        <v>234</v>
      </c>
      <c r="B1118" t="s">
        <v>19</v>
      </c>
      <c r="C1118">
        <v>635</v>
      </c>
      <c r="D1118">
        <v>1</v>
      </c>
      <c r="E1118" t="s">
        <v>53</v>
      </c>
      <c r="F1118" t="s">
        <v>48</v>
      </c>
      <c r="G1118" t="str">
        <f>"2025-12-18 21:41:33.284"</f>
        <v>2025-12-18 21:41:33.284</v>
      </c>
      <c r="H1118" t="s">
        <v>22</v>
      </c>
      <c r="I1118">
        <v>6.83</v>
      </c>
      <c r="J1118" t="s">
        <v>54</v>
      </c>
    </row>
    <row r="1119" spans="1:10" x14ac:dyDescent="0.25">
      <c r="A1119" s="1">
        <v>235</v>
      </c>
      <c r="B1119" t="s">
        <v>37</v>
      </c>
      <c r="C1119">
        <v>98</v>
      </c>
      <c r="D1119">
        <v>1</v>
      </c>
      <c r="E1119" t="s">
        <v>76</v>
      </c>
      <c r="F1119" t="s">
        <v>77</v>
      </c>
      <c r="G1119" t="str">
        <f>"2025-12-18 10:03:33.396"</f>
        <v>2025-12-18 10:03:33.396</v>
      </c>
      <c r="H1119" t="s">
        <v>22</v>
      </c>
    </row>
    <row r="1120" spans="1:10" x14ac:dyDescent="0.25">
      <c r="A1120" s="1">
        <v>236</v>
      </c>
      <c r="B1120" t="s">
        <v>19</v>
      </c>
      <c r="C1120">
        <v>98</v>
      </c>
      <c r="D1120">
        <v>1</v>
      </c>
      <c r="E1120" t="s">
        <v>76</v>
      </c>
      <c r="F1120" t="s">
        <v>77</v>
      </c>
      <c r="G1120" t="str">
        <f>"2025-12-18 10:03:31.997"</f>
        <v>2025-12-18 10:03:31.997</v>
      </c>
      <c r="H1120" t="s">
        <v>22</v>
      </c>
      <c r="I1120">
        <v>0</v>
      </c>
      <c r="J1120" t="s">
        <v>50</v>
      </c>
    </row>
    <row r="1121" spans="1:10" x14ac:dyDescent="0.25">
      <c r="A1121" s="1">
        <v>237</v>
      </c>
      <c r="B1121" t="s">
        <v>37</v>
      </c>
      <c r="C1121">
        <v>635</v>
      </c>
      <c r="D1121">
        <v>1</v>
      </c>
      <c r="E1121" t="s">
        <v>53</v>
      </c>
      <c r="F1121" t="s">
        <v>48</v>
      </c>
      <c r="G1121" t="str">
        <f>"2025-12-17 18:07:08.684"</f>
        <v>2025-12-17 18:07:08.684</v>
      </c>
      <c r="H1121" t="s">
        <v>22</v>
      </c>
    </row>
    <row r="1122" spans="1:10" x14ac:dyDescent="0.25">
      <c r="A1122" s="1">
        <v>238</v>
      </c>
      <c r="B1122" t="s">
        <v>19</v>
      </c>
      <c r="C1122">
        <v>635</v>
      </c>
      <c r="D1122">
        <v>1</v>
      </c>
      <c r="E1122" t="s">
        <v>53</v>
      </c>
      <c r="F1122" t="s">
        <v>48</v>
      </c>
      <c r="G1122" t="str">
        <f>"2025-12-17 18:02:44.284"</f>
        <v>2025-12-17 18:02:44.284</v>
      </c>
      <c r="H1122" t="s">
        <v>22</v>
      </c>
      <c r="I1122">
        <v>3.26</v>
      </c>
      <c r="J1122" t="s">
        <v>45</v>
      </c>
    </row>
    <row r="1123" spans="1:10" x14ac:dyDescent="0.25">
      <c r="A1123" s="1">
        <v>239</v>
      </c>
      <c r="B1123" t="s">
        <v>37</v>
      </c>
      <c r="C1123">
        <v>635</v>
      </c>
      <c r="D1123">
        <v>1</v>
      </c>
      <c r="E1123" t="s">
        <v>53</v>
      </c>
      <c r="F1123" t="s">
        <v>48</v>
      </c>
      <c r="G1123" t="str">
        <f>"2025-12-17 00:07:07.984"</f>
        <v>2025-12-17 00:07:07.984</v>
      </c>
      <c r="H1123" t="s">
        <v>22</v>
      </c>
    </row>
    <row r="1124" spans="1:10" x14ac:dyDescent="0.25">
      <c r="A1124" s="1">
        <v>240</v>
      </c>
      <c r="B1124" t="s">
        <v>19</v>
      </c>
      <c r="C1124">
        <v>635</v>
      </c>
      <c r="D1124">
        <v>1</v>
      </c>
      <c r="E1124" t="s">
        <v>53</v>
      </c>
      <c r="F1124" t="s">
        <v>48</v>
      </c>
      <c r="G1124" t="str">
        <f>"2025-12-17 00:03:36.484"</f>
        <v>2025-12-17 00:03:36.484</v>
      </c>
      <c r="H1124" t="s">
        <v>22</v>
      </c>
      <c r="I1124">
        <v>1.67</v>
      </c>
      <c r="J1124" t="s">
        <v>50</v>
      </c>
    </row>
    <row r="1125" spans="1:10" x14ac:dyDescent="0.25">
      <c r="A1125" s="1">
        <v>241</v>
      </c>
      <c r="B1125" t="s">
        <v>28</v>
      </c>
      <c r="C1125">
        <v>700</v>
      </c>
      <c r="D1125">
        <v>0</v>
      </c>
      <c r="E1125" t="s">
        <v>34</v>
      </c>
      <c r="F1125" t="s">
        <v>34</v>
      </c>
      <c r="G1125" t="str">
        <f>"2025-12-16 04:19:53.247"</f>
        <v>2025-12-16 04:19:53.247</v>
      </c>
      <c r="H1125" t="s">
        <v>22</v>
      </c>
      <c r="I1125">
        <v>0</v>
      </c>
      <c r="J1125" t="s">
        <v>46</v>
      </c>
    </row>
    <row r="1126" spans="1:10" x14ac:dyDescent="0.25">
      <c r="A1126" s="1">
        <v>242</v>
      </c>
      <c r="B1126" t="s">
        <v>37</v>
      </c>
      <c r="C1126">
        <v>635</v>
      </c>
      <c r="D1126">
        <v>1</v>
      </c>
      <c r="E1126" t="s">
        <v>53</v>
      </c>
      <c r="F1126" t="s">
        <v>48</v>
      </c>
      <c r="G1126" t="str">
        <f>"2025-12-14 10:51:12.891"</f>
        <v>2025-12-14 10:51:12.891</v>
      </c>
      <c r="H1126" t="s">
        <v>22</v>
      </c>
    </row>
    <row r="1127" spans="1:10" x14ac:dyDescent="0.25">
      <c r="A1127" s="1">
        <v>243</v>
      </c>
      <c r="B1127" t="s">
        <v>19</v>
      </c>
      <c r="C1127">
        <v>635</v>
      </c>
      <c r="D1127">
        <v>1</v>
      </c>
      <c r="E1127" t="s">
        <v>53</v>
      </c>
      <c r="F1127" t="s">
        <v>48</v>
      </c>
      <c r="G1127" t="str">
        <f>"2025-12-14 10:41:08.391"</f>
        <v>2025-12-14 10:41:08.391</v>
      </c>
      <c r="H1127" t="s">
        <v>22</v>
      </c>
      <c r="I1127">
        <v>2.95</v>
      </c>
      <c r="J1127" t="s">
        <v>54</v>
      </c>
    </row>
    <row r="1128" spans="1:10" x14ac:dyDescent="0.25">
      <c r="A1128" s="1">
        <v>244</v>
      </c>
      <c r="B1128" t="s">
        <v>55</v>
      </c>
      <c r="C1128">
        <v>33</v>
      </c>
      <c r="D1128">
        <v>1</v>
      </c>
      <c r="E1128" t="s">
        <v>81</v>
      </c>
      <c r="F1128" t="s">
        <v>82</v>
      </c>
      <c r="G1128" t="str">
        <f>"2025-12-13 12:07:21.544"</f>
        <v>2025-12-13 12:07:21.544</v>
      </c>
      <c r="H1128" t="s">
        <v>83</v>
      </c>
    </row>
    <row r="1129" spans="1:10" x14ac:dyDescent="0.25">
      <c r="A1129" s="1">
        <v>245</v>
      </c>
      <c r="B1129" t="s">
        <v>60</v>
      </c>
      <c r="C1129">
        <v>33</v>
      </c>
      <c r="D1129">
        <v>1</v>
      </c>
      <c r="E1129" t="s">
        <v>81</v>
      </c>
      <c r="F1129" t="s">
        <v>82</v>
      </c>
      <c r="G1129" t="str">
        <f>"2025-12-13 12:06:57.703"</f>
        <v>2025-12-13 12:06:57.703</v>
      </c>
      <c r="H1129" t="s">
        <v>83</v>
      </c>
      <c r="I1129">
        <v>8.84</v>
      </c>
      <c r="J1129" t="s">
        <v>54</v>
      </c>
    </row>
    <row r="1130" spans="1:10" x14ac:dyDescent="0.25">
      <c r="A1130" s="1">
        <v>246</v>
      </c>
      <c r="B1130" t="s">
        <v>37</v>
      </c>
      <c r="C1130">
        <v>98</v>
      </c>
      <c r="D1130">
        <v>1</v>
      </c>
      <c r="E1130" t="s">
        <v>76</v>
      </c>
      <c r="F1130" t="s">
        <v>77</v>
      </c>
      <c r="G1130" t="str">
        <f>"2025-12-12 19:31:05.303"</f>
        <v>2025-12-12 19:31:05.303</v>
      </c>
      <c r="H1130" t="s">
        <v>22</v>
      </c>
    </row>
    <row r="1131" spans="1:10" x14ac:dyDescent="0.25">
      <c r="A1131" s="1">
        <v>247</v>
      </c>
      <c r="B1131" t="s">
        <v>19</v>
      </c>
      <c r="C1131">
        <v>98</v>
      </c>
      <c r="D1131">
        <v>1</v>
      </c>
      <c r="E1131" t="s">
        <v>76</v>
      </c>
      <c r="F1131" t="s">
        <v>77</v>
      </c>
      <c r="G1131" t="str">
        <f>"2025-12-12 19:31:04.204"</f>
        <v>2025-12-12 19:31:04.204</v>
      </c>
      <c r="H1131" t="s">
        <v>22</v>
      </c>
      <c r="I1131">
        <v>0.01</v>
      </c>
      <c r="J1131" t="s">
        <v>50</v>
      </c>
    </row>
    <row r="1132" spans="1:10" x14ac:dyDescent="0.25">
      <c r="A1132" s="1">
        <v>248</v>
      </c>
      <c r="B1132" t="s">
        <v>37</v>
      </c>
      <c r="C1132">
        <v>635</v>
      </c>
      <c r="D1132">
        <v>1</v>
      </c>
      <c r="E1132" t="s">
        <v>53</v>
      </c>
      <c r="F1132" t="s">
        <v>48</v>
      </c>
      <c r="G1132" t="str">
        <f>"2025-12-11 10:35:34.991"</f>
        <v>2025-12-11 10:35:34.991</v>
      </c>
      <c r="H1132" t="s">
        <v>22</v>
      </c>
    </row>
    <row r="1133" spans="1:10" x14ac:dyDescent="0.25">
      <c r="A1133" s="1">
        <v>249</v>
      </c>
      <c r="B1133" t="s">
        <v>19</v>
      </c>
      <c r="C1133">
        <v>635</v>
      </c>
      <c r="D1133">
        <v>1</v>
      </c>
      <c r="E1133" t="s">
        <v>53</v>
      </c>
      <c r="F1133" t="s">
        <v>48</v>
      </c>
      <c r="G1133" t="str">
        <f>"2025-12-11 10:32:29.491"</f>
        <v>2025-12-11 10:32:29.491</v>
      </c>
      <c r="H1133" t="s">
        <v>22</v>
      </c>
      <c r="I1133">
        <v>0</v>
      </c>
      <c r="J1133" t="s">
        <v>50</v>
      </c>
    </row>
    <row r="1134" spans="1:10" x14ac:dyDescent="0.25">
      <c r="A1134" s="1">
        <v>250</v>
      </c>
      <c r="B1134" t="s">
        <v>37</v>
      </c>
      <c r="C1134">
        <v>635</v>
      </c>
      <c r="D1134">
        <v>1</v>
      </c>
      <c r="E1134" t="s">
        <v>53</v>
      </c>
      <c r="F1134" t="s">
        <v>48</v>
      </c>
      <c r="G1134" t="str">
        <f>"2025-12-10 13:22:00.591"</f>
        <v>2025-12-10 13:22:00.591</v>
      </c>
      <c r="H1134" t="s">
        <v>22</v>
      </c>
    </row>
    <row r="1135" spans="1:10" x14ac:dyDescent="0.25">
      <c r="A1135" s="1">
        <v>251</v>
      </c>
      <c r="B1135" t="s">
        <v>19</v>
      </c>
      <c r="C1135">
        <v>635</v>
      </c>
      <c r="D1135">
        <v>1</v>
      </c>
      <c r="E1135" t="s">
        <v>53</v>
      </c>
      <c r="F1135" t="s">
        <v>48</v>
      </c>
      <c r="G1135" t="str">
        <f>"2025-12-10 13:19:28.091"</f>
        <v>2025-12-10 13:19:28.091</v>
      </c>
      <c r="H1135" t="s">
        <v>22</v>
      </c>
      <c r="I1135">
        <v>2.14</v>
      </c>
      <c r="J1135" t="s">
        <v>50</v>
      </c>
    </row>
    <row r="1136" spans="1:10" x14ac:dyDescent="0.25">
      <c r="A1136" s="1">
        <v>252</v>
      </c>
      <c r="B1136" t="s">
        <v>28</v>
      </c>
      <c r="C1136">
        <v>706</v>
      </c>
      <c r="D1136">
        <v>4</v>
      </c>
      <c r="E1136" t="s">
        <v>35</v>
      </c>
      <c r="F1136" t="s">
        <v>36</v>
      </c>
      <c r="G1136" t="str">
        <f>"2025-12-10 09:41:35.304"</f>
        <v>2025-12-10 09:41:35.304</v>
      </c>
      <c r="H1136" t="s">
        <v>22</v>
      </c>
      <c r="I1136">
        <v>0</v>
      </c>
      <c r="J1136" t="s">
        <v>23</v>
      </c>
    </row>
    <row r="1137" spans="1:10" x14ac:dyDescent="0.25">
      <c r="A1137" s="1">
        <v>253</v>
      </c>
      <c r="B1137" t="s">
        <v>28</v>
      </c>
      <c r="C1137">
        <v>700</v>
      </c>
      <c r="D1137">
        <v>0</v>
      </c>
      <c r="E1137" t="s">
        <v>34</v>
      </c>
      <c r="F1137" t="s">
        <v>34</v>
      </c>
      <c r="G1137" t="str">
        <f>"2025-12-10 06:45:24.244"</f>
        <v>2025-12-10 06:45:24.244</v>
      </c>
      <c r="H1137" t="s">
        <v>22</v>
      </c>
    </row>
    <row r="1138" spans="1:10" x14ac:dyDescent="0.25">
      <c r="A1138" s="1">
        <v>254</v>
      </c>
      <c r="B1138" t="s">
        <v>37</v>
      </c>
      <c r="C1138">
        <v>630</v>
      </c>
      <c r="D1138">
        <v>5</v>
      </c>
      <c r="E1138" t="s">
        <v>73</v>
      </c>
      <c r="F1138" t="s">
        <v>74</v>
      </c>
      <c r="G1138" t="str">
        <f>"2025-12-10 06:37:30.554"</f>
        <v>2025-12-10 06:37:30.554</v>
      </c>
      <c r="H1138" t="s">
        <v>75</v>
      </c>
    </row>
    <row r="1139" spans="1:10" x14ac:dyDescent="0.25">
      <c r="A1139" s="1">
        <v>255</v>
      </c>
      <c r="B1139" t="s">
        <v>28</v>
      </c>
      <c r="C1139">
        <v>706</v>
      </c>
      <c r="D1139">
        <v>4</v>
      </c>
      <c r="E1139" t="s">
        <v>35</v>
      </c>
      <c r="F1139" t="s">
        <v>36</v>
      </c>
      <c r="G1139" t="str">
        <f>"2025-12-10 06:37:00.456"</f>
        <v>2025-12-10 06:37:00.456</v>
      </c>
      <c r="H1139" t="s">
        <v>22</v>
      </c>
      <c r="I1139">
        <v>0</v>
      </c>
      <c r="J1139" t="s">
        <v>23</v>
      </c>
    </row>
    <row r="1140" spans="1:10" x14ac:dyDescent="0.25">
      <c r="A1140" s="1">
        <v>256</v>
      </c>
      <c r="B1140" t="s">
        <v>60</v>
      </c>
      <c r="C1140">
        <v>630</v>
      </c>
      <c r="D1140">
        <v>5</v>
      </c>
      <c r="E1140" t="s">
        <v>73</v>
      </c>
      <c r="F1140" t="s">
        <v>74</v>
      </c>
      <c r="G1140" t="str">
        <f>"2025-12-10 06:33:35.155"</f>
        <v>2025-12-10 06:33:35.155</v>
      </c>
      <c r="H1140" t="s">
        <v>75</v>
      </c>
      <c r="I1140">
        <v>0</v>
      </c>
      <c r="J1140" t="s">
        <v>23</v>
      </c>
    </row>
    <row r="1141" spans="1:10" x14ac:dyDescent="0.25">
      <c r="A1141" s="1">
        <v>257</v>
      </c>
      <c r="B1141" t="s">
        <v>28</v>
      </c>
      <c r="C1141">
        <v>700</v>
      </c>
      <c r="D1141">
        <v>0</v>
      </c>
      <c r="E1141" t="s">
        <v>34</v>
      </c>
      <c r="F1141" t="s">
        <v>34</v>
      </c>
      <c r="G1141" t="str">
        <f>"2025-12-10 06:28:32.366"</f>
        <v>2025-12-10 06:28:32.366</v>
      </c>
      <c r="H1141" t="s">
        <v>22</v>
      </c>
      <c r="I1141">
        <v>0</v>
      </c>
      <c r="J1141" t="s">
        <v>46</v>
      </c>
    </row>
    <row r="1142" spans="1:10" x14ac:dyDescent="0.25">
      <c r="A1142" s="1">
        <v>258</v>
      </c>
      <c r="B1142" t="s">
        <v>28</v>
      </c>
      <c r="C1142">
        <v>700</v>
      </c>
      <c r="D1142">
        <v>0</v>
      </c>
      <c r="E1142" t="s">
        <v>34</v>
      </c>
      <c r="F1142" t="s">
        <v>34</v>
      </c>
      <c r="G1142" t="str">
        <f>"2025-12-09 04:21:32.264"</f>
        <v>2025-12-09 04:21:32.264</v>
      </c>
      <c r="H1142" t="s">
        <v>22</v>
      </c>
      <c r="I1142">
        <v>0</v>
      </c>
      <c r="J1142" t="s">
        <v>46</v>
      </c>
    </row>
    <row r="1143" spans="1:10" x14ac:dyDescent="0.25">
      <c r="A1143" s="1">
        <v>259</v>
      </c>
      <c r="B1143" t="s">
        <v>37</v>
      </c>
      <c r="C1143">
        <v>635</v>
      </c>
      <c r="D1143">
        <v>1</v>
      </c>
      <c r="E1143" t="s">
        <v>53</v>
      </c>
      <c r="F1143" t="s">
        <v>48</v>
      </c>
      <c r="G1143" t="str">
        <f>"2025-12-08 21:58:08.329"</f>
        <v>2025-12-08 21:58:08.329</v>
      </c>
      <c r="H1143" t="s">
        <v>22</v>
      </c>
    </row>
    <row r="1144" spans="1:10" x14ac:dyDescent="0.25">
      <c r="A1144" s="1">
        <v>260</v>
      </c>
      <c r="B1144" t="s">
        <v>19</v>
      </c>
      <c r="C1144">
        <v>635</v>
      </c>
      <c r="D1144">
        <v>1</v>
      </c>
      <c r="E1144" t="s">
        <v>53</v>
      </c>
      <c r="F1144" t="s">
        <v>48</v>
      </c>
      <c r="G1144" t="str">
        <f>"2025-12-08 21:55:33.329"</f>
        <v>2025-12-08 21:55:33.329</v>
      </c>
      <c r="H1144" t="s">
        <v>22</v>
      </c>
      <c r="I1144">
        <v>-0.09</v>
      </c>
      <c r="J1144" t="s">
        <v>50</v>
      </c>
    </row>
    <row r="1145" spans="1:10" x14ac:dyDescent="0.25">
      <c r="A1145" s="1">
        <v>261</v>
      </c>
      <c r="B1145" t="s">
        <v>37</v>
      </c>
      <c r="C1145">
        <v>635</v>
      </c>
      <c r="D1145">
        <v>1</v>
      </c>
      <c r="E1145" t="s">
        <v>53</v>
      </c>
      <c r="F1145" t="s">
        <v>48</v>
      </c>
      <c r="G1145" t="str">
        <f>"2025-12-08 17:02:41.929"</f>
        <v>2025-12-08 17:02:41.929</v>
      </c>
      <c r="H1145" t="s">
        <v>22</v>
      </c>
    </row>
    <row r="1146" spans="1:10" x14ac:dyDescent="0.25">
      <c r="A1146" s="1">
        <v>262</v>
      </c>
      <c r="B1146" t="s">
        <v>19</v>
      </c>
      <c r="C1146">
        <v>635</v>
      </c>
      <c r="D1146">
        <v>1</v>
      </c>
      <c r="E1146" t="s">
        <v>53</v>
      </c>
      <c r="F1146" t="s">
        <v>48</v>
      </c>
      <c r="G1146" t="str">
        <f>"2025-12-08 17:00:10.930"</f>
        <v>2025-12-08 17:00:10.930</v>
      </c>
      <c r="H1146" t="s">
        <v>22</v>
      </c>
      <c r="I1146">
        <v>2.97</v>
      </c>
      <c r="J1146" t="s">
        <v>45</v>
      </c>
    </row>
    <row r="1147" spans="1:10" x14ac:dyDescent="0.25">
      <c r="A1147" s="1">
        <v>263</v>
      </c>
      <c r="B1147" t="s">
        <v>37</v>
      </c>
      <c r="C1147">
        <v>61</v>
      </c>
      <c r="D1147">
        <v>2</v>
      </c>
      <c r="E1147" t="s">
        <v>69</v>
      </c>
      <c r="F1147" t="s">
        <v>70</v>
      </c>
      <c r="G1147" t="str">
        <f>"2025-12-07 19:41:29.790"</f>
        <v>2025-12-07 19:41:29.790</v>
      </c>
      <c r="H1147" t="s">
        <v>22</v>
      </c>
    </row>
    <row r="1148" spans="1:10" x14ac:dyDescent="0.25">
      <c r="A1148" s="1">
        <v>264</v>
      </c>
      <c r="B1148" t="s">
        <v>60</v>
      </c>
      <c r="C1148">
        <v>61</v>
      </c>
      <c r="D1148">
        <v>2</v>
      </c>
      <c r="E1148" t="s">
        <v>69</v>
      </c>
      <c r="F1148" t="s">
        <v>70</v>
      </c>
      <c r="G1148" t="str">
        <f>"2025-12-07 19:40:59.290"</f>
        <v>2025-12-07 19:40:59.290</v>
      </c>
      <c r="H1148" t="s">
        <v>22</v>
      </c>
      <c r="I1148">
        <v>30.01</v>
      </c>
      <c r="J1148" t="s">
        <v>45</v>
      </c>
    </row>
    <row r="1149" spans="1:10" x14ac:dyDescent="0.25">
      <c r="A1149" s="1">
        <v>265</v>
      </c>
      <c r="B1149" t="s">
        <v>28</v>
      </c>
      <c r="C1149">
        <v>700</v>
      </c>
      <c r="D1149">
        <v>0</v>
      </c>
      <c r="E1149" t="s">
        <v>34</v>
      </c>
      <c r="F1149" t="s">
        <v>34</v>
      </c>
      <c r="G1149" t="str">
        <f>"2025-12-04 18:26:15.219"</f>
        <v>2025-12-04 18:26:15.219</v>
      </c>
      <c r="H1149" t="s">
        <v>22</v>
      </c>
      <c r="I1149">
        <v>0</v>
      </c>
      <c r="J1149" t="s">
        <v>46</v>
      </c>
    </row>
    <row r="1150" spans="1:10" x14ac:dyDescent="0.25">
      <c r="A1150" s="1">
        <v>266</v>
      </c>
      <c r="B1150" t="s">
        <v>60</v>
      </c>
      <c r="C1150">
        <v>630</v>
      </c>
      <c r="D1150">
        <v>5</v>
      </c>
      <c r="E1150" t="s">
        <v>73</v>
      </c>
      <c r="F1150" t="s">
        <v>74</v>
      </c>
      <c r="G1150" t="str">
        <f>"2025-12-04 17:44:49.072"</f>
        <v>2025-12-04 17:44:49.072</v>
      </c>
      <c r="H1150" t="s">
        <v>75</v>
      </c>
      <c r="I1150">
        <v>0</v>
      </c>
      <c r="J1150" t="s">
        <v>23</v>
      </c>
    </row>
    <row r="1151" spans="1:10" x14ac:dyDescent="0.25">
      <c r="A1151" s="1">
        <v>267</v>
      </c>
      <c r="B1151" t="s">
        <v>28</v>
      </c>
      <c r="C1151">
        <v>700</v>
      </c>
      <c r="D1151">
        <v>0</v>
      </c>
      <c r="E1151" t="s">
        <v>34</v>
      </c>
      <c r="F1151" t="s">
        <v>34</v>
      </c>
      <c r="G1151" t="str">
        <f>"2025-12-04 17:39:46.288"</f>
        <v>2025-12-04 17:39:46.288</v>
      </c>
      <c r="H1151" t="s">
        <v>22</v>
      </c>
    </row>
    <row r="1152" spans="1:10" x14ac:dyDescent="0.25">
      <c r="A1152" s="1">
        <v>268</v>
      </c>
      <c r="B1152" t="s">
        <v>28</v>
      </c>
      <c r="C1152">
        <v>700</v>
      </c>
      <c r="D1152">
        <v>0</v>
      </c>
      <c r="E1152" t="s">
        <v>34</v>
      </c>
      <c r="F1152" t="s">
        <v>34</v>
      </c>
      <c r="G1152" t="str">
        <f>"2025-12-04 17:32:14.213"</f>
        <v>2025-12-04 17:32:14.213</v>
      </c>
      <c r="H1152" t="s">
        <v>22</v>
      </c>
    </row>
    <row r="1153" spans="1:10" x14ac:dyDescent="0.25">
      <c r="A1153" s="1">
        <v>269</v>
      </c>
      <c r="B1153" t="s">
        <v>28</v>
      </c>
      <c r="C1153">
        <v>700</v>
      </c>
      <c r="D1153">
        <v>0</v>
      </c>
      <c r="E1153" t="s">
        <v>34</v>
      </c>
      <c r="F1153" t="s">
        <v>34</v>
      </c>
      <c r="G1153" t="str">
        <f>"2025-12-04 17:08:05.341"</f>
        <v>2025-12-04 17:08:05.341</v>
      </c>
      <c r="H1153" t="s">
        <v>22</v>
      </c>
    </row>
    <row r="1154" spans="1:10" x14ac:dyDescent="0.25">
      <c r="A1154" s="1">
        <v>270</v>
      </c>
      <c r="B1154" t="s">
        <v>28</v>
      </c>
      <c r="C1154">
        <v>700</v>
      </c>
      <c r="D1154">
        <v>0</v>
      </c>
      <c r="E1154" t="s">
        <v>34</v>
      </c>
      <c r="F1154" t="s">
        <v>34</v>
      </c>
      <c r="G1154" t="str">
        <f>"2025-12-03 19:47:16.243"</f>
        <v>2025-12-03 19:47:16.243</v>
      </c>
      <c r="H1154" t="s">
        <v>22</v>
      </c>
      <c r="I1154">
        <v>0</v>
      </c>
      <c r="J1154" t="s">
        <v>46</v>
      </c>
    </row>
    <row r="1155" spans="1:10" x14ac:dyDescent="0.25">
      <c r="A1155" s="1">
        <v>273</v>
      </c>
      <c r="B1155" t="s">
        <v>28</v>
      </c>
      <c r="C1155">
        <v>700</v>
      </c>
      <c r="D1155">
        <v>0</v>
      </c>
      <c r="E1155" t="s">
        <v>34</v>
      </c>
      <c r="F1155" t="s">
        <v>34</v>
      </c>
      <c r="G1155" t="str">
        <f>"2025-12-01 16:52:01.193"</f>
        <v>2025-12-01 16:52:01.193</v>
      </c>
      <c r="H1155" t="s">
        <v>22</v>
      </c>
      <c r="I1155">
        <v>0</v>
      </c>
      <c r="J1155" t="s">
        <v>46</v>
      </c>
    </row>
    <row r="1156" spans="1:10" x14ac:dyDescent="0.25">
      <c r="A1156" s="1">
        <v>274</v>
      </c>
      <c r="B1156" t="s">
        <v>37</v>
      </c>
      <c r="C1156">
        <v>630</v>
      </c>
      <c r="D1156">
        <v>5</v>
      </c>
      <c r="E1156" t="s">
        <v>73</v>
      </c>
      <c r="F1156" t="s">
        <v>74</v>
      </c>
      <c r="G1156" t="str">
        <f>"2025-12-01 15:55:34.432"</f>
        <v>2025-12-01 15:55:34.432</v>
      </c>
      <c r="H1156" t="s">
        <v>75</v>
      </c>
    </row>
    <row r="1157" spans="1:10" x14ac:dyDescent="0.25">
      <c r="A1157" s="1">
        <v>275</v>
      </c>
      <c r="B1157" t="s">
        <v>28</v>
      </c>
      <c r="C1157">
        <v>706</v>
      </c>
      <c r="D1157">
        <v>4</v>
      </c>
      <c r="E1157" t="s">
        <v>35</v>
      </c>
      <c r="F1157" t="s">
        <v>36</v>
      </c>
      <c r="G1157" t="str">
        <f>"2025-12-01 15:55:04.450"</f>
        <v>2025-12-01 15:55:04.450</v>
      </c>
      <c r="H1157" t="s">
        <v>22</v>
      </c>
      <c r="I1157">
        <v>0</v>
      </c>
      <c r="J1157" t="s">
        <v>23</v>
      </c>
    </row>
    <row r="1158" spans="1:10" x14ac:dyDescent="0.25">
      <c r="A1158" s="1">
        <v>276</v>
      </c>
      <c r="B1158" t="s">
        <v>28</v>
      </c>
      <c r="C1158">
        <v>706</v>
      </c>
      <c r="D1158">
        <v>2</v>
      </c>
      <c r="E1158" t="s">
        <v>35</v>
      </c>
      <c r="F1158" t="s">
        <v>42</v>
      </c>
      <c r="G1158" t="str">
        <f>"2025-12-01 15:54:49.520"</f>
        <v>2025-12-01 15:54:49.520</v>
      </c>
      <c r="H1158" t="s">
        <v>22</v>
      </c>
      <c r="I1158">
        <v>0</v>
      </c>
      <c r="J1158" t="s">
        <v>23</v>
      </c>
    </row>
    <row r="1159" spans="1:10" x14ac:dyDescent="0.25">
      <c r="A1159" s="1">
        <v>277</v>
      </c>
      <c r="B1159" t="s">
        <v>60</v>
      </c>
      <c r="C1159">
        <v>630</v>
      </c>
      <c r="D1159">
        <v>5</v>
      </c>
      <c r="E1159" t="s">
        <v>73</v>
      </c>
      <c r="F1159" t="s">
        <v>74</v>
      </c>
      <c r="G1159" t="str">
        <f>"2025-12-01 15:50:20.032"</f>
        <v>2025-12-01 15:50:20.032</v>
      </c>
      <c r="H1159" t="s">
        <v>75</v>
      </c>
      <c r="I1159">
        <v>0</v>
      </c>
      <c r="J1159" t="s">
        <v>23</v>
      </c>
    </row>
    <row r="1160" spans="1:10" x14ac:dyDescent="0.25">
      <c r="A1160" s="1">
        <v>278</v>
      </c>
      <c r="B1160" t="s">
        <v>28</v>
      </c>
      <c r="C1160">
        <v>700</v>
      </c>
      <c r="D1160">
        <v>0</v>
      </c>
      <c r="E1160" t="s">
        <v>34</v>
      </c>
      <c r="F1160" t="s">
        <v>34</v>
      </c>
      <c r="G1160" t="str">
        <f>"2025-12-01 15:45:17.190"</f>
        <v>2025-12-01 15:45:17.190</v>
      </c>
      <c r="H1160" t="s">
        <v>22</v>
      </c>
    </row>
    <row r="1161" spans="1:10" x14ac:dyDescent="0.25">
      <c r="A1161" s="1">
        <v>279</v>
      </c>
      <c r="B1161" t="s">
        <v>60</v>
      </c>
      <c r="C1161">
        <v>630</v>
      </c>
      <c r="D1161">
        <v>5</v>
      </c>
      <c r="E1161" t="s">
        <v>73</v>
      </c>
      <c r="F1161" t="s">
        <v>74</v>
      </c>
      <c r="G1161" t="str">
        <f>"2025-12-01 10:25:22.990"</f>
        <v>2025-12-01 10:25:22.990</v>
      </c>
      <c r="H1161" t="s">
        <v>75</v>
      </c>
      <c r="I1161">
        <v>0</v>
      </c>
      <c r="J1161" t="s">
        <v>23</v>
      </c>
    </row>
    <row r="1162" spans="1:10" x14ac:dyDescent="0.25">
      <c r="A1162" s="1">
        <v>280</v>
      </c>
      <c r="B1162" t="s">
        <v>28</v>
      </c>
      <c r="C1162">
        <v>700</v>
      </c>
      <c r="D1162">
        <v>0</v>
      </c>
      <c r="E1162" t="s">
        <v>34</v>
      </c>
      <c r="F1162" t="s">
        <v>34</v>
      </c>
      <c r="G1162" t="str">
        <f>"2025-12-01 10:20:20.181"</f>
        <v>2025-12-01 10:20:20.181</v>
      </c>
      <c r="H1162" t="s">
        <v>22</v>
      </c>
    </row>
    <row r="1163" spans="1:10" x14ac:dyDescent="0.25">
      <c r="A1163" s="1">
        <v>281</v>
      </c>
      <c r="B1163" t="s">
        <v>28</v>
      </c>
      <c r="C1163">
        <v>700</v>
      </c>
      <c r="D1163">
        <v>0</v>
      </c>
      <c r="E1163" t="s">
        <v>34</v>
      </c>
      <c r="F1163" t="s">
        <v>34</v>
      </c>
      <c r="G1163" t="str">
        <f>"2025-12-01 09:48:04.183"</f>
        <v>2025-12-01 09:48:04.183</v>
      </c>
      <c r="H1163" t="s">
        <v>22</v>
      </c>
    </row>
    <row r="1164" spans="1:10" x14ac:dyDescent="0.25">
      <c r="A1164" s="1">
        <v>282</v>
      </c>
      <c r="B1164" t="s">
        <v>28</v>
      </c>
      <c r="C1164">
        <v>706</v>
      </c>
      <c r="D1164">
        <v>4</v>
      </c>
      <c r="E1164" t="s">
        <v>35</v>
      </c>
      <c r="F1164" t="s">
        <v>36</v>
      </c>
      <c r="G1164" t="str">
        <f>"2025-12-01 09:43:27.819"</f>
        <v>2025-12-01 09:43:27.819</v>
      </c>
      <c r="H1164" t="s">
        <v>22</v>
      </c>
      <c r="I1164">
        <v>0</v>
      </c>
      <c r="J1164" t="s">
        <v>23</v>
      </c>
    </row>
    <row r="1165" spans="1:10" x14ac:dyDescent="0.25">
      <c r="A1165" s="1">
        <v>283</v>
      </c>
      <c r="B1165" t="s">
        <v>37</v>
      </c>
      <c r="C1165">
        <v>630</v>
      </c>
      <c r="D1165">
        <v>5</v>
      </c>
      <c r="E1165" t="s">
        <v>73</v>
      </c>
      <c r="F1165" t="s">
        <v>74</v>
      </c>
      <c r="G1165" t="str">
        <f>"2025-12-01 07:56:19.710"</f>
        <v>2025-12-01 07:56:19.710</v>
      </c>
      <c r="H1165" t="s">
        <v>75</v>
      </c>
    </row>
    <row r="1166" spans="1:10" x14ac:dyDescent="0.25">
      <c r="A1166" s="1">
        <v>284</v>
      </c>
      <c r="B1166" t="s">
        <v>28</v>
      </c>
      <c r="C1166">
        <v>706</v>
      </c>
      <c r="D1166">
        <v>4</v>
      </c>
      <c r="E1166" t="s">
        <v>35</v>
      </c>
      <c r="F1166" t="s">
        <v>36</v>
      </c>
      <c r="G1166" t="str">
        <f>"2025-12-01 07:55:49.629"</f>
        <v>2025-12-01 07:55:49.629</v>
      </c>
      <c r="H1166" t="s">
        <v>22</v>
      </c>
      <c r="I1166">
        <v>0</v>
      </c>
      <c r="J1166" t="s">
        <v>23</v>
      </c>
    </row>
    <row r="1167" spans="1:10" x14ac:dyDescent="0.25">
      <c r="A1167" s="1">
        <v>285</v>
      </c>
      <c r="B1167" t="s">
        <v>60</v>
      </c>
      <c r="C1167">
        <v>630</v>
      </c>
      <c r="D1167">
        <v>5</v>
      </c>
      <c r="E1167" t="s">
        <v>73</v>
      </c>
      <c r="F1167" t="s">
        <v>74</v>
      </c>
      <c r="G1167" t="str">
        <f>"2025-12-01 07:53:54.010"</f>
        <v>2025-12-01 07:53:54.010</v>
      </c>
      <c r="H1167" t="s">
        <v>75</v>
      </c>
      <c r="I1167">
        <v>0</v>
      </c>
      <c r="J1167" t="s">
        <v>23</v>
      </c>
    </row>
    <row r="1168" spans="1:10" x14ac:dyDescent="0.25">
      <c r="A1168" s="1">
        <v>286</v>
      </c>
      <c r="B1168" t="s">
        <v>28</v>
      </c>
      <c r="C1168">
        <v>700</v>
      </c>
      <c r="D1168">
        <v>0</v>
      </c>
      <c r="E1168" t="s">
        <v>34</v>
      </c>
      <c r="F1168" t="s">
        <v>34</v>
      </c>
      <c r="G1168" t="str">
        <f>"2025-12-01 07:48:51.189"</f>
        <v>2025-12-01 07:48:51.189</v>
      </c>
      <c r="H1168" t="s">
        <v>22</v>
      </c>
    </row>
    <row r="1169" spans="1:10" x14ac:dyDescent="0.25">
      <c r="A1169" s="1">
        <v>287</v>
      </c>
      <c r="B1169" t="s">
        <v>28</v>
      </c>
      <c r="C1169">
        <v>700</v>
      </c>
      <c r="D1169">
        <v>0</v>
      </c>
      <c r="E1169" t="s">
        <v>34</v>
      </c>
      <c r="F1169" t="s">
        <v>34</v>
      </c>
      <c r="G1169" t="str">
        <f>"2025-11-30 13:58:03.178"</f>
        <v>2025-11-30 13:58:03.178</v>
      </c>
      <c r="H1169" t="s">
        <v>22</v>
      </c>
    </row>
    <row r="1170" spans="1:10" x14ac:dyDescent="0.25">
      <c r="A1170" s="1">
        <v>288</v>
      </c>
      <c r="B1170" t="s">
        <v>28</v>
      </c>
      <c r="C1170">
        <v>700</v>
      </c>
      <c r="D1170">
        <v>0</v>
      </c>
      <c r="E1170" t="s">
        <v>34</v>
      </c>
      <c r="F1170" t="s">
        <v>34</v>
      </c>
      <c r="G1170" t="str">
        <f>"2025-11-29 18:23:32.122"</f>
        <v>2025-11-29 18:23:32.122</v>
      </c>
      <c r="H1170" t="s">
        <v>22</v>
      </c>
      <c r="I1170">
        <v>0</v>
      </c>
      <c r="J1170" t="s">
        <v>46</v>
      </c>
    </row>
    <row r="1171" spans="1:10" x14ac:dyDescent="0.25">
      <c r="A1171" s="1">
        <v>289</v>
      </c>
      <c r="B1171" t="s">
        <v>37</v>
      </c>
      <c r="C1171">
        <v>630</v>
      </c>
      <c r="D1171">
        <v>5</v>
      </c>
      <c r="E1171" t="s">
        <v>73</v>
      </c>
      <c r="F1171" t="s">
        <v>74</v>
      </c>
      <c r="G1171" t="str">
        <f>"2025-11-29 17:57:49.645"</f>
        <v>2025-11-29 17:57:49.645</v>
      </c>
      <c r="H1171" t="s">
        <v>75</v>
      </c>
    </row>
    <row r="1172" spans="1:10" x14ac:dyDescent="0.25">
      <c r="A1172" s="1">
        <v>290</v>
      </c>
      <c r="B1172" t="s">
        <v>28</v>
      </c>
      <c r="C1172">
        <v>706</v>
      </c>
      <c r="D1172">
        <v>2</v>
      </c>
      <c r="E1172" t="s">
        <v>35</v>
      </c>
      <c r="F1172" t="s">
        <v>42</v>
      </c>
      <c r="G1172" t="str">
        <f>"2025-11-29 17:57:19.464"</f>
        <v>2025-11-29 17:57:19.464</v>
      </c>
      <c r="H1172" t="s">
        <v>22</v>
      </c>
      <c r="I1172">
        <v>0</v>
      </c>
      <c r="J1172" t="s">
        <v>23</v>
      </c>
    </row>
    <row r="1173" spans="1:10" x14ac:dyDescent="0.25">
      <c r="A1173" s="1">
        <v>291</v>
      </c>
      <c r="B1173" t="s">
        <v>60</v>
      </c>
      <c r="C1173">
        <v>630</v>
      </c>
      <c r="D1173">
        <v>5</v>
      </c>
      <c r="E1173" t="s">
        <v>73</v>
      </c>
      <c r="F1173" t="s">
        <v>74</v>
      </c>
      <c r="G1173" t="str">
        <f>"2025-11-29 17:53:48.845"</f>
        <v>2025-11-29 17:53:48.845</v>
      </c>
      <c r="H1173" t="s">
        <v>75</v>
      </c>
      <c r="I1173">
        <v>0</v>
      </c>
      <c r="J1173" t="s">
        <v>23</v>
      </c>
    </row>
    <row r="1174" spans="1:10" x14ac:dyDescent="0.25">
      <c r="A1174" s="1">
        <v>292</v>
      </c>
      <c r="B1174" t="s">
        <v>28</v>
      </c>
      <c r="C1174">
        <v>700</v>
      </c>
      <c r="D1174">
        <v>0</v>
      </c>
      <c r="E1174" t="s">
        <v>34</v>
      </c>
      <c r="F1174" t="s">
        <v>34</v>
      </c>
      <c r="G1174" t="str">
        <f>"2025-11-29 17:48:46.124"</f>
        <v>2025-11-29 17:48:46.124</v>
      </c>
      <c r="H1174" t="s">
        <v>22</v>
      </c>
      <c r="I1174">
        <v>0</v>
      </c>
      <c r="J1174" t="s">
        <v>46</v>
      </c>
    </row>
    <row r="1175" spans="1:10" x14ac:dyDescent="0.25">
      <c r="A1175" s="1">
        <v>293</v>
      </c>
      <c r="B1175" t="s">
        <v>28</v>
      </c>
      <c r="C1175">
        <v>700</v>
      </c>
      <c r="D1175">
        <v>0</v>
      </c>
      <c r="E1175" t="s">
        <v>34</v>
      </c>
      <c r="F1175" t="s">
        <v>34</v>
      </c>
      <c r="G1175" t="str">
        <f>"2025-11-29 11:34:00.089"</f>
        <v>2025-11-29 11:34:00.089</v>
      </c>
      <c r="H1175" t="s">
        <v>22</v>
      </c>
    </row>
    <row r="1176" spans="1:10" x14ac:dyDescent="0.25">
      <c r="A1176" s="1">
        <v>294</v>
      </c>
      <c r="B1176" t="s">
        <v>28</v>
      </c>
      <c r="C1176">
        <v>700</v>
      </c>
      <c r="D1176">
        <v>0</v>
      </c>
      <c r="E1176" t="s">
        <v>34</v>
      </c>
      <c r="F1176" t="s">
        <v>34</v>
      </c>
      <c r="G1176" t="str">
        <f>"2025-11-29 11:18:22.098"</f>
        <v>2025-11-29 11:18:22.098</v>
      </c>
      <c r="H1176" t="s">
        <v>22</v>
      </c>
      <c r="I1176">
        <v>0</v>
      </c>
      <c r="J1176" t="s">
        <v>46</v>
      </c>
    </row>
    <row r="1177" spans="1:10" x14ac:dyDescent="0.25">
      <c r="A1177" s="1">
        <v>295</v>
      </c>
      <c r="B1177" t="s">
        <v>28</v>
      </c>
      <c r="C1177">
        <v>700</v>
      </c>
      <c r="D1177">
        <v>0</v>
      </c>
      <c r="E1177" t="s">
        <v>34</v>
      </c>
      <c r="F1177" t="s">
        <v>34</v>
      </c>
      <c r="G1177" t="str">
        <f>"2025-11-29 10:16:11.102"</f>
        <v>2025-11-29 10:16:11.102</v>
      </c>
      <c r="H1177" t="s">
        <v>22</v>
      </c>
      <c r="I1177">
        <v>0</v>
      </c>
      <c r="J1177" t="s">
        <v>46</v>
      </c>
    </row>
    <row r="1178" spans="1:10" x14ac:dyDescent="0.25">
      <c r="A1178" s="1">
        <v>296</v>
      </c>
      <c r="B1178" t="s">
        <v>28</v>
      </c>
      <c r="C1178">
        <v>700</v>
      </c>
      <c r="D1178">
        <v>0</v>
      </c>
      <c r="E1178" t="s">
        <v>34</v>
      </c>
      <c r="F1178" t="s">
        <v>34</v>
      </c>
      <c r="G1178" t="str">
        <f>"2025-11-29 10:01:16.085"</f>
        <v>2025-11-29 10:01:16.085</v>
      </c>
      <c r="H1178" t="s">
        <v>22</v>
      </c>
      <c r="I1178">
        <v>0</v>
      </c>
      <c r="J1178" t="s">
        <v>46</v>
      </c>
    </row>
    <row r="1179" spans="1:10" x14ac:dyDescent="0.25">
      <c r="A1179" s="1">
        <v>297</v>
      </c>
      <c r="B1179" t="s">
        <v>28</v>
      </c>
      <c r="C1179">
        <v>700</v>
      </c>
      <c r="D1179">
        <v>0</v>
      </c>
      <c r="E1179" t="s">
        <v>34</v>
      </c>
      <c r="F1179" t="s">
        <v>34</v>
      </c>
      <c r="G1179" t="str">
        <f>"2025-11-29 09:53:32.086"</f>
        <v>2025-11-29 09:53:32.086</v>
      </c>
      <c r="H1179" t="s">
        <v>22</v>
      </c>
    </row>
    <row r="1180" spans="1:10" x14ac:dyDescent="0.25">
      <c r="A1180" s="1">
        <v>298</v>
      </c>
      <c r="B1180" t="s">
        <v>28</v>
      </c>
      <c r="C1180">
        <v>700</v>
      </c>
      <c r="D1180">
        <v>0</v>
      </c>
      <c r="E1180" t="s">
        <v>34</v>
      </c>
      <c r="F1180" t="s">
        <v>34</v>
      </c>
      <c r="G1180" t="str">
        <f>"2025-11-29 09:28:25.093"</f>
        <v>2025-11-29 09:28:25.093</v>
      </c>
      <c r="H1180" t="s">
        <v>22</v>
      </c>
      <c r="I1180">
        <v>0</v>
      </c>
      <c r="J1180" t="s">
        <v>46</v>
      </c>
    </row>
    <row r="1181" spans="1:10" x14ac:dyDescent="0.25">
      <c r="A1181" s="1">
        <v>299</v>
      </c>
      <c r="B1181" t="s">
        <v>28</v>
      </c>
      <c r="C1181">
        <v>706</v>
      </c>
      <c r="D1181">
        <v>4</v>
      </c>
      <c r="E1181" t="s">
        <v>35</v>
      </c>
      <c r="F1181" t="s">
        <v>36</v>
      </c>
      <c r="G1181" t="str">
        <f>"2025-11-29 08:42:56.858"</f>
        <v>2025-11-29 08:42:56.858</v>
      </c>
      <c r="H1181" t="s">
        <v>22</v>
      </c>
      <c r="I1181">
        <v>0</v>
      </c>
      <c r="J1181" t="s">
        <v>23</v>
      </c>
    </row>
    <row r="1182" spans="1:10" x14ac:dyDescent="0.25">
      <c r="A1182" s="1">
        <v>300</v>
      </c>
      <c r="B1182" t="s">
        <v>28</v>
      </c>
      <c r="C1182">
        <v>700</v>
      </c>
      <c r="D1182">
        <v>0</v>
      </c>
      <c r="E1182" t="s">
        <v>34</v>
      </c>
      <c r="F1182" t="s">
        <v>34</v>
      </c>
      <c r="G1182" t="str">
        <f>"2025-11-29 08:42:40.098"</f>
        <v>2025-11-29 08:42:40.098</v>
      </c>
      <c r="H1182" t="s">
        <v>22</v>
      </c>
      <c r="I1182">
        <v>0</v>
      </c>
      <c r="J1182" t="s">
        <v>46</v>
      </c>
    </row>
    <row r="1183" spans="1:10" x14ac:dyDescent="0.25">
      <c r="A1183" s="1">
        <v>301</v>
      </c>
      <c r="B1183" t="s">
        <v>28</v>
      </c>
      <c r="C1183">
        <v>700</v>
      </c>
      <c r="D1183">
        <v>0</v>
      </c>
      <c r="E1183" t="s">
        <v>34</v>
      </c>
      <c r="F1183" t="s">
        <v>34</v>
      </c>
      <c r="G1183" t="str">
        <f>"2025-11-29 08:39:29.074"</f>
        <v>2025-11-29 08:39:29.074</v>
      </c>
      <c r="H1183" t="s">
        <v>22</v>
      </c>
    </row>
    <row r="1184" spans="1:10" x14ac:dyDescent="0.25">
      <c r="A1184" s="1">
        <v>302</v>
      </c>
      <c r="B1184" t="s">
        <v>55</v>
      </c>
      <c r="C1184">
        <v>47</v>
      </c>
      <c r="D1184">
        <v>2</v>
      </c>
      <c r="E1184" t="s">
        <v>66</v>
      </c>
      <c r="F1184" t="s">
        <v>67</v>
      </c>
      <c r="G1184" t="str">
        <f>"2025-11-28 18:28:28.144"</f>
        <v>2025-11-28 18:28:28.144</v>
      </c>
      <c r="H1184" t="s">
        <v>68</v>
      </c>
    </row>
    <row r="1185" spans="1:10" x14ac:dyDescent="0.25">
      <c r="A1185" s="1">
        <v>303</v>
      </c>
      <c r="B1185" t="s">
        <v>28</v>
      </c>
      <c r="C1185">
        <v>706</v>
      </c>
      <c r="D1185">
        <v>4</v>
      </c>
      <c r="E1185" t="s">
        <v>35</v>
      </c>
      <c r="F1185" t="s">
        <v>36</v>
      </c>
      <c r="G1185" t="str">
        <f>"2025-11-28 18:28:24.363"</f>
        <v>2025-11-28 18:28:24.363</v>
      </c>
      <c r="H1185" t="s">
        <v>22</v>
      </c>
      <c r="I1185">
        <v>0</v>
      </c>
      <c r="J1185" t="s">
        <v>23</v>
      </c>
    </row>
    <row r="1186" spans="1:10" x14ac:dyDescent="0.25">
      <c r="A1186" s="1">
        <v>304</v>
      </c>
      <c r="B1186" t="s">
        <v>60</v>
      </c>
      <c r="C1186">
        <v>47</v>
      </c>
      <c r="D1186">
        <v>2</v>
      </c>
      <c r="E1186" t="s">
        <v>66</v>
      </c>
      <c r="F1186" t="s">
        <v>67</v>
      </c>
      <c r="G1186" t="str">
        <f>"2025-11-28 18:28:01.645"</f>
        <v>2025-11-28 18:28:01.645</v>
      </c>
      <c r="H1186" t="s">
        <v>68</v>
      </c>
      <c r="I1186">
        <v>0</v>
      </c>
      <c r="J1186" t="s">
        <v>41</v>
      </c>
    </row>
    <row r="1187" spans="1:10" x14ac:dyDescent="0.25">
      <c r="A1187" s="1">
        <v>305</v>
      </c>
      <c r="B1187" t="s">
        <v>28</v>
      </c>
      <c r="C1187">
        <v>700</v>
      </c>
      <c r="D1187">
        <v>0</v>
      </c>
      <c r="E1187" t="s">
        <v>34</v>
      </c>
      <c r="F1187" t="s">
        <v>34</v>
      </c>
      <c r="G1187" t="str">
        <f>"2025-11-28 18:27:43.083"</f>
        <v>2025-11-28 18:27:43.083</v>
      </c>
      <c r="H1187" t="s">
        <v>22</v>
      </c>
    </row>
    <row r="1188" spans="1:10" x14ac:dyDescent="0.25">
      <c r="A1188" s="1">
        <v>306</v>
      </c>
      <c r="B1188" t="s">
        <v>28</v>
      </c>
      <c r="C1188">
        <v>700</v>
      </c>
      <c r="D1188">
        <v>0</v>
      </c>
      <c r="E1188" t="s">
        <v>34</v>
      </c>
      <c r="F1188" t="s">
        <v>34</v>
      </c>
      <c r="G1188" t="str">
        <f>"2025-11-28 17:39:52.080"</f>
        <v>2025-11-28 17:39:52.080</v>
      </c>
      <c r="H1188" t="s">
        <v>22</v>
      </c>
    </row>
    <row r="1189" spans="1:10" x14ac:dyDescent="0.25">
      <c r="A1189" s="1">
        <v>307</v>
      </c>
      <c r="B1189" t="s">
        <v>28</v>
      </c>
      <c r="C1189">
        <v>700</v>
      </c>
      <c r="D1189">
        <v>0</v>
      </c>
      <c r="E1189" t="s">
        <v>34</v>
      </c>
      <c r="F1189" t="s">
        <v>34</v>
      </c>
      <c r="G1189" t="str">
        <f>"2025-11-28 15:47:38.098"</f>
        <v>2025-11-28 15:47:38.098</v>
      </c>
      <c r="H1189" t="s">
        <v>22</v>
      </c>
      <c r="I1189">
        <v>0</v>
      </c>
      <c r="J1189" t="s">
        <v>46</v>
      </c>
    </row>
    <row r="1190" spans="1:10" x14ac:dyDescent="0.25">
      <c r="A1190" s="1">
        <v>308</v>
      </c>
      <c r="B1190" t="s">
        <v>28</v>
      </c>
      <c r="C1190">
        <v>706</v>
      </c>
      <c r="D1190">
        <v>4</v>
      </c>
      <c r="E1190" t="s">
        <v>35</v>
      </c>
      <c r="F1190" t="s">
        <v>36</v>
      </c>
      <c r="G1190" t="str">
        <f>"2025-11-28 14:51:04.055"</f>
        <v>2025-11-28 14:51:04.055</v>
      </c>
      <c r="H1190" t="s">
        <v>22</v>
      </c>
      <c r="I1190">
        <v>0</v>
      </c>
      <c r="J1190" t="s">
        <v>23</v>
      </c>
    </row>
    <row r="1191" spans="1:10" x14ac:dyDescent="0.25">
      <c r="A1191" s="1">
        <v>309</v>
      </c>
      <c r="B1191" t="s">
        <v>28</v>
      </c>
      <c r="C1191">
        <v>700</v>
      </c>
      <c r="D1191">
        <v>0</v>
      </c>
      <c r="E1191" t="s">
        <v>34</v>
      </c>
      <c r="F1191" t="s">
        <v>34</v>
      </c>
      <c r="G1191" t="str">
        <f>"2025-11-28 14:50:47.075"</f>
        <v>2025-11-28 14:50:47.075</v>
      </c>
      <c r="H1191" t="s">
        <v>22</v>
      </c>
    </row>
    <row r="1192" spans="1:10" x14ac:dyDescent="0.25">
      <c r="A1192" s="1">
        <v>310</v>
      </c>
      <c r="B1192" t="s">
        <v>28</v>
      </c>
      <c r="C1192">
        <v>700</v>
      </c>
      <c r="D1192">
        <v>0</v>
      </c>
      <c r="E1192" t="s">
        <v>34</v>
      </c>
      <c r="F1192" t="s">
        <v>34</v>
      </c>
      <c r="G1192" t="str">
        <f>"2025-11-28 11:22:42.090"</f>
        <v>2025-11-28 11:22:42.090</v>
      </c>
      <c r="H1192" t="s">
        <v>22</v>
      </c>
      <c r="I1192">
        <v>0</v>
      </c>
      <c r="J1192" t="s">
        <v>46</v>
      </c>
    </row>
    <row r="1193" spans="1:10" x14ac:dyDescent="0.25">
      <c r="A1193" s="1">
        <v>311</v>
      </c>
      <c r="B1193" t="s">
        <v>28</v>
      </c>
      <c r="C1193">
        <v>700</v>
      </c>
      <c r="D1193">
        <v>0</v>
      </c>
      <c r="E1193" t="s">
        <v>34</v>
      </c>
      <c r="F1193" t="s">
        <v>34</v>
      </c>
      <c r="G1193" t="str">
        <f>"2025-11-28 11:05:10.075"</f>
        <v>2025-11-28 11:05:10.075</v>
      </c>
      <c r="H1193" t="s">
        <v>22</v>
      </c>
    </row>
    <row r="1194" spans="1:10" x14ac:dyDescent="0.25">
      <c r="A1194" s="1">
        <v>312</v>
      </c>
      <c r="B1194" t="s">
        <v>28</v>
      </c>
      <c r="C1194">
        <v>700</v>
      </c>
      <c r="D1194">
        <v>0</v>
      </c>
      <c r="E1194" t="s">
        <v>34</v>
      </c>
      <c r="F1194" t="s">
        <v>34</v>
      </c>
      <c r="G1194" t="str">
        <f>"2025-11-28 10:20:20.080"</f>
        <v>2025-11-28 10:20:20.080</v>
      </c>
      <c r="H1194" t="s">
        <v>22</v>
      </c>
      <c r="I1194">
        <v>0</v>
      </c>
      <c r="J1194" t="s">
        <v>46</v>
      </c>
    </row>
    <row r="1195" spans="1:10" x14ac:dyDescent="0.25">
      <c r="A1195" s="1">
        <v>313</v>
      </c>
      <c r="B1195" t="s">
        <v>28</v>
      </c>
      <c r="C1195">
        <v>706</v>
      </c>
      <c r="D1195">
        <v>4</v>
      </c>
      <c r="E1195" t="s">
        <v>35</v>
      </c>
      <c r="F1195" t="s">
        <v>36</v>
      </c>
      <c r="G1195" t="str">
        <f>"2025-11-28 10:06:09.260"</f>
        <v>2025-11-28 10:06:09.260</v>
      </c>
      <c r="H1195" t="s">
        <v>22</v>
      </c>
      <c r="I1195">
        <v>0</v>
      </c>
      <c r="J1195" t="s">
        <v>23</v>
      </c>
    </row>
    <row r="1196" spans="1:10" x14ac:dyDescent="0.25">
      <c r="A1196" s="1">
        <v>314</v>
      </c>
      <c r="B1196" t="s">
        <v>28</v>
      </c>
      <c r="C1196">
        <v>700</v>
      </c>
      <c r="D1196">
        <v>0</v>
      </c>
      <c r="E1196" t="s">
        <v>34</v>
      </c>
      <c r="F1196" t="s">
        <v>34</v>
      </c>
      <c r="G1196" t="str">
        <f>"2025-11-28 10:05:27.080"</f>
        <v>2025-11-28 10:05:27.080</v>
      </c>
      <c r="H1196" t="s">
        <v>22</v>
      </c>
      <c r="I1196">
        <v>0</v>
      </c>
      <c r="J1196" t="s">
        <v>46</v>
      </c>
    </row>
    <row r="1197" spans="1:10" x14ac:dyDescent="0.25">
      <c r="A1197" s="1">
        <v>315</v>
      </c>
      <c r="B1197" t="s">
        <v>28</v>
      </c>
      <c r="C1197">
        <v>700</v>
      </c>
      <c r="D1197">
        <v>0</v>
      </c>
      <c r="E1197" t="s">
        <v>34</v>
      </c>
      <c r="F1197" t="s">
        <v>34</v>
      </c>
      <c r="G1197" t="str">
        <f>"2025-11-28 08:58:58.083"</f>
        <v>2025-11-28 08:58:58.083</v>
      </c>
      <c r="H1197" t="s">
        <v>22</v>
      </c>
    </row>
    <row r="1198" spans="1:10" x14ac:dyDescent="0.25">
      <c r="A1198" s="1">
        <v>316</v>
      </c>
      <c r="B1198" t="s">
        <v>28</v>
      </c>
      <c r="C1198">
        <v>700</v>
      </c>
      <c r="D1198">
        <v>0</v>
      </c>
      <c r="E1198" t="s">
        <v>34</v>
      </c>
      <c r="F1198" t="s">
        <v>34</v>
      </c>
      <c r="G1198" t="str">
        <f>"2025-11-28 08:29:01.091"</f>
        <v>2025-11-28 08:29:01.091</v>
      </c>
      <c r="H1198" t="s">
        <v>22</v>
      </c>
      <c r="I1198">
        <v>0</v>
      </c>
      <c r="J1198" t="s">
        <v>46</v>
      </c>
    </row>
    <row r="1199" spans="1:10" x14ac:dyDescent="0.25">
      <c r="A1199" s="1">
        <v>317</v>
      </c>
      <c r="B1199" t="s">
        <v>60</v>
      </c>
      <c r="C1199">
        <v>89</v>
      </c>
      <c r="D1199">
        <v>3</v>
      </c>
      <c r="E1199" t="s">
        <v>56</v>
      </c>
      <c r="F1199" t="s">
        <v>84</v>
      </c>
      <c r="G1199" t="str">
        <f>"2025-11-28 08:23:23.081"</f>
        <v>2025-11-28 08:23:23.081</v>
      </c>
      <c r="H1199" t="s">
        <v>22</v>
      </c>
      <c r="I1199">
        <v>0</v>
      </c>
      <c r="J1199" t="s">
        <v>50</v>
      </c>
    </row>
    <row r="1200" spans="1:10" x14ac:dyDescent="0.25">
      <c r="A1200" s="1">
        <v>318</v>
      </c>
      <c r="B1200" t="s">
        <v>28</v>
      </c>
      <c r="C1200">
        <v>700</v>
      </c>
      <c r="D1200">
        <v>0</v>
      </c>
      <c r="E1200" t="s">
        <v>34</v>
      </c>
      <c r="F1200" t="s">
        <v>34</v>
      </c>
      <c r="G1200" t="str">
        <f>"2025-11-28 08:23:01.078"</f>
        <v>2025-11-28 08:23:01.078</v>
      </c>
      <c r="H1200" t="s">
        <v>22</v>
      </c>
      <c r="I1200">
        <v>0</v>
      </c>
      <c r="J1200" t="s">
        <v>46</v>
      </c>
    </row>
    <row r="1201" spans="1:10" x14ac:dyDescent="0.25">
      <c r="A1201" s="1">
        <v>319</v>
      </c>
      <c r="B1201" t="s">
        <v>28</v>
      </c>
      <c r="C1201">
        <v>700</v>
      </c>
      <c r="D1201">
        <v>0</v>
      </c>
      <c r="E1201" t="s">
        <v>34</v>
      </c>
      <c r="F1201" t="s">
        <v>34</v>
      </c>
      <c r="G1201" t="str">
        <f>"2025-11-27 17:53:55.074"</f>
        <v>2025-11-27 17:53:55.074</v>
      </c>
      <c r="H1201" t="s">
        <v>22</v>
      </c>
    </row>
    <row r="1202" spans="1:10" x14ac:dyDescent="0.25">
      <c r="A1202" s="1">
        <v>320</v>
      </c>
      <c r="B1202" t="s">
        <v>28</v>
      </c>
      <c r="C1202">
        <v>700</v>
      </c>
      <c r="D1202">
        <v>0</v>
      </c>
      <c r="E1202" t="s">
        <v>34</v>
      </c>
      <c r="F1202" t="s">
        <v>34</v>
      </c>
      <c r="G1202" t="str">
        <f>"2025-11-27 17:20:38.082"</f>
        <v>2025-11-27 17:20:38.082</v>
      </c>
      <c r="H1202" t="s">
        <v>22</v>
      </c>
      <c r="I1202">
        <v>0</v>
      </c>
      <c r="J1202" t="s">
        <v>46</v>
      </c>
    </row>
    <row r="1203" spans="1:10" x14ac:dyDescent="0.25">
      <c r="A1203" s="1">
        <v>321</v>
      </c>
      <c r="B1203" t="s">
        <v>28</v>
      </c>
      <c r="C1203">
        <v>700</v>
      </c>
      <c r="D1203">
        <v>0</v>
      </c>
      <c r="E1203" t="s">
        <v>34</v>
      </c>
      <c r="F1203" t="s">
        <v>34</v>
      </c>
      <c r="G1203" t="str">
        <f>"2025-11-27 17:10:43.089"</f>
        <v>2025-11-27 17:10:43.089</v>
      </c>
      <c r="H1203" t="s">
        <v>22</v>
      </c>
      <c r="I1203">
        <v>0</v>
      </c>
      <c r="J1203" t="s">
        <v>46</v>
      </c>
    </row>
    <row r="1204" spans="1:10" x14ac:dyDescent="0.25">
      <c r="A1204" s="1">
        <v>322</v>
      </c>
      <c r="B1204" t="s">
        <v>28</v>
      </c>
      <c r="C1204">
        <v>706</v>
      </c>
      <c r="D1204">
        <v>2</v>
      </c>
      <c r="E1204" t="s">
        <v>35</v>
      </c>
      <c r="F1204" t="s">
        <v>42</v>
      </c>
      <c r="G1204" t="str">
        <f>"2025-11-27 16:53:10.027"</f>
        <v>2025-11-27 16:53:10.027</v>
      </c>
      <c r="H1204" t="s">
        <v>22</v>
      </c>
      <c r="I1204">
        <v>0</v>
      </c>
      <c r="J1204" t="s">
        <v>23</v>
      </c>
    </row>
    <row r="1205" spans="1:10" x14ac:dyDescent="0.25">
      <c r="A1205" s="1">
        <v>323</v>
      </c>
      <c r="B1205" t="s">
        <v>28</v>
      </c>
      <c r="C1205">
        <v>700</v>
      </c>
      <c r="D1205">
        <v>0</v>
      </c>
      <c r="E1205" t="s">
        <v>34</v>
      </c>
      <c r="F1205" t="s">
        <v>34</v>
      </c>
      <c r="G1205" t="str">
        <f>"2025-11-27 16:27:07.077"</f>
        <v>2025-11-27 16:27:07.077</v>
      </c>
      <c r="H1205" t="s">
        <v>22</v>
      </c>
      <c r="I1205">
        <v>0</v>
      </c>
      <c r="J1205" t="s">
        <v>46</v>
      </c>
    </row>
    <row r="1206" spans="1:10" x14ac:dyDescent="0.25">
      <c r="A1206" s="1">
        <v>324</v>
      </c>
      <c r="B1206" t="s">
        <v>28</v>
      </c>
      <c r="C1206">
        <v>700</v>
      </c>
      <c r="D1206">
        <v>0</v>
      </c>
      <c r="E1206" t="s">
        <v>34</v>
      </c>
      <c r="F1206" t="s">
        <v>34</v>
      </c>
      <c r="G1206" t="str">
        <f>"2025-11-27 16:10:41.083"</f>
        <v>2025-11-27 16:10:41.083</v>
      </c>
      <c r="H1206" t="s">
        <v>22</v>
      </c>
      <c r="I1206">
        <v>0</v>
      </c>
      <c r="J1206" t="s">
        <v>46</v>
      </c>
    </row>
    <row r="1207" spans="1:10" x14ac:dyDescent="0.25">
      <c r="A1207" s="1">
        <v>325</v>
      </c>
      <c r="B1207" t="s">
        <v>28</v>
      </c>
      <c r="C1207">
        <v>700</v>
      </c>
      <c r="D1207">
        <v>0</v>
      </c>
      <c r="E1207" t="s">
        <v>34</v>
      </c>
      <c r="F1207" t="s">
        <v>34</v>
      </c>
      <c r="G1207" t="str">
        <f>"2025-11-27 10:12:57.064"</f>
        <v>2025-11-27 10:12:57.064</v>
      </c>
      <c r="H1207" t="s">
        <v>22</v>
      </c>
    </row>
    <row r="1208" spans="1:10" x14ac:dyDescent="0.25">
      <c r="A1208" s="1">
        <v>326</v>
      </c>
      <c r="B1208" t="s">
        <v>28</v>
      </c>
      <c r="C1208">
        <v>706</v>
      </c>
      <c r="D1208">
        <v>4</v>
      </c>
      <c r="E1208" t="s">
        <v>35</v>
      </c>
      <c r="F1208" t="s">
        <v>36</v>
      </c>
      <c r="G1208" t="str">
        <f>"2025-11-27 08:37:06.052"</f>
        <v>2025-11-27 08:37:06.052</v>
      </c>
      <c r="H1208" t="s">
        <v>22</v>
      </c>
      <c r="I1208">
        <v>0</v>
      </c>
      <c r="J1208" t="s">
        <v>23</v>
      </c>
    </row>
    <row r="1209" spans="1:10" x14ac:dyDescent="0.25">
      <c r="A1209" s="1">
        <v>327</v>
      </c>
      <c r="B1209" t="s">
        <v>28</v>
      </c>
      <c r="C1209">
        <v>700</v>
      </c>
      <c r="D1209">
        <v>0</v>
      </c>
      <c r="E1209" t="s">
        <v>34</v>
      </c>
      <c r="F1209" t="s">
        <v>34</v>
      </c>
      <c r="G1209" t="str">
        <f>"2025-11-27 08:25:45.062"</f>
        <v>2025-11-27 08:25:45.062</v>
      </c>
      <c r="H1209" t="s">
        <v>22</v>
      </c>
    </row>
    <row r="1210" spans="1:10" x14ac:dyDescent="0.25">
      <c r="A1210" s="1">
        <v>328</v>
      </c>
      <c r="B1210" t="s">
        <v>28</v>
      </c>
      <c r="C1210">
        <v>700</v>
      </c>
      <c r="D1210">
        <v>0</v>
      </c>
      <c r="E1210" t="s">
        <v>34</v>
      </c>
      <c r="F1210" t="s">
        <v>34</v>
      </c>
      <c r="G1210" t="str">
        <f>"2025-11-26 17:31:34.090"</f>
        <v>2025-11-26 17:31:34.090</v>
      </c>
      <c r="H1210" t="s">
        <v>22</v>
      </c>
      <c r="I1210">
        <v>0</v>
      </c>
      <c r="J1210" t="s">
        <v>46</v>
      </c>
    </row>
    <row r="1211" spans="1:10" x14ac:dyDescent="0.25">
      <c r="A1211" s="1">
        <v>329</v>
      </c>
      <c r="B1211" t="s">
        <v>28</v>
      </c>
      <c r="C1211">
        <v>700</v>
      </c>
      <c r="D1211">
        <v>0</v>
      </c>
      <c r="E1211" t="s">
        <v>34</v>
      </c>
      <c r="F1211" t="s">
        <v>34</v>
      </c>
      <c r="G1211" t="str">
        <f>"2025-11-26 14:16:49.050"</f>
        <v>2025-11-26 14:16:49.050</v>
      </c>
      <c r="H1211" t="s">
        <v>22</v>
      </c>
    </row>
    <row r="1212" spans="1:10" x14ac:dyDescent="0.25">
      <c r="A1212" s="1">
        <v>330</v>
      </c>
      <c r="B1212" t="s">
        <v>28</v>
      </c>
      <c r="C1212">
        <v>700</v>
      </c>
      <c r="D1212">
        <v>0</v>
      </c>
      <c r="E1212" t="s">
        <v>34</v>
      </c>
      <c r="F1212" t="s">
        <v>34</v>
      </c>
      <c r="G1212" t="str">
        <f>"2025-11-26 13:58:18.040"</f>
        <v>2025-11-26 13:58:18.040</v>
      </c>
      <c r="H1212" t="s">
        <v>22</v>
      </c>
    </row>
    <row r="1213" spans="1:10" x14ac:dyDescent="0.25">
      <c r="A1213" s="1">
        <v>331</v>
      </c>
      <c r="B1213" t="s">
        <v>28</v>
      </c>
      <c r="C1213">
        <v>700</v>
      </c>
      <c r="D1213">
        <v>0</v>
      </c>
      <c r="E1213" t="s">
        <v>34</v>
      </c>
      <c r="F1213" t="s">
        <v>34</v>
      </c>
      <c r="G1213" t="str">
        <f>"2025-11-26 13:27:33.043"</f>
        <v>2025-11-26 13:27:33.043</v>
      </c>
      <c r="H1213" t="s">
        <v>22</v>
      </c>
    </row>
    <row r="1214" spans="1:10" x14ac:dyDescent="0.25">
      <c r="A1214" s="1">
        <v>332</v>
      </c>
      <c r="B1214" t="s">
        <v>28</v>
      </c>
      <c r="C1214">
        <v>700</v>
      </c>
      <c r="D1214">
        <v>0</v>
      </c>
      <c r="E1214" t="s">
        <v>34</v>
      </c>
      <c r="F1214" t="s">
        <v>34</v>
      </c>
      <c r="G1214" t="str">
        <f>"2025-11-26 12:45:10.050"</f>
        <v>2025-11-26 12:45:10.050</v>
      </c>
      <c r="H1214" t="s">
        <v>22</v>
      </c>
    </row>
    <row r="1215" spans="1:10" x14ac:dyDescent="0.25">
      <c r="A1215" s="1">
        <v>333</v>
      </c>
      <c r="B1215" t="s">
        <v>28</v>
      </c>
      <c r="C1215">
        <v>700</v>
      </c>
      <c r="D1215">
        <v>0</v>
      </c>
      <c r="E1215" t="s">
        <v>34</v>
      </c>
      <c r="F1215" t="s">
        <v>34</v>
      </c>
      <c r="G1215" t="str">
        <f>"2025-11-26 12:30:35.046"</f>
        <v>2025-11-26 12:30:35.046</v>
      </c>
      <c r="H1215" t="s">
        <v>22</v>
      </c>
      <c r="I1215">
        <v>0</v>
      </c>
      <c r="J1215" t="s">
        <v>46</v>
      </c>
    </row>
    <row r="1216" spans="1:10" x14ac:dyDescent="0.25">
      <c r="A1216" s="1">
        <v>334</v>
      </c>
      <c r="B1216" t="s">
        <v>28</v>
      </c>
      <c r="C1216">
        <v>700</v>
      </c>
      <c r="D1216">
        <v>0</v>
      </c>
      <c r="E1216" t="s">
        <v>34</v>
      </c>
      <c r="F1216" t="s">
        <v>34</v>
      </c>
      <c r="G1216" t="str">
        <f>"2025-11-26 12:23:37.038"</f>
        <v>2025-11-26 12:23:37.038</v>
      </c>
      <c r="H1216" t="s">
        <v>22</v>
      </c>
      <c r="I1216">
        <v>0</v>
      </c>
      <c r="J1216" t="s">
        <v>46</v>
      </c>
    </row>
    <row r="1217" spans="1:10" x14ac:dyDescent="0.25">
      <c r="A1217" s="1">
        <v>335</v>
      </c>
      <c r="B1217" t="s">
        <v>28</v>
      </c>
      <c r="C1217">
        <v>700</v>
      </c>
      <c r="D1217">
        <v>0</v>
      </c>
      <c r="E1217" t="s">
        <v>34</v>
      </c>
      <c r="F1217" t="s">
        <v>34</v>
      </c>
      <c r="G1217" t="str">
        <f>"2025-11-26 12:14:07.041"</f>
        <v>2025-11-26 12:14:07.041</v>
      </c>
      <c r="H1217" t="s">
        <v>22</v>
      </c>
      <c r="I1217">
        <v>0</v>
      </c>
      <c r="J1217" t="s">
        <v>46</v>
      </c>
    </row>
    <row r="1218" spans="1:10" x14ac:dyDescent="0.25">
      <c r="A1218" s="1">
        <v>336</v>
      </c>
      <c r="B1218" t="s">
        <v>28</v>
      </c>
      <c r="C1218">
        <v>700</v>
      </c>
      <c r="D1218">
        <v>0</v>
      </c>
      <c r="E1218" t="s">
        <v>34</v>
      </c>
      <c r="F1218" t="s">
        <v>34</v>
      </c>
      <c r="G1218" t="str">
        <f>"2025-11-26 12:02:30.045"</f>
        <v>2025-11-26 12:02:30.045</v>
      </c>
      <c r="H1218" t="s">
        <v>22</v>
      </c>
      <c r="I1218">
        <v>0</v>
      </c>
      <c r="J1218" t="s">
        <v>46</v>
      </c>
    </row>
    <row r="1219" spans="1:10" x14ac:dyDescent="0.25">
      <c r="A1219" s="1">
        <v>337</v>
      </c>
      <c r="B1219" t="s">
        <v>28</v>
      </c>
      <c r="C1219">
        <v>700</v>
      </c>
      <c r="D1219">
        <v>0</v>
      </c>
      <c r="E1219" t="s">
        <v>34</v>
      </c>
      <c r="F1219" t="s">
        <v>34</v>
      </c>
      <c r="G1219" t="str">
        <f>"2025-11-26 11:53:35.036"</f>
        <v>2025-11-26 11:53:35.036</v>
      </c>
      <c r="H1219" t="s">
        <v>22</v>
      </c>
      <c r="I1219">
        <v>0</v>
      </c>
      <c r="J1219" t="s">
        <v>46</v>
      </c>
    </row>
    <row r="1220" spans="1:10" x14ac:dyDescent="0.25">
      <c r="A1220" s="1">
        <v>338</v>
      </c>
      <c r="B1220" t="s">
        <v>28</v>
      </c>
      <c r="C1220">
        <v>700</v>
      </c>
      <c r="D1220">
        <v>0</v>
      </c>
      <c r="E1220" t="s">
        <v>34</v>
      </c>
      <c r="F1220" t="s">
        <v>34</v>
      </c>
      <c r="G1220" t="str">
        <f>"2025-11-26 11:42:44.037"</f>
        <v>2025-11-26 11:42:44.037</v>
      </c>
      <c r="H1220" t="s">
        <v>22</v>
      </c>
      <c r="I1220">
        <v>0</v>
      </c>
      <c r="J1220" t="s">
        <v>46</v>
      </c>
    </row>
    <row r="1221" spans="1:10" x14ac:dyDescent="0.25">
      <c r="A1221" s="1">
        <v>339</v>
      </c>
      <c r="B1221" t="s">
        <v>28</v>
      </c>
      <c r="C1221">
        <v>706</v>
      </c>
      <c r="D1221">
        <v>4</v>
      </c>
      <c r="E1221" t="s">
        <v>35</v>
      </c>
      <c r="F1221" t="s">
        <v>36</v>
      </c>
      <c r="G1221" t="str">
        <f>"2025-11-26 11:25:34.255"</f>
        <v>2025-11-26 11:25:34.255</v>
      </c>
      <c r="H1221" t="s">
        <v>22</v>
      </c>
      <c r="I1221">
        <v>0</v>
      </c>
      <c r="J1221" t="s">
        <v>23</v>
      </c>
    </row>
    <row r="1222" spans="1:10" x14ac:dyDescent="0.25">
      <c r="A1222" s="1">
        <v>340</v>
      </c>
      <c r="B1222" t="s">
        <v>28</v>
      </c>
      <c r="C1222">
        <v>700</v>
      </c>
      <c r="D1222">
        <v>0</v>
      </c>
      <c r="E1222" t="s">
        <v>34</v>
      </c>
      <c r="F1222" t="s">
        <v>34</v>
      </c>
      <c r="G1222" t="str">
        <f>"2025-11-26 11:24:40.035"</f>
        <v>2025-11-26 11:24:40.035</v>
      </c>
      <c r="H1222" t="s">
        <v>22</v>
      </c>
    </row>
    <row r="1223" spans="1:10" x14ac:dyDescent="0.25">
      <c r="A1223" s="1">
        <v>341</v>
      </c>
      <c r="B1223" t="s">
        <v>28</v>
      </c>
      <c r="C1223">
        <v>757</v>
      </c>
      <c r="D1223">
        <v>0</v>
      </c>
      <c r="E1223" t="s">
        <v>85</v>
      </c>
      <c r="F1223" t="s">
        <v>85</v>
      </c>
      <c r="G1223" t="str">
        <f>"2025-11-26 11:05:47.517"</f>
        <v>2025-11-26 11:05:47.517</v>
      </c>
      <c r="H1223" t="s">
        <v>22</v>
      </c>
      <c r="I1223">
        <v>0</v>
      </c>
      <c r="J1223" t="s">
        <v>23</v>
      </c>
    </row>
    <row r="1224" spans="1:10" x14ac:dyDescent="0.25">
      <c r="A1224" s="1">
        <v>342</v>
      </c>
      <c r="B1224" t="s">
        <v>28</v>
      </c>
      <c r="C1224">
        <v>700</v>
      </c>
      <c r="D1224">
        <v>0</v>
      </c>
      <c r="E1224" t="s">
        <v>34</v>
      </c>
      <c r="F1224" t="s">
        <v>34</v>
      </c>
      <c r="G1224" t="str">
        <f>"2025-11-26 11:04:56.030"</f>
        <v>2025-11-26 11:04:56.030</v>
      </c>
      <c r="H1224" t="s">
        <v>22</v>
      </c>
      <c r="I1224">
        <v>0</v>
      </c>
      <c r="J1224" t="s">
        <v>46</v>
      </c>
    </row>
    <row r="1225" spans="1:10" x14ac:dyDescent="0.25">
      <c r="A1225" s="1">
        <v>343</v>
      </c>
      <c r="B1225" t="s">
        <v>28</v>
      </c>
      <c r="C1225">
        <v>719</v>
      </c>
      <c r="D1225">
        <v>5</v>
      </c>
      <c r="E1225" t="s">
        <v>86</v>
      </c>
      <c r="F1225" t="s">
        <v>87</v>
      </c>
      <c r="G1225" t="str">
        <f>"2025-11-26 11:03:30.101"</f>
        <v>2025-11-26 11:03:30.101</v>
      </c>
      <c r="H1225" t="s">
        <v>22</v>
      </c>
      <c r="I1225">
        <v>0</v>
      </c>
      <c r="J1225" t="s">
        <v>23</v>
      </c>
    </row>
    <row r="1226" spans="1:10" x14ac:dyDescent="0.25">
      <c r="A1226" s="1">
        <v>344</v>
      </c>
      <c r="B1226" t="s">
        <v>28</v>
      </c>
      <c r="C1226">
        <v>719</v>
      </c>
      <c r="D1226">
        <v>5</v>
      </c>
      <c r="E1226" t="s">
        <v>86</v>
      </c>
      <c r="F1226" t="s">
        <v>87</v>
      </c>
      <c r="G1226" t="str">
        <f>"2025-11-26 11:22:59.396"</f>
        <v>2025-11-26 11:22:59.396</v>
      </c>
      <c r="H1226" t="s">
        <v>22</v>
      </c>
      <c r="I1226">
        <v>0</v>
      </c>
      <c r="J1226" t="s">
        <v>23</v>
      </c>
    </row>
    <row r="1227" spans="1:10" x14ac:dyDescent="0.25">
      <c r="A1227" s="1">
        <v>345</v>
      </c>
      <c r="B1227" t="s">
        <v>28</v>
      </c>
      <c r="C1227">
        <v>700</v>
      </c>
      <c r="D1227">
        <v>0</v>
      </c>
      <c r="E1227" t="s">
        <v>34</v>
      </c>
      <c r="F1227" t="s">
        <v>34</v>
      </c>
      <c r="G1227" t="str">
        <f>"2025-11-26 07:58:12.021"</f>
        <v>2025-11-26 07:58:12.021</v>
      </c>
      <c r="H1227" t="s">
        <v>22</v>
      </c>
    </row>
    <row r="1228" spans="1:10" x14ac:dyDescent="0.25">
      <c r="A1228" s="1">
        <v>346</v>
      </c>
      <c r="B1228" t="s">
        <v>37</v>
      </c>
      <c r="C1228">
        <v>98</v>
      </c>
      <c r="D1228">
        <v>1</v>
      </c>
      <c r="E1228" t="s">
        <v>76</v>
      </c>
      <c r="F1228" t="s">
        <v>77</v>
      </c>
      <c r="G1228" t="str">
        <f>"2025-11-26 07:54:13.243"</f>
        <v>2025-11-26 07:54:13.243</v>
      </c>
      <c r="H1228" t="s">
        <v>22</v>
      </c>
    </row>
    <row r="1229" spans="1:10" x14ac:dyDescent="0.25">
      <c r="A1229" s="1">
        <v>347</v>
      </c>
      <c r="B1229" t="s">
        <v>19</v>
      </c>
      <c r="C1229">
        <v>98</v>
      </c>
      <c r="D1229">
        <v>1</v>
      </c>
      <c r="E1229" t="s">
        <v>76</v>
      </c>
      <c r="F1229" t="s">
        <v>77</v>
      </c>
      <c r="G1229" t="str">
        <f>"2025-11-26 07:54:12.243"</f>
        <v>2025-11-26 07:54:12.243</v>
      </c>
      <c r="H1229" t="s">
        <v>22</v>
      </c>
      <c r="I1229">
        <v>0</v>
      </c>
      <c r="J1229" t="s">
        <v>23</v>
      </c>
    </row>
    <row r="1230" spans="1:10" x14ac:dyDescent="0.25">
      <c r="A1230" s="1">
        <v>348</v>
      </c>
      <c r="B1230" t="s">
        <v>37</v>
      </c>
      <c r="C1230">
        <v>98</v>
      </c>
      <c r="D1230">
        <v>1</v>
      </c>
      <c r="E1230" t="s">
        <v>76</v>
      </c>
      <c r="F1230" t="s">
        <v>77</v>
      </c>
      <c r="G1230" t="str">
        <f>"2025-11-26 07:54:11.643"</f>
        <v>2025-11-26 07:54:11.643</v>
      </c>
      <c r="H1230" t="s">
        <v>22</v>
      </c>
    </row>
    <row r="1231" spans="1:10" x14ac:dyDescent="0.25">
      <c r="A1231" s="1">
        <v>349</v>
      </c>
      <c r="B1231" t="s">
        <v>19</v>
      </c>
      <c r="C1231">
        <v>98</v>
      </c>
      <c r="D1231">
        <v>1</v>
      </c>
      <c r="E1231" t="s">
        <v>76</v>
      </c>
      <c r="F1231" t="s">
        <v>77</v>
      </c>
      <c r="G1231" t="str">
        <f>"2025-11-26 07:54:10.643"</f>
        <v>2025-11-26 07:54:10.643</v>
      </c>
      <c r="H1231" t="s">
        <v>22</v>
      </c>
      <c r="I1231">
        <v>0</v>
      </c>
      <c r="J1231" t="s">
        <v>23</v>
      </c>
    </row>
    <row r="1232" spans="1:10" x14ac:dyDescent="0.25">
      <c r="A1232" s="1">
        <v>350</v>
      </c>
      <c r="B1232" t="s">
        <v>37</v>
      </c>
      <c r="C1232">
        <v>4</v>
      </c>
      <c r="D1232">
        <v>1</v>
      </c>
      <c r="E1232" t="s">
        <v>88</v>
      </c>
      <c r="F1232" t="s">
        <v>89</v>
      </c>
      <c r="G1232" t="str">
        <f>"2025-11-26 07:44:38.801"</f>
        <v>2025-11-26 07:44:38.801</v>
      </c>
      <c r="H1232" t="s">
        <v>90</v>
      </c>
    </row>
    <row r="1233" spans="1:10" x14ac:dyDescent="0.25">
      <c r="A1233" s="1">
        <v>351</v>
      </c>
      <c r="B1233" t="s">
        <v>28</v>
      </c>
      <c r="C1233">
        <v>700</v>
      </c>
      <c r="D1233">
        <v>0</v>
      </c>
      <c r="E1233" t="s">
        <v>34</v>
      </c>
      <c r="F1233" t="s">
        <v>34</v>
      </c>
      <c r="G1233" t="str">
        <f>"2025-11-26 07:44:31.022"</f>
        <v>2025-11-26 07:44:31.022</v>
      </c>
      <c r="H1233" t="s">
        <v>22</v>
      </c>
    </row>
    <row r="1234" spans="1:10" x14ac:dyDescent="0.25">
      <c r="A1234" s="1">
        <v>354</v>
      </c>
      <c r="B1234" t="s">
        <v>19</v>
      </c>
      <c r="C1234">
        <v>4</v>
      </c>
      <c r="D1234">
        <v>1</v>
      </c>
      <c r="E1234" t="s">
        <v>88</v>
      </c>
      <c r="F1234" t="s">
        <v>89</v>
      </c>
      <c r="G1234" t="str">
        <f>"2025-11-26 07:34:02.592"</f>
        <v>2025-11-26 07:34:02.592</v>
      </c>
      <c r="H1234" t="s">
        <v>90</v>
      </c>
      <c r="I1234">
        <v>0</v>
      </c>
      <c r="J1234" t="s">
        <v>23</v>
      </c>
    </row>
    <row r="1235" spans="1:10" x14ac:dyDescent="0.25">
      <c r="A1235" s="1">
        <v>355</v>
      </c>
      <c r="B1235" t="s">
        <v>28</v>
      </c>
      <c r="C1235">
        <v>782</v>
      </c>
      <c r="D1235">
        <v>7</v>
      </c>
      <c r="E1235" t="s">
        <v>51</v>
      </c>
      <c r="F1235" t="s">
        <v>52</v>
      </c>
      <c r="G1235" t="str">
        <f>"2025-11-26 07:34:02.586"</f>
        <v>2025-11-26 07:34:02.586</v>
      </c>
      <c r="H1235" t="s">
        <v>22</v>
      </c>
      <c r="I1235">
        <v>0</v>
      </c>
      <c r="J1235" t="s">
        <v>23</v>
      </c>
    </row>
    <row r="1236" spans="1:10" x14ac:dyDescent="0.25">
      <c r="A1236" s="1">
        <v>358</v>
      </c>
      <c r="B1236" t="s">
        <v>37</v>
      </c>
      <c r="C1236">
        <v>4</v>
      </c>
      <c r="D1236">
        <v>1</v>
      </c>
      <c r="E1236" t="s">
        <v>88</v>
      </c>
      <c r="F1236" t="s">
        <v>89</v>
      </c>
      <c r="G1236" t="str">
        <f>"2025-11-26 07:34:02.582"</f>
        <v>2025-11-26 07:34:02.582</v>
      </c>
      <c r="H1236" t="s">
        <v>90</v>
      </c>
    </row>
    <row r="1237" spans="1:10" x14ac:dyDescent="0.25">
      <c r="A1237" s="1">
        <v>359</v>
      </c>
      <c r="B1237" t="s">
        <v>28</v>
      </c>
      <c r="C1237">
        <v>782</v>
      </c>
      <c r="D1237">
        <v>7</v>
      </c>
      <c r="E1237" t="s">
        <v>51</v>
      </c>
      <c r="F1237" t="s">
        <v>52</v>
      </c>
      <c r="G1237" t="str">
        <f>"2025-11-26 07:34:02.581"</f>
        <v>2025-11-26 07:34:02.581</v>
      </c>
      <c r="H1237" t="s">
        <v>22</v>
      </c>
      <c r="I1237">
        <v>0</v>
      </c>
      <c r="J1237" t="s">
        <v>23</v>
      </c>
    </row>
    <row r="1238" spans="1:10" x14ac:dyDescent="0.25">
      <c r="A1238" s="1">
        <v>362</v>
      </c>
      <c r="B1238" t="s">
        <v>19</v>
      </c>
      <c r="C1238">
        <v>4</v>
      </c>
      <c r="D1238">
        <v>1</v>
      </c>
      <c r="E1238" t="s">
        <v>88</v>
      </c>
      <c r="F1238" t="s">
        <v>89</v>
      </c>
      <c r="G1238" t="str">
        <f>"2025-11-26 07:32:56.352"</f>
        <v>2025-11-26 07:32:56.352</v>
      </c>
      <c r="H1238" t="s">
        <v>90</v>
      </c>
      <c r="I1238">
        <v>0</v>
      </c>
      <c r="J1238" t="s">
        <v>23</v>
      </c>
    </row>
    <row r="1239" spans="1:10" x14ac:dyDescent="0.25">
      <c r="A1239" s="1">
        <v>363</v>
      </c>
      <c r="B1239" t="s">
        <v>28</v>
      </c>
      <c r="C1239">
        <v>782</v>
      </c>
      <c r="D1239">
        <v>7</v>
      </c>
      <c r="E1239" t="s">
        <v>51</v>
      </c>
      <c r="F1239" t="s">
        <v>52</v>
      </c>
      <c r="G1239" t="str">
        <f>"2025-11-26 07:32:56.341"</f>
        <v>2025-11-26 07:32:56.341</v>
      </c>
      <c r="H1239" t="s">
        <v>22</v>
      </c>
      <c r="I1239">
        <v>0</v>
      </c>
      <c r="J1239" t="s">
        <v>23</v>
      </c>
    </row>
    <row r="1240" spans="1:10" x14ac:dyDescent="0.25">
      <c r="A1240" s="1">
        <v>366</v>
      </c>
      <c r="B1240" t="s">
        <v>37</v>
      </c>
      <c r="C1240">
        <v>4</v>
      </c>
      <c r="D1240">
        <v>1</v>
      </c>
      <c r="E1240" t="s">
        <v>88</v>
      </c>
      <c r="F1240" t="s">
        <v>89</v>
      </c>
      <c r="G1240" t="str">
        <f>"2025-11-26 07:32:56.335"</f>
        <v>2025-11-26 07:32:56.335</v>
      </c>
      <c r="H1240" t="s">
        <v>90</v>
      </c>
    </row>
    <row r="1241" spans="1:10" x14ac:dyDescent="0.25">
      <c r="A1241" s="1">
        <v>367</v>
      </c>
      <c r="B1241" t="s">
        <v>28</v>
      </c>
      <c r="C1241">
        <v>782</v>
      </c>
      <c r="D1241">
        <v>7</v>
      </c>
      <c r="E1241" t="s">
        <v>51</v>
      </c>
      <c r="F1241" t="s">
        <v>52</v>
      </c>
      <c r="G1241" t="str">
        <f>"2025-11-26 07:32:56.334"</f>
        <v>2025-11-26 07:32:56.334</v>
      </c>
      <c r="H1241" t="s">
        <v>22</v>
      </c>
      <c r="I1241">
        <v>0</v>
      </c>
      <c r="J1241" t="s">
        <v>23</v>
      </c>
    </row>
    <row r="1242" spans="1:10" x14ac:dyDescent="0.25">
      <c r="A1242" s="1">
        <v>370</v>
      </c>
      <c r="B1242" t="s">
        <v>19</v>
      </c>
      <c r="C1242">
        <v>4</v>
      </c>
      <c r="D1242">
        <v>1</v>
      </c>
      <c r="E1242" t="s">
        <v>88</v>
      </c>
      <c r="F1242" t="s">
        <v>89</v>
      </c>
      <c r="G1242" t="str">
        <f>"2025-11-26 07:32:44.552"</f>
        <v>2025-11-26 07:32:44.552</v>
      </c>
      <c r="H1242" t="s">
        <v>90</v>
      </c>
      <c r="I1242">
        <v>0</v>
      </c>
      <c r="J1242" t="s">
        <v>23</v>
      </c>
    </row>
    <row r="1243" spans="1:10" x14ac:dyDescent="0.25">
      <c r="A1243" s="1">
        <v>371</v>
      </c>
      <c r="B1243" t="s">
        <v>28</v>
      </c>
      <c r="C1243">
        <v>782</v>
      </c>
      <c r="D1243">
        <v>7</v>
      </c>
      <c r="E1243" t="s">
        <v>51</v>
      </c>
      <c r="F1243" t="s">
        <v>52</v>
      </c>
      <c r="G1243" t="str">
        <f>"2025-11-26 07:32:44.543"</f>
        <v>2025-11-26 07:32:44.543</v>
      </c>
      <c r="H1243" t="s">
        <v>22</v>
      </c>
      <c r="I1243">
        <v>0</v>
      </c>
      <c r="J1243" t="s">
        <v>23</v>
      </c>
    </row>
    <row r="1244" spans="1:10" x14ac:dyDescent="0.25">
      <c r="A1244" s="1">
        <v>374</v>
      </c>
      <c r="B1244" t="s">
        <v>37</v>
      </c>
      <c r="C1244">
        <v>12</v>
      </c>
      <c r="D1244">
        <v>2</v>
      </c>
      <c r="E1244" t="s">
        <v>91</v>
      </c>
      <c r="F1244" t="s">
        <v>92</v>
      </c>
      <c r="G1244" t="str">
        <f>"2025-11-26 07:32:44.539"</f>
        <v>2025-11-26 07:32:44.539</v>
      </c>
      <c r="H1244" t="s">
        <v>22</v>
      </c>
    </row>
    <row r="1245" spans="1:10" x14ac:dyDescent="0.25">
      <c r="A1245" s="1">
        <v>375</v>
      </c>
      <c r="B1245" t="s">
        <v>37</v>
      </c>
      <c r="C1245">
        <v>12</v>
      </c>
      <c r="D1245">
        <v>1</v>
      </c>
      <c r="E1245" t="s">
        <v>91</v>
      </c>
      <c r="F1245" t="s">
        <v>93</v>
      </c>
      <c r="G1245" t="str">
        <f>"2025-11-26 07:32:44.536"</f>
        <v>2025-11-26 07:32:44.536</v>
      </c>
      <c r="H1245" t="s">
        <v>22</v>
      </c>
    </row>
    <row r="1246" spans="1:10" x14ac:dyDescent="0.25">
      <c r="A1246" s="1">
        <v>376</v>
      </c>
      <c r="B1246" t="s">
        <v>37</v>
      </c>
      <c r="C1246">
        <v>4</v>
      </c>
      <c r="D1246">
        <v>1</v>
      </c>
      <c r="E1246" t="s">
        <v>88</v>
      </c>
      <c r="F1246" t="s">
        <v>89</v>
      </c>
      <c r="G1246" t="str">
        <f>"2025-11-26 07:32:44.535"</f>
        <v>2025-11-26 07:32:44.535</v>
      </c>
      <c r="H1246" t="s">
        <v>90</v>
      </c>
    </row>
    <row r="1247" spans="1:10" x14ac:dyDescent="0.25">
      <c r="A1247" s="1">
        <v>377</v>
      </c>
      <c r="B1247" t="s">
        <v>28</v>
      </c>
      <c r="C1247">
        <v>782</v>
      </c>
      <c r="D1247">
        <v>7</v>
      </c>
      <c r="E1247" t="s">
        <v>51</v>
      </c>
      <c r="F1247" t="s">
        <v>52</v>
      </c>
      <c r="G1247" t="str">
        <f>"2025-11-26 07:32:44.534"</f>
        <v>2025-11-26 07:32:44.534</v>
      </c>
      <c r="H1247" t="s">
        <v>22</v>
      </c>
      <c r="I1247">
        <v>0</v>
      </c>
      <c r="J1247" t="s">
        <v>23</v>
      </c>
    </row>
    <row r="1248" spans="1:10" x14ac:dyDescent="0.25">
      <c r="A1248" s="1">
        <v>378</v>
      </c>
      <c r="B1248" t="s">
        <v>37</v>
      </c>
      <c r="C1248">
        <v>650</v>
      </c>
      <c r="D1248">
        <v>4</v>
      </c>
      <c r="E1248" t="s">
        <v>94</v>
      </c>
      <c r="F1248" t="s">
        <v>95</v>
      </c>
      <c r="G1248" t="str">
        <f>"2025-11-26 07:32:26.335"</f>
        <v>2025-11-26 07:32:26.335</v>
      </c>
      <c r="H1248" t="s">
        <v>22</v>
      </c>
    </row>
    <row r="1249" spans="1:10" x14ac:dyDescent="0.25">
      <c r="A1249" s="1">
        <v>379</v>
      </c>
      <c r="B1249" t="s">
        <v>28</v>
      </c>
      <c r="C1249">
        <v>700</v>
      </c>
      <c r="D1249">
        <v>0</v>
      </c>
      <c r="E1249" t="s">
        <v>34</v>
      </c>
      <c r="F1249" t="s">
        <v>34</v>
      </c>
      <c r="G1249" t="str">
        <f>"2025-11-26 07:31:04.013"</f>
        <v>2025-11-26 07:31:04.013</v>
      </c>
      <c r="H1249" t="s">
        <v>22</v>
      </c>
      <c r="I1249">
        <v>0</v>
      </c>
      <c r="J1249" t="s">
        <v>46</v>
      </c>
    </row>
    <row r="1250" spans="1:10" x14ac:dyDescent="0.25">
      <c r="A1250" s="1">
        <v>382</v>
      </c>
      <c r="B1250" t="s">
        <v>28</v>
      </c>
      <c r="C1250">
        <v>753</v>
      </c>
      <c r="D1250">
        <v>1</v>
      </c>
      <c r="E1250" t="s">
        <v>96</v>
      </c>
      <c r="F1250" t="s">
        <v>97</v>
      </c>
      <c r="G1250" t="str">
        <f>"2025-11-26 07:25:16.493"</f>
        <v>2025-11-26 07:25:16.493</v>
      </c>
      <c r="H1250" t="s">
        <v>22</v>
      </c>
      <c r="I1250">
        <v>0</v>
      </c>
      <c r="J1250" t="s">
        <v>23</v>
      </c>
    </row>
    <row r="1251" spans="1:10" x14ac:dyDescent="0.25">
      <c r="A1251" s="1">
        <v>383</v>
      </c>
      <c r="B1251" t="s">
        <v>60</v>
      </c>
      <c r="C1251">
        <v>641</v>
      </c>
      <c r="D1251">
        <v>1</v>
      </c>
      <c r="E1251" t="s">
        <v>98</v>
      </c>
      <c r="F1251" t="s">
        <v>92</v>
      </c>
      <c r="G1251" t="str">
        <f>"2025-11-26 07:25:10.839"</f>
        <v>2025-11-26 07:25:10.839</v>
      </c>
      <c r="H1251" t="s">
        <v>22</v>
      </c>
      <c r="I1251">
        <v>0</v>
      </c>
      <c r="J1251" t="s">
        <v>23</v>
      </c>
    </row>
    <row r="1252" spans="1:10" x14ac:dyDescent="0.25">
      <c r="A1252" s="1">
        <v>384</v>
      </c>
      <c r="B1252" t="s">
        <v>60</v>
      </c>
      <c r="C1252">
        <v>640</v>
      </c>
      <c r="D1252">
        <v>1</v>
      </c>
      <c r="E1252" t="s">
        <v>99</v>
      </c>
      <c r="F1252" t="s">
        <v>93</v>
      </c>
      <c r="G1252" t="str">
        <f>"2025-11-26 07:25:10.833"</f>
        <v>2025-11-26 07:25:10.833</v>
      </c>
      <c r="H1252" t="s">
        <v>49</v>
      </c>
      <c r="I1252">
        <v>0</v>
      </c>
      <c r="J1252" t="s">
        <v>23</v>
      </c>
    </row>
    <row r="1253" spans="1:10" x14ac:dyDescent="0.25">
      <c r="A1253" s="1">
        <v>385</v>
      </c>
      <c r="B1253" t="s">
        <v>19</v>
      </c>
      <c r="C1253">
        <v>4</v>
      </c>
      <c r="D1253">
        <v>1</v>
      </c>
      <c r="E1253" t="s">
        <v>88</v>
      </c>
      <c r="F1253" t="s">
        <v>89</v>
      </c>
      <c r="G1253" t="str">
        <f>"2025-11-26 07:25:05.492"</f>
        <v>2025-11-26 07:25:05.492</v>
      </c>
      <c r="H1253" t="s">
        <v>90</v>
      </c>
      <c r="I1253">
        <v>0</v>
      </c>
      <c r="J1253" t="s">
        <v>23</v>
      </c>
    </row>
    <row r="1254" spans="1:10" x14ac:dyDescent="0.25">
      <c r="A1254" s="1">
        <v>386</v>
      </c>
      <c r="B1254" t="s">
        <v>19</v>
      </c>
      <c r="C1254">
        <v>12</v>
      </c>
      <c r="D1254">
        <v>1</v>
      </c>
      <c r="E1254" t="s">
        <v>91</v>
      </c>
      <c r="F1254" t="s">
        <v>93</v>
      </c>
      <c r="G1254" t="str">
        <f>"2025-11-26 07:25:04.654"</f>
        <v>2025-11-26 07:25:04.654</v>
      </c>
      <c r="H1254" t="s">
        <v>22</v>
      </c>
      <c r="I1254">
        <v>0</v>
      </c>
      <c r="J1254" t="s">
        <v>23</v>
      </c>
    </row>
    <row r="1255" spans="1:10" x14ac:dyDescent="0.25">
      <c r="A1255" s="1">
        <v>387</v>
      </c>
      <c r="B1255" t="s">
        <v>19</v>
      </c>
      <c r="C1255">
        <v>12</v>
      </c>
      <c r="D1255">
        <v>2</v>
      </c>
      <c r="E1255" t="s">
        <v>91</v>
      </c>
      <c r="F1255" t="s">
        <v>92</v>
      </c>
      <c r="G1255" t="str">
        <f>"2025-11-26 07:25:04.559"</f>
        <v>2025-11-26 07:25:04.559</v>
      </c>
      <c r="H1255" t="s">
        <v>22</v>
      </c>
      <c r="I1255">
        <v>0</v>
      </c>
      <c r="J1255" t="s">
        <v>23</v>
      </c>
    </row>
    <row r="1256" spans="1:10" x14ac:dyDescent="0.25">
      <c r="A1256" s="1">
        <v>388</v>
      </c>
      <c r="B1256" t="s">
        <v>19</v>
      </c>
      <c r="C1256">
        <v>650</v>
      </c>
      <c r="D1256">
        <v>4</v>
      </c>
      <c r="E1256" t="s">
        <v>94</v>
      </c>
      <c r="F1256" t="s">
        <v>95</v>
      </c>
      <c r="G1256" t="str">
        <f>"2025-11-26 07:25:03.246"</f>
        <v>2025-11-26 07:25:03.246</v>
      </c>
      <c r="H1256" t="s">
        <v>22</v>
      </c>
      <c r="I1256">
        <v>0</v>
      </c>
      <c r="J1256" t="s">
        <v>46</v>
      </c>
    </row>
    <row r="1257" spans="1:10" x14ac:dyDescent="0.25">
      <c r="A1257" s="1">
        <v>389</v>
      </c>
      <c r="B1257" t="s">
        <v>28</v>
      </c>
      <c r="C1257">
        <v>700</v>
      </c>
      <c r="D1257">
        <v>0</v>
      </c>
      <c r="E1257" t="s">
        <v>34</v>
      </c>
      <c r="F1257" t="s">
        <v>34</v>
      </c>
      <c r="G1257" t="str">
        <f>"2025-11-26 07:25:00.603"</f>
        <v>2025-11-26 07:25:00.603</v>
      </c>
      <c r="H1257" t="s">
        <v>22</v>
      </c>
    </row>
  </sheetData>
  <autoFilter ref="C1:C1257" xr:uid="{D2DD70FD-6497-4A58-A164-EE3F1706D74A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2FD79D-F53B-492C-AFFC-E57F69EF2B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events_ru_89_20260721-163035 89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2026-07-21T07:10:37Z</dcterms:modified>
</cp:coreProperties>
</file>
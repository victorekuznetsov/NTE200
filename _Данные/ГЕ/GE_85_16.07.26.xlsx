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37C03C19-D95E-49BC-BD0E-657A7CE6DB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85_20260716-170529 46" sheetId="2" r:id="rId1"/>
    <sheet name="Лист1" sheetId="1" r:id="rId2"/>
  </sheets>
  <definedNames>
    <definedName name="_xlnm._FilterDatabase" localSheetId="0" hidden="1">'events_ru_85_20260716-170529 46'!$A$9:$J$762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8EFFD8-62B0-4373-8E1E-A79FCE8F23A9}" keepAlive="1" name="Запрос — events_ru_85_20260716-170529 466" description="Соединение с запросом &quot;events_ru_85_20260716-170529 466&quot; в книге." type="5" refreshedVersion="0" background="1">
    <dbPr connection="Provider=Microsoft.Mashup.OleDb.1;Data Source=$Workbook$;Location=&quot;events_ru_85_20260716-170529 466&quot;;Extended Properties=&quot;&quot;" command="SELECT * FROM [events_ru_85_20260716-170529 466]"/>
  </connection>
</connections>
</file>

<file path=xl/sharedStrings.xml><?xml version="1.0" encoding="utf-8"?>
<sst xmlns="http://schemas.openxmlformats.org/spreadsheetml/2006/main" count="3510" uniqueCount="69">
  <si>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</si>
  <si>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</si>
  <si>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</si>
  <si>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</si>
  <si>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</si>
  <si>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</si>
  <si>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</si>
  <si>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</si>
  <si>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</si>
  <si>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</si>
  <si>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</si>
  <si>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</si>
  <si>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</si>
  <si>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</si>
  <si>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</si>
  <si>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</si>
  <si>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</si>
  <si>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</si>
  <si>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</si>
  <si>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</si>
  <si>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--Включение питания системы--</t>
  </si>
  <si>
    <t>Неограничивающее событие</t>
  </si>
  <si>
    <t>Null</t>
  </si>
  <si>
    <t>Система в безопасном режиме</t>
  </si>
  <si>
    <t>Вход в безопасный режим файловой системы - Запуск двигателя</t>
  </si>
  <si>
    <t>Test</t>
  </si>
  <si>
    <t>SRst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</si>
  <si>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</si>
  <si>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</si>
  <si>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</si>
  <si>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>Введен безопасный режим файловой системы - Низкий заряд батареи</t>
  </si>
  <si>
    <t xml:space="preserve">Log </t>
  </si>
  <si>
    <t>Самосвал перегружен - NR</t>
  </si>
  <si>
    <t>Не доступно</t>
  </si>
  <si>
    <t>Log+</t>
  </si>
  <si>
    <t>Propel</t>
  </si>
  <si>
    <t>Рабочий тормоз на ходу</t>
  </si>
  <si>
    <t>Рабочие тормоза использованы на ходу</t>
  </si>
  <si>
    <t>Retard</t>
  </si>
  <si>
    <t>Вход в безопасный режим файловой системы - Ключ или CPS</t>
  </si>
  <si>
    <t>Ready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</si>
  <si>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</si>
  <si>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</si>
  <si>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</si>
  <si>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WRst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</si>
  <si>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</si>
  <si>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</si>
  <si>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</si>
  <si>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Превышении скорости</t>
  </si>
  <si>
    <t>Управление скоростью - превышение</t>
  </si>
  <si>
    <t>Команда сохранения данных PTU</t>
  </si>
  <si>
    <t>Инициированное водителем сохранение данных</t>
  </si>
  <si>
    <t>Reset All Faults</t>
  </si>
  <si>
    <t>Zero</t>
  </si>
  <si>
    <t>Отказ педали ретардера</t>
  </si>
  <si>
    <t>Слишком низкое напряжение</t>
  </si>
  <si>
    <t>Слишком высокое напряжение</t>
  </si>
  <si>
    <t>Нужна калибровка педали</t>
  </si>
  <si>
    <t>Нужна калибровка запуска</t>
  </si>
  <si>
    <t>Установка часов реального времени</t>
  </si>
  <si>
    <t>через WebPTU</t>
  </si>
  <si>
    <t>--Обновлена версия ПО--</t>
  </si>
  <si>
    <t>Приложение</t>
  </si>
  <si>
    <t>Педаль акслератора вне пределов - низкий уровень</t>
  </si>
  <si>
    <t>Педаль акслератора вне пределов - высокий уровень</t>
  </si>
  <si>
    <t>Запрет тяги</t>
  </si>
  <si>
    <t>Su-Sd</t>
  </si>
  <si>
    <t>--Сброс КС в исходное состояние выполнена пользователем--</t>
  </si>
  <si>
    <t>--Сброс статистики--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</si>
</sst>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4D563-8502-4788-9D9D-3A0DBB1D9A49}">
  <dimension ref="A1:J762"/>
  <sheetViews>
    <sheetView tabSelected="1" workbookViewId="0">
      <selection activeCell="E8" sqref="E8"/>
    </sheetView>
  </sheetViews>
  <sheetFormatPr defaultRowHeight="15" x14ac:dyDescent="0.25"/>
  <cols>
    <col min="1" max="1" width="16" bestFit="1" customWidth="1"/>
    <col min="5" max="5" width="50" customWidth="1"/>
    <col min="6" max="6" width="67" bestFit="1" customWidth="1"/>
    <col min="7" max="7" width="22" bestFit="1" customWidth="1"/>
    <col min="8" max="8" width="28" bestFit="1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85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"2026-07-16 17:05:29.466"</f>
        <v>2026-07-16 17:05:29.466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700</v>
      </c>
      <c r="D10">
        <v>0</v>
      </c>
      <c r="E10" t="s">
        <v>20</v>
      </c>
      <c r="F10" t="s">
        <v>20</v>
      </c>
      <c r="G10" t="str">
        <f>"2026-07-16 17:02:16.669"</f>
        <v>2026-07-16 17:02:16.669</v>
      </c>
      <c r="H10" t="s">
        <v>21</v>
      </c>
      <c r="I10">
        <v>0</v>
      </c>
      <c r="J10" t="s">
        <v>22</v>
      </c>
    </row>
    <row r="11" spans="1:10" x14ac:dyDescent="0.25">
      <c r="A11" s="1"/>
      <c r="B11" t="s">
        <v>19</v>
      </c>
      <c r="C11">
        <v>706</v>
      </c>
      <c r="D11">
        <v>2</v>
      </c>
      <c r="E11" t="s">
        <v>23</v>
      </c>
      <c r="F11" t="s">
        <v>24</v>
      </c>
      <c r="G11" t="str">
        <f>"2026-07-16 16:16:39.127"</f>
        <v>2026-07-16 16:16:39.127</v>
      </c>
      <c r="H11" t="s">
        <v>21</v>
      </c>
      <c r="I11">
        <v>0</v>
      </c>
      <c r="J11" t="s">
        <v>25</v>
      </c>
    </row>
    <row r="12" spans="1:10" x14ac:dyDescent="0.25">
      <c r="A12" s="1"/>
      <c r="B12" t="s">
        <v>19</v>
      </c>
      <c r="C12">
        <v>700</v>
      </c>
      <c r="D12">
        <v>0</v>
      </c>
      <c r="E12" t="s">
        <v>20</v>
      </c>
      <c r="F12" t="s">
        <v>20</v>
      </c>
      <c r="G12" t="str">
        <f>"2026-07-16 16:15:36.687"</f>
        <v>2026-07-16 16:15:36.687</v>
      </c>
      <c r="H12" t="s">
        <v>21</v>
      </c>
      <c r="I12">
        <v>0</v>
      </c>
      <c r="J12" t="s">
        <v>22</v>
      </c>
    </row>
    <row r="13" spans="1:10" x14ac:dyDescent="0.25">
      <c r="A13" s="1"/>
      <c r="B13" t="s">
        <v>26</v>
      </c>
      <c r="C13">
        <v>630</v>
      </c>
      <c r="D13">
        <v>5</v>
      </c>
      <c r="E13" t="s">
        <v>27</v>
      </c>
      <c r="F13" t="s">
        <v>28</v>
      </c>
      <c r="G13" t="str">
        <f>"2026-07-16 13:05:35.697"</f>
        <v>2026-07-16 13:05:35.697</v>
      </c>
      <c r="H13" t="s">
        <v>29</v>
      </c>
    </row>
    <row r="14" spans="1:10" x14ac:dyDescent="0.25">
      <c r="A14" s="1"/>
      <c r="B14" t="s">
        <v>19</v>
      </c>
      <c r="C14">
        <v>706</v>
      </c>
      <c r="D14">
        <v>4</v>
      </c>
      <c r="E14" t="s">
        <v>23</v>
      </c>
      <c r="F14" t="s">
        <v>30</v>
      </c>
      <c r="G14" t="str">
        <f>"2026-07-16 13:05:05.640"</f>
        <v>2026-07-16 13:05:05.640</v>
      </c>
      <c r="H14" t="s">
        <v>21</v>
      </c>
      <c r="I14">
        <v>0</v>
      </c>
      <c r="J14" t="s">
        <v>25</v>
      </c>
    </row>
    <row r="15" spans="1:10" x14ac:dyDescent="0.25">
      <c r="A15" s="1"/>
      <c r="B15" t="s">
        <v>31</v>
      </c>
      <c r="C15">
        <v>630</v>
      </c>
      <c r="D15">
        <v>5</v>
      </c>
      <c r="E15" t="s">
        <v>27</v>
      </c>
      <c r="F15" t="s">
        <v>28</v>
      </c>
      <c r="G15" t="str">
        <f>"2026-07-16 12:45:45.897"</f>
        <v>2026-07-16 12:45:45.897</v>
      </c>
      <c r="H15" t="s">
        <v>29</v>
      </c>
      <c r="I15">
        <v>0</v>
      </c>
      <c r="J15" t="s">
        <v>25</v>
      </c>
    </row>
    <row r="16" spans="1:10" x14ac:dyDescent="0.25">
      <c r="A16" s="1"/>
      <c r="B16" t="s">
        <v>26</v>
      </c>
      <c r="C16">
        <v>635</v>
      </c>
      <c r="D16">
        <v>1</v>
      </c>
      <c r="E16" t="s">
        <v>32</v>
      </c>
      <c r="F16" t="s">
        <v>33</v>
      </c>
      <c r="G16" t="str">
        <f>"2026-07-16 06:48:33.349"</f>
        <v>2026-07-16 06:48:33.349</v>
      </c>
      <c r="H16" t="s">
        <v>21</v>
      </c>
    </row>
    <row r="17" spans="1:10" x14ac:dyDescent="0.25">
      <c r="A17" s="1"/>
      <c r="B17" t="s">
        <v>34</v>
      </c>
      <c r="C17">
        <v>635</v>
      </c>
      <c r="D17">
        <v>1</v>
      </c>
      <c r="E17" t="s">
        <v>32</v>
      </c>
      <c r="F17" t="s">
        <v>33</v>
      </c>
      <c r="G17" t="str">
        <f>"2026-07-16 06:18:47.349"</f>
        <v>2026-07-16 06:18:47.349</v>
      </c>
      <c r="H17" t="s">
        <v>21</v>
      </c>
      <c r="I17">
        <v>3.94</v>
      </c>
      <c r="J17" t="s">
        <v>35</v>
      </c>
    </row>
    <row r="18" spans="1:10" x14ac:dyDescent="0.25">
      <c r="A18" s="1"/>
      <c r="B18" t="s">
        <v>19</v>
      </c>
      <c r="C18">
        <v>706</v>
      </c>
      <c r="D18">
        <v>4</v>
      </c>
      <c r="E18" t="s">
        <v>23</v>
      </c>
      <c r="F18" t="s">
        <v>30</v>
      </c>
      <c r="G18" t="str">
        <f>"2026-07-16 01:17:27.650"</f>
        <v>2026-07-16 01:17:27.650</v>
      </c>
      <c r="H18" t="s">
        <v>21</v>
      </c>
      <c r="I18">
        <v>0</v>
      </c>
      <c r="J18" t="s">
        <v>25</v>
      </c>
    </row>
    <row r="19" spans="1:10" x14ac:dyDescent="0.25">
      <c r="A19" s="1"/>
      <c r="B19" t="s">
        <v>19</v>
      </c>
      <c r="C19">
        <v>700</v>
      </c>
      <c r="D19">
        <v>0</v>
      </c>
      <c r="E19" t="s">
        <v>20</v>
      </c>
      <c r="F19" t="s">
        <v>20</v>
      </c>
      <c r="G19" t="str">
        <f>"2026-07-16 01:17:01.660"</f>
        <v>2026-07-16 01:17:01.660</v>
      </c>
      <c r="H19" t="s">
        <v>21</v>
      </c>
      <c r="I19">
        <v>0</v>
      </c>
      <c r="J19" t="s">
        <v>22</v>
      </c>
    </row>
    <row r="20" spans="1:10" s="3" customFormat="1" x14ac:dyDescent="0.25">
      <c r="A20" s="2">
        <v>0</v>
      </c>
      <c r="B20" s="3" t="s">
        <v>26</v>
      </c>
      <c r="C20" s="3">
        <v>647</v>
      </c>
      <c r="D20" s="3">
        <v>1</v>
      </c>
      <c r="E20" s="3" t="s">
        <v>36</v>
      </c>
      <c r="F20" s="3" t="s">
        <v>37</v>
      </c>
      <c r="G20" s="3" t="str">
        <f>"2026-07-16 00:01:12.005"</f>
        <v>2026-07-16 00:01:12.005</v>
      </c>
      <c r="H20" s="3" t="s">
        <v>21</v>
      </c>
    </row>
    <row r="21" spans="1:10" s="3" customFormat="1" x14ac:dyDescent="0.25">
      <c r="A21" s="2">
        <v>1</v>
      </c>
      <c r="B21" s="3" t="s">
        <v>34</v>
      </c>
      <c r="C21" s="3">
        <v>647</v>
      </c>
      <c r="D21" s="3">
        <v>1</v>
      </c>
      <c r="E21" s="3" t="s">
        <v>36</v>
      </c>
      <c r="F21" s="3" t="s">
        <v>37</v>
      </c>
      <c r="G21" s="3" t="str">
        <f>"2026-07-16 00:01:02.705"</f>
        <v>2026-07-16 00:01:02.705</v>
      </c>
      <c r="H21" s="3" t="s">
        <v>21</v>
      </c>
      <c r="I21" s="3">
        <v>12.14</v>
      </c>
      <c r="J21" s="3" t="s">
        <v>38</v>
      </c>
    </row>
    <row r="22" spans="1:10" x14ac:dyDescent="0.25">
      <c r="A22" s="1">
        <v>2</v>
      </c>
      <c r="B22" t="s">
        <v>26</v>
      </c>
      <c r="C22">
        <v>630</v>
      </c>
      <c r="D22">
        <v>5</v>
      </c>
      <c r="E22" t="s">
        <v>27</v>
      </c>
      <c r="F22" t="s">
        <v>28</v>
      </c>
      <c r="G22" t="str">
        <f>"2026-07-15 14:11:29.805"</f>
        <v>2026-07-15 14:11:29.805</v>
      </c>
      <c r="H22" t="s">
        <v>29</v>
      </c>
    </row>
    <row r="23" spans="1:10" x14ac:dyDescent="0.25">
      <c r="A23" s="1">
        <v>3</v>
      </c>
      <c r="B23" t="s">
        <v>19</v>
      </c>
      <c r="C23">
        <v>706</v>
      </c>
      <c r="D23">
        <v>2</v>
      </c>
      <c r="E23" t="s">
        <v>23</v>
      </c>
      <c r="F23" t="s">
        <v>24</v>
      </c>
      <c r="G23" t="str">
        <f>"2026-07-15 14:10:59.666"</f>
        <v>2026-07-15 14:10:59.666</v>
      </c>
      <c r="H23" t="s">
        <v>21</v>
      </c>
      <c r="I23">
        <v>0</v>
      </c>
      <c r="J23" t="s">
        <v>25</v>
      </c>
    </row>
    <row r="24" spans="1:10" x14ac:dyDescent="0.25">
      <c r="A24" s="1">
        <v>4</v>
      </c>
      <c r="B24" t="s">
        <v>31</v>
      </c>
      <c r="C24">
        <v>630</v>
      </c>
      <c r="D24">
        <v>5</v>
      </c>
      <c r="E24" t="s">
        <v>27</v>
      </c>
      <c r="F24" t="s">
        <v>28</v>
      </c>
      <c r="G24" t="str">
        <f>"2026-07-15 14:06:54.405"</f>
        <v>2026-07-15 14:06:54.405</v>
      </c>
      <c r="H24" t="s">
        <v>29</v>
      </c>
      <c r="I24">
        <v>0</v>
      </c>
      <c r="J24" t="s">
        <v>25</v>
      </c>
    </row>
    <row r="25" spans="1:10" x14ac:dyDescent="0.25">
      <c r="A25" s="1">
        <v>5</v>
      </c>
      <c r="B25" t="s">
        <v>26</v>
      </c>
      <c r="C25">
        <v>630</v>
      </c>
      <c r="D25">
        <v>5</v>
      </c>
      <c r="E25" t="s">
        <v>27</v>
      </c>
      <c r="F25" t="s">
        <v>28</v>
      </c>
      <c r="G25" t="str">
        <f>"2026-07-15 08:36:42.205"</f>
        <v>2026-07-15 08:36:42.205</v>
      </c>
      <c r="H25" t="s">
        <v>29</v>
      </c>
    </row>
    <row r="26" spans="1:10" x14ac:dyDescent="0.25">
      <c r="A26" s="1">
        <v>6</v>
      </c>
      <c r="B26" t="s">
        <v>19</v>
      </c>
      <c r="C26">
        <v>706</v>
      </c>
      <c r="D26">
        <v>4</v>
      </c>
      <c r="E26" t="s">
        <v>23</v>
      </c>
      <c r="F26" t="s">
        <v>30</v>
      </c>
      <c r="G26" t="str">
        <f>"2026-07-15 08:36:12.066"</f>
        <v>2026-07-15 08:36:12.066</v>
      </c>
      <c r="H26" t="s">
        <v>21</v>
      </c>
      <c r="I26">
        <v>0</v>
      </c>
      <c r="J26" t="s">
        <v>25</v>
      </c>
    </row>
    <row r="27" spans="1:10" x14ac:dyDescent="0.25">
      <c r="A27" s="1">
        <v>7</v>
      </c>
      <c r="B27" t="s">
        <v>31</v>
      </c>
      <c r="C27">
        <v>630</v>
      </c>
      <c r="D27">
        <v>5</v>
      </c>
      <c r="E27" t="s">
        <v>27</v>
      </c>
      <c r="F27" t="s">
        <v>28</v>
      </c>
      <c r="G27" t="str">
        <f>"2026-07-15 08:29:23.806"</f>
        <v>2026-07-15 08:29:23.806</v>
      </c>
      <c r="H27" t="s">
        <v>29</v>
      </c>
      <c r="I27">
        <v>0</v>
      </c>
      <c r="J27" t="s">
        <v>25</v>
      </c>
    </row>
    <row r="28" spans="1:10" x14ac:dyDescent="0.25">
      <c r="A28" s="1">
        <v>8</v>
      </c>
      <c r="B28" t="s">
        <v>19</v>
      </c>
      <c r="C28">
        <v>700</v>
      </c>
      <c r="D28">
        <v>0</v>
      </c>
      <c r="E28" t="s">
        <v>20</v>
      </c>
      <c r="F28" t="s">
        <v>20</v>
      </c>
      <c r="G28" t="str">
        <f>"2026-07-15 01:57:33.666"</f>
        <v>2026-07-15 01:57:33.666</v>
      </c>
      <c r="H28" t="s">
        <v>21</v>
      </c>
      <c r="I28">
        <v>0</v>
      </c>
      <c r="J28" t="s">
        <v>22</v>
      </c>
    </row>
    <row r="29" spans="1:10" x14ac:dyDescent="0.25">
      <c r="A29" s="1">
        <v>9</v>
      </c>
      <c r="B29" t="s">
        <v>26</v>
      </c>
      <c r="C29">
        <v>630</v>
      </c>
      <c r="D29">
        <v>5</v>
      </c>
      <c r="E29" t="s">
        <v>27</v>
      </c>
      <c r="F29" t="s">
        <v>28</v>
      </c>
      <c r="G29" t="str">
        <f>"2026-07-14 13:28:24.030"</f>
        <v>2026-07-14 13:28:24.030</v>
      </c>
      <c r="H29" t="s">
        <v>29</v>
      </c>
    </row>
    <row r="30" spans="1:10" x14ac:dyDescent="0.25">
      <c r="A30" s="1">
        <v>0</v>
      </c>
      <c r="B30" t="s">
        <v>19</v>
      </c>
      <c r="C30">
        <v>706</v>
      </c>
      <c r="D30">
        <v>4</v>
      </c>
      <c r="E30" t="s">
        <v>23</v>
      </c>
      <c r="F30" t="s">
        <v>30</v>
      </c>
      <c r="G30" t="str">
        <f>"2026-07-14 13:27:53.908"</f>
        <v>2026-07-14 13:27:53.908</v>
      </c>
      <c r="H30" t="s">
        <v>21</v>
      </c>
      <c r="I30">
        <v>0</v>
      </c>
      <c r="J30" t="s">
        <v>25</v>
      </c>
    </row>
    <row r="31" spans="1:10" x14ac:dyDescent="0.25">
      <c r="A31" s="1">
        <v>1</v>
      </c>
      <c r="B31" t="s">
        <v>31</v>
      </c>
      <c r="C31">
        <v>630</v>
      </c>
      <c r="D31">
        <v>5</v>
      </c>
      <c r="E31" t="s">
        <v>27</v>
      </c>
      <c r="F31" t="s">
        <v>28</v>
      </c>
      <c r="G31" t="str">
        <f>"2026-07-14 13:06:39.930"</f>
        <v>2026-07-14 13:06:39.930</v>
      </c>
      <c r="H31" t="s">
        <v>29</v>
      </c>
      <c r="I31">
        <v>0</v>
      </c>
      <c r="J31" t="s">
        <v>25</v>
      </c>
    </row>
    <row r="32" spans="1:10" x14ac:dyDescent="0.25">
      <c r="A32" s="1">
        <v>2</v>
      </c>
      <c r="B32" t="s">
        <v>26</v>
      </c>
      <c r="C32">
        <v>630</v>
      </c>
      <c r="D32">
        <v>5</v>
      </c>
      <c r="E32" t="s">
        <v>27</v>
      </c>
      <c r="F32" t="s">
        <v>28</v>
      </c>
      <c r="G32" t="str">
        <f>"2026-07-14 11:26:25.630"</f>
        <v>2026-07-14 11:26:25.630</v>
      </c>
      <c r="H32" t="s">
        <v>29</v>
      </c>
    </row>
    <row r="33" spans="1:10" x14ac:dyDescent="0.25">
      <c r="A33" s="1">
        <v>3</v>
      </c>
      <c r="B33" t="s">
        <v>19</v>
      </c>
      <c r="C33">
        <v>706</v>
      </c>
      <c r="D33">
        <v>4</v>
      </c>
      <c r="E33" t="s">
        <v>23</v>
      </c>
      <c r="F33" t="s">
        <v>30</v>
      </c>
      <c r="G33" t="str">
        <f>"2026-07-14 11:25:55.548"</f>
        <v>2026-07-14 11:25:55.548</v>
      </c>
      <c r="H33" t="s">
        <v>21</v>
      </c>
      <c r="I33">
        <v>0</v>
      </c>
      <c r="J33" t="s">
        <v>25</v>
      </c>
    </row>
    <row r="34" spans="1:10" x14ac:dyDescent="0.25">
      <c r="A34" s="1">
        <v>4</v>
      </c>
      <c r="B34" t="s">
        <v>31</v>
      </c>
      <c r="C34">
        <v>630</v>
      </c>
      <c r="D34">
        <v>5</v>
      </c>
      <c r="E34" t="s">
        <v>27</v>
      </c>
      <c r="F34" t="s">
        <v>28</v>
      </c>
      <c r="G34" t="str">
        <f>"2026-07-14 11:04:55.630"</f>
        <v>2026-07-14 11:04:55.630</v>
      </c>
      <c r="H34" t="s">
        <v>29</v>
      </c>
      <c r="I34">
        <v>0</v>
      </c>
      <c r="J34" t="s">
        <v>25</v>
      </c>
    </row>
    <row r="35" spans="1:10" x14ac:dyDescent="0.25">
      <c r="A35" s="1">
        <v>5</v>
      </c>
      <c r="B35" t="s">
        <v>19</v>
      </c>
      <c r="C35">
        <v>700</v>
      </c>
      <c r="D35">
        <v>0</v>
      </c>
      <c r="E35" t="s">
        <v>20</v>
      </c>
      <c r="F35" t="s">
        <v>20</v>
      </c>
      <c r="G35" t="str">
        <f>"2026-07-14 10:36:13.688"</f>
        <v>2026-07-14 10:36:13.688</v>
      </c>
      <c r="H35" t="s">
        <v>21</v>
      </c>
      <c r="I35">
        <v>0</v>
      </c>
      <c r="J35" t="s">
        <v>22</v>
      </c>
    </row>
    <row r="36" spans="1:10" x14ac:dyDescent="0.25">
      <c r="A36" s="1">
        <v>6</v>
      </c>
      <c r="B36" t="s">
        <v>19</v>
      </c>
      <c r="C36">
        <v>706</v>
      </c>
      <c r="D36">
        <v>4</v>
      </c>
      <c r="E36" t="s">
        <v>23</v>
      </c>
      <c r="F36" t="s">
        <v>30</v>
      </c>
      <c r="G36" t="str">
        <f>"2026-07-14 05:02:49.050"</f>
        <v>2026-07-14 05:02:49.050</v>
      </c>
      <c r="H36" t="s">
        <v>21</v>
      </c>
      <c r="I36">
        <v>0</v>
      </c>
      <c r="J36" t="s">
        <v>25</v>
      </c>
    </row>
    <row r="37" spans="1:10" x14ac:dyDescent="0.25">
      <c r="A37" s="1">
        <v>7</v>
      </c>
      <c r="B37" t="s">
        <v>19</v>
      </c>
      <c r="C37">
        <v>706</v>
      </c>
      <c r="D37">
        <v>3</v>
      </c>
      <c r="E37" t="s">
        <v>23</v>
      </c>
      <c r="F37" t="s">
        <v>39</v>
      </c>
      <c r="G37" t="str">
        <f>"2026-07-14 05:02:16.230"</f>
        <v>2026-07-14 05:02:16.230</v>
      </c>
      <c r="H37" t="s">
        <v>21</v>
      </c>
      <c r="I37">
        <v>0</v>
      </c>
      <c r="J37" t="s">
        <v>25</v>
      </c>
    </row>
    <row r="38" spans="1:10" x14ac:dyDescent="0.25">
      <c r="A38" s="1">
        <v>8</v>
      </c>
      <c r="B38" t="s">
        <v>19</v>
      </c>
      <c r="C38">
        <v>700</v>
      </c>
      <c r="D38">
        <v>0</v>
      </c>
      <c r="E38" t="s">
        <v>20</v>
      </c>
      <c r="F38" t="s">
        <v>20</v>
      </c>
      <c r="G38" t="str">
        <f>"2026-07-14 05:01:17.650"</f>
        <v>2026-07-14 05:01:17.650</v>
      </c>
      <c r="H38" t="s">
        <v>21</v>
      </c>
    </row>
    <row r="39" spans="1:10" x14ac:dyDescent="0.25">
      <c r="A39" s="1">
        <v>9</v>
      </c>
      <c r="B39" t="s">
        <v>19</v>
      </c>
      <c r="C39">
        <v>700</v>
      </c>
      <c r="D39">
        <v>0</v>
      </c>
      <c r="E39" t="s">
        <v>20</v>
      </c>
      <c r="F39" t="s">
        <v>20</v>
      </c>
      <c r="G39" t="str">
        <f>"2026-07-14 04:56:31.662"</f>
        <v>2026-07-14 04:56:31.662</v>
      </c>
      <c r="H39" t="s">
        <v>21</v>
      </c>
    </row>
    <row r="40" spans="1:10" x14ac:dyDescent="0.25">
      <c r="A40" s="1">
        <v>0</v>
      </c>
      <c r="B40" t="s">
        <v>19</v>
      </c>
      <c r="C40">
        <v>700</v>
      </c>
      <c r="D40">
        <v>0</v>
      </c>
      <c r="E40" t="s">
        <v>20</v>
      </c>
      <c r="F40" t="s">
        <v>20</v>
      </c>
      <c r="G40" t="str">
        <f>"2026-07-14 00:19:14.653"</f>
        <v>2026-07-14 00:19:14.653</v>
      </c>
      <c r="H40" t="s">
        <v>21</v>
      </c>
      <c r="I40">
        <v>0</v>
      </c>
      <c r="J40" t="s">
        <v>22</v>
      </c>
    </row>
    <row r="41" spans="1:10" x14ac:dyDescent="0.25">
      <c r="A41" s="1">
        <v>1</v>
      </c>
      <c r="B41" t="s">
        <v>26</v>
      </c>
      <c r="C41">
        <v>635</v>
      </c>
      <c r="D41">
        <v>1</v>
      </c>
      <c r="E41" t="s">
        <v>32</v>
      </c>
      <c r="F41" t="s">
        <v>33</v>
      </c>
      <c r="G41" t="str">
        <f>"2026-07-13 13:19:44.537"</f>
        <v>2026-07-13 13:19:44.537</v>
      </c>
      <c r="H41" t="s">
        <v>21</v>
      </c>
    </row>
    <row r="42" spans="1:10" x14ac:dyDescent="0.25">
      <c r="A42" s="1">
        <v>2</v>
      </c>
      <c r="B42" t="s">
        <v>34</v>
      </c>
      <c r="C42">
        <v>635</v>
      </c>
      <c r="D42">
        <v>1</v>
      </c>
      <c r="E42" t="s">
        <v>32</v>
      </c>
      <c r="F42" t="s">
        <v>33</v>
      </c>
      <c r="G42" t="str">
        <f>"2026-07-13 13:16:53.037"</f>
        <v>2026-07-13 13:16:53.037</v>
      </c>
      <c r="H42" t="s">
        <v>21</v>
      </c>
      <c r="I42">
        <v>0</v>
      </c>
      <c r="J42" t="s">
        <v>40</v>
      </c>
    </row>
    <row r="43" spans="1:10" x14ac:dyDescent="0.25">
      <c r="A43" s="1">
        <v>3</v>
      </c>
      <c r="B43" t="s">
        <v>26</v>
      </c>
      <c r="C43">
        <v>630</v>
      </c>
      <c r="D43">
        <v>5</v>
      </c>
      <c r="E43" t="s">
        <v>27</v>
      </c>
      <c r="F43" t="s">
        <v>28</v>
      </c>
      <c r="G43" t="str">
        <f>"2026-07-13 12:59:18.138"</f>
        <v>2026-07-13 12:59:18.138</v>
      </c>
      <c r="H43" t="s">
        <v>29</v>
      </c>
    </row>
    <row r="44" spans="1:10" x14ac:dyDescent="0.25">
      <c r="A44" s="1">
        <v>4</v>
      </c>
      <c r="B44" t="s">
        <v>19</v>
      </c>
      <c r="C44">
        <v>706</v>
      </c>
      <c r="D44">
        <v>4</v>
      </c>
      <c r="E44" t="s">
        <v>23</v>
      </c>
      <c r="F44" t="s">
        <v>30</v>
      </c>
      <c r="G44" t="str">
        <f>"2026-07-13 12:58:47.996"</f>
        <v>2026-07-13 12:58:47.996</v>
      </c>
      <c r="H44" t="s">
        <v>21</v>
      </c>
      <c r="I44">
        <v>0</v>
      </c>
      <c r="J44" t="s">
        <v>25</v>
      </c>
    </row>
    <row r="45" spans="1:10" x14ac:dyDescent="0.25">
      <c r="A45" s="1">
        <v>5</v>
      </c>
      <c r="B45" t="s">
        <v>31</v>
      </c>
      <c r="C45">
        <v>630</v>
      </c>
      <c r="D45">
        <v>5</v>
      </c>
      <c r="E45" t="s">
        <v>27</v>
      </c>
      <c r="F45" t="s">
        <v>28</v>
      </c>
      <c r="G45" t="str">
        <f>"2026-07-13 12:35:49.338"</f>
        <v>2026-07-13 12:35:49.338</v>
      </c>
      <c r="H45" t="s">
        <v>29</v>
      </c>
      <c r="I45">
        <v>0</v>
      </c>
      <c r="J45" t="s">
        <v>25</v>
      </c>
    </row>
    <row r="46" spans="1:10" x14ac:dyDescent="0.25">
      <c r="A46" s="1">
        <v>6</v>
      </c>
      <c r="B46" t="s">
        <v>26</v>
      </c>
      <c r="C46">
        <v>630</v>
      </c>
      <c r="D46">
        <v>5</v>
      </c>
      <c r="E46" t="s">
        <v>27</v>
      </c>
      <c r="F46" t="s">
        <v>28</v>
      </c>
      <c r="G46" t="str">
        <f>"2026-07-13 10:15:50.438"</f>
        <v>2026-07-13 10:15:50.438</v>
      </c>
      <c r="H46" t="s">
        <v>29</v>
      </c>
    </row>
    <row r="47" spans="1:10" x14ac:dyDescent="0.25">
      <c r="A47" s="1">
        <v>7</v>
      </c>
      <c r="B47" t="s">
        <v>19</v>
      </c>
      <c r="C47">
        <v>706</v>
      </c>
      <c r="D47">
        <v>2</v>
      </c>
      <c r="E47" t="s">
        <v>23</v>
      </c>
      <c r="F47" t="s">
        <v>24</v>
      </c>
      <c r="G47" t="str">
        <f>"2026-07-13 10:15:20.306"</f>
        <v>2026-07-13 10:15:20.306</v>
      </c>
      <c r="H47" t="s">
        <v>21</v>
      </c>
      <c r="I47">
        <v>0</v>
      </c>
      <c r="J47" t="s">
        <v>25</v>
      </c>
    </row>
    <row r="48" spans="1:10" x14ac:dyDescent="0.25">
      <c r="A48" s="1">
        <v>8</v>
      </c>
      <c r="B48" t="s">
        <v>31</v>
      </c>
      <c r="C48">
        <v>630</v>
      </c>
      <c r="D48">
        <v>5</v>
      </c>
      <c r="E48" t="s">
        <v>27</v>
      </c>
      <c r="F48" t="s">
        <v>28</v>
      </c>
      <c r="G48" t="str">
        <f>"2026-07-13 10:06:37.538"</f>
        <v>2026-07-13 10:06:37.538</v>
      </c>
      <c r="H48" t="s">
        <v>29</v>
      </c>
      <c r="I48">
        <v>0</v>
      </c>
      <c r="J48" t="s">
        <v>25</v>
      </c>
    </row>
    <row r="49" spans="1:10" x14ac:dyDescent="0.25">
      <c r="A49" s="1">
        <v>9</v>
      </c>
      <c r="B49" t="s">
        <v>19</v>
      </c>
      <c r="C49">
        <v>706</v>
      </c>
      <c r="D49">
        <v>2</v>
      </c>
      <c r="E49" t="s">
        <v>23</v>
      </c>
      <c r="F49" t="s">
        <v>24</v>
      </c>
      <c r="G49" t="str">
        <f>"2026-07-13 01:23:26.906"</f>
        <v>2026-07-13 01:23:26.906</v>
      </c>
      <c r="H49" t="s">
        <v>21</v>
      </c>
      <c r="I49">
        <v>0</v>
      </c>
      <c r="J49" t="s">
        <v>25</v>
      </c>
    </row>
    <row r="50" spans="1:10" x14ac:dyDescent="0.25">
      <c r="A50" s="1">
        <v>0</v>
      </c>
      <c r="B50" t="s">
        <v>19</v>
      </c>
      <c r="C50">
        <v>700</v>
      </c>
      <c r="D50">
        <v>0</v>
      </c>
      <c r="E50" t="s">
        <v>20</v>
      </c>
      <c r="F50" t="s">
        <v>20</v>
      </c>
      <c r="G50" t="str">
        <f>"2026-07-13 01:18:49.686"</f>
        <v>2026-07-13 01:18:49.686</v>
      </c>
      <c r="H50" t="s">
        <v>21</v>
      </c>
      <c r="I50">
        <v>0</v>
      </c>
      <c r="J50" t="s">
        <v>22</v>
      </c>
    </row>
    <row r="51" spans="1:10" x14ac:dyDescent="0.25">
      <c r="A51" s="1">
        <v>1</v>
      </c>
      <c r="B51" t="s">
        <v>26</v>
      </c>
      <c r="C51">
        <v>635</v>
      </c>
      <c r="D51">
        <v>1</v>
      </c>
      <c r="E51" t="s">
        <v>32</v>
      </c>
      <c r="F51" t="s">
        <v>33</v>
      </c>
      <c r="G51" t="str">
        <f>"2026-07-12 21:00:22.093"</f>
        <v>2026-07-12 21:00:22.093</v>
      </c>
      <c r="H51" t="s">
        <v>21</v>
      </c>
    </row>
    <row r="52" spans="1:10" x14ac:dyDescent="0.25">
      <c r="A52" s="1">
        <v>2</v>
      </c>
      <c r="B52" t="s">
        <v>34</v>
      </c>
      <c r="C52">
        <v>635</v>
      </c>
      <c r="D52">
        <v>1</v>
      </c>
      <c r="E52" t="s">
        <v>32</v>
      </c>
      <c r="F52" t="s">
        <v>33</v>
      </c>
      <c r="G52" t="str">
        <f>"2026-07-12 20:51:01.193"</f>
        <v>2026-07-12 20:51:01.193</v>
      </c>
      <c r="H52" t="s">
        <v>21</v>
      </c>
      <c r="I52">
        <v>1.2</v>
      </c>
      <c r="J52" t="s">
        <v>38</v>
      </c>
    </row>
    <row r="53" spans="1:10" x14ac:dyDescent="0.25">
      <c r="A53" s="1">
        <v>3</v>
      </c>
      <c r="B53" t="s">
        <v>26</v>
      </c>
      <c r="C53">
        <v>630</v>
      </c>
      <c r="D53">
        <v>5</v>
      </c>
      <c r="E53" t="s">
        <v>27</v>
      </c>
      <c r="F53" t="s">
        <v>28</v>
      </c>
      <c r="G53" t="str">
        <f>"2026-07-12 13:35:47.894"</f>
        <v>2026-07-12 13:35:47.894</v>
      </c>
      <c r="H53" t="s">
        <v>29</v>
      </c>
    </row>
    <row r="54" spans="1:10" x14ac:dyDescent="0.25">
      <c r="A54" s="1">
        <v>4</v>
      </c>
      <c r="B54" t="s">
        <v>19</v>
      </c>
      <c r="C54">
        <v>706</v>
      </c>
      <c r="D54">
        <v>2</v>
      </c>
      <c r="E54" t="s">
        <v>23</v>
      </c>
      <c r="F54" t="s">
        <v>24</v>
      </c>
      <c r="G54" t="str">
        <f>"2026-07-12 13:35:17.861"</f>
        <v>2026-07-12 13:35:17.861</v>
      </c>
      <c r="H54" t="s">
        <v>21</v>
      </c>
      <c r="I54">
        <v>0</v>
      </c>
      <c r="J54" t="s">
        <v>25</v>
      </c>
    </row>
    <row r="55" spans="1:10" x14ac:dyDescent="0.25">
      <c r="A55" s="1">
        <v>5</v>
      </c>
      <c r="B55" t="s">
        <v>31</v>
      </c>
      <c r="C55">
        <v>630</v>
      </c>
      <c r="D55">
        <v>5</v>
      </c>
      <c r="E55" t="s">
        <v>27</v>
      </c>
      <c r="F55" t="s">
        <v>28</v>
      </c>
      <c r="G55" t="str">
        <f>"2026-07-12 13:15:19.294"</f>
        <v>2026-07-12 13:15:19.294</v>
      </c>
      <c r="H55" t="s">
        <v>29</v>
      </c>
      <c r="I55">
        <v>0</v>
      </c>
      <c r="J55" t="s">
        <v>25</v>
      </c>
    </row>
    <row r="56" spans="1:10" x14ac:dyDescent="0.25">
      <c r="A56" s="1">
        <v>6</v>
      </c>
      <c r="B56" t="s">
        <v>19</v>
      </c>
      <c r="C56">
        <v>700</v>
      </c>
      <c r="D56">
        <v>0</v>
      </c>
      <c r="E56" t="s">
        <v>20</v>
      </c>
      <c r="F56" t="s">
        <v>20</v>
      </c>
      <c r="G56" t="str">
        <f>"2026-07-12 01:15:11.641"</f>
        <v>2026-07-12 01:15:11.641</v>
      </c>
      <c r="H56" t="s">
        <v>21</v>
      </c>
      <c r="I56">
        <v>0</v>
      </c>
      <c r="J56" t="s">
        <v>22</v>
      </c>
    </row>
    <row r="57" spans="1:10" x14ac:dyDescent="0.25">
      <c r="A57" s="1">
        <v>7</v>
      </c>
      <c r="B57" t="s">
        <v>26</v>
      </c>
      <c r="C57">
        <v>635</v>
      </c>
      <c r="D57">
        <v>1</v>
      </c>
      <c r="E57" t="s">
        <v>32</v>
      </c>
      <c r="F57" t="s">
        <v>33</v>
      </c>
      <c r="G57" t="str">
        <f>"2026-07-11 20:52:36.102"</f>
        <v>2026-07-11 20:52:36.102</v>
      </c>
      <c r="H57" t="s">
        <v>21</v>
      </c>
    </row>
    <row r="58" spans="1:10" x14ac:dyDescent="0.25">
      <c r="A58" s="1">
        <v>8</v>
      </c>
      <c r="B58" t="s">
        <v>34</v>
      </c>
      <c r="C58">
        <v>635</v>
      </c>
      <c r="D58">
        <v>1</v>
      </c>
      <c r="E58" t="s">
        <v>32</v>
      </c>
      <c r="F58" t="s">
        <v>33</v>
      </c>
      <c r="G58" t="str">
        <f>"2026-07-11 20:46:54.102"</f>
        <v>2026-07-11 20:46:54.102</v>
      </c>
      <c r="H58" t="s">
        <v>21</v>
      </c>
      <c r="I58">
        <v>2.27</v>
      </c>
      <c r="J58" t="s">
        <v>40</v>
      </c>
    </row>
    <row r="59" spans="1:10" x14ac:dyDescent="0.25">
      <c r="A59" s="1">
        <v>9</v>
      </c>
      <c r="B59" t="s">
        <v>26</v>
      </c>
      <c r="C59">
        <v>635</v>
      </c>
      <c r="D59">
        <v>1</v>
      </c>
      <c r="E59" t="s">
        <v>32</v>
      </c>
      <c r="F59" t="s">
        <v>33</v>
      </c>
      <c r="G59" t="str">
        <f>"2026-07-11 16:10:58.701"</f>
        <v>2026-07-11 16:10:58.701</v>
      </c>
      <c r="H59" t="s">
        <v>21</v>
      </c>
    </row>
    <row r="60" spans="1:10" x14ac:dyDescent="0.25">
      <c r="A60" s="1">
        <v>0</v>
      </c>
      <c r="B60" t="s">
        <v>34</v>
      </c>
      <c r="C60">
        <v>635</v>
      </c>
      <c r="D60">
        <v>1</v>
      </c>
      <c r="E60" t="s">
        <v>32</v>
      </c>
      <c r="F60" t="s">
        <v>33</v>
      </c>
      <c r="G60" t="str">
        <f>"2026-07-11 16:08:42.202"</f>
        <v>2026-07-11 16:08:42.202</v>
      </c>
      <c r="H60" t="s">
        <v>21</v>
      </c>
      <c r="I60">
        <v>2.78</v>
      </c>
      <c r="J60" t="s">
        <v>35</v>
      </c>
    </row>
    <row r="61" spans="1:10" x14ac:dyDescent="0.25">
      <c r="A61" s="1">
        <v>1</v>
      </c>
      <c r="B61" t="s">
        <v>26</v>
      </c>
      <c r="C61">
        <v>630</v>
      </c>
      <c r="D61">
        <v>5</v>
      </c>
      <c r="E61" t="s">
        <v>27</v>
      </c>
      <c r="F61" t="s">
        <v>28</v>
      </c>
      <c r="G61" t="str">
        <f>"2026-07-11 09:39:00.003"</f>
        <v>2026-07-11 09:39:00.003</v>
      </c>
      <c r="H61" t="s">
        <v>29</v>
      </c>
    </row>
    <row r="62" spans="1:10" x14ac:dyDescent="0.25">
      <c r="A62" s="1">
        <v>2</v>
      </c>
      <c r="B62" t="s">
        <v>19</v>
      </c>
      <c r="C62">
        <v>706</v>
      </c>
      <c r="D62">
        <v>4</v>
      </c>
      <c r="E62" t="s">
        <v>23</v>
      </c>
      <c r="F62" t="s">
        <v>30</v>
      </c>
      <c r="G62" t="str">
        <f>"2026-07-11 09:38:29.861"</f>
        <v>2026-07-11 09:38:29.861</v>
      </c>
      <c r="H62" t="s">
        <v>21</v>
      </c>
      <c r="I62">
        <v>0</v>
      </c>
      <c r="J62" t="s">
        <v>25</v>
      </c>
    </row>
    <row r="63" spans="1:10" x14ac:dyDescent="0.25">
      <c r="A63" s="1">
        <v>3</v>
      </c>
      <c r="B63" t="s">
        <v>31</v>
      </c>
      <c r="C63">
        <v>630</v>
      </c>
      <c r="D63">
        <v>5</v>
      </c>
      <c r="E63" t="s">
        <v>27</v>
      </c>
      <c r="F63" t="s">
        <v>28</v>
      </c>
      <c r="G63" t="str">
        <f>"2026-07-11 09:35:05.503"</f>
        <v>2026-07-11 09:35:05.503</v>
      </c>
      <c r="H63" t="s">
        <v>29</v>
      </c>
      <c r="I63">
        <v>0</v>
      </c>
      <c r="J63" t="s">
        <v>25</v>
      </c>
    </row>
    <row r="64" spans="1:10" x14ac:dyDescent="0.25">
      <c r="A64" s="1">
        <v>4</v>
      </c>
      <c r="B64" t="s">
        <v>19</v>
      </c>
      <c r="C64">
        <v>700</v>
      </c>
      <c r="D64">
        <v>0</v>
      </c>
      <c r="E64" t="s">
        <v>20</v>
      </c>
      <c r="F64" t="s">
        <v>20</v>
      </c>
      <c r="G64" t="str">
        <f>"2026-07-11 01:27:43.641"</f>
        <v>2026-07-11 01:27:43.641</v>
      </c>
      <c r="H64" t="s">
        <v>21</v>
      </c>
    </row>
    <row r="65" spans="1:10" x14ac:dyDescent="0.25">
      <c r="A65" s="1">
        <v>5</v>
      </c>
      <c r="B65" t="s">
        <v>26</v>
      </c>
      <c r="C65">
        <v>630</v>
      </c>
      <c r="D65">
        <v>5</v>
      </c>
      <c r="E65" t="s">
        <v>27</v>
      </c>
      <c r="F65" t="s">
        <v>28</v>
      </c>
      <c r="G65" t="str">
        <f>"2026-07-10 13:34:07.081"</f>
        <v>2026-07-10 13:34:07.081</v>
      </c>
      <c r="H65" t="s">
        <v>29</v>
      </c>
    </row>
    <row r="66" spans="1:10" x14ac:dyDescent="0.25">
      <c r="A66" s="1">
        <v>6</v>
      </c>
      <c r="B66" t="s">
        <v>19</v>
      </c>
      <c r="C66">
        <v>706</v>
      </c>
      <c r="D66">
        <v>4</v>
      </c>
      <c r="E66" t="s">
        <v>23</v>
      </c>
      <c r="F66" t="s">
        <v>30</v>
      </c>
      <c r="G66" t="str">
        <f>"2026-07-10 13:33:36.963"</f>
        <v>2026-07-10 13:33:36.963</v>
      </c>
      <c r="H66" t="s">
        <v>21</v>
      </c>
      <c r="I66">
        <v>0</v>
      </c>
      <c r="J66" t="s">
        <v>25</v>
      </c>
    </row>
    <row r="67" spans="1:10" x14ac:dyDescent="0.25">
      <c r="A67" s="1">
        <v>7</v>
      </c>
      <c r="B67" t="s">
        <v>31</v>
      </c>
      <c r="C67">
        <v>630</v>
      </c>
      <c r="D67">
        <v>5</v>
      </c>
      <c r="E67" t="s">
        <v>27</v>
      </c>
      <c r="F67" t="s">
        <v>28</v>
      </c>
      <c r="G67" t="str">
        <f>"2026-07-10 12:55:04.381"</f>
        <v>2026-07-10 12:55:04.381</v>
      </c>
      <c r="H67" t="s">
        <v>29</v>
      </c>
      <c r="I67">
        <v>0</v>
      </c>
      <c r="J67" t="s">
        <v>25</v>
      </c>
    </row>
    <row r="68" spans="1:10" x14ac:dyDescent="0.25">
      <c r="A68" s="1">
        <v>8</v>
      </c>
      <c r="B68" t="s">
        <v>26</v>
      </c>
      <c r="C68">
        <v>630</v>
      </c>
      <c r="D68">
        <v>5</v>
      </c>
      <c r="E68" t="s">
        <v>27</v>
      </c>
      <c r="F68" t="s">
        <v>28</v>
      </c>
      <c r="G68" t="str">
        <f>"2026-07-10 12:43:01.681"</f>
        <v>2026-07-10 12:43:01.681</v>
      </c>
      <c r="H68" t="s">
        <v>29</v>
      </c>
    </row>
    <row r="69" spans="1:10" x14ac:dyDescent="0.25">
      <c r="A69" s="1">
        <v>9</v>
      </c>
      <c r="B69" t="s">
        <v>19</v>
      </c>
      <c r="C69">
        <v>706</v>
      </c>
      <c r="D69">
        <v>4</v>
      </c>
      <c r="E69" t="s">
        <v>23</v>
      </c>
      <c r="F69" t="s">
        <v>30</v>
      </c>
      <c r="G69" t="str">
        <f>"2026-07-10 12:42:31.553"</f>
        <v>2026-07-10 12:42:31.553</v>
      </c>
      <c r="H69" t="s">
        <v>21</v>
      </c>
      <c r="I69">
        <v>0</v>
      </c>
      <c r="J69" t="s">
        <v>25</v>
      </c>
    </row>
    <row r="70" spans="1:10" x14ac:dyDescent="0.25">
      <c r="A70" s="1">
        <v>0</v>
      </c>
      <c r="B70" t="s">
        <v>31</v>
      </c>
      <c r="C70">
        <v>630</v>
      </c>
      <c r="D70">
        <v>5</v>
      </c>
      <c r="E70" t="s">
        <v>27</v>
      </c>
      <c r="F70" t="s">
        <v>28</v>
      </c>
      <c r="G70" t="str">
        <f>"2026-07-10 12:24:00.482"</f>
        <v>2026-07-10 12:24:00.482</v>
      </c>
      <c r="H70" t="s">
        <v>29</v>
      </c>
      <c r="I70">
        <v>0</v>
      </c>
      <c r="J70" t="s">
        <v>25</v>
      </c>
    </row>
    <row r="71" spans="1:10" x14ac:dyDescent="0.25">
      <c r="A71" s="1">
        <v>1</v>
      </c>
      <c r="B71" t="s">
        <v>19</v>
      </c>
      <c r="C71">
        <v>700</v>
      </c>
      <c r="D71">
        <v>0</v>
      </c>
      <c r="E71" t="s">
        <v>20</v>
      </c>
      <c r="F71" t="s">
        <v>20</v>
      </c>
      <c r="G71" t="str">
        <f>"2026-07-10 01:25:45.723"</f>
        <v>2026-07-10 01:25:45.723</v>
      </c>
      <c r="H71" t="s">
        <v>21</v>
      </c>
    </row>
    <row r="72" spans="1:10" x14ac:dyDescent="0.25">
      <c r="A72" s="1">
        <v>2</v>
      </c>
      <c r="B72" t="s">
        <v>26</v>
      </c>
      <c r="C72">
        <v>635</v>
      </c>
      <c r="D72">
        <v>1</v>
      </c>
      <c r="E72" t="s">
        <v>32</v>
      </c>
      <c r="F72" t="s">
        <v>33</v>
      </c>
      <c r="G72" t="str">
        <f>"2026-07-09 23:33:21.172"</f>
        <v>2026-07-09 23:33:21.172</v>
      </c>
      <c r="H72" t="s">
        <v>21</v>
      </c>
    </row>
    <row r="73" spans="1:10" x14ac:dyDescent="0.25">
      <c r="A73" s="1">
        <v>3</v>
      </c>
      <c r="B73" t="s">
        <v>34</v>
      </c>
      <c r="C73">
        <v>635</v>
      </c>
      <c r="D73">
        <v>1</v>
      </c>
      <c r="E73" t="s">
        <v>32</v>
      </c>
      <c r="F73" t="s">
        <v>33</v>
      </c>
      <c r="G73" t="str">
        <f>"2026-07-09 23:12:14.172"</f>
        <v>2026-07-09 23:12:14.172</v>
      </c>
      <c r="H73" t="s">
        <v>21</v>
      </c>
      <c r="I73">
        <v>7.53</v>
      </c>
      <c r="J73" t="s">
        <v>35</v>
      </c>
    </row>
    <row r="74" spans="1:10" x14ac:dyDescent="0.25">
      <c r="A74" s="1">
        <v>4</v>
      </c>
      <c r="B74" t="s">
        <v>26</v>
      </c>
      <c r="C74">
        <v>630</v>
      </c>
      <c r="D74">
        <v>5</v>
      </c>
      <c r="E74" t="s">
        <v>27</v>
      </c>
      <c r="F74" t="s">
        <v>28</v>
      </c>
      <c r="G74" t="str">
        <f>"2026-07-09 14:15:07.572"</f>
        <v>2026-07-09 14:15:07.572</v>
      </c>
      <c r="H74" t="s">
        <v>29</v>
      </c>
    </row>
    <row r="75" spans="1:10" x14ac:dyDescent="0.25">
      <c r="A75" s="1">
        <v>5</v>
      </c>
      <c r="B75" t="s">
        <v>19</v>
      </c>
      <c r="C75">
        <v>706</v>
      </c>
      <c r="D75">
        <v>2</v>
      </c>
      <c r="E75" t="s">
        <v>23</v>
      </c>
      <c r="F75" t="s">
        <v>24</v>
      </c>
      <c r="G75" t="str">
        <f>"2026-07-09 14:14:37.435"</f>
        <v>2026-07-09 14:14:37.435</v>
      </c>
      <c r="H75" t="s">
        <v>21</v>
      </c>
      <c r="I75">
        <v>0</v>
      </c>
      <c r="J75" t="s">
        <v>25</v>
      </c>
    </row>
    <row r="76" spans="1:10" x14ac:dyDescent="0.25">
      <c r="A76" s="1">
        <v>6</v>
      </c>
      <c r="B76" t="s">
        <v>31</v>
      </c>
      <c r="C76">
        <v>630</v>
      </c>
      <c r="D76">
        <v>5</v>
      </c>
      <c r="E76" t="s">
        <v>27</v>
      </c>
      <c r="F76" t="s">
        <v>28</v>
      </c>
      <c r="G76" t="str">
        <f>"2026-07-09 13:23:57.872"</f>
        <v>2026-07-09 13:23:57.872</v>
      </c>
      <c r="H76" t="s">
        <v>29</v>
      </c>
      <c r="I76">
        <v>0</v>
      </c>
      <c r="J76" t="s">
        <v>25</v>
      </c>
    </row>
    <row r="77" spans="1:10" x14ac:dyDescent="0.25">
      <c r="A77" s="1">
        <v>7</v>
      </c>
      <c r="B77" t="s">
        <v>26</v>
      </c>
      <c r="C77">
        <v>635</v>
      </c>
      <c r="D77">
        <v>1</v>
      </c>
      <c r="E77" t="s">
        <v>32</v>
      </c>
      <c r="F77" t="s">
        <v>33</v>
      </c>
      <c r="G77" t="str">
        <f>"2026-07-09 05:04:30.872"</f>
        <v>2026-07-09 05:04:30.872</v>
      </c>
      <c r="H77" t="s">
        <v>21</v>
      </c>
    </row>
    <row r="78" spans="1:10" x14ac:dyDescent="0.25">
      <c r="A78" s="1">
        <v>8</v>
      </c>
      <c r="B78" t="s">
        <v>34</v>
      </c>
      <c r="C78">
        <v>635</v>
      </c>
      <c r="D78">
        <v>1</v>
      </c>
      <c r="E78" t="s">
        <v>32</v>
      </c>
      <c r="F78" t="s">
        <v>33</v>
      </c>
      <c r="G78" t="str">
        <f>"2026-07-09 05:00:55.373"</f>
        <v>2026-07-09 05:00:55.373</v>
      </c>
      <c r="H78" t="s">
        <v>21</v>
      </c>
      <c r="I78">
        <v>3.8</v>
      </c>
      <c r="J78" t="s">
        <v>35</v>
      </c>
    </row>
    <row r="79" spans="1:10" x14ac:dyDescent="0.25">
      <c r="A79" s="1">
        <v>9</v>
      </c>
      <c r="B79" t="s">
        <v>19</v>
      </c>
      <c r="C79">
        <v>700</v>
      </c>
      <c r="D79">
        <v>0</v>
      </c>
      <c r="E79" t="s">
        <v>20</v>
      </c>
      <c r="F79" t="s">
        <v>20</v>
      </c>
      <c r="G79" t="str">
        <f>"2026-07-09 00:25:52.635"</f>
        <v>2026-07-09 00:25:52.635</v>
      </c>
      <c r="H79" t="s">
        <v>21</v>
      </c>
      <c r="I79">
        <v>0</v>
      </c>
      <c r="J79" t="s">
        <v>22</v>
      </c>
    </row>
    <row r="80" spans="1:10" s="3" customFormat="1" x14ac:dyDescent="0.25">
      <c r="A80" s="2">
        <v>0</v>
      </c>
      <c r="B80" s="3" t="s">
        <v>26</v>
      </c>
      <c r="C80" s="3">
        <v>647</v>
      </c>
      <c r="D80" s="3">
        <v>1</v>
      </c>
      <c r="E80" s="3" t="s">
        <v>36</v>
      </c>
      <c r="F80" s="3" t="s">
        <v>37</v>
      </c>
      <c r="G80" s="3" t="str">
        <f>"2026-07-08 20:47:38.599"</f>
        <v>2026-07-08 20:47:38.599</v>
      </c>
      <c r="H80" s="3" t="s">
        <v>21</v>
      </c>
    </row>
    <row r="81" spans="1:10" s="3" customFormat="1" x14ac:dyDescent="0.25">
      <c r="A81" s="2">
        <v>1</v>
      </c>
      <c r="B81" s="3" t="s">
        <v>34</v>
      </c>
      <c r="C81" s="3">
        <v>647</v>
      </c>
      <c r="D81" s="3">
        <v>1</v>
      </c>
      <c r="E81" s="3" t="s">
        <v>36</v>
      </c>
      <c r="F81" s="3" t="s">
        <v>37</v>
      </c>
      <c r="G81" s="3" t="str">
        <f>"2026-07-08 20:47:30.999"</f>
        <v>2026-07-08 20:47:30.999</v>
      </c>
      <c r="H81" s="3" t="s">
        <v>21</v>
      </c>
      <c r="I81" s="3">
        <v>9.41</v>
      </c>
      <c r="J81" s="3" t="s">
        <v>38</v>
      </c>
    </row>
    <row r="82" spans="1:10" x14ac:dyDescent="0.25">
      <c r="A82" s="1">
        <v>2</v>
      </c>
      <c r="B82" t="s">
        <v>26</v>
      </c>
      <c r="C82">
        <v>630</v>
      </c>
      <c r="D82">
        <v>5</v>
      </c>
      <c r="E82" t="s">
        <v>27</v>
      </c>
      <c r="F82" t="s">
        <v>28</v>
      </c>
      <c r="G82" t="str">
        <f>"2026-07-08 17:45:24.499"</f>
        <v>2026-07-08 17:45:24.499</v>
      </c>
      <c r="H82" t="s">
        <v>29</v>
      </c>
    </row>
    <row r="83" spans="1:10" x14ac:dyDescent="0.25">
      <c r="A83" s="1">
        <v>3</v>
      </c>
      <c r="B83" t="s">
        <v>19</v>
      </c>
      <c r="C83">
        <v>706</v>
      </c>
      <c r="D83">
        <v>4</v>
      </c>
      <c r="E83" t="s">
        <v>23</v>
      </c>
      <c r="F83" t="s">
        <v>30</v>
      </c>
      <c r="G83" t="str">
        <f>"2026-07-08 17:44:54.498"</f>
        <v>2026-07-08 17:44:54.498</v>
      </c>
      <c r="H83" t="s">
        <v>21</v>
      </c>
      <c r="I83">
        <v>0</v>
      </c>
      <c r="J83" t="s">
        <v>25</v>
      </c>
    </row>
    <row r="84" spans="1:10" x14ac:dyDescent="0.25">
      <c r="A84" s="1">
        <v>4</v>
      </c>
      <c r="B84" t="s">
        <v>31</v>
      </c>
      <c r="C84">
        <v>630</v>
      </c>
      <c r="D84">
        <v>5</v>
      </c>
      <c r="E84" t="s">
        <v>27</v>
      </c>
      <c r="F84" t="s">
        <v>28</v>
      </c>
      <c r="G84" t="str">
        <f>"2026-07-08 17:25:46.298"</f>
        <v>2026-07-08 17:25:46.298</v>
      </c>
      <c r="H84" t="s">
        <v>29</v>
      </c>
      <c r="I84">
        <v>0</v>
      </c>
      <c r="J84" t="s">
        <v>25</v>
      </c>
    </row>
    <row r="85" spans="1:10" x14ac:dyDescent="0.25">
      <c r="A85" s="1">
        <v>5</v>
      </c>
      <c r="B85" t="s">
        <v>26</v>
      </c>
      <c r="C85">
        <v>635</v>
      </c>
      <c r="D85">
        <v>1</v>
      </c>
      <c r="E85" t="s">
        <v>32</v>
      </c>
      <c r="F85" t="s">
        <v>33</v>
      </c>
      <c r="G85" t="str">
        <f>"2026-07-08 16:45:10.645"</f>
        <v>2026-07-08 16:45:10.645</v>
      </c>
      <c r="H85" t="s">
        <v>21</v>
      </c>
    </row>
    <row r="86" spans="1:10" x14ac:dyDescent="0.25">
      <c r="A86" s="1">
        <v>6</v>
      </c>
      <c r="B86" t="s">
        <v>34</v>
      </c>
      <c r="C86">
        <v>635</v>
      </c>
      <c r="D86">
        <v>1</v>
      </c>
      <c r="E86" t="s">
        <v>32</v>
      </c>
      <c r="F86" t="s">
        <v>33</v>
      </c>
      <c r="G86" t="str">
        <f>"2026-07-08 16:42:55.145"</f>
        <v>2026-07-08 16:42:55.145</v>
      </c>
      <c r="H86" t="s">
        <v>21</v>
      </c>
      <c r="I86">
        <v>2.29</v>
      </c>
      <c r="J86" t="s">
        <v>38</v>
      </c>
    </row>
    <row r="87" spans="1:10" x14ac:dyDescent="0.25">
      <c r="A87" s="1">
        <v>7</v>
      </c>
      <c r="B87" t="s">
        <v>19</v>
      </c>
      <c r="C87">
        <v>700</v>
      </c>
      <c r="D87">
        <v>0</v>
      </c>
      <c r="E87" t="s">
        <v>20</v>
      </c>
      <c r="F87" t="s">
        <v>20</v>
      </c>
      <c r="G87" t="str">
        <f>"2026-07-08 01:19:15.638"</f>
        <v>2026-07-08 01:19:15.638</v>
      </c>
      <c r="H87" t="s">
        <v>21</v>
      </c>
      <c r="I87">
        <v>0</v>
      </c>
      <c r="J87" t="s">
        <v>22</v>
      </c>
    </row>
    <row r="88" spans="1:10" x14ac:dyDescent="0.25">
      <c r="A88" s="1">
        <v>8</v>
      </c>
      <c r="B88" t="s">
        <v>19</v>
      </c>
      <c r="C88">
        <v>700</v>
      </c>
      <c r="D88">
        <v>0</v>
      </c>
      <c r="E88" t="s">
        <v>20</v>
      </c>
      <c r="F88" t="s">
        <v>20</v>
      </c>
      <c r="G88" t="str">
        <f>"2026-07-08 01:15:53.633"</f>
        <v>2026-07-08 01:15:53.633</v>
      </c>
      <c r="H88" t="s">
        <v>21</v>
      </c>
      <c r="I88">
        <v>0</v>
      </c>
      <c r="J88" t="s">
        <v>22</v>
      </c>
    </row>
    <row r="89" spans="1:10" x14ac:dyDescent="0.25">
      <c r="A89" s="1">
        <v>9</v>
      </c>
      <c r="B89" t="s">
        <v>26</v>
      </c>
      <c r="C89">
        <v>630</v>
      </c>
      <c r="D89">
        <v>5</v>
      </c>
      <c r="E89" t="s">
        <v>27</v>
      </c>
      <c r="F89" t="s">
        <v>28</v>
      </c>
      <c r="G89" t="str">
        <f>"2026-07-07 14:13:14.616"</f>
        <v>2026-07-07 14:13:14.616</v>
      </c>
      <c r="H89" t="s">
        <v>29</v>
      </c>
    </row>
    <row r="90" spans="1:10" x14ac:dyDescent="0.25">
      <c r="A90" s="1">
        <v>0</v>
      </c>
      <c r="B90" t="s">
        <v>19</v>
      </c>
      <c r="C90">
        <v>706</v>
      </c>
      <c r="D90">
        <v>4</v>
      </c>
      <c r="E90" t="s">
        <v>23</v>
      </c>
      <c r="F90" t="s">
        <v>30</v>
      </c>
      <c r="G90" t="str">
        <f>"2026-07-07 14:12:44.548"</f>
        <v>2026-07-07 14:12:44.548</v>
      </c>
      <c r="H90" t="s">
        <v>21</v>
      </c>
      <c r="I90">
        <v>0</v>
      </c>
      <c r="J90" t="s">
        <v>25</v>
      </c>
    </row>
    <row r="91" spans="1:10" x14ac:dyDescent="0.25">
      <c r="A91" s="1">
        <v>1</v>
      </c>
      <c r="B91" t="s">
        <v>31</v>
      </c>
      <c r="C91">
        <v>630</v>
      </c>
      <c r="D91">
        <v>5</v>
      </c>
      <c r="E91" t="s">
        <v>27</v>
      </c>
      <c r="F91" t="s">
        <v>28</v>
      </c>
      <c r="G91" t="str">
        <f>"2026-07-07 13:22:43.716"</f>
        <v>2026-07-07 13:22:43.716</v>
      </c>
      <c r="H91" t="s">
        <v>29</v>
      </c>
      <c r="I91">
        <v>0</v>
      </c>
      <c r="J91" t="s">
        <v>25</v>
      </c>
    </row>
    <row r="92" spans="1:10" x14ac:dyDescent="0.25">
      <c r="A92" s="1">
        <v>2</v>
      </c>
      <c r="B92" t="s">
        <v>19</v>
      </c>
      <c r="C92">
        <v>706</v>
      </c>
      <c r="D92">
        <v>4</v>
      </c>
      <c r="E92" t="s">
        <v>23</v>
      </c>
      <c r="F92" t="s">
        <v>30</v>
      </c>
      <c r="G92" t="str">
        <f>"2026-07-07 00:32:06.148"</f>
        <v>2026-07-07 00:32:06.148</v>
      </c>
      <c r="H92" t="s">
        <v>21</v>
      </c>
      <c r="I92">
        <v>0</v>
      </c>
      <c r="J92" t="s">
        <v>25</v>
      </c>
    </row>
    <row r="93" spans="1:10" x14ac:dyDescent="0.25">
      <c r="A93" s="1">
        <v>3</v>
      </c>
      <c r="B93" t="s">
        <v>19</v>
      </c>
      <c r="C93">
        <v>700</v>
      </c>
      <c r="D93">
        <v>0</v>
      </c>
      <c r="E93" t="s">
        <v>20</v>
      </c>
      <c r="F93" t="s">
        <v>20</v>
      </c>
      <c r="G93" t="str">
        <f>"2026-07-07 00:31:50.648"</f>
        <v>2026-07-07 00:31:50.648</v>
      </c>
      <c r="H93" t="s">
        <v>21</v>
      </c>
    </row>
    <row r="94" spans="1:10" x14ac:dyDescent="0.25">
      <c r="A94" s="1">
        <v>4</v>
      </c>
      <c r="B94" t="s">
        <v>26</v>
      </c>
      <c r="C94">
        <v>635</v>
      </c>
      <c r="D94">
        <v>1</v>
      </c>
      <c r="E94" t="s">
        <v>32</v>
      </c>
      <c r="F94" t="s">
        <v>33</v>
      </c>
      <c r="G94" t="str">
        <f>"2026-07-06 20:47:33.638"</f>
        <v>2026-07-06 20:47:33.638</v>
      </c>
      <c r="H94" t="s">
        <v>21</v>
      </c>
    </row>
    <row r="95" spans="1:10" x14ac:dyDescent="0.25">
      <c r="A95" s="1">
        <v>5</v>
      </c>
      <c r="B95" t="s">
        <v>34</v>
      </c>
      <c r="C95">
        <v>635</v>
      </c>
      <c r="D95">
        <v>1</v>
      </c>
      <c r="E95" t="s">
        <v>32</v>
      </c>
      <c r="F95" t="s">
        <v>33</v>
      </c>
      <c r="G95" t="str">
        <f>"2026-07-06 20:44:59.238"</f>
        <v>2026-07-06 20:44:59.238</v>
      </c>
      <c r="H95" t="s">
        <v>21</v>
      </c>
      <c r="I95">
        <v>0</v>
      </c>
      <c r="J95" t="s">
        <v>40</v>
      </c>
    </row>
    <row r="96" spans="1:10" x14ac:dyDescent="0.25">
      <c r="A96" s="1">
        <v>6</v>
      </c>
      <c r="B96" t="s">
        <v>26</v>
      </c>
      <c r="C96">
        <v>635</v>
      </c>
      <c r="D96">
        <v>1</v>
      </c>
      <c r="E96" t="s">
        <v>32</v>
      </c>
      <c r="F96" t="s">
        <v>33</v>
      </c>
      <c r="G96" t="str">
        <f>"2026-07-06 14:27:33.438"</f>
        <v>2026-07-06 14:27:33.438</v>
      </c>
      <c r="H96" t="s">
        <v>21</v>
      </c>
    </row>
    <row r="97" spans="1:10" x14ac:dyDescent="0.25">
      <c r="A97" s="1">
        <v>7</v>
      </c>
      <c r="B97" t="s">
        <v>34</v>
      </c>
      <c r="C97">
        <v>635</v>
      </c>
      <c r="D97">
        <v>1</v>
      </c>
      <c r="E97" t="s">
        <v>32</v>
      </c>
      <c r="F97" t="s">
        <v>33</v>
      </c>
      <c r="G97" t="str">
        <f>"2026-07-06 14:24:14.938"</f>
        <v>2026-07-06 14:24:14.938</v>
      </c>
      <c r="H97" t="s">
        <v>21</v>
      </c>
      <c r="I97">
        <v>3.63</v>
      </c>
      <c r="J97" t="s">
        <v>35</v>
      </c>
    </row>
    <row r="98" spans="1:10" x14ac:dyDescent="0.25">
      <c r="A98" s="1">
        <v>8</v>
      </c>
      <c r="B98" t="s">
        <v>26</v>
      </c>
      <c r="C98">
        <v>630</v>
      </c>
      <c r="D98">
        <v>5</v>
      </c>
      <c r="E98" t="s">
        <v>27</v>
      </c>
      <c r="F98" t="s">
        <v>28</v>
      </c>
      <c r="G98" t="str">
        <f>"2026-07-06 13:54:35.592"</f>
        <v>2026-07-06 13:54:35.592</v>
      </c>
      <c r="H98" t="s">
        <v>29</v>
      </c>
    </row>
    <row r="99" spans="1:10" x14ac:dyDescent="0.25">
      <c r="A99" s="1">
        <v>9</v>
      </c>
      <c r="B99" t="s">
        <v>19</v>
      </c>
      <c r="C99">
        <v>706</v>
      </c>
      <c r="D99">
        <v>2</v>
      </c>
      <c r="E99" t="s">
        <v>23</v>
      </c>
      <c r="F99" t="s">
        <v>24</v>
      </c>
      <c r="G99" t="str">
        <f>"2026-07-06 13:54:05.520"</f>
        <v>2026-07-06 13:54:05.520</v>
      </c>
      <c r="H99" t="s">
        <v>21</v>
      </c>
      <c r="I99">
        <v>0</v>
      </c>
      <c r="J99" t="s">
        <v>25</v>
      </c>
    </row>
    <row r="100" spans="1:10" x14ac:dyDescent="0.25">
      <c r="A100" s="1">
        <v>0</v>
      </c>
      <c r="B100" t="s">
        <v>31</v>
      </c>
      <c r="C100">
        <v>630</v>
      </c>
      <c r="D100">
        <v>5</v>
      </c>
      <c r="E100" t="s">
        <v>27</v>
      </c>
      <c r="F100" t="s">
        <v>28</v>
      </c>
      <c r="G100" t="str">
        <f>"2026-07-06 13:37:04.592"</f>
        <v>2026-07-06 13:37:04.592</v>
      </c>
      <c r="H100" t="s">
        <v>29</v>
      </c>
      <c r="I100">
        <v>0</v>
      </c>
      <c r="J100" t="s">
        <v>25</v>
      </c>
    </row>
    <row r="101" spans="1:10" x14ac:dyDescent="0.25">
      <c r="A101" s="1">
        <v>1</v>
      </c>
      <c r="B101" t="s">
        <v>26</v>
      </c>
      <c r="C101">
        <v>635</v>
      </c>
      <c r="D101">
        <v>1</v>
      </c>
      <c r="E101" t="s">
        <v>32</v>
      </c>
      <c r="F101" t="s">
        <v>33</v>
      </c>
      <c r="G101" t="str">
        <f>"2026-07-06 03:38:09.738"</f>
        <v>2026-07-06 03:38:09.738</v>
      </c>
      <c r="H101" t="s">
        <v>21</v>
      </c>
    </row>
    <row r="102" spans="1:10" x14ac:dyDescent="0.25">
      <c r="A102" s="1">
        <v>2</v>
      </c>
      <c r="B102" t="s">
        <v>34</v>
      </c>
      <c r="C102">
        <v>635</v>
      </c>
      <c r="D102">
        <v>1</v>
      </c>
      <c r="E102" t="s">
        <v>32</v>
      </c>
      <c r="F102" t="s">
        <v>33</v>
      </c>
      <c r="G102" t="str">
        <f>"2026-07-06 03:34:30.237"</f>
        <v>2026-07-06 03:34:30.237</v>
      </c>
      <c r="H102" t="s">
        <v>21</v>
      </c>
      <c r="I102">
        <v>2.63</v>
      </c>
      <c r="J102" t="s">
        <v>35</v>
      </c>
    </row>
    <row r="103" spans="1:10" x14ac:dyDescent="0.25">
      <c r="A103" s="1">
        <v>3</v>
      </c>
      <c r="B103" t="s">
        <v>26</v>
      </c>
      <c r="C103">
        <v>635</v>
      </c>
      <c r="D103">
        <v>1</v>
      </c>
      <c r="E103" t="s">
        <v>32</v>
      </c>
      <c r="F103" t="s">
        <v>33</v>
      </c>
      <c r="G103" t="str">
        <f>"2026-07-06 02:52:39.338"</f>
        <v>2026-07-06 02:52:39.338</v>
      </c>
      <c r="H103" t="s">
        <v>21</v>
      </c>
    </row>
    <row r="104" spans="1:10" x14ac:dyDescent="0.25">
      <c r="A104" s="1">
        <v>4</v>
      </c>
      <c r="B104" t="s">
        <v>34</v>
      </c>
      <c r="C104">
        <v>635</v>
      </c>
      <c r="D104">
        <v>1</v>
      </c>
      <c r="E104" t="s">
        <v>32</v>
      </c>
      <c r="F104" t="s">
        <v>33</v>
      </c>
      <c r="G104" t="str">
        <f>"2026-07-06 02:45:38.338"</f>
        <v>2026-07-06 02:45:38.338</v>
      </c>
      <c r="H104" t="s">
        <v>21</v>
      </c>
      <c r="I104">
        <v>2.35</v>
      </c>
      <c r="J104" t="s">
        <v>35</v>
      </c>
    </row>
    <row r="105" spans="1:10" x14ac:dyDescent="0.25">
      <c r="A105" s="1">
        <v>5</v>
      </c>
      <c r="B105" t="s">
        <v>19</v>
      </c>
      <c r="C105">
        <v>700</v>
      </c>
      <c r="D105">
        <v>0</v>
      </c>
      <c r="E105" t="s">
        <v>20</v>
      </c>
      <c r="F105" t="s">
        <v>20</v>
      </c>
      <c r="G105" t="str">
        <f>"2026-07-06 01:37:58.720"</f>
        <v>2026-07-06 01:37:58.720</v>
      </c>
      <c r="H105" t="s">
        <v>21</v>
      </c>
      <c r="I105">
        <v>0</v>
      </c>
      <c r="J105" t="s">
        <v>22</v>
      </c>
    </row>
    <row r="106" spans="1:10" x14ac:dyDescent="0.25">
      <c r="A106" s="1">
        <v>6</v>
      </c>
      <c r="B106" t="s">
        <v>19</v>
      </c>
      <c r="C106">
        <v>700</v>
      </c>
      <c r="D106">
        <v>0</v>
      </c>
      <c r="E106" t="s">
        <v>20</v>
      </c>
      <c r="F106" t="s">
        <v>20</v>
      </c>
      <c r="G106" t="str">
        <f>"2026-07-05 12:49:23.723"</f>
        <v>2026-07-05 12:49:23.723</v>
      </c>
      <c r="H106" t="s">
        <v>21</v>
      </c>
      <c r="I106">
        <v>0</v>
      </c>
      <c r="J106" t="s">
        <v>22</v>
      </c>
    </row>
    <row r="107" spans="1:10" x14ac:dyDescent="0.25">
      <c r="A107" s="1">
        <v>7</v>
      </c>
      <c r="B107" t="s">
        <v>19</v>
      </c>
      <c r="C107">
        <v>700</v>
      </c>
      <c r="D107">
        <v>0</v>
      </c>
      <c r="E107" t="s">
        <v>20</v>
      </c>
      <c r="F107" t="s">
        <v>20</v>
      </c>
      <c r="G107" t="str">
        <f>"2026-07-05 11:21:29.626"</f>
        <v>2026-07-05 11:21:29.626</v>
      </c>
      <c r="H107" t="s">
        <v>21</v>
      </c>
      <c r="I107">
        <v>0</v>
      </c>
      <c r="J107" t="s">
        <v>22</v>
      </c>
    </row>
    <row r="108" spans="1:10" x14ac:dyDescent="0.25">
      <c r="A108" s="1">
        <v>8</v>
      </c>
      <c r="B108" t="s">
        <v>19</v>
      </c>
      <c r="C108">
        <v>700</v>
      </c>
      <c r="D108">
        <v>0</v>
      </c>
      <c r="E108" t="s">
        <v>20</v>
      </c>
      <c r="F108" t="s">
        <v>20</v>
      </c>
      <c r="G108" t="str">
        <f>"2026-07-05 10:20:13.641"</f>
        <v>2026-07-05 10:20:13.641</v>
      </c>
      <c r="H108" t="s">
        <v>21</v>
      </c>
      <c r="I108">
        <v>0</v>
      </c>
      <c r="J108" t="s">
        <v>22</v>
      </c>
    </row>
    <row r="109" spans="1:10" x14ac:dyDescent="0.25">
      <c r="A109" s="1">
        <v>9</v>
      </c>
      <c r="B109" t="s">
        <v>19</v>
      </c>
      <c r="C109">
        <v>700</v>
      </c>
      <c r="D109">
        <v>0</v>
      </c>
      <c r="E109" t="s">
        <v>20</v>
      </c>
      <c r="F109" t="s">
        <v>20</v>
      </c>
      <c r="G109" t="str">
        <f>"2026-07-05 10:16:22.640"</f>
        <v>2026-07-05 10:16:22.640</v>
      </c>
      <c r="H109" t="s">
        <v>21</v>
      </c>
      <c r="I109">
        <v>0</v>
      </c>
      <c r="J109" t="s">
        <v>22</v>
      </c>
    </row>
    <row r="110" spans="1:10" x14ac:dyDescent="0.25">
      <c r="A110" s="1">
        <v>0</v>
      </c>
      <c r="B110" t="s">
        <v>19</v>
      </c>
      <c r="C110">
        <v>700</v>
      </c>
      <c r="D110">
        <v>0</v>
      </c>
      <c r="E110" t="s">
        <v>20</v>
      </c>
      <c r="F110" t="s">
        <v>20</v>
      </c>
      <c r="G110" t="str">
        <f>"2026-07-05 08:46:30.618"</f>
        <v>2026-07-05 08:46:30.618</v>
      </c>
      <c r="H110" t="s">
        <v>21</v>
      </c>
    </row>
    <row r="111" spans="1:10" x14ac:dyDescent="0.25">
      <c r="A111" s="1">
        <v>1</v>
      </c>
      <c r="B111" t="s">
        <v>19</v>
      </c>
      <c r="C111">
        <v>700</v>
      </c>
      <c r="D111">
        <v>0</v>
      </c>
      <c r="E111" t="s">
        <v>20</v>
      </c>
      <c r="F111" t="s">
        <v>20</v>
      </c>
      <c r="G111" t="str">
        <f>"2026-07-05 08:34:22.629"</f>
        <v>2026-07-05 08:34:22.629</v>
      </c>
      <c r="H111" t="s">
        <v>21</v>
      </c>
    </row>
    <row r="112" spans="1:10" x14ac:dyDescent="0.25">
      <c r="A112" s="1">
        <v>2</v>
      </c>
      <c r="B112" t="s">
        <v>19</v>
      </c>
      <c r="C112">
        <v>700</v>
      </c>
      <c r="D112">
        <v>0</v>
      </c>
      <c r="E112" t="s">
        <v>20</v>
      </c>
      <c r="F112" t="s">
        <v>20</v>
      </c>
      <c r="G112" t="str">
        <f>"2026-07-05 06:17:11.631"</f>
        <v>2026-07-05 06:17:11.631</v>
      </c>
      <c r="H112" t="s">
        <v>21</v>
      </c>
      <c r="I112">
        <v>0</v>
      </c>
      <c r="J112" t="s">
        <v>22</v>
      </c>
    </row>
    <row r="113" spans="1:10" x14ac:dyDescent="0.25">
      <c r="A113" s="1">
        <v>3</v>
      </c>
      <c r="B113" t="s">
        <v>26</v>
      </c>
      <c r="C113">
        <v>630</v>
      </c>
      <c r="D113">
        <v>5</v>
      </c>
      <c r="E113" t="s">
        <v>27</v>
      </c>
      <c r="F113" t="s">
        <v>28</v>
      </c>
      <c r="G113" t="str">
        <f>"2026-07-05 06:08:41.494"</f>
        <v>2026-07-05 06:08:41.494</v>
      </c>
      <c r="H113" t="s">
        <v>29</v>
      </c>
    </row>
    <row r="114" spans="1:10" x14ac:dyDescent="0.25">
      <c r="A114" s="1">
        <v>4</v>
      </c>
      <c r="B114" t="s">
        <v>19</v>
      </c>
      <c r="C114">
        <v>706</v>
      </c>
      <c r="D114">
        <v>2</v>
      </c>
      <c r="E114" t="s">
        <v>23</v>
      </c>
      <c r="F114" t="s">
        <v>24</v>
      </c>
      <c r="G114" t="str">
        <f>"2026-07-05 06:08:11.483"</f>
        <v>2026-07-05 06:08:11.483</v>
      </c>
      <c r="H114" t="s">
        <v>21</v>
      </c>
      <c r="I114">
        <v>0</v>
      </c>
      <c r="J114" t="s">
        <v>25</v>
      </c>
    </row>
    <row r="115" spans="1:10" x14ac:dyDescent="0.25">
      <c r="A115" s="1">
        <v>5</v>
      </c>
      <c r="B115" t="s">
        <v>31</v>
      </c>
      <c r="C115">
        <v>630</v>
      </c>
      <c r="D115">
        <v>5</v>
      </c>
      <c r="E115" t="s">
        <v>27</v>
      </c>
      <c r="F115" t="s">
        <v>28</v>
      </c>
      <c r="G115" t="str">
        <f>"2026-07-05 06:08:06.194"</f>
        <v>2026-07-05 06:08:06.194</v>
      </c>
      <c r="H115" t="s">
        <v>29</v>
      </c>
      <c r="I115">
        <v>0</v>
      </c>
      <c r="J115" t="s">
        <v>25</v>
      </c>
    </row>
    <row r="116" spans="1:10" x14ac:dyDescent="0.25">
      <c r="A116" s="1">
        <v>6</v>
      </c>
      <c r="B116" t="s">
        <v>26</v>
      </c>
      <c r="C116">
        <v>630</v>
      </c>
      <c r="D116">
        <v>5</v>
      </c>
      <c r="E116" t="s">
        <v>27</v>
      </c>
      <c r="F116" t="s">
        <v>28</v>
      </c>
      <c r="G116" t="str">
        <f>"2026-07-05 05:57:11.994"</f>
        <v>2026-07-05 05:57:11.994</v>
      </c>
      <c r="H116" t="s">
        <v>29</v>
      </c>
    </row>
    <row r="117" spans="1:10" x14ac:dyDescent="0.25">
      <c r="A117" s="1">
        <v>7</v>
      </c>
      <c r="B117" t="s">
        <v>19</v>
      </c>
      <c r="C117">
        <v>706</v>
      </c>
      <c r="D117">
        <v>2</v>
      </c>
      <c r="E117" t="s">
        <v>23</v>
      </c>
      <c r="F117" t="s">
        <v>24</v>
      </c>
      <c r="G117" t="str">
        <f>"2026-07-05 05:56:41.883"</f>
        <v>2026-07-05 05:56:41.883</v>
      </c>
      <c r="H117" t="s">
        <v>21</v>
      </c>
      <c r="I117">
        <v>0</v>
      </c>
      <c r="J117" t="s">
        <v>25</v>
      </c>
    </row>
    <row r="118" spans="1:10" x14ac:dyDescent="0.25">
      <c r="A118" s="1">
        <v>8</v>
      </c>
      <c r="B118" t="s">
        <v>31</v>
      </c>
      <c r="C118">
        <v>630</v>
      </c>
      <c r="D118">
        <v>5</v>
      </c>
      <c r="E118" t="s">
        <v>27</v>
      </c>
      <c r="F118" t="s">
        <v>28</v>
      </c>
      <c r="G118" t="str">
        <f>"2026-07-05 05:55:30.394"</f>
        <v>2026-07-05 05:55:30.394</v>
      </c>
      <c r="H118" t="s">
        <v>29</v>
      </c>
      <c r="I118">
        <v>0</v>
      </c>
      <c r="J118" t="s">
        <v>25</v>
      </c>
    </row>
    <row r="119" spans="1:10" x14ac:dyDescent="0.25">
      <c r="A119" s="1">
        <v>9</v>
      </c>
      <c r="B119" t="s">
        <v>19</v>
      </c>
      <c r="C119">
        <v>700</v>
      </c>
      <c r="D119">
        <v>0</v>
      </c>
      <c r="E119" t="s">
        <v>20</v>
      </c>
      <c r="F119" t="s">
        <v>20</v>
      </c>
      <c r="G119" t="str">
        <f>"2026-07-05 05:50:27.623"</f>
        <v>2026-07-05 05:50:27.623</v>
      </c>
      <c r="H119" t="s">
        <v>21</v>
      </c>
      <c r="I119">
        <v>0</v>
      </c>
      <c r="J119" t="s">
        <v>22</v>
      </c>
    </row>
    <row r="120" spans="1:10" x14ac:dyDescent="0.25">
      <c r="A120" s="1">
        <v>10</v>
      </c>
      <c r="B120" t="s">
        <v>19</v>
      </c>
      <c r="C120">
        <v>700</v>
      </c>
      <c r="D120">
        <v>0</v>
      </c>
      <c r="E120" t="s">
        <v>20</v>
      </c>
      <c r="F120" t="s">
        <v>20</v>
      </c>
      <c r="G120" t="str">
        <f>"2026-07-05 02:43:43.695"</f>
        <v>2026-07-05 02:43:43.695</v>
      </c>
      <c r="H120" t="s">
        <v>21</v>
      </c>
      <c r="I120">
        <v>0</v>
      </c>
      <c r="J120" t="s">
        <v>22</v>
      </c>
    </row>
    <row r="121" spans="1:10" x14ac:dyDescent="0.25">
      <c r="A121" s="1">
        <v>11</v>
      </c>
      <c r="B121" t="s">
        <v>19</v>
      </c>
      <c r="C121">
        <v>700</v>
      </c>
      <c r="D121">
        <v>0</v>
      </c>
      <c r="E121" t="s">
        <v>20</v>
      </c>
      <c r="F121" t="s">
        <v>20</v>
      </c>
      <c r="G121" t="str">
        <f>"2026-07-05 01:03:03.629"</f>
        <v>2026-07-05 01:03:03.629</v>
      </c>
      <c r="H121" t="s">
        <v>21</v>
      </c>
    </row>
    <row r="122" spans="1:10" x14ac:dyDescent="0.25">
      <c r="A122" s="1">
        <v>12</v>
      </c>
      <c r="B122" t="s">
        <v>19</v>
      </c>
      <c r="C122">
        <v>700</v>
      </c>
      <c r="D122">
        <v>0</v>
      </c>
      <c r="E122" t="s">
        <v>20</v>
      </c>
      <c r="F122" t="s">
        <v>20</v>
      </c>
      <c r="G122" t="str">
        <f>"2026-07-05 00:36:10.622"</f>
        <v>2026-07-05 00:36:10.622</v>
      </c>
      <c r="H122" t="s">
        <v>21</v>
      </c>
      <c r="I122">
        <v>0</v>
      </c>
      <c r="J122" t="s">
        <v>22</v>
      </c>
    </row>
    <row r="123" spans="1:10" x14ac:dyDescent="0.25">
      <c r="A123" s="1">
        <v>13</v>
      </c>
      <c r="B123" t="s">
        <v>19</v>
      </c>
      <c r="C123">
        <v>700</v>
      </c>
      <c r="D123">
        <v>0</v>
      </c>
      <c r="E123" t="s">
        <v>20</v>
      </c>
      <c r="F123" t="s">
        <v>20</v>
      </c>
      <c r="G123" t="str">
        <f>"2026-07-05 00:23:24.652"</f>
        <v>2026-07-05 00:23:24.652</v>
      </c>
      <c r="H123" t="s">
        <v>21</v>
      </c>
      <c r="I123">
        <v>0</v>
      </c>
      <c r="J123" t="s">
        <v>22</v>
      </c>
    </row>
    <row r="124" spans="1:10" x14ac:dyDescent="0.25">
      <c r="A124" s="1">
        <v>14</v>
      </c>
      <c r="B124" t="s">
        <v>19</v>
      </c>
      <c r="C124">
        <v>700</v>
      </c>
      <c r="D124">
        <v>0</v>
      </c>
      <c r="E124" t="s">
        <v>20</v>
      </c>
      <c r="F124" t="s">
        <v>20</v>
      </c>
      <c r="G124" t="str">
        <f>"2026-07-04 00:48:38.781"</f>
        <v>2026-07-04 00:48:38.781</v>
      </c>
      <c r="H124" t="s">
        <v>21</v>
      </c>
    </row>
    <row r="125" spans="1:10" x14ac:dyDescent="0.25">
      <c r="A125" s="1">
        <v>15</v>
      </c>
      <c r="B125" t="s">
        <v>26</v>
      </c>
      <c r="C125">
        <v>630</v>
      </c>
      <c r="D125">
        <v>5</v>
      </c>
      <c r="E125" t="s">
        <v>27</v>
      </c>
      <c r="F125" t="s">
        <v>28</v>
      </c>
      <c r="G125" t="str">
        <f>"2026-07-03 18:03:23.399"</f>
        <v>2026-07-03 18:03:23.399</v>
      </c>
      <c r="H125" t="s">
        <v>29</v>
      </c>
    </row>
    <row r="126" spans="1:10" x14ac:dyDescent="0.25">
      <c r="A126" s="1">
        <v>16</v>
      </c>
      <c r="B126" t="s">
        <v>19</v>
      </c>
      <c r="C126">
        <v>706</v>
      </c>
      <c r="D126">
        <v>4</v>
      </c>
      <c r="E126" t="s">
        <v>23</v>
      </c>
      <c r="F126" t="s">
        <v>30</v>
      </c>
      <c r="G126" t="str">
        <f>"2026-07-03 18:02:53.258"</f>
        <v>2026-07-03 18:02:53.258</v>
      </c>
      <c r="H126" t="s">
        <v>21</v>
      </c>
      <c r="I126">
        <v>0</v>
      </c>
      <c r="J126" t="s">
        <v>25</v>
      </c>
    </row>
    <row r="127" spans="1:10" x14ac:dyDescent="0.25">
      <c r="A127" s="1">
        <v>17</v>
      </c>
      <c r="B127" t="s">
        <v>31</v>
      </c>
      <c r="C127">
        <v>630</v>
      </c>
      <c r="D127">
        <v>5</v>
      </c>
      <c r="E127" t="s">
        <v>27</v>
      </c>
      <c r="F127" t="s">
        <v>28</v>
      </c>
      <c r="G127" t="str">
        <f>"2026-07-03 17:58:06.099"</f>
        <v>2026-07-03 17:58:06.099</v>
      </c>
      <c r="H127" t="s">
        <v>29</v>
      </c>
      <c r="I127">
        <v>0</v>
      </c>
      <c r="J127" t="s">
        <v>25</v>
      </c>
    </row>
    <row r="128" spans="1:10" x14ac:dyDescent="0.25">
      <c r="A128" s="1">
        <v>18</v>
      </c>
      <c r="B128" t="s">
        <v>26</v>
      </c>
      <c r="C128">
        <v>630</v>
      </c>
      <c r="D128">
        <v>5</v>
      </c>
      <c r="E128" t="s">
        <v>27</v>
      </c>
      <c r="F128" t="s">
        <v>28</v>
      </c>
      <c r="G128" t="str">
        <f>"2026-07-03 13:50:13.499"</f>
        <v>2026-07-03 13:50:13.499</v>
      </c>
      <c r="H128" t="s">
        <v>29</v>
      </c>
    </row>
    <row r="129" spans="1:10" x14ac:dyDescent="0.25">
      <c r="A129" s="1">
        <v>19</v>
      </c>
      <c r="B129" t="s">
        <v>19</v>
      </c>
      <c r="C129">
        <v>706</v>
      </c>
      <c r="D129">
        <v>2</v>
      </c>
      <c r="E129" t="s">
        <v>23</v>
      </c>
      <c r="F129" t="s">
        <v>24</v>
      </c>
      <c r="G129" t="str">
        <f>"2026-07-03 13:49:43.378"</f>
        <v>2026-07-03 13:49:43.378</v>
      </c>
      <c r="H129" t="s">
        <v>21</v>
      </c>
      <c r="I129">
        <v>0</v>
      </c>
      <c r="J129" t="s">
        <v>25</v>
      </c>
    </row>
    <row r="130" spans="1:10" x14ac:dyDescent="0.25">
      <c r="A130" s="1">
        <v>20</v>
      </c>
      <c r="B130" t="s">
        <v>31</v>
      </c>
      <c r="C130">
        <v>630</v>
      </c>
      <c r="D130">
        <v>5</v>
      </c>
      <c r="E130" t="s">
        <v>27</v>
      </c>
      <c r="F130" t="s">
        <v>28</v>
      </c>
      <c r="G130" t="str">
        <f>"2026-07-03 13:32:50.999"</f>
        <v>2026-07-03 13:32:50.999</v>
      </c>
      <c r="H130" t="s">
        <v>29</v>
      </c>
      <c r="I130">
        <v>0</v>
      </c>
      <c r="J130" t="s">
        <v>25</v>
      </c>
    </row>
    <row r="131" spans="1:10" x14ac:dyDescent="0.25">
      <c r="A131" s="1">
        <v>21</v>
      </c>
      <c r="B131" t="s">
        <v>19</v>
      </c>
      <c r="C131">
        <v>700</v>
      </c>
      <c r="D131">
        <v>0</v>
      </c>
      <c r="E131" t="s">
        <v>20</v>
      </c>
      <c r="F131" t="s">
        <v>20</v>
      </c>
      <c r="G131" t="str">
        <f>"2026-07-03 01:39:17.618"</f>
        <v>2026-07-03 01:39:17.618</v>
      </c>
      <c r="H131" t="s">
        <v>21</v>
      </c>
      <c r="I131">
        <v>0</v>
      </c>
      <c r="J131" t="s">
        <v>22</v>
      </c>
    </row>
    <row r="132" spans="1:10" x14ac:dyDescent="0.25">
      <c r="A132" s="1">
        <v>22</v>
      </c>
      <c r="B132" t="s">
        <v>26</v>
      </c>
      <c r="C132">
        <v>630</v>
      </c>
      <c r="D132">
        <v>5</v>
      </c>
      <c r="E132" t="s">
        <v>27</v>
      </c>
      <c r="F132" t="s">
        <v>28</v>
      </c>
      <c r="G132" t="str">
        <f>"2026-07-02 08:51:15.207"</f>
        <v>2026-07-02 08:51:15.207</v>
      </c>
      <c r="H132" t="s">
        <v>29</v>
      </c>
    </row>
    <row r="133" spans="1:10" x14ac:dyDescent="0.25">
      <c r="A133" s="1">
        <v>23</v>
      </c>
      <c r="B133" t="s">
        <v>19</v>
      </c>
      <c r="C133">
        <v>706</v>
      </c>
      <c r="D133">
        <v>4</v>
      </c>
      <c r="E133" t="s">
        <v>23</v>
      </c>
      <c r="F133" t="s">
        <v>30</v>
      </c>
      <c r="G133" t="str">
        <f>"2026-07-02 08:50:45.181"</f>
        <v>2026-07-02 08:50:45.181</v>
      </c>
      <c r="H133" t="s">
        <v>21</v>
      </c>
      <c r="I133">
        <v>0</v>
      </c>
      <c r="J133" t="s">
        <v>25</v>
      </c>
    </row>
    <row r="134" spans="1:10" x14ac:dyDescent="0.25">
      <c r="A134" s="1">
        <v>24</v>
      </c>
      <c r="B134" t="s">
        <v>31</v>
      </c>
      <c r="C134">
        <v>630</v>
      </c>
      <c r="D134">
        <v>5</v>
      </c>
      <c r="E134" t="s">
        <v>27</v>
      </c>
      <c r="F134" t="s">
        <v>28</v>
      </c>
      <c r="G134" t="str">
        <f>"2026-07-02 08:47:23.807"</f>
        <v>2026-07-02 08:47:23.807</v>
      </c>
      <c r="H134" t="s">
        <v>29</v>
      </c>
      <c r="I134">
        <v>0</v>
      </c>
      <c r="J134" t="s">
        <v>25</v>
      </c>
    </row>
    <row r="135" spans="1:10" s="3" customFormat="1" x14ac:dyDescent="0.25">
      <c r="A135" s="2">
        <v>25</v>
      </c>
      <c r="B135" s="3" t="s">
        <v>26</v>
      </c>
      <c r="C135" s="3">
        <v>647</v>
      </c>
      <c r="D135" s="3">
        <v>1</v>
      </c>
      <c r="E135" s="3" t="s">
        <v>36</v>
      </c>
      <c r="F135" s="3" t="s">
        <v>37</v>
      </c>
      <c r="G135" s="3" t="str">
        <f>"2026-07-02 06:35:01.607"</f>
        <v>2026-07-02 06:35:01.607</v>
      </c>
      <c r="H135" s="3" t="s">
        <v>21</v>
      </c>
    </row>
    <row r="136" spans="1:10" s="3" customFormat="1" x14ac:dyDescent="0.25">
      <c r="A136" s="2">
        <v>26</v>
      </c>
      <c r="B136" s="3" t="s">
        <v>34</v>
      </c>
      <c r="C136" s="3">
        <v>647</v>
      </c>
      <c r="D136" s="3">
        <v>1</v>
      </c>
      <c r="E136" s="3" t="s">
        <v>36</v>
      </c>
      <c r="F136" s="3" t="s">
        <v>37</v>
      </c>
      <c r="G136" s="3" t="str">
        <f>"2026-07-02 06:34:49.907"</f>
        <v>2026-07-02 06:34:49.907</v>
      </c>
      <c r="H136" s="3" t="s">
        <v>21</v>
      </c>
      <c r="I136" s="3">
        <v>10.1</v>
      </c>
      <c r="J136" s="3" t="s">
        <v>38</v>
      </c>
    </row>
    <row r="137" spans="1:10" x14ac:dyDescent="0.25">
      <c r="A137" s="1">
        <v>27</v>
      </c>
      <c r="B137" t="s">
        <v>19</v>
      </c>
      <c r="C137">
        <v>700</v>
      </c>
      <c r="D137">
        <v>0</v>
      </c>
      <c r="E137" t="s">
        <v>20</v>
      </c>
      <c r="F137" t="s">
        <v>20</v>
      </c>
      <c r="G137" t="str">
        <f>"2026-07-02 01:16:00.621"</f>
        <v>2026-07-02 01:16:00.621</v>
      </c>
      <c r="H137" t="s">
        <v>21</v>
      </c>
      <c r="I137">
        <v>0</v>
      </c>
      <c r="J137" t="s">
        <v>22</v>
      </c>
    </row>
    <row r="138" spans="1:10" x14ac:dyDescent="0.25">
      <c r="A138" s="1">
        <v>28</v>
      </c>
      <c r="B138" t="s">
        <v>26</v>
      </c>
      <c r="C138">
        <v>635</v>
      </c>
      <c r="D138">
        <v>1</v>
      </c>
      <c r="E138" t="s">
        <v>32</v>
      </c>
      <c r="F138" t="s">
        <v>33</v>
      </c>
      <c r="G138" t="str">
        <f>"2026-07-02 00:05:00.731"</f>
        <v>2026-07-02 00:05:00.731</v>
      </c>
      <c r="H138" t="s">
        <v>21</v>
      </c>
    </row>
    <row r="139" spans="1:10" x14ac:dyDescent="0.25">
      <c r="A139" s="1">
        <v>29</v>
      </c>
      <c r="B139" t="s">
        <v>34</v>
      </c>
      <c r="C139">
        <v>635</v>
      </c>
      <c r="D139">
        <v>1</v>
      </c>
      <c r="E139" t="s">
        <v>32</v>
      </c>
      <c r="F139" t="s">
        <v>33</v>
      </c>
      <c r="G139" t="str">
        <f>"2026-07-02 00:00:34.232"</f>
        <v>2026-07-02 00:00:34.232</v>
      </c>
      <c r="H139" t="s">
        <v>21</v>
      </c>
      <c r="I139">
        <v>2.84</v>
      </c>
      <c r="J139" t="s">
        <v>38</v>
      </c>
    </row>
    <row r="140" spans="1:10" x14ac:dyDescent="0.25">
      <c r="A140" s="1">
        <v>30</v>
      </c>
      <c r="B140" t="s">
        <v>26</v>
      </c>
      <c r="C140">
        <v>630</v>
      </c>
      <c r="D140">
        <v>5</v>
      </c>
      <c r="E140" t="s">
        <v>27</v>
      </c>
      <c r="F140" t="s">
        <v>28</v>
      </c>
      <c r="G140" t="str">
        <f>"2026-07-01 13:43:59.433"</f>
        <v>2026-07-01 13:43:59.433</v>
      </c>
      <c r="H140" t="s">
        <v>29</v>
      </c>
    </row>
    <row r="141" spans="1:10" x14ac:dyDescent="0.25">
      <c r="A141" s="1">
        <v>31</v>
      </c>
      <c r="B141" t="s">
        <v>19</v>
      </c>
      <c r="C141">
        <v>706</v>
      </c>
      <c r="D141">
        <v>2</v>
      </c>
      <c r="E141" t="s">
        <v>23</v>
      </c>
      <c r="F141" t="s">
        <v>24</v>
      </c>
      <c r="G141" t="str">
        <f>"2026-07-01 13:43:29.422"</f>
        <v>2026-07-01 13:43:29.422</v>
      </c>
      <c r="H141" t="s">
        <v>21</v>
      </c>
      <c r="I141">
        <v>0</v>
      </c>
      <c r="J141" t="s">
        <v>25</v>
      </c>
    </row>
    <row r="142" spans="1:10" x14ac:dyDescent="0.25">
      <c r="A142" s="1">
        <v>32</v>
      </c>
      <c r="B142" t="s">
        <v>31</v>
      </c>
      <c r="C142">
        <v>630</v>
      </c>
      <c r="D142">
        <v>5</v>
      </c>
      <c r="E142" t="s">
        <v>27</v>
      </c>
      <c r="F142" t="s">
        <v>28</v>
      </c>
      <c r="G142" t="str">
        <f>"2026-07-01 13:05:27.933"</f>
        <v>2026-07-01 13:05:27.933</v>
      </c>
      <c r="H142" t="s">
        <v>29</v>
      </c>
      <c r="I142">
        <v>0</v>
      </c>
      <c r="J142" t="s">
        <v>25</v>
      </c>
    </row>
    <row r="143" spans="1:10" x14ac:dyDescent="0.25">
      <c r="A143" s="1">
        <v>33</v>
      </c>
      <c r="B143" t="s">
        <v>26</v>
      </c>
      <c r="C143">
        <v>630</v>
      </c>
      <c r="D143">
        <v>5</v>
      </c>
      <c r="E143" t="s">
        <v>27</v>
      </c>
      <c r="F143" t="s">
        <v>28</v>
      </c>
      <c r="G143" t="str">
        <f>"2026-07-01 09:41:40.233"</f>
        <v>2026-07-01 09:41:40.233</v>
      </c>
      <c r="H143" t="s">
        <v>29</v>
      </c>
    </row>
    <row r="144" spans="1:10" x14ac:dyDescent="0.25">
      <c r="A144" s="1">
        <v>34</v>
      </c>
      <c r="B144" t="s">
        <v>19</v>
      </c>
      <c r="C144">
        <v>706</v>
      </c>
      <c r="D144">
        <v>2</v>
      </c>
      <c r="E144" t="s">
        <v>23</v>
      </c>
      <c r="F144" t="s">
        <v>24</v>
      </c>
      <c r="G144" t="str">
        <f>"2026-07-01 09:41:10.122"</f>
        <v>2026-07-01 09:41:10.122</v>
      </c>
      <c r="H144" t="s">
        <v>21</v>
      </c>
      <c r="I144">
        <v>0</v>
      </c>
      <c r="J144" t="s">
        <v>25</v>
      </c>
    </row>
    <row r="145" spans="1:10" x14ac:dyDescent="0.25">
      <c r="A145" s="1">
        <v>35</v>
      </c>
      <c r="B145" t="s">
        <v>31</v>
      </c>
      <c r="C145">
        <v>630</v>
      </c>
      <c r="D145">
        <v>5</v>
      </c>
      <c r="E145" t="s">
        <v>27</v>
      </c>
      <c r="F145" t="s">
        <v>28</v>
      </c>
      <c r="G145" t="str">
        <f>"2026-07-01 09:39:27.033"</f>
        <v>2026-07-01 09:39:27.033</v>
      </c>
      <c r="H145" t="s">
        <v>29</v>
      </c>
      <c r="I145">
        <v>0</v>
      </c>
      <c r="J145" t="s">
        <v>25</v>
      </c>
    </row>
    <row r="146" spans="1:10" x14ac:dyDescent="0.25">
      <c r="A146" s="1">
        <v>36</v>
      </c>
      <c r="B146" t="s">
        <v>19</v>
      </c>
      <c r="C146">
        <v>706</v>
      </c>
      <c r="D146">
        <v>4</v>
      </c>
      <c r="E146" t="s">
        <v>23</v>
      </c>
      <c r="F146" t="s">
        <v>30</v>
      </c>
      <c r="G146" t="str">
        <f>"2026-07-01 01:18:56.252"</f>
        <v>2026-07-01 01:18:56.252</v>
      </c>
      <c r="H146" t="s">
        <v>21</v>
      </c>
      <c r="I146">
        <v>0</v>
      </c>
      <c r="J146" t="s">
        <v>25</v>
      </c>
    </row>
    <row r="147" spans="1:10" x14ac:dyDescent="0.25">
      <c r="A147" s="1">
        <v>37</v>
      </c>
      <c r="B147" t="s">
        <v>19</v>
      </c>
      <c r="C147">
        <v>700</v>
      </c>
      <c r="D147">
        <v>0</v>
      </c>
      <c r="E147" t="s">
        <v>20</v>
      </c>
      <c r="F147" t="s">
        <v>20</v>
      </c>
      <c r="G147" t="str">
        <f>"2026-07-01 01:18:29.742"</f>
        <v>2026-07-01 01:18:29.742</v>
      </c>
      <c r="H147" t="s">
        <v>21</v>
      </c>
      <c r="I147">
        <v>0</v>
      </c>
      <c r="J147" t="s">
        <v>22</v>
      </c>
    </row>
    <row r="148" spans="1:10" x14ac:dyDescent="0.25">
      <c r="A148" s="1">
        <v>39</v>
      </c>
      <c r="B148" t="s">
        <v>26</v>
      </c>
      <c r="C148">
        <v>635</v>
      </c>
      <c r="D148">
        <v>1</v>
      </c>
      <c r="E148" t="s">
        <v>32</v>
      </c>
      <c r="F148" t="s">
        <v>33</v>
      </c>
      <c r="G148" t="str">
        <f>"2026-06-30 17:19:52.134"</f>
        <v>2026-06-30 17:19:52.134</v>
      </c>
      <c r="H148" t="s">
        <v>21</v>
      </c>
    </row>
    <row r="149" spans="1:10" x14ac:dyDescent="0.25">
      <c r="A149" s="1">
        <v>40</v>
      </c>
      <c r="B149" t="s">
        <v>34</v>
      </c>
      <c r="C149">
        <v>635</v>
      </c>
      <c r="D149">
        <v>1</v>
      </c>
      <c r="E149" t="s">
        <v>32</v>
      </c>
      <c r="F149" t="s">
        <v>33</v>
      </c>
      <c r="G149" t="str">
        <f>"2026-06-30 17:14:12.634"</f>
        <v>2026-06-30 17:14:12.634</v>
      </c>
      <c r="H149" t="s">
        <v>21</v>
      </c>
      <c r="I149">
        <v>-0.23</v>
      </c>
      <c r="J149" t="s">
        <v>40</v>
      </c>
    </row>
    <row r="150" spans="1:10" x14ac:dyDescent="0.25">
      <c r="A150" s="1">
        <v>41</v>
      </c>
      <c r="B150" t="s">
        <v>26</v>
      </c>
      <c r="C150">
        <v>630</v>
      </c>
      <c r="D150">
        <v>5</v>
      </c>
      <c r="E150" t="s">
        <v>27</v>
      </c>
      <c r="F150" t="s">
        <v>28</v>
      </c>
      <c r="G150" t="str">
        <f>"2026-06-30 14:15:54.735"</f>
        <v>2026-06-30 14:15:54.735</v>
      </c>
      <c r="H150" t="s">
        <v>29</v>
      </c>
    </row>
    <row r="151" spans="1:10" x14ac:dyDescent="0.25">
      <c r="A151" s="1">
        <v>42</v>
      </c>
      <c r="B151" t="s">
        <v>19</v>
      </c>
      <c r="C151">
        <v>706</v>
      </c>
      <c r="D151">
        <v>4</v>
      </c>
      <c r="E151" t="s">
        <v>23</v>
      </c>
      <c r="F151" t="s">
        <v>30</v>
      </c>
      <c r="G151" t="str">
        <f>"2026-06-30 14:15:24.643"</f>
        <v>2026-06-30 14:15:24.643</v>
      </c>
      <c r="H151" t="s">
        <v>21</v>
      </c>
      <c r="I151">
        <v>0</v>
      </c>
      <c r="J151" t="s">
        <v>25</v>
      </c>
    </row>
    <row r="152" spans="1:10" x14ac:dyDescent="0.25">
      <c r="A152" s="1">
        <v>43</v>
      </c>
      <c r="B152" t="s">
        <v>31</v>
      </c>
      <c r="C152">
        <v>630</v>
      </c>
      <c r="D152">
        <v>5</v>
      </c>
      <c r="E152" t="s">
        <v>27</v>
      </c>
      <c r="F152" t="s">
        <v>28</v>
      </c>
      <c r="G152" t="str">
        <f>"2026-06-30 13:40:10.035"</f>
        <v>2026-06-30 13:40:10.035</v>
      </c>
      <c r="H152" t="s">
        <v>29</v>
      </c>
      <c r="I152">
        <v>0</v>
      </c>
      <c r="J152" t="s">
        <v>25</v>
      </c>
    </row>
    <row r="153" spans="1:10" x14ac:dyDescent="0.25">
      <c r="A153" s="1">
        <v>44</v>
      </c>
      <c r="B153" t="s">
        <v>26</v>
      </c>
      <c r="C153">
        <v>630</v>
      </c>
      <c r="D153">
        <v>5</v>
      </c>
      <c r="E153" t="s">
        <v>27</v>
      </c>
      <c r="F153" t="s">
        <v>28</v>
      </c>
      <c r="G153" t="str">
        <f>"2026-06-30 09:22:43.635"</f>
        <v>2026-06-30 09:22:43.635</v>
      </c>
      <c r="H153" t="s">
        <v>29</v>
      </c>
    </row>
    <row r="154" spans="1:10" x14ac:dyDescent="0.25">
      <c r="A154" s="1">
        <v>45</v>
      </c>
      <c r="B154" t="s">
        <v>19</v>
      </c>
      <c r="C154">
        <v>706</v>
      </c>
      <c r="D154">
        <v>4</v>
      </c>
      <c r="E154" t="s">
        <v>23</v>
      </c>
      <c r="F154" t="s">
        <v>30</v>
      </c>
      <c r="G154" t="str">
        <f>"2026-06-30 09:22:13.613"</f>
        <v>2026-06-30 09:22:13.613</v>
      </c>
      <c r="H154" t="s">
        <v>21</v>
      </c>
      <c r="I154">
        <v>0</v>
      </c>
      <c r="J154" t="s">
        <v>25</v>
      </c>
    </row>
    <row r="155" spans="1:10" x14ac:dyDescent="0.25">
      <c r="A155" s="1">
        <v>46</v>
      </c>
      <c r="B155" t="s">
        <v>31</v>
      </c>
      <c r="C155">
        <v>630</v>
      </c>
      <c r="D155">
        <v>5</v>
      </c>
      <c r="E155" t="s">
        <v>27</v>
      </c>
      <c r="F155" t="s">
        <v>28</v>
      </c>
      <c r="G155" t="str">
        <f>"2026-06-30 09:18:20.535"</f>
        <v>2026-06-30 09:18:20.535</v>
      </c>
      <c r="H155" t="s">
        <v>29</v>
      </c>
      <c r="I155">
        <v>0</v>
      </c>
      <c r="J155" t="s">
        <v>25</v>
      </c>
    </row>
    <row r="156" spans="1:10" x14ac:dyDescent="0.25">
      <c r="A156" s="1">
        <v>47</v>
      </c>
      <c r="B156" t="s">
        <v>19</v>
      </c>
      <c r="C156">
        <v>700</v>
      </c>
      <c r="D156">
        <v>0</v>
      </c>
      <c r="E156" t="s">
        <v>20</v>
      </c>
      <c r="F156" t="s">
        <v>20</v>
      </c>
      <c r="G156" t="str">
        <f>"2026-06-30 02:02:23.613"</f>
        <v>2026-06-30 02:02:23.613</v>
      </c>
      <c r="H156" t="s">
        <v>21</v>
      </c>
      <c r="I156">
        <v>0</v>
      </c>
      <c r="J156" t="s">
        <v>22</v>
      </c>
    </row>
    <row r="157" spans="1:10" x14ac:dyDescent="0.25">
      <c r="A157" s="1">
        <v>48</v>
      </c>
      <c r="B157" t="s">
        <v>26</v>
      </c>
      <c r="C157">
        <v>635</v>
      </c>
      <c r="D157">
        <v>1</v>
      </c>
      <c r="E157" t="s">
        <v>32</v>
      </c>
      <c r="F157" t="s">
        <v>33</v>
      </c>
      <c r="G157" t="str">
        <f>"2026-06-29 15:24:18.926"</f>
        <v>2026-06-29 15:24:18.926</v>
      </c>
      <c r="H157" t="s">
        <v>21</v>
      </c>
    </row>
    <row r="158" spans="1:10" x14ac:dyDescent="0.25">
      <c r="A158" s="1">
        <v>49</v>
      </c>
      <c r="B158" t="s">
        <v>34</v>
      </c>
      <c r="C158">
        <v>635</v>
      </c>
      <c r="D158">
        <v>1</v>
      </c>
      <c r="E158" t="s">
        <v>32</v>
      </c>
      <c r="F158" t="s">
        <v>33</v>
      </c>
      <c r="G158" t="str">
        <f>"2026-06-29 15:16:38.426"</f>
        <v>2026-06-29 15:16:38.426</v>
      </c>
      <c r="H158" t="s">
        <v>21</v>
      </c>
      <c r="I158">
        <v>3.08</v>
      </c>
      <c r="J158" t="s">
        <v>35</v>
      </c>
    </row>
    <row r="159" spans="1:10" x14ac:dyDescent="0.25">
      <c r="A159" s="1">
        <v>50</v>
      </c>
      <c r="B159" t="s">
        <v>26</v>
      </c>
      <c r="C159">
        <v>630</v>
      </c>
      <c r="D159">
        <v>5</v>
      </c>
      <c r="E159" t="s">
        <v>27</v>
      </c>
      <c r="F159" t="s">
        <v>28</v>
      </c>
      <c r="G159" t="str">
        <f>"2026-06-29 09:15:34.526"</f>
        <v>2026-06-29 09:15:34.526</v>
      </c>
      <c r="H159" t="s">
        <v>29</v>
      </c>
    </row>
    <row r="160" spans="1:10" x14ac:dyDescent="0.25">
      <c r="A160" s="1">
        <v>51</v>
      </c>
      <c r="B160" t="s">
        <v>19</v>
      </c>
      <c r="C160">
        <v>706</v>
      </c>
      <c r="D160">
        <v>4</v>
      </c>
      <c r="E160" t="s">
        <v>23</v>
      </c>
      <c r="F160" t="s">
        <v>30</v>
      </c>
      <c r="G160" t="str">
        <f>"2026-06-29 09:15:04.428"</f>
        <v>2026-06-29 09:15:04.428</v>
      </c>
      <c r="H160" t="s">
        <v>21</v>
      </c>
      <c r="I160">
        <v>0</v>
      </c>
      <c r="J160" t="s">
        <v>25</v>
      </c>
    </row>
    <row r="161" spans="1:10" x14ac:dyDescent="0.25">
      <c r="A161" s="1">
        <v>52</v>
      </c>
      <c r="B161" t="s">
        <v>31</v>
      </c>
      <c r="C161">
        <v>630</v>
      </c>
      <c r="D161">
        <v>5</v>
      </c>
      <c r="E161" t="s">
        <v>27</v>
      </c>
      <c r="F161" t="s">
        <v>28</v>
      </c>
      <c r="G161" t="str">
        <f>"2026-06-29 09:10:26.426"</f>
        <v>2026-06-29 09:10:26.426</v>
      </c>
      <c r="H161" t="s">
        <v>29</v>
      </c>
      <c r="I161">
        <v>0</v>
      </c>
      <c r="J161" t="s">
        <v>25</v>
      </c>
    </row>
    <row r="162" spans="1:10" x14ac:dyDescent="0.25">
      <c r="A162" s="1">
        <v>53</v>
      </c>
      <c r="B162" t="s">
        <v>26</v>
      </c>
      <c r="C162">
        <v>635</v>
      </c>
      <c r="D162">
        <v>1</v>
      </c>
      <c r="E162" t="s">
        <v>32</v>
      </c>
      <c r="F162" t="s">
        <v>33</v>
      </c>
      <c r="G162" t="str">
        <f>"2026-06-29 02:30:38.426"</f>
        <v>2026-06-29 02:30:38.426</v>
      </c>
      <c r="H162" t="s">
        <v>21</v>
      </c>
    </row>
    <row r="163" spans="1:10" x14ac:dyDescent="0.25">
      <c r="A163" s="1">
        <v>54</v>
      </c>
      <c r="B163" t="s">
        <v>34</v>
      </c>
      <c r="C163">
        <v>635</v>
      </c>
      <c r="D163">
        <v>1</v>
      </c>
      <c r="E163" t="s">
        <v>32</v>
      </c>
      <c r="F163" t="s">
        <v>33</v>
      </c>
      <c r="G163" t="str">
        <f>"2026-06-29 02:27:21.426"</f>
        <v>2026-06-29 02:27:21.426</v>
      </c>
      <c r="H163" t="s">
        <v>21</v>
      </c>
      <c r="I163">
        <v>0</v>
      </c>
      <c r="J163" t="s">
        <v>40</v>
      </c>
    </row>
    <row r="164" spans="1:10" x14ac:dyDescent="0.25">
      <c r="A164" s="1">
        <v>55</v>
      </c>
      <c r="B164" t="s">
        <v>19</v>
      </c>
      <c r="C164">
        <v>700</v>
      </c>
      <c r="D164">
        <v>0</v>
      </c>
      <c r="E164" t="s">
        <v>20</v>
      </c>
      <c r="F164" t="s">
        <v>20</v>
      </c>
      <c r="G164" t="str">
        <f>"2026-06-29 02:05:43.648"</f>
        <v>2026-06-29 02:05:43.648</v>
      </c>
      <c r="H164" t="s">
        <v>21</v>
      </c>
      <c r="I164">
        <v>0</v>
      </c>
      <c r="J164" t="s">
        <v>22</v>
      </c>
    </row>
    <row r="165" spans="1:10" x14ac:dyDescent="0.25">
      <c r="A165" s="1">
        <v>56</v>
      </c>
      <c r="B165" t="s">
        <v>26</v>
      </c>
      <c r="C165">
        <v>635</v>
      </c>
      <c r="D165">
        <v>1</v>
      </c>
      <c r="E165" t="s">
        <v>32</v>
      </c>
      <c r="F165" t="s">
        <v>33</v>
      </c>
      <c r="G165" t="str">
        <f>"2026-06-28 23:49:57.284"</f>
        <v>2026-06-28 23:49:57.284</v>
      </c>
      <c r="H165" t="s">
        <v>21</v>
      </c>
    </row>
    <row r="166" spans="1:10" x14ac:dyDescent="0.25">
      <c r="A166" s="1">
        <v>57</v>
      </c>
      <c r="B166" t="s">
        <v>34</v>
      </c>
      <c r="C166">
        <v>635</v>
      </c>
      <c r="D166">
        <v>1</v>
      </c>
      <c r="E166" t="s">
        <v>32</v>
      </c>
      <c r="F166" t="s">
        <v>33</v>
      </c>
      <c r="G166" t="str">
        <f>"2026-06-28 23:46:27.784"</f>
        <v>2026-06-28 23:46:27.784</v>
      </c>
      <c r="H166" t="s">
        <v>21</v>
      </c>
      <c r="I166">
        <v>1.59</v>
      </c>
      <c r="J166" t="s">
        <v>35</v>
      </c>
    </row>
    <row r="167" spans="1:10" x14ac:dyDescent="0.25">
      <c r="A167" s="1">
        <v>58</v>
      </c>
      <c r="B167" t="s">
        <v>26</v>
      </c>
      <c r="C167">
        <v>630</v>
      </c>
      <c r="D167">
        <v>5</v>
      </c>
      <c r="E167" t="s">
        <v>27</v>
      </c>
      <c r="F167" t="s">
        <v>28</v>
      </c>
      <c r="G167" t="str">
        <f>"2026-06-28 14:03:49.085"</f>
        <v>2026-06-28 14:03:49.085</v>
      </c>
      <c r="H167" t="s">
        <v>29</v>
      </c>
    </row>
    <row r="168" spans="1:10" x14ac:dyDescent="0.25">
      <c r="A168" s="1">
        <v>59</v>
      </c>
      <c r="B168" t="s">
        <v>19</v>
      </c>
      <c r="C168">
        <v>706</v>
      </c>
      <c r="D168">
        <v>2</v>
      </c>
      <c r="E168" t="s">
        <v>23</v>
      </c>
      <c r="F168" t="s">
        <v>24</v>
      </c>
      <c r="G168" t="str">
        <f>"2026-06-28 14:03:18.971"</f>
        <v>2026-06-28 14:03:18.971</v>
      </c>
      <c r="H168" t="s">
        <v>21</v>
      </c>
      <c r="I168">
        <v>0</v>
      </c>
      <c r="J168" t="s">
        <v>25</v>
      </c>
    </row>
    <row r="169" spans="1:10" x14ac:dyDescent="0.25">
      <c r="A169" s="1">
        <v>60</v>
      </c>
      <c r="B169" t="s">
        <v>31</v>
      </c>
      <c r="C169">
        <v>630</v>
      </c>
      <c r="D169">
        <v>5</v>
      </c>
      <c r="E169" t="s">
        <v>27</v>
      </c>
      <c r="F169" t="s">
        <v>28</v>
      </c>
      <c r="G169" t="str">
        <f>"2026-06-28 13:14:23.085"</f>
        <v>2026-06-28 13:14:23.085</v>
      </c>
      <c r="H169" t="s">
        <v>29</v>
      </c>
      <c r="I169">
        <v>0</v>
      </c>
      <c r="J169" t="s">
        <v>25</v>
      </c>
    </row>
    <row r="170" spans="1:10" s="3" customFormat="1" x14ac:dyDescent="0.25">
      <c r="A170" s="2">
        <v>61</v>
      </c>
      <c r="B170" s="3" t="s">
        <v>26</v>
      </c>
      <c r="C170" s="3">
        <v>647</v>
      </c>
      <c r="D170" s="3">
        <v>1</v>
      </c>
      <c r="E170" s="3" t="s">
        <v>36</v>
      </c>
      <c r="F170" s="3" t="s">
        <v>37</v>
      </c>
      <c r="G170" s="3" t="str">
        <f>"2026-06-28 04:30:23.085"</f>
        <v>2026-06-28 04:30:23.085</v>
      </c>
      <c r="H170" s="3" t="s">
        <v>21</v>
      </c>
    </row>
    <row r="171" spans="1:10" s="3" customFormat="1" x14ac:dyDescent="0.25">
      <c r="A171" s="2">
        <v>62</v>
      </c>
      <c r="B171" s="3" t="s">
        <v>34</v>
      </c>
      <c r="C171" s="3">
        <v>647</v>
      </c>
      <c r="D171" s="3">
        <v>1</v>
      </c>
      <c r="E171" s="3" t="s">
        <v>36</v>
      </c>
      <c r="F171" s="3" t="s">
        <v>37</v>
      </c>
      <c r="G171" s="3" t="str">
        <f>"2026-06-28 04:30:03.785"</f>
        <v>2026-06-28 04:30:03.785</v>
      </c>
      <c r="H171" s="3" t="s">
        <v>21</v>
      </c>
      <c r="I171" s="3">
        <v>18.34</v>
      </c>
      <c r="J171" s="3" t="s">
        <v>38</v>
      </c>
    </row>
    <row r="172" spans="1:10" s="3" customFormat="1" x14ac:dyDescent="0.25">
      <c r="A172" s="2">
        <v>63</v>
      </c>
      <c r="B172" s="3" t="s">
        <v>26</v>
      </c>
      <c r="C172" s="3">
        <v>647</v>
      </c>
      <c r="D172" s="3">
        <v>1</v>
      </c>
      <c r="E172" s="3" t="s">
        <v>36</v>
      </c>
      <c r="F172" s="3" t="s">
        <v>37</v>
      </c>
      <c r="G172" s="3" t="str">
        <f>"2026-06-28 03:35:21.185"</f>
        <v>2026-06-28 03:35:21.185</v>
      </c>
      <c r="H172" s="3" t="s">
        <v>21</v>
      </c>
    </row>
    <row r="173" spans="1:10" s="3" customFormat="1" x14ac:dyDescent="0.25">
      <c r="A173" s="2">
        <v>64</v>
      </c>
      <c r="B173" s="3" t="s">
        <v>34</v>
      </c>
      <c r="C173" s="3">
        <v>647</v>
      </c>
      <c r="D173" s="3">
        <v>1</v>
      </c>
      <c r="E173" s="3" t="s">
        <v>36</v>
      </c>
      <c r="F173" s="3" t="s">
        <v>37</v>
      </c>
      <c r="G173" s="3" t="str">
        <f>"2026-06-28 03:34:59.285"</f>
        <v>2026-06-28 03:34:59.285</v>
      </c>
      <c r="H173" s="3" t="s">
        <v>21</v>
      </c>
      <c r="I173" s="3">
        <v>8.81</v>
      </c>
      <c r="J173" s="3" t="s">
        <v>38</v>
      </c>
    </row>
    <row r="174" spans="1:10" s="3" customFormat="1" x14ac:dyDescent="0.25">
      <c r="A174" s="2">
        <v>65</v>
      </c>
      <c r="B174" s="3" t="s">
        <v>26</v>
      </c>
      <c r="C174" s="3">
        <v>647</v>
      </c>
      <c r="D174" s="3">
        <v>1</v>
      </c>
      <c r="E174" s="3" t="s">
        <v>36</v>
      </c>
      <c r="F174" s="3" t="s">
        <v>37</v>
      </c>
      <c r="G174" s="3" t="str">
        <f>"2026-06-28 03:34:24.185"</f>
        <v>2026-06-28 03:34:24.185</v>
      </c>
      <c r="H174" s="3" t="s">
        <v>21</v>
      </c>
    </row>
    <row r="175" spans="1:10" s="3" customFormat="1" x14ac:dyDescent="0.25">
      <c r="A175" s="2">
        <v>66</v>
      </c>
      <c r="B175" s="3" t="s">
        <v>34</v>
      </c>
      <c r="C175" s="3">
        <v>647</v>
      </c>
      <c r="D175" s="3">
        <v>1</v>
      </c>
      <c r="E175" s="3" t="s">
        <v>36</v>
      </c>
      <c r="F175" s="3" t="s">
        <v>37</v>
      </c>
      <c r="G175" s="3" t="str">
        <f>"2026-06-28 03:34:10.085"</f>
        <v>2026-06-28 03:34:10.085</v>
      </c>
      <c r="H175" s="3" t="s">
        <v>21</v>
      </c>
      <c r="I175" s="3">
        <v>12.17</v>
      </c>
      <c r="J175" s="3" t="s">
        <v>38</v>
      </c>
    </row>
    <row r="176" spans="1:10" s="3" customFormat="1" x14ac:dyDescent="0.25">
      <c r="A176" s="2">
        <v>67</v>
      </c>
      <c r="B176" s="3" t="s">
        <v>26</v>
      </c>
      <c r="C176" s="3">
        <v>647</v>
      </c>
      <c r="D176" s="3">
        <v>1</v>
      </c>
      <c r="E176" s="3" t="s">
        <v>36</v>
      </c>
      <c r="F176" s="3" t="s">
        <v>37</v>
      </c>
      <c r="G176" s="3" t="str">
        <f>"2026-06-28 03:34:02.585"</f>
        <v>2026-06-28 03:34:02.585</v>
      </c>
      <c r="H176" s="3" t="s">
        <v>21</v>
      </c>
    </row>
    <row r="177" spans="1:10" s="3" customFormat="1" x14ac:dyDescent="0.25">
      <c r="A177" s="2">
        <v>68</v>
      </c>
      <c r="B177" s="3" t="s">
        <v>34</v>
      </c>
      <c r="C177" s="3">
        <v>647</v>
      </c>
      <c r="D177" s="3">
        <v>1</v>
      </c>
      <c r="E177" s="3" t="s">
        <v>36</v>
      </c>
      <c r="F177" s="3" t="s">
        <v>37</v>
      </c>
      <c r="G177" s="3" t="str">
        <f>"2026-06-28 03:33:59.885"</f>
        <v>2026-06-28 03:33:59.885</v>
      </c>
      <c r="H177" s="3" t="s">
        <v>21</v>
      </c>
      <c r="I177" s="3">
        <v>10.24</v>
      </c>
      <c r="J177" s="3" t="s">
        <v>38</v>
      </c>
    </row>
    <row r="178" spans="1:10" s="3" customFormat="1" x14ac:dyDescent="0.25">
      <c r="A178" s="2">
        <v>69</v>
      </c>
      <c r="B178" s="3" t="s">
        <v>26</v>
      </c>
      <c r="C178" s="3">
        <v>647</v>
      </c>
      <c r="D178" s="3">
        <v>1</v>
      </c>
      <c r="E178" s="3" t="s">
        <v>36</v>
      </c>
      <c r="F178" s="3" t="s">
        <v>37</v>
      </c>
      <c r="G178" s="3" t="str">
        <f>"2026-06-28 01:24:10.985"</f>
        <v>2026-06-28 01:24:10.985</v>
      </c>
      <c r="H178" s="3" t="s">
        <v>21</v>
      </c>
    </row>
    <row r="179" spans="1:10" s="3" customFormat="1" x14ac:dyDescent="0.25">
      <c r="A179" s="2">
        <v>70</v>
      </c>
      <c r="B179" s="3" t="s">
        <v>34</v>
      </c>
      <c r="C179" s="3">
        <v>647</v>
      </c>
      <c r="D179" s="3">
        <v>1</v>
      </c>
      <c r="E179" s="3" t="s">
        <v>36</v>
      </c>
      <c r="F179" s="3" t="s">
        <v>37</v>
      </c>
      <c r="G179" s="3" t="str">
        <f>"2026-06-28 01:24:05.685"</f>
        <v>2026-06-28 01:24:05.685</v>
      </c>
      <c r="H179" s="3" t="s">
        <v>21</v>
      </c>
      <c r="I179" s="3">
        <v>8.7899999999999991</v>
      </c>
      <c r="J179" s="3" t="s">
        <v>40</v>
      </c>
    </row>
    <row r="180" spans="1:10" x14ac:dyDescent="0.25">
      <c r="A180" s="1">
        <v>71</v>
      </c>
      <c r="B180" t="s">
        <v>19</v>
      </c>
      <c r="C180">
        <v>700</v>
      </c>
      <c r="D180">
        <v>0</v>
      </c>
      <c r="E180" t="s">
        <v>20</v>
      </c>
      <c r="F180" t="s">
        <v>20</v>
      </c>
      <c r="G180" t="str">
        <f>"2026-06-28 01:19:32.591"</f>
        <v>2026-06-28 01:19:32.591</v>
      </c>
      <c r="H180" t="s">
        <v>21</v>
      </c>
      <c r="I180">
        <v>0</v>
      </c>
      <c r="J180" t="s">
        <v>22</v>
      </c>
    </row>
    <row r="181" spans="1:10" x14ac:dyDescent="0.25">
      <c r="A181" s="1">
        <v>72</v>
      </c>
      <c r="B181" t="s">
        <v>26</v>
      </c>
      <c r="C181">
        <v>630</v>
      </c>
      <c r="D181">
        <v>5</v>
      </c>
      <c r="E181" t="s">
        <v>27</v>
      </c>
      <c r="F181" t="s">
        <v>28</v>
      </c>
      <c r="G181" t="str">
        <f>"2026-06-27 13:59:50.522"</f>
        <v>2026-06-27 13:59:50.522</v>
      </c>
      <c r="H181" t="s">
        <v>29</v>
      </c>
    </row>
    <row r="182" spans="1:10" x14ac:dyDescent="0.25">
      <c r="A182" s="1">
        <v>73</v>
      </c>
      <c r="B182" t="s">
        <v>19</v>
      </c>
      <c r="C182">
        <v>706</v>
      </c>
      <c r="D182">
        <v>4</v>
      </c>
      <c r="E182" t="s">
        <v>23</v>
      </c>
      <c r="F182" t="s">
        <v>30</v>
      </c>
      <c r="G182" t="str">
        <f>"2026-06-27 13:59:20.400"</f>
        <v>2026-06-27 13:59:20.400</v>
      </c>
      <c r="H182" t="s">
        <v>21</v>
      </c>
      <c r="I182">
        <v>0</v>
      </c>
      <c r="J182" t="s">
        <v>25</v>
      </c>
    </row>
    <row r="183" spans="1:10" x14ac:dyDescent="0.25">
      <c r="A183" s="1">
        <v>74</v>
      </c>
      <c r="B183" t="s">
        <v>31</v>
      </c>
      <c r="C183">
        <v>630</v>
      </c>
      <c r="D183">
        <v>5</v>
      </c>
      <c r="E183" t="s">
        <v>27</v>
      </c>
      <c r="F183" t="s">
        <v>28</v>
      </c>
      <c r="G183" t="str">
        <f>"2026-06-27 13:15:22.322"</f>
        <v>2026-06-27 13:15:22.322</v>
      </c>
      <c r="H183" t="s">
        <v>29</v>
      </c>
      <c r="I183">
        <v>0</v>
      </c>
      <c r="J183" t="s">
        <v>25</v>
      </c>
    </row>
    <row r="184" spans="1:10" x14ac:dyDescent="0.25">
      <c r="A184" s="1">
        <v>75</v>
      </c>
      <c r="B184" t="s">
        <v>26</v>
      </c>
      <c r="C184">
        <v>630</v>
      </c>
      <c r="D184">
        <v>5</v>
      </c>
      <c r="E184" t="s">
        <v>27</v>
      </c>
      <c r="F184" t="s">
        <v>28</v>
      </c>
      <c r="G184" t="str">
        <f>"2026-06-27 11:12:03.922"</f>
        <v>2026-06-27 11:12:03.922</v>
      </c>
      <c r="H184" t="s">
        <v>29</v>
      </c>
    </row>
    <row r="185" spans="1:10" x14ac:dyDescent="0.25">
      <c r="A185" s="1">
        <v>76</v>
      </c>
      <c r="B185" t="s">
        <v>19</v>
      </c>
      <c r="C185">
        <v>706</v>
      </c>
      <c r="D185">
        <v>2</v>
      </c>
      <c r="E185" t="s">
        <v>23</v>
      </c>
      <c r="F185" t="s">
        <v>24</v>
      </c>
      <c r="G185" t="str">
        <f>"2026-06-27 11:11:33.800"</f>
        <v>2026-06-27 11:11:33.800</v>
      </c>
      <c r="H185" t="s">
        <v>21</v>
      </c>
      <c r="I185">
        <v>0</v>
      </c>
      <c r="J185" t="s">
        <v>25</v>
      </c>
    </row>
    <row r="186" spans="1:10" x14ac:dyDescent="0.25">
      <c r="A186" s="1">
        <v>77</v>
      </c>
      <c r="B186" t="s">
        <v>31</v>
      </c>
      <c r="C186">
        <v>630</v>
      </c>
      <c r="D186">
        <v>5</v>
      </c>
      <c r="E186" t="s">
        <v>27</v>
      </c>
      <c r="F186" t="s">
        <v>28</v>
      </c>
      <c r="G186" t="str">
        <f>"2026-06-27 11:08:17.623"</f>
        <v>2026-06-27 11:08:17.623</v>
      </c>
      <c r="H186" t="s">
        <v>29</v>
      </c>
      <c r="I186">
        <v>0</v>
      </c>
      <c r="J186" t="s">
        <v>25</v>
      </c>
    </row>
    <row r="187" spans="1:10" x14ac:dyDescent="0.25">
      <c r="A187" s="1">
        <v>78</v>
      </c>
      <c r="B187" t="s">
        <v>19</v>
      </c>
      <c r="C187">
        <v>700</v>
      </c>
      <c r="D187">
        <v>0</v>
      </c>
      <c r="E187" t="s">
        <v>20</v>
      </c>
      <c r="F187" t="s">
        <v>20</v>
      </c>
      <c r="G187" t="str">
        <f>"2026-06-27 01:39:06.620"</f>
        <v>2026-06-27 01:39:06.620</v>
      </c>
      <c r="H187" t="s">
        <v>21</v>
      </c>
      <c r="I187">
        <v>0</v>
      </c>
      <c r="J187" t="s">
        <v>22</v>
      </c>
    </row>
    <row r="188" spans="1:10" x14ac:dyDescent="0.25">
      <c r="A188" s="1">
        <v>79</v>
      </c>
      <c r="B188" t="s">
        <v>26</v>
      </c>
      <c r="C188">
        <v>630</v>
      </c>
      <c r="D188">
        <v>5</v>
      </c>
      <c r="E188" t="s">
        <v>27</v>
      </c>
      <c r="F188" t="s">
        <v>28</v>
      </c>
      <c r="G188" t="str">
        <f>"2026-06-26 16:00:51.957"</f>
        <v>2026-06-26 16:00:51.957</v>
      </c>
      <c r="H188" t="s">
        <v>29</v>
      </c>
    </row>
    <row r="189" spans="1:10" x14ac:dyDescent="0.25">
      <c r="A189" s="1">
        <v>80</v>
      </c>
      <c r="B189" t="s">
        <v>19</v>
      </c>
      <c r="C189">
        <v>706</v>
      </c>
      <c r="D189">
        <v>2</v>
      </c>
      <c r="E189" t="s">
        <v>23</v>
      </c>
      <c r="F189" t="s">
        <v>24</v>
      </c>
      <c r="G189" t="str">
        <f>"2026-06-26 16:00:21.815"</f>
        <v>2026-06-26 16:00:21.815</v>
      </c>
      <c r="H189" t="s">
        <v>21</v>
      </c>
      <c r="I189">
        <v>0</v>
      </c>
      <c r="J189" t="s">
        <v>25</v>
      </c>
    </row>
    <row r="190" spans="1:10" x14ac:dyDescent="0.25">
      <c r="A190" s="1">
        <v>81</v>
      </c>
      <c r="B190" t="s">
        <v>31</v>
      </c>
      <c r="C190">
        <v>630</v>
      </c>
      <c r="D190">
        <v>5</v>
      </c>
      <c r="E190" t="s">
        <v>27</v>
      </c>
      <c r="F190" t="s">
        <v>28</v>
      </c>
      <c r="G190" t="str">
        <f>"2026-06-26 15:39:58.457"</f>
        <v>2026-06-26 15:39:58.457</v>
      </c>
      <c r="H190" t="s">
        <v>29</v>
      </c>
      <c r="I190">
        <v>0</v>
      </c>
      <c r="J190" t="s">
        <v>25</v>
      </c>
    </row>
    <row r="191" spans="1:10" x14ac:dyDescent="0.25">
      <c r="A191" s="1">
        <v>82</v>
      </c>
      <c r="B191" t="s">
        <v>26</v>
      </c>
      <c r="C191">
        <v>630</v>
      </c>
      <c r="D191">
        <v>5</v>
      </c>
      <c r="E191" t="s">
        <v>27</v>
      </c>
      <c r="F191" t="s">
        <v>28</v>
      </c>
      <c r="G191" t="str">
        <f>"2026-06-26 12:35:51.057"</f>
        <v>2026-06-26 12:35:51.057</v>
      </c>
      <c r="H191" t="s">
        <v>29</v>
      </c>
    </row>
    <row r="192" spans="1:10" x14ac:dyDescent="0.25">
      <c r="A192" s="1">
        <v>83</v>
      </c>
      <c r="B192" t="s">
        <v>19</v>
      </c>
      <c r="C192">
        <v>706</v>
      </c>
      <c r="D192">
        <v>4</v>
      </c>
      <c r="E192" t="s">
        <v>23</v>
      </c>
      <c r="F192" t="s">
        <v>30</v>
      </c>
      <c r="G192" t="str">
        <f>"2026-06-26 12:35:20.985"</f>
        <v>2026-06-26 12:35:20.985</v>
      </c>
      <c r="H192" t="s">
        <v>21</v>
      </c>
      <c r="I192">
        <v>0</v>
      </c>
      <c r="J192" t="s">
        <v>25</v>
      </c>
    </row>
    <row r="193" spans="1:10" x14ac:dyDescent="0.25">
      <c r="A193" s="1">
        <v>84</v>
      </c>
      <c r="B193" t="s">
        <v>31</v>
      </c>
      <c r="C193">
        <v>630</v>
      </c>
      <c r="D193">
        <v>5</v>
      </c>
      <c r="E193" t="s">
        <v>27</v>
      </c>
      <c r="F193" t="s">
        <v>28</v>
      </c>
      <c r="G193" t="str">
        <f>"2026-06-26 12:20:35.457"</f>
        <v>2026-06-26 12:20:35.457</v>
      </c>
      <c r="H193" t="s">
        <v>29</v>
      </c>
      <c r="I193">
        <v>0</v>
      </c>
      <c r="J193" t="s">
        <v>25</v>
      </c>
    </row>
    <row r="194" spans="1:10" x14ac:dyDescent="0.25">
      <c r="A194" s="1">
        <v>85</v>
      </c>
      <c r="B194" t="s">
        <v>19</v>
      </c>
      <c r="C194">
        <v>700</v>
      </c>
      <c r="D194">
        <v>0</v>
      </c>
      <c r="E194" t="s">
        <v>20</v>
      </c>
      <c r="F194" t="s">
        <v>20</v>
      </c>
      <c r="G194" t="str">
        <f>"2026-06-26 01:40:38.585"</f>
        <v>2026-06-26 01:40:38.585</v>
      </c>
      <c r="H194" t="s">
        <v>21</v>
      </c>
    </row>
    <row r="195" spans="1:10" s="3" customFormat="1" x14ac:dyDescent="0.25">
      <c r="A195" s="2">
        <v>86</v>
      </c>
      <c r="B195" s="3" t="s">
        <v>26</v>
      </c>
      <c r="C195" s="3">
        <v>647</v>
      </c>
      <c r="D195" s="3">
        <v>1</v>
      </c>
      <c r="E195" s="3" t="s">
        <v>36</v>
      </c>
      <c r="F195" s="3" t="s">
        <v>37</v>
      </c>
      <c r="G195" s="3" t="str">
        <f>"2026-06-25 22:47:25.877"</f>
        <v>2026-06-25 22:47:25.877</v>
      </c>
      <c r="H195" s="3" t="s">
        <v>21</v>
      </c>
    </row>
    <row r="196" spans="1:10" s="3" customFormat="1" x14ac:dyDescent="0.25">
      <c r="A196" s="2">
        <v>87</v>
      </c>
      <c r="B196" s="3" t="s">
        <v>34</v>
      </c>
      <c r="C196" s="3">
        <v>647</v>
      </c>
      <c r="D196" s="3">
        <v>1</v>
      </c>
      <c r="E196" s="3" t="s">
        <v>36</v>
      </c>
      <c r="F196" s="3" t="s">
        <v>37</v>
      </c>
      <c r="G196" s="3" t="str">
        <f>"2026-06-25 22:47:01.577"</f>
        <v>2026-06-25 22:47:01.577</v>
      </c>
      <c r="H196" s="3" t="s">
        <v>21</v>
      </c>
      <c r="I196" s="3">
        <v>12.13</v>
      </c>
      <c r="J196" s="3" t="s">
        <v>38</v>
      </c>
    </row>
    <row r="197" spans="1:10" x14ac:dyDescent="0.25">
      <c r="A197" s="1">
        <v>88</v>
      </c>
      <c r="B197" t="s">
        <v>26</v>
      </c>
      <c r="C197">
        <v>630</v>
      </c>
      <c r="D197">
        <v>5</v>
      </c>
      <c r="E197" t="s">
        <v>27</v>
      </c>
      <c r="F197" t="s">
        <v>28</v>
      </c>
      <c r="G197" t="str">
        <f>"2026-06-25 08:34:32.077"</f>
        <v>2026-06-25 08:34:32.077</v>
      </c>
      <c r="H197" t="s">
        <v>29</v>
      </c>
    </row>
    <row r="198" spans="1:10" x14ac:dyDescent="0.25">
      <c r="A198" s="1">
        <v>89</v>
      </c>
      <c r="B198" t="s">
        <v>19</v>
      </c>
      <c r="C198">
        <v>706</v>
      </c>
      <c r="D198">
        <v>4</v>
      </c>
      <c r="E198" t="s">
        <v>23</v>
      </c>
      <c r="F198" t="s">
        <v>30</v>
      </c>
      <c r="G198" t="str">
        <f>"2026-06-25 08:34:02.063"</f>
        <v>2026-06-25 08:34:02.063</v>
      </c>
      <c r="H198" t="s">
        <v>21</v>
      </c>
      <c r="I198">
        <v>0</v>
      </c>
      <c r="J198" t="s">
        <v>25</v>
      </c>
    </row>
    <row r="199" spans="1:10" x14ac:dyDescent="0.25">
      <c r="A199" s="1">
        <v>90</v>
      </c>
      <c r="B199" t="s">
        <v>31</v>
      </c>
      <c r="C199">
        <v>630</v>
      </c>
      <c r="D199">
        <v>5</v>
      </c>
      <c r="E199" t="s">
        <v>27</v>
      </c>
      <c r="F199" t="s">
        <v>28</v>
      </c>
      <c r="G199" t="str">
        <f>"2026-06-25 08:30:20.677"</f>
        <v>2026-06-25 08:30:20.677</v>
      </c>
      <c r="H199" t="s">
        <v>29</v>
      </c>
      <c r="I199">
        <v>0</v>
      </c>
      <c r="J199" t="s">
        <v>25</v>
      </c>
    </row>
    <row r="200" spans="1:10" s="3" customFormat="1" x14ac:dyDescent="0.25">
      <c r="A200" s="2">
        <v>91</v>
      </c>
      <c r="B200" s="3" t="s">
        <v>26</v>
      </c>
      <c r="C200" s="3">
        <v>647</v>
      </c>
      <c r="D200" s="3">
        <v>1</v>
      </c>
      <c r="E200" s="3" t="s">
        <v>36</v>
      </c>
      <c r="F200" s="3" t="s">
        <v>37</v>
      </c>
      <c r="G200" s="3" t="str">
        <f>"2026-06-25 01:57:01.277"</f>
        <v>2026-06-25 01:57:01.277</v>
      </c>
      <c r="H200" s="3" t="s">
        <v>21</v>
      </c>
    </row>
    <row r="201" spans="1:10" s="3" customFormat="1" x14ac:dyDescent="0.25">
      <c r="A201" s="2">
        <v>92</v>
      </c>
      <c r="B201" s="3" t="s">
        <v>34</v>
      </c>
      <c r="C201" s="3">
        <v>647</v>
      </c>
      <c r="D201" s="3">
        <v>1</v>
      </c>
      <c r="E201" s="3" t="s">
        <v>36</v>
      </c>
      <c r="F201" s="3" t="s">
        <v>37</v>
      </c>
      <c r="G201" s="3" t="str">
        <f>"2026-06-25 01:56:22.078"</f>
        <v>2026-06-25 01:56:22.078</v>
      </c>
      <c r="H201" s="3" t="s">
        <v>21</v>
      </c>
      <c r="I201" s="3">
        <v>8.18</v>
      </c>
      <c r="J201" s="3" t="s">
        <v>40</v>
      </c>
    </row>
    <row r="202" spans="1:10" x14ac:dyDescent="0.25">
      <c r="A202" s="1">
        <v>93</v>
      </c>
      <c r="B202" t="s">
        <v>19</v>
      </c>
      <c r="C202">
        <v>706</v>
      </c>
      <c r="D202">
        <v>4</v>
      </c>
      <c r="E202" t="s">
        <v>23</v>
      </c>
      <c r="F202" t="s">
        <v>30</v>
      </c>
      <c r="G202" t="str">
        <f>"2026-06-25 01:52:10.043"</f>
        <v>2026-06-25 01:52:10.043</v>
      </c>
      <c r="H202" t="s">
        <v>21</v>
      </c>
      <c r="I202">
        <v>0</v>
      </c>
      <c r="J202" t="s">
        <v>25</v>
      </c>
    </row>
    <row r="203" spans="1:10" x14ac:dyDescent="0.25">
      <c r="A203" s="1">
        <v>94</v>
      </c>
      <c r="B203" t="s">
        <v>19</v>
      </c>
      <c r="C203">
        <v>700</v>
      </c>
      <c r="D203">
        <v>0</v>
      </c>
      <c r="E203" t="s">
        <v>20</v>
      </c>
      <c r="F203" t="s">
        <v>20</v>
      </c>
      <c r="G203" t="str">
        <f>"2026-06-25 01:49:32.593"</f>
        <v>2026-06-25 01:49:32.593</v>
      </c>
      <c r="H203" t="s">
        <v>21</v>
      </c>
      <c r="I203">
        <v>0</v>
      </c>
      <c r="J203" t="s">
        <v>22</v>
      </c>
    </row>
    <row r="204" spans="1:10" x14ac:dyDescent="0.25">
      <c r="A204" s="1">
        <v>95</v>
      </c>
      <c r="B204" t="s">
        <v>26</v>
      </c>
      <c r="C204">
        <v>635</v>
      </c>
      <c r="D204">
        <v>1</v>
      </c>
      <c r="E204" t="s">
        <v>32</v>
      </c>
      <c r="F204" t="s">
        <v>33</v>
      </c>
      <c r="G204" t="str">
        <f>"2026-06-24 23:12:10.974"</f>
        <v>2026-06-24 23:12:10.974</v>
      </c>
      <c r="H204" t="s">
        <v>21</v>
      </c>
    </row>
    <row r="205" spans="1:10" x14ac:dyDescent="0.25">
      <c r="A205" s="1">
        <v>96</v>
      </c>
      <c r="B205" t="s">
        <v>34</v>
      </c>
      <c r="C205">
        <v>635</v>
      </c>
      <c r="D205">
        <v>1</v>
      </c>
      <c r="E205" t="s">
        <v>32</v>
      </c>
      <c r="F205" t="s">
        <v>33</v>
      </c>
      <c r="G205" t="str">
        <f>"2026-06-24 23:08:26.574"</f>
        <v>2026-06-24 23:08:26.574</v>
      </c>
      <c r="H205" t="s">
        <v>21</v>
      </c>
      <c r="I205">
        <v>1.98</v>
      </c>
      <c r="J205" t="s">
        <v>35</v>
      </c>
    </row>
    <row r="206" spans="1:10" s="3" customFormat="1" x14ac:dyDescent="0.25">
      <c r="A206" s="2">
        <v>97</v>
      </c>
      <c r="B206" s="3" t="s">
        <v>26</v>
      </c>
      <c r="C206" s="3">
        <v>647</v>
      </c>
      <c r="D206" s="3">
        <v>1</v>
      </c>
      <c r="E206" s="3" t="s">
        <v>36</v>
      </c>
      <c r="F206" s="3" t="s">
        <v>37</v>
      </c>
      <c r="G206" s="3" t="str">
        <f>"2026-06-24 21:48:01.174"</f>
        <v>2026-06-24 21:48:01.174</v>
      </c>
      <c r="H206" s="3" t="s">
        <v>21</v>
      </c>
    </row>
    <row r="207" spans="1:10" s="3" customFormat="1" x14ac:dyDescent="0.25">
      <c r="A207" s="2">
        <v>98</v>
      </c>
      <c r="B207" s="3" t="s">
        <v>34</v>
      </c>
      <c r="C207" s="3">
        <v>647</v>
      </c>
      <c r="D207" s="3">
        <v>1</v>
      </c>
      <c r="E207" s="3" t="s">
        <v>36</v>
      </c>
      <c r="F207" s="3" t="s">
        <v>37</v>
      </c>
      <c r="G207" s="3" t="str">
        <f>"2026-06-24 21:47:52.674"</f>
        <v>2026-06-24 21:47:52.674</v>
      </c>
      <c r="H207" s="3" t="s">
        <v>21</v>
      </c>
      <c r="I207" s="3">
        <v>11.24</v>
      </c>
      <c r="J207" s="3" t="s">
        <v>38</v>
      </c>
    </row>
    <row r="208" spans="1:10" s="3" customFormat="1" x14ac:dyDescent="0.25">
      <c r="A208" s="2">
        <v>99</v>
      </c>
      <c r="B208" s="3" t="s">
        <v>26</v>
      </c>
      <c r="C208" s="3">
        <v>647</v>
      </c>
      <c r="D208" s="3">
        <v>1</v>
      </c>
      <c r="E208" s="3" t="s">
        <v>36</v>
      </c>
      <c r="F208" s="3" t="s">
        <v>37</v>
      </c>
      <c r="G208" s="3" t="str">
        <f>"2026-06-24 21:47:49.775"</f>
        <v>2026-06-24 21:47:49.775</v>
      </c>
      <c r="H208" s="3" t="s">
        <v>21</v>
      </c>
    </row>
    <row r="209" spans="1:10" s="3" customFormat="1" x14ac:dyDescent="0.25">
      <c r="A209" s="2">
        <v>0</v>
      </c>
      <c r="B209" s="3" t="s">
        <v>34</v>
      </c>
      <c r="C209" s="3">
        <v>647</v>
      </c>
      <c r="D209" s="3">
        <v>1</v>
      </c>
      <c r="E209" s="3" t="s">
        <v>36</v>
      </c>
      <c r="F209" s="3" t="s">
        <v>37</v>
      </c>
      <c r="G209" s="3" t="str">
        <f>"2026-06-24 21:47:35.674"</f>
        <v>2026-06-24 21:47:35.674</v>
      </c>
      <c r="H209" s="3" t="s">
        <v>21</v>
      </c>
      <c r="I209" s="3">
        <v>11.74</v>
      </c>
      <c r="J209" s="3" t="s">
        <v>38</v>
      </c>
    </row>
    <row r="210" spans="1:10" s="3" customFormat="1" x14ac:dyDescent="0.25">
      <c r="A210" s="2">
        <v>1</v>
      </c>
      <c r="B210" s="3" t="s">
        <v>26</v>
      </c>
      <c r="C210" s="3">
        <v>647</v>
      </c>
      <c r="D210" s="3">
        <v>1</v>
      </c>
      <c r="E210" s="3" t="s">
        <v>36</v>
      </c>
      <c r="F210" s="3" t="s">
        <v>37</v>
      </c>
      <c r="G210" s="3" t="str">
        <f>"2026-06-24 21:47:24.774"</f>
        <v>2026-06-24 21:47:24.774</v>
      </c>
      <c r="H210" s="3" t="s">
        <v>21</v>
      </c>
    </row>
    <row r="211" spans="1:10" s="3" customFormat="1" x14ac:dyDescent="0.25">
      <c r="A211" s="2">
        <v>2</v>
      </c>
      <c r="B211" s="3" t="s">
        <v>34</v>
      </c>
      <c r="C211" s="3">
        <v>647</v>
      </c>
      <c r="D211" s="3">
        <v>1</v>
      </c>
      <c r="E211" s="3" t="s">
        <v>36</v>
      </c>
      <c r="F211" s="3" t="s">
        <v>37</v>
      </c>
      <c r="G211" s="3" t="str">
        <f>"2026-06-24 21:47:18.274"</f>
        <v>2026-06-24 21:47:18.274</v>
      </c>
      <c r="H211" s="3" t="s">
        <v>21</v>
      </c>
      <c r="I211" s="3">
        <v>18.21</v>
      </c>
      <c r="J211" s="3" t="s">
        <v>38</v>
      </c>
    </row>
    <row r="212" spans="1:10" s="3" customFormat="1" x14ac:dyDescent="0.25">
      <c r="A212" s="2">
        <v>3</v>
      </c>
      <c r="B212" s="3" t="s">
        <v>26</v>
      </c>
      <c r="C212" s="3">
        <v>647</v>
      </c>
      <c r="D212" s="3">
        <v>1</v>
      </c>
      <c r="E212" s="3" t="s">
        <v>36</v>
      </c>
      <c r="F212" s="3" t="s">
        <v>37</v>
      </c>
      <c r="G212" s="3" t="str">
        <f>"2026-06-24 21:47:11.974"</f>
        <v>2026-06-24 21:47:11.974</v>
      </c>
      <c r="H212" s="3" t="s">
        <v>21</v>
      </c>
    </row>
    <row r="213" spans="1:10" s="3" customFormat="1" x14ac:dyDescent="0.25">
      <c r="A213" s="2">
        <v>4</v>
      </c>
      <c r="B213" s="3" t="s">
        <v>34</v>
      </c>
      <c r="C213" s="3">
        <v>647</v>
      </c>
      <c r="D213" s="3">
        <v>1</v>
      </c>
      <c r="E213" s="3" t="s">
        <v>36</v>
      </c>
      <c r="F213" s="3" t="s">
        <v>37</v>
      </c>
      <c r="G213" s="3" t="str">
        <f>"2026-06-24 21:46:17.674"</f>
        <v>2026-06-24 21:46:17.674</v>
      </c>
      <c r="H213" s="3" t="s">
        <v>21</v>
      </c>
      <c r="I213" s="3">
        <v>18.43</v>
      </c>
      <c r="J213" s="3" t="s">
        <v>38</v>
      </c>
    </row>
    <row r="214" spans="1:10" s="3" customFormat="1" x14ac:dyDescent="0.25">
      <c r="A214" s="2">
        <v>5</v>
      </c>
      <c r="B214" s="3" t="s">
        <v>26</v>
      </c>
      <c r="C214" s="3">
        <v>647</v>
      </c>
      <c r="D214" s="3">
        <v>1</v>
      </c>
      <c r="E214" s="3" t="s">
        <v>36</v>
      </c>
      <c r="F214" s="3" t="s">
        <v>37</v>
      </c>
      <c r="G214" s="3" t="str">
        <f>"2026-06-24 21:45:53.174"</f>
        <v>2026-06-24 21:45:53.174</v>
      </c>
      <c r="H214" s="3" t="s">
        <v>21</v>
      </c>
    </row>
    <row r="215" spans="1:10" s="3" customFormat="1" x14ac:dyDescent="0.25">
      <c r="A215" s="2">
        <v>6</v>
      </c>
      <c r="B215" s="3" t="s">
        <v>34</v>
      </c>
      <c r="C215" s="3">
        <v>647</v>
      </c>
      <c r="D215" s="3">
        <v>1</v>
      </c>
      <c r="E215" s="3" t="s">
        <v>36</v>
      </c>
      <c r="F215" s="3" t="s">
        <v>37</v>
      </c>
      <c r="G215" s="3" t="str">
        <f>"2026-06-24 21:45:36.874"</f>
        <v>2026-06-24 21:45:36.874</v>
      </c>
      <c r="H215" s="3" t="s">
        <v>21</v>
      </c>
      <c r="I215" s="3">
        <v>8.58</v>
      </c>
      <c r="J215" s="3" t="s">
        <v>38</v>
      </c>
    </row>
    <row r="216" spans="1:10" x14ac:dyDescent="0.25">
      <c r="A216" s="1">
        <v>7</v>
      </c>
      <c r="B216" t="s">
        <v>26</v>
      </c>
      <c r="C216">
        <v>630</v>
      </c>
      <c r="D216">
        <v>5</v>
      </c>
      <c r="E216" t="s">
        <v>27</v>
      </c>
      <c r="F216" t="s">
        <v>28</v>
      </c>
      <c r="G216" t="str">
        <f>"2026-06-24 13:32:45.974"</f>
        <v>2026-06-24 13:32:45.974</v>
      </c>
      <c r="H216" t="s">
        <v>29</v>
      </c>
    </row>
    <row r="217" spans="1:10" x14ac:dyDescent="0.25">
      <c r="A217" s="1">
        <v>8</v>
      </c>
      <c r="B217" t="s">
        <v>19</v>
      </c>
      <c r="C217">
        <v>706</v>
      </c>
      <c r="D217">
        <v>2</v>
      </c>
      <c r="E217" t="s">
        <v>23</v>
      </c>
      <c r="F217" t="s">
        <v>24</v>
      </c>
      <c r="G217" t="str">
        <f>"2026-06-24 13:32:15.856"</f>
        <v>2026-06-24 13:32:15.856</v>
      </c>
      <c r="H217" t="s">
        <v>21</v>
      </c>
      <c r="I217">
        <v>0</v>
      </c>
      <c r="J217" t="s">
        <v>25</v>
      </c>
    </row>
    <row r="218" spans="1:10" x14ac:dyDescent="0.25">
      <c r="A218" s="1">
        <v>9</v>
      </c>
      <c r="B218" t="s">
        <v>31</v>
      </c>
      <c r="C218">
        <v>630</v>
      </c>
      <c r="D218">
        <v>5</v>
      </c>
      <c r="E218" t="s">
        <v>27</v>
      </c>
      <c r="F218" t="s">
        <v>28</v>
      </c>
      <c r="G218" t="str">
        <f>"2026-06-24 13:19:46.374"</f>
        <v>2026-06-24 13:19:46.374</v>
      </c>
      <c r="H218" t="s">
        <v>29</v>
      </c>
      <c r="I218">
        <v>0</v>
      </c>
      <c r="J218" t="s">
        <v>25</v>
      </c>
    </row>
    <row r="219" spans="1:10" s="3" customFormat="1" x14ac:dyDescent="0.25">
      <c r="A219" s="2">
        <v>10</v>
      </c>
      <c r="B219" s="3" t="s">
        <v>26</v>
      </c>
      <c r="C219" s="3">
        <v>647</v>
      </c>
      <c r="D219" s="3">
        <v>1</v>
      </c>
      <c r="E219" s="3" t="s">
        <v>36</v>
      </c>
      <c r="F219" s="3" t="s">
        <v>37</v>
      </c>
      <c r="G219" s="3" t="str">
        <f>"2026-06-24 03:12:59.174"</f>
        <v>2026-06-24 03:12:59.174</v>
      </c>
      <c r="H219" s="3" t="s">
        <v>21</v>
      </c>
    </row>
    <row r="220" spans="1:10" s="3" customFormat="1" x14ac:dyDescent="0.25">
      <c r="A220" s="2">
        <v>11</v>
      </c>
      <c r="B220" s="3" t="s">
        <v>34</v>
      </c>
      <c r="C220" s="3">
        <v>647</v>
      </c>
      <c r="D220" s="3">
        <v>1</v>
      </c>
      <c r="E220" s="3" t="s">
        <v>36</v>
      </c>
      <c r="F220" s="3" t="s">
        <v>37</v>
      </c>
      <c r="G220" s="3" t="str">
        <f>"2026-06-24 03:12:49.175"</f>
        <v>2026-06-24 03:12:49.175</v>
      </c>
      <c r="H220" s="3" t="s">
        <v>21</v>
      </c>
      <c r="I220" s="3">
        <v>8.2200000000000006</v>
      </c>
      <c r="J220" s="3" t="s">
        <v>38</v>
      </c>
    </row>
    <row r="221" spans="1:10" x14ac:dyDescent="0.25">
      <c r="A221" s="1">
        <v>12</v>
      </c>
      <c r="B221" t="s">
        <v>19</v>
      </c>
      <c r="C221">
        <v>700</v>
      </c>
      <c r="D221">
        <v>0</v>
      </c>
      <c r="E221" t="s">
        <v>20</v>
      </c>
      <c r="F221" t="s">
        <v>20</v>
      </c>
      <c r="G221" t="str">
        <f>"2026-06-24 02:46:08.676"</f>
        <v>2026-06-24 02:46:08.676</v>
      </c>
      <c r="H221" t="s">
        <v>21</v>
      </c>
      <c r="I221">
        <v>0</v>
      </c>
      <c r="J221" t="s">
        <v>22</v>
      </c>
    </row>
    <row r="222" spans="1:10" x14ac:dyDescent="0.25">
      <c r="A222" s="1">
        <v>13</v>
      </c>
      <c r="B222" t="s">
        <v>26</v>
      </c>
      <c r="C222">
        <v>630</v>
      </c>
      <c r="D222">
        <v>5</v>
      </c>
      <c r="E222" t="s">
        <v>27</v>
      </c>
      <c r="F222" t="s">
        <v>28</v>
      </c>
      <c r="G222" t="str">
        <f>"2026-06-24 02:27:11.824"</f>
        <v>2026-06-24 02:27:11.824</v>
      </c>
      <c r="H222" t="s">
        <v>29</v>
      </c>
    </row>
    <row r="223" spans="1:10" x14ac:dyDescent="0.25">
      <c r="A223" s="1">
        <v>14</v>
      </c>
      <c r="B223" t="s">
        <v>19</v>
      </c>
      <c r="C223">
        <v>706</v>
      </c>
      <c r="D223">
        <v>2</v>
      </c>
      <c r="E223" t="s">
        <v>23</v>
      </c>
      <c r="F223" t="s">
        <v>24</v>
      </c>
      <c r="G223" t="str">
        <f>"2026-06-24 02:26:41.686"</f>
        <v>2026-06-24 02:26:41.686</v>
      </c>
      <c r="H223" t="s">
        <v>21</v>
      </c>
      <c r="I223">
        <v>0</v>
      </c>
      <c r="J223" t="s">
        <v>25</v>
      </c>
    </row>
    <row r="224" spans="1:10" x14ac:dyDescent="0.25">
      <c r="A224" s="1">
        <v>15</v>
      </c>
      <c r="B224" t="s">
        <v>31</v>
      </c>
      <c r="C224">
        <v>630</v>
      </c>
      <c r="D224">
        <v>5</v>
      </c>
      <c r="E224" t="s">
        <v>27</v>
      </c>
      <c r="F224" t="s">
        <v>28</v>
      </c>
      <c r="G224" t="str">
        <f>"2026-06-24 02:21:31.425"</f>
        <v>2026-06-24 02:21:31.425</v>
      </c>
      <c r="H224" t="s">
        <v>29</v>
      </c>
      <c r="I224">
        <v>0</v>
      </c>
      <c r="J224" t="s">
        <v>25</v>
      </c>
    </row>
    <row r="225" spans="1:10" x14ac:dyDescent="0.25">
      <c r="A225" s="1">
        <v>16</v>
      </c>
      <c r="B225" t="s">
        <v>19</v>
      </c>
      <c r="C225">
        <v>700</v>
      </c>
      <c r="D225">
        <v>0</v>
      </c>
      <c r="E225" t="s">
        <v>20</v>
      </c>
      <c r="F225" t="s">
        <v>20</v>
      </c>
      <c r="G225" t="str">
        <f>"2026-06-24 02:16:28.576"</f>
        <v>2026-06-24 02:16:28.576</v>
      </c>
      <c r="H225" t="s">
        <v>21</v>
      </c>
    </row>
    <row r="226" spans="1:10" x14ac:dyDescent="0.25">
      <c r="A226" s="1">
        <v>17</v>
      </c>
      <c r="B226" t="s">
        <v>19</v>
      </c>
      <c r="C226">
        <v>700</v>
      </c>
      <c r="D226">
        <v>0</v>
      </c>
      <c r="E226" t="s">
        <v>20</v>
      </c>
      <c r="F226" t="s">
        <v>20</v>
      </c>
      <c r="G226" t="str">
        <f>"2026-06-23 22:27:15.584"</f>
        <v>2026-06-23 22:27:15.584</v>
      </c>
      <c r="H226" t="s">
        <v>21</v>
      </c>
    </row>
    <row r="227" spans="1:10" x14ac:dyDescent="0.25">
      <c r="A227" s="1">
        <v>18</v>
      </c>
      <c r="B227" t="s">
        <v>19</v>
      </c>
      <c r="C227">
        <v>700</v>
      </c>
      <c r="D227">
        <v>0</v>
      </c>
      <c r="E227" t="s">
        <v>20</v>
      </c>
      <c r="F227" t="s">
        <v>20</v>
      </c>
      <c r="G227" t="str">
        <f>"2026-06-23 22:07:10.604"</f>
        <v>2026-06-23 22:07:10.604</v>
      </c>
      <c r="H227" t="s">
        <v>21</v>
      </c>
    </row>
    <row r="228" spans="1:10" s="3" customFormat="1" x14ac:dyDescent="0.25">
      <c r="A228" s="2">
        <v>19</v>
      </c>
      <c r="B228" s="3" t="s">
        <v>26</v>
      </c>
      <c r="C228" s="3">
        <v>647</v>
      </c>
      <c r="D228" s="3">
        <v>1</v>
      </c>
      <c r="E228" s="3" t="s">
        <v>36</v>
      </c>
      <c r="F228" s="3" t="s">
        <v>37</v>
      </c>
      <c r="G228" s="3" t="str">
        <f>"2026-06-23 20:35:24.385"</f>
        <v>2026-06-23 20:35:24.385</v>
      </c>
      <c r="H228" s="3" t="s">
        <v>21</v>
      </c>
    </row>
    <row r="229" spans="1:10" s="3" customFormat="1" x14ac:dyDescent="0.25">
      <c r="A229" s="2">
        <v>20</v>
      </c>
      <c r="B229" s="3" t="s">
        <v>34</v>
      </c>
      <c r="C229" s="3">
        <v>647</v>
      </c>
      <c r="D229" s="3">
        <v>1</v>
      </c>
      <c r="E229" s="3" t="s">
        <v>36</v>
      </c>
      <c r="F229" s="3" t="s">
        <v>37</v>
      </c>
      <c r="G229" s="3" t="str">
        <f>"2026-06-23 20:35:16.285"</f>
        <v>2026-06-23 20:35:16.285</v>
      </c>
      <c r="H229" s="3" t="s">
        <v>21</v>
      </c>
      <c r="I229" s="3">
        <v>9.69</v>
      </c>
      <c r="J229" s="3" t="s">
        <v>38</v>
      </c>
    </row>
    <row r="230" spans="1:10" x14ac:dyDescent="0.25">
      <c r="A230" s="1">
        <v>21</v>
      </c>
      <c r="B230" t="s">
        <v>26</v>
      </c>
      <c r="C230">
        <v>630</v>
      </c>
      <c r="D230">
        <v>5</v>
      </c>
      <c r="E230" t="s">
        <v>27</v>
      </c>
      <c r="F230" t="s">
        <v>28</v>
      </c>
      <c r="G230" t="str">
        <f>"2026-06-23 14:41:58.485"</f>
        <v>2026-06-23 14:41:58.485</v>
      </c>
      <c r="H230" t="s">
        <v>29</v>
      </c>
    </row>
    <row r="231" spans="1:10" x14ac:dyDescent="0.25">
      <c r="A231" s="1">
        <v>22</v>
      </c>
      <c r="B231" t="s">
        <v>19</v>
      </c>
      <c r="C231">
        <v>706</v>
      </c>
      <c r="D231">
        <v>2</v>
      </c>
      <c r="E231" t="s">
        <v>23</v>
      </c>
      <c r="F231" t="s">
        <v>24</v>
      </c>
      <c r="G231" t="str">
        <f>"2026-06-23 14:41:28.351"</f>
        <v>2026-06-23 14:41:28.351</v>
      </c>
      <c r="H231" t="s">
        <v>21</v>
      </c>
      <c r="I231">
        <v>0</v>
      </c>
      <c r="J231" t="s">
        <v>25</v>
      </c>
    </row>
    <row r="232" spans="1:10" x14ac:dyDescent="0.25">
      <c r="A232" s="1">
        <v>23</v>
      </c>
      <c r="B232" t="s">
        <v>31</v>
      </c>
      <c r="C232">
        <v>630</v>
      </c>
      <c r="D232">
        <v>5</v>
      </c>
      <c r="E232" t="s">
        <v>27</v>
      </c>
      <c r="F232" t="s">
        <v>28</v>
      </c>
      <c r="G232" t="str">
        <f>"2026-06-23 14:38:02.984"</f>
        <v>2026-06-23 14:38:02.984</v>
      </c>
      <c r="H232" t="s">
        <v>29</v>
      </c>
      <c r="I232">
        <v>0</v>
      </c>
      <c r="J232" t="s">
        <v>25</v>
      </c>
    </row>
    <row r="233" spans="1:10" x14ac:dyDescent="0.25">
      <c r="A233" s="1">
        <v>24</v>
      </c>
      <c r="B233" t="s">
        <v>26</v>
      </c>
      <c r="C233">
        <v>635</v>
      </c>
      <c r="D233">
        <v>1</v>
      </c>
      <c r="E233" t="s">
        <v>32</v>
      </c>
      <c r="F233" t="s">
        <v>33</v>
      </c>
      <c r="G233" t="str">
        <f>"2026-06-23 13:57:30.384"</f>
        <v>2026-06-23 13:57:30.384</v>
      </c>
      <c r="H233" t="s">
        <v>21</v>
      </c>
    </row>
    <row r="234" spans="1:10" x14ac:dyDescent="0.25">
      <c r="A234" s="1">
        <v>25</v>
      </c>
      <c r="B234" t="s">
        <v>34</v>
      </c>
      <c r="C234">
        <v>635</v>
      </c>
      <c r="D234">
        <v>1</v>
      </c>
      <c r="E234" t="s">
        <v>32</v>
      </c>
      <c r="F234" t="s">
        <v>33</v>
      </c>
      <c r="G234" t="str">
        <f>"2026-06-23 13:54:42.384"</f>
        <v>2026-06-23 13:54:42.384</v>
      </c>
      <c r="H234" t="s">
        <v>21</v>
      </c>
      <c r="I234">
        <v>3.46</v>
      </c>
      <c r="J234" t="s">
        <v>35</v>
      </c>
    </row>
    <row r="235" spans="1:10" x14ac:dyDescent="0.25">
      <c r="A235" s="1">
        <v>26</v>
      </c>
      <c r="B235" t="s">
        <v>19</v>
      </c>
      <c r="C235">
        <v>700</v>
      </c>
      <c r="D235">
        <v>0</v>
      </c>
      <c r="E235" t="s">
        <v>20</v>
      </c>
      <c r="F235" t="s">
        <v>20</v>
      </c>
      <c r="G235" t="str">
        <f>"2026-06-23 13:14:50.581"</f>
        <v>2026-06-23 13:14:50.581</v>
      </c>
      <c r="H235" t="s">
        <v>21</v>
      </c>
      <c r="I235">
        <v>0</v>
      </c>
      <c r="J235" t="s">
        <v>22</v>
      </c>
    </row>
    <row r="236" spans="1:10" x14ac:dyDescent="0.25">
      <c r="A236" s="1">
        <v>27</v>
      </c>
      <c r="B236" t="s">
        <v>19</v>
      </c>
      <c r="C236">
        <v>706</v>
      </c>
      <c r="D236">
        <v>4</v>
      </c>
      <c r="E236" t="s">
        <v>23</v>
      </c>
      <c r="F236" t="s">
        <v>30</v>
      </c>
      <c r="G236" t="str">
        <f>"2026-06-23 13:05:23.046"</f>
        <v>2026-06-23 13:05:23.046</v>
      </c>
      <c r="H236" t="s">
        <v>21</v>
      </c>
      <c r="I236">
        <v>0</v>
      </c>
      <c r="J236" t="s">
        <v>25</v>
      </c>
    </row>
    <row r="237" spans="1:10" x14ac:dyDescent="0.25">
      <c r="A237" s="1">
        <v>28</v>
      </c>
      <c r="B237" t="s">
        <v>19</v>
      </c>
      <c r="C237">
        <v>700</v>
      </c>
      <c r="D237">
        <v>0</v>
      </c>
      <c r="E237" t="s">
        <v>20</v>
      </c>
      <c r="F237" t="s">
        <v>20</v>
      </c>
      <c r="G237" t="str">
        <f>"2026-06-23 13:04:26.576"</f>
        <v>2026-06-23 13:04:26.576</v>
      </c>
      <c r="H237" t="s">
        <v>21</v>
      </c>
      <c r="I237">
        <v>0</v>
      </c>
      <c r="J237" t="s">
        <v>22</v>
      </c>
    </row>
    <row r="238" spans="1:10" x14ac:dyDescent="0.25">
      <c r="A238" s="1">
        <v>29</v>
      </c>
      <c r="B238" t="s">
        <v>31</v>
      </c>
      <c r="C238">
        <v>630</v>
      </c>
      <c r="D238">
        <v>5</v>
      </c>
      <c r="E238" t="s">
        <v>27</v>
      </c>
      <c r="F238" t="s">
        <v>28</v>
      </c>
      <c r="G238" t="str">
        <f>"2026-06-23 12:55:51.487"</f>
        <v>2026-06-23 12:55:51.487</v>
      </c>
      <c r="H238" t="s">
        <v>29</v>
      </c>
      <c r="I238">
        <v>0</v>
      </c>
      <c r="J238" t="s">
        <v>25</v>
      </c>
    </row>
    <row r="239" spans="1:10" x14ac:dyDescent="0.25">
      <c r="A239" s="1">
        <v>30</v>
      </c>
      <c r="B239" t="s">
        <v>26</v>
      </c>
      <c r="C239">
        <v>630</v>
      </c>
      <c r="D239">
        <v>5</v>
      </c>
      <c r="E239" t="s">
        <v>27</v>
      </c>
      <c r="F239" t="s">
        <v>28</v>
      </c>
      <c r="G239" t="str">
        <f>"2026-06-23 09:29:52.687"</f>
        <v>2026-06-23 09:29:52.687</v>
      </c>
      <c r="H239" t="s">
        <v>29</v>
      </c>
    </row>
    <row r="240" spans="1:10" x14ac:dyDescent="0.25">
      <c r="A240" s="1">
        <v>31</v>
      </c>
      <c r="B240" t="s">
        <v>19</v>
      </c>
      <c r="C240">
        <v>706</v>
      </c>
      <c r="D240">
        <v>2</v>
      </c>
      <c r="E240" t="s">
        <v>23</v>
      </c>
      <c r="F240" t="s">
        <v>24</v>
      </c>
      <c r="G240" t="str">
        <f>"2026-06-23 09:29:22.554"</f>
        <v>2026-06-23 09:29:22.554</v>
      </c>
      <c r="H240" t="s">
        <v>21</v>
      </c>
      <c r="I240">
        <v>0</v>
      </c>
      <c r="J240" t="s">
        <v>25</v>
      </c>
    </row>
    <row r="241" spans="1:10" x14ac:dyDescent="0.25">
      <c r="A241" s="1">
        <v>32</v>
      </c>
      <c r="B241" t="s">
        <v>31</v>
      </c>
      <c r="C241">
        <v>630</v>
      </c>
      <c r="D241">
        <v>5</v>
      </c>
      <c r="E241" t="s">
        <v>27</v>
      </c>
      <c r="F241" t="s">
        <v>28</v>
      </c>
      <c r="G241" t="str">
        <f>"2026-06-23 09:21:14.987"</f>
        <v>2026-06-23 09:21:14.987</v>
      </c>
      <c r="H241" t="s">
        <v>29</v>
      </c>
      <c r="I241">
        <v>0</v>
      </c>
      <c r="J241" t="s">
        <v>25</v>
      </c>
    </row>
    <row r="242" spans="1:10" s="3" customFormat="1" x14ac:dyDescent="0.25">
      <c r="A242" s="2">
        <v>33</v>
      </c>
      <c r="B242" s="3" t="s">
        <v>26</v>
      </c>
      <c r="C242" s="3">
        <v>647</v>
      </c>
      <c r="D242" s="3">
        <v>1</v>
      </c>
      <c r="E242" s="3" t="s">
        <v>36</v>
      </c>
      <c r="F242" s="3" t="s">
        <v>37</v>
      </c>
      <c r="G242" s="3" t="str">
        <f>"2026-06-23 05:02:36.487"</f>
        <v>2026-06-23 05:02:36.487</v>
      </c>
      <c r="H242" s="3" t="s">
        <v>21</v>
      </c>
    </row>
    <row r="243" spans="1:10" s="3" customFormat="1" x14ac:dyDescent="0.25">
      <c r="A243" s="2">
        <v>34</v>
      </c>
      <c r="B243" s="3" t="s">
        <v>34</v>
      </c>
      <c r="C243" s="3">
        <v>647</v>
      </c>
      <c r="D243" s="3">
        <v>1</v>
      </c>
      <c r="E243" s="3" t="s">
        <v>36</v>
      </c>
      <c r="F243" s="3" t="s">
        <v>37</v>
      </c>
      <c r="G243" s="3" t="str">
        <f>"2026-06-23 05:01:55.887"</f>
        <v>2026-06-23 05:01:55.887</v>
      </c>
      <c r="H243" s="3" t="s">
        <v>21</v>
      </c>
      <c r="I243" s="3">
        <v>9.39</v>
      </c>
      <c r="J243" s="3" t="s">
        <v>38</v>
      </c>
    </row>
    <row r="244" spans="1:10" s="3" customFormat="1" x14ac:dyDescent="0.25">
      <c r="A244" s="2">
        <v>35</v>
      </c>
      <c r="B244" s="3" t="s">
        <v>26</v>
      </c>
      <c r="C244" s="3">
        <v>647</v>
      </c>
      <c r="D244" s="3">
        <v>1</v>
      </c>
      <c r="E244" s="3" t="s">
        <v>36</v>
      </c>
      <c r="F244" s="3" t="s">
        <v>37</v>
      </c>
      <c r="G244" s="3" t="str">
        <f>"2026-06-23 04:22:08.287"</f>
        <v>2026-06-23 04:22:08.287</v>
      </c>
      <c r="H244" s="3" t="s">
        <v>21</v>
      </c>
    </row>
    <row r="245" spans="1:10" s="3" customFormat="1" x14ac:dyDescent="0.25">
      <c r="A245" s="2">
        <v>36</v>
      </c>
      <c r="B245" s="3" t="s">
        <v>34</v>
      </c>
      <c r="C245" s="3">
        <v>647</v>
      </c>
      <c r="D245" s="3">
        <v>1</v>
      </c>
      <c r="E245" s="3" t="s">
        <v>36</v>
      </c>
      <c r="F245" s="3" t="s">
        <v>37</v>
      </c>
      <c r="G245" s="3" t="str">
        <f>"2026-06-23 04:22:05.587"</f>
        <v>2026-06-23 04:22:05.587</v>
      </c>
      <c r="H245" s="3" t="s">
        <v>21</v>
      </c>
      <c r="I245" s="3">
        <v>9</v>
      </c>
      <c r="J245" s="3" t="s">
        <v>38</v>
      </c>
    </row>
    <row r="246" spans="1:10" x14ac:dyDescent="0.25">
      <c r="A246" s="1">
        <v>37</v>
      </c>
      <c r="B246" t="s">
        <v>19</v>
      </c>
      <c r="C246">
        <v>700</v>
      </c>
      <c r="D246">
        <v>0</v>
      </c>
      <c r="E246" t="s">
        <v>20</v>
      </c>
      <c r="F246" t="s">
        <v>20</v>
      </c>
      <c r="G246" t="str">
        <f>"2026-06-23 01:29:02.564"</f>
        <v>2026-06-23 01:29:02.564</v>
      </c>
      <c r="H246" t="s">
        <v>21</v>
      </c>
    </row>
    <row r="247" spans="1:10" x14ac:dyDescent="0.25">
      <c r="A247" s="1">
        <v>38</v>
      </c>
      <c r="B247" t="s">
        <v>26</v>
      </c>
      <c r="C247">
        <v>635</v>
      </c>
      <c r="D247">
        <v>1</v>
      </c>
      <c r="E247" t="s">
        <v>32</v>
      </c>
      <c r="F247" t="s">
        <v>33</v>
      </c>
      <c r="G247" t="str">
        <f>"2026-06-22 20:23:47.789"</f>
        <v>2026-06-22 20:23:47.789</v>
      </c>
      <c r="H247" t="s">
        <v>21</v>
      </c>
    </row>
    <row r="248" spans="1:10" x14ac:dyDescent="0.25">
      <c r="A248" s="1">
        <v>39</v>
      </c>
      <c r="B248" t="s">
        <v>34</v>
      </c>
      <c r="C248">
        <v>635</v>
      </c>
      <c r="D248">
        <v>1</v>
      </c>
      <c r="E248" t="s">
        <v>32</v>
      </c>
      <c r="F248" t="s">
        <v>33</v>
      </c>
      <c r="G248" t="str">
        <f>"2026-06-22 20:17:40.789"</f>
        <v>2026-06-22 20:17:40.789</v>
      </c>
      <c r="H248" t="s">
        <v>21</v>
      </c>
      <c r="I248">
        <v>3.72</v>
      </c>
      <c r="J248" t="s">
        <v>38</v>
      </c>
    </row>
    <row r="249" spans="1:10" x14ac:dyDescent="0.25">
      <c r="A249" s="1">
        <v>40</v>
      </c>
      <c r="B249" t="s">
        <v>26</v>
      </c>
      <c r="C249">
        <v>630</v>
      </c>
      <c r="D249">
        <v>5</v>
      </c>
      <c r="E249" t="s">
        <v>27</v>
      </c>
      <c r="F249" t="s">
        <v>28</v>
      </c>
      <c r="G249" t="str">
        <f>"2026-06-22 10:18:45.790"</f>
        <v>2026-06-22 10:18:45.790</v>
      </c>
      <c r="H249" t="s">
        <v>29</v>
      </c>
    </row>
    <row r="250" spans="1:10" x14ac:dyDescent="0.25">
      <c r="A250" s="1">
        <v>41</v>
      </c>
      <c r="B250" t="s">
        <v>19</v>
      </c>
      <c r="C250">
        <v>706</v>
      </c>
      <c r="D250">
        <v>4</v>
      </c>
      <c r="E250" t="s">
        <v>23</v>
      </c>
      <c r="F250" t="s">
        <v>30</v>
      </c>
      <c r="G250" t="str">
        <f>"2026-06-22 10:18:15.744"</f>
        <v>2026-06-22 10:18:15.744</v>
      </c>
      <c r="H250" t="s">
        <v>21</v>
      </c>
      <c r="I250">
        <v>0</v>
      </c>
      <c r="J250" t="s">
        <v>25</v>
      </c>
    </row>
    <row r="251" spans="1:10" x14ac:dyDescent="0.25">
      <c r="A251" s="1">
        <v>42</v>
      </c>
      <c r="B251" t="s">
        <v>31</v>
      </c>
      <c r="C251">
        <v>630</v>
      </c>
      <c r="D251">
        <v>5</v>
      </c>
      <c r="E251" t="s">
        <v>27</v>
      </c>
      <c r="F251" t="s">
        <v>28</v>
      </c>
      <c r="G251" t="str">
        <f>"2026-06-22 10:12:46.490"</f>
        <v>2026-06-22 10:12:46.490</v>
      </c>
      <c r="H251" t="s">
        <v>29</v>
      </c>
      <c r="I251">
        <v>0</v>
      </c>
      <c r="J251" t="s">
        <v>25</v>
      </c>
    </row>
    <row r="252" spans="1:10" s="3" customFormat="1" x14ac:dyDescent="0.25">
      <c r="A252" s="2">
        <v>43</v>
      </c>
      <c r="B252" s="3" t="s">
        <v>26</v>
      </c>
      <c r="C252" s="3">
        <v>647</v>
      </c>
      <c r="D252" s="3">
        <v>1</v>
      </c>
      <c r="E252" s="3" t="s">
        <v>36</v>
      </c>
      <c r="F252" s="3" t="s">
        <v>37</v>
      </c>
      <c r="G252" s="3" t="str">
        <f>"2026-06-21 19:51:35.690"</f>
        <v>2026-06-21 19:51:35.690</v>
      </c>
      <c r="H252" s="3" t="s">
        <v>21</v>
      </c>
    </row>
    <row r="253" spans="1:10" s="3" customFormat="1" x14ac:dyDescent="0.25">
      <c r="A253" s="2">
        <v>44</v>
      </c>
      <c r="B253" s="3" t="s">
        <v>34</v>
      </c>
      <c r="C253" s="3">
        <v>647</v>
      </c>
      <c r="D253" s="3">
        <v>1</v>
      </c>
      <c r="E253" s="3" t="s">
        <v>36</v>
      </c>
      <c r="F253" s="3" t="s">
        <v>37</v>
      </c>
      <c r="G253" s="3" t="str">
        <f>"2026-06-21 19:51:27.990"</f>
        <v>2026-06-21 19:51:27.990</v>
      </c>
      <c r="H253" s="3" t="s">
        <v>21</v>
      </c>
      <c r="I253" s="3">
        <v>10.33</v>
      </c>
      <c r="J253" s="3" t="s">
        <v>38</v>
      </c>
    </row>
    <row r="254" spans="1:10" x14ac:dyDescent="0.25">
      <c r="A254" s="1">
        <v>45</v>
      </c>
      <c r="B254" t="s">
        <v>26</v>
      </c>
      <c r="C254">
        <v>630</v>
      </c>
      <c r="D254">
        <v>5</v>
      </c>
      <c r="E254" t="s">
        <v>27</v>
      </c>
      <c r="F254" t="s">
        <v>28</v>
      </c>
      <c r="G254" t="str">
        <f>"2026-06-21 14:01:30.390"</f>
        <v>2026-06-21 14:01:30.390</v>
      </c>
      <c r="H254" t="s">
        <v>29</v>
      </c>
    </row>
    <row r="255" spans="1:10" x14ac:dyDescent="0.25">
      <c r="A255" s="1">
        <v>46</v>
      </c>
      <c r="B255" t="s">
        <v>19</v>
      </c>
      <c r="C255">
        <v>706</v>
      </c>
      <c r="D255">
        <v>4</v>
      </c>
      <c r="E255" t="s">
        <v>23</v>
      </c>
      <c r="F255" t="s">
        <v>30</v>
      </c>
      <c r="G255" t="str">
        <f>"2026-06-21 14:01:00.434"</f>
        <v>2026-06-21 14:01:00.434</v>
      </c>
      <c r="H255" t="s">
        <v>21</v>
      </c>
      <c r="I255">
        <v>0</v>
      </c>
      <c r="J255" t="s">
        <v>25</v>
      </c>
    </row>
    <row r="256" spans="1:10" x14ac:dyDescent="0.25">
      <c r="A256" s="1">
        <v>47</v>
      </c>
      <c r="B256" t="s">
        <v>31</v>
      </c>
      <c r="C256">
        <v>630</v>
      </c>
      <c r="D256">
        <v>5</v>
      </c>
      <c r="E256" t="s">
        <v>27</v>
      </c>
      <c r="F256" t="s">
        <v>28</v>
      </c>
      <c r="G256" t="str">
        <f>"2026-06-21 13:34:04.390"</f>
        <v>2026-06-21 13:34:04.390</v>
      </c>
      <c r="H256" t="s">
        <v>29</v>
      </c>
      <c r="I256">
        <v>0</v>
      </c>
      <c r="J256" t="s">
        <v>25</v>
      </c>
    </row>
    <row r="257" spans="1:10" x14ac:dyDescent="0.25">
      <c r="A257" s="1">
        <v>48</v>
      </c>
      <c r="B257" t="s">
        <v>26</v>
      </c>
      <c r="C257">
        <v>635</v>
      </c>
      <c r="D257">
        <v>1</v>
      </c>
      <c r="E257" t="s">
        <v>32</v>
      </c>
      <c r="F257" t="s">
        <v>33</v>
      </c>
      <c r="G257" t="str">
        <f>"2026-06-21 12:40:19.689"</f>
        <v>2026-06-21 12:40:19.689</v>
      </c>
      <c r="H257" t="s">
        <v>21</v>
      </c>
    </row>
    <row r="258" spans="1:10" x14ac:dyDescent="0.25">
      <c r="A258" s="1">
        <v>49</v>
      </c>
      <c r="B258" t="s">
        <v>34</v>
      </c>
      <c r="C258">
        <v>635</v>
      </c>
      <c r="D258">
        <v>1</v>
      </c>
      <c r="E258" t="s">
        <v>32</v>
      </c>
      <c r="F258" t="s">
        <v>33</v>
      </c>
      <c r="G258" t="str">
        <f>"2026-06-21 12:34:22.189"</f>
        <v>2026-06-21 12:34:22.189</v>
      </c>
      <c r="H258" t="s">
        <v>21</v>
      </c>
      <c r="I258">
        <v>2.31</v>
      </c>
      <c r="J258" t="s">
        <v>40</v>
      </c>
    </row>
    <row r="259" spans="1:10" x14ac:dyDescent="0.25">
      <c r="A259" s="1">
        <v>50</v>
      </c>
      <c r="B259" t="s">
        <v>26</v>
      </c>
      <c r="C259">
        <v>630</v>
      </c>
      <c r="D259">
        <v>5</v>
      </c>
      <c r="E259" t="s">
        <v>27</v>
      </c>
      <c r="F259" t="s">
        <v>28</v>
      </c>
      <c r="G259" t="str">
        <f>"2026-06-21 09:08:21.190"</f>
        <v>2026-06-21 09:08:21.190</v>
      </c>
      <c r="H259" t="s">
        <v>29</v>
      </c>
    </row>
    <row r="260" spans="1:10" x14ac:dyDescent="0.25">
      <c r="A260" s="1">
        <v>51</v>
      </c>
      <c r="B260" t="s">
        <v>19</v>
      </c>
      <c r="C260">
        <v>706</v>
      </c>
      <c r="D260">
        <v>2</v>
      </c>
      <c r="E260" t="s">
        <v>23</v>
      </c>
      <c r="F260" t="s">
        <v>24</v>
      </c>
      <c r="G260" t="str">
        <f>"2026-06-21 09:07:51.074"</f>
        <v>2026-06-21 09:07:51.074</v>
      </c>
      <c r="H260" t="s">
        <v>21</v>
      </c>
      <c r="I260">
        <v>0</v>
      </c>
      <c r="J260" t="s">
        <v>25</v>
      </c>
    </row>
    <row r="261" spans="1:10" x14ac:dyDescent="0.25">
      <c r="A261" s="1">
        <v>52</v>
      </c>
      <c r="B261" t="s">
        <v>31</v>
      </c>
      <c r="C261">
        <v>630</v>
      </c>
      <c r="D261">
        <v>5</v>
      </c>
      <c r="E261" t="s">
        <v>27</v>
      </c>
      <c r="F261" t="s">
        <v>28</v>
      </c>
      <c r="G261" t="str">
        <f>"2026-06-21 09:02:49.490"</f>
        <v>2026-06-21 09:02:49.490</v>
      </c>
      <c r="H261" t="s">
        <v>29</v>
      </c>
      <c r="I261">
        <v>0</v>
      </c>
      <c r="J261" t="s">
        <v>25</v>
      </c>
    </row>
    <row r="262" spans="1:10" x14ac:dyDescent="0.25">
      <c r="A262" s="1">
        <v>53</v>
      </c>
      <c r="B262" t="s">
        <v>26</v>
      </c>
      <c r="C262">
        <v>635</v>
      </c>
      <c r="D262">
        <v>1</v>
      </c>
      <c r="E262" t="s">
        <v>32</v>
      </c>
      <c r="F262" t="s">
        <v>33</v>
      </c>
      <c r="G262" t="str">
        <f>"2026-06-21 07:07:31.889"</f>
        <v>2026-06-21 07:07:31.889</v>
      </c>
      <c r="H262" t="s">
        <v>21</v>
      </c>
    </row>
    <row r="263" spans="1:10" x14ac:dyDescent="0.25">
      <c r="A263" s="1">
        <v>54</v>
      </c>
      <c r="B263" t="s">
        <v>34</v>
      </c>
      <c r="C263">
        <v>635</v>
      </c>
      <c r="D263">
        <v>1</v>
      </c>
      <c r="E263" t="s">
        <v>32</v>
      </c>
      <c r="F263" t="s">
        <v>33</v>
      </c>
      <c r="G263" t="str">
        <f>"2026-06-21 07:04:32.889"</f>
        <v>2026-06-21 07:04:32.889</v>
      </c>
      <c r="H263" t="s">
        <v>21</v>
      </c>
      <c r="I263">
        <v>1.77</v>
      </c>
      <c r="J263" t="s">
        <v>38</v>
      </c>
    </row>
    <row r="264" spans="1:10" x14ac:dyDescent="0.25">
      <c r="A264" s="1">
        <v>55</v>
      </c>
      <c r="B264" t="s">
        <v>26</v>
      </c>
      <c r="C264">
        <v>635</v>
      </c>
      <c r="D264">
        <v>1</v>
      </c>
      <c r="E264" t="s">
        <v>32</v>
      </c>
      <c r="F264" t="s">
        <v>33</v>
      </c>
      <c r="G264" t="str">
        <f>"2026-06-20 16:48:46.589"</f>
        <v>2026-06-20 16:48:46.589</v>
      </c>
      <c r="H264" t="s">
        <v>21</v>
      </c>
    </row>
    <row r="265" spans="1:10" x14ac:dyDescent="0.25">
      <c r="A265" s="1">
        <v>56</v>
      </c>
      <c r="B265" t="s">
        <v>34</v>
      </c>
      <c r="C265">
        <v>635</v>
      </c>
      <c r="D265">
        <v>1</v>
      </c>
      <c r="E265" t="s">
        <v>32</v>
      </c>
      <c r="F265" t="s">
        <v>33</v>
      </c>
      <c r="G265" t="str">
        <f>"2026-06-20 16:45:37.089"</f>
        <v>2026-06-20 16:45:37.089</v>
      </c>
      <c r="H265" t="s">
        <v>21</v>
      </c>
      <c r="I265">
        <v>0.01</v>
      </c>
      <c r="J265" t="s">
        <v>40</v>
      </c>
    </row>
    <row r="266" spans="1:10" x14ac:dyDescent="0.25">
      <c r="A266" s="1">
        <v>57</v>
      </c>
      <c r="B266" t="s">
        <v>26</v>
      </c>
      <c r="C266">
        <v>630</v>
      </c>
      <c r="D266">
        <v>5</v>
      </c>
      <c r="E266" t="s">
        <v>27</v>
      </c>
      <c r="F266" t="s">
        <v>28</v>
      </c>
      <c r="G266" t="str">
        <f>"2026-06-20 13:32:23.190"</f>
        <v>2026-06-20 13:32:23.190</v>
      </c>
      <c r="H266" t="s">
        <v>29</v>
      </c>
    </row>
    <row r="267" spans="1:10" x14ac:dyDescent="0.25">
      <c r="A267" s="1">
        <v>58</v>
      </c>
      <c r="B267" t="s">
        <v>19</v>
      </c>
      <c r="C267">
        <v>706</v>
      </c>
      <c r="D267">
        <v>2</v>
      </c>
      <c r="E267" t="s">
        <v>23</v>
      </c>
      <c r="F267" t="s">
        <v>24</v>
      </c>
      <c r="G267" t="str">
        <f>"2026-06-20 13:31:53.074"</f>
        <v>2026-06-20 13:31:53.074</v>
      </c>
      <c r="H267" t="s">
        <v>21</v>
      </c>
      <c r="I267">
        <v>0</v>
      </c>
      <c r="J267" t="s">
        <v>25</v>
      </c>
    </row>
    <row r="268" spans="1:10" x14ac:dyDescent="0.25">
      <c r="A268" s="1">
        <v>59</v>
      </c>
      <c r="B268" t="s">
        <v>31</v>
      </c>
      <c r="C268">
        <v>630</v>
      </c>
      <c r="D268">
        <v>5</v>
      </c>
      <c r="E268" t="s">
        <v>27</v>
      </c>
      <c r="F268" t="s">
        <v>28</v>
      </c>
      <c r="G268" t="str">
        <f>"2026-06-20 12:48:54.590"</f>
        <v>2026-06-20 12:48:54.590</v>
      </c>
      <c r="H268" t="s">
        <v>29</v>
      </c>
      <c r="I268">
        <v>0</v>
      </c>
      <c r="J268" t="s">
        <v>25</v>
      </c>
    </row>
    <row r="269" spans="1:10" s="3" customFormat="1" x14ac:dyDescent="0.25">
      <c r="A269" s="2">
        <v>60</v>
      </c>
      <c r="B269" s="3" t="s">
        <v>26</v>
      </c>
      <c r="C269" s="3">
        <v>647</v>
      </c>
      <c r="D269" s="3">
        <v>1</v>
      </c>
      <c r="E269" s="3" t="s">
        <v>36</v>
      </c>
      <c r="F269" s="3" t="s">
        <v>37</v>
      </c>
      <c r="G269" s="3" t="str">
        <f>"2026-06-20 07:22:33.090"</f>
        <v>2026-06-20 07:22:33.090</v>
      </c>
      <c r="H269" s="3" t="s">
        <v>21</v>
      </c>
    </row>
    <row r="270" spans="1:10" s="3" customFormat="1" x14ac:dyDescent="0.25">
      <c r="A270" s="2">
        <v>61</v>
      </c>
      <c r="B270" s="3" t="s">
        <v>34</v>
      </c>
      <c r="C270" s="3">
        <v>647</v>
      </c>
      <c r="D270" s="3">
        <v>1</v>
      </c>
      <c r="E270" s="3" t="s">
        <v>36</v>
      </c>
      <c r="F270" s="3" t="s">
        <v>37</v>
      </c>
      <c r="G270" s="3" t="str">
        <f>"2026-06-20 07:22:28.090"</f>
        <v>2026-06-20 07:22:28.090</v>
      </c>
      <c r="H270" s="3" t="s">
        <v>21</v>
      </c>
      <c r="I270" s="3">
        <v>9.15</v>
      </c>
      <c r="J270" s="3" t="s">
        <v>38</v>
      </c>
    </row>
    <row r="271" spans="1:10" x14ac:dyDescent="0.25">
      <c r="A271" s="1">
        <v>62</v>
      </c>
      <c r="B271" t="s">
        <v>26</v>
      </c>
      <c r="C271">
        <v>635</v>
      </c>
      <c r="D271">
        <v>1</v>
      </c>
      <c r="E271" t="s">
        <v>32</v>
      </c>
      <c r="F271" t="s">
        <v>33</v>
      </c>
      <c r="G271" t="str">
        <f>"2026-06-20 07:22:26.289"</f>
        <v>2026-06-20 07:22:26.289</v>
      </c>
      <c r="H271" t="s">
        <v>21</v>
      </c>
    </row>
    <row r="272" spans="1:10" x14ac:dyDescent="0.25">
      <c r="A272" s="1">
        <v>63</v>
      </c>
      <c r="B272" t="s">
        <v>34</v>
      </c>
      <c r="C272">
        <v>635</v>
      </c>
      <c r="D272">
        <v>1</v>
      </c>
      <c r="E272" t="s">
        <v>32</v>
      </c>
      <c r="F272" t="s">
        <v>33</v>
      </c>
      <c r="G272" t="str">
        <f>"2026-06-20 07:19:24.789"</f>
        <v>2026-06-20 07:19:24.789</v>
      </c>
      <c r="H272" t="s">
        <v>21</v>
      </c>
      <c r="I272">
        <v>-4.51</v>
      </c>
      <c r="J272" t="s">
        <v>35</v>
      </c>
    </row>
    <row r="273" spans="1:10" x14ac:dyDescent="0.25">
      <c r="A273" s="1">
        <v>64</v>
      </c>
      <c r="B273" t="s">
        <v>26</v>
      </c>
      <c r="C273">
        <v>635</v>
      </c>
      <c r="D273">
        <v>1</v>
      </c>
      <c r="E273" t="s">
        <v>32</v>
      </c>
      <c r="F273" t="s">
        <v>33</v>
      </c>
      <c r="G273" t="str">
        <f>"2026-06-20 07:18:29.789"</f>
        <v>2026-06-20 07:18:29.789</v>
      </c>
      <c r="H273" t="s">
        <v>21</v>
      </c>
    </row>
    <row r="274" spans="1:10" x14ac:dyDescent="0.25">
      <c r="A274" s="1">
        <v>65</v>
      </c>
      <c r="B274" t="s">
        <v>34</v>
      </c>
      <c r="C274">
        <v>635</v>
      </c>
      <c r="D274">
        <v>1</v>
      </c>
      <c r="E274" t="s">
        <v>32</v>
      </c>
      <c r="F274" t="s">
        <v>33</v>
      </c>
      <c r="G274" t="str">
        <f>"2026-06-20 07:17:22.289"</f>
        <v>2026-06-20 07:17:22.289</v>
      </c>
      <c r="H274" t="s">
        <v>21</v>
      </c>
      <c r="I274">
        <v>0</v>
      </c>
      <c r="J274" t="s">
        <v>40</v>
      </c>
    </row>
    <row r="275" spans="1:10" x14ac:dyDescent="0.25">
      <c r="A275" s="1">
        <v>66</v>
      </c>
      <c r="B275" t="s">
        <v>19</v>
      </c>
      <c r="C275">
        <v>700</v>
      </c>
      <c r="D275">
        <v>0</v>
      </c>
      <c r="E275" t="s">
        <v>20</v>
      </c>
      <c r="F275" t="s">
        <v>20</v>
      </c>
      <c r="G275" t="str">
        <f>"2026-06-20 01:36:44.554"</f>
        <v>2026-06-20 01:36:44.554</v>
      </c>
      <c r="H275" t="s">
        <v>21</v>
      </c>
    </row>
    <row r="276" spans="1:10" x14ac:dyDescent="0.25">
      <c r="A276" s="1">
        <v>67</v>
      </c>
      <c r="B276" t="s">
        <v>26</v>
      </c>
      <c r="C276">
        <v>630</v>
      </c>
      <c r="D276">
        <v>5</v>
      </c>
      <c r="E276" t="s">
        <v>27</v>
      </c>
      <c r="F276" t="s">
        <v>28</v>
      </c>
      <c r="G276" t="str">
        <f>"2026-06-19 13:45:16.450"</f>
        <v>2026-06-19 13:45:16.450</v>
      </c>
      <c r="H276" t="s">
        <v>29</v>
      </c>
    </row>
    <row r="277" spans="1:10" x14ac:dyDescent="0.25">
      <c r="A277" s="1">
        <v>68</v>
      </c>
      <c r="B277" t="s">
        <v>19</v>
      </c>
      <c r="C277">
        <v>706</v>
      </c>
      <c r="D277">
        <v>4</v>
      </c>
      <c r="E277" t="s">
        <v>23</v>
      </c>
      <c r="F277" t="s">
        <v>30</v>
      </c>
      <c r="G277" t="str">
        <f>"2026-06-19 13:44:46.366"</f>
        <v>2026-06-19 13:44:46.366</v>
      </c>
      <c r="H277" t="s">
        <v>21</v>
      </c>
      <c r="I277">
        <v>0</v>
      </c>
      <c r="J277" t="s">
        <v>25</v>
      </c>
    </row>
    <row r="278" spans="1:10" x14ac:dyDescent="0.25">
      <c r="A278" s="1">
        <v>69</v>
      </c>
      <c r="B278" t="s">
        <v>31</v>
      </c>
      <c r="C278">
        <v>630</v>
      </c>
      <c r="D278">
        <v>5</v>
      </c>
      <c r="E278" t="s">
        <v>27</v>
      </c>
      <c r="F278" t="s">
        <v>28</v>
      </c>
      <c r="G278" t="str">
        <f>"2026-06-19 13:24:01.650"</f>
        <v>2026-06-19 13:24:01.650</v>
      </c>
      <c r="H278" t="s">
        <v>29</v>
      </c>
      <c r="I278">
        <v>0</v>
      </c>
      <c r="J278" t="s">
        <v>25</v>
      </c>
    </row>
    <row r="279" spans="1:10" x14ac:dyDescent="0.25">
      <c r="A279" s="1">
        <v>70</v>
      </c>
      <c r="B279" t="s">
        <v>26</v>
      </c>
      <c r="C279">
        <v>630</v>
      </c>
      <c r="D279">
        <v>5</v>
      </c>
      <c r="E279" t="s">
        <v>27</v>
      </c>
      <c r="F279" t="s">
        <v>28</v>
      </c>
      <c r="G279" t="str">
        <f>"2026-06-19 10:13:08.950"</f>
        <v>2026-06-19 10:13:08.950</v>
      </c>
      <c r="H279" t="s">
        <v>29</v>
      </c>
    </row>
    <row r="280" spans="1:10" x14ac:dyDescent="0.25">
      <c r="A280" s="1">
        <v>71</v>
      </c>
      <c r="B280" t="s">
        <v>19</v>
      </c>
      <c r="C280">
        <v>706</v>
      </c>
      <c r="D280">
        <v>2</v>
      </c>
      <c r="E280" t="s">
        <v>23</v>
      </c>
      <c r="F280" t="s">
        <v>24</v>
      </c>
      <c r="G280" t="str">
        <f>"2026-06-19 10:12:38.826"</f>
        <v>2026-06-19 10:12:38.826</v>
      </c>
      <c r="H280" t="s">
        <v>21</v>
      </c>
      <c r="I280">
        <v>0</v>
      </c>
      <c r="J280" t="s">
        <v>25</v>
      </c>
    </row>
    <row r="281" spans="1:10" x14ac:dyDescent="0.25">
      <c r="A281" s="1">
        <v>72</v>
      </c>
      <c r="B281" t="s">
        <v>31</v>
      </c>
      <c r="C281">
        <v>630</v>
      </c>
      <c r="D281">
        <v>5</v>
      </c>
      <c r="E281" t="s">
        <v>27</v>
      </c>
      <c r="F281" t="s">
        <v>28</v>
      </c>
      <c r="G281" t="str">
        <f>"2026-06-19 10:07:55.550"</f>
        <v>2026-06-19 10:07:55.550</v>
      </c>
      <c r="H281" t="s">
        <v>29</v>
      </c>
      <c r="I281">
        <v>0</v>
      </c>
      <c r="J281" t="s">
        <v>25</v>
      </c>
    </row>
    <row r="282" spans="1:10" s="3" customFormat="1" x14ac:dyDescent="0.25">
      <c r="A282" s="2">
        <v>73</v>
      </c>
      <c r="B282" s="3" t="s">
        <v>26</v>
      </c>
      <c r="C282" s="3">
        <v>647</v>
      </c>
      <c r="D282" s="3">
        <v>1</v>
      </c>
      <c r="E282" s="3" t="s">
        <v>36</v>
      </c>
      <c r="F282" s="3" t="s">
        <v>37</v>
      </c>
      <c r="G282" s="3" t="str">
        <f>"2026-06-19 05:03:55.550"</f>
        <v>2026-06-19 05:03:55.550</v>
      </c>
      <c r="H282" s="3" t="s">
        <v>21</v>
      </c>
    </row>
    <row r="283" spans="1:10" s="3" customFormat="1" x14ac:dyDescent="0.25">
      <c r="A283" s="2">
        <v>74</v>
      </c>
      <c r="B283" s="3" t="s">
        <v>34</v>
      </c>
      <c r="C283" s="3">
        <v>647</v>
      </c>
      <c r="D283" s="3">
        <v>1</v>
      </c>
      <c r="E283" s="3" t="s">
        <v>36</v>
      </c>
      <c r="F283" s="3" t="s">
        <v>37</v>
      </c>
      <c r="G283" s="3" t="str">
        <f>"2026-06-19 05:03:32.850"</f>
        <v>2026-06-19 05:03:32.850</v>
      </c>
      <c r="H283" s="3" t="s">
        <v>21</v>
      </c>
      <c r="I283" s="3">
        <v>14.91</v>
      </c>
      <c r="J283" s="3" t="s">
        <v>38</v>
      </c>
    </row>
    <row r="284" spans="1:10" s="3" customFormat="1" x14ac:dyDescent="0.25">
      <c r="A284" s="2">
        <v>75</v>
      </c>
      <c r="B284" s="3" t="s">
        <v>26</v>
      </c>
      <c r="C284" s="3">
        <v>647</v>
      </c>
      <c r="D284" s="3">
        <v>1</v>
      </c>
      <c r="E284" s="3" t="s">
        <v>36</v>
      </c>
      <c r="F284" s="3" t="s">
        <v>37</v>
      </c>
      <c r="G284" s="3" t="str">
        <f>"2026-06-19 05:03:22.350"</f>
        <v>2026-06-19 05:03:22.350</v>
      </c>
      <c r="H284" s="3" t="s">
        <v>21</v>
      </c>
    </row>
    <row r="285" spans="1:10" s="3" customFormat="1" x14ac:dyDescent="0.25">
      <c r="A285" s="2">
        <v>76</v>
      </c>
      <c r="B285" s="3" t="s">
        <v>34</v>
      </c>
      <c r="C285" s="3">
        <v>647</v>
      </c>
      <c r="D285" s="3">
        <v>1</v>
      </c>
      <c r="E285" s="3" t="s">
        <v>36</v>
      </c>
      <c r="F285" s="3" t="s">
        <v>37</v>
      </c>
      <c r="G285" s="3" t="str">
        <f>"2026-06-19 05:03:03.650"</f>
        <v>2026-06-19 05:03:03.650</v>
      </c>
      <c r="H285" s="3" t="s">
        <v>21</v>
      </c>
      <c r="I285" s="3">
        <v>15.53</v>
      </c>
      <c r="J285" s="3" t="s">
        <v>38</v>
      </c>
    </row>
    <row r="286" spans="1:10" s="3" customFormat="1" x14ac:dyDescent="0.25">
      <c r="A286" s="2">
        <v>77</v>
      </c>
      <c r="B286" s="3" t="s">
        <v>26</v>
      </c>
      <c r="C286" s="3">
        <v>647</v>
      </c>
      <c r="D286" s="3">
        <v>1</v>
      </c>
      <c r="E286" s="3" t="s">
        <v>36</v>
      </c>
      <c r="F286" s="3" t="s">
        <v>37</v>
      </c>
      <c r="G286" s="3" t="str">
        <f>"2026-06-19 03:03:32.050"</f>
        <v>2026-06-19 03:03:32.050</v>
      </c>
      <c r="H286" s="3" t="s">
        <v>21</v>
      </c>
    </row>
    <row r="287" spans="1:10" s="3" customFormat="1" x14ac:dyDescent="0.25">
      <c r="A287" s="2">
        <v>78</v>
      </c>
      <c r="B287" s="3" t="s">
        <v>34</v>
      </c>
      <c r="C287" s="3">
        <v>647</v>
      </c>
      <c r="D287" s="3">
        <v>1</v>
      </c>
      <c r="E287" s="3" t="s">
        <v>36</v>
      </c>
      <c r="F287" s="3" t="s">
        <v>37</v>
      </c>
      <c r="G287" s="3" t="str">
        <f>"2026-06-19 03:03:25.550"</f>
        <v>2026-06-19 03:03:25.550</v>
      </c>
      <c r="H287" s="3" t="s">
        <v>21</v>
      </c>
      <c r="I287" s="3">
        <v>9.91</v>
      </c>
      <c r="J287" s="3" t="s">
        <v>38</v>
      </c>
    </row>
    <row r="288" spans="1:10" s="3" customFormat="1" x14ac:dyDescent="0.25">
      <c r="A288" s="2">
        <v>79</v>
      </c>
      <c r="B288" s="3" t="s">
        <v>26</v>
      </c>
      <c r="C288" s="3">
        <v>647</v>
      </c>
      <c r="D288" s="3">
        <v>1</v>
      </c>
      <c r="E288" s="3" t="s">
        <v>36</v>
      </c>
      <c r="F288" s="3" t="s">
        <v>37</v>
      </c>
      <c r="G288" s="3" t="str">
        <f>"2026-06-19 03:03:03.150"</f>
        <v>2026-06-19 03:03:03.150</v>
      </c>
      <c r="H288" s="3" t="s">
        <v>21</v>
      </c>
    </row>
    <row r="289" spans="1:10" s="3" customFormat="1" x14ac:dyDescent="0.25">
      <c r="A289" s="2">
        <v>80</v>
      </c>
      <c r="B289" s="3" t="s">
        <v>34</v>
      </c>
      <c r="C289" s="3">
        <v>647</v>
      </c>
      <c r="D289" s="3">
        <v>1</v>
      </c>
      <c r="E289" s="3" t="s">
        <v>36</v>
      </c>
      <c r="F289" s="3" t="s">
        <v>37</v>
      </c>
      <c r="G289" s="3" t="str">
        <f>"2026-06-19 03:02:54.550"</f>
        <v>2026-06-19 03:02:54.550</v>
      </c>
      <c r="H289" s="3" t="s">
        <v>21</v>
      </c>
      <c r="I289" s="3">
        <v>9.58</v>
      </c>
      <c r="J289" s="3" t="s">
        <v>38</v>
      </c>
    </row>
    <row r="290" spans="1:10" x14ac:dyDescent="0.25">
      <c r="A290" s="1">
        <v>81</v>
      </c>
      <c r="B290" t="s">
        <v>19</v>
      </c>
      <c r="C290">
        <v>700</v>
      </c>
      <c r="D290">
        <v>0</v>
      </c>
      <c r="E290" t="s">
        <v>20</v>
      </c>
      <c r="F290" t="s">
        <v>20</v>
      </c>
      <c r="G290" t="str">
        <f>"2026-06-19 01:16:52.616"</f>
        <v>2026-06-19 01:16:52.616</v>
      </c>
      <c r="H290" t="s">
        <v>21</v>
      </c>
    </row>
    <row r="291" spans="1:10" s="3" customFormat="1" x14ac:dyDescent="0.25">
      <c r="A291" s="2">
        <v>82</v>
      </c>
      <c r="B291" s="3" t="s">
        <v>26</v>
      </c>
      <c r="C291" s="3">
        <v>647</v>
      </c>
      <c r="D291" s="3">
        <v>1</v>
      </c>
      <c r="E291" s="3" t="s">
        <v>36</v>
      </c>
      <c r="F291" s="3" t="s">
        <v>37</v>
      </c>
      <c r="G291" s="3" t="str">
        <f>"2026-06-18 11:16:24.915"</f>
        <v>2026-06-18 11:16:24.915</v>
      </c>
      <c r="H291" s="3" t="s">
        <v>21</v>
      </c>
    </row>
    <row r="292" spans="1:10" s="3" customFormat="1" x14ac:dyDescent="0.25">
      <c r="A292" s="2">
        <v>83</v>
      </c>
      <c r="B292" s="3" t="s">
        <v>34</v>
      </c>
      <c r="C292" s="3">
        <v>647</v>
      </c>
      <c r="D292" s="3">
        <v>1</v>
      </c>
      <c r="E292" s="3" t="s">
        <v>36</v>
      </c>
      <c r="F292" s="3" t="s">
        <v>37</v>
      </c>
      <c r="G292" s="3" t="str">
        <f>"2026-06-18 11:16:21.715"</f>
        <v>2026-06-18 11:16:21.715</v>
      </c>
      <c r="H292" s="3" t="s">
        <v>21</v>
      </c>
      <c r="I292" s="3">
        <v>9.3000000000000007</v>
      </c>
      <c r="J292" s="3" t="s">
        <v>38</v>
      </c>
    </row>
    <row r="293" spans="1:10" x14ac:dyDescent="0.25">
      <c r="A293" s="1">
        <v>84</v>
      </c>
      <c r="B293" t="s">
        <v>26</v>
      </c>
      <c r="C293">
        <v>630</v>
      </c>
      <c r="D293">
        <v>5</v>
      </c>
      <c r="E293" t="s">
        <v>27</v>
      </c>
      <c r="F293" t="s">
        <v>28</v>
      </c>
      <c r="G293" t="str">
        <f>"2026-06-17 20:45:43.015"</f>
        <v>2026-06-17 20:45:43.015</v>
      </c>
      <c r="H293" t="s">
        <v>29</v>
      </c>
    </row>
    <row r="294" spans="1:10" x14ac:dyDescent="0.25">
      <c r="A294" s="1">
        <v>85</v>
      </c>
      <c r="B294" t="s">
        <v>19</v>
      </c>
      <c r="C294">
        <v>706</v>
      </c>
      <c r="D294">
        <v>2</v>
      </c>
      <c r="E294" t="s">
        <v>23</v>
      </c>
      <c r="F294" t="s">
        <v>24</v>
      </c>
      <c r="G294" t="str">
        <f>"2026-06-17 20:45:12.808"</f>
        <v>2026-06-17 20:45:12.808</v>
      </c>
      <c r="H294" t="s">
        <v>21</v>
      </c>
      <c r="I294">
        <v>0</v>
      </c>
      <c r="J294" t="s">
        <v>25</v>
      </c>
    </row>
    <row r="295" spans="1:10" x14ac:dyDescent="0.25">
      <c r="A295" s="1">
        <v>86</v>
      </c>
      <c r="B295" t="s">
        <v>31</v>
      </c>
      <c r="C295">
        <v>630</v>
      </c>
      <c r="D295">
        <v>5</v>
      </c>
      <c r="E295" t="s">
        <v>27</v>
      </c>
      <c r="F295" t="s">
        <v>28</v>
      </c>
      <c r="G295" t="str">
        <f>"2026-06-17 20:38:38.016"</f>
        <v>2026-06-17 20:38:38.016</v>
      </c>
      <c r="H295" t="s">
        <v>29</v>
      </c>
      <c r="I295">
        <v>0</v>
      </c>
      <c r="J295" t="s">
        <v>25</v>
      </c>
    </row>
    <row r="296" spans="1:10" x14ac:dyDescent="0.25">
      <c r="A296" s="1">
        <v>88</v>
      </c>
      <c r="B296" t="s">
        <v>19</v>
      </c>
      <c r="C296">
        <v>706</v>
      </c>
      <c r="D296">
        <v>2</v>
      </c>
      <c r="E296" t="s">
        <v>23</v>
      </c>
      <c r="F296" t="s">
        <v>24</v>
      </c>
      <c r="G296" t="str">
        <f>"2026-06-17 18:25:21.908"</f>
        <v>2026-06-17 18:25:21.908</v>
      </c>
      <c r="H296" t="s">
        <v>21</v>
      </c>
      <c r="I296">
        <v>0</v>
      </c>
      <c r="J296" t="s">
        <v>25</v>
      </c>
    </row>
    <row r="297" spans="1:10" x14ac:dyDescent="0.25">
      <c r="A297" s="1">
        <v>89</v>
      </c>
      <c r="B297" t="s">
        <v>19</v>
      </c>
      <c r="C297">
        <v>700</v>
      </c>
      <c r="D297">
        <v>0</v>
      </c>
      <c r="E297" t="s">
        <v>20</v>
      </c>
      <c r="F297" t="s">
        <v>20</v>
      </c>
      <c r="G297" t="str">
        <f>"2026-06-17 18:25:00.568"</f>
        <v>2026-06-17 18:25:00.568</v>
      </c>
      <c r="H297" t="s">
        <v>21</v>
      </c>
    </row>
    <row r="298" spans="1:10" x14ac:dyDescent="0.25">
      <c r="A298" s="1">
        <v>90</v>
      </c>
      <c r="B298" t="s">
        <v>26</v>
      </c>
      <c r="C298">
        <v>630</v>
      </c>
      <c r="D298">
        <v>5</v>
      </c>
      <c r="E298" t="s">
        <v>27</v>
      </c>
      <c r="F298" t="s">
        <v>28</v>
      </c>
      <c r="G298" t="str">
        <f>"2026-06-16 21:22:59.359"</f>
        <v>2026-06-16 21:22:59.359</v>
      </c>
      <c r="H298" t="s">
        <v>29</v>
      </c>
    </row>
    <row r="299" spans="1:10" x14ac:dyDescent="0.25">
      <c r="A299" s="1">
        <v>91</v>
      </c>
      <c r="B299" t="s">
        <v>19</v>
      </c>
      <c r="C299">
        <v>706</v>
      </c>
      <c r="D299">
        <v>4</v>
      </c>
      <c r="E299" t="s">
        <v>23</v>
      </c>
      <c r="F299" t="s">
        <v>30</v>
      </c>
      <c r="G299" t="str">
        <f>"2026-06-16 21:22:29.292"</f>
        <v>2026-06-16 21:22:29.292</v>
      </c>
      <c r="H299" t="s">
        <v>21</v>
      </c>
      <c r="I299">
        <v>0</v>
      </c>
      <c r="J299" t="s">
        <v>25</v>
      </c>
    </row>
    <row r="300" spans="1:10" x14ac:dyDescent="0.25">
      <c r="A300" s="1">
        <v>92</v>
      </c>
      <c r="B300" t="s">
        <v>31</v>
      </c>
      <c r="C300">
        <v>630</v>
      </c>
      <c r="D300">
        <v>5</v>
      </c>
      <c r="E300" t="s">
        <v>27</v>
      </c>
      <c r="F300" t="s">
        <v>28</v>
      </c>
      <c r="G300" t="str">
        <f>"2026-06-16 21:17:01.660"</f>
        <v>2026-06-16 21:17:01.660</v>
      </c>
      <c r="H300" t="s">
        <v>29</v>
      </c>
      <c r="I300">
        <v>0</v>
      </c>
      <c r="J300" t="s">
        <v>25</v>
      </c>
    </row>
    <row r="301" spans="1:10" x14ac:dyDescent="0.25">
      <c r="A301" s="1">
        <v>93</v>
      </c>
      <c r="B301" t="s">
        <v>19</v>
      </c>
      <c r="C301">
        <v>706</v>
      </c>
      <c r="D301">
        <v>2</v>
      </c>
      <c r="E301" t="s">
        <v>23</v>
      </c>
      <c r="F301" t="s">
        <v>24</v>
      </c>
      <c r="G301" t="str">
        <f>"2026-06-16 13:22:41.102"</f>
        <v>2026-06-16 13:22:41.102</v>
      </c>
      <c r="H301" t="s">
        <v>21</v>
      </c>
      <c r="I301">
        <v>0</v>
      </c>
      <c r="J301" t="s">
        <v>25</v>
      </c>
    </row>
    <row r="302" spans="1:10" x14ac:dyDescent="0.25">
      <c r="A302" s="1">
        <v>94</v>
      </c>
      <c r="B302" t="s">
        <v>19</v>
      </c>
      <c r="C302">
        <v>700</v>
      </c>
      <c r="D302">
        <v>0</v>
      </c>
      <c r="E302" t="s">
        <v>20</v>
      </c>
      <c r="F302" t="s">
        <v>20</v>
      </c>
      <c r="G302" t="str">
        <f>"2026-06-16 13:22:00.552"</f>
        <v>2026-06-16 13:22:00.552</v>
      </c>
      <c r="H302" t="s">
        <v>21</v>
      </c>
      <c r="I302">
        <v>0</v>
      </c>
      <c r="J302" t="s">
        <v>22</v>
      </c>
    </row>
    <row r="303" spans="1:10" x14ac:dyDescent="0.25">
      <c r="A303" s="1">
        <v>95</v>
      </c>
      <c r="B303" t="s">
        <v>19</v>
      </c>
      <c r="C303">
        <v>706</v>
      </c>
      <c r="D303">
        <v>2</v>
      </c>
      <c r="E303" t="s">
        <v>23</v>
      </c>
      <c r="F303" t="s">
        <v>24</v>
      </c>
      <c r="G303" t="str">
        <f>"2026-06-16 08:52:21.280"</f>
        <v>2026-06-16 08:52:21.280</v>
      </c>
      <c r="H303" t="s">
        <v>21</v>
      </c>
      <c r="I303">
        <v>0</v>
      </c>
      <c r="J303" t="s">
        <v>25</v>
      </c>
    </row>
    <row r="304" spans="1:10" x14ac:dyDescent="0.25">
      <c r="A304" s="1">
        <v>96</v>
      </c>
      <c r="B304" t="s">
        <v>19</v>
      </c>
      <c r="C304">
        <v>700</v>
      </c>
      <c r="D304">
        <v>0</v>
      </c>
      <c r="E304" t="s">
        <v>20</v>
      </c>
      <c r="F304" t="s">
        <v>20</v>
      </c>
      <c r="G304" t="str">
        <f>"2026-06-16 08:52:00.590"</f>
        <v>2026-06-16 08:52:00.590</v>
      </c>
      <c r="H304" t="s">
        <v>21</v>
      </c>
      <c r="I304">
        <v>0</v>
      </c>
      <c r="J304" t="s">
        <v>22</v>
      </c>
    </row>
    <row r="305" spans="1:10" x14ac:dyDescent="0.25">
      <c r="A305" s="1">
        <v>97</v>
      </c>
      <c r="B305" t="s">
        <v>26</v>
      </c>
      <c r="C305">
        <v>630</v>
      </c>
      <c r="D305">
        <v>5</v>
      </c>
      <c r="E305" t="s">
        <v>27</v>
      </c>
      <c r="F305" t="s">
        <v>28</v>
      </c>
      <c r="G305" t="str">
        <f>"2026-06-16 02:30:04.512"</f>
        <v>2026-06-16 02:30:04.512</v>
      </c>
      <c r="H305" t="s">
        <v>29</v>
      </c>
    </row>
    <row r="306" spans="1:10" x14ac:dyDescent="0.25">
      <c r="A306" s="1">
        <v>98</v>
      </c>
      <c r="B306" t="s">
        <v>19</v>
      </c>
      <c r="C306">
        <v>706</v>
      </c>
      <c r="D306">
        <v>2</v>
      </c>
      <c r="E306" t="s">
        <v>23</v>
      </c>
      <c r="F306" t="s">
        <v>24</v>
      </c>
      <c r="G306" t="str">
        <f>"2026-06-16 02:29:34.445"</f>
        <v>2026-06-16 02:29:34.445</v>
      </c>
      <c r="H306" t="s">
        <v>21</v>
      </c>
      <c r="I306">
        <v>0</v>
      </c>
      <c r="J306" t="s">
        <v>25</v>
      </c>
    </row>
    <row r="307" spans="1:10" x14ac:dyDescent="0.25">
      <c r="A307" s="1">
        <v>99</v>
      </c>
      <c r="B307" t="s">
        <v>31</v>
      </c>
      <c r="C307">
        <v>630</v>
      </c>
      <c r="D307">
        <v>5</v>
      </c>
      <c r="E307" t="s">
        <v>27</v>
      </c>
      <c r="F307" t="s">
        <v>28</v>
      </c>
      <c r="G307" t="str">
        <f>"2026-06-16 02:24:18.912"</f>
        <v>2026-06-16 02:24:18.912</v>
      </c>
      <c r="H307" t="s">
        <v>29</v>
      </c>
      <c r="I307">
        <v>0</v>
      </c>
      <c r="J307" t="s">
        <v>25</v>
      </c>
    </row>
    <row r="308" spans="1:10" x14ac:dyDescent="0.25">
      <c r="A308" s="1">
        <v>0</v>
      </c>
      <c r="B308" t="s">
        <v>26</v>
      </c>
      <c r="C308">
        <v>635</v>
      </c>
      <c r="D308">
        <v>1</v>
      </c>
      <c r="E308" t="s">
        <v>32</v>
      </c>
      <c r="F308" t="s">
        <v>33</v>
      </c>
      <c r="G308" t="str">
        <f>"2026-06-15 20:06:25.664"</f>
        <v>2026-06-15 20:06:25.664</v>
      </c>
      <c r="H308" t="s">
        <v>21</v>
      </c>
    </row>
    <row r="309" spans="1:10" x14ac:dyDescent="0.25">
      <c r="A309" s="1">
        <v>1</v>
      </c>
      <c r="B309" t="s">
        <v>34</v>
      </c>
      <c r="C309">
        <v>635</v>
      </c>
      <c r="D309">
        <v>1</v>
      </c>
      <c r="E309" t="s">
        <v>32</v>
      </c>
      <c r="F309" t="s">
        <v>33</v>
      </c>
      <c r="G309" t="str">
        <f>"2026-06-15 20:00:42.164"</f>
        <v>2026-06-15 20:00:42.164</v>
      </c>
      <c r="H309" t="s">
        <v>21</v>
      </c>
      <c r="I309">
        <v>0</v>
      </c>
      <c r="J309" t="s">
        <v>40</v>
      </c>
    </row>
    <row r="310" spans="1:10" x14ac:dyDescent="0.25">
      <c r="A310" s="1">
        <v>2</v>
      </c>
      <c r="B310" t="s">
        <v>19</v>
      </c>
      <c r="C310">
        <v>700</v>
      </c>
      <c r="D310">
        <v>0</v>
      </c>
      <c r="E310" t="s">
        <v>20</v>
      </c>
      <c r="F310" t="s">
        <v>20</v>
      </c>
      <c r="G310" t="str">
        <f>"2026-06-15 13:18:28.685"</f>
        <v>2026-06-15 13:18:28.685</v>
      </c>
      <c r="H310" t="s">
        <v>21</v>
      </c>
      <c r="I310">
        <v>0</v>
      </c>
      <c r="J310" t="s">
        <v>22</v>
      </c>
    </row>
    <row r="311" spans="1:10" x14ac:dyDescent="0.25">
      <c r="A311" s="1">
        <v>3</v>
      </c>
      <c r="B311" t="s">
        <v>19</v>
      </c>
      <c r="C311">
        <v>700</v>
      </c>
      <c r="D311">
        <v>0</v>
      </c>
      <c r="E311" t="s">
        <v>20</v>
      </c>
      <c r="F311" t="s">
        <v>20</v>
      </c>
      <c r="G311" t="str">
        <f>"2026-06-15 09:45:09.539"</f>
        <v>2026-06-15 09:45:09.539</v>
      </c>
      <c r="H311" t="s">
        <v>21</v>
      </c>
    </row>
    <row r="312" spans="1:10" x14ac:dyDescent="0.25">
      <c r="A312" s="1">
        <v>4</v>
      </c>
      <c r="B312" t="s">
        <v>19</v>
      </c>
      <c r="C312">
        <v>700</v>
      </c>
      <c r="D312">
        <v>0</v>
      </c>
      <c r="E312" t="s">
        <v>20</v>
      </c>
      <c r="F312" t="s">
        <v>20</v>
      </c>
      <c r="G312" t="str">
        <f>"2026-06-14 19:39:32.582"</f>
        <v>2026-06-14 19:39:32.582</v>
      </c>
      <c r="H312" t="s">
        <v>21</v>
      </c>
    </row>
    <row r="313" spans="1:10" x14ac:dyDescent="0.25">
      <c r="A313" s="1">
        <v>5</v>
      </c>
      <c r="B313" t="s">
        <v>19</v>
      </c>
      <c r="C313">
        <v>700</v>
      </c>
      <c r="D313">
        <v>0</v>
      </c>
      <c r="E313" t="s">
        <v>20</v>
      </c>
      <c r="F313" t="s">
        <v>20</v>
      </c>
      <c r="G313" t="str">
        <f>"2026-06-13 20:08:30.546"</f>
        <v>2026-06-13 20:08:30.546</v>
      </c>
      <c r="H313" t="s">
        <v>21</v>
      </c>
    </row>
    <row r="314" spans="1:10" s="3" customFormat="1" x14ac:dyDescent="0.25">
      <c r="A314" s="2">
        <v>6</v>
      </c>
      <c r="B314" s="3" t="s">
        <v>26</v>
      </c>
      <c r="C314" s="3">
        <v>647</v>
      </c>
      <c r="D314" s="3">
        <v>1</v>
      </c>
      <c r="E314" s="3" t="s">
        <v>36</v>
      </c>
      <c r="F314" s="3" t="s">
        <v>37</v>
      </c>
      <c r="G314" s="3" t="str">
        <f>"2026-06-13 14:15:34.770"</f>
        <v>2026-06-13 14:15:34.770</v>
      </c>
      <c r="H314" s="3" t="s">
        <v>21</v>
      </c>
    </row>
    <row r="315" spans="1:10" s="3" customFormat="1" x14ac:dyDescent="0.25">
      <c r="A315" s="2">
        <v>7</v>
      </c>
      <c r="B315" s="3" t="s">
        <v>34</v>
      </c>
      <c r="C315" s="3">
        <v>647</v>
      </c>
      <c r="D315" s="3">
        <v>1</v>
      </c>
      <c r="E315" s="3" t="s">
        <v>36</v>
      </c>
      <c r="F315" s="3" t="s">
        <v>37</v>
      </c>
      <c r="G315" s="3" t="str">
        <f>"2026-06-13 14:15:33.470"</f>
        <v>2026-06-13 14:15:33.470</v>
      </c>
      <c r="H315" s="3" t="s">
        <v>21</v>
      </c>
      <c r="I315" s="3">
        <v>8.61</v>
      </c>
      <c r="J315" s="3" t="s">
        <v>38</v>
      </c>
    </row>
    <row r="316" spans="1:10" x14ac:dyDescent="0.25">
      <c r="A316" s="1">
        <v>8</v>
      </c>
      <c r="B316" t="s">
        <v>26</v>
      </c>
      <c r="C316">
        <v>635</v>
      </c>
      <c r="D316">
        <v>1</v>
      </c>
      <c r="E316" t="s">
        <v>32</v>
      </c>
      <c r="F316" t="s">
        <v>33</v>
      </c>
      <c r="G316" t="str">
        <f>"2026-06-13 12:23:13.922"</f>
        <v>2026-06-13 12:23:13.922</v>
      </c>
      <c r="H316" t="s">
        <v>21</v>
      </c>
    </row>
    <row r="317" spans="1:10" x14ac:dyDescent="0.25">
      <c r="A317" s="1">
        <v>9</v>
      </c>
      <c r="B317" t="s">
        <v>34</v>
      </c>
      <c r="C317">
        <v>635</v>
      </c>
      <c r="D317">
        <v>1</v>
      </c>
      <c r="E317" t="s">
        <v>32</v>
      </c>
      <c r="F317" t="s">
        <v>33</v>
      </c>
      <c r="G317" t="str">
        <f>"2026-06-13 12:17:48.422"</f>
        <v>2026-06-13 12:17:48.422</v>
      </c>
      <c r="H317" t="s">
        <v>21</v>
      </c>
      <c r="I317">
        <v>1.1000000000000001</v>
      </c>
      <c r="J317" t="s">
        <v>38</v>
      </c>
    </row>
    <row r="318" spans="1:10" x14ac:dyDescent="0.25">
      <c r="A318" s="1">
        <v>10</v>
      </c>
      <c r="B318" t="s">
        <v>26</v>
      </c>
      <c r="C318">
        <v>630</v>
      </c>
      <c r="D318">
        <v>5</v>
      </c>
      <c r="E318" t="s">
        <v>27</v>
      </c>
      <c r="F318" t="s">
        <v>28</v>
      </c>
      <c r="G318" t="str">
        <f>"2026-06-12 23:22:39.970"</f>
        <v>2026-06-12 23:22:39.970</v>
      </c>
      <c r="H318" t="s">
        <v>29</v>
      </c>
    </row>
    <row r="319" spans="1:10" x14ac:dyDescent="0.25">
      <c r="A319" s="1">
        <v>11</v>
      </c>
      <c r="B319" t="s">
        <v>19</v>
      </c>
      <c r="C319">
        <v>706</v>
      </c>
      <c r="D319">
        <v>4</v>
      </c>
      <c r="E319" t="s">
        <v>23</v>
      </c>
      <c r="F319" t="s">
        <v>30</v>
      </c>
      <c r="G319" t="str">
        <f>"2026-06-12 23:22:09.893"</f>
        <v>2026-06-12 23:22:09.893</v>
      </c>
      <c r="H319" t="s">
        <v>21</v>
      </c>
      <c r="I319">
        <v>0</v>
      </c>
      <c r="J319" t="s">
        <v>25</v>
      </c>
    </row>
    <row r="320" spans="1:10" x14ac:dyDescent="0.25">
      <c r="A320" s="1">
        <v>12</v>
      </c>
      <c r="B320" t="s">
        <v>31</v>
      </c>
      <c r="C320">
        <v>630</v>
      </c>
      <c r="D320">
        <v>5</v>
      </c>
      <c r="E320" t="s">
        <v>27</v>
      </c>
      <c r="F320" t="s">
        <v>28</v>
      </c>
      <c r="G320" t="str">
        <f>"2026-06-12 23:16:37.170"</f>
        <v>2026-06-12 23:16:37.170</v>
      </c>
      <c r="H320" t="s">
        <v>29</v>
      </c>
      <c r="I320">
        <v>0</v>
      </c>
      <c r="J320" t="s">
        <v>25</v>
      </c>
    </row>
    <row r="321" spans="1:10" s="3" customFormat="1" x14ac:dyDescent="0.25">
      <c r="A321" s="2">
        <v>13</v>
      </c>
      <c r="B321" s="3" t="s">
        <v>26</v>
      </c>
      <c r="C321" s="3">
        <v>647</v>
      </c>
      <c r="D321" s="3">
        <v>1</v>
      </c>
      <c r="E321" s="3" t="s">
        <v>36</v>
      </c>
      <c r="F321" s="3" t="s">
        <v>37</v>
      </c>
      <c r="G321" s="3" t="str">
        <f>"2026-06-12 17:24:07.370"</f>
        <v>2026-06-12 17:24:07.370</v>
      </c>
      <c r="H321" s="3" t="s">
        <v>21</v>
      </c>
    </row>
    <row r="322" spans="1:10" s="3" customFormat="1" x14ac:dyDescent="0.25">
      <c r="A322" s="2">
        <v>14</v>
      </c>
      <c r="B322" s="3" t="s">
        <v>34</v>
      </c>
      <c r="C322" s="3">
        <v>647</v>
      </c>
      <c r="D322" s="3">
        <v>1</v>
      </c>
      <c r="E322" s="3" t="s">
        <v>36</v>
      </c>
      <c r="F322" s="3" t="s">
        <v>37</v>
      </c>
      <c r="G322" s="3" t="str">
        <f>"2026-06-12 17:24:05.670"</f>
        <v>2026-06-12 17:24:05.670</v>
      </c>
      <c r="H322" s="3" t="s">
        <v>21</v>
      </c>
      <c r="I322" s="3">
        <v>20.63</v>
      </c>
      <c r="J322" s="3" t="s">
        <v>38</v>
      </c>
    </row>
    <row r="323" spans="1:10" s="3" customFormat="1" x14ac:dyDescent="0.25">
      <c r="A323" s="2">
        <v>15</v>
      </c>
      <c r="B323" s="3" t="s">
        <v>26</v>
      </c>
      <c r="C323" s="3">
        <v>647</v>
      </c>
      <c r="D323" s="3">
        <v>1</v>
      </c>
      <c r="E323" s="3" t="s">
        <v>36</v>
      </c>
      <c r="F323" s="3" t="s">
        <v>37</v>
      </c>
      <c r="G323" s="3" t="str">
        <f>"2026-06-12 15:46:25.970"</f>
        <v>2026-06-12 15:46:25.970</v>
      </c>
      <c r="H323" s="3" t="s">
        <v>21</v>
      </c>
    </row>
    <row r="324" spans="1:10" s="3" customFormat="1" x14ac:dyDescent="0.25">
      <c r="A324" s="2">
        <v>16</v>
      </c>
      <c r="B324" s="3" t="s">
        <v>34</v>
      </c>
      <c r="C324" s="3">
        <v>647</v>
      </c>
      <c r="D324" s="3">
        <v>1</v>
      </c>
      <c r="E324" s="3" t="s">
        <v>36</v>
      </c>
      <c r="F324" s="3" t="s">
        <v>37</v>
      </c>
      <c r="G324" s="3" t="str">
        <f>"2026-06-12 15:46:21.770"</f>
        <v>2026-06-12 15:46:21.770</v>
      </c>
      <c r="H324" s="3" t="s">
        <v>21</v>
      </c>
      <c r="I324" s="3">
        <v>13.19</v>
      </c>
      <c r="J324" s="3" t="s">
        <v>38</v>
      </c>
    </row>
    <row r="325" spans="1:10" s="3" customFormat="1" x14ac:dyDescent="0.25">
      <c r="A325" s="2">
        <v>18</v>
      </c>
      <c r="B325" s="3" t="s">
        <v>26</v>
      </c>
      <c r="C325" s="3">
        <v>647</v>
      </c>
      <c r="D325" s="3">
        <v>1</v>
      </c>
      <c r="E325" s="3" t="s">
        <v>36</v>
      </c>
      <c r="F325" s="3" t="s">
        <v>37</v>
      </c>
      <c r="G325" s="3" t="str">
        <f>"2026-06-12 10:07:49.570"</f>
        <v>2026-06-12 10:07:49.570</v>
      </c>
      <c r="H325" s="3" t="s">
        <v>21</v>
      </c>
    </row>
    <row r="326" spans="1:10" s="3" customFormat="1" x14ac:dyDescent="0.25">
      <c r="A326" s="2">
        <v>19</v>
      </c>
      <c r="B326" s="3" t="s">
        <v>34</v>
      </c>
      <c r="C326" s="3">
        <v>647</v>
      </c>
      <c r="D326" s="3">
        <v>1</v>
      </c>
      <c r="E326" s="3" t="s">
        <v>36</v>
      </c>
      <c r="F326" s="3" t="s">
        <v>37</v>
      </c>
      <c r="G326" s="3" t="str">
        <f>"2026-06-12 10:07:34.070"</f>
        <v>2026-06-12 10:07:34.070</v>
      </c>
      <c r="H326" s="3" t="s">
        <v>21</v>
      </c>
      <c r="I326" s="3">
        <v>11.33</v>
      </c>
      <c r="J326" s="3" t="s">
        <v>38</v>
      </c>
    </row>
    <row r="327" spans="1:10" s="3" customFormat="1" x14ac:dyDescent="0.25">
      <c r="A327" s="2">
        <v>20</v>
      </c>
      <c r="B327" s="3" t="s">
        <v>26</v>
      </c>
      <c r="C327" s="3">
        <v>647</v>
      </c>
      <c r="D327" s="3">
        <v>1</v>
      </c>
      <c r="E327" s="3" t="s">
        <v>36</v>
      </c>
      <c r="F327" s="3" t="s">
        <v>37</v>
      </c>
      <c r="G327" s="3" t="str">
        <f>"2026-06-12 09:24:46.670"</f>
        <v>2026-06-12 09:24:46.670</v>
      </c>
      <c r="H327" s="3" t="s">
        <v>21</v>
      </c>
    </row>
    <row r="328" spans="1:10" s="3" customFormat="1" x14ac:dyDescent="0.25">
      <c r="A328" s="2">
        <v>21</v>
      </c>
      <c r="B328" s="3" t="s">
        <v>34</v>
      </c>
      <c r="C328" s="3">
        <v>647</v>
      </c>
      <c r="D328" s="3">
        <v>1</v>
      </c>
      <c r="E328" s="3" t="s">
        <v>36</v>
      </c>
      <c r="F328" s="3" t="s">
        <v>37</v>
      </c>
      <c r="G328" s="3" t="str">
        <f>"2026-06-12 09:24:34.371"</f>
        <v>2026-06-12 09:24:34.371</v>
      </c>
      <c r="H328" s="3" t="s">
        <v>21</v>
      </c>
      <c r="I328" s="3">
        <v>21.15</v>
      </c>
      <c r="J328" s="3" t="s">
        <v>38</v>
      </c>
    </row>
    <row r="329" spans="1:10" x14ac:dyDescent="0.25">
      <c r="A329" s="1">
        <v>22</v>
      </c>
      <c r="B329" t="s">
        <v>19</v>
      </c>
      <c r="C329">
        <v>706</v>
      </c>
      <c r="D329">
        <v>2</v>
      </c>
      <c r="E329" t="s">
        <v>23</v>
      </c>
      <c r="F329" t="s">
        <v>24</v>
      </c>
      <c r="G329" t="str">
        <f>"2026-06-12 05:37:12.303"</f>
        <v>2026-06-12 05:37:12.303</v>
      </c>
      <c r="H329" t="s">
        <v>21</v>
      </c>
      <c r="I329">
        <v>0</v>
      </c>
      <c r="J329" t="s">
        <v>25</v>
      </c>
    </row>
    <row r="330" spans="1:10" x14ac:dyDescent="0.25">
      <c r="A330" s="1">
        <v>23</v>
      </c>
      <c r="B330" t="s">
        <v>19</v>
      </c>
      <c r="C330">
        <v>706</v>
      </c>
      <c r="D330">
        <v>4</v>
      </c>
      <c r="E330" t="s">
        <v>23</v>
      </c>
      <c r="F330" t="s">
        <v>30</v>
      </c>
      <c r="G330" t="str">
        <f>"2026-06-12 05:35:30.843"</f>
        <v>2026-06-12 05:35:30.843</v>
      </c>
      <c r="H330" t="s">
        <v>21</v>
      </c>
      <c r="I330">
        <v>0</v>
      </c>
      <c r="J330" t="s">
        <v>25</v>
      </c>
    </row>
    <row r="331" spans="1:10" x14ac:dyDescent="0.25">
      <c r="A331" s="1">
        <v>24</v>
      </c>
      <c r="B331" t="s">
        <v>19</v>
      </c>
      <c r="C331">
        <v>700</v>
      </c>
      <c r="D331">
        <v>0</v>
      </c>
      <c r="E331" t="s">
        <v>20</v>
      </c>
      <c r="F331" t="s">
        <v>20</v>
      </c>
      <c r="G331" t="str">
        <f>"2026-06-12 05:35:01.523"</f>
        <v>2026-06-12 05:35:01.523</v>
      </c>
      <c r="H331" t="s">
        <v>21</v>
      </c>
    </row>
    <row r="332" spans="1:10" x14ac:dyDescent="0.25">
      <c r="A332" s="1">
        <v>25</v>
      </c>
      <c r="B332" t="s">
        <v>26</v>
      </c>
      <c r="C332">
        <v>630</v>
      </c>
      <c r="D332">
        <v>5</v>
      </c>
      <c r="E332" t="s">
        <v>27</v>
      </c>
      <c r="F332" t="s">
        <v>28</v>
      </c>
      <c r="G332" t="str">
        <f>"2026-06-12 05:32:13.576"</f>
        <v>2026-06-12 05:32:13.576</v>
      </c>
      <c r="H332" t="s">
        <v>29</v>
      </c>
    </row>
    <row r="333" spans="1:10" x14ac:dyDescent="0.25">
      <c r="A333" s="1">
        <v>26</v>
      </c>
      <c r="B333" t="s">
        <v>19</v>
      </c>
      <c r="C333">
        <v>706</v>
      </c>
      <c r="D333">
        <v>4</v>
      </c>
      <c r="E333" t="s">
        <v>23</v>
      </c>
      <c r="F333" t="s">
        <v>30</v>
      </c>
      <c r="G333" t="str">
        <f>"2026-06-12 05:31:43.418"</f>
        <v>2026-06-12 05:31:43.418</v>
      </c>
      <c r="H333" t="s">
        <v>21</v>
      </c>
      <c r="I333">
        <v>0</v>
      </c>
      <c r="J333" t="s">
        <v>25</v>
      </c>
    </row>
    <row r="334" spans="1:10" x14ac:dyDescent="0.25">
      <c r="A334" s="1">
        <v>27</v>
      </c>
      <c r="B334" t="s">
        <v>19</v>
      </c>
      <c r="C334">
        <v>706</v>
      </c>
      <c r="D334">
        <v>4</v>
      </c>
      <c r="E334" t="s">
        <v>23</v>
      </c>
      <c r="F334" t="s">
        <v>30</v>
      </c>
      <c r="G334" t="str">
        <f>"2026-06-12 05:29:09.828"</f>
        <v>2026-06-12 05:29:09.828</v>
      </c>
      <c r="H334" t="s">
        <v>21</v>
      </c>
      <c r="I334">
        <v>0</v>
      </c>
      <c r="J334" t="s">
        <v>25</v>
      </c>
    </row>
    <row r="335" spans="1:10" x14ac:dyDescent="0.25">
      <c r="A335" s="1">
        <v>28</v>
      </c>
      <c r="B335" t="s">
        <v>19</v>
      </c>
      <c r="C335">
        <v>706</v>
      </c>
      <c r="D335">
        <v>4</v>
      </c>
      <c r="E335" t="s">
        <v>23</v>
      </c>
      <c r="F335" t="s">
        <v>30</v>
      </c>
      <c r="G335" t="str">
        <f>"2026-06-12 05:26:33.438"</f>
        <v>2026-06-12 05:26:33.438</v>
      </c>
      <c r="H335" t="s">
        <v>21</v>
      </c>
      <c r="I335">
        <v>0</v>
      </c>
      <c r="J335" t="s">
        <v>25</v>
      </c>
    </row>
    <row r="336" spans="1:10" x14ac:dyDescent="0.25">
      <c r="A336" s="1">
        <v>29</v>
      </c>
      <c r="B336" t="s">
        <v>31</v>
      </c>
      <c r="C336">
        <v>630</v>
      </c>
      <c r="D336">
        <v>5</v>
      </c>
      <c r="E336" t="s">
        <v>27</v>
      </c>
      <c r="F336" t="s">
        <v>28</v>
      </c>
      <c r="G336" t="str">
        <f>"2026-06-12 05:26:16.577"</f>
        <v>2026-06-12 05:26:16.577</v>
      </c>
      <c r="H336" t="s">
        <v>29</v>
      </c>
      <c r="I336">
        <v>0</v>
      </c>
      <c r="J336" t="s">
        <v>25</v>
      </c>
    </row>
    <row r="337" spans="1:10" x14ac:dyDescent="0.25">
      <c r="A337" s="1">
        <v>30</v>
      </c>
      <c r="B337" t="s">
        <v>19</v>
      </c>
      <c r="C337">
        <v>706</v>
      </c>
      <c r="D337">
        <v>2</v>
      </c>
      <c r="E337" t="s">
        <v>23</v>
      </c>
      <c r="F337" t="s">
        <v>24</v>
      </c>
      <c r="G337" t="str">
        <f>"2026-06-12 05:21:06.898"</f>
        <v>2026-06-12 05:21:06.898</v>
      </c>
      <c r="H337" t="s">
        <v>21</v>
      </c>
      <c r="I337">
        <v>0</v>
      </c>
      <c r="J337" t="s">
        <v>25</v>
      </c>
    </row>
    <row r="338" spans="1:10" x14ac:dyDescent="0.25">
      <c r="A338" s="1">
        <v>31</v>
      </c>
      <c r="B338" t="s">
        <v>19</v>
      </c>
      <c r="C338">
        <v>700</v>
      </c>
      <c r="D338">
        <v>0</v>
      </c>
      <c r="E338" t="s">
        <v>20</v>
      </c>
      <c r="F338" t="s">
        <v>20</v>
      </c>
      <c r="G338" t="str">
        <f>"2026-06-12 05:18:16.528"</f>
        <v>2026-06-12 05:18:16.528</v>
      </c>
      <c r="H338" t="s">
        <v>21</v>
      </c>
    </row>
    <row r="339" spans="1:10" x14ac:dyDescent="0.25">
      <c r="A339" s="1">
        <v>32</v>
      </c>
      <c r="B339" t="s">
        <v>31</v>
      </c>
      <c r="C339">
        <v>630</v>
      </c>
      <c r="D339">
        <v>5</v>
      </c>
      <c r="E339" t="s">
        <v>27</v>
      </c>
      <c r="F339" t="s">
        <v>28</v>
      </c>
      <c r="G339" t="str">
        <f>"2026-06-12 04:46:15.121"</f>
        <v>2026-06-12 04:46:15.121</v>
      </c>
      <c r="H339" t="s">
        <v>29</v>
      </c>
      <c r="I339">
        <v>0</v>
      </c>
      <c r="J339" t="s">
        <v>25</v>
      </c>
    </row>
    <row r="340" spans="1:10" x14ac:dyDescent="0.25">
      <c r="A340" s="1">
        <v>33</v>
      </c>
      <c r="B340" t="s">
        <v>19</v>
      </c>
      <c r="C340">
        <v>700</v>
      </c>
      <c r="D340">
        <v>0</v>
      </c>
      <c r="E340" t="s">
        <v>20</v>
      </c>
      <c r="F340" t="s">
        <v>20</v>
      </c>
      <c r="G340" t="str">
        <f>"2026-06-12 04:41:12.529"</f>
        <v>2026-06-12 04:41:12.529</v>
      </c>
      <c r="H340" t="s">
        <v>21</v>
      </c>
      <c r="I340">
        <v>0</v>
      </c>
      <c r="J340" t="s">
        <v>22</v>
      </c>
    </row>
    <row r="341" spans="1:10" x14ac:dyDescent="0.25">
      <c r="A341" s="1">
        <v>34</v>
      </c>
      <c r="B341" t="s">
        <v>31</v>
      </c>
      <c r="C341">
        <v>630</v>
      </c>
      <c r="D341">
        <v>5</v>
      </c>
      <c r="E341" t="s">
        <v>27</v>
      </c>
      <c r="F341" t="s">
        <v>28</v>
      </c>
      <c r="G341" t="str">
        <f>"2026-06-12 03:57:18.105"</f>
        <v>2026-06-12 03:57:18.105</v>
      </c>
      <c r="H341" t="s">
        <v>29</v>
      </c>
      <c r="I341">
        <v>0</v>
      </c>
      <c r="J341" t="s">
        <v>25</v>
      </c>
    </row>
    <row r="342" spans="1:10" x14ac:dyDescent="0.25">
      <c r="A342" s="1">
        <v>35</v>
      </c>
      <c r="B342" t="s">
        <v>26</v>
      </c>
      <c r="C342">
        <v>4</v>
      </c>
      <c r="D342">
        <v>1</v>
      </c>
      <c r="E342" t="s">
        <v>41</v>
      </c>
      <c r="F342" t="s">
        <v>42</v>
      </c>
      <c r="G342" t="str">
        <f>"2026-06-12 03:54:30.055"</f>
        <v>2026-06-12 03:54:30.055</v>
      </c>
      <c r="H342" t="s">
        <v>43</v>
      </c>
    </row>
    <row r="343" spans="1:10" x14ac:dyDescent="0.25">
      <c r="A343" s="1">
        <v>36</v>
      </c>
      <c r="B343" t="s">
        <v>34</v>
      </c>
      <c r="C343">
        <v>4</v>
      </c>
      <c r="D343">
        <v>1</v>
      </c>
      <c r="E343" t="s">
        <v>41</v>
      </c>
      <c r="F343" t="s">
        <v>42</v>
      </c>
      <c r="G343" t="str">
        <f>"2026-06-12 03:52:20.215"</f>
        <v>2026-06-12 03:52:20.215</v>
      </c>
      <c r="H343" t="s">
        <v>43</v>
      </c>
      <c r="I343">
        <v>0</v>
      </c>
      <c r="J343" t="s">
        <v>25</v>
      </c>
    </row>
    <row r="344" spans="1:10" x14ac:dyDescent="0.25">
      <c r="A344" s="1">
        <v>37</v>
      </c>
      <c r="B344" t="s">
        <v>19</v>
      </c>
      <c r="C344">
        <v>700</v>
      </c>
      <c r="D344">
        <v>0</v>
      </c>
      <c r="E344" t="s">
        <v>20</v>
      </c>
      <c r="F344" t="s">
        <v>20</v>
      </c>
      <c r="G344" t="str">
        <f>"2026-06-12 03:52:15.517"</f>
        <v>2026-06-12 03:52:15.517</v>
      </c>
      <c r="H344" t="s">
        <v>21</v>
      </c>
    </row>
    <row r="345" spans="1:10" x14ac:dyDescent="0.25">
      <c r="A345" s="1">
        <v>38</v>
      </c>
      <c r="B345" t="s">
        <v>26</v>
      </c>
      <c r="C345">
        <v>635</v>
      </c>
      <c r="D345">
        <v>1</v>
      </c>
      <c r="E345" t="s">
        <v>32</v>
      </c>
      <c r="F345" t="s">
        <v>33</v>
      </c>
      <c r="G345" t="str">
        <f>"2026-06-11 18:06:05.491"</f>
        <v>2026-06-11 18:06:05.491</v>
      </c>
      <c r="H345" t="s">
        <v>21</v>
      </c>
    </row>
    <row r="346" spans="1:10" x14ac:dyDescent="0.25">
      <c r="A346" s="1">
        <v>39</v>
      </c>
      <c r="B346" t="s">
        <v>34</v>
      </c>
      <c r="C346">
        <v>635</v>
      </c>
      <c r="D346">
        <v>1</v>
      </c>
      <c r="E346" t="s">
        <v>32</v>
      </c>
      <c r="F346" t="s">
        <v>33</v>
      </c>
      <c r="G346" t="str">
        <f>"2026-06-11 17:38:56.591"</f>
        <v>2026-06-11 17:38:56.591</v>
      </c>
      <c r="H346" t="s">
        <v>21</v>
      </c>
      <c r="I346">
        <v>5.72</v>
      </c>
      <c r="J346" t="s">
        <v>38</v>
      </c>
    </row>
    <row r="347" spans="1:10" x14ac:dyDescent="0.25">
      <c r="A347" s="1">
        <v>40</v>
      </c>
      <c r="B347" t="s">
        <v>26</v>
      </c>
      <c r="C347">
        <v>635</v>
      </c>
      <c r="D347">
        <v>1</v>
      </c>
      <c r="E347" t="s">
        <v>32</v>
      </c>
      <c r="F347" t="s">
        <v>33</v>
      </c>
      <c r="G347" t="str">
        <f>"2026-06-11 16:32:50.691"</f>
        <v>2026-06-11 16:32:50.691</v>
      </c>
      <c r="H347" t="s">
        <v>21</v>
      </c>
    </row>
    <row r="348" spans="1:10" x14ac:dyDescent="0.25">
      <c r="A348" s="1">
        <v>41</v>
      </c>
      <c r="B348" t="s">
        <v>34</v>
      </c>
      <c r="C348">
        <v>635</v>
      </c>
      <c r="D348">
        <v>1</v>
      </c>
      <c r="E348" t="s">
        <v>32</v>
      </c>
      <c r="F348" t="s">
        <v>33</v>
      </c>
      <c r="G348" t="str">
        <f>"2026-06-11 16:29:27.191"</f>
        <v>2026-06-11 16:29:27.191</v>
      </c>
      <c r="H348" t="s">
        <v>21</v>
      </c>
      <c r="I348">
        <v>0</v>
      </c>
      <c r="J348" t="s">
        <v>40</v>
      </c>
    </row>
    <row r="349" spans="1:10" x14ac:dyDescent="0.25">
      <c r="A349" s="1">
        <v>42</v>
      </c>
      <c r="B349" t="s">
        <v>19</v>
      </c>
      <c r="C349">
        <v>700</v>
      </c>
      <c r="D349">
        <v>0</v>
      </c>
      <c r="E349" t="s">
        <v>20</v>
      </c>
      <c r="F349" t="s">
        <v>20</v>
      </c>
      <c r="G349" t="str">
        <f>"2026-06-11 14:04:57.548"</f>
        <v>2026-06-11 14:04:57.548</v>
      </c>
      <c r="H349" t="s">
        <v>21</v>
      </c>
      <c r="I349">
        <v>0</v>
      </c>
      <c r="J349" t="s">
        <v>22</v>
      </c>
    </row>
    <row r="350" spans="1:10" x14ac:dyDescent="0.25">
      <c r="A350" s="1">
        <v>43</v>
      </c>
      <c r="B350" t="s">
        <v>26</v>
      </c>
      <c r="C350">
        <v>630</v>
      </c>
      <c r="D350">
        <v>5</v>
      </c>
      <c r="E350" t="s">
        <v>27</v>
      </c>
      <c r="F350" t="s">
        <v>28</v>
      </c>
      <c r="G350" t="str">
        <f>"2026-06-10 21:26:32.002"</f>
        <v>2026-06-10 21:26:32.002</v>
      </c>
      <c r="H350" t="s">
        <v>29</v>
      </c>
    </row>
    <row r="351" spans="1:10" x14ac:dyDescent="0.25">
      <c r="A351" s="1">
        <v>44</v>
      </c>
      <c r="B351" t="s">
        <v>19</v>
      </c>
      <c r="C351">
        <v>706</v>
      </c>
      <c r="D351">
        <v>2</v>
      </c>
      <c r="E351" t="s">
        <v>23</v>
      </c>
      <c r="F351" t="s">
        <v>24</v>
      </c>
      <c r="G351" t="str">
        <f>"2026-06-10 21:26:01.844"</f>
        <v>2026-06-10 21:26:01.844</v>
      </c>
      <c r="H351" t="s">
        <v>21</v>
      </c>
      <c r="I351">
        <v>0</v>
      </c>
      <c r="J351" t="s">
        <v>25</v>
      </c>
    </row>
    <row r="352" spans="1:10" x14ac:dyDescent="0.25">
      <c r="A352" s="1">
        <v>45</v>
      </c>
      <c r="B352" t="s">
        <v>31</v>
      </c>
      <c r="C352">
        <v>630</v>
      </c>
      <c r="D352">
        <v>5</v>
      </c>
      <c r="E352" t="s">
        <v>27</v>
      </c>
      <c r="F352" t="s">
        <v>28</v>
      </c>
      <c r="G352" t="str">
        <f>"2026-06-10 21:21:42.902"</f>
        <v>2026-06-10 21:21:42.902</v>
      </c>
      <c r="H352" t="s">
        <v>29</v>
      </c>
      <c r="I352">
        <v>0</v>
      </c>
      <c r="J352" t="s">
        <v>25</v>
      </c>
    </row>
    <row r="353" spans="1:10" x14ac:dyDescent="0.25">
      <c r="A353" s="1">
        <v>46</v>
      </c>
      <c r="B353" t="s">
        <v>26</v>
      </c>
      <c r="C353">
        <v>635</v>
      </c>
      <c r="D353">
        <v>1</v>
      </c>
      <c r="E353" t="s">
        <v>32</v>
      </c>
      <c r="F353" t="s">
        <v>33</v>
      </c>
      <c r="G353" t="str">
        <f>"2026-06-10 18:29:22.302"</f>
        <v>2026-06-10 18:29:22.302</v>
      </c>
      <c r="H353" t="s">
        <v>21</v>
      </c>
    </row>
    <row r="354" spans="1:10" x14ac:dyDescent="0.25">
      <c r="A354" s="1">
        <v>47</v>
      </c>
      <c r="B354" t="s">
        <v>34</v>
      </c>
      <c r="C354">
        <v>635</v>
      </c>
      <c r="D354">
        <v>1</v>
      </c>
      <c r="E354" t="s">
        <v>32</v>
      </c>
      <c r="F354" t="s">
        <v>33</v>
      </c>
      <c r="G354" t="str">
        <f>"2026-06-10 18:22:43.303"</f>
        <v>2026-06-10 18:22:43.303</v>
      </c>
      <c r="H354" t="s">
        <v>21</v>
      </c>
      <c r="I354">
        <v>3.2</v>
      </c>
      <c r="J354" t="s">
        <v>35</v>
      </c>
    </row>
    <row r="355" spans="1:10" x14ac:dyDescent="0.25">
      <c r="A355" s="1">
        <v>48</v>
      </c>
      <c r="B355" t="s">
        <v>19</v>
      </c>
      <c r="C355">
        <v>700</v>
      </c>
      <c r="D355">
        <v>0</v>
      </c>
      <c r="E355" t="s">
        <v>20</v>
      </c>
      <c r="F355" t="s">
        <v>20</v>
      </c>
      <c r="G355" t="str">
        <f>"2026-06-10 12:32:08.544"</f>
        <v>2026-06-10 12:32:08.544</v>
      </c>
      <c r="H355" t="s">
        <v>21</v>
      </c>
    </row>
    <row r="356" spans="1:10" x14ac:dyDescent="0.25">
      <c r="A356" s="1">
        <v>49</v>
      </c>
      <c r="B356" t="s">
        <v>44</v>
      </c>
      <c r="C356">
        <v>33</v>
      </c>
      <c r="D356">
        <v>1</v>
      </c>
      <c r="E356" t="s">
        <v>45</v>
      </c>
      <c r="F356" t="s">
        <v>46</v>
      </c>
      <c r="G356" t="str">
        <f>"2026-06-10 00:22:47.405"</f>
        <v>2026-06-10 00:22:47.405</v>
      </c>
      <c r="H356" t="s">
        <v>47</v>
      </c>
    </row>
    <row r="357" spans="1:10" x14ac:dyDescent="0.25">
      <c r="A357" s="1">
        <v>50</v>
      </c>
      <c r="B357" t="s">
        <v>31</v>
      </c>
      <c r="C357">
        <v>33</v>
      </c>
      <c r="D357">
        <v>1</v>
      </c>
      <c r="E357" t="s">
        <v>45</v>
      </c>
      <c r="F357" t="s">
        <v>46</v>
      </c>
      <c r="G357" t="str">
        <f>"2026-06-10 00:22:21.284"</f>
        <v>2026-06-10 00:22:21.284</v>
      </c>
      <c r="H357" t="s">
        <v>47</v>
      </c>
      <c r="I357">
        <v>9.9700000000000006</v>
      </c>
      <c r="J357" t="s">
        <v>35</v>
      </c>
    </row>
    <row r="358" spans="1:10" x14ac:dyDescent="0.25">
      <c r="A358" s="1">
        <v>51</v>
      </c>
      <c r="B358" t="s">
        <v>26</v>
      </c>
      <c r="C358">
        <v>635</v>
      </c>
      <c r="D358">
        <v>1</v>
      </c>
      <c r="E358" t="s">
        <v>32</v>
      </c>
      <c r="F358" t="s">
        <v>33</v>
      </c>
      <c r="G358" t="str">
        <f>"2026-06-09 23:33:15.905"</f>
        <v>2026-06-09 23:33:15.905</v>
      </c>
      <c r="H358" t="s">
        <v>21</v>
      </c>
    </row>
    <row r="359" spans="1:10" x14ac:dyDescent="0.25">
      <c r="A359" s="1">
        <v>52</v>
      </c>
      <c r="B359" t="s">
        <v>34</v>
      </c>
      <c r="C359">
        <v>635</v>
      </c>
      <c r="D359">
        <v>1</v>
      </c>
      <c r="E359" t="s">
        <v>32</v>
      </c>
      <c r="F359" t="s">
        <v>33</v>
      </c>
      <c r="G359" t="str">
        <f>"2026-06-09 23:29:37.405"</f>
        <v>2026-06-09 23:29:37.405</v>
      </c>
      <c r="H359" t="s">
        <v>21</v>
      </c>
      <c r="I359">
        <v>5.0599999999999996</v>
      </c>
      <c r="J359" t="s">
        <v>35</v>
      </c>
    </row>
    <row r="360" spans="1:10" x14ac:dyDescent="0.25">
      <c r="A360" s="1">
        <v>53</v>
      </c>
      <c r="B360" t="s">
        <v>26</v>
      </c>
      <c r="C360">
        <v>630</v>
      </c>
      <c r="D360">
        <v>5</v>
      </c>
      <c r="E360" t="s">
        <v>27</v>
      </c>
      <c r="F360" t="s">
        <v>28</v>
      </c>
      <c r="G360" t="str">
        <f>"2026-06-09 20:07:54.606"</f>
        <v>2026-06-09 20:07:54.606</v>
      </c>
      <c r="H360" t="s">
        <v>29</v>
      </c>
    </row>
    <row r="361" spans="1:10" x14ac:dyDescent="0.25">
      <c r="A361" s="1">
        <v>54</v>
      </c>
      <c r="B361" t="s">
        <v>19</v>
      </c>
      <c r="C361">
        <v>706</v>
      </c>
      <c r="D361">
        <v>2</v>
      </c>
      <c r="E361" t="s">
        <v>23</v>
      </c>
      <c r="F361" t="s">
        <v>24</v>
      </c>
      <c r="G361" t="str">
        <f>"2026-06-09 20:07:24.599"</f>
        <v>2026-06-09 20:07:24.599</v>
      </c>
      <c r="H361" t="s">
        <v>21</v>
      </c>
      <c r="I361">
        <v>0</v>
      </c>
      <c r="J361" t="s">
        <v>25</v>
      </c>
    </row>
    <row r="362" spans="1:10" x14ac:dyDescent="0.25">
      <c r="A362" s="1">
        <v>55</v>
      </c>
      <c r="B362" t="s">
        <v>31</v>
      </c>
      <c r="C362">
        <v>630</v>
      </c>
      <c r="D362">
        <v>5</v>
      </c>
      <c r="E362" t="s">
        <v>27</v>
      </c>
      <c r="F362" t="s">
        <v>28</v>
      </c>
      <c r="G362" t="str">
        <f>"2026-06-09 20:01:25.606"</f>
        <v>2026-06-09 20:01:25.606</v>
      </c>
      <c r="H362" t="s">
        <v>29</v>
      </c>
      <c r="I362">
        <v>0</v>
      </c>
      <c r="J362" t="s">
        <v>25</v>
      </c>
    </row>
    <row r="363" spans="1:10" x14ac:dyDescent="0.25">
      <c r="A363" s="1">
        <v>56</v>
      </c>
      <c r="B363" t="s">
        <v>19</v>
      </c>
      <c r="C363">
        <v>700</v>
      </c>
      <c r="D363">
        <v>0</v>
      </c>
      <c r="E363" t="s">
        <v>20</v>
      </c>
      <c r="F363" t="s">
        <v>20</v>
      </c>
      <c r="G363" t="str">
        <f>"2026-06-09 18:42:36.659"</f>
        <v>2026-06-09 18:42:36.659</v>
      </c>
      <c r="H363" t="s">
        <v>21</v>
      </c>
      <c r="I363">
        <v>0</v>
      </c>
      <c r="J363" t="s">
        <v>22</v>
      </c>
    </row>
    <row r="364" spans="1:10" x14ac:dyDescent="0.25">
      <c r="A364" s="1">
        <v>57</v>
      </c>
      <c r="B364" t="s">
        <v>19</v>
      </c>
      <c r="C364">
        <v>700</v>
      </c>
      <c r="D364">
        <v>0</v>
      </c>
      <c r="E364" t="s">
        <v>20</v>
      </c>
      <c r="F364" t="s">
        <v>20</v>
      </c>
      <c r="G364" t="str">
        <f>"2026-06-09 17:31:38.532"</f>
        <v>2026-06-09 17:31:38.532</v>
      </c>
      <c r="H364" t="s">
        <v>21</v>
      </c>
    </row>
    <row r="365" spans="1:10" x14ac:dyDescent="0.25">
      <c r="A365" s="1">
        <v>58</v>
      </c>
      <c r="B365" t="s">
        <v>19</v>
      </c>
      <c r="C365">
        <v>700</v>
      </c>
      <c r="D365">
        <v>0</v>
      </c>
      <c r="E365" t="s">
        <v>20</v>
      </c>
      <c r="F365" t="s">
        <v>20</v>
      </c>
      <c r="G365" t="str">
        <f>"2026-06-09 09:22:45.702"</f>
        <v>2026-06-09 09:22:45.702</v>
      </c>
      <c r="H365" t="s">
        <v>21</v>
      </c>
      <c r="I365">
        <v>0</v>
      </c>
      <c r="J365" t="s">
        <v>22</v>
      </c>
    </row>
    <row r="366" spans="1:10" x14ac:dyDescent="0.25">
      <c r="A366" s="1">
        <v>59</v>
      </c>
      <c r="B366" t="s">
        <v>26</v>
      </c>
      <c r="C366">
        <v>630</v>
      </c>
      <c r="D366">
        <v>5</v>
      </c>
      <c r="E366" t="s">
        <v>27</v>
      </c>
      <c r="F366" t="s">
        <v>28</v>
      </c>
      <c r="G366" t="str">
        <f>"2026-06-08 20:43:47.501"</f>
        <v>2026-06-08 20:43:47.501</v>
      </c>
      <c r="H366" t="s">
        <v>29</v>
      </c>
    </row>
    <row r="367" spans="1:10" x14ac:dyDescent="0.25">
      <c r="A367" s="1">
        <v>60</v>
      </c>
      <c r="B367" t="s">
        <v>19</v>
      </c>
      <c r="C367">
        <v>706</v>
      </c>
      <c r="D367">
        <v>4</v>
      </c>
      <c r="E367" t="s">
        <v>23</v>
      </c>
      <c r="F367" t="s">
        <v>30</v>
      </c>
      <c r="G367" t="str">
        <f>"2026-06-08 20:43:17.404"</f>
        <v>2026-06-08 20:43:17.404</v>
      </c>
      <c r="H367" t="s">
        <v>21</v>
      </c>
      <c r="I367">
        <v>0</v>
      </c>
      <c r="J367" t="s">
        <v>25</v>
      </c>
    </row>
    <row r="368" spans="1:10" x14ac:dyDescent="0.25">
      <c r="A368" s="1">
        <v>61</v>
      </c>
      <c r="B368" t="s">
        <v>31</v>
      </c>
      <c r="C368">
        <v>630</v>
      </c>
      <c r="D368">
        <v>5</v>
      </c>
      <c r="E368" t="s">
        <v>27</v>
      </c>
      <c r="F368" t="s">
        <v>28</v>
      </c>
      <c r="G368" t="str">
        <f>"2026-06-08 20:39:17.102"</f>
        <v>2026-06-08 20:39:17.102</v>
      </c>
      <c r="H368" t="s">
        <v>29</v>
      </c>
      <c r="I368">
        <v>0</v>
      </c>
      <c r="J368" t="s">
        <v>25</v>
      </c>
    </row>
    <row r="369" spans="1:10" x14ac:dyDescent="0.25">
      <c r="A369" s="1">
        <v>62</v>
      </c>
      <c r="B369" t="s">
        <v>19</v>
      </c>
      <c r="C369">
        <v>700</v>
      </c>
      <c r="D369">
        <v>0</v>
      </c>
      <c r="E369" t="s">
        <v>20</v>
      </c>
      <c r="F369" t="s">
        <v>20</v>
      </c>
      <c r="G369" t="str">
        <f>"2026-06-08 13:42:25.544"</f>
        <v>2026-06-08 13:42:25.544</v>
      </c>
      <c r="H369" t="s">
        <v>21</v>
      </c>
    </row>
    <row r="370" spans="1:10" x14ac:dyDescent="0.25">
      <c r="A370" s="1">
        <v>63</v>
      </c>
      <c r="B370" t="s">
        <v>19</v>
      </c>
      <c r="C370">
        <v>700</v>
      </c>
      <c r="D370">
        <v>0</v>
      </c>
      <c r="E370" t="s">
        <v>20</v>
      </c>
      <c r="F370" t="s">
        <v>20</v>
      </c>
      <c r="G370" t="str">
        <f>"2026-06-08 09:30:22.536"</f>
        <v>2026-06-08 09:30:22.536</v>
      </c>
      <c r="H370" t="s">
        <v>21</v>
      </c>
    </row>
    <row r="371" spans="1:10" x14ac:dyDescent="0.25">
      <c r="A371" s="1">
        <v>65</v>
      </c>
      <c r="B371" t="s">
        <v>19</v>
      </c>
      <c r="C371">
        <v>700</v>
      </c>
      <c r="D371">
        <v>0</v>
      </c>
      <c r="E371" t="s">
        <v>20</v>
      </c>
      <c r="F371" t="s">
        <v>20</v>
      </c>
      <c r="G371" t="str">
        <f>"2026-06-08 03:27:30.494"</f>
        <v>2026-06-08 03:27:30.494</v>
      </c>
      <c r="H371" t="s">
        <v>21</v>
      </c>
    </row>
    <row r="372" spans="1:10" x14ac:dyDescent="0.25">
      <c r="A372" s="1">
        <v>66</v>
      </c>
      <c r="B372" t="s">
        <v>19</v>
      </c>
      <c r="C372">
        <v>700</v>
      </c>
      <c r="D372">
        <v>0</v>
      </c>
      <c r="E372" t="s">
        <v>20</v>
      </c>
      <c r="F372" t="s">
        <v>20</v>
      </c>
      <c r="G372" t="str">
        <f>"2026-06-08 03:23:38.671"</f>
        <v>2026-06-08 03:23:38.671</v>
      </c>
      <c r="H372" t="s">
        <v>21</v>
      </c>
      <c r="I372">
        <v>0</v>
      </c>
      <c r="J372" t="s">
        <v>22</v>
      </c>
    </row>
    <row r="373" spans="1:10" x14ac:dyDescent="0.25">
      <c r="A373" s="1">
        <v>67</v>
      </c>
      <c r="B373" t="s">
        <v>31</v>
      </c>
      <c r="C373">
        <v>630</v>
      </c>
      <c r="D373">
        <v>5</v>
      </c>
      <c r="E373" t="s">
        <v>27</v>
      </c>
      <c r="F373" t="s">
        <v>28</v>
      </c>
      <c r="G373" t="str">
        <f>"2026-06-08 03:10:15.486"</f>
        <v>2026-06-08 03:10:15.486</v>
      </c>
      <c r="H373" t="s">
        <v>29</v>
      </c>
      <c r="I373">
        <v>0</v>
      </c>
      <c r="J373" t="s">
        <v>25</v>
      </c>
    </row>
    <row r="374" spans="1:10" x14ac:dyDescent="0.25">
      <c r="A374" s="1">
        <v>68</v>
      </c>
      <c r="B374" t="s">
        <v>26</v>
      </c>
      <c r="C374">
        <v>630</v>
      </c>
      <c r="D374">
        <v>5</v>
      </c>
      <c r="E374" t="s">
        <v>27</v>
      </c>
      <c r="F374" t="s">
        <v>28</v>
      </c>
      <c r="G374" t="str">
        <f>"2026-06-07 14:06:12.886"</f>
        <v>2026-06-07 14:06:12.886</v>
      </c>
      <c r="H374" t="s">
        <v>29</v>
      </c>
    </row>
    <row r="375" spans="1:10" x14ac:dyDescent="0.25">
      <c r="A375" s="1">
        <v>69</v>
      </c>
      <c r="B375" t="s">
        <v>19</v>
      </c>
      <c r="C375">
        <v>706</v>
      </c>
      <c r="D375">
        <v>4</v>
      </c>
      <c r="E375" t="s">
        <v>23</v>
      </c>
      <c r="F375" t="s">
        <v>30</v>
      </c>
      <c r="G375" t="str">
        <f>"2026-06-07 14:05:42.773"</f>
        <v>2026-06-07 14:05:42.773</v>
      </c>
      <c r="H375" t="s">
        <v>21</v>
      </c>
      <c r="I375">
        <v>0</v>
      </c>
      <c r="J375" t="s">
        <v>25</v>
      </c>
    </row>
    <row r="376" spans="1:10" x14ac:dyDescent="0.25">
      <c r="A376" s="1">
        <v>70</v>
      </c>
      <c r="B376" t="s">
        <v>31</v>
      </c>
      <c r="C376">
        <v>630</v>
      </c>
      <c r="D376">
        <v>5</v>
      </c>
      <c r="E376" t="s">
        <v>27</v>
      </c>
      <c r="F376" t="s">
        <v>28</v>
      </c>
      <c r="G376" t="str">
        <f>"2026-06-07 13:18:33.886"</f>
        <v>2026-06-07 13:18:33.886</v>
      </c>
      <c r="H376" t="s">
        <v>29</v>
      </c>
      <c r="I376">
        <v>0</v>
      </c>
      <c r="J376" t="s">
        <v>25</v>
      </c>
    </row>
    <row r="377" spans="1:10" x14ac:dyDescent="0.25">
      <c r="A377" s="1">
        <v>71</v>
      </c>
      <c r="B377" t="s">
        <v>26</v>
      </c>
      <c r="C377">
        <v>635</v>
      </c>
      <c r="D377">
        <v>1</v>
      </c>
      <c r="E377" t="s">
        <v>32</v>
      </c>
      <c r="F377" t="s">
        <v>33</v>
      </c>
      <c r="G377" t="str">
        <f>"2026-06-07 03:16:35.885"</f>
        <v>2026-06-07 03:16:35.885</v>
      </c>
      <c r="H377" t="s">
        <v>21</v>
      </c>
    </row>
    <row r="378" spans="1:10" x14ac:dyDescent="0.25">
      <c r="A378" s="1">
        <v>72</v>
      </c>
      <c r="B378" t="s">
        <v>34</v>
      </c>
      <c r="C378">
        <v>635</v>
      </c>
      <c r="D378">
        <v>1</v>
      </c>
      <c r="E378" t="s">
        <v>32</v>
      </c>
      <c r="F378" t="s">
        <v>33</v>
      </c>
      <c r="G378" t="str">
        <f>"2026-06-07 03:13:32.385"</f>
        <v>2026-06-07 03:13:32.385</v>
      </c>
      <c r="H378" t="s">
        <v>21</v>
      </c>
      <c r="I378">
        <v>2.81</v>
      </c>
      <c r="J378" t="s">
        <v>35</v>
      </c>
    </row>
    <row r="379" spans="1:10" x14ac:dyDescent="0.25">
      <c r="A379" s="1">
        <v>73</v>
      </c>
      <c r="B379" t="s">
        <v>19</v>
      </c>
      <c r="C379">
        <v>700</v>
      </c>
      <c r="D379">
        <v>0</v>
      </c>
      <c r="E379" t="s">
        <v>20</v>
      </c>
      <c r="F379" t="s">
        <v>20</v>
      </c>
      <c r="G379" t="str">
        <f>"2026-06-07 02:50:03.543"</f>
        <v>2026-06-07 02:50:03.543</v>
      </c>
      <c r="H379" t="s">
        <v>21</v>
      </c>
      <c r="I379">
        <v>0</v>
      </c>
      <c r="J379" t="s">
        <v>22</v>
      </c>
    </row>
    <row r="380" spans="1:10" x14ac:dyDescent="0.25">
      <c r="A380" s="1">
        <v>74</v>
      </c>
      <c r="B380" t="s">
        <v>19</v>
      </c>
      <c r="C380">
        <v>700</v>
      </c>
      <c r="D380">
        <v>0</v>
      </c>
      <c r="E380" t="s">
        <v>20</v>
      </c>
      <c r="F380" t="s">
        <v>20</v>
      </c>
      <c r="G380" t="str">
        <f>"2026-06-06 20:44:26.508"</f>
        <v>2026-06-06 20:44:26.508</v>
      </c>
      <c r="H380" t="s">
        <v>21</v>
      </c>
      <c r="I380">
        <v>0</v>
      </c>
      <c r="J380" t="s">
        <v>22</v>
      </c>
    </row>
    <row r="381" spans="1:10" x14ac:dyDescent="0.25">
      <c r="A381" s="1">
        <v>75</v>
      </c>
      <c r="B381" t="s">
        <v>19</v>
      </c>
      <c r="C381">
        <v>700</v>
      </c>
      <c r="D381">
        <v>0</v>
      </c>
      <c r="E381" t="s">
        <v>20</v>
      </c>
      <c r="F381" t="s">
        <v>20</v>
      </c>
      <c r="G381" t="str">
        <f>"2026-06-06 19:46:09.537"</f>
        <v>2026-06-06 19:46:09.537</v>
      </c>
      <c r="H381" t="s">
        <v>21</v>
      </c>
      <c r="I381">
        <v>0</v>
      </c>
      <c r="J381" t="s">
        <v>22</v>
      </c>
    </row>
    <row r="382" spans="1:10" x14ac:dyDescent="0.25">
      <c r="A382" s="1">
        <v>76</v>
      </c>
      <c r="B382" t="s">
        <v>26</v>
      </c>
      <c r="C382">
        <v>630</v>
      </c>
      <c r="D382">
        <v>5</v>
      </c>
      <c r="E382" t="s">
        <v>27</v>
      </c>
      <c r="F382" t="s">
        <v>28</v>
      </c>
      <c r="G382" t="str">
        <f>"2026-06-06 14:17:10.761"</f>
        <v>2026-06-06 14:17:10.761</v>
      </c>
      <c r="H382" t="s">
        <v>29</v>
      </c>
    </row>
    <row r="383" spans="1:10" x14ac:dyDescent="0.25">
      <c r="A383" s="1">
        <v>77</v>
      </c>
      <c r="B383" t="s">
        <v>19</v>
      </c>
      <c r="C383">
        <v>706</v>
      </c>
      <c r="D383">
        <v>4</v>
      </c>
      <c r="E383" t="s">
        <v>23</v>
      </c>
      <c r="F383" t="s">
        <v>30</v>
      </c>
      <c r="G383" t="str">
        <f>"2026-06-06 14:16:40.763"</f>
        <v>2026-06-06 14:16:40.763</v>
      </c>
      <c r="H383" t="s">
        <v>21</v>
      </c>
      <c r="I383">
        <v>0</v>
      </c>
      <c r="J383" t="s">
        <v>25</v>
      </c>
    </row>
    <row r="384" spans="1:10" x14ac:dyDescent="0.25">
      <c r="A384" s="1">
        <v>78</v>
      </c>
      <c r="B384" t="s">
        <v>31</v>
      </c>
      <c r="C384">
        <v>630</v>
      </c>
      <c r="D384">
        <v>5</v>
      </c>
      <c r="E384" t="s">
        <v>27</v>
      </c>
      <c r="F384" t="s">
        <v>28</v>
      </c>
      <c r="G384" t="str">
        <f>"2026-06-06 13:22:37.761"</f>
        <v>2026-06-06 13:22:37.761</v>
      </c>
      <c r="H384" t="s">
        <v>29</v>
      </c>
      <c r="I384">
        <v>0</v>
      </c>
      <c r="J384" t="s">
        <v>25</v>
      </c>
    </row>
    <row r="385" spans="1:10" x14ac:dyDescent="0.25">
      <c r="A385" s="1">
        <v>79</v>
      </c>
      <c r="B385" t="s">
        <v>26</v>
      </c>
      <c r="C385">
        <v>635</v>
      </c>
      <c r="D385">
        <v>1</v>
      </c>
      <c r="E385" t="s">
        <v>32</v>
      </c>
      <c r="F385" t="s">
        <v>33</v>
      </c>
      <c r="G385" t="str">
        <f>"2026-06-06 07:00:02.261"</f>
        <v>2026-06-06 07:00:02.261</v>
      </c>
      <c r="H385" t="s">
        <v>21</v>
      </c>
    </row>
    <row r="386" spans="1:10" x14ac:dyDescent="0.25">
      <c r="A386" s="1">
        <v>80</v>
      </c>
      <c r="B386" t="s">
        <v>34</v>
      </c>
      <c r="C386">
        <v>635</v>
      </c>
      <c r="D386">
        <v>1</v>
      </c>
      <c r="E386" t="s">
        <v>32</v>
      </c>
      <c r="F386" t="s">
        <v>33</v>
      </c>
      <c r="G386" t="str">
        <f>"2026-06-06 06:52:31.761"</f>
        <v>2026-06-06 06:52:31.761</v>
      </c>
      <c r="H386" t="s">
        <v>21</v>
      </c>
      <c r="I386">
        <v>3.39</v>
      </c>
      <c r="J386" t="s">
        <v>35</v>
      </c>
    </row>
    <row r="387" spans="1:10" x14ac:dyDescent="0.25">
      <c r="A387" s="1">
        <v>81</v>
      </c>
      <c r="B387" t="s">
        <v>26</v>
      </c>
      <c r="C387">
        <v>630</v>
      </c>
      <c r="D387">
        <v>5</v>
      </c>
      <c r="E387" t="s">
        <v>27</v>
      </c>
      <c r="F387" t="s">
        <v>28</v>
      </c>
      <c r="G387" t="str">
        <f>"2026-06-05 23:40:40.061"</f>
        <v>2026-06-05 23:40:40.061</v>
      </c>
      <c r="H387" t="s">
        <v>29</v>
      </c>
    </row>
    <row r="388" spans="1:10" x14ac:dyDescent="0.25">
      <c r="A388" s="1">
        <v>82</v>
      </c>
      <c r="B388" t="s">
        <v>19</v>
      </c>
      <c r="C388">
        <v>706</v>
      </c>
      <c r="D388">
        <v>2</v>
      </c>
      <c r="E388" t="s">
        <v>23</v>
      </c>
      <c r="F388" t="s">
        <v>24</v>
      </c>
      <c r="G388" t="str">
        <f>"2026-06-05 23:40:09.933"</f>
        <v>2026-06-05 23:40:09.933</v>
      </c>
      <c r="H388" t="s">
        <v>21</v>
      </c>
      <c r="I388">
        <v>0</v>
      </c>
      <c r="J388" t="s">
        <v>25</v>
      </c>
    </row>
    <row r="389" spans="1:10" x14ac:dyDescent="0.25">
      <c r="A389" s="1">
        <v>83</v>
      </c>
      <c r="B389" t="s">
        <v>31</v>
      </c>
      <c r="C389">
        <v>630</v>
      </c>
      <c r="D389">
        <v>5</v>
      </c>
      <c r="E389" t="s">
        <v>27</v>
      </c>
      <c r="F389" t="s">
        <v>28</v>
      </c>
      <c r="G389" t="str">
        <f>"2026-06-05 23:36:21.061"</f>
        <v>2026-06-05 23:36:21.061</v>
      </c>
      <c r="H389" t="s">
        <v>29</v>
      </c>
      <c r="I389">
        <v>0</v>
      </c>
      <c r="J389" t="s">
        <v>25</v>
      </c>
    </row>
    <row r="390" spans="1:10" x14ac:dyDescent="0.25">
      <c r="A390" s="1">
        <v>84</v>
      </c>
      <c r="B390" t="s">
        <v>26</v>
      </c>
      <c r="C390">
        <v>635</v>
      </c>
      <c r="D390">
        <v>1</v>
      </c>
      <c r="E390" t="s">
        <v>32</v>
      </c>
      <c r="F390" t="s">
        <v>33</v>
      </c>
      <c r="G390" t="str">
        <f>"2026-06-05 19:12:10.661"</f>
        <v>2026-06-05 19:12:10.661</v>
      </c>
      <c r="H390" t="s">
        <v>21</v>
      </c>
    </row>
    <row r="391" spans="1:10" x14ac:dyDescent="0.25">
      <c r="A391" s="1">
        <v>85</v>
      </c>
      <c r="B391" t="s">
        <v>34</v>
      </c>
      <c r="C391">
        <v>635</v>
      </c>
      <c r="D391">
        <v>1</v>
      </c>
      <c r="E391" t="s">
        <v>32</v>
      </c>
      <c r="F391" t="s">
        <v>33</v>
      </c>
      <c r="G391" t="str">
        <f>"2026-06-05 19:06:36.662"</f>
        <v>2026-06-05 19:06:36.662</v>
      </c>
      <c r="H391" t="s">
        <v>21</v>
      </c>
      <c r="I391">
        <v>0.78</v>
      </c>
      <c r="J391" t="s">
        <v>40</v>
      </c>
    </row>
    <row r="392" spans="1:10" x14ac:dyDescent="0.25">
      <c r="A392" s="1">
        <v>86</v>
      </c>
      <c r="B392" t="s">
        <v>19</v>
      </c>
      <c r="C392">
        <v>700</v>
      </c>
      <c r="D392">
        <v>0</v>
      </c>
      <c r="E392" t="s">
        <v>20</v>
      </c>
      <c r="F392" t="s">
        <v>20</v>
      </c>
      <c r="G392" t="str">
        <f>"2026-06-05 12:14:27.493"</f>
        <v>2026-06-05 12:14:27.493</v>
      </c>
      <c r="H392" t="s">
        <v>21</v>
      </c>
    </row>
    <row r="393" spans="1:10" x14ac:dyDescent="0.25">
      <c r="A393" s="1">
        <v>87</v>
      </c>
      <c r="B393" t="s">
        <v>26</v>
      </c>
      <c r="C393">
        <v>630</v>
      </c>
      <c r="D393">
        <v>5</v>
      </c>
      <c r="E393" t="s">
        <v>27</v>
      </c>
      <c r="F393" t="s">
        <v>28</v>
      </c>
      <c r="G393" t="str">
        <f>"2026-06-04 20:08:32.692"</f>
        <v>2026-06-04 20:08:32.692</v>
      </c>
      <c r="H393" t="s">
        <v>29</v>
      </c>
    </row>
    <row r="394" spans="1:10" x14ac:dyDescent="0.25">
      <c r="A394" s="1">
        <v>88</v>
      </c>
      <c r="B394" t="s">
        <v>19</v>
      </c>
      <c r="C394">
        <v>706</v>
      </c>
      <c r="D394">
        <v>2</v>
      </c>
      <c r="E394" t="s">
        <v>23</v>
      </c>
      <c r="F394" t="s">
        <v>24</v>
      </c>
      <c r="G394" t="str">
        <f>"2026-06-04 20:08:02.614"</f>
        <v>2026-06-04 20:08:02.614</v>
      </c>
      <c r="H394" t="s">
        <v>21</v>
      </c>
      <c r="I394">
        <v>0</v>
      </c>
      <c r="J394" t="s">
        <v>25</v>
      </c>
    </row>
    <row r="395" spans="1:10" x14ac:dyDescent="0.25">
      <c r="A395" s="1">
        <v>89</v>
      </c>
      <c r="B395" t="s">
        <v>31</v>
      </c>
      <c r="C395">
        <v>630</v>
      </c>
      <c r="D395">
        <v>5</v>
      </c>
      <c r="E395" t="s">
        <v>27</v>
      </c>
      <c r="F395" t="s">
        <v>28</v>
      </c>
      <c r="G395" t="str">
        <f>"2026-06-04 20:03:23.092"</f>
        <v>2026-06-04 20:03:23.092</v>
      </c>
      <c r="H395" t="s">
        <v>29</v>
      </c>
      <c r="I395">
        <v>0</v>
      </c>
      <c r="J395" t="s">
        <v>25</v>
      </c>
    </row>
    <row r="396" spans="1:10" x14ac:dyDescent="0.25">
      <c r="A396" s="1">
        <v>90</v>
      </c>
      <c r="B396" t="s">
        <v>26</v>
      </c>
      <c r="C396">
        <v>635</v>
      </c>
      <c r="D396">
        <v>1</v>
      </c>
      <c r="E396" t="s">
        <v>32</v>
      </c>
      <c r="F396" t="s">
        <v>33</v>
      </c>
      <c r="G396" t="str">
        <f>"2026-06-04 16:55:01.644"</f>
        <v>2026-06-04 16:55:01.644</v>
      </c>
      <c r="H396" t="s">
        <v>21</v>
      </c>
    </row>
    <row r="397" spans="1:10" x14ac:dyDescent="0.25">
      <c r="A397" s="1">
        <v>91</v>
      </c>
      <c r="B397" t="s">
        <v>34</v>
      </c>
      <c r="C397">
        <v>635</v>
      </c>
      <c r="D397">
        <v>1</v>
      </c>
      <c r="E397" t="s">
        <v>32</v>
      </c>
      <c r="F397" t="s">
        <v>33</v>
      </c>
      <c r="G397" t="str">
        <f>"2026-06-04 16:49:46.643"</f>
        <v>2026-06-04 16:49:46.643</v>
      </c>
      <c r="H397" t="s">
        <v>21</v>
      </c>
      <c r="I397">
        <v>4.3899999999999997</v>
      </c>
      <c r="J397" t="s">
        <v>35</v>
      </c>
    </row>
    <row r="398" spans="1:10" x14ac:dyDescent="0.25">
      <c r="A398" s="1">
        <v>92</v>
      </c>
      <c r="B398" t="s">
        <v>19</v>
      </c>
      <c r="C398">
        <v>700</v>
      </c>
      <c r="D398">
        <v>0</v>
      </c>
      <c r="E398" t="s">
        <v>20</v>
      </c>
      <c r="F398" t="s">
        <v>20</v>
      </c>
      <c r="G398" t="str">
        <f>"2026-06-04 13:46:35.534"</f>
        <v>2026-06-04 13:46:35.534</v>
      </c>
      <c r="H398" t="s">
        <v>21</v>
      </c>
      <c r="I398">
        <v>0</v>
      </c>
      <c r="J398" t="s">
        <v>22</v>
      </c>
    </row>
    <row r="399" spans="1:10" x14ac:dyDescent="0.25">
      <c r="A399" s="1">
        <v>93</v>
      </c>
      <c r="B399" t="s">
        <v>26</v>
      </c>
      <c r="C399">
        <v>635</v>
      </c>
      <c r="D399">
        <v>1</v>
      </c>
      <c r="E399" t="s">
        <v>32</v>
      </c>
      <c r="F399" t="s">
        <v>33</v>
      </c>
      <c r="G399" t="str">
        <f>"2026-06-04 11:16:09.745"</f>
        <v>2026-06-04 11:16:09.745</v>
      </c>
      <c r="H399" t="s">
        <v>21</v>
      </c>
    </row>
    <row r="400" spans="1:10" x14ac:dyDescent="0.25">
      <c r="A400" s="1">
        <v>94</v>
      </c>
      <c r="B400" t="s">
        <v>34</v>
      </c>
      <c r="C400">
        <v>635</v>
      </c>
      <c r="D400">
        <v>1</v>
      </c>
      <c r="E400" t="s">
        <v>32</v>
      </c>
      <c r="F400" t="s">
        <v>33</v>
      </c>
      <c r="G400" t="str">
        <f>"2026-06-04 11:07:57.245"</f>
        <v>2026-06-04 11:07:57.245</v>
      </c>
      <c r="H400" t="s">
        <v>21</v>
      </c>
      <c r="I400">
        <v>5.23</v>
      </c>
      <c r="J400" t="s">
        <v>35</v>
      </c>
    </row>
    <row r="401" spans="1:10" x14ac:dyDescent="0.25">
      <c r="A401" s="1">
        <v>95</v>
      </c>
      <c r="B401" t="s">
        <v>26</v>
      </c>
      <c r="C401">
        <v>630</v>
      </c>
      <c r="D401">
        <v>5</v>
      </c>
      <c r="E401" t="s">
        <v>27</v>
      </c>
      <c r="F401" t="s">
        <v>28</v>
      </c>
      <c r="G401" t="str">
        <f>"2026-06-03 21:17:33.646"</f>
        <v>2026-06-03 21:17:33.646</v>
      </c>
      <c r="H401" t="s">
        <v>29</v>
      </c>
    </row>
    <row r="402" spans="1:10" x14ac:dyDescent="0.25">
      <c r="A402" s="1">
        <v>96</v>
      </c>
      <c r="B402" t="s">
        <v>19</v>
      </c>
      <c r="C402">
        <v>706</v>
      </c>
      <c r="D402">
        <v>4</v>
      </c>
      <c r="E402" t="s">
        <v>23</v>
      </c>
      <c r="F402" t="s">
        <v>30</v>
      </c>
      <c r="G402" t="str">
        <f>"2026-06-03 21:17:03.615"</f>
        <v>2026-06-03 21:17:03.615</v>
      </c>
      <c r="H402" t="s">
        <v>21</v>
      </c>
      <c r="I402">
        <v>0</v>
      </c>
      <c r="J402" t="s">
        <v>25</v>
      </c>
    </row>
    <row r="403" spans="1:10" x14ac:dyDescent="0.25">
      <c r="A403" s="1">
        <v>97</v>
      </c>
      <c r="B403" t="s">
        <v>31</v>
      </c>
      <c r="C403">
        <v>630</v>
      </c>
      <c r="D403">
        <v>5</v>
      </c>
      <c r="E403" t="s">
        <v>27</v>
      </c>
      <c r="F403" t="s">
        <v>28</v>
      </c>
      <c r="G403" t="str">
        <f>"2026-06-03 21:10:26.146"</f>
        <v>2026-06-03 21:10:26.146</v>
      </c>
      <c r="H403" t="s">
        <v>29</v>
      </c>
      <c r="I403">
        <v>0</v>
      </c>
      <c r="J403" t="s">
        <v>25</v>
      </c>
    </row>
    <row r="404" spans="1:10" x14ac:dyDescent="0.25">
      <c r="A404" s="1">
        <v>98</v>
      </c>
      <c r="B404" t="s">
        <v>26</v>
      </c>
      <c r="C404">
        <v>635</v>
      </c>
      <c r="D404">
        <v>1</v>
      </c>
      <c r="E404" t="s">
        <v>32</v>
      </c>
      <c r="F404" t="s">
        <v>33</v>
      </c>
      <c r="G404" t="str">
        <f>"2026-06-03 16:55:43.345"</f>
        <v>2026-06-03 16:55:43.345</v>
      </c>
      <c r="H404" t="s">
        <v>21</v>
      </c>
    </row>
    <row r="405" spans="1:10" x14ac:dyDescent="0.25">
      <c r="A405" s="1">
        <v>99</v>
      </c>
      <c r="B405" t="s">
        <v>34</v>
      </c>
      <c r="C405">
        <v>635</v>
      </c>
      <c r="D405">
        <v>1</v>
      </c>
      <c r="E405" t="s">
        <v>32</v>
      </c>
      <c r="F405" t="s">
        <v>33</v>
      </c>
      <c r="G405" t="str">
        <f>"2026-06-03 16:36:33.845"</f>
        <v>2026-06-03 16:36:33.845</v>
      </c>
      <c r="H405" t="s">
        <v>21</v>
      </c>
      <c r="I405">
        <v>6.53</v>
      </c>
      <c r="J405" t="s">
        <v>35</v>
      </c>
    </row>
    <row r="406" spans="1:10" x14ac:dyDescent="0.25">
      <c r="A406" s="1">
        <v>0</v>
      </c>
      <c r="B406" t="s">
        <v>26</v>
      </c>
      <c r="C406">
        <v>630</v>
      </c>
      <c r="D406">
        <v>5</v>
      </c>
      <c r="E406" t="s">
        <v>27</v>
      </c>
      <c r="F406" t="s">
        <v>28</v>
      </c>
      <c r="G406" t="str">
        <f>"2026-06-02 22:21:04.046"</f>
        <v>2026-06-02 22:21:04.046</v>
      </c>
      <c r="H406" t="s">
        <v>29</v>
      </c>
    </row>
    <row r="407" spans="1:10" x14ac:dyDescent="0.25">
      <c r="A407" s="1">
        <v>1</v>
      </c>
      <c r="B407" t="s">
        <v>19</v>
      </c>
      <c r="C407">
        <v>706</v>
      </c>
      <c r="D407">
        <v>4</v>
      </c>
      <c r="E407" t="s">
        <v>23</v>
      </c>
      <c r="F407" t="s">
        <v>30</v>
      </c>
      <c r="G407" t="str">
        <f>"2026-06-02 22:20:34.055"</f>
        <v>2026-06-02 22:20:34.055</v>
      </c>
      <c r="H407" t="s">
        <v>21</v>
      </c>
      <c r="I407">
        <v>0</v>
      </c>
      <c r="J407" t="s">
        <v>25</v>
      </c>
    </row>
    <row r="408" spans="1:10" x14ac:dyDescent="0.25">
      <c r="A408" s="1">
        <v>2</v>
      </c>
      <c r="B408" t="s">
        <v>31</v>
      </c>
      <c r="C408">
        <v>630</v>
      </c>
      <c r="D408">
        <v>5</v>
      </c>
      <c r="E408" t="s">
        <v>27</v>
      </c>
      <c r="F408" t="s">
        <v>28</v>
      </c>
      <c r="G408" t="str">
        <f>"2026-06-02 22:17:01.546"</f>
        <v>2026-06-02 22:17:01.546</v>
      </c>
      <c r="H408" t="s">
        <v>29</v>
      </c>
      <c r="I408">
        <v>0</v>
      </c>
      <c r="J408" t="s">
        <v>25</v>
      </c>
    </row>
    <row r="409" spans="1:10" x14ac:dyDescent="0.25">
      <c r="A409" s="1">
        <v>3</v>
      </c>
      <c r="B409" t="s">
        <v>19</v>
      </c>
      <c r="C409">
        <v>700</v>
      </c>
      <c r="D409">
        <v>0</v>
      </c>
      <c r="E409" t="s">
        <v>20</v>
      </c>
      <c r="F409" t="s">
        <v>20</v>
      </c>
      <c r="G409" t="str">
        <f>"2026-06-02 13:49:20.485"</f>
        <v>2026-06-02 13:49:20.485</v>
      </c>
      <c r="H409" t="s">
        <v>21</v>
      </c>
      <c r="I409">
        <v>0</v>
      </c>
      <c r="J409" t="s">
        <v>22</v>
      </c>
    </row>
    <row r="410" spans="1:10" x14ac:dyDescent="0.25">
      <c r="A410" s="1">
        <v>4</v>
      </c>
      <c r="B410" t="s">
        <v>19</v>
      </c>
      <c r="C410">
        <v>700</v>
      </c>
      <c r="D410">
        <v>0</v>
      </c>
      <c r="E410" t="s">
        <v>20</v>
      </c>
      <c r="F410" t="s">
        <v>20</v>
      </c>
      <c r="G410" t="str">
        <f>"2026-06-02 13:40:19.515"</f>
        <v>2026-06-02 13:40:19.515</v>
      </c>
      <c r="H410" t="s">
        <v>21</v>
      </c>
      <c r="I410">
        <v>0</v>
      </c>
      <c r="J410" t="s">
        <v>22</v>
      </c>
    </row>
    <row r="411" spans="1:10" x14ac:dyDescent="0.25">
      <c r="A411" s="1">
        <v>5</v>
      </c>
      <c r="B411" t="s">
        <v>26</v>
      </c>
      <c r="C411">
        <v>635</v>
      </c>
      <c r="D411">
        <v>1</v>
      </c>
      <c r="E411" t="s">
        <v>32</v>
      </c>
      <c r="F411" t="s">
        <v>33</v>
      </c>
      <c r="G411" t="str">
        <f>"2026-06-02 00:09:48.716"</f>
        <v>2026-06-02 00:09:48.716</v>
      </c>
      <c r="H411" t="s">
        <v>21</v>
      </c>
    </row>
    <row r="412" spans="1:10" x14ac:dyDescent="0.25">
      <c r="A412" s="1">
        <v>6</v>
      </c>
      <c r="B412" t="s">
        <v>34</v>
      </c>
      <c r="C412">
        <v>635</v>
      </c>
      <c r="D412">
        <v>1</v>
      </c>
      <c r="E412" t="s">
        <v>32</v>
      </c>
      <c r="F412" t="s">
        <v>33</v>
      </c>
      <c r="G412" t="str">
        <f>"2026-06-02 00:06:43.716"</f>
        <v>2026-06-02 00:06:43.716</v>
      </c>
      <c r="H412" t="s">
        <v>21</v>
      </c>
      <c r="I412">
        <v>0.99</v>
      </c>
      <c r="J412" t="s">
        <v>35</v>
      </c>
    </row>
    <row r="413" spans="1:10" x14ac:dyDescent="0.25">
      <c r="A413" s="1">
        <v>7</v>
      </c>
      <c r="B413" t="s">
        <v>26</v>
      </c>
      <c r="C413">
        <v>630</v>
      </c>
      <c r="D413">
        <v>5</v>
      </c>
      <c r="E413" t="s">
        <v>27</v>
      </c>
      <c r="F413" t="s">
        <v>28</v>
      </c>
      <c r="G413" t="str">
        <f>"2026-06-01 21:57:37.817"</f>
        <v>2026-06-01 21:57:37.817</v>
      </c>
      <c r="H413" t="s">
        <v>29</v>
      </c>
    </row>
    <row r="414" spans="1:10" x14ac:dyDescent="0.25">
      <c r="A414" s="1">
        <v>8</v>
      </c>
      <c r="B414" t="s">
        <v>19</v>
      </c>
      <c r="C414">
        <v>706</v>
      </c>
      <c r="D414">
        <v>2</v>
      </c>
      <c r="E414" t="s">
        <v>23</v>
      </c>
      <c r="F414" t="s">
        <v>24</v>
      </c>
      <c r="G414" t="str">
        <f>"2026-06-01 21:57:07.773"</f>
        <v>2026-06-01 21:57:07.773</v>
      </c>
      <c r="H414" t="s">
        <v>21</v>
      </c>
      <c r="I414">
        <v>0</v>
      </c>
      <c r="J414" t="s">
        <v>25</v>
      </c>
    </row>
    <row r="415" spans="1:10" x14ac:dyDescent="0.25">
      <c r="A415" s="1">
        <v>9</v>
      </c>
      <c r="B415" t="s">
        <v>31</v>
      </c>
      <c r="C415">
        <v>630</v>
      </c>
      <c r="D415">
        <v>5</v>
      </c>
      <c r="E415" t="s">
        <v>27</v>
      </c>
      <c r="F415" t="s">
        <v>28</v>
      </c>
      <c r="G415" t="str">
        <f>"2026-06-01 21:53:19.517"</f>
        <v>2026-06-01 21:53:19.517</v>
      </c>
      <c r="H415" t="s">
        <v>29</v>
      </c>
      <c r="I415">
        <v>0</v>
      </c>
      <c r="J415" t="s">
        <v>25</v>
      </c>
    </row>
    <row r="416" spans="1:10" x14ac:dyDescent="0.25">
      <c r="A416" s="1">
        <v>10</v>
      </c>
      <c r="B416" t="s">
        <v>19</v>
      </c>
      <c r="C416">
        <v>706</v>
      </c>
      <c r="D416">
        <v>4</v>
      </c>
      <c r="E416" t="s">
        <v>23</v>
      </c>
      <c r="F416" t="s">
        <v>30</v>
      </c>
      <c r="G416" t="str">
        <f>"2026-06-01 13:28:04.643"</f>
        <v>2026-06-01 13:28:04.643</v>
      </c>
      <c r="H416" t="s">
        <v>21</v>
      </c>
      <c r="I416">
        <v>0</v>
      </c>
      <c r="J416" t="s">
        <v>25</v>
      </c>
    </row>
    <row r="417" spans="1:10" x14ac:dyDescent="0.25">
      <c r="A417" s="1">
        <v>11</v>
      </c>
      <c r="B417" t="s">
        <v>19</v>
      </c>
      <c r="C417">
        <v>700</v>
      </c>
      <c r="D417">
        <v>0</v>
      </c>
      <c r="E417" t="s">
        <v>20</v>
      </c>
      <c r="F417" t="s">
        <v>20</v>
      </c>
      <c r="G417" t="str">
        <f>"2026-06-01 13:26:49.643"</f>
        <v>2026-06-01 13:26:49.643</v>
      </c>
      <c r="H417" t="s">
        <v>21</v>
      </c>
    </row>
    <row r="418" spans="1:10" x14ac:dyDescent="0.25">
      <c r="A418" s="1">
        <v>12</v>
      </c>
      <c r="B418" t="s">
        <v>26</v>
      </c>
      <c r="C418">
        <v>635</v>
      </c>
      <c r="D418">
        <v>1</v>
      </c>
      <c r="E418" t="s">
        <v>32</v>
      </c>
      <c r="F418" t="s">
        <v>33</v>
      </c>
      <c r="G418" t="str">
        <f>"2026-06-01 06:22:51.471"</f>
        <v>2026-06-01 06:22:51.471</v>
      </c>
      <c r="H418" t="s">
        <v>21</v>
      </c>
    </row>
    <row r="419" spans="1:10" x14ac:dyDescent="0.25">
      <c r="A419" s="1">
        <v>13</v>
      </c>
      <c r="B419" t="s">
        <v>34</v>
      </c>
      <c r="C419">
        <v>635</v>
      </c>
      <c r="D419">
        <v>1</v>
      </c>
      <c r="E419" t="s">
        <v>32</v>
      </c>
      <c r="F419" t="s">
        <v>33</v>
      </c>
      <c r="G419" t="str">
        <f>"2026-06-01 06:18:23.471"</f>
        <v>2026-06-01 06:18:23.471</v>
      </c>
      <c r="H419" t="s">
        <v>21</v>
      </c>
      <c r="I419">
        <v>3.71</v>
      </c>
      <c r="J419" t="s">
        <v>35</v>
      </c>
    </row>
    <row r="420" spans="1:10" x14ac:dyDescent="0.25">
      <c r="A420" s="1">
        <v>14</v>
      </c>
      <c r="B420" t="s">
        <v>26</v>
      </c>
      <c r="C420">
        <v>635</v>
      </c>
      <c r="D420">
        <v>1</v>
      </c>
      <c r="E420" t="s">
        <v>32</v>
      </c>
      <c r="F420" t="s">
        <v>33</v>
      </c>
      <c r="G420" t="str">
        <f>"2026-06-01 02:29:45.371"</f>
        <v>2026-06-01 02:29:45.371</v>
      </c>
      <c r="H420" t="s">
        <v>21</v>
      </c>
    </row>
    <row r="421" spans="1:10" x14ac:dyDescent="0.25">
      <c r="A421" s="1">
        <v>15</v>
      </c>
      <c r="B421" t="s">
        <v>34</v>
      </c>
      <c r="C421">
        <v>635</v>
      </c>
      <c r="D421">
        <v>1</v>
      </c>
      <c r="E421" t="s">
        <v>32</v>
      </c>
      <c r="F421" t="s">
        <v>33</v>
      </c>
      <c r="G421" t="str">
        <f>"2026-06-01 02:26:34.871"</f>
        <v>2026-06-01 02:26:34.871</v>
      </c>
      <c r="H421" t="s">
        <v>21</v>
      </c>
      <c r="I421">
        <v>3.2</v>
      </c>
      <c r="J421" t="s">
        <v>35</v>
      </c>
    </row>
    <row r="422" spans="1:10" x14ac:dyDescent="0.25">
      <c r="A422" s="1">
        <v>16</v>
      </c>
      <c r="B422" t="s">
        <v>19</v>
      </c>
      <c r="C422">
        <v>706</v>
      </c>
      <c r="D422">
        <v>4</v>
      </c>
      <c r="E422" t="s">
        <v>23</v>
      </c>
      <c r="F422" t="s">
        <v>30</v>
      </c>
      <c r="G422" t="str">
        <f>"2026-06-01 02:09:35.850"</f>
        <v>2026-06-01 02:09:35.850</v>
      </c>
      <c r="H422" t="s">
        <v>21</v>
      </c>
      <c r="I422">
        <v>0</v>
      </c>
      <c r="J422" t="s">
        <v>25</v>
      </c>
    </row>
    <row r="423" spans="1:10" x14ac:dyDescent="0.25">
      <c r="A423" s="1">
        <v>17</v>
      </c>
      <c r="B423" t="s">
        <v>19</v>
      </c>
      <c r="C423">
        <v>700</v>
      </c>
      <c r="D423">
        <v>0</v>
      </c>
      <c r="E423" t="s">
        <v>20</v>
      </c>
      <c r="F423" t="s">
        <v>20</v>
      </c>
      <c r="G423" t="str">
        <f>"2026-06-01 02:09:04.530"</f>
        <v>2026-06-01 02:09:04.530</v>
      </c>
      <c r="H423" t="s">
        <v>21</v>
      </c>
    </row>
    <row r="424" spans="1:10" x14ac:dyDescent="0.25">
      <c r="A424" s="1">
        <v>18</v>
      </c>
      <c r="B424" t="s">
        <v>19</v>
      </c>
      <c r="C424">
        <v>700</v>
      </c>
      <c r="D424">
        <v>0</v>
      </c>
      <c r="E424" t="s">
        <v>20</v>
      </c>
      <c r="F424" t="s">
        <v>20</v>
      </c>
      <c r="G424" t="str">
        <f>"2026-06-01 01:08:47.472"</f>
        <v>2026-06-01 01:08:47.472</v>
      </c>
      <c r="H424" t="s">
        <v>21</v>
      </c>
      <c r="I424">
        <v>0</v>
      </c>
      <c r="J424" t="s">
        <v>22</v>
      </c>
    </row>
    <row r="425" spans="1:10" x14ac:dyDescent="0.25">
      <c r="A425" s="1">
        <v>19</v>
      </c>
      <c r="B425" t="s">
        <v>19</v>
      </c>
      <c r="C425">
        <v>700</v>
      </c>
      <c r="D425">
        <v>0</v>
      </c>
      <c r="E425" t="s">
        <v>20</v>
      </c>
      <c r="F425" t="s">
        <v>20</v>
      </c>
      <c r="G425" t="str">
        <f>"2026-05-31 21:59:24.478"</f>
        <v>2026-05-31 21:59:24.478</v>
      </c>
      <c r="H425" t="s">
        <v>21</v>
      </c>
    </row>
    <row r="426" spans="1:10" x14ac:dyDescent="0.25">
      <c r="A426" s="1">
        <v>20</v>
      </c>
      <c r="B426" t="s">
        <v>26</v>
      </c>
      <c r="C426">
        <v>630</v>
      </c>
      <c r="D426">
        <v>5</v>
      </c>
      <c r="E426" t="s">
        <v>27</v>
      </c>
      <c r="F426" t="s">
        <v>28</v>
      </c>
      <c r="G426" t="str">
        <f>"2026-05-31 02:34:03.697"</f>
        <v>2026-05-31 02:34:03.697</v>
      </c>
      <c r="H426" t="s">
        <v>29</v>
      </c>
    </row>
    <row r="427" spans="1:10" x14ac:dyDescent="0.25">
      <c r="A427" s="1">
        <v>21</v>
      </c>
      <c r="B427" t="s">
        <v>19</v>
      </c>
      <c r="C427">
        <v>706</v>
      </c>
      <c r="D427">
        <v>4</v>
      </c>
      <c r="E427" t="s">
        <v>23</v>
      </c>
      <c r="F427" t="s">
        <v>30</v>
      </c>
      <c r="G427" t="str">
        <f>"2026-05-31 02:33:33.560"</f>
        <v>2026-05-31 02:33:33.560</v>
      </c>
      <c r="H427" t="s">
        <v>21</v>
      </c>
      <c r="I427">
        <v>0</v>
      </c>
      <c r="J427" t="s">
        <v>25</v>
      </c>
    </row>
    <row r="428" spans="1:10" x14ac:dyDescent="0.25">
      <c r="A428" s="1">
        <v>22</v>
      </c>
      <c r="B428" t="s">
        <v>31</v>
      </c>
      <c r="C428">
        <v>630</v>
      </c>
      <c r="D428">
        <v>5</v>
      </c>
      <c r="E428" t="s">
        <v>27</v>
      </c>
      <c r="F428" t="s">
        <v>28</v>
      </c>
      <c r="G428" t="str">
        <f>"2026-05-31 01:56:19.298"</f>
        <v>2026-05-31 01:56:19.298</v>
      </c>
      <c r="H428" t="s">
        <v>29</v>
      </c>
      <c r="I428">
        <v>0</v>
      </c>
      <c r="J428" t="s">
        <v>25</v>
      </c>
    </row>
    <row r="429" spans="1:10" x14ac:dyDescent="0.25">
      <c r="A429" s="1">
        <v>23</v>
      </c>
      <c r="B429" t="s">
        <v>19</v>
      </c>
      <c r="C429">
        <v>700</v>
      </c>
      <c r="D429">
        <v>0</v>
      </c>
      <c r="E429" t="s">
        <v>20</v>
      </c>
      <c r="F429" t="s">
        <v>20</v>
      </c>
      <c r="G429" t="str">
        <f>"2026-05-31 01:51:16.500"</f>
        <v>2026-05-31 01:51:16.500</v>
      </c>
      <c r="H429" t="s">
        <v>21</v>
      </c>
      <c r="I429">
        <v>0</v>
      </c>
      <c r="J429" t="s">
        <v>22</v>
      </c>
    </row>
    <row r="430" spans="1:10" x14ac:dyDescent="0.25">
      <c r="A430" s="1">
        <v>24</v>
      </c>
      <c r="B430" t="s">
        <v>31</v>
      </c>
      <c r="C430">
        <v>630</v>
      </c>
      <c r="D430">
        <v>5</v>
      </c>
      <c r="E430" t="s">
        <v>27</v>
      </c>
      <c r="F430" t="s">
        <v>28</v>
      </c>
      <c r="G430" t="str">
        <f>"2026-05-31 00:56:37.038"</f>
        <v>2026-05-31 00:56:37.038</v>
      </c>
      <c r="H430" t="s">
        <v>29</v>
      </c>
      <c r="I430">
        <v>0</v>
      </c>
      <c r="J430" t="s">
        <v>25</v>
      </c>
    </row>
    <row r="431" spans="1:10" x14ac:dyDescent="0.25">
      <c r="A431" s="1">
        <v>25</v>
      </c>
      <c r="B431" t="s">
        <v>26</v>
      </c>
      <c r="C431">
        <v>630</v>
      </c>
      <c r="D431">
        <v>5</v>
      </c>
      <c r="E431" t="s">
        <v>27</v>
      </c>
      <c r="F431" t="s">
        <v>28</v>
      </c>
      <c r="G431" t="str">
        <f>"2026-05-30 21:31:04.138"</f>
        <v>2026-05-30 21:31:04.138</v>
      </c>
      <c r="H431" t="s">
        <v>29</v>
      </c>
    </row>
    <row r="432" spans="1:10" x14ac:dyDescent="0.25">
      <c r="A432" s="1">
        <v>26</v>
      </c>
      <c r="B432" t="s">
        <v>19</v>
      </c>
      <c r="C432">
        <v>706</v>
      </c>
      <c r="D432">
        <v>4</v>
      </c>
      <c r="E432" t="s">
        <v>23</v>
      </c>
      <c r="F432" t="s">
        <v>30</v>
      </c>
      <c r="G432" t="str">
        <f>"2026-05-30 21:30:34.047"</f>
        <v>2026-05-30 21:30:34.047</v>
      </c>
      <c r="H432" t="s">
        <v>21</v>
      </c>
      <c r="I432">
        <v>0</v>
      </c>
      <c r="J432" t="s">
        <v>25</v>
      </c>
    </row>
    <row r="433" spans="1:10" x14ac:dyDescent="0.25">
      <c r="A433" s="1">
        <v>27</v>
      </c>
      <c r="B433" t="s">
        <v>31</v>
      </c>
      <c r="C433">
        <v>630</v>
      </c>
      <c r="D433">
        <v>5</v>
      </c>
      <c r="E433" t="s">
        <v>27</v>
      </c>
      <c r="F433" t="s">
        <v>28</v>
      </c>
      <c r="G433" t="str">
        <f>"2026-05-30 21:25:14.438"</f>
        <v>2026-05-30 21:25:14.438</v>
      </c>
      <c r="H433" t="s">
        <v>29</v>
      </c>
      <c r="I433">
        <v>0</v>
      </c>
      <c r="J433" t="s">
        <v>25</v>
      </c>
    </row>
    <row r="434" spans="1:10" x14ac:dyDescent="0.25">
      <c r="A434" s="1">
        <v>28</v>
      </c>
      <c r="B434" t="s">
        <v>19</v>
      </c>
      <c r="C434">
        <v>700</v>
      </c>
      <c r="D434">
        <v>0</v>
      </c>
      <c r="E434" t="s">
        <v>20</v>
      </c>
      <c r="F434" t="s">
        <v>20</v>
      </c>
      <c r="G434" t="str">
        <f>"2026-05-30 16:15:20.467"</f>
        <v>2026-05-30 16:15:20.467</v>
      </c>
      <c r="H434" t="s">
        <v>21</v>
      </c>
      <c r="I434">
        <v>0</v>
      </c>
      <c r="J434" t="s">
        <v>22</v>
      </c>
    </row>
    <row r="435" spans="1:10" x14ac:dyDescent="0.25">
      <c r="A435" s="1">
        <v>29</v>
      </c>
      <c r="B435" t="s">
        <v>19</v>
      </c>
      <c r="C435">
        <v>700</v>
      </c>
      <c r="D435">
        <v>0</v>
      </c>
      <c r="E435" t="s">
        <v>20</v>
      </c>
      <c r="F435" t="s">
        <v>20</v>
      </c>
      <c r="G435" t="str">
        <f>"2026-05-30 14:01:40.472"</f>
        <v>2026-05-30 14:01:40.472</v>
      </c>
      <c r="H435" t="s">
        <v>21</v>
      </c>
    </row>
    <row r="436" spans="1:10" x14ac:dyDescent="0.25">
      <c r="A436" s="1">
        <v>30</v>
      </c>
      <c r="B436" t="s">
        <v>19</v>
      </c>
      <c r="C436">
        <v>706</v>
      </c>
      <c r="D436">
        <v>4</v>
      </c>
      <c r="E436" t="s">
        <v>23</v>
      </c>
      <c r="F436" t="s">
        <v>30</v>
      </c>
      <c r="G436" t="str">
        <f>"2026-05-30 13:54:09.221"</f>
        <v>2026-05-30 13:54:09.221</v>
      </c>
      <c r="H436" t="s">
        <v>21</v>
      </c>
      <c r="I436">
        <v>0</v>
      </c>
      <c r="J436" t="s">
        <v>25</v>
      </c>
    </row>
    <row r="437" spans="1:10" x14ac:dyDescent="0.25">
      <c r="A437" s="1">
        <v>31</v>
      </c>
      <c r="B437" t="s">
        <v>19</v>
      </c>
      <c r="C437">
        <v>700</v>
      </c>
      <c r="D437">
        <v>0</v>
      </c>
      <c r="E437" t="s">
        <v>20</v>
      </c>
      <c r="F437" t="s">
        <v>20</v>
      </c>
      <c r="G437" t="str">
        <f>"2026-05-30 13:50:49.481"</f>
        <v>2026-05-30 13:50:49.481</v>
      </c>
      <c r="H437" t="s">
        <v>21</v>
      </c>
      <c r="I437">
        <v>0</v>
      </c>
      <c r="J437" t="s">
        <v>22</v>
      </c>
    </row>
    <row r="438" spans="1:10" x14ac:dyDescent="0.25">
      <c r="A438" s="1">
        <v>32</v>
      </c>
      <c r="B438" t="s">
        <v>19</v>
      </c>
      <c r="C438">
        <v>700</v>
      </c>
      <c r="D438">
        <v>0</v>
      </c>
      <c r="E438" t="s">
        <v>20</v>
      </c>
      <c r="F438" t="s">
        <v>20</v>
      </c>
      <c r="G438" t="str">
        <f>"2026-05-30 13:49:40.462"</f>
        <v>2026-05-30 13:49:40.462</v>
      </c>
      <c r="H438" t="s">
        <v>21</v>
      </c>
    </row>
    <row r="439" spans="1:10" x14ac:dyDescent="0.25">
      <c r="A439" s="1">
        <v>33</v>
      </c>
      <c r="B439" t="s">
        <v>19</v>
      </c>
      <c r="C439">
        <v>706</v>
      </c>
      <c r="D439">
        <v>4</v>
      </c>
      <c r="E439" t="s">
        <v>23</v>
      </c>
      <c r="F439" t="s">
        <v>30</v>
      </c>
      <c r="G439" t="str">
        <f>"2026-05-30 13:45:49.257"</f>
        <v>2026-05-30 13:45:49.257</v>
      </c>
      <c r="H439" t="s">
        <v>21</v>
      </c>
      <c r="I439">
        <v>0</v>
      </c>
      <c r="J439" t="s">
        <v>25</v>
      </c>
    </row>
    <row r="440" spans="1:10" x14ac:dyDescent="0.25">
      <c r="A440" s="1">
        <v>34</v>
      </c>
      <c r="B440" t="s">
        <v>19</v>
      </c>
      <c r="C440">
        <v>700</v>
      </c>
      <c r="D440">
        <v>0</v>
      </c>
      <c r="E440" t="s">
        <v>20</v>
      </c>
      <c r="F440" t="s">
        <v>20</v>
      </c>
      <c r="G440" t="str">
        <f>"2026-05-30 13:45:15.477"</f>
        <v>2026-05-30 13:45:15.477</v>
      </c>
      <c r="H440" t="s">
        <v>21</v>
      </c>
      <c r="I440">
        <v>0</v>
      </c>
      <c r="J440" t="s">
        <v>22</v>
      </c>
    </row>
    <row r="441" spans="1:10" x14ac:dyDescent="0.25">
      <c r="A441" s="1">
        <v>35</v>
      </c>
      <c r="B441" t="s">
        <v>19</v>
      </c>
      <c r="C441">
        <v>700</v>
      </c>
      <c r="D441">
        <v>0</v>
      </c>
      <c r="E441" t="s">
        <v>20</v>
      </c>
      <c r="F441" t="s">
        <v>20</v>
      </c>
      <c r="G441" t="str">
        <f>"2026-05-30 13:41:21.480"</f>
        <v>2026-05-30 13:41:21.480</v>
      </c>
      <c r="H441" t="s">
        <v>21</v>
      </c>
      <c r="I441">
        <v>0</v>
      </c>
      <c r="J441" t="s">
        <v>22</v>
      </c>
    </row>
    <row r="442" spans="1:10" x14ac:dyDescent="0.25">
      <c r="A442" s="1">
        <v>36</v>
      </c>
      <c r="B442" t="s">
        <v>19</v>
      </c>
      <c r="C442">
        <v>700</v>
      </c>
      <c r="D442">
        <v>0</v>
      </c>
      <c r="E442" t="s">
        <v>20</v>
      </c>
      <c r="F442" t="s">
        <v>20</v>
      </c>
      <c r="G442" t="str">
        <f>"2026-05-30 12:43:19.461"</f>
        <v>2026-05-30 12:43:19.461</v>
      </c>
      <c r="H442" t="s">
        <v>21</v>
      </c>
      <c r="I442">
        <v>0</v>
      </c>
      <c r="J442" t="s">
        <v>22</v>
      </c>
    </row>
    <row r="443" spans="1:10" x14ac:dyDescent="0.25">
      <c r="A443" s="1">
        <v>37</v>
      </c>
      <c r="B443" t="s">
        <v>26</v>
      </c>
      <c r="C443">
        <v>630</v>
      </c>
      <c r="D443">
        <v>5</v>
      </c>
      <c r="E443" t="s">
        <v>27</v>
      </c>
      <c r="F443" t="s">
        <v>28</v>
      </c>
      <c r="G443" t="str">
        <f>"2026-05-30 10:25:15.544"</f>
        <v>2026-05-30 10:25:15.544</v>
      </c>
      <c r="H443" t="s">
        <v>29</v>
      </c>
    </row>
    <row r="444" spans="1:10" x14ac:dyDescent="0.25">
      <c r="A444" s="1">
        <v>38</v>
      </c>
      <c r="B444" t="s">
        <v>19</v>
      </c>
      <c r="C444">
        <v>706</v>
      </c>
      <c r="D444">
        <v>2</v>
      </c>
      <c r="E444" t="s">
        <v>23</v>
      </c>
      <c r="F444" t="s">
        <v>24</v>
      </c>
      <c r="G444" t="str">
        <f>"2026-05-30 10:24:45.486"</f>
        <v>2026-05-30 10:24:45.486</v>
      </c>
      <c r="H444" t="s">
        <v>21</v>
      </c>
      <c r="I444">
        <v>0</v>
      </c>
      <c r="J444" t="s">
        <v>25</v>
      </c>
    </row>
    <row r="445" spans="1:10" x14ac:dyDescent="0.25">
      <c r="A445" s="1">
        <v>39</v>
      </c>
      <c r="B445" t="s">
        <v>31</v>
      </c>
      <c r="C445">
        <v>630</v>
      </c>
      <c r="D445">
        <v>5</v>
      </c>
      <c r="E445" t="s">
        <v>27</v>
      </c>
      <c r="F445" t="s">
        <v>28</v>
      </c>
      <c r="G445" t="str">
        <f>"2026-05-30 10:12:13.245"</f>
        <v>2026-05-30 10:12:13.245</v>
      </c>
      <c r="H445" t="s">
        <v>29</v>
      </c>
      <c r="I445">
        <v>0</v>
      </c>
      <c r="J445" t="s">
        <v>25</v>
      </c>
    </row>
    <row r="446" spans="1:10" x14ac:dyDescent="0.25">
      <c r="A446" s="1">
        <v>40</v>
      </c>
      <c r="B446" t="s">
        <v>19</v>
      </c>
      <c r="C446">
        <v>700</v>
      </c>
      <c r="D446">
        <v>0</v>
      </c>
      <c r="E446" t="s">
        <v>20</v>
      </c>
      <c r="F446" t="s">
        <v>20</v>
      </c>
      <c r="G446" t="str">
        <f>"2026-05-30 10:07:10.466"</f>
        <v>2026-05-30 10:07:10.466</v>
      </c>
      <c r="H446" t="s">
        <v>21</v>
      </c>
    </row>
    <row r="447" spans="1:10" x14ac:dyDescent="0.25">
      <c r="A447" s="1">
        <v>41</v>
      </c>
      <c r="B447" t="s">
        <v>19</v>
      </c>
      <c r="C447">
        <v>700</v>
      </c>
      <c r="D447">
        <v>0</v>
      </c>
      <c r="E447" t="s">
        <v>20</v>
      </c>
      <c r="F447" t="s">
        <v>20</v>
      </c>
      <c r="G447" t="str">
        <f>"2026-05-30 10:00:05.464"</f>
        <v>2026-05-30 10:00:05.464</v>
      </c>
      <c r="H447" t="s">
        <v>21</v>
      </c>
      <c r="I447">
        <v>0</v>
      </c>
      <c r="J447" t="s">
        <v>22</v>
      </c>
    </row>
    <row r="448" spans="1:10" x14ac:dyDescent="0.25">
      <c r="A448" s="1">
        <v>42</v>
      </c>
      <c r="B448" t="s">
        <v>19</v>
      </c>
      <c r="C448">
        <v>700</v>
      </c>
      <c r="D448">
        <v>0</v>
      </c>
      <c r="E448" t="s">
        <v>20</v>
      </c>
      <c r="F448" t="s">
        <v>20</v>
      </c>
      <c r="G448" t="str">
        <f>"2026-05-30 09:28:28.610"</f>
        <v>2026-05-30 09:28:28.610</v>
      </c>
      <c r="H448" t="s">
        <v>21</v>
      </c>
      <c r="I448">
        <v>0</v>
      </c>
      <c r="J448" t="s">
        <v>22</v>
      </c>
    </row>
    <row r="449" spans="1:10" x14ac:dyDescent="0.25">
      <c r="A449" s="1">
        <v>43</v>
      </c>
      <c r="B449" t="s">
        <v>26</v>
      </c>
      <c r="C449">
        <v>630</v>
      </c>
      <c r="D449">
        <v>5</v>
      </c>
      <c r="E449" t="s">
        <v>27</v>
      </c>
      <c r="F449" t="s">
        <v>28</v>
      </c>
      <c r="G449" t="str">
        <f>"2026-05-29 22:12:08.657"</f>
        <v>2026-05-29 22:12:08.657</v>
      </c>
      <c r="H449" t="s">
        <v>29</v>
      </c>
    </row>
    <row r="450" spans="1:10" x14ac:dyDescent="0.25">
      <c r="A450" s="1">
        <v>44</v>
      </c>
      <c r="B450" t="s">
        <v>19</v>
      </c>
      <c r="C450">
        <v>706</v>
      </c>
      <c r="D450">
        <v>2</v>
      </c>
      <c r="E450" t="s">
        <v>23</v>
      </c>
      <c r="F450" t="s">
        <v>24</v>
      </c>
      <c r="G450" t="str">
        <f>"2026-05-29 22:11:38.493"</f>
        <v>2026-05-29 22:11:38.493</v>
      </c>
      <c r="H450" t="s">
        <v>21</v>
      </c>
      <c r="I450">
        <v>0</v>
      </c>
      <c r="J450" t="s">
        <v>25</v>
      </c>
    </row>
    <row r="451" spans="1:10" x14ac:dyDescent="0.25">
      <c r="A451" s="1">
        <v>45</v>
      </c>
      <c r="B451" t="s">
        <v>31</v>
      </c>
      <c r="C451">
        <v>630</v>
      </c>
      <c r="D451">
        <v>5</v>
      </c>
      <c r="E451" t="s">
        <v>27</v>
      </c>
      <c r="F451" t="s">
        <v>28</v>
      </c>
      <c r="G451" t="str">
        <f>"2026-05-29 22:05:31.358"</f>
        <v>2026-05-29 22:05:31.358</v>
      </c>
      <c r="H451" t="s">
        <v>29</v>
      </c>
      <c r="I451">
        <v>0</v>
      </c>
      <c r="J451" t="s">
        <v>25</v>
      </c>
    </row>
    <row r="452" spans="1:10" x14ac:dyDescent="0.25">
      <c r="A452" s="1">
        <v>46</v>
      </c>
      <c r="B452" t="s">
        <v>26</v>
      </c>
      <c r="C452">
        <v>635</v>
      </c>
      <c r="D452">
        <v>1</v>
      </c>
      <c r="E452" t="s">
        <v>32</v>
      </c>
      <c r="F452" t="s">
        <v>33</v>
      </c>
      <c r="G452" t="str">
        <f>"2026-05-29 16:06:05.504"</f>
        <v>2026-05-29 16:06:05.504</v>
      </c>
      <c r="H452" t="s">
        <v>21</v>
      </c>
    </row>
    <row r="453" spans="1:10" x14ac:dyDescent="0.25">
      <c r="A453" s="1">
        <v>47</v>
      </c>
      <c r="B453" t="s">
        <v>34</v>
      </c>
      <c r="C453">
        <v>635</v>
      </c>
      <c r="D453">
        <v>1</v>
      </c>
      <c r="E453" t="s">
        <v>32</v>
      </c>
      <c r="F453" t="s">
        <v>33</v>
      </c>
      <c r="G453" t="str">
        <f>"2026-05-29 16:03:32.004"</f>
        <v>2026-05-29 16:03:32.004</v>
      </c>
      <c r="H453" t="s">
        <v>21</v>
      </c>
      <c r="I453">
        <v>1.25</v>
      </c>
      <c r="J453" t="s">
        <v>40</v>
      </c>
    </row>
    <row r="454" spans="1:10" x14ac:dyDescent="0.25">
      <c r="A454" s="1">
        <v>48</v>
      </c>
      <c r="B454" t="s">
        <v>26</v>
      </c>
      <c r="C454">
        <v>635</v>
      </c>
      <c r="D454">
        <v>1</v>
      </c>
      <c r="E454" t="s">
        <v>32</v>
      </c>
      <c r="F454" t="s">
        <v>33</v>
      </c>
      <c r="G454" t="str">
        <f>"2026-05-29 11:29:36.504"</f>
        <v>2026-05-29 11:29:36.504</v>
      </c>
      <c r="H454" t="s">
        <v>21</v>
      </c>
    </row>
    <row r="455" spans="1:10" x14ac:dyDescent="0.25">
      <c r="A455" s="1">
        <v>49</v>
      </c>
      <c r="B455" t="s">
        <v>34</v>
      </c>
      <c r="C455">
        <v>635</v>
      </c>
      <c r="D455">
        <v>1</v>
      </c>
      <c r="E455" t="s">
        <v>32</v>
      </c>
      <c r="F455" t="s">
        <v>33</v>
      </c>
      <c r="G455" t="str">
        <f>"2026-05-29 11:12:43.004"</f>
        <v>2026-05-29 11:12:43.004</v>
      </c>
      <c r="H455" t="s">
        <v>21</v>
      </c>
      <c r="I455">
        <v>3.77</v>
      </c>
      <c r="J455" t="s">
        <v>35</v>
      </c>
    </row>
    <row r="456" spans="1:10" x14ac:dyDescent="0.25">
      <c r="A456" s="1">
        <v>50</v>
      </c>
      <c r="B456" t="s">
        <v>26</v>
      </c>
      <c r="C456">
        <v>635</v>
      </c>
      <c r="D456">
        <v>1</v>
      </c>
      <c r="E456" t="s">
        <v>32</v>
      </c>
      <c r="F456" t="s">
        <v>33</v>
      </c>
      <c r="G456" t="str">
        <f>"2026-05-29 01:04:34.104"</f>
        <v>2026-05-29 01:04:34.104</v>
      </c>
      <c r="H456" t="s">
        <v>21</v>
      </c>
    </row>
    <row r="457" spans="1:10" x14ac:dyDescent="0.25">
      <c r="A457" s="1">
        <v>51</v>
      </c>
      <c r="B457" t="s">
        <v>34</v>
      </c>
      <c r="C457">
        <v>635</v>
      </c>
      <c r="D457">
        <v>1</v>
      </c>
      <c r="E457" t="s">
        <v>32</v>
      </c>
      <c r="F457" t="s">
        <v>33</v>
      </c>
      <c r="G457" t="str">
        <f>"2026-05-29 00:58:26.604"</f>
        <v>2026-05-29 00:58:26.604</v>
      </c>
      <c r="H457" t="s">
        <v>21</v>
      </c>
      <c r="I457">
        <v>0</v>
      </c>
      <c r="J457" t="s">
        <v>40</v>
      </c>
    </row>
    <row r="458" spans="1:10" x14ac:dyDescent="0.25">
      <c r="A458" s="1">
        <v>52</v>
      </c>
      <c r="B458" t="s">
        <v>26</v>
      </c>
      <c r="C458">
        <v>630</v>
      </c>
      <c r="D458">
        <v>5</v>
      </c>
      <c r="E458" t="s">
        <v>27</v>
      </c>
      <c r="F458" t="s">
        <v>28</v>
      </c>
      <c r="G458" t="str">
        <f>"2026-05-28 20:34:40.858"</f>
        <v>2026-05-28 20:34:40.858</v>
      </c>
      <c r="H458" t="s">
        <v>29</v>
      </c>
    </row>
    <row r="459" spans="1:10" x14ac:dyDescent="0.25">
      <c r="A459" s="1">
        <v>53</v>
      </c>
      <c r="B459" t="s">
        <v>19</v>
      </c>
      <c r="C459">
        <v>706</v>
      </c>
      <c r="D459">
        <v>2</v>
      </c>
      <c r="E459" t="s">
        <v>23</v>
      </c>
      <c r="F459" t="s">
        <v>24</v>
      </c>
      <c r="G459" t="str">
        <f>"2026-05-28 20:34:10.693"</f>
        <v>2026-05-28 20:34:10.693</v>
      </c>
      <c r="H459" t="s">
        <v>21</v>
      </c>
      <c r="I459">
        <v>0</v>
      </c>
      <c r="J459" t="s">
        <v>25</v>
      </c>
    </row>
    <row r="460" spans="1:10" x14ac:dyDescent="0.25">
      <c r="A460" s="1">
        <v>54</v>
      </c>
      <c r="B460" t="s">
        <v>31</v>
      </c>
      <c r="C460">
        <v>630</v>
      </c>
      <c r="D460">
        <v>5</v>
      </c>
      <c r="E460" t="s">
        <v>27</v>
      </c>
      <c r="F460" t="s">
        <v>28</v>
      </c>
      <c r="G460" t="str">
        <f>"2026-05-28 20:29:10.258"</f>
        <v>2026-05-28 20:29:10.258</v>
      </c>
      <c r="H460" t="s">
        <v>29</v>
      </c>
      <c r="I460">
        <v>0</v>
      </c>
      <c r="J460" t="s">
        <v>25</v>
      </c>
    </row>
    <row r="461" spans="1:10" x14ac:dyDescent="0.25">
      <c r="A461" s="1">
        <v>55</v>
      </c>
      <c r="B461" t="s">
        <v>26</v>
      </c>
      <c r="C461">
        <v>635</v>
      </c>
      <c r="D461">
        <v>1</v>
      </c>
      <c r="E461" t="s">
        <v>32</v>
      </c>
      <c r="F461" t="s">
        <v>33</v>
      </c>
      <c r="G461" t="str">
        <f>"2026-05-28 14:16:07.804"</f>
        <v>2026-05-28 14:16:07.804</v>
      </c>
      <c r="H461" t="s">
        <v>21</v>
      </c>
    </row>
    <row r="462" spans="1:10" x14ac:dyDescent="0.25">
      <c r="A462" s="1">
        <v>56</v>
      </c>
      <c r="B462" t="s">
        <v>34</v>
      </c>
      <c r="C462">
        <v>635</v>
      </c>
      <c r="D462">
        <v>1</v>
      </c>
      <c r="E462" t="s">
        <v>32</v>
      </c>
      <c r="F462" t="s">
        <v>33</v>
      </c>
      <c r="G462" t="str">
        <f>"2026-05-28 13:56:35.904"</f>
        <v>2026-05-28 13:56:35.904</v>
      </c>
      <c r="H462" t="s">
        <v>21</v>
      </c>
      <c r="I462">
        <v>6.94</v>
      </c>
      <c r="J462" t="s">
        <v>35</v>
      </c>
    </row>
    <row r="463" spans="1:10" x14ac:dyDescent="0.25">
      <c r="A463" s="1">
        <v>57</v>
      </c>
      <c r="B463" t="s">
        <v>19</v>
      </c>
      <c r="C463">
        <v>700</v>
      </c>
      <c r="D463">
        <v>0</v>
      </c>
      <c r="E463" t="s">
        <v>20</v>
      </c>
      <c r="F463" t="s">
        <v>20</v>
      </c>
      <c r="G463" t="str">
        <f>"2026-05-28 13:25:39.473"</f>
        <v>2026-05-28 13:25:39.473</v>
      </c>
      <c r="H463" t="s">
        <v>21</v>
      </c>
      <c r="I463">
        <v>0</v>
      </c>
      <c r="J463" t="s">
        <v>22</v>
      </c>
    </row>
    <row r="464" spans="1:10" x14ac:dyDescent="0.25">
      <c r="A464" s="1">
        <v>58</v>
      </c>
      <c r="B464" t="s">
        <v>19</v>
      </c>
      <c r="C464">
        <v>700</v>
      </c>
      <c r="D464">
        <v>0</v>
      </c>
      <c r="E464" t="s">
        <v>20</v>
      </c>
      <c r="F464" t="s">
        <v>20</v>
      </c>
      <c r="G464" t="str">
        <f>"2026-05-28 10:37:23.469"</f>
        <v>2026-05-28 10:37:23.469</v>
      </c>
      <c r="H464" t="s">
        <v>21</v>
      </c>
    </row>
    <row r="465" spans="1:10" x14ac:dyDescent="0.25">
      <c r="A465" s="1">
        <v>59</v>
      </c>
      <c r="B465" t="s">
        <v>19</v>
      </c>
      <c r="C465">
        <v>706</v>
      </c>
      <c r="D465">
        <v>2</v>
      </c>
      <c r="E465" t="s">
        <v>23</v>
      </c>
      <c r="F465" t="s">
        <v>24</v>
      </c>
      <c r="G465" t="str">
        <f>"2026-05-28 10:19:40.125"</f>
        <v>2026-05-28 10:19:40.125</v>
      </c>
      <c r="H465" t="s">
        <v>21</v>
      </c>
      <c r="I465">
        <v>0</v>
      </c>
      <c r="J465" t="s">
        <v>25</v>
      </c>
    </row>
    <row r="466" spans="1:10" x14ac:dyDescent="0.25">
      <c r="A466" s="1">
        <v>60</v>
      </c>
      <c r="B466" t="s">
        <v>19</v>
      </c>
      <c r="C466">
        <v>700</v>
      </c>
      <c r="D466">
        <v>0</v>
      </c>
      <c r="E466" t="s">
        <v>20</v>
      </c>
      <c r="F466" t="s">
        <v>20</v>
      </c>
      <c r="G466" t="str">
        <f>"2026-05-28 10:18:43.485"</f>
        <v>2026-05-28 10:18:43.485</v>
      </c>
      <c r="H466" t="s">
        <v>21</v>
      </c>
    </row>
    <row r="467" spans="1:10" x14ac:dyDescent="0.25">
      <c r="A467" s="1">
        <v>61</v>
      </c>
      <c r="B467" t="s">
        <v>26</v>
      </c>
      <c r="C467">
        <v>630</v>
      </c>
      <c r="D467">
        <v>5</v>
      </c>
      <c r="E467" t="s">
        <v>27</v>
      </c>
      <c r="F467" t="s">
        <v>28</v>
      </c>
      <c r="G467" t="str">
        <f>"2026-05-28 03:45:43.134"</f>
        <v>2026-05-28 03:45:43.134</v>
      </c>
      <c r="H467" t="s">
        <v>29</v>
      </c>
    </row>
    <row r="468" spans="1:10" x14ac:dyDescent="0.25">
      <c r="A468" s="1">
        <v>62</v>
      </c>
      <c r="B468" t="s">
        <v>19</v>
      </c>
      <c r="C468">
        <v>706</v>
      </c>
      <c r="D468">
        <v>4</v>
      </c>
      <c r="E468" t="s">
        <v>23</v>
      </c>
      <c r="F468" t="s">
        <v>30</v>
      </c>
      <c r="G468" t="str">
        <f>"2026-05-28 03:45:13.016"</f>
        <v>2026-05-28 03:45:13.016</v>
      </c>
      <c r="H468" t="s">
        <v>21</v>
      </c>
      <c r="I468">
        <v>0</v>
      </c>
      <c r="J468" t="s">
        <v>25</v>
      </c>
    </row>
    <row r="469" spans="1:10" x14ac:dyDescent="0.25">
      <c r="A469" s="1">
        <v>63</v>
      </c>
      <c r="B469" t="s">
        <v>31</v>
      </c>
      <c r="C469">
        <v>630</v>
      </c>
      <c r="D469">
        <v>5</v>
      </c>
      <c r="E469" t="s">
        <v>27</v>
      </c>
      <c r="F469" t="s">
        <v>28</v>
      </c>
      <c r="G469" t="str">
        <f>"2026-05-28 03:35:19.435"</f>
        <v>2026-05-28 03:35:19.435</v>
      </c>
      <c r="H469" t="s">
        <v>29</v>
      </c>
      <c r="I469">
        <v>0</v>
      </c>
      <c r="J469" t="s">
        <v>25</v>
      </c>
    </row>
    <row r="470" spans="1:10" x14ac:dyDescent="0.25">
      <c r="A470" s="1">
        <v>64</v>
      </c>
      <c r="B470" t="s">
        <v>19</v>
      </c>
      <c r="C470">
        <v>700</v>
      </c>
      <c r="D470">
        <v>0</v>
      </c>
      <c r="E470" t="s">
        <v>20</v>
      </c>
      <c r="F470" t="s">
        <v>20</v>
      </c>
      <c r="G470" t="str">
        <f>"2026-05-28 03:30:16.656"</f>
        <v>2026-05-28 03:30:16.656</v>
      </c>
      <c r="H470" t="s">
        <v>21</v>
      </c>
      <c r="I470">
        <v>0</v>
      </c>
      <c r="J470" t="s">
        <v>22</v>
      </c>
    </row>
    <row r="471" spans="1:10" x14ac:dyDescent="0.25">
      <c r="A471" s="1">
        <v>65</v>
      </c>
      <c r="B471" t="s">
        <v>26</v>
      </c>
      <c r="C471">
        <v>630</v>
      </c>
      <c r="D471">
        <v>5</v>
      </c>
      <c r="E471" t="s">
        <v>27</v>
      </c>
      <c r="F471" t="s">
        <v>28</v>
      </c>
      <c r="G471" t="str">
        <f>"2026-05-27 23:37:07.651"</f>
        <v>2026-05-27 23:37:07.651</v>
      </c>
      <c r="H471" t="s">
        <v>29</v>
      </c>
    </row>
    <row r="472" spans="1:10" x14ac:dyDescent="0.25">
      <c r="A472" s="1">
        <v>66</v>
      </c>
      <c r="B472" t="s">
        <v>19</v>
      </c>
      <c r="C472">
        <v>706</v>
      </c>
      <c r="D472">
        <v>4</v>
      </c>
      <c r="E472" t="s">
        <v>23</v>
      </c>
      <c r="F472" t="s">
        <v>30</v>
      </c>
      <c r="G472" t="str">
        <f>"2026-05-27 23:36:37.539"</f>
        <v>2026-05-27 23:36:37.539</v>
      </c>
      <c r="H472" t="s">
        <v>21</v>
      </c>
      <c r="I472">
        <v>0</v>
      </c>
      <c r="J472" t="s">
        <v>25</v>
      </c>
    </row>
    <row r="473" spans="1:10" x14ac:dyDescent="0.25">
      <c r="A473" s="1">
        <v>67</v>
      </c>
      <c r="B473" t="s">
        <v>31</v>
      </c>
      <c r="C473">
        <v>630</v>
      </c>
      <c r="D473">
        <v>5</v>
      </c>
      <c r="E473" t="s">
        <v>27</v>
      </c>
      <c r="F473" t="s">
        <v>28</v>
      </c>
      <c r="G473" t="str">
        <f>"2026-05-27 23:32:33.551"</f>
        <v>2026-05-27 23:32:33.551</v>
      </c>
      <c r="H473" t="s">
        <v>29</v>
      </c>
      <c r="I473">
        <v>0</v>
      </c>
      <c r="J473" t="s">
        <v>25</v>
      </c>
    </row>
    <row r="474" spans="1:10" x14ac:dyDescent="0.25">
      <c r="A474" s="1">
        <v>68</v>
      </c>
      <c r="B474" t="s">
        <v>19</v>
      </c>
      <c r="C474">
        <v>700</v>
      </c>
      <c r="D474">
        <v>0</v>
      </c>
      <c r="E474" t="s">
        <v>20</v>
      </c>
      <c r="F474" t="s">
        <v>20</v>
      </c>
      <c r="G474" t="str">
        <f>"2026-05-27 17:18:35.509"</f>
        <v>2026-05-27 17:18:35.509</v>
      </c>
      <c r="H474" t="s">
        <v>21</v>
      </c>
      <c r="I474">
        <v>0</v>
      </c>
      <c r="J474" t="s">
        <v>22</v>
      </c>
    </row>
    <row r="475" spans="1:10" x14ac:dyDescent="0.25">
      <c r="A475" s="1">
        <v>69</v>
      </c>
      <c r="B475" t="s">
        <v>19</v>
      </c>
      <c r="C475">
        <v>700</v>
      </c>
      <c r="D475">
        <v>0</v>
      </c>
      <c r="E475" t="s">
        <v>20</v>
      </c>
      <c r="F475" t="s">
        <v>20</v>
      </c>
      <c r="G475" t="str">
        <f>"2026-05-27 17:13:32.456"</f>
        <v>2026-05-27 17:13:32.456</v>
      </c>
      <c r="H475" t="s">
        <v>21</v>
      </c>
      <c r="I475">
        <v>0</v>
      </c>
      <c r="J475" t="s">
        <v>22</v>
      </c>
    </row>
    <row r="476" spans="1:10" x14ac:dyDescent="0.25">
      <c r="A476" s="1">
        <v>70</v>
      </c>
      <c r="B476" t="s">
        <v>19</v>
      </c>
      <c r="C476">
        <v>706</v>
      </c>
      <c r="D476">
        <v>4</v>
      </c>
      <c r="E476" t="s">
        <v>23</v>
      </c>
      <c r="F476" t="s">
        <v>30</v>
      </c>
      <c r="G476" t="str">
        <f>"2026-05-27 08:36:03.988"</f>
        <v>2026-05-27 08:36:03.988</v>
      </c>
      <c r="H476" t="s">
        <v>21</v>
      </c>
      <c r="I476">
        <v>0</v>
      </c>
      <c r="J476" t="s">
        <v>25</v>
      </c>
    </row>
    <row r="477" spans="1:10" x14ac:dyDescent="0.25">
      <c r="A477" s="1">
        <v>71</v>
      </c>
      <c r="B477" t="s">
        <v>26</v>
      </c>
      <c r="C477">
        <v>61</v>
      </c>
      <c r="D477">
        <v>2</v>
      </c>
      <c r="E477" t="s">
        <v>48</v>
      </c>
      <c r="F477" t="s">
        <v>49</v>
      </c>
      <c r="G477" t="str">
        <f>"2026-05-27 06:26:20.716"</f>
        <v>2026-05-27 06:26:20.716</v>
      </c>
      <c r="H477" t="s">
        <v>21</v>
      </c>
    </row>
    <row r="478" spans="1:10" x14ac:dyDescent="0.25">
      <c r="A478" s="1">
        <v>72</v>
      </c>
      <c r="B478" t="s">
        <v>31</v>
      </c>
      <c r="C478">
        <v>61</v>
      </c>
      <c r="D478">
        <v>2</v>
      </c>
      <c r="E478" t="s">
        <v>48</v>
      </c>
      <c r="F478" t="s">
        <v>49</v>
      </c>
      <c r="G478" t="str">
        <f>"2026-05-27 06:26:03.316"</f>
        <v>2026-05-27 06:26:03.316</v>
      </c>
      <c r="H478" t="s">
        <v>21</v>
      </c>
      <c r="I478">
        <v>30.6</v>
      </c>
      <c r="J478" t="s">
        <v>38</v>
      </c>
    </row>
    <row r="479" spans="1:10" x14ac:dyDescent="0.25">
      <c r="A479" s="1">
        <v>73</v>
      </c>
      <c r="B479" t="s">
        <v>26</v>
      </c>
      <c r="C479">
        <v>630</v>
      </c>
      <c r="D479">
        <v>5</v>
      </c>
      <c r="E479" t="s">
        <v>27</v>
      </c>
      <c r="F479" t="s">
        <v>28</v>
      </c>
      <c r="G479" t="str">
        <f>"2026-05-26 21:33:09.703"</f>
        <v>2026-05-26 21:33:09.703</v>
      </c>
      <c r="H479" t="s">
        <v>29</v>
      </c>
    </row>
    <row r="480" spans="1:10" x14ac:dyDescent="0.25">
      <c r="A480" s="1">
        <v>74</v>
      </c>
      <c r="B480" t="s">
        <v>19</v>
      </c>
      <c r="C480">
        <v>706</v>
      </c>
      <c r="D480">
        <v>2</v>
      </c>
      <c r="E480" t="s">
        <v>23</v>
      </c>
      <c r="F480" t="s">
        <v>24</v>
      </c>
      <c r="G480" t="str">
        <f>"2026-05-26 21:32:39.548"</f>
        <v>2026-05-26 21:32:39.548</v>
      </c>
      <c r="H480" t="s">
        <v>21</v>
      </c>
      <c r="I480">
        <v>0</v>
      </c>
      <c r="J480" t="s">
        <v>25</v>
      </c>
    </row>
    <row r="481" spans="1:10" x14ac:dyDescent="0.25">
      <c r="A481" s="1">
        <v>75</v>
      </c>
      <c r="B481" t="s">
        <v>31</v>
      </c>
      <c r="C481">
        <v>630</v>
      </c>
      <c r="D481">
        <v>5</v>
      </c>
      <c r="E481" t="s">
        <v>27</v>
      </c>
      <c r="F481" t="s">
        <v>28</v>
      </c>
      <c r="G481" t="str">
        <f>"2026-05-26 21:26:59.303"</f>
        <v>2026-05-26 21:26:59.303</v>
      </c>
      <c r="H481" t="s">
        <v>29</v>
      </c>
      <c r="I481">
        <v>0</v>
      </c>
      <c r="J481" t="s">
        <v>25</v>
      </c>
    </row>
    <row r="482" spans="1:10" x14ac:dyDescent="0.25">
      <c r="A482" s="1">
        <v>76</v>
      </c>
      <c r="B482" t="s">
        <v>26</v>
      </c>
      <c r="C482">
        <v>630</v>
      </c>
      <c r="D482">
        <v>5</v>
      </c>
      <c r="E482" t="s">
        <v>27</v>
      </c>
      <c r="F482" t="s">
        <v>28</v>
      </c>
      <c r="G482" t="str">
        <f>"2026-05-26 14:24:18.803"</f>
        <v>2026-05-26 14:24:18.803</v>
      </c>
      <c r="H482" t="s">
        <v>29</v>
      </c>
    </row>
    <row r="483" spans="1:10" x14ac:dyDescent="0.25">
      <c r="A483" s="1">
        <v>77</v>
      </c>
      <c r="B483" t="s">
        <v>19</v>
      </c>
      <c r="C483">
        <v>706</v>
      </c>
      <c r="D483">
        <v>4</v>
      </c>
      <c r="E483" t="s">
        <v>23</v>
      </c>
      <c r="F483" t="s">
        <v>30</v>
      </c>
      <c r="G483" t="str">
        <f>"2026-05-26 14:23:48.748"</f>
        <v>2026-05-26 14:23:48.748</v>
      </c>
      <c r="H483" t="s">
        <v>21</v>
      </c>
      <c r="I483">
        <v>0</v>
      </c>
      <c r="J483" t="s">
        <v>25</v>
      </c>
    </row>
    <row r="484" spans="1:10" x14ac:dyDescent="0.25">
      <c r="A484" s="1">
        <v>78</v>
      </c>
      <c r="B484" t="s">
        <v>19</v>
      </c>
      <c r="C484">
        <v>706</v>
      </c>
      <c r="D484">
        <v>3</v>
      </c>
      <c r="E484" t="s">
        <v>23</v>
      </c>
      <c r="F484" t="s">
        <v>39</v>
      </c>
      <c r="G484" t="str">
        <f>"2026-05-26 13:59:23.078"</f>
        <v>2026-05-26 13:59:23.078</v>
      </c>
      <c r="H484" t="s">
        <v>21</v>
      </c>
      <c r="I484">
        <v>0</v>
      </c>
      <c r="J484" t="s">
        <v>25</v>
      </c>
    </row>
    <row r="485" spans="1:10" x14ac:dyDescent="0.25">
      <c r="A485" s="1">
        <v>79</v>
      </c>
      <c r="B485" t="s">
        <v>31</v>
      </c>
      <c r="C485">
        <v>630</v>
      </c>
      <c r="D485">
        <v>5</v>
      </c>
      <c r="E485" t="s">
        <v>27</v>
      </c>
      <c r="F485" t="s">
        <v>28</v>
      </c>
      <c r="G485" t="str">
        <f>"2026-05-26 12:54:07.903"</f>
        <v>2026-05-26 12:54:07.903</v>
      </c>
      <c r="H485" t="s">
        <v>29</v>
      </c>
      <c r="I485">
        <v>0</v>
      </c>
      <c r="J485" t="s">
        <v>25</v>
      </c>
    </row>
    <row r="486" spans="1:10" x14ac:dyDescent="0.25">
      <c r="A486" s="1">
        <v>80</v>
      </c>
      <c r="B486" t="s">
        <v>26</v>
      </c>
      <c r="C486">
        <v>630</v>
      </c>
      <c r="D486">
        <v>5</v>
      </c>
      <c r="E486" t="s">
        <v>27</v>
      </c>
      <c r="F486" t="s">
        <v>28</v>
      </c>
      <c r="G486" t="str">
        <f>"2026-05-25 20:43:46.103"</f>
        <v>2026-05-25 20:43:46.103</v>
      </c>
      <c r="H486" t="s">
        <v>29</v>
      </c>
    </row>
    <row r="487" spans="1:10" x14ac:dyDescent="0.25">
      <c r="A487" s="1">
        <v>81</v>
      </c>
      <c r="B487" t="s">
        <v>19</v>
      </c>
      <c r="C487">
        <v>706</v>
      </c>
      <c r="D487">
        <v>2</v>
      </c>
      <c r="E487" t="s">
        <v>23</v>
      </c>
      <c r="F487" t="s">
        <v>24</v>
      </c>
      <c r="G487" t="str">
        <f>"2026-05-25 20:43:15.948"</f>
        <v>2026-05-25 20:43:15.948</v>
      </c>
      <c r="H487" t="s">
        <v>21</v>
      </c>
      <c r="I487">
        <v>0</v>
      </c>
      <c r="J487" t="s">
        <v>25</v>
      </c>
    </row>
    <row r="488" spans="1:10" x14ac:dyDescent="0.25">
      <c r="A488" s="1">
        <v>82</v>
      </c>
      <c r="B488" t="s">
        <v>31</v>
      </c>
      <c r="C488">
        <v>630</v>
      </c>
      <c r="D488">
        <v>5</v>
      </c>
      <c r="E488" t="s">
        <v>27</v>
      </c>
      <c r="F488" t="s">
        <v>28</v>
      </c>
      <c r="G488" t="str">
        <f>"2026-05-25 20:37:59.503"</f>
        <v>2026-05-25 20:37:59.503</v>
      </c>
      <c r="H488" t="s">
        <v>29</v>
      </c>
      <c r="I488">
        <v>0</v>
      </c>
      <c r="J488" t="s">
        <v>25</v>
      </c>
    </row>
    <row r="489" spans="1:10" x14ac:dyDescent="0.25">
      <c r="A489" s="1">
        <v>83</v>
      </c>
      <c r="B489" t="s">
        <v>26</v>
      </c>
      <c r="C489">
        <v>630</v>
      </c>
      <c r="D489">
        <v>5</v>
      </c>
      <c r="E489" t="s">
        <v>27</v>
      </c>
      <c r="F489" t="s">
        <v>28</v>
      </c>
      <c r="G489" t="str">
        <f>"2026-05-24 23:03:22.203"</f>
        <v>2026-05-24 23:03:22.203</v>
      </c>
      <c r="H489" t="s">
        <v>29</v>
      </c>
    </row>
    <row r="490" spans="1:10" x14ac:dyDescent="0.25">
      <c r="A490" s="1">
        <v>84</v>
      </c>
      <c r="B490" t="s">
        <v>19</v>
      </c>
      <c r="C490">
        <v>706</v>
      </c>
      <c r="D490">
        <v>2</v>
      </c>
      <c r="E490" t="s">
        <v>23</v>
      </c>
      <c r="F490" t="s">
        <v>24</v>
      </c>
      <c r="G490" t="str">
        <f>"2026-05-24 23:02:52.148"</f>
        <v>2026-05-24 23:02:52.148</v>
      </c>
      <c r="H490" t="s">
        <v>21</v>
      </c>
      <c r="I490">
        <v>0</v>
      </c>
      <c r="J490" t="s">
        <v>25</v>
      </c>
    </row>
    <row r="491" spans="1:10" x14ac:dyDescent="0.25">
      <c r="A491" s="1">
        <v>85</v>
      </c>
      <c r="B491" t="s">
        <v>31</v>
      </c>
      <c r="C491">
        <v>630</v>
      </c>
      <c r="D491">
        <v>5</v>
      </c>
      <c r="E491" t="s">
        <v>27</v>
      </c>
      <c r="F491" t="s">
        <v>28</v>
      </c>
      <c r="G491" t="str">
        <f>"2026-05-24 22:55:18.703"</f>
        <v>2026-05-24 22:55:18.703</v>
      </c>
      <c r="H491" t="s">
        <v>29</v>
      </c>
      <c r="I491">
        <v>0</v>
      </c>
      <c r="J491" t="s">
        <v>25</v>
      </c>
    </row>
    <row r="492" spans="1:10" x14ac:dyDescent="0.25">
      <c r="A492" s="1">
        <v>86</v>
      </c>
      <c r="B492" t="s">
        <v>26</v>
      </c>
      <c r="C492">
        <v>635</v>
      </c>
      <c r="D492">
        <v>1</v>
      </c>
      <c r="E492" t="s">
        <v>32</v>
      </c>
      <c r="F492" t="s">
        <v>33</v>
      </c>
      <c r="G492" t="str">
        <f>"2026-05-24 20:13:38.755"</f>
        <v>2026-05-24 20:13:38.755</v>
      </c>
      <c r="H492" t="s">
        <v>21</v>
      </c>
    </row>
    <row r="493" spans="1:10" x14ac:dyDescent="0.25">
      <c r="A493" s="1">
        <v>87</v>
      </c>
      <c r="B493" t="s">
        <v>34</v>
      </c>
      <c r="C493">
        <v>635</v>
      </c>
      <c r="D493">
        <v>1</v>
      </c>
      <c r="E493" t="s">
        <v>32</v>
      </c>
      <c r="F493" t="s">
        <v>33</v>
      </c>
      <c r="G493" t="str">
        <f>"2026-05-24 20:07:50.755"</f>
        <v>2026-05-24 20:07:50.755</v>
      </c>
      <c r="H493" t="s">
        <v>21</v>
      </c>
      <c r="I493">
        <v>1.1200000000000001</v>
      </c>
      <c r="J493" t="s">
        <v>38</v>
      </c>
    </row>
    <row r="494" spans="1:10" x14ac:dyDescent="0.25">
      <c r="A494" s="1">
        <v>88</v>
      </c>
      <c r="B494" t="s">
        <v>26</v>
      </c>
      <c r="C494">
        <v>635</v>
      </c>
      <c r="D494">
        <v>1</v>
      </c>
      <c r="E494" t="s">
        <v>32</v>
      </c>
      <c r="F494" t="s">
        <v>33</v>
      </c>
      <c r="G494" t="str">
        <f>"2026-05-24 16:35:05.755"</f>
        <v>2026-05-24 16:35:05.755</v>
      </c>
      <c r="H494" t="s">
        <v>21</v>
      </c>
    </row>
    <row r="495" spans="1:10" x14ac:dyDescent="0.25">
      <c r="A495" s="1">
        <v>89</v>
      </c>
      <c r="B495" t="s">
        <v>34</v>
      </c>
      <c r="C495">
        <v>635</v>
      </c>
      <c r="D495">
        <v>1</v>
      </c>
      <c r="E495" t="s">
        <v>32</v>
      </c>
      <c r="F495" t="s">
        <v>33</v>
      </c>
      <c r="G495" t="str">
        <f>"2026-05-24 16:12:54.255"</f>
        <v>2026-05-24 16:12:54.255</v>
      </c>
      <c r="H495" t="s">
        <v>21</v>
      </c>
      <c r="I495">
        <v>9.56</v>
      </c>
      <c r="J495" t="s">
        <v>38</v>
      </c>
    </row>
    <row r="496" spans="1:10" x14ac:dyDescent="0.25">
      <c r="A496" s="1">
        <v>90</v>
      </c>
      <c r="B496" t="s">
        <v>26</v>
      </c>
      <c r="C496">
        <v>635</v>
      </c>
      <c r="D496">
        <v>1</v>
      </c>
      <c r="E496" t="s">
        <v>32</v>
      </c>
      <c r="F496" t="s">
        <v>33</v>
      </c>
      <c r="G496" t="str">
        <f>"2026-05-24 12:00:52.255"</f>
        <v>2026-05-24 12:00:52.255</v>
      </c>
      <c r="H496" t="s">
        <v>21</v>
      </c>
    </row>
    <row r="497" spans="1:10" x14ac:dyDescent="0.25">
      <c r="A497" s="1">
        <v>91</v>
      </c>
      <c r="B497" t="s">
        <v>34</v>
      </c>
      <c r="C497">
        <v>635</v>
      </c>
      <c r="D497">
        <v>1</v>
      </c>
      <c r="E497" t="s">
        <v>32</v>
      </c>
      <c r="F497" t="s">
        <v>33</v>
      </c>
      <c r="G497" t="str">
        <f>"2026-05-24 11:28:38.355"</f>
        <v>2026-05-24 11:28:38.355</v>
      </c>
      <c r="H497" t="s">
        <v>21</v>
      </c>
      <c r="I497">
        <v>9.82</v>
      </c>
      <c r="J497" t="s">
        <v>38</v>
      </c>
    </row>
    <row r="498" spans="1:10" x14ac:dyDescent="0.25">
      <c r="A498" s="1">
        <v>92</v>
      </c>
      <c r="B498" t="s">
        <v>26</v>
      </c>
      <c r="C498">
        <v>635</v>
      </c>
      <c r="D498">
        <v>1</v>
      </c>
      <c r="E498" t="s">
        <v>32</v>
      </c>
      <c r="F498" t="s">
        <v>33</v>
      </c>
      <c r="G498" t="str">
        <f>"2026-05-24 03:54:44.755"</f>
        <v>2026-05-24 03:54:44.755</v>
      </c>
      <c r="H498" t="s">
        <v>21</v>
      </c>
    </row>
    <row r="499" spans="1:10" x14ac:dyDescent="0.25">
      <c r="A499" s="1">
        <v>93</v>
      </c>
      <c r="B499" t="s">
        <v>34</v>
      </c>
      <c r="C499">
        <v>635</v>
      </c>
      <c r="D499">
        <v>1</v>
      </c>
      <c r="E499" t="s">
        <v>32</v>
      </c>
      <c r="F499" t="s">
        <v>33</v>
      </c>
      <c r="G499" t="str">
        <f>"2026-05-24 03:52:07.755"</f>
        <v>2026-05-24 03:52:07.755</v>
      </c>
      <c r="H499" t="s">
        <v>21</v>
      </c>
      <c r="I499">
        <v>2.75</v>
      </c>
      <c r="J499" t="s">
        <v>35</v>
      </c>
    </row>
    <row r="500" spans="1:10" x14ac:dyDescent="0.25">
      <c r="A500" s="1">
        <v>94</v>
      </c>
      <c r="B500" t="s">
        <v>19</v>
      </c>
      <c r="C500">
        <v>700</v>
      </c>
      <c r="D500">
        <v>0</v>
      </c>
      <c r="E500" t="s">
        <v>20</v>
      </c>
      <c r="F500" t="s">
        <v>20</v>
      </c>
      <c r="G500" t="str">
        <f>"2026-05-23 13:13:02.518"</f>
        <v>2026-05-23 13:13:02.518</v>
      </c>
      <c r="H500" t="s">
        <v>21</v>
      </c>
      <c r="I500">
        <v>0</v>
      </c>
      <c r="J500" t="s">
        <v>22</v>
      </c>
    </row>
    <row r="501" spans="1:10" x14ac:dyDescent="0.25">
      <c r="A501" s="1">
        <v>95</v>
      </c>
      <c r="B501" t="s">
        <v>26</v>
      </c>
      <c r="C501">
        <v>630</v>
      </c>
      <c r="D501">
        <v>5</v>
      </c>
      <c r="E501" t="s">
        <v>27</v>
      </c>
      <c r="F501" t="s">
        <v>28</v>
      </c>
      <c r="G501" t="str">
        <f>"2026-05-23 01:40:40.735"</f>
        <v>2026-05-23 01:40:40.735</v>
      </c>
      <c r="H501" t="s">
        <v>29</v>
      </c>
    </row>
    <row r="502" spans="1:10" x14ac:dyDescent="0.25">
      <c r="A502" s="1">
        <v>96</v>
      </c>
      <c r="B502" t="s">
        <v>19</v>
      </c>
      <c r="C502">
        <v>706</v>
      </c>
      <c r="D502">
        <v>4</v>
      </c>
      <c r="E502" t="s">
        <v>23</v>
      </c>
      <c r="F502" t="s">
        <v>30</v>
      </c>
      <c r="G502" t="str">
        <f>"2026-05-23 01:40:10.663"</f>
        <v>2026-05-23 01:40:10.663</v>
      </c>
      <c r="H502" t="s">
        <v>21</v>
      </c>
      <c r="I502">
        <v>0</v>
      </c>
      <c r="J502" t="s">
        <v>25</v>
      </c>
    </row>
    <row r="503" spans="1:10" x14ac:dyDescent="0.25">
      <c r="A503" s="1">
        <v>97</v>
      </c>
      <c r="B503" t="s">
        <v>31</v>
      </c>
      <c r="C503">
        <v>630</v>
      </c>
      <c r="D503">
        <v>5</v>
      </c>
      <c r="E503" t="s">
        <v>27</v>
      </c>
      <c r="F503" t="s">
        <v>28</v>
      </c>
      <c r="G503" t="str">
        <f>"2026-05-23 01:26:18.136"</f>
        <v>2026-05-23 01:26:18.136</v>
      </c>
      <c r="H503" t="s">
        <v>29</v>
      </c>
      <c r="I503">
        <v>0</v>
      </c>
      <c r="J503" t="s">
        <v>25</v>
      </c>
    </row>
    <row r="504" spans="1:10" x14ac:dyDescent="0.25">
      <c r="A504" s="1">
        <v>98</v>
      </c>
      <c r="B504" t="s">
        <v>26</v>
      </c>
      <c r="C504">
        <v>61</v>
      </c>
      <c r="D504">
        <v>2</v>
      </c>
      <c r="E504" t="s">
        <v>48</v>
      </c>
      <c r="F504" t="s">
        <v>49</v>
      </c>
      <c r="G504" t="str">
        <f>"2026-05-22 14:22:20.548"</f>
        <v>2026-05-22 14:22:20.548</v>
      </c>
      <c r="H504" t="s">
        <v>21</v>
      </c>
    </row>
    <row r="505" spans="1:10" x14ac:dyDescent="0.25">
      <c r="A505" s="1">
        <v>99</v>
      </c>
      <c r="B505" t="s">
        <v>31</v>
      </c>
      <c r="C505">
        <v>61</v>
      </c>
      <c r="D505">
        <v>2</v>
      </c>
      <c r="E505" t="s">
        <v>48</v>
      </c>
      <c r="F505" t="s">
        <v>49</v>
      </c>
      <c r="G505" t="str">
        <f>"2026-05-22 14:22:04.248"</f>
        <v>2026-05-22 14:22:04.248</v>
      </c>
      <c r="H505" t="s">
        <v>21</v>
      </c>
      <c r="I505">
        <v>30.38</v>
      </c>
      <c r="J505" t="s">
        <v>38</v>
      </c>
    </row>
    <row r="506" spans="1:10" x14ac:dyDescent="0.25">
      <c r="A506" s="1">
        <v>0</v>
      </c>
      <c r="B506" t="s">
        <v>19</v>
      </c>
      <c r="C506">
        <v>700</v>
      </c>
      <c r="D506">
        <v>0</v>
      </c>
      <c r="E506" t="s">
        <v>20</v>
      </c>
      <c r="F506" t="s">
        <v>20</v>
      </c>
      <c r="G506" t="str">
        <f>"2026-05-21 20:57:48.443"</f>
        <v>2026-05-21 20:57:48.443</v>
      </c>
      <c r="H506" t="s">
        <v>21</v>
      </c>
      <c r="I506">
        <v>0</v>
      </c>
      <c r="J506" t="s">
        <v>22</v>
      </c>
    </row>
    <row r="507" spans="1:10" x14ac:dyDescent="0.25">
      <c r="A507" s="1">
        <v>1</v>
      </c>
      <c r="B507" t="s">
        <v>26</v>
      </c>
      <c r="C507">
        <v>635</v>
      </c>
      <c r="D507">
        <v>1</v>
      </c>
      <c r="E507" t="s">
        <v>32</v>
      </c>
      <c r="F507" t="s">
        <v>33</v>
      </c>
      <c r="G507" t="str">
        <f>"2026-05-21 09:07:54.444"</f>
        <v>2026-05-21 09:07:54.444</v>
      </c>
      <c r="H507" t="s">
        <v>21</v>
      </c>
    </row>
    <row r="508" spans="1:10" x14ac:dyDescent="0.25">
      <c r="A508" s="1">
        <v>2</v>
      </c>
      <c r="B508" t="s">
        <v>34</v>
      </c>
      <c r="C508">
        <v>635</v>
      </c>
      <c r="D508">
        <v>1</v>
      </c>
      <c r="E508" t="s">
        <v>32</v>
      </c>
      <c r="F508" t="s">
        <v>33</v>
      </c>
      <c r="G508" t="str">
        <f>"2026-05-21 08:48:21.944"</f>
        <v>2026-05-21 08:48:21.944</v>
      </c>
      <c r="H508" t="s">
        <v>21</v>
      </c>
      <c r="I508">
        <v>8.41</v>
      </c>
      <c r="J508" t="s">
        <v>35</v>
      </c>
    </row>
    <row r="509" spans="1:10" x14ac:dyDescent="0.25">
      <c r="A509" s="1">
        <v>3</v>
      </c>
      <c r="B509" t="s">
        <v>26</v>
      </c>
      <c r="C509">
        <v>635</v>
      </c>
      <c r="D509">
        <v>1</v>
      </c>
      <c r="E509" t="s">
        <v>32</v>
      </c>
      <c r="F509" t="s">
        <v>33</v>
      </c>
      <c r="G509" t="str">
        <f>"2026-05-20 17:09:04.244"</f>
        <v>2026-05-20 17:09:04.244</v>
      </c>
      <c r="H509" t="s">
        <v>21</v>
      </c>
    </row>
    <row r="510" spans="1:10" x14ac:dyDescent="0.25">
      <c r="A510" s="1">
        <v>4</v>
      </c>
      <c r="B510" t="s">
        <v>34</v>
      </c>
      <c r="C510">
        <v>635</v>
      </c>
      <c r="D510">
        <v>1</v>
      </c>
      <c r="E510" t="s">
        <v>32</v>
      </c>
      <c r="F510" t="s">
        <v>33</v>
      </c>
      <c r="G510" t="str">
        <f>"2026-05-20 16:50:48.744"</f>
        <v>2026-05-20 16:50:48.744</v>
      </c>
      <c r="H510" t="s">
        <v>21</v>
      </c>
      <c r="I510">
        <v>7.66</v>
      </c>
      <c r="J510" t="s">
        <v>35</v>
      </c>
    </row>
    <row r="511" spans="1:10" x14ac:dyDescent="0.25">
      <c r="A511" s="1">
        <v>5</v>
      </c>
      <c r="B511" t="s">
        <v>26</v>
      </c>
      <c r="C511">
        <v>635</v>
      </c>
      <c r="D511">
        <v>1</v>
      </c>
      <c r="E511" t="s">
        <v>32</v>
      </c>
      <c r="F511" t="s">
        <v>33</v>
      </c>
      <c r="G511" t="str">
        <f>"2026-05-20 14:08:22.044"</f>
        <v>2026-05-20 14:08:22.044</v>
      </c>
      <c r="H511" t="s">
        <v>21</v>
      </c>
    </row>
    <row r="512" spans="1:10" x14ac:dyDescent="0.25">
      <c r="A512" s="1">
        <v>6</v>
      </c>
      <c r="B512" t="s">
        <v>34</v>
      </c>
      <c r="C512">
        <v>635</v>
      </c>
      <c r="D512">
        <v>1</v>
      </c>
      <c r="E512" t="s">
        <v>32</v>
      </c>
      <c r="F512" t="s">
        <v>33</v>
      </c>
      <c r="G512" t="str">
        <f>"2026-05-20 13:55:46.144"</f>
        <v>2026-05-20 13:55:46.144</v>
      </c>
      <c r="H512" t="s">
        <v>21</v>
      </c>
      <c r="I512">
        <v>9.5299999999999994</v>
      </c>
      <c r="J512" t="s">
        <v>38</v>
      </c>
    </row>
    <row r="513" spans="1:10" x14ac:dyDescent="0.25">
      <c r="A513" s="1">
        <v>7</v>
      </c>
      <c r="B513" t="s">
        <v>19</v>
      </c>
      <c r="C513">
        <v>700</v>
      </c>
      <c r="D513">
        <v>0</v>
      </c>
      <c r="E513" t="s">
        <v>20</v>
      </c>
      <c r="F513" t="s">
        <v>20</v>
      </c>
      <c r="G513" t="str">
        <f>"2026-05-20 10:51:34.440"</f>
        <v>2026-05-20 10:51:34.440</v>
      </c>
      <c r="H513" t="s">
        <v>21</v>
      </c>
      <c r="I513">
        <v>0</v>
      </c>
      <c r="J513" t="s">
        <v>22</v>
      </c>
    </row>
    <row r="514" spans="1:10" x14ac:dyDescent="0.25">
      <c r="A514" s="1">
        <v>8</v>
      </c>
      <c r="B514" t="s">
        <v>26</v>
      </c>
      <c r="C514">
        <v>630</v>
      </c>
      <c r="D514">
        <v>5</v>
      </c>
      <c r="E514" t="s">
        <v>27</v>
      </c>
      <c r="F514" t="s">
        <v>28</v>
      </c>
      <c r="G514" t="str">
        <f>"2026-05-20 10:11:40.692"</f>
        <v>2026-05-20 10:11:40.692</v>
      </c>
      <c r="H514" t="s">
        <v>29</v>
      </c>
    </row>
    <row r="515" spans="1:10" x14ac:dyDescent="0.25">
      <c r="A515" s="1">
        <v>9</v>
      </c>
      <c r="B515" t="s">
        <v>19</v>
      </c>
      <c r="C515">
        <v>706</v>
      </c>
      <c r="D515">
        <v>4</v>
      </c>
      <c r="E515" t="s">
        <v>23</v>
      </c>
      <c r="F515" t="s">
        <v>30</v>
      </c>
      <c r="G515" t="str">
        <f>"2026-05-20 10:11:10.621"</f>
        <v>2026-05-20 10:11:10.621</v>
      </c>
      <c r="H515" t="s">
        <v>21</v>
      </c>
      <c r="I515">
        <v>0</v>
      </c>
      <c r="J515" t="s">
        <v>25</v>
      </c>
    </row>
    <row r="516" spans="1:10" x14ac:dyDescent="0.25">
      <c r="A516" s="1">
        <v>10</v>
      </c>
      <c r="B516" t="s">
        <v>31</v>
      </c>
      <c r="C516">
        <v>630</v>
      </c>
      <c r="D516">
        <v>5</v>
      </c>
      <c r="E516" t="s">
        <v>27</v>
      </c>
      <c r="F516" t="s">
        <v>28</v>
      </c>
      <c r="G516" t="str">
        <f>"2026-05-20 10:00:17.292"</f>
        <v>2026-05-20 10:00:17.292</v>
      </c>
      <c r="H516" t="s">
        <v>29</v>
      </c>
      <c r="I516">
        <v>0</v>
      </c>
      <c r="J516" t="s">
        <v>25</v>
      </c>
    </row>
    <row r="517" spans="1:10" x14ac:dyDescent="0.25">
      <c r="A517" s="1">
        <v>11</v>
      </c>
      <c r="B517" t="s">
        <v>19</v>
      </c>
      <c r="C517">
        <v>700</v>
      </c>
      <c r="D517">
        <v>0</v>
      </c>
      <c r="E517" t="s">
        <v>20</v>
      </c>
      <c r="F517" t="s">
        <v>20</v>
      </c>
      <c r="G517" t="str">
        <f>"2026-05-20 09:55:14.461"</f>
        <v>2026-05-20 09:55:14.461</v>
      </c>
      <c r="H517" t="s">
        <v>21</v>
      </c>
    </row>
    <row r="518" spans="1:10" x14ac:dyDescent="0.25">
      <c r="A518" s="1">
        <v>12</v>
      </c>
      <c r="B518" t="s">
        <v>19</v>
      </c>
      <c r="C518">
        <v>700</v>
      </c>
      <c r="D518">
        <v>0</v>
      </c>
      <c r="E518" t="s">
        <v>20</v>
      </c>
      <c r="F518" t="s">
        <v>20</v>
      </c>
      <c r="G518" t="str">
        <f>"2026-05-19 16:52:07.446"</f>
        <v>2026-05-19 16:52:07.446</v>
      </c>
      <c r="H518" t="s">
        <v>21</v>
      </c>
    </row>
    <row r="519" spans="1:10" x14ac:dyDescent="0.25">
      <c r="A519" s="1">
        <v>13</v>
      </c>
      <c r="B519" t="s">
        <v>19</v>
      </c>
      <c r="C519">
        <v>700</v>
      </c>
      <c r="D519">
        <v>0</v>
      </c>
      <c r="E519" t="s">
        <v>20</v>
      </c>
      <c r="F519" t="s">
        <v>20</v>
      </c>
      <c r="G519" t="str">
        <f>"2026-05-19 13:30:33.435"</f>
        <v>2026-05-19 13:30:33.435</v>
      </c>
      <c r="H519" t="s">
        <v>21</v>
      </c>
      <c r="I519">
        <v>0</v>
      </c>
      <c r="J519" t="s">
        <v>22</v>
      </c>
    </row>
    <row r="520" spans="1:10" x14ac:dyDescent="0.25">
      <c r="A520" s="1">
        <v>14</v>
      </c>
      <c r="B520" t="s">
        <v>26</v>
      </c>
      <c r="C520">
        <v>630</v>
      </c>
      <c r="D520">
        <v>5</v>
      </c>
      <c r="E520" t="s">
        <v>27</v>
      </c>
      <c r="F520" t="s">
        <v>28</v>
      </c>
      <c r="G520" t="str">
        <f>"2026-05-18 13:57:54.523"</f>
        <v>2026-05-18 13:57:54.523</v>
      </c>
      <c r="H520" t="s">
        <v>29</v>
      </c>
    </row>
    <row r="521" spans="1:10" x14ac:dyDescent="0.25">
      <c r="A521" s="1">
        <v>15</v>
      </c>
      <c r="B521" t="s">
        <v>19</v>
      </c>
      <c r="C521">
        <v>706</v>
      </c>
      <c r="D521">
        <v>4</v>
      </c>
      <c r="E521" t="s">
        <v>23</v>
      </c>
      <c r="F521" t="s">
        <v>30</v>
      </c>
      <c r="G521" t="str">
        <f>"2026-05-18 13:57:24.401"</f>
        <v>2026-05-18 13:57:24.401</v>
      </c>
      <c r="H521" t="s">
        <v>21</v>
      </c>
      <c r="I521">
        <v>0</v>
      </c>
      <c r="J521" t="s">
        <v>25</v>
      </c>
    </row>
    <row r="522" spans="1:10" x14ac:dyDescent="0.25">
      <c r="A522" s="1">
        <v>16</v>
      </c>
      <c r="B522" t="s">
        <v>31</v>
      </c>
      <c r="C522">
        <v>630</v>
      </c>
      <c r="D522">
        <v>5</v>
      </c>
      <c r="E522" t="s">
        <v>27</v>
      </c>
      <c r="F522" t="s">
        <v>28</v>
      </c>
      <c r="G522" t="str">
        <f>"2026-05-18 13:43:01.723"</f>
        <v>2026-05-18 13:43:01.723</v>
      </c>
      <c r="H522" t="s">
        <v>29</v>
      </c>
      <c r="I522">
        <v>0</v>
      </c>
      <c r="J522" t="s">
        <v>25</v>
      </c>
    </row>
    <row r="523" spans="1:10" x14ac:dyDescent="0.25">
      <c r="A523" s="1">
        <v>17</v>
      </c>
      <c r="B523" t="s">
        <v>26</v>
      </c>
      <c r="C523">
        <v>635</v>
      </c>
      <c r="D523">
        <v>1</v>
      </c>
      <c r="E523" t="s">
        <v>32</v>
      </c>
      <c r="F523" t="s">
        <v>33</v>
      </c>
      <c r="G523" t="str">
        <f>"2026-05-17 16:32:02.469"</f>
        <v>2026-05-17 16:32:02.469</v>
      </c>
      <c r="H523" t="s">
        <v>21</v>
      </c>
    </row>
    <row r="524" spans="1:10" x14ac:dyDescent="0.25">
      <c r="A524" s="1">
        <v>18</v>
      </c>
      <c r="B524" t="s">
        <v>34</v>
      </c>
      <c r="C524">
        <v>635</v>
      </c>
      <c r="D524">
        <v>1</v>
      </c>
      <c r="E524" t="s">
        <v>32</v>
      </c>
      <c r="F524" t="s">
        <v>33</v>
      </c>
      <c r="G524" t="str">
        <f>"2026-05-17 16:29:33.969"</f>
        <v>2026-05-17 16:29:33.969</v>
      </c>
      <c r="H524" t="s">
        <v>21</v>
      </c>
      <c r="I524">
        <v>4.49</v>
      </c>
      <c r="J524" t="s">
        <v>35</v>
      </c>
    </row>
    <row r="525" spans="1:10" x14ac:dyDescent="0.25">
      <c r="A525" s="1">
        <v>19</v>
      </c>
      <c r="B525" t="s">
        <v>26</v>
      </c>
      <c r="C525">
        <v>630</v>
      </c>
      <c r="D525">
        <v>5</v>
      </c>
      <c r="E525" t="s">
        <v>27</v>
      </c>
      <c r="F525" t="s">
        <v>28</v>
      </c>
      <c r="G525" t="str">
        <f>"2026-05-17 14:46:17.223"</f>
        <v>2026-05-17 14:46:17.223</v>
      </c>
      <c r="H525" t="s">
        <v>29</v>
      </c>
    </row>
    <row r="526" spans="1:10" x14ac:dyDescent="0.25">
      <c r="A526" s="1">
        <v>20</v>
      </c>
      <c r="B526" t="s">
        <v>19</v>
      </c>
      <c r="C526">
        <v>706</v>
      </c>
      <c r="D526">
        <v>2</v>
      </c>
      <c r="E526" t="s">
        <v>23</v>
      </c>
      <c r="F526" t="s">
        <v>24</v>
      </c>
      <c r="G526" t="str">
        <f>"2026-05-17 14:45:47.131"</f>
        <v>2026-05-17 14:45:47.131</v>
      </c>
      <c r="H526" t="s">
        <v>21</v>
      </c>
      <c r="I526">
        <v>0</v>
      </c>
      <c r="J526" t="s">
        <v>25</v>
      </c>
    </row>
    <row r="527" spans="1:10" x14ac:dyDescent="0.25">
      <c r="A527" s="1">
        <v>21</v>
      </c>
      <c r="B527" t="s">
        <v>31</v>
      </c>
      <c r="C527">
        <v>630</v>
      </c>
      <c r="D527">
        <v>5</v>
      </c>
      <c r="E527" t="s">
        <v>27</v>
      </c>
      <c r="F527" t="s">
        <v>28</v>
      </c>
      <c r="G527" t="str">
        <f>"2026-05-17 14:43:37.223"</f>
        <v>2026-05-17 14:43:37.223</v>
      </c>
      <c r="H527" t="s">
        <v>29</v>
      </c>
      <c r="I527">
        <v>0</v>
      </c>
      <c r="J527" t="s">
        <v>25</v>
      </c>
    </row>
    <row r="528" spans="1:10" x14ac:dyDescent="0.25">
      <c r="A528" s="1">
        <v>22</v>
      </c>
      <c r="B528" t="s">
        <v>26</v>
      </c>
      <c r="C528">
        <v>630</v>
      </c>
      <c r="D528">
        <v>5</v>
      </c>
      <c r="E528" t="s">
        <v>27</v>
      </c>
      <c r="F528" t="s">
        <v>28</v>
      </c>
      <c r="G528" t="str">
        <f>"2026-05-17 13:50:46.423"</f>
        <v>2026-05-17 13:50:46.423</v>
      </c>
      <c r="H528" t="s">
        <v>29</v>
      </c>
    </row>
    <row r="529" spans="1:10" x14ac:dyDescent="0.25">
      <c r="A529" s="1">
        <v>23</v>
      </c>
      <c r="B529" t="s">
        <v>19</v>
      </c>
      <c r="C529">
        <v>706</v>
      </c>
      <c r="D529">
        <v>4</v>
      </c>
      <c r="E529" t="s">
        <v>23</v>
      </c>
      <c r="F529" t="s">
        <v>30</v>
      </c>
      <c r="G529" t="str">
        <f>"2026-05-17 13:50:16.351"</f>
        <v>2026-05-17 13:50:16.351</v>
      </c>
      <c r="H529" t="s">
        <v>21</v>
      </c>
      <c r="I529">
        <v>0</v>
      </c>
      <c r="J529" t="s">
        <v>25</v>
      </c>
    </row>
    <row r="530" spans="1:10" x14ac:dyDescent="0.25">
      <c r="A530" s="1">
        <v>24</v>
      </c>
      <c r="B530" t="s">
        <v>31</v>
      </c>
      <c r="C530">
        <v>630</v>
      </c>
      <c r="D530">
        <v>5</v>
      </c>
      <c r="E530" t="s">
        <v>27</v>
      </c>
      <c r="F530" t="s">
        <v>28</v>
      </c>
      <c r="G530" t="str">
        <f>"2026-05-17 13:29:23.923"</f>
        <v>2026-05-17 13:29:23.923</v>
      </c>
      <c r="H530" t="s">
        <v>29</v>
      </c>
      <c r="I530">
        <v>0</v>
      </c>
      <c r="J530" t="s">
        <v>25</v>
      </c>
    </row>
    <row r="531" spans="1:10" x14ac:dyDescent="0.25">
      <c r="A531" s="1">
        <v>25</v>
      </c>
      <c r="B531" t="s">
        <v>26</v>
      </c>
      <c r="C531">
        <v>635</v>
      </c>
      <c r="D531">
        <v>1</v>
      </c>
      <c r="E531" t="s">
        <v>32</v>
      </c>
      <c r="F531" t="s">
        <v>33</v>
      </c>
      <c r="G531" t="str">
        <f>"2026-05-16 22:28:16.369"</f>
        <v>2026-05-16 22:28:16.369</v>
      </c>
      <c r="H531" t="s">
        <v>21</v>
      </c>
    </row>
    <row r="532" spans="1:10" x14ac:dyDescent="0.25">
      <c r="A532" s="1">
        <v>26</v>
      </c>
      <c r="B532" t="s">
        <v>34</v>
      </c>
      <c r="C532">
        <v>635</v>
      </c>
      <c r="D532">
        <v>1</v>
      </c>
      <c r="E532" t="s">
        <v>32</v>
      </c>
      <c r="F532" t="s">
        <v>33</v>
      </c>
      <c r="G532" t="str">
        <f>"2026-05-16 22:23:03.369"</f>
        <v>2026-05-16 22:23:03.369</v>
      </c>
      <c r="H532" t="s">
        <v>21</v>
      </c>
      <c r="I532">
        <v>0</v>
      </c>
      <c r="J532" t="s">
        <v>40</v>
      </c>
    </row>
    <row r="533" spans="1:10" x14ac:dyDescent="0.25">
      <c r="A533" s="1">
        <v>27</v>
      </c>
      <c r="B533" t="s">
        <v>26</v>
      </c>
      <c r="C533">
        <v>635</v>
      </c>
      <c r="D533">
        <v>1</v>
      </c>
      <c r="E533" t="s">
        <v>32</v>
      </c>
      <c r="F533" t="s">
        <v>33</v>
      </c>
      <c r="G533" t="str">
        <f>"2026-05-16 14:43:25.669"</f>
        <v>2026-05-16 14:43:25.669</v>
      </c>
      <c r="H533" t="s">
        <v>21</v>
      </c>
    </row>
    <row r="534" spans="1:10" x14ac:dyDescent="0.25">
      <c r="A534" s="1">
        <v>28</v>
      </c>
      <c r="B534" t="s">
        <v>34</v>
      </c>
      <c r="C534">
        <v>635</v>
      </c>
      <c r="D534">
        <v>1</v>
      </c>
      <c r="E534" t="s">
        <v>32</v>
      </c>
      <c r="F534" t="s">
        <v>33</v>
      </c>
      <c r="G534" t="str">
        <f>"2026-05-16 14:36:43.169"</f>
        <v>2026-05-16 14:36:43.169</v>
      </c>
      <c r="H534" t="s">
        <v>21</v>
      </c>
      <c r="I534">
        <v>0.76</v>
      </c>
      <c r="J534" t="s">
        <v>38</v>
      </c>
    </row>
    <row r="535" spans="1:10" x14ac:dyDescent="0.25">
      <c r="A535" s="1">
        <v>29</v>
      </c>
      <c r="B535" t="s">
        <v>26</v>
      </c>
      <c r="C535">
        <v>630</v>
      </c>
      <c r="D535">
        <v>5</v>
      </c>
      <c r="E535" t="s">
        <v>27</v>
      </c>
      <c r="F535" t="s">
        <v>28</v>
      </c>
      <c r="G535" t="str">
        <f>"2026-05-16 13:56:41.723"</f>
        <v>2026-05-16 13:56:41.723</v>
      </c>
      <c r="H535" t="s">
        <v>29</v>
      </c>
    </row>
    <row r="536" spans="1:10" x14ac:dyDescent="0.25">
      <c r="A536" s="1">
        <v>30</v>
      </c>
      <c r="B536" t="s">
        <v>19</v>
      </c>
      <c r="C536">
        <v>706</v>
      </c>
      <c r="D536">
        <v>2</v>
      </c>
      <c r="E536" t="s">
        <v>23</v>
      </c>
      <c r="F536" t="s">
        <v>24</v>
      </c>
      <c r="G536" t="str">
        <f>"2026-05-16 13:56:11.731"</f>
        <v>2026-05-16 13:56:11.731</v>
      </c>
      <c r="H536" t="s">
        <v>21</v>
      </c>
      <c r="I536">
        <v>0</v>
      </c>
      <c r="J536" t="s">
        <v>25</v>
      </c>
    </row>
    <row r="537" spans="1:10" x14ac:dyDescent="0.25">
      <c r="A537" s="1">
        <v>31</v>
      </c>
      <c r="B537" t="s">
        <v>31</v>
      </c>
      <c r="C537">
        <v>630</v>
      </c>
      <c r="D537">
        <v>5</v>
      </c>
      <c r="E537" t="s">
        <v>27</v>
      </c>
      <c r="F537" t="s">
        <v>28</v>
      </c>
      <c r="G537" t="str">
        <f>"2026-05-16 13:11:32.223"</f>
        <v>2026-05-16 13:11:32.223</v>
      </c>
      <c r="H537" t="s">
        <v>29</v>
      </c>
      <c r="I537">
        <v>0</v>
      </c>
      <c r="J537" t="s">
        <v>25</v>
      </c>
    </row>
    <row r="538" spans="1:10" x14ac:dyDescent="0.25">
      <c r="A538" s="1">
        <v>32</v>
      </c>
      <c r="B538" t="s">
        <v>26</v>
      </c>
      <c r="C538">
        <v>630</v>
      </c>
      <c r="D538">
        <v>5</v>
      </c>
      <c r="E538" t="s">
        <v>27</v>
      </c>
      <c r="F538" t="s">
        <v>28</v>
      </c>
      <c r="G538" t="str">
        <f>"2026-05-16 03:01:37.923"</f>
        <v>2026-05-16 03:01:37.923</v>
      </c>
      <c r="H538" t="s">
        <v>29</v>
      </c>
    </row>
    <row r="539" spans="1:10" x14ac:dyDescent="0.25">
      <c r="A539" s="1">
        <v>33</v>
      </c>
      <c r="B539" t="s">
        <v>19</v>
      </c>
      <c r="C539">
        <v>706</v>
      </c>
      <c r="D539">
        <v>4</v>
      </c>
      <c r="E539" t="s">
        <v>23</v>
      </c>
      <c r="F539" t="s">
        <v>30</v>
      </c>
      <c r="G539" t="str">
        <f>"2026-05-16 03:01:07.821"</f>
        <v>2026-05-16 03:01:07.821</v>
      </c>
      <c r="H539" t="s">
        <v>21</v>
      </c>
      <c r="I539">
        <v>0</v>
      </c>
      <c r="J539" t="s">
        <v>25</v>
      </c>
    </row>
    <row r="540" spans="1:10" x14ac:dyDescent="0.25">
      <c r="A540" s="1">
        <v>34</v>
      </c>
      <c r="B540" t="s">
        <v>31</v>
      </c>
      <c r="C540">
        <v>630</v>
      </c>
      <c r="D540">
        <v>5</v>
      </c>
      <c r="E540" t="s">
        <v>27</v>
      </c>
      <c r="F540" t="s">
        <v>28</v>
      </c>
      <c r="G540" t="str">
        <f>"2026-05-16 02:58:37.223"</f>
        <v>2026-05-16 02:58:37.223</v>
      </c>
      <c r="H540" t="s">
        <v>29</v>
      </c>
      <c r="I540">
        <v>0</v>
      </c>
      <c r="J540" t="s">
        <v>25</v>
      </c>
    </row>
    <row r="541" spans="1:10" x14ac:dyDescent="0.25">
      <c r="A541" s="1">
        <v>35</v>
      </c>
      <c r="B541" t="s">
        <v>19</v>
      </c>
      <c r="C541">
        <v>700</v>
      </c>
      <c r="D541">
        <v>0</v>
      </c>
      <c r="E541" t="s">
        <v>20</v>
      </c>
      <c r="F541" t="s">
        <v>20</v>
      </c>
      <c r="G541" t="str">
        <f>"2026-05-16 02:53:34.411"</f>
        <v>2026-05-16 02:53:34.411</v>
      </c>
      <c r="H541" t="s">
        <v>21</v>
      </c>
      <c r="I541">
        <v>0</v>
      </c>
      <c r="J541" t="s">
        <v>22</v>
      </c>
    </row>
    <row r="542" spans="1:10" x14ac:dyDescent="0.25">
      <c r="A542" s="1">
        <v>36</v>
      </c>
      <c r="B542" t="s">
        <v>19</v>
      </c>
      <c r="C542">
        <v>706</v>
      </c>
      <c r="D542">
        <v>4</v>
      </c>
      <c r="E542" t="s">
        <v>23</v>
      </c>
      <c r="F542" t="s">
        <v>30</v>
      </c>
      <c r="G542" t="str">
        <f>"2026-05-16 00:09:32.700"</f>
        <v>2026-05-16 00:09:32.700</v>
      </c>
      <c r="H542" t="s">
        <v>21</v>
      </c>
      <c r="I542">
        <v>0</v>
      </c>
      <c r="J542" t="s">
        <v>25</v>
      </c>
    </row>
    <row r="543" spans="1:10" x14ac:dyDescent="0.25">
      <c r="A543" s="1">
        <v>37</v>
      </c>
      <c r="B543" t="s">
        <v>26</v>
      </c>
      <c r="C543">
        <v>635</v>
      </c>
      <c r="D543">
        <v>1</v>
      </c>
      <c r="E543" t="s">
        <v>32</v>
      </c>
      <c r="F543" t="s">
        <v>33</v>
      </c>
      <c r="G543" t="str">
        <f>"2026-05-14 20:59:13.260"</f>
        <v>2026-05-14 20:59:13.260</v>
      </c>
      <c r="H543" t="s">
        <v>21</v>
      </c>
    </row>
    <row r="544" spans="1:10" x14ac:dyDescent="0.25">
      <c r="A544" s="1">
        <v>38</v>
      </c>
      <c r="B544" t="s">
        <v>34</v>
      </c>
      <c r="C544">
        <v>635</v>
      </c>
      <c r="D544">
        <v>1</v>
      </c>
      <c r="E544" t="s">
        <v>32</v>
      </c>
      <c r="F544" t="s">
        <v>33</v>
      </c>
      <c r="G544" t="str">
        <f>"2026-05-14 20:56:27.760"</f>
        <v>2026-05-14 20:56:27.760</v>
      </c>
      <c r="H544" t="s">
        <v>21</v>
      </c>
      <c r="I544">
        <v>-0.84</v>
      </c>
      <c r="J544" t="s">
        <v>35</v>
      </c>
    </row>
    <row r="545" spans="1:10" x14ac:dyDescent="0.25">
      <c r="A545" s="1">
        <v>39</v>
      </c>
      <c r="B545" t="s">
        <v>26</v>
      </c>
      <c r="C545">
        <v>630</v>
      </c>
      <c r="D545">
        <v>5</v>
      </c>
      <c r="E545" t="s">
        <v>27</v>
      </c>
      <c r="F545" t="s">
        <v>28</v>
      </c>
      <c r="G545" t="str">
        <f>"2026-05-14 16:19:05.108"</f>
        <v>2026-05-14 16:19:05.108</v>
      </c>
      <c r="H545" t="s">
        <v>29</v>
      </c>
    </row>
    <row r="546" spans="1:10" x14ac:dyDescent="0.25">
      <c r="A546" s="1">
        <v>40</v>
      </c>
      <c r="B546" t="s">
        <v>19</v>
      </c>
      <c r="C546">
        <v>706</v>
      </c>
      <c r="D546">
        <v>4</v>
      </c>
      <c r="E546" t="s">
        <v>23</v>
      </c>
      <c r="F546" t="s">
        <v>30</v>
      </c>
      <c r="G546" t="str">
        <f>"2026-05-14 16:18:34.990"</f>
        <v>2026-05-14 16:18:34.990</v>
      </c>
      <c r="H546" t="s">
        <v>21</v>
      </c>
      <c r="I546">
        <v>0</v>
      </c>
      <c r="J546" t="s">
        <v>25</v>
      </c>
    </row>
    <row r="547" spans="1:10" x14ac:dyDescent="0.25">
      <c r="A547" s="1">
        <v>41</v>
      </c>
      <c r="B547" t="s">
        <v>31</v>
      </c>
      <c r="C547">
        <v>630</v>
      </c>
      <c r="D547">
        <v>5</v>
      </c>
      <c r="E547" t="s">
        <v>27</v>
      </c>
      <c r="F547" t="s">
        <v>28</v>
      </c>
      <c r="G547" t="str">
        <f>"2026-05-14 16:15:11.408"</f>
        <v>2026-05-14 16:15:11.408</v>
      </c>
      <c r="H547" t="s">
        <v>29</v>
      </c>
      <c r="I547">
        <v>0</v>
      </c>
      <c r="J547" t="s">
        <v>25</v>
      </c>
    </row>
    <row r="548" spans="1:10" x14ac:dyDescent="0.25">
      <c r="A548" s="1">
        <v>42</v>
      </c>
      <c r="B548" t="s">
        <v>26</v>
      </c>
      <c r="C548">
        <v>635</v>
      </c>
      <c r="D548">
        <v>1</v>
      </c>
      <c r="E548" t="s">
        <v>32</v>
      </c>
      <c r="F548" t="s">
        <v>33</v>
      </c>
      <c r="G548" t="str">
        <f>"2026-05-14 06:35:31.460"</f>
        <v>2026-05-14 06:35:31.460</v>
      </c>
      <c r="H548" t="s">
        <v>21</v>
      </c>
    </row>
    <row r="549" spans="1:10" x14ac:dyDescent="0.25">
      <c r="A549" s="1">
        <v>43</v>
      </c>
      <c r="B549" t="s">
        <v>34</v>
      </c>
      <c r="C549">
        <v>635</v>
      </c>
      <c r="D549">
        <v>1</v>
      </c>
      <c r="E549" t="s">
        <v>32</v>
      </c>
      <c r="F549" t="s">
        <v>33</v>
      </c>
      <c r="G549" t="str">
        <f>"2026-05-14 06:31:25.961"</f>
        <v>2026-05-14 06:31:25.961</v>
      </c>
      <c r="H549" t="s">
        <v>21</v>
      </c>
      <c r="I549">
        <v>-1.97</v>
      </c>
      <c r="J549" t="s">
        <v>38</v>
      </c>
    </row>
    <row r="550" spans="1:10" x14ac:dyDescent="0.25">
      <c r="A550" s="1">
        <v>44</v>
      </c>
      <c r="B550" t="s">
        <v>19</v>
      </c>
      <c r="C550">
        <v>700</v>
      </c>
      <c r="D550">
        <v>0</v>
      </c>
      <c r="E550" t="s">
        <v>20</v>
      </c>
      <c r="F550" t="s">
        <v>20</v>
      </c>
      <c r="G550" t="str">
        <f>"2026-05-14 01:47:18.400"</f>
        <v>2026-05-14 01:47:18.400</v>
      </c>
      <c r="H550" t="s">
        <v>21</v>
      </c>
      <c r="I550">
        <v>0</v>
      </c>
      <c r="J550" t="s">
        <v>22</v>
      </c>
    </row>
    <row r="551" spans="1:10" x14ac:dyDescent="0.25">
      <c r="A551" s="1">
        <v>45</v>
      </c>
      <c r="B551" t="s">
        <v>19</v>
      </c>
      <c r="C551">
        <v>700</v>
      </c>
      <c r="D551">
        <v>0</v>
      </c>
      <c r="E551" t="s">
        <v>20</v>
      </c>
      <c r="F551" t="s">
        <v>20</v>
      </c>
      <c r="G551" t="str">
        <f>"2026-05-14 01:41:12.397"</f>
        <v>2026-05-14 01:41:12.397</v>
      </c>
      <c r="H551" t="s">
        <v>21</v>
      </c>
    </row>
    <row r="552" spans="1:10" x14ac:dyDescent="0.25">
      <c r="A552" s="1">
        <v>46</v>
      </c>
      <c r="B552" t="s">
        <v>26</v>
      </c>
      <c r="C552">
        <v>630</v>
      </c>
      <c r="D552">
        <v>5</v>
      </c>
      <c r="E552" t="s">
        <v>27</v>
      </c>
      <c r="F552" t="s">
        <v>28</v>
      </c>
      <c r="G552" t="str">
        <f>"2026-05-13 13:47:35.818"</f>
        <v>2026-05-13 13:47:35.818</v>
      </c>
      <c r="H552" t="s">
        <v>29</v>
      </c>
    </row>
    <row r="553" spans="1:10" x14ac:dyDescent="0.25">
      <c r="A553" s="1">
        <v>47</v>
      </c>
      <c r="B553" t="s">
        <v>19</v>
      </c>
      <c r="C553">
        <v>706</v>
      </c>
      <c r="D553">
        <v>2</v>
      </c>
      <c r="E553" t="s">
        <v>23</v>
      </c>
      <c r="F553" t="s">
        <v>24</v>
      </c>
      <c r="G553" t="str">
        <f>"2026-05-13 13:47:05.740"</f>
        <v>2026-05-13 13:47:05.740</v>
      </c>
      <c r="H553" t="s">
        <v>21</v>
      </c>
      <c r="I553">
        <v>0</v>
      </c>
      <c r="J553" t="s">
        <v>25</v>
      </c>
    </row>
    <row r="554" spans="1:10" x14ac:dyDescent="0.25">
      <c r="A554" s="1">
        <v>48</v>
      </c>
      <c r="B554" t="s">
        <v>31</v>
      </c>
      <c r="C554">
        <v>630</v>
      </c>
      <c r="D554">
        <v>5</v>
      </c>
      <c r="E554" t="s">
        <v>27</v>
      </c>
      <c r="F554" t="s">
        <v>28</v>
      </c>
      <c r="G554" t="str">
        <f>"2026-05-13 12:54:52.318"</f>
        <v>2026-05-13 12:54:52.318</v>
      </c>
      <c r="H554" t="s">
        <v>29</v>
      </c>
      <c r="I554">
        <v>0</v>
      </c>
      <c r="J554" t="s">
        <v>25</v>
      </c>
    </row>
    <row r="555" spans="1:10" x14ac:dyDescent="0.25">
      <c r="A555" s="1">
        <v>49</v>
      </c>
      <c r="B555" t="s">
        <v>26</v>
      </c>
      <c r="C555">
        <v>635</v>
      </c>
      <c r="D555">
        <v>1</v>
      </c>
      <c r="E555" t="s">
        <v>32</v>
      </c>
      <c r="F555" t="s">
        <v>33</v>
      </c>
      <c r="G555" t="str">
        <f>"2026-05-13 05:05:09.470"</f>
        <v>2026-05-13 05:05:09.470</v>
      </c>
      <c r="H555" t="s">
        <v>21</v>
      </c>
    </row>
    <row r="556" spans="1:10" x14ac:dyDescent="0.25">
      <c r="A556" s="1">
        <v>50</v>
      </c>
      <c r="B556" t="s">
        <v>34</v>
      </c>
      <c r="C556">
        <v>635</v>
      </c>
      <c r="D556">
        <v>1</v>
      </c>
      <c r="E556" t="s">
        <v>32</v>
      </c>
      <c r="F556" t="s">
        <v>33</v>
      </c>
      <c r="G556" t="str">
        <f>"2026-05-13 05:01:24.970"</f>
        <v>2026-05-13 05:01:24.970</v>
      </c>
      <c r="H556" t="s">
        <v>21</v>
      </c>
      <c r="I556">
        <v>-0.73</v>
      </c>
      <c r="J556" t="s">
        <v>40</v>
      </c>
    </row>
    <row r="557" spans="1:10" x14ac:dyDescent="0.25">
      <c r="A557" s="1">
        <v>51</v>
      </c>
      <c r="B557" t="s">
        <v>26</v>
      </c>
      <c r="C557">
        <v>630</v>
      </c>
      <c r="D557">
        <v>5</v>
      </c>
      <c r="E557" t="s">
        <v>27</v>
      </c>
      <c r="F557" t="s">
        <v>28</v>
      </c>
      <c r="G557" t="str">
        <f>"2026-05-12 13:50:58.418"</f>
        <v>2026-05-12 13:50:58.418</v>
      </c>
      <c r="H557" t="s">
        <v>29</v>
      </c>
    </row>
    <row r="558" spans="1:10" x14ac:dyDescent="0.25">
      <c r="A558" s="1">
        <v>52</v>
      </c>
      <c r="B558" t="s">
        <v>19</v>
      </c>
      <c r="C558">
        <v>706</v>
      </c>
      <c r="D558">
        <v>2</v>
      </c>
      <c r="E558" t="s">
        <v>23</v>
      </c>
      <c r="F558" t="s">
        <v>24</v>
      </c>
      <c r="G558" t="str">
        <f>"2026-05-12 13:50:28.240"</f>
        <v>2026-05-12 13:50:28.240</v>
      </c>
      <c r="H558" t="s">
        <v>21</v>
      </c>
      <c r="I558">
        <v>0</v>
      </c>
      <c r="J558" t="s">
        <v>25</v>
      </c>
    </row>
    <row r="559" spans="1:10" x14ac:dyDescent="0.25">
      <c r="A559" s="1">
        <v>53</v>
      </c>
      <c r="B559" t="s">
        <v>31</v>
      </c>
      <c r="C559">
        <v>630</v>
      </c>
      <c r="D559">
        <v>5</v>
      </c>
      <c r="E559" t="s">
        <v>27</v>
      </c>
      <c r="F559" t="s">
        <v>28</v>
      </c>
      <c r="G559" t="str">
        <f>"2026-05-12 13:45:57.418"</f>
        <v>2026-05-12 13:45:57.418</v>
      </c>
      <c r="H559" t="s">
        <v>29</v>
      </c>
      <c r="I559">
        <v>0</v>
      </c>
      <c r="J559" t="s">
        <v>25</v>
      </c>
    </row>
    <row r="560" spans="1:10" x14ac:dyDescent="0.25">
      <c r="A560" s="1">
        <v>54</v>
      </c>
      <c r="B560" t="s">
        <v>26</v>
      </c>
      <c r="C560">
        <v>630</v>
      </c>
      <c r="D560">
        <v>5</v>
      </c>
      <c r="E560" t="s">
        <v>27</v>
      </c>
      <c r="F560" t="s">
        <v>28</v>
      </c>
      <c r="G560" t="str">
        <f>"2026-05-12 12:42:17.917"</f>
        <v>2026-05-12 12:42:17.917</v>
      </c>
      <c r="H560" t="s">
        <v>29</v>
      </c>
    </row>
    <row r="561" spans="1:10" x14ac:dyDescent="0.25">
      <c r="A561" s="1">
        <v>55</v>
      </c>
      <c r="B561" t="s">
        <v>19</v>
      </c>
      <c r="C561">
        <v>706</v>
      </c>
      <c r="D561">
        <v>2</v>
      </c>
      <c r="E561" t="s">
        <v>23</v>
      </c>
      <c r="F561" t="s">
        <v>24</v>
      </c>
      <c r="G561" t="str">
        <f>"2026-05-12 12:41:47.840"</f>
        <v>2026-05-12 12:41:47.840</v>
      </c>
      <c r="H561" t="s">
        <v>21</v>
      </c>
      <c r="I561">
        <v>0</v>
      </c>
      <c r="J561" t="s">
        <v>25</v>
      </c>
    </row>
    <row r="562" spans="1:10" x14ac:dyDescent="0.25">
      <c r="A562" s="1">
        <v>56</v>
      </c>
      <c r="B562" t="s">
        <v>31</v>
      </c>
      <c r="C562">
        <v>630</v>
      </c>
      <c r="D562">
        <v>5</v>
      </c>
      <c r="E562" t="s">
        <v>27</v>
      </c>
      <c r="F562" t="s">
        <v>28</v>
      </c>
      <c r="G562" t="str">
        <f>"2026-05-12 11:57:31.219"</f>
        <v>2026-05-12 11:57:31.219</v>
      </c>
      <c r="H562" t="s">
        <v>29</v>
      </c>
      <c r="I562">
        <v>0</v>
      </c>
      <c r="J562" t="s">
        <v>25</v>
      </c>
    </row>
    <row r="563" spans="1:10" x14ac:dyDescent="0.25">
      <c r="A563" s="1">
        <v>57</v>
      </c>
      <c r="B563" t="s">
        <v>19</v>
      </c>
      <c r="C563">
        <v>700</v>
      </c>
      <c r="D563">
        <v>0</v>
      </c>
      <c r="E563" t="s">
        <v>20</v>
      </c>
      <c r="F563" t="s">
        <v>20</v>
      </c>
      <c r="G563" t="str">
        <f>"2026-05-12 11:52:28.400"</f>
        <v>2026-05-12 11:52:28.400</v>
      </c>
      <c r="H563" t="s">
        <v>21</v>
      </c>
      <c r="I563">
        <v>0</v>
      </c>
      <c r="J563" t="s">
        <v>22</v>
      </c>
    </row>
    <row r="564" spans="1:10" x14ac:dyDescent="0.25">
      <c r="A564" s="1">
        <v>58</v>
      </c>
      <c r="B564" t="s">
        <v>31</v>
      </c>
      <c r="C564">
        <v>630</v>
      </c>
      <c r="D564">
        <v>5</v>
      </c>
      <c r="E564" t="s">
        <v>27</v>
      </c>
      <c r="F564" t="s">
        <v>28</v>
      </c>
      <c r="G564" t="str">
        <f>"2026-05-12 11:47:30.074"</f>
        <v>2026-05-12 11:47:30.074</v>
      </c>
      <c r="H564" t="s">
        <v>29</v>
      </c>
      <c r="I564">
        <v>0</v>
      </c>
      <c r="J564" t="s">
        <v>25</v>
      </c>
    </row>
    <row r="565" spans="1:10" x14ac:dyDescent="0.25">
      <c r="A565" s="1">
        <v>59</v>
      </c>
      <c r="B565" t="s">
        <v>19</v>
      </c>
      <c r="C565">
        <v>700</v>
      </c>
      <c r="D565">
        <v>0</v>
      </c>
      <c r="E565" t="s">
        <v>20</v>
      </c>
      <c r="F565" t="s">
        <v>20</v>
      </c>
      <c r="G565" t="str">
        <f>"2026-05-12 11:42:27.400"</f>
        <v>2026-05-12 11:42:27.400</v>
      </c>
      <c r="H565" t="s">
        <v>21</v>
      </c>
      <c r="I565">
        <v>0</v>
      </c>
      <c r="J565" t="s">
        <v>22</v>
      </c>
    </row>
    <row r="566" spans="1:10" x14ac:dyDescent="0.25">
      <c r="A566" s="1">
        <v>60</v>
      </c>
      <c r="B566" t="s">
        <v>19</v>
      </c>
      <c r="C566">
        <v>706</v>
      </c>
      <c r="D566">
        <v>2</v>
      </c>
      <c r="E566" t="s">
        <v>23</v>
      </c>
      <c r="F566" t="s">
        <v>24</v>
      </c>
      <c r="G566" t="str">
        <f>"2026-05-12 11:33:25.704"</f>
        <v>2026-05-12 11:33:25.704</v>
      </c>
      <c r="H566" t="s">
        <v>21</v>
      </c>
      <c r="I566">
        <v>0</v>
      </c>
      <c r="J566" t="s">
        <v>25</v>
      </c>
    </row>
    <row r="567" spans="1:10" x14ac:dyDescent="0.25">
      <c r="A567" s="1">
        <v>61</v>
      </c>
      <c r="B567" t="s">
        <v>19</v>
      </c>
      <c r="C567">
        <v>700</v>
      </c>
      <c r="D567">
        <v>0</v>
      </c>
      <c r="E567" t="s">
        <v>20</v>
      </c>
      <c r="F567" t="s">
        <v>20</v>
      </c>
      <c r="G567" t="str">
        <f>"2026-05-12 11:32:55.614"</f>
        <v>2026-05-12 11:32:55.614</v>
      </c>
      <c r="H567" t="s">
        <v>21</v>
      </c>
    </row>
    <row r="568" spans="1:10" x14ac:dyDescent="0.25">
      <c r="A568" s="1">
        <v>62</v>
      </c>
      <c r="B568" t="s">
        <v>26</v>
      </c>
      <c r="C568">
        <v>635</v>
      </c>
      <c r="D568">
        <v>1</v>
      </c>
      <c r="E568" t="s">
        <v>32</v>
      </c>
      <c r="F568" t="s">
        <v>33</v>
      </c>
      <c r="G568" t="str">
        <f>"2026-05-12 10:45:47.152"</f>
        <v>2026-05-12 10:45:47.152</v>
      </c>
      <c r="H568" t="s">
        <v>21</v>
      </c>
    </row>
    <row r="569" spans="1:10" x14ac:dyDescent="0.25">
      <c r="A569" s="1">
        <v>63</v>
      </c>
      <c r="B569" t="s">
        <v>34</v>
      </c>
      <c r="C569">
        <v>635</v>
      </c>
      <c r="D569">
        <v>1</v>
      </c>
      <c r="E569" t="s">
        <v>32</v>
      </c>
      <c r="F569" t="s">
        <v>33</v>
      </c>
      <c r="G569" t="str">
        <f>"2026-05-12 10:41:22.652"</f>
        <v>2026-05-12 10:41:22.652</v>
      </c>
      <c r="H569" t="s">
        <v>21</v>
      </c>
      <c r="I569">
        <v>1.38</v>
      </c>
      <c r="J569" t="s">
        <v>38</v>
      </c>
    </row>
    <row r="570" spans="1:10" x14ac:dyDescent="0.25">
      <c r="A570" s="1">
        <v>64</v>
      </c>
      <c r="B570" t="s">
        <v>26</v>
      </c>
      <c r="C570">
        <v>98</v>
      </c>
      <c r="D570">
        <v>1</v>
      </c>
      <c r="E570" t="s">
        <v>50</v>
      </c>
      <c r="F570" t="s">
        <v>51</v>
      </c>
      <c r="G570" t="str">
        <f>"2026-05-12 09:50:24.352"</f>
        <v>2026-05-12 09:50:24.352</v>
      </c>
      <c r="H570" t="s">
        <v>21</v>
      </c>
    </row>
    <row r="571" spans="1:10" x14ac:dyDescent="0.25">
      <c r="A571" s="1">
        <v>65</v>
      </c>
      <c r="B571" t="s">
        <v>34</v>
      </c>
      <c r="C571">
        <v>98</v>
      </c>
      <c r="D571">
        <v>1</v>
      </c>
      <c r="E571" t="s">
        <v>50</v>
      </c>
      <c r="F571" t="s">
        <v>51</v>
      </c>
      <c r="G571" t="str">
        <f>"2026-05-12 09:50:22.153"</f>
        <v>2026-05-12 09:50:22.153</v>
      </c>
      <c r="H571" t="s">
        <v>21</v>
      </c>
      <c r="I571">
        <v>18.57</v>
      </c>
      <c r="J571" t="s">
        <v>35</v>
      </c>
    </row>
    <row r="572" spans="1:10" x14ac:dyDescent="0.25">
      <c r="A572" s="1">
        <v>66</v>
      </c>
      <c r="B572" t="s">
        <v>19</v>
      </c>
      <c r="C572">
        <v>700</v>
      </c>
      <c r="D572">
        <v>0</v>
      </c>
      <c r="E572" t="s">
        <v>20</v>
      </c>
      <c r="F572" t="s">
        <v>20</v>
      </c>
      <c r="G572" t="str">
        <f>"2026-05-12 07:46:51.530"</f>
        <v>2026-05-12 07:46:51.530</v>
      </c>
      <c r="H572" t="s">
        <v>21</v>
      </c>
      <c r="I572">
        <v>0</v>
      </c>
      <c r="J572" t="s">
        <v>22</v>
      </c>
    </row>
    <row r="573" spans="1:10" x14ac:dyDescent="0.25">
      <c r="A573" s="1">
        <v>67</v>
      </c>
      <c r="B573" t="s">
        <v>19</v>
      </c>
      <c r="C573">
        <v>706</v>
      </c>
      <c r="D573">
        <v>2</v>
      </c>
      <c r="E573" t="s">
        <v>23</v>
      </c>
      <c r="F573" t="s">
        <v>24</v>
      </c>
      <c r="G573" t="str">
        <f>"2026-05-12 04:40:34.485"</f>
        <v>2026-05-12 04:40:34.485</v>
      </c>
      <c r="H573" t="s">
        <v>21</v>
      </c>
      <c r="I573">
        <v>0</v>
      </c>
      <c r="J573" t="s">
        <v>25</v>
      </c>
    </row>
    <row r="574" spans="1:10" x14ac:dyDescent="0.25">
      <c r="A574" s="1">
        <v>68</v>
      </c>
      <c r="B574" t="s">
        <v>19</v>
      </c>
      <c r="C574">
        <v>700</v>
      </c>
      <c r="D574">
        <v>0</v>
      </c>
      <c r="E574" t="s">
        <v>20</v>
      </c>
      <c r="F574" t="s">
        <v>20</v>
      </c>
      <c r="G574" t="str">
        <f>"2026-05-12 04:38:23.395"</f>
        <v>2026-05-12 04:38:23.395</v>
      </c>
      <c r="H574" t="s">
        <v>21</v>
      </c>
      <c r="I574">
        <v>0</v>
      </c>
      <c r="J574" t="s">
        <v>22</v>
      </c>
    </row>
    <row r="575" spans="1:10" x14ac:dyDescent="0.25">
      <c r="A575" s="1">
        <v>69</v>
      </c>
      <c r="B575" t="s">
        <v>26</v>
      </c>
      <c r="C575">
        <v>630</v>
      </c>
      <c r="D575">
        <v>5</v>
      </c>
      <c r="E575" t="s">
        <v>27</v>
      </c>
      <c r="F575" t="s">
        <v>28</v>
      </c>
      <c r="G575" t="str">
        <f>"2026-05-11 17:03:11.359"</f>
        <v>2026-05-11 17:03:11.359</v>
      </c>
      <c r="H575" t="s">
        <v>29</v>
      </c>
    </row>
    <row r="576" spans="1:10" x14ac:dyDescent="0.25">
      <c r="A576" s="1">
        <v>70</v>
      </c>
      <c r="B576" t="s">
        <v>19</v>
      </c>
      <c r="C576">
        <v>706</v>
      </c>
      <c r="D576">
        <v>2</v>
      </c>
      <c r="E576" t="s">
        <v>23</v>
      </c>
      <c r="F576" t="s">
        <v>24</v>
      </c>
      <c r="G576" t="str">
        <f>"2026-05-11 17:02:41.168"</f>
        <v>2026-05-11 17:02:41.168</v>
      </c>
      <c r="H576" t="s">
        <v>21</v>
      </c>
      <c r="I576">
        <v>0</v>
      </c>
      <c r="J576" t="s">
        <v>25</v>
      </c>
    </row>
    <row r="577" spans="1:10" x14ac:dyDescent="0.25">
      <c r="A577" s="1">
        <v>71</v>
      </c>
      <c r="B577" t="s">
        <v>31</v>
      </c>
      <c r="C577">
        <v>630</v>
      </c>
      <c r="D577">
        <v>5</v>
      </c>
      <c r="E577" t="s">
        <v>27</v>
      </c>
      <c r="F577" t="s">
        <v>28</v>
      </c>
      <c r="G577" t="str">
        <f>"2026-05-11 16:59:25.959"</f>
        <v>2026-05-11 16:59:25.959</v>
      </c>
      <c r="H577" t="s">
        <v>29</v>
      </c>
      <c r="I577">
        <v>0</v>
      </c>
      <c r="J577" t="s">
        <v>25</v>
      </c>
    </row>
    <row r="578" spans="1:10" x14ac:dyDescent="0.25">
      <c r="A578" s="1">
        <v>72</v>
      </c>
      <c r="B578" t="s">
        <v>26</v>
      </c>
      <c r="C578">
        <v>630</v>
      </c>
      <c r="D578">
        <v>5</v>
      </c>
      <c r="E578" t="s">
        <v>27</v>
      </c>
      <c r="F578" t="s">
        <v>28</v>
      </c>
      <c r="G578" t="str">
        <f>"2026-05-11 14:05:16.959"</f>
        <v>2026-05-11 14:05:16.959</v>
      </c>
      <c r="H578" t="s">
        <v>29</v>
      </c>
    </row>
    <row r="579" spans="1:10" x14ac:dyDescent="0.25">
      <c r="A579" s="1">
        <v>73</v>
      </c>
      <c r="B579" t="s">
        <v>19</v>
      </c>
      <c r="C579">
        <v>706</v>
      </c>
      <c r="D579">
        <v>4</v>
      </c>
      <c r="E579" t="s">
        <v>23</v>
      </c>
      <c r="F579" t="s">
        <v>30</v>
      </c>
      <c r="G579" t="str">
        <f>"2026-05-11 14:04:46.848"</f>
        <v>2026-05-11 14:04:46.848</v>
      </c>
      <c r="H579" t="s">
        <v>21</v>
      </c>
      <c r="I579">
        <v>0</v>
      </c>
      <c r="J579" t="s">
        <v>25</v>
      </c>
    </row>
    <row r="580" spans="1:10" x14ac:dyDescent="0.25">
      <c r="A580" s="1">
        <v>74</v>
      </c>
      <c r="B580" t="s">
        <v>31</v>
      </c>
      <c r="C580">
        <v>630</v>
      </c>
      <c r="D580">
        <v>5</v>
      </c>
      <c r="E580" t="s">
        <v>27</v>
      </c>
      <c r="F580" t="s">
        <v>28</v>
      </c>
      <c r="G580" t="str">
        <f>"2026-05-11 13:59:48.259"</f>
        <v>2026-05-11 13:59:48.259</v>
      </c>
      <c r="H580" t="s">
        <v>29</v>
      </c>
      <c r="I580">
        <v>0</v>
      </c>
      <c r="J580" t="s">
        <v>25</v>
      </c>
    </row>
    <row r="581" spans="1:10" x14ac:dyDescent="0.25">
      <c r="A581" s="1">
        <v>75</v>
      </c>
      <c r="B581" t="s">
        <v>26</v>
      </c>
      <c r="C581">
        <v>630</v>
      </c>
      <c r="D581">
        <v>5</v>
      </c>
      <c r="E581" t="s">
        <v>27</v>
      </c>
      <c r="F581" t="s">
        <v>28</v>
      </c>
      <c r="G581" t="str">
        <f>"2026-05-11 09:42:40.859"</f>
        <v>2026-05-11 09:42:40.859</v>
      </c>
      <c r="H581" t="s">
        <v>29</v>
      </c>
    </row>
    <row r="582" spans="1:10" x14ac:dyDescent="0.25">
      <c r="A582" s="1">
        <v>76</v>
      </c>
      <c r="B582" t="s">
        <v>19</v>
      </c>
      <c r="C582">
        <v>706</v>
      </c>
      <c r="D582">
        <v>2</v>
      </c>
      <c r="E582" t="s">
        <v>23</v>
      </c>
      <c r="F582" t="s">
        <v>24</v>
      </c>
      <c r="G582" t="str">
        <f>"2026-05-11 09:42:10.768"</f>
        <v>2026-05-11 09:42:10.768</v>
      </c>
      <c r="H582" t="s">
        <v>21</v>
      </c>
      <c r="I582">
        <v>0</v>
      </c>
      <c r="J582" t="s">
        <v>25</v>
      </c>
    </row>
    <row r="583" spans="1:10" x14ac:dyDescent="0.25">
      <c r="A583" s="1">
        <v>77</v>
      </c>
      <c r="B583" t="s">
        <v>31</v>
      </c>
      <c r="C583">
        <v>630</v>
      </c>
      <c r="D583">
        <v>5</v>
      </c>
      <c r="E583" t="s">
        <v>27</v>
      </c>
      <c r="F583" t="s">
        <v>28</v>
      </c>
      <c r="G583" t="str">
        <f>"2026-05-11 09:38:24.959"</f>
        <v>2026-05-11 09:38:24.959</v>
      </c>
      <c r="H583" t="s">
        <v>29</v>
      </c>
      <c r="I583">
        <v>0</v>
      </c>
      <c r="J583" t="s">
        <v>25</v>
      </c>
    </row>
    <row r="584" spans="1:10" x14ac:dyDescent="0.25">
      <c r="A584" s="1">
        <v>78</v>
      </c>
      <c r="B584" t="s">
        <v>26</v>
      </c>
      <c r="C584">
        <v>630</v>
      </c>
      <c r="D584">
        <v>5</v>
      </c>
      <c r="E584" t="s">
        <v>27</v>
      </c>
      <c r="F584" t="s">
        <v>28</v>
      </c>
      <c r="G584" t="str">
        <f>"2026-05-10 15:18:44.459"</f>
        <v>2026-05-10 15:18:44.459</v>
      </c>
      <c r="H584" t="s">
        <v>29</v>
      </c>
    </row>
    <row r="585" spans="1:10" x14ac:dyDescent="0.25">
      <c r="A585" s="1">
        <v>79</v>
      </c>
      <c r="B585" t="s">
        <v>19</v>
      </c>
      <c r="C585">
        <v>706</v>
      </c>
      <c r="D585">
        <v>2</v>
      </c>
      <c r="E585" t="s">
        <v>23</v>
      </c>
      <c r="F585" t="s">
        <v>24</v>
      </c>
      <c r="G585" t="str">
        <f>"2026-05-10 15:18:14.368"</f>
        <v>2026-05-10 15:18:14.368</v>
      </c>
      <c r="H585" t="s">
        <v>21</v>
      </c>
      <c r="I585">
        <v>0</v>
      </c>
      <c r="J585" t="s">
        <v>25</v>
      </c>
    </row>
    <row r="586" spans="1:10" x14ac:dyDescent="0.25">
      <c r="A586" s="1">
        <v>80</v>
      </c>
      <c r="B586" t="s">
        <v>31</v>
      </c>
      <c r="C586">
        <v>630</v>
      </c>
      <c r="D586">
        <v>5</v>
      </c>
      <c r="E586" t="s">
        <v>27</v>
      </c>
      <c r="F586" t="s">
        <v>28</v>
      </c>
      <c r="G586" t="str">
        <f>"2026-05-10 15:00:34.059"</f>
        <v>2026-05-10 15:00:34.059</v>
      </c>
      <c r="H586" t="s">
        <v>29</v>
      </c>
      <c r="I586">
        <v>0</v>
      </c>
      <c r="J586" t="s">
        <v>25</v>
      </c>
    </row>
    <row r="587" spans="1:10" x14ac:dyDescent="0.25">
      <c r="A587" s="1">
        <v>81</v>
      </c>
      <c r="B587" t="s">
        <v>26</v>
      </c>
      <c r="C587">
        <v>630</v>
      </c>
      <c r="D587">
        <v>5</v>
      </c>
      <c r="E587" t="s">
        <v>27</v>
      </c>
      <c r="F587" t="s">
        <v>28</v>
      </c>
      <c r="G587" t="str">
        <f>"2026-05-09 18:34:33.859"</f>
        <v>2026-05-09 18:34:33.859</v>
      </c>
      <c r="H587" t="s">
        <v>29</v>
      </c>
    </row>
    <row r="588" spans="1:10" x14ac:dyDescent="0.25">
      <c r="A588" s="1">
        <v>82</v>
      </c>
      <c r="B588" t="s">
        <v>19</v>
      </c>
      <c r="C588">
        <v>706</v>
      </c>
      <c r="D588">
        <v>2</v>
      </c>
      <c r="E588" t="s">
        <v>23</v>
      </c>
      <c r="F588" t="s">
        <v>24</v>
      </c>
      <c r="G588" t="str">
        <f>"2026-05-09 18:34:03.868"</f>
        <v>2026-05-09 18:34:03.868</v>
      </c>
      <c r="H588" t="s">
        <v>21</v>
      </c>
      <c r="I588">
        <v>0</v>
      </c>
      <c r="J588" t="s">
        <v>25</v>
      </c>
    </row>
    <row r="589" spans="1:10" x14ac:dyDescent="0.25">
      <c r="A589" s="1">
        <v>83</v>
      </c>
      <c r="B589" t="s">
        <v>31</v>
      </c>
      <c r="C589">
        <v>630</v>
      </c>
      <c r="D589">
        <v>5</v>
      </c>
      <c r="E589" t="s">
        <v>27</v>
      </c>
      <c r="F589" t="s">
        <v>28</v>
      </c>
      <c r="G589" t="str">
        <f>"2026-05-09 18:24:46.459"</f>
        <v>2026-05-09 18:24:46.459</v>
      </c>
      <c r="H589" t="s">
        <v>29</v>
      </c>
      <c r="I589">
        <v>0</v>
      </c>
      <c r="J589" t="s">
        <v>25</v>
      </c>
    </row>
    <row r="590" spans="1:10" x14ac:dyDescent="0.25">
      <c r="A590" s="1">
        <v>84</v>
      </c>
      <c r="B590" t="s">
        <v>26</v>
      </c>
      <c r="C590">
        <v>630</v>
      </c>
      <c r="D590">
        <v>5</v>
      </c>
      <c r="E590" t="s">
        <v>27</v>
      </c>
      <c r="F590" t="s">
        <v>28</v>
      </c>
      <c r="G590" t="str">
        <f>"2026-05-09 18:18:22.359"</f>
        <v>2026-05-09 18:18:22.359</v>
      </c>
      <c r="H590" t="s">
        <v>29</v>
      </c>
    </row>
    <row r="591" spans="1:10" x14ac:dyDescent="0.25">
      <c r="A591" s="1">
        <v>85</v>
      </c>
      <c r="B591" t="s">
        <v>19</v>
      </c>
      <c r="C591">
        <v>706</v>
      </c>
      <c r="D591">
        <v>4</v>
      </c>
      <c r="E591" t="s">
        <v>23</v>
      </c>
      <c r="F591" t="s">
        <v>30</v>
      </c>
      <c r="G591" t="str">
        <f>"2026-05-09 18:17:52.198"</f>
        <v>2026-05-09 18:17:52.198</v>
      </c>
      <c r="H591" t="s">
        <v>21</v>
      </c>
      <c r="I591">
        <v>0</v>
      </c>
      <c r="J591" t="s">
        <v>25</v>
      </c>
    </row>
    <row r="592" spans="1:10" x14ac:dyDescent="0.25">
      <c r="A592" s="1">
        <v>86</v>
      </c>
      <c r="B592" t="s">
        <v>31</v>
      </c>
      <c r="C592">
        <v>630</v>
      </c>
      <c r="D592">
        <v>5</v>
      </c>
      <c r="E592" t="s">
        <v>27</v>
      </c>
      <c r="F592" t="s">
        <v>28</v>
      </c>
      <c r="G592" t="str">
        <f>"2026-05-09 18:05:00.359"</f>
        <v>2026-05-09 18:05:00.359</v>
      </c>
      <c r="H592" t="s">
        <v>29</v>
      </c>
      <c r="I592">
        <v>0</v>
      </c>
      <c r="J592" t="s">
        <v>25</v>
      </c>
    </row>
    <row r="593" spans="1:10" x14ac:dyDescent="0.25">
      <c r="A593" s="1">
        <v>87</v>
      </c>
      <c r="B593" t="s">
        <v>19</v>
      </c>
      <c r="C593">
        <v>700</v>
      </c>
      <c r="D593">
        <v>0</v>
      </c>
      <c r="E593" t="s">
        <v>20</v>
      </c>
      <c r="F593" t="s">
        <v>20</v>
      </c>
      <c r="G593" t="str">
        <f>"2026-05-09 17:59:57.508"</f>
        <v>2026-05-09 17:59:57.508</v>
      </c>
      <c r="H593" t="s">
        <v>21</v>
      </c>
    </row>
    <row r="594" spans="1:10" x14ac:dyDescent="0.25">
      <c r="A594" s="1">
        <v>88</v>
      </c>
      <c r="B594" t="s">
        <v>26</v>
      </c>
      <c r="C594">
        <v>630</v>
      </c>
      <c r="D594">
        <v>5</v>
      </c>
      <c r="E594" t="s">
        <v>27</v>
      </c>
      <c r="F594" t="s">
        <v>28</v>
      </c>
      <c r="G594" t="str">
        <f>"2026-05-09 13:35:15.810"</f>
        <v>2026-05-09 13:35:15.810</v>
      </c>
      <c r="H594" t="s">
        <v>29</v>
      </c>
    </row>
    <row r="595" spans="1:10" x14ac:dyDescent="0.25">
      <c r="A595" s="1">
        <v>89</v>
      </c>
      <c r="B595" t="s">
        <v>19</v>
      </c>
      <c r="C595">
        <v>706</v>
      </c>
      <c r="D595">
        <v>4</v>
      </c>
      <c r="E595" t="s">
        <v>23</v>
      </c>
      <c r="F595" t="s">
        <v>30</v>
      </c>
      <c r="G595" t="str">
        <f>"2026-05-09 13:34:45.693"</f>
        <v>2026-05-09 13:34:45.693</v>
      </c>
      <c r="H595" t="s">
        <v>21</v>
      </c>
      <c r="I595">
        <v>0</v>
      </c>
      <c r="J595" t="s">
        <v>25</v>
      </c>
    </row>
    <row r="596" spans="1:10" x14ac:dyDescent="0.25">
      <c r="A596" s="1">
        <v>90</v>
      </c>
      <c r="B596" t="s">
        <v>31</v>
      </c>
      <c r="C596">
        <v>630</v>
      </c>
      <c r="D596">
        <v>5</v>
      </c>
      <c r="E596" t="s">
        <v>27</v>
      </c>
      <c r="F596" t="s">
        <v>28</v>
      </c>
      <c r="G596" t="str">
        <f>"2026-05-09 12:50:58.610"</f>
        <v>2026-05-09 12:50:58.610</v>
      </c>
      <c r="H596" t="s">
        <v>29</v>
      </c>
      <c r="I596">
        <v>0</v>
      </c>
      <c r="J596" t="s">
        <v>25</v>
      </c>
    </row>
    <row r="597" spans="1:10" x14ac:dyDescent="0.25">
      <c r="A597" s="1">
        <v>91</v>
      </c>
      <c r="B597" t="s">
        <v>26</v>
      </c>
      <c r="C597">
        <v>635</v>
      </c>
      <c r="D597">
        <v>1</v>
      </c>
      <c r="E597" t="s">
        <v>32</v>
      </c>
      <c r="F597" t="s">
        <v>33</v>
      </c>
      <c r="G597" t="str">
        <f>"2026-05-08 20:29:26.310"</f>
        <v>2026-05-08 20:29:26.310</v>
      </c>
      <c r="H597" t="s">
        <v>21</v>
      </c>
    </row>
    <row r="598" spans="1:10" x14ac:dyDescent="0.25">
      <c r="A598" s="1">
        <v>92</v>
      </c>
      <c r="B598" t="s">
        <v>34</v>
      </c>
      <c r="C598">
        <v>635</v>
      </c>
      <c r="D598">
        <v>1</v>
      </c>
      <c r="E598" t="s">
        <v>32</v>
      </c>
      <c r="F598" t="s">
        <v>33</v>
      </c>
      <c r="G598" t="str">
        <f>"2026-05-08 20:04:09.810"</f>
        <v>2026-05-08 20:04:09.810</v>
      </c>
      <c r="H598" t="s">
        <v>21</v>
      </c>
      <c r="I598">
        <v>-0.81</v>
      </c>
      <c r="J598" t="s">
        <v>35</v>
      </c>
    </row>
    <row r="599" spans="1:10" x14ac:dyDescent="0.25">
      <c r="A599" s="1">
        <v>93</v>
      </c>
      <c r="B599" t="s">
        <v>26</v>
      </c>
      <c r="C599">
        <v>630</v>
      </c>
      <c r="D599">
        <v>5</v>
      </c>
      <c r="E599" t="s">
        <v>27</v>
      </c>
      <c r="F599" t="s">
        <v>28</v>
      </c>
      <c r="G599" t="str">
        <f>"2026-05-08 13:41:44.510"</f>
        <v>2026-05-08 13:41:44.510</v>
      </c>
      <c r="H599" t="s">
        <v>29</v>
      </c>
    </row>
    <row r="600" spans="1:10" x14ac:dyDescent="0.25">
      <c r="A600" s="1">
        <v>94</v>
      </c>
      <c r="B600" t="s">
        <v>19</v>
      </c>
      <c r="C600">
        <v>706</v>
      </c>
      <c r="D600">
        <v>4</v>
      </c>
      <c r="E600" t="s">
        <v>23</v>
      </c>
      <c r="F600" t="s">
        <v>30</v>
      </c>
      <c r="G600" t="str">
        <f>"2026-05-08 13:41:14.463"</f>
        <v>2026-05-08 13:41:14.463</v>
      </c>
      <c r="H600" t="s">
        <v>21</v>
      </c>
      <c r="I600">
        <v>0</v>
      </c>
      <c r="J600" t="s">
        <v>25</v>
      </c>
    </row>
    <row r="601" spans="1:10" x14ac:dyDescent="0.25">
      <c r="A601" s="1">
        <v>95</v>
      </c>
      <c r="B601" t="s">
        <v>31</v>
      </c>
      <c r="C601">
        <v>630</v>
      </c>
      <c r="D601">
        <v>5</v>
      </c>
      <c r="E601" t="s">
        <v>27</v>
      </c>
      <c r="F601" t="s">
        <v>28</v>
      </c>
      <c r="G601" t="str">
        <f>"2026-05-08 13:09:18.410"</f>
        <v>2026-05-08 13:09:18.410</v>
      </c>
      <c r="H601" t="s">
        <v>29</v>
      </c>
      <c r="I601">
        <v>0</v>
      </c>
      <c r="J601" t="s">
        <v>25</v>
      </c>
    </row>
    <row r="602" spans="1:10" x14ac:dyDescent="0.25">
      <c r="A602" s="1">
        <v>96</v>
      </c>
      <c r="B602" t="s">
        <v>26</v>
      </c>
      <c r="C602">
        <v>630</v>
      </c>
      <c r="D602">
        <v>5</v>
      </c>
      <c r="E602" t="s">
        <v>27</v>
      </c>
      <c r="F602" t="s">
        <v>28</v>
      </c>
      <c r="G602" t="str">
        <f>"2026-05-08 11:53:57.310"</f>
        <v>2026-05-08 11:53:57.310</v>
      </c>
      <c r="H602" t="s">
        <v>29</v>
      </c>
    </row>
    <row r="603" spans="1:10" x14ac:dyDescent="0.25">
      <c r="A603" s="1">
        <v>97</v>
      </c>
      <c r="B603" t="s">
        <v>19</v>
      </c>
      <c r="C603">
        <v>706</v>
      </c>
      <c r="D603">
        <v>4</v>
      </c>
      <c r="E603" t="s">
        <v>23</v>
      </c>
      <c r="F603" t="s">
        <v>30</v>
      </c>
      <c r="G603" t="str">
        <f>"2026-05-08 11:53:27.273"</f>
        <v>2026-05-08 11:53:27.273</v>
      </c>
      <c r="H603" t="s">
        <v>21</v>
      </c>
      <c r="I603">
        <v>0</v>
      </c>
      <c r="J603" t="s">
        <v>25</v>
      </c>
    </row>
    <row r="604" spans="1:10" x14ac:dyDescent="0.25">
      <c r="A604" s="1">
        <v>98</v>
      </c>
      <c r="B604" t="s">
        <v>31</v>
      </c>
      <c r="C604">
        <v>630</v>
      </c>
      <c r="D604">
        <v>5</v>
      </c>
      <c r="E604" t="s">
        <v>27</v>
      </c>
      <c r="F604" t="s">
        <v>28</v>
      </c>
      <c r="G604" t="str">
        <f>"2026-05-08 11:47:31.311"</f>
        <v>2026-05-08 11:47:31.311</v>
      </c>
      <c r="H604" t="s">
        <v>29</v>
      </c>
      <c r="I604">
        <v>0</v>
      </c>
      <c r="J604" t="s">
        <v>25</v>
      </c>
    </row>
    <row r="605" spans="1:10" x14ac:dyDescent="0.25">
      <c r="A605" s="1">
        <v>99</v>
      </c>
      <c r="B605" t="s">
        <v>19</v>
      </c>
      <c r="C605">
        <v>706</v>
      </c>
      <c r="D605">
        <v>2</v>
      </c>
      <c r="E605" t="s">
        <v>23</v>
      </c>
      <c r="F605" t="s">
        <v>24</v>
      </c>
      <c r="G605" t="str">
        <f>"2026-05-08 10:18:46.103"</f>
        <v>2026-05-08 10:18:46.103</v>
      </c>
      <c r="H605" t="s">
        <v>21</v>
      </c>
      <c r="I605">
        <v>0</v>
      </c>
      <c r="J605" t="s">
        <v>25</v>
      </c>
    </row>
    <row r="606" spans="1:10" x14ac:dyDescent="0.25">
      <c r="A606" s="1">
        <v>0</v>
      </c>
      <c r="B606" t="s">
        <v>19</v>
      </c>
      <c r="C606">
        <v>700</v>
      </c>
      <c r="D606">
        <v>0</v>
      </c>
      <c r="E606" t="s">
        <v>20</v>
      </c>
      <c r="F606" t="s">
        <v>20</v>
      </c>
      <c r="G606" t="str">
        <f>"2026-05-08 10:17:30.383"</f>
        <v>2026-05-08 10:17:30.383</v>
      </c>
      <c r="H606" t="s">
        <v>21</v>
      </c>
      <c r="I606">
        <v>0</v>
      </c>
      <c r="J606" t="s">
        <v>22</v>
      </c>
    </row>
    <row r="607" spans="1:10" x14ac:dyDescent="0.25">
      <c r="A607" s="1">
        <v>1</v>
      </c>
      <c r="B607" t="s">
        <v>19</v>
      </c>
      <c r="C607">
        <v>700</v>
      </c>
      <c r="D607">
        <v>0</v>
      </c>
      <c r="E607" t="s">
        <v>20</v>
      </c>
      <c r="F607" t="s">
        <v>20</v>
      </c>
      <c r="G607" t="str">
        <f>"2026-05-08 06:20:57.355"</f>
        <v>2026-05-08 06:20:57.355</v>
      </c>
      <c r="H607" t="s">
        <v>21</v>
      </c>
    </row>
    <row r="608" spans="1:10" x14ac:dyDescent="0.25">
      <c r="A608" s="1">
        <v>2</v>
      </c>
      <c r="B608" t="s">
        <v>26</v>
      </c>
      <c r="C608">
        <v>635</v>
      </c>
      <c r="D608">
        <v>1</v>
      </c>
      <c r="E608" t="s">
        <v>32</v>
      </c>
      <c r="F608" t="s">
        <v>33</v>
      </c>
      <c r="G608" t="str">
        <f>"2026-05-07 21:19:34.394"</f>
        <v>2026-05-07 21:19:34.394</v>
      </c>
      <c r="H608" t="s">
        <v>21</v>
      </c>
    </row>
    <row r="609" spans="1:10" x14ac:dyDescent="0.25">
      <c r="A609" s="1">
        <v>3</v>
      </c>
      <c r="B609" t="s">
        <v>34</v>
      </c>
      <c r="C609">
        <v>635</v>
      </c>
      <c r="D609">
        <v>1</v>
      </c>
      <c r="E609" t="s">
        <v>32</v>
      </c>
      <c r="F609" t="s">
        <v>33</v>
      </c>
      <c r="G609" t="str">
        <f>"2026-05-07 21:07:06.994"</f>
        <v>2026-05-07 21:07:06.994</v>
      </c>
      <c r="H609" t="s">
        <v>21</v>
      </c>
      <c r="I609">
        <v>1.68</v>
      </c>
      <c r="J609" t="s">
        <v>40</v>
      </c>
    </row>
    <row r="610" spans="1:10" x14ac:dyDescent="0.25">
      <c r="A610" s="1">
        <v>4</v>
      </c>
      <c r="B610" t="s">
        <v>26</v>
      </c>
      <c r="C610">
        <v>630</v>
      </c>
      <c r="D610">
        <v>5</v>
      </c>
      <c r="E610" t="s">
        <v>27</v>
      </c>
      <c r="F610" t="s">
        <v>28</v>
      </c>
      <c r="G610" t="str">
        <f>"2026-05-07 16:23:50.195"</f>
        <v>2026-05-07 16:23:50.195</v>
      </c>
      <c r="H610" t="s">
        <v>29</v>
      </c>
    </row>
    <row r="611" spans="1:10" x14ac:dyDescent="0.25">
      <c r="A611" s="1">
        <v>5</v>
      </c>
      <c r="B611" t="s">
        <v>19</v>
      </c>
      <c r="C611">
        <v>706</v>
      </c>
      <c r="D611">
        <v>2</v>
      </c>
      <c r="E611" t="s">
        <v>23</v>
      </c>
      <c r="F611" t="s">
        <v>24</v>
      </c>
      <c r="G611" t="str">
        <f>"2026-05-07 16:23:20.163"</f>
        <v>2026-05-07 16:23:20.163</v>
      </c>
      <c r="H611" t="s">
        <v>21</v>
      </c>
      <c r="I611">
        <v>0</v>
      </c>
      <c r="J611" t="s">
        <v>25</v>
      </c>
    </row>
    <row r="612" spans="1:10" x14ac:dyDescent="0.25">
      <c r="A612" s="1">
        <v>6</v>
      </c>
      <c r="B612" t="s">
        <v>31</v>
      </c>
      <c r="C612">
        <v>630</v>
      </c>
      <c r="D612">
        <v>5</v>
      </c>
      <c r="E612" t="s">
        <v>27</v>
      </c>
      <c r="F612" t="s">
        <v>28</v>
      </c>
      <c r="G612" t="str">
        <f>"2026-05-07 16:19:40.695"</f>
        <v>2026-05-07 16:19:40.695</v>
      </c>
      <c r="H612" t="s">
        <v>29</v>
      </c>
      <c r="I612">
        <v>0</v>
      </c>
      <c r="J612" t="s">
        <v>25</v>
      </c>
    </row>
    <row r="613" spans="1:10" x14ac:dyDescent="0.25">
      <c r="A613" s="1">
        <v>7</v>
      </c>
      <c r="B613" t="s">
        <v>44</v>
      </c>
      <c r="C613">
        <v>33</v>
      </c>
      <c r="D613">
        <v>1</v>
      </c>
      <c r="E613" t="s">
        <v>45</v>
      </c>
      <c r="F613" t="s">
        <v>46</v>
      </c>
      <c r="G613" t="str">
        <f>"2026-05-07 15:22:08.095"</f>
        <v>2026-05-07 15:22:08.095</v>
      </c>
      <c r="H613" t="s">
        <v>47</v>
      </c>
    </row>
    <row r="614" spans="1:10" x14ac:dyDescent="0.25">
      <c r="A614" s="1">
        <v>8</v>
      </c>
      <c r="B614" t="s">
        <v>31</v>
      </c>
      <c r="C614">
        <v>33</v>
      </c>
      <c r="D614">
        <v>1</v>
      </c>
      <c r="E614" t="s">
        <v>45</v>
      </c>
      <c r="F614" t="s">
        <v>46</v>
      </c>
      <c r="G614" t="str">
        <f>"2026-05-07 15:21:42.153"</f>
        <v>2026-05-07 15:21:42.153</v>
      </c>
      <c r="H614" t="s">
        <v>47</v>
      </c>
      <c r="I614">
        <v>8.2799999999999994</v>
      </c>
      <c r="J614" t="s">
        <v>35</v>
      </c>
    </row>
    <row r="615" spans="1:10" x14ac:dyDescent="0.25">
      <c r="A615" s="1">
        <v>9</v>
      </c>
      <c r="B615" t="s">
        <v>26</v>
      </c>
      <c r="C615">
        <v>635</v>
      </c>
      <c r="D615">
        <v>1</v>
      </c>
      <c r="E615" t="s">
        <v>32</v>
      </c>
      <c r="F615" t="s">
        <v>33</v>
      </c>
      <c r="G615" t="str">
        <f>"2026-05-07 11:58:30.994"</f>
        <v>2026-05-07 11:58:30.994</v>
      </c>
      <c r="H615" t="s">
        <v>21</v>
      </c>
    </row>
    <row r="616" spans="1:10" x14ac:dyDescent="0.25">
      <c r="A616" s="1">
        <v>10</v>
      </c>
      <c r="B616" t="s">
        <v>34</v>
      </c>
      <c r="C616">
        <v>635</v>
      </c>
      <c r="D616">
        <v>1</v>
      </c>
      <c r="E616" t="s">
        <v>32</v>
      </c>
      <c r="F616" t="s">
        <v>33</v>
      </c>
      <c r="G616" t="str">
        <f>"2026-05-07 11:52:53.994"</f>
        <v>2026-05-07 11:52:53.994</v>
      </c>
      <c r="H616" t="s">
        <v>21</v>
      </c>
      <c r="I616">
        <v>6.63</v>
      </c>
      <c r="J616" t="s">
        <v>35</v>
      </c>
    </row>
    <row r="617" spans="1:10" x14ac:dyDescent="0.25">
      <c r="A617" s="1">
        <v>11</v>
      </c>
      <c r="B617" t="s">
        <v>26</v>
      </c>
      <c r="C617">
        <v>630</v>
      </c>
      <c r="D617">
        <v>5</v>
      </c>
      <c r="E617" t="s">
        <v>27</v>
      </c>
      <c r="F617" t="s">
        <v>28</v>
      </c>
      <c r="G617" t="str">
        <f>"2026-05-07 08:40:28.895"</f>
        <v>2026-05-07 08:40:28.895</v>
      </c>
      <c r="H617" t="s">
        <v>29</v>
      </c>
    </row>
    <row r="618" spans="1:10" x14ac:dyDescent="0.25">
      <c r="A618" s="1">
        <v>12</v>
      </c>
      <c r="B618" t="s">
        <v>19</v>
      </c>
      <c r="C618">
        <v>706</v>
      </c>
      <c r="D618">
        <v>2</v>
      </c>
      <c r="E618" t="s">
        <v>23</v>
      </c>
      <c r="F618" t="s">
        <v>24</v>
      </c>
      <c r="G618" t="str">
        <f>"2026-05-07 08:39:58.764"</f>
        <v>2026-05-07 08:39:58.764</v>
      </c>
      <c r="H618" t="s">
        <v>21</v>
      </c>
      <c r="I618">
        <v>0</v>
      </c>
      <c r="J618" t="s">
        <v>25</v>
      </c>
    </row>
    <row r="619" spans="1:10" x14ac:dyDescent="0.25">
      <c r="A619" s="1">
        <v>13</v>
      </c>
      <c r="B619" t="s">
        <v>31</v>
      </c>
      <c r="C619">
        <v>630</v>
      </c>
      <c r="D619">
        <v>5</v>
      </c>
      <c r="E619" t="s">
        <v>27</v>
      </c>
      <c r="F619" t="s">
        <v>28</v>
      </c>
      <c r="G619" t="str">
        <f>"2026-05-07 08:34:09.495"</f>
        <v>2026-05-07 08:34:09.495</v>
      </c>
      <c r="H619" t="s">
        <v>29</v>
      </c>
      <c r="I619">
        <v>0</v>
      </c>
      <c r="J619" t="s">
        <v>25</v>
      </c>
    </row>
    <row r="620" spans="1:10" x14ac:dyDescent="0.25">
      <c r="A620" s="1">
        <v>14</v>
      </c>
      <c r="B620" t="s">
        <v>26</v>
      </c>
      <c r="C620">
        <v>635</v>
      </c>
      <c r="D620">
        <v>1</v>
      </c>
      <c r="E620" t="s">
        <v>32</v>
      </c>
      <c r="F620" t="s">
        <v>33</v>
      </c>
      <c r="G620" t="str">
        <f>"2026-05-07 07:29:38.494"</f>
        <v>2026-05-07 07:29:38.494</v>
      </c>
      <c r="H620" t="s">
        <v>21</v>
      </c>
    </row>
    <row r="621" spans="1:10" x14ac:dyDescent="0.25">
      <c r="A621" s="1">
        <v>15</v>
      </c>
      <c r="B621" t="s">
        <v>34</v>
      </c>
      <c r="C621">
        <v>635</v>
      </c>
      <c r="D621">
        <v>1</v>
      </c>
      <c r="E621" t="s">
        <v>32</v>
      </c>
      <c r="F621" t="s">
        <v>33</v>
      </c>
      <c r="G621" t="str">
        <f>"2026-05-07 07:26:35.994"</f>
        <v>2026-05-07 07:26:35.994</v>
      </c>
      <c r="H621" t="s">
        <v>21</v>
      </c>
      <c r="I621">
        <v>0.21</v>
      </c>
      <c r="J621" t="s">
        <v>40</v>
      </c>
    </row>
    <row r="622" spans="1:10" x14ac:dyDescent="0.25">
      <c r="A622" s="1">
        <v>16</v>
      </c>
      <c r="B622" t="s">
        <v>26</v>
      </c>
      <c r="C622">
        <v>635</v>
      </c>
      <c r="D622">
        <v>1</v>
      </c>
      <c r="E622" t="s">
        <v>32</v>
      </c>
      <c r="F622" t="s">
        <v>33</v>
      </c>
      <c r="G622" t="str">
        <f>"2026-05-06 17:48:57.394"</f>
        <v>2026-05-06 17:48:57.394</v>
      </c>
      <c r="H622" t="s">
        <v>21</v>
      </c>
    </row>
    <row r="623" spans="1:10" x14ac:dyDescent="0.25">
      <c r="A623" s="1">
        <v>17</v>
      </c>
      <c r="B623" t="s">
        <v>34</v>
      </c>
      <c r="C623">
        <v>635</v>
      </c>
      <c r="D623">
        <v>1</v>
      </c>
      <c r="E623" t="s">
        <v>32</v>
      </c>
      <c r="F623" t="s">
        <v>33</v>
      </c>
      <c r="G623" t="str">
        <f>"2026-05-06 17:44:50.894"</f>
        <v>2026-05-06 17:44:50.894</v>
      </c>
      <c r="H623" t="s">
        <v>21</v>
      </c>
      <c r="I623">
        <v>7.68</v>
      </c>
      <c r="J623" t="s">
        <v>35</v>
      </c>
    </row>
    <row r="624" spans="1:10" x14ac:dyDescent="0.25">
      <c r="A624" s="1">
        <v>18</v>
      </c>
      <c r="B624" t="s">
        <v>26</v>
      </c>
      <c r="C624">
        <v>635</v>
      </c>
      <c r="D624">
        <v>1</v>
      </c>
      <c r="E624" t="s">
        <v>32</v>
      </c>
      <c r="F624" t="s">
        <v>33</v>
      </c>
      <c r="G624" t="str">
        <f>"2026-05-06 15:43:26.694"</f>
        <v>2026-05-06 15:43:26.694</v>
      </c>
      <c r="H624" t="s">
        <v>21</v>
      </c>
    </row>
    <row r="625" spans="1:10" x14ac:dyDescent="0.25">
      <c r="A625" s="1">
        <v>19</v>
      </c>
      <c r="B625" t="s">
        <v>34</v>
      </c>
      <c r="C625">
        <v>635</v>
      </c>
      <c r="D625">
        <v>1</v>
      </c>
      <c r="E625" t="s">
        <v>32</v>
      </c>
      <c r="F625" t="s">
        <v>33</v>
      </c>
      <c r="G625" t="str">
        <f>"2026-05-06 15:39:34.194"</f>
        <v>2026-05-06 15:39:34.194</v>
      </c>
      <c r="H625" t="s">
        <v>21</v>
      </c>
      <c r="I625">
        <v>0.05</v>
      </c>
      <c r="J625" t="s">
        <v>40</v>
      </c>
    </row>
    <row r="626" spans="1:10" x14ac:dyDescent="0.25">
      <c r="A626" s="1">
        <v>20</v>
      </c>
      <c r="B626" t="s">
        <v>26</v>
      </c>
      <c r="C626">
        <v>630</v>
      </c>
      <c r="D626">
        <v>5</v>
      </c>
      <c r="E626" t="s">
        <v>27</v>
      </c>
      <c r="F626" t="s">
        <v>28</v>
      </c>
      <c r="G626" t="str">
        <f>"2026-05-06 13:42:31.995"</f>
        <v>2026-05-06 13:42:31.995</v>
      </c>
      <c r="H626" t="s">
        <v>29</v>
      </c>
    </row>
    <row r="627" spans="1:10" x14ac:dyDescent="0.25">
      <c r="A627" s="1">
        <v>21</v>
      </c>
      <c r="B627" t="s">
        <v>19</v>
      </c>
      <c r="C627">
        <v>706</v>
      </c>
      <c r="D627">
        <v>4</v>
      </c>
      <c r="E627" t="s">
        <v>23</v>
      </c>
      <c r="F627" t="s">
        <v>30</v>
      </c>
      <c r="G627" t="str">
        <f>"2026-05-06 13:42:01.984"</f>
        <v>2026-05-06 13:42:01.984</v>
      </c>
      <c r="H627" t="s">
        <v>21</v>
      </c>
      <c r="I627">
        <v>0</v>
      </c>
      <c r="J627" t="s">
        <v>25</v>
      </c>
    </row>
    <row r="628" spans="1:10" x14ac:dyDescent="0.25">
      <c r="A628" s="1">
        <v>22</v>
      </c>
      <c r="B628" t="s">
        <v>31</v>
      </c>
      <c r="C628">
        <v>630</v>
      </c>
      <c r="D628">
        <v>5</v>
      </c>
      <c r="E628" t="s">
        <v>27</v>
      </c>
      <c r="F628" t="s">
        <v>28</v>
      </c>
      <c r="G628" t="str">
        <f>"2026-05-06 12:22:34.695"</f>
        <v>2026-05-06 12:22:34.695</v>
      </c>
      <c r="H628" t="s">
        <v>29</v>
      </c>
      <c r="I628">
        <v>0</v>
      </c>
      <c r="J628" t="s">
        <v>25</v>
      </c>
    </row>
    <row r="629" spans="1:10" x14ac:dyDescent="0.25">
      <c r="A629" s="1">
        <v>23</v>
      </c>
      <c r="B629" t="s">
        <v>26</v>
      </c>
      <c r="C629">
        <v>630</v>
      </c>
      <c r="D629">
        <v>5</v>
      </c>
      <c r="E629" t="s">
        <v>27</v>
      </c>
      <c r="F629" t="s">
        <v>28</v>
      </c>
      <c r="G629" t="str">
        <f>"2026-05-05 17:12:46.195"</f>
        <v>2026-05-05 17:12:46.195</v>
      </c>
      <c r="H629" t="s">
        <v>29</v>
      </c>
    </row>
    <row r="630" spans="1:10" x14ac:dyDescent="0.25">
      <c r="A630" s="1">
        <v>24</v>
      </c>
      <c r="B630" t="s">
        <v>19</v>
      </c>
      <c r="C630">
        <v>706</v>
      </c>
      <c r="D630">
        <v>2</v>
      </c>
      <c r="E630" t="s">
        <v>23</v>
      </c>
      <c r="F630" t="s">
        <v>24</v>
      </c>
      <c r="G630" t="str">
        <f>"2026-05-05 17:12:16.064"</f>
        <v>2026-05-05 17:12:16.064</v>
      </c>
      <c r="H630" t="s">
        <v>21</v>
      </c>
      <c r="I630">
        <v>0</v>
      </c>
      <c r="J630" t="s">
        <v>25</v>
      </c>
    </row>
    <row r="631" spans="1:10" x14ac:dyDescent="0.25">
      <c r="A631" s="1">
        <v>25</v>
      </c>
      <c r="B631" t="s">
        <v>31</v>
      </c>
      <c r="C631">
        <v>630</v>
      </c>
      <c r="D631">
        <v>5</v>
      </c>
      <c r="E631" t="s">
        <v>27</v>
      </c>
      <c r="F631" t="s">
        <v>28</v>
      </c>
      <c r="G631" t="str">
        <f>"2026-05-05 17:05:41.195"</f>
        <v>2026-05-05 17:05:41.195</v>
      </c>
      <c r="H631" t="s">
        <v>29</v>
      </c>
      <c r="I631">
        <v>0</v>
      </c>
      <c r="J631" t="s">
        <v>25</v>
      </c>
    </row>
    <row r="632" spans="1:10" x14ac:dyDescent="0.25">
      <c r="A632" s="1">
        <v>26</v>
      </c>
      <c r="B632" t="s">
        <v>26</v>
      </c>
      <c r="C632">
        <v>630</v>
      </c>
      <c r="D632">
        <v>5</v>
      </c>
      <c r="E632" t="s">
        <v>27</v>
      </c>
      <c r="F632" t="s">
        <v>28</v>
      </c>
      <c r="G632" t="str">
        <f>"2026-05-05 13:45:49.795"</f>
        <v>2026-05-05 13:45:49.795</v>
      </c>
      <c r="H632" t="s">
        <v>29</v>
      </c>
    </row>
    <row r="633" spans="1:10" x14ac:dyDescent="0.25">
      <c r="A633" s="1">
        <v>27</v>
      </c>
      <c r="B633" t="s">
        <v>19</v>
      </c>
      <c r="C633">
        <v>706</v>
      </c>
      <c r="D633">
        <v>2</v>
      </c>
      <c r="E633" t="s">
        <v>23</v>
      </c>
      <c r="F633" t="s">
        <v>24</v>
      </c>
      <c r="G633" t="str">
        <f>"2026-05-05 13:45:19.664"</f>
        <v>2026-05-05 13:45:19.664</v>
      </c>
      <c r="H633" t="s">
        <v>21</v>
      </c>
      <c r="I633">
        <v>0</v>
      </c>
      <c r="J633" t="s">
        <v>25</v>
      </c>
    </row>
    <row r="634" spans="1:10" x14ac:dyDescent="0.25">
      <c r="A634" s="1">
        <v>28</v>
      </c>
      <c r="B634" t="s">
        <v>31</v>
      </c>
      <c r="C634">
        <v>630</v>
      </c>
      <c r="D634">
        <v>5</v>
      </c>
      <c r="E634" t="s">
        <v>27</v>
      </c>
      <c r="F634" t="s">
        <v>28</v>
      </c>
      <c r="G634" t="str">
        <f>"2026-05-05 13:34:11.895"</f>
        <v>2026-05-05 13:34:11.895</v>
      </c>
      <c r="H634" t="s">
        <v>29</v>
      </c>
      <c r="I634">
        <v>0</v>
      </c>
      <c r="J634" t="s">
        <v>25</v>
      </c>
    </row>
    <row r="635" spans="1:10" x14ac:dyDescent="0.25">
      <c r="A635" s="1">
        <v>29</v>
      </c>
      <c r="B635" t="s">
        <v>26</v>
      </c>
      <c r="C635">
        <v>630</v>
      </c>
      <c r="D635">
        <v>5</v>
      </c>
      <c r="E635" t="s">
        <v>27</v>
      </c>
      <c r="F635" t="s">
        <v>28</v>
      </c>
      <c r="G635" t="str">
        <f>"2026-05-04 18:08:12.995"</f>
        <v>2026-05-04 18:08:12.995</v>
      </c>
      <c r="H635" t="s">
        <v>29</v>
      </c>
    </row>
    <row r="636" spans="1:10" x14ac:dyDescent="0.25">
      <c r="A636" s="1">
        <v>30</v>
      </c>
      <c r="B636" t="s">
        <v>19</v>
      </c>
      <c r="C636">
        <v>706</v>
      </c>
      <c r="D636">
        <v>4</v>
      </c>
      <c r="E636" t="s">
        <v>23</v>
      </c>
      <c r="F636" t="s">
        <v>30</v>
      </c>
      <c r="G636" t="str">
        <f>"2026-05-04 18:07:42.924"</f>
        <v>2026-05-04 18:07:42.924</v>
      </c>
      <c r="H636" t="s">
        <v>21</v>
      </c>
      <c r="I636">
        <v>0</v>
      </c>
      <c r="J636" t="s">
        <v>25</v>
      </c>
    </row>
    <row r="637" spans="1:10" x14ac:dyDescent="0.25">
      <c r="A637" s="1">
        <v>31</v>
      </c>
      <c r="B637" t="s">
        <v>31</v>
      </c>
      <c r="C637">
        <v>630</v>
      </c>
      <c r="D637">
        <v>5</v>
      </c>
      <c r="E637" t="s">
        <v>27</v>
      </c>
      <c r="F637" t="s">
        <v>28</v>
      </c>
      <c r="G637" t="str">
        <f>"2026-05-04 18:02:28.895"</f>
        <v>2026-05-04 18:02:28.895</v>
      </c>
      <c r="H637" t="s">
        <v>29</v>
      </c>
      <c r="I637">
        <v>0</v>
      </c>
      <c r="J637" t="s">
        <v>25</v>
      </c>
    </row>
    <row r="638" spans="1:10" x14ac:dyDescent="0.25">
      <c r="A638" s="1">
        <v>32</v>
      </c>
      <c r="B638" t="s">
        <v>26</v>
      </c>
      <c r="C638">
        <v>630</v>
      </c>
      <c r="D638">
        <v>5</v>
      </c>
      <c r="E638" t="s">
        <v>27</v>
      </c>
      <c r="F638" t="s">
        <v>28</v>
      </c>
      <c r="G638" t="str">
        <f>"2026-05-04 14:18:42.795"</f>
        <v>2026-05-04 14:18:42.795</v>
      </c>
      <c r="H638" t="s">
        <v>29</v>
      </c>
    </row>
    <row r="639" spans="1:10" x14ac:dyDescent="0.25">
      <c r="A639" s="1">
        <v>33</v>
      </c>
      <c r="B639" t="s">
        <v>19</v>
      </c>
      <c r="C639">
        <v>706</v>
      </c>
      <c r="D639">
        <v>4</v>
      </c>
      <c r="E639" t="s">
        <v>23</v>
      </c>
      <c r="F639" t="s">
        <v>30</v>
      </c>
      <c r="G639" t="str">
        <f>"2026-05-04 14:18:12.754"</f>
        <v>2026-05-04 14:18:12.754</v>
      </c>
      <c r="H639" t="s">
        <v>21</v>
      </c>
      <c r="I639">
        <v>0</v>
      </c>
      <c r="J639" t="s">
        <v>25</v>
      </c>
    </row>
    <row r="640" spans="1:10" x14ac:dyDescent="0.25">
      <c r="A640" s="1">
        <v>34</v>
      </c>
      <c r="B640" t="s">
        <v>31</v>
      </c>
      <c r="C640">
        <v>630</v>
      </c>
      <c r="D640">
        <v>5</v>
      </c>
      <c r="E640" t="s">
        <v>27</v>
      </c>
      <c r="F640" t="s">
        <v>28</v>
      </c>
      <c r="G640" t="str">
        <f>"2026-05-04 13:50:57.695"</f>
        <v>2026-05-04 13:50:57.695</v>
      </c>
      <c r="H640" t="s">
        <v>29</v>
      </c>
      <c r="I640">
        <v>0</v>
      </c>
      <c r="J640" t="s">
        <v>25</v>
      </c>
    </row>
    <row r="641" spans="1:10" x14ac:dyDescent="0.25">
      <c r="A641" s="1">
        <v>35</v>
      </c>
      <c r="B641" t="s">
        <v>26</v>
      </c>
      <c r="C641">
        <v>630</v>
      </c>
      <c r="D641">
        <v>5</v>
      </c>
      <c r="E641" t="s">
        <v>27</v>
      </c>
      <c r="F641" t="s">
        <v>28</v>
      </c>
      <c r="G641" t="str">
        <f>"2026-05-04 10:04:21.795"</f>
        <v>2026-05-04 10:04:21.795</v>
      </c>
      <c r="H641" t="s">
        <v>29</v>
      </c>
    </row>
    <row r="642" spans="1:10" x14ac:dyDescent="0.25">
      <c r="A642" s="1">
        <v>36</v>
      </c>
      <c r="B642" t="s">
        <v>19</v>
      </c>
      <c r="C642">
        <v>706</v>
      </c>
      <c r="D642">
        <v>2</v>
      </c>
      <c r="E642" t="s">
        <v>23</v>
      </c>
      <c r="F642" t="s">
        <v>24</v>
      </c>
      <c r="G642" t="str">
        <f>"2026-05-04 10:03:51.664"</f>
        <v>2026-05-04 10:03:51.664</v>
      </c>
      <c r="H642" t="s">
        <v>21</v>
      </c>
      <c r="I642">
        <v>0</v>
      </c>
      <c r="J642" t="s">
        <v>25</v>
      </c>
    </row>
    <row r="643" spans="1:10" x14ac:dyDescent="0.25">
      <c r="A643" s="1">
        <v>37</v>
      </c>
      <c r="B643" t="s">
        <v>31</v>
      </c>
      <c r="C643">
        <v>630</v>
      </c>
      <c r="D643">
        <v>5</v>
      </c>
      <c r="E643" t="s">
        <v>27</v>
      </c>
      <c r="F643" t="s">
        <v>28</v>
      </c>
      <c r="G643" t="str">
        <f>"2026-05-04 09:58:41.495"</f>
        <v>2026-05-04 09:58:41.495</v>
      </c>
      <c r="H643" t="s">
        <v>29</v>
      </c>
      <c r="I643">
        <v>0</v>
      </c>
      <c r="J643" t="s">
        <v>25</v>
      </c>
    </row>
    <row r="644" spans="1:10" x14ac:dyDescent="0.25">
      <c r="A644" s="1">
        <v>38</v>
      </c>
      <c r="B644" t="s">
        <v>26</v>
      </c>
      <c r="C644">
        <v>630</v>
      </c>
      <c r="D644">
        <v>5</v>
      </c>
      <c r="E644" t="s">
        <v>27</v>
      </c>
      <c r="F644" t="s">
        <v>28</v>
      </c>
      <c r="G644" t="str">
        <f>"2026-05-03 14:25:22.195"</f>
        <v>2026-05-03 14:25:22.195</v>
      </c>
      <c r="H644" t="s">
        <v>29</v>
      </c>
    </row>
    <row r="645" spans="1:10" x14ac:dyDescent="0.25">
      <c r="A645" s="1">
        <v>39</v>
      </c>
      <c r="B645" t="s">
        <v>19</v>
      </c>
      <c r="C645">
        <v>706</v>
      </c>
      <c r="D645">
        <v>2</v>
      </c>
      <c r="E645" t="s">
        <v>23</v>
      </c>
      <c r="F645" t="s">
        <v>24</v>
      </c>
      <c r="G645" t="str">
        <f>"2026-05-03 14:24:52.064"</f>
        <v>2026-05-03 14:24:52.064</v>
      </c>
      <c r="H645" t="s">
        <v>21</v>
      </c>
      <c r="I645">
        <v>0</v>
      </c>
      <c r="J645" t="s">
        <v>25</v>
      </c>
    </row>
    <row r="646" spans="1:10" x14ac:dyDescent="0.25">
      <c r="A646" s="1">
        <v>40</v>
      </c>
      <c r="B646" t="s">
        <v>31</v>
      </c>
      <c r="C646">
        <v>630</v>
      </c>
      <c r="D646">
        <v>5</v>
      </c>
      <c r="E646" t="s">
        <v>27</v>
      </c>
      <c r="F646" t="s">
        <v>28</v>
      </c>
      <c r="G646" t="str">
        <f>"2026-05-03 12:39:58.695"</f>
        <v>2026-05-03 12:39:58.695</v>
      </c>
      <c r="H646" t="s">
        <v>29</v>
      </c>
      <c r="I646">
        <v>0</v>
      </c>
      <c r="J646" t="s">
        <v>25</v>
      </c>
    </row>
    <row r="647" spans="1:10" x14ac:dyDescent="0.25">
      <c r="A647" s="1">
        <v>41</v>
      </c>
      <c r="B647" t="s">
        <v>26</v>
      </c>
      <c r="C647">
        <v>635</v>
      </c>
      <c r="D647">
        <v>1</v>
      </c>
      <c r="E647" t="s">
        <v>32</v>
      </c>
      <c r="F647" t="s">
        <v>33</v>
      </c>
      <c r="G647" t="str">
        <f>"2026-05-03 05:45:56.594"</f>
        <v>2026-05-03 05:45:56.594</v>
      </c>
      <c r="H647" t="s">
        <v>21</v>
      </c>
    </row>
    <row r="648" spans="1:10" x14ac:dyDescent="0.25">
      <c r="A648" s="1">
        <v>42</v>
      </c>
      <c r="B648" t="s">
        <v>34</v>
      </c>
      <c r="C648">
        <v>635</v>
      </c>
      <c r="D648">
        <v>1</v>
      </c>
      <c r="E648" t="s">
        <v>32</v>
      </c>
      <c r="F648" t="s">
        <v>33</v>
      </c>
      <c r="G648" t="str">
        <f>"2026-05-03 05:37:15.694"</f>
        <v>2026-05-03 05:37:15.694</v>
      </c>
      <c r="H648" t="s">
        <v>21</v>
      </c>
      <c r="I648">
        <v>0</v>
      </c>
      <c r="J648" t="s">
        <v>40</v>
      </c>
    </row>
    <row r="649" spans="1:10" x14ac:dyDescent="0.25">
      <c r="A649" s="1">
        <v>43</v>
      </c>
      <c r="B649" t="s">
        <v>26</v>
      </c>
      <c r="C649">
        <v>630</v>
      </c>
      <c r="D649">
        <v>5</v>
      </c>
      <c r="E649" t="s">
        <v>27</v>
      </c>
      <c r="F649" t="s">
        <v>28</v>
      </c>
      <c r="G649" t="str">
        <f>"2026-05-02 16:21:53.595"</f>
        <v>2026-05-02 16:21:53.595</v>
      </c>
      <c r="H649" t="s">
        <v>29</v>
      </c>
    </row>
    <row r="650" spans="1:10" x14ac:dyDescent="0.25">
      <c r="A650" s="1">
        <v>44</v>
      </c>
      <c r="B650" t="s">
        <v>19</v>
      </c>
      <c r="C650">
        <v>706</v>
      </c>
      <c r="D650">
        <v>2</v>
      </c>
      <c r="E650" t="s">
        <v>23</v>
      </c>
      <c r="F650" t="s">
        <v>24</v>
      </c>
      <c r="G650" t="str">
        <f>"2026-05-02 16:21:23.464"</f>
        <v>2026-05-02 16:21:23.464</v>
      </c>
      <c r="H650" t="s">
        <v>21</v>
      </c>
      <c r="I650">
        <v>0</v>
      </c>
      <c r="J650" t="s">
        <v>25</v>
      </c>
    </row>
    <row r="651" spans="1:10" x14ac:dyDescent="0.25">
      <c r="A651" s="1">
        <v>45</v>
      </c>
      <c r="B651" t="s">
        <v>31</v>
      </c>
      <c r="C651">
        <v>630</v>
      </c>
      <c r="D651">
        <v>5</v>
      </c>
      <c r="E651" t="s">
        <v>27</v>
      </c>
      <c r="F651" t="s">
        <v>28</v>
      </c>
      <c r="G651" t="str">
        <f>"2026-05-02 16:19:27.495"</f>
        <v>2026-05-02 16:19:27.495</v>
      </c>
      <c r="H651" t="s">
        <v>29</v>
      </c>
      <c r="I651">
        <v>0</v>
      </c>
      <c r="J651" t="s">
        <v>25</v>
      </c>
    </row>
    <row r="652" spans="1:10" x14ac:dyDescent="0.25">
      <c r="A652" s="1">
        <v>46</v>
      </c>
      <c r="B652" t="s">
        <v>26</v>
      </c>
      <c r="C652">
        <v>630</v>
      </c>
      <c r="D652">
        <v>5</v>
      </c>
      <c r="E652" t="s">
        <v>27</v>
      </c>
      <c r="F652" t="s">
        <v>28</v>
      </c>
      <c r="G652" t="str">
        <f>"2026-05-02 14:04:56.695"</f>
        <v>2026-05-02 14:04:56.695</v>
      </c>
      <c r="H652" t="s">
        <v>29</v>
      </c>
    </row>
    <row r="653" spans="1:10" x14ac:dyDescent="0.25">
      <c r="A653" s="1">
        <v>47</v>
      </c>
      <c r="B653" t="s">
        <v>19</v>
      </c>
      <c r="C653">
        <v>706</v>
      </c>
      <c r="D653">
        <v>4</v>
      </c>
      <c r="E653" t="s">
        <v>23</v>
      </c>
      <c r="F653" t="s">
        <v>30</v>
      </c>
      <c r="G653" t="str">
        <f>"2026-05-02 14:04:26.644"</f>
        <v>2026-05-02 14:04:26.644</v>
      </c>
      <c r="H653" t="s">
        <v>21</v>
      </c>
      <c r="I653">
        <v>0</v>
      </c>
      <c r="J653" t="s">
        <v>25</v>
      </c>
    </row>
    <row r="654" spans="1:10" x14ac:dyDescent="0.25">
      <c r="A654" s="1">
        <v>48</v>
      </c>
      <c r="B654" t="s">
        <v>31</v>
      </c>
      <c r="C654">
        <v>630</v>
      </c>
      <c r="D654">
        <v>5</v>
      </c>
      <c r="E654" t="s">
        <v>27</v>
      </c>
      <c r="F654" t="s">
        <v>28</v>
      </c>
      <c r="G654" t="str">
        <f>"2026-05-02 13:33:56.595"</f>
        <v>2026-05-02 13:33:56.595</v>
      </c>
      <c r="H654" t="s">
        <v>29</v>
      </c>
      <c r="I654">
        <v>0</v>
      </c>
      <c r="J654" t="s">
        <v>25</v>
      </c>
    </row>
    <row r="655" spans="1:10" x14ac:dyDescent="0.25">
      <c r="A655" s="1">
        <v>49</v>
      </c>
      <c r="B655" t="s">
        <v>26</v>
      </c>
      <c r="C655">
        <v>630</v>
      </c>
      <c r="D655">
        <v>5</v>
      </c>
      <c r="E655" t="s">
        <v>27</v>
      </c>
      <c r="F655" t="s">
        <v>28</v>
      </c>
      <c r="G655" t="str">
        <f>"2026-05-02 11:48:56.095"</f>
        <v>2026-05-02 11:48:56.095</v>
      </c>
      <c r="H655" t="s">
        <v>29</v>
      </c>
    </row>
    <row r="656" spans="1:10" x14ac:dyDescent="0.25">
      <c r="A656" s="1">
        <v>50</v>
      </c>
      <c r="B656" t="s">
        <v>19</v>
      </c>
      <c r="C656">
        <v>706</v>
      </c>
      <c r="D656">
        <v>2</v>
      </c>
      <c r="E656" t="s">
        <v>23</v>
      </c>
      <c r="F656" t="s">
        <v>24</v>
      </c>
      <c r="G656" t="str">
        <f>"2026-05-02 11:48:25.964"</f>
        <v>2026-05-02 11:48:25.964</v>
      </c>
      <c r="H656" t="s">
        <v>21</v>
      </c>
      <c r="I656">
        <v>0</v>
      </c>
      <c r="J656" t="s">
        <v>25</v>
      </c>
    </row>
    <row r="657" spans="1:10" x14ac:dyDescent="0.25">
      <c r="A657" s="1">
        <v>51</v>
      </c>
      <c r="B657" t="s">
        <v>31</v>
      </c>
      <c r="C657">
        <v>630</v>
      </c>
      <c r="D657">
        <v>5</v>
      </c>
      <c r="E657" t="s">
        <v>27</v>
      </c>
      <c r="F657" t="s">
        <v>28</v>
      </c>
      <c r="G657" t="str">
        <f>"2026-05-02 11:45:54.495"</f>
        <v>2026-05-02 11:45:54.495</v>
      </c>
      <c r="H657" t="s">
        <v>29</v>
      </c>
      <c r="I657">
        <v>0</v>
      </c>
      <c r="J657" t="s">
        <v>25</v>
      </c>
    </row>
    <row r="658" spans="1:10" x14ac:dyDescent="0.25">
      <c r="A658" s="1">
        <v>52</v>
      </c>
      <c r="B658" t="s">
        <v>19</v>
      </c>
      <c r="C658">
        <v>700</v>
      </c>
      <c r="D658">
        <v>0</v>
      </c>
      <c r="E658" t="s">
        <v>20</v>
      </c>
      <c r="F658" t="s">
        <v>20</v>
      </c>
      <c r="G658" t="str">
        <f>"2026-05-01 14:00:11.334"</f>
        <v>2026-05-01 14:00:11.334</v>
      </c>
      <c r="H658" t="s">
        <v>21</v>
      </c>
    </row>
    <row r="659" spans="1:10" x14ac:dyDescent="0.25">
      <c r="A659" s="1">
        <v>53</v>
      </c>
      <c r="B659" t="s">
        <v>19</v>
      </c>
      <c r="C659">
        <v>700</v>
      </c>
      <c r="D659">
        <v>0</v>
      </c>
      <c r="E659" t="s">
        <v>20</v>
      </c>
      <c r="F659" t="s">
        <v>20</v>
      </c>
      <c r="G659" t="str">
        <f>"2026-04-30 14:24:39.347"</f>
        <v>2026-04-30 14:24:39.347</v>
      </c>
      <c r="H659" t="s">
        <v>21</v>
      </c>
      <c r="I659">
        <v>0</v>
      </c>
      <c r="J659" t="s">
        <v>22</v>
      </c>
    </row>
    <row r="660" spans="1:10" x14ac:dyDescent="0.25">
      <c r="A660" s="1">
        <v>54</v>
      </c>
      <c r="B660" t="s">
        <v>19</v>
      </c>
      <c r="C660">
        <v>700</v>
      </c>
      <c r="D660">
        <v>0</v>
      </c>
      <c r="E660" t="s">
        <v>20</v>
      </c>
      <c r="F660" t="s">
        <v>20</v>
      </c>
      <c r="G660" t="str">
        <f>"2026-04-30 13:12:29.491"</f>
        <v>2026-04-30 13:12:29.491</v>
      </c>
      <c r="H660" t="s">
        <v>21</v>
      </c>
    </row>
    <row r="661" spans="1:10" x14ac:dyDescent="0.25">
      <c r="A661" s="1">
        <v>55</v>
      </c>
      <c r="B661" t="s">
        <v>26</v>
      </c>
      <c r="C661">
        <v>635</v>
      </c>
      <c r="D661">
        <v>1</v>
      </c>
      <c r="E661" t="s">
        <v>32</v>
      </c>
      <c r="F661" t="s">
        <v>33</v>
      </c>
      <c r="G661" t="str">
        <f>"2026-04-30 10:39:33.708"</f>
        <v>2026-04-30 10:39:33.708</v>
      </c>
      <c r="H661" t="s">
        <v>21</v>
      </c>
    </row>
    <row r="662" spans="1:10" x14ac:dyDescent="0.25">
      <c r="A662" s="1">
        <v>56</v>
      </c>
      <c r="B662" t="s">
        <v>34</v>
      </c>
      <c r="C662">
        <v>635</v>
      </c>
      <c r="D662">
        <v>1</v>
      </c>
      <c r="E662" t="s">
        <v>32</v>
      </c>
      <c r="F662" t="s">
        <v>33</v>
      </c>
      <c r="G662" t="str">
        <f>"2026-04-30 10:36:43.208"</f>
        <v>2026-04-30 10:36:43.208</v>
      </c>
      <c r="H662" t="s">
        <v>21</v>
      </c>
      <c r="I662">
        <v>0.86</v>
      </c>
      <c r="J662" t="s">
        <v>35</v>
      </c>
    </row>
    <row r="663" spans="1:10" x14ac:dyDescent="0.25">
      <c r="A663" s="1">
        <v>57</v>
      </c>
      <c r="B663" t="s">
        <v>26</v>
      </c>
      <c r="C663">
        <v>630</v>
      </c>
      <c r="D663">
        <v>5</v>
      </c>
      <c r="E663" t="s">
        <v>27</v>
      </c>
      <c r="F663" t="s">
        <v>28</v>
      </c>
      <c r="G663" t="str">
        <f>"2026-04-30 04:19:20.009"</f>
        <v>2026-04-30 04:19:20.009</v>
      </c>
      <c r="H663" t="s">
        <v>29</v>
      </c>
    </row>
    <row r="664" spans="1:10" x14ac:dyDescent="0.25">
      <c r="A664" s="1">
        <v>58</v>
      </c>
      <c r="B664" t="s">
        <v>19</v>
      </c>
      <c r="C664">
        <v>706</v>
      </c>
      <c r="D664">
        <v>2</v>
      </c>
      <c r="E664" t="s">
        <v>23</v>
      </c>
      <c r="F664" t="s">
        <v>24</v>
      </c>
      <c r="G664" t="str">
        <f>"2026-04-30 04:18:49.985"</f>
        <v>2026-04-30 04:18:49.985</v>
      </c>
      <c r="H664" t="s">
        <v>21</v>
      </c>
      <c r="I664">
        <v>0</v>
      </c>
      <c r="J664" t="s">
        <v>25</v>
      </c>
    </row>
    <row r="665" spans="1:10" x14ac:dyDescent="0.25">
      <c r="A665" s="1">
        <v>59</v>
      </c>
      <c r="B665" t="s">
        <v>31</v>
      </c>
      <c r="C665">
        <v>630</v>
      </c>
      <c r="D665">
        <v>5</v>
      </c>
      <c r="E665" t="s">
        <v>27</v>
      </c>
      <c r="F665" t="s">
        <v>28</v>
      </c>
      <c r="G665" t="str">
        <f>"2026-04-30 04:18:01.709"</f>
        <v>2026-04-30 04:18:01.709</v>
      </c>
      <c r="H665" t="s">
        <v>29</v>
      </c>
      <c r="I665">
        <v>0</v>
      </c>
      <c r="J665" t="s">
        <v>25</v>
      </c>
    </row>
    <row r="666" spans="1:10" x14ac:dyDescent="0.25">
      <c r="A666" s="1">
        <v>60</v>
      </c>
      <c r="B666" t="s">
        <v>26</v>
      </c>
      <c r="C666">
        <v>635</v>
      </c>
      <c r="D666">
        <v>1</v>
      </c>
      <c r="E666" t="s">
        <v>32</v>
      </c>
      <c r="F666" t="s">
        <v>33</v>
      </c>
      <c r="G666" t="str">
        <f>"2026-04-29 22:39:36.508"</f>
        <v>2026-04-29 22:39:36.508</v>
      </c>
      <c r="H666" t="s">
        <v>21</v>
      </c>
    </row>
    <row r="667" spans="1:10" x14ac:dyDescent="0.25">
      <c r="A667" s="1">
        <v>61</v>
      </c>
      <c r="B667" t="s">
        <v>34</v>
      </c>
      <c r="C667">
        <v>635</v>
      </c>
      <c r="D667">
        <v>1</v>
      </c>
      <c r="E667" t="s">
        <v>32</v>
      </c>
      <c r="F667" t="s">
        <v>33</v>
      </c>
      <c r="G667" t="str">
        <f>"2026-04-29 22:35:51.008"</f>
        <v>2026-04-29 22:35:51.008</v>
      </c>
      <c r="H667" t="s">
        <v>21</v>
      </c>
      <c r="I667">
        <v>-0.47</v>
      </c>
      <c r="J667" t="s">
        <v>35</v>
      </c>
    </row>
    <row r="668" spans="1:10" x14ac:dyDescent="0.25">
      <c r="A668" s="1">
        <v>62</v>
      </c>
      <c r="B668" t="s">
        <v>26</v>
      </c>
      <c r="C668">
        <v>635</v>
      </c>
      <c r="D668">
        <v>1</v>
      </c>
      <c r="E668" t="s">
        <v>32</v>
      </c>
      <c r="F668" t="s">
        <v>33</v>
      </c>
      <c r="G668" t="str">
        <f>"2026-04-29 15:56:10.708"</f>
        <v>2026-04-29 15:56:10.708</v>
      </c>
      <c r="H668" t="s">
        <v>21</v>
      </c>
    </row>
    <row r="669" spans="1:10" x14ac:dyDescent="0.25">
      <c r="A669" s="1">
        <v>63</v>
      </c>
      <c r="B669" t="s">
        <v>34</v>
      </c>
      <c r="C669">
        <v>635</v>
      </c>
      <c r="D669">
        <v>1</v>
      </c>
      <c r="E669" t="s">
        <v>32</v>
      </c>
      <c r="F669" t="s">
        <v>33</v>
      </c>
      <c r="G669" t="str">
        <f>"2026-04-29 15:53:32.208"</f>
        <v>2026-04-29 15:53:32.208</v>
      </c>
      <c r="H669" t="s">
        <v>21</v>
      </c>
      <c r="I669">
        <v>5.49</v>
      </c>
      <c r="J669" t="s">
        <v>35</v>
      </c>
    </row>
    <row r="670" spans="1:10" x14ac:dyDescent="0.25">
      <c r="A670" s="1">
        <v>64</v>
      </c>
      <c r="B670" t="s">
        <v>19</v>
      </c>
      <c r="C670">
        <v>700</v>
      </c>
      <c r="D670">
        <v>0</v>
      </c>
      <c r="E670" t="s">
        <v>20</v>
      </c>
      <c r="F670" t="s">
        <v>20</v>
      </c>
      <c r="G670" t="str">
        <f>"2026-04-29 13:28:03.535"</f>
        <v>2026-04-29 13:28:03.535</v>
      </c>
      <c r="H670" t="s">
        <v>21</v>
      </c>
      <c r="I670">
        <v>0</v>
      </c>
      <c r="J670" t="s">
        <v>22</v>
      </c>
    </row>
    <row r="671" spans="1:10" x14ac:dyDescent="0.25">
      <c r="A671" s="1">
        <v>65</v>
      </c>
      <c r="B671" t="s">
        <v>19</v>
      </c>
      <c r="C671">
        <v>700</v>
      </c>
      <c r="D671">
        <v>0</v>
      </c>
      <c r="E671" t="s">
        <v>20</v>
      </c>
      <c r="F671" t="s">
        <v>20</v>
      </c>
      <c r="G671" t="str">
        <f>"2026-04-28 14:13:24.324"</f>
        <v>2026-04-28 14:13:24.324</v>
      </c>
      <c r="H671" t="s">
        <v>21</v>
      </c>
      <c r="I671">
        <v>0</v>
      </c>
      <c r="J671" t="s">
        <v>22</v>
      </c>
    </row>
    <row r="672" spans="1:10" x14ac:dyDescent="0.25">
      <c r="A672" s="1">
        <v>66</v>
      </c>
      <c r="B672" t="s">
        <v>19</v>
      </c>
      <c r="C672">
        <v>700</v>
      </c>
      <c r="D672">
        <v>0</v>
      </c>
      <c r="E672" t="s">
        <v>20</v>
      </c>
      <c r="F672" t="s">
        <v>20</v>
      </c>
      <c r="G672" t="str">
        <f>"2026-04-28 08:05:49.323"</f>
        <v>2026-04-28 08:05:49.323</v>
      </c>
      <c r="H672" t="s">
        <v>21</v>
      </c>
      <c r="I672">
        <v>0</v>
      </c>
      <c r="J672" t="s">
        <v>22</v>
      </c>
    </row>
    <row r="673" spans="1:10" x14ac:dyDescent="0.25">
      <c r="A673" s="1">
        <v>67</v>
      </c>
      <c r="B673" t="s">
        <v>19</v>
      </c>
      <c r="C673">
        <v>700</v>
      </c>
      <c r="D673">
        <v>0</v>
      </c>
      <c r="E673" t="s">
        <v>20</v>
      </c>
      <c r="F673" t="s">
        <v>20</v>
      </c>
      <c r="G673" t="str">
        <f>"2026-04-28 06:08:14.323"</f>
        <v>2026-04-28 06:08:14.323</v>
      </c>
      <c r="H673" t="s">
        <v>21</v>
      </c>
      <c r="I673">
        <v>0</v>
      </c>
      <c r="J673" t="s">
        <v>22</v>
      </c>
    </row>
    <row r="674" spans="1:10" x14ac:dyDescent="0.25">
      <c r="A674" s="1">
        <v>68</v>
      </c>
      <c r="B674" t="s">
        <v>26</v>
      </c>
      <c r="C674">
        <v>630</v>
      </c>
      <c r="D674">
        <v>5</v>
      </c>
      <c r="E674" t="s">
        <v>27</v>
      </c>
      <c r="F674" t="s">
        <v>28</v>
      </c>
      <c r="G674" t="str">
        <f>"2026-04-28 06:00:46.192"</f>
        <v>2026-04-28 06:00:46.192</v>
      </c>
      <c r="H674" t="s">
        <v>29</v>
      </c>
    </row>
    <row r="675" spans="1:10" x14ac:dyDescent="0.25">
      <c r="A675" s="1">
        <v>69</v>
      </c>
      <c r="B675" t="s">
        <v>19</v>
      </c>
      <c r="C675">
        <v>706</v>
      </c>
      <c r="D675">
        <v>2</v>
      </c>
      <c r="E675" t="s">
        <v>23</v>
      </c>
      <c r="F675" t="s">
        <v>24</v>
      </c>
      <c r="G675" t="str">
        <f>"2026-04-28 06:00:24.317"</f>
        <v>2026-04-28 06:00:24.317</v>
      </c>
      <c r="H675" t="s">
        <v>21</v>
      </c>
      <c r="I675">
        <v>0</v>
      </c>
      <c r="J675" t="s">
        <v>25</v>
      </c>
    </row>
    <row r="676" spans="1:10" x14ac:dyDescent="0.25">
      <c r="A676" s="1">
        <v>70</v>
      </c>
      <c r="B676" t="s">
        <v>19</v>
      </c>
      <c r="C676">
        <v>706</v>
      </c>
      <c r="D676">
        <v>2</v>
      </c>
      <c r="E676" t="s">
        <v>23</v>
      </c>
      <c r="F676" t="s">
        <v>24</v>
      </c>
      <c r="G676" t="str">
        <f>"2026-04-28 06:00:16.117"</f>
        <v>2026-04-28 06:00:16.117</v>
      </c>
      <c r="H676" t="s">
        <v>21</v>
      </c>
      <c r="I676">
        <v>0</v>
      </c>
      <c r="J676" t="s">
        <v>25</v>
      </c>
    </row>
    <row r="677" spans="1:10" x14ac:dyDescent="0.25">
      <c r="A677" s="1">
        <v>71</v>
      </c>
      <c r="B677" t="s">
        <v>31</v>
      </c>
      <c r="C677">
        <v>630</v>
      </c>
      <c r="D677">
        <v>5</v>
      </c>
      <c r="E677" t="s">
        <v>27</v>
      </c>
      <c r="F677" t="s">
        <v>28</v>
      </c>
      <c r="G677" t="str">
        <f>"2026-04-28 05:46:43.293"</f>
        <v>2026-04-28 05:46:43.293</v>
      </c>
      <c r="H677" t="s">
        <v>29</v>
      </c>
      <c r="I677">
        <v>0</v>
      </c>
      <c r="J677" t="s">
        <v>25</v>
      </c>
    </row>
    <row r="678" spans="1:10" x14ac:dyDescent="0.25">
      <c r="A678" s="1">
        <v>72</v>
      </c>
      <c r="B678" t="s">
        <v>19</v>
      </c>
      <c r="C678">
        <v>700</v>
      </c>
      <c r="D678">
        <v>0</v>
      </c>
      <c r="E678" t="s">
        <v>20</v>
      </c>
      <c r="F678" t="s">
        <v>20</v>
      </c>
      <c r="G678" t="str">
        <f>"2026-04-28 05:41:40.517"</f>
        <v>2026-04-28 05:41:40.517</v>
      </c>
      <c r="H678" t="s">
        <v>21</v>
      </c>
    </row>
    <row r="679" spans="1:10" x14ac:dyDescent="0.25">
      <c r="A679" s="1">
        <v>73</v>
      </c>
      <c r="B679" t="s">
        <v>19</v>
      </c>
      <c r="C679">
        <v>700</v>
      </c>
      <c r="D679">
        <v>0</v>
      </c>
      <c r="E679" t="s">
        <v>20</v>
      </c>
      <c r="F679" t="s">
        <v>20</v>
      </c>
      <c r="G679" t="str">
        <f>"2026-04-27 15:28:06.318"</f>
        <v>2026-04-27 15:28:06.318</v>
      </c>
      <c r="H679" t="s">
        <v>21</v>
      </c>
      <c r="I679">
        <v>0</v>
      </c>
      <c r="J679" t="s">
        <v>22</v>
      </c>
    </row>
    <row r="680" spans="1:10" x14ac:dyDescent="0.25">
      <c r="A680" s="1">
        <v>74</v>
      </c>
      <c r="B680" t="s">
        <v>19</v>
      </c>
      <c r="C680">
        <v>700</v>
      </c>
      <c r="D680">
        <v>0</v>
      </c>
      <c r="E680" t="s">
        <v>20</v>
      </c>
      <c r="F680" t="s">
        <v>20</v>
      </c>
      <c r="G680" t="str">
        <f>"2026-04-27 13:42:36.315"</f>
        <v>2026-04-27 13:42:36.315</v>
      </c>
      <c r="H680" t="s">
        <v>21</v>
      </c>
    </row>
    <row r="681" spans="1:10" x14ac:dyDescent="0.25">
      <c r="A681" s="1">
        <v>75</v>
      </c>
      <c r="B681" t="s">
        <v>19</v>
      </c>
      <c r="C681">
        <v>700</v>
      </c>
      <c r="D681">
        <v>0</v>
      </c>
      <c r="E681" t="s">
        <v>20</v>
      </c>
      <c r="F681" t="s">
        <v>20</v>
      </c>
      <c r="G681" t="str">
        <f>"2026-04-27 12:39:50.312"</f>
        <v>2026-04-27 12:39:50.312</v>
      </c>
      <c r="H681" t="s">
        <v>21</v>
      </c>
    </row>
    <row r="682" spans="1:10" x14ac:dyDescent="0.25">
      <c r="A682" s="1">
        <v>76</v>
      </c>
      <c r="B682" t="s">
        <v>31</v>
      </c>
      <c r="C682">
        <v>630</v>
      </c>
      <c r="D682">
        <v>5</v>
      </c>
      <c r="E682" t="s">
        <v>27</v>
      </c>
      <c r="F682" t="s">
        <v>28</v>
      </c>
      <c r="G682" t="str">
        <f>"2026-04-27 12:22:48.284"</f>
        <v>2026-04-27 12:22:48.284</v>
      </c>
      <c r="H682" t="s">
        <v>29</v>
      </c>
      <c r="I682">
        <v>0</v>
      </c>
      <c r="J682" t="s">
        <v>25</v>
      </c>
    </row>
    <row r="683" spans="1:10" x14ac:dyDescent="0.25">
      <c r="A683" s="1">
        <v>77</v>
      </c>
      <c r="B683" t="s">
        <v>19</v>
      </c>
      <c r="C683">
        <v>700</v>
      </c>
      <c r="D683">
        <v>0</v>
      </c>
      <c r="E683" t="s">
        <v>20</v>
      </c>
      <c r="F683" t="s">
        <v>20</v>
      </c>
      <c r="G683" t="str">
        <f>"2026-04-27 12:17:45.565"</f>
        <v>2026-04-27 12:17:45.565</v>
      </c>
      <c r="H683" t="s">
        <v>21</v>
      </c>
      <c r="I683">
        <v>0</v>
      </c>
      <c r="J683" t="s">
        <v>22</v>
      </c>
    </row>
    <row r="684" spans="1:10" x14ac:dyDescent="0.25">
      <c r="A684" s="1">
        <v>78</v>
      </c>
      <c r="B684" t="s">
        <v>19</v>
      </c>
      <c r="C684">
        <v>700</v>
      </c>
      <c r="D684">
        <v>0</v>
      </c>
      <c r="E684" t="s">
        <v>20</v>
      </c>
      <c r="F684" t="s">
        <v>20</v>
      </c>
      <c r="G684" t="str">
        <f>"2026-04-27 11:52:51.303"</f>
        <v>2026-04-27 11:52:51.303</v>
      </c>
      <c r="H684" t="s">
        <v>21</v>
      </c>
      <c r="I684">
        <v>0</v>
      </c>
      <c r="J684" t="s">
        <v>22</v>
      </c>
    </row>
    <row r="685" spans="1:10" x14ac:dyDescent="0.25">
      <c r="A685" s="1">
        <v>79</v>
      </c>
      <c r="B685" t="s">
        <v>26</v>
      </c>
      <c r="C685">
        <v>635</v>
      </c>
      <c r="D685">
        <v>1</v>
      </c>
      <c r="E685" t="s">
        <v>32</v>
      </c>
      <c r="F685" t="s">
        <v>33</v>
      </c>
      <c r="G685" t="str">
        <f>"2026-04-27 08:32:24.207"</f>
        <v>2026-04-27 08:32:24.207</v>
      </c>
      <c r="H685" t="s">
        <v>21</v>
      </c>
    </row>
    <row r="686" spans="1:10" x14ac:dyDescent="0.25">
      <c r="A686" s="1">
        <v>80</v>
      </c>
      <c r="B686" t="s">
        <v>34</v>
      </c>
      <c r="C686">
        <v>635</v>
      </c>
      <c r="D686">
        <v>1</v>
      </c>
      <c r="E686" t="s">
        <v>32</v>
      </c>
      <c r="F686" t="s">
        <v>33</v>
      </c>
      <c r="G686" t="str">
        <f>"2026-04-27 08:28:09.207"</f>
        <v>2026-04-27 08:28:09.207</v>
      </c>
      <c r="H686" t="s">
        <v>21</v>
      </c>
      <c r="I686">
        <v>2.39</v>
      </c>
      <c r="J686" t="s">
        <v>35</v>
      </c>
    </row>
    <row r="687" spans="1:10" x14ac:dyDescent="0.25">
      <c r="A687" s="1">
        <v>81</v>
      </c>
      <c r="B687" t="s">
        <v>19</v>
      </c>
      <c r="C687">
        <v>700</v>
      </c>
      <c r="D687">
        <v>0</v>
      </c>
      <c r="E687" t="s">
        <v>20</v>
      </c>
      <c r="F687" t="s">
        <v>20</v>
      </c>
      <c r="G687" t="str">
        <f>"2026-04-27 00:40:02.432"</f>
        <v>2026-04-27 00:40:02.432</v>
      </c>
      <c r="H687" t="s">
        <v>21</v>
      </c>
      <c r="I687">
        <v>0</v>
      </c>
      <c r="J687" t="s">
        <v>22</v>
      </c>
    </row>
    <row r="688" spans="1:10" x14ac:dyDescent="0.25">
      <c r="A688" s="1">
        <v>82</v>
      </c>
      <c r="B688" t="s">
        <v>26</v>
      </c>
      <c r="C688">
        <v>635</v>
      </c>
      <c r="D688">
        <v>1</v>
      </c>
      <c r="E688" t="s">
        <v>32</v>
      </c>
      <c r="F688" t="s">
        <v>33</v>
      </c>
      <c r="G688" t="str">
        <f>"2026-04-26 22:06:43.084"</f>
        <v>2026-04-26 22:06:43.084</v>
      </c>
      <c r="H688" t="s">
        <v>21</v>
      </c>
    </row>
    <row r="689" spans="1:10" x14ac:dyDescent="0.25">
      <c r="A689" s="1">
        <v>83</v>
      </c>
      <c r="B689" t="s">
        <v>34</v>
      </c>
      <c r="C689">
        <v>635</v>
      </c>
      <c r="D689">
        <v>1</v>
      </c>
      <c r="E689" t="s">
        <v>32</v>
      </c>
      <c r="F689" t="s">
        <v>33</v>
      </c>
      <c r="G689" t="str">
        <f>"2026-04-26 21:48:32.185"</f>
        <v>2026-04-26 21:48:32.185</v>
      </c>
      <c r="H689" t="s">
        <v>21</v>
      </c>
      <c r="I689">
        <v>8.84</v>
      </c>
      <c r="J689" t="s">
        <v>35</v>
      </c>
    </row>
    <row r="690" spans="1:10" x14ac:dyDescent="0.25">
      <c r="A690" s="1">
        <v>84</v>
      </c>
      <c r="B690" t="s">
        <v>19</v>
      </c>
      <c r="C690">
        <v>700</v>
      </c>
      <c r="D690">
        <v>0</v>
      </c>
      <c r="E690" t="s">
        <v>20</v>
      </c>
      <c r="F690" t="s">
        <v>20</v>
      </c>
      <c r="G690" t="str">
        <f>"2026-04-26 14:03:15.314"</f>
        <v>2026-04-26 14:03:15.314</v>
      </c>
      <c r="H690" t="s">
        <v>21</v>
      </c>
      <c r="I690">
        <v>0</v>
      </c>
      <c r="J690" t="s">
        <v>22</v>
      </c>
    </row>
    <row r="691" spans="1:10" x14ac:dyDescent="0.25">
      <c r="A691" s="1">
        <v>85</v>
      </c>
      <c r="B691" t="s">
        <v>19</v>
      </c>
      <c r="C691">
        <v>700</v>
      </c>
      <c r="D691">
        <v>0</v>
      </c>
      <c r="E691" t="s">
        <v>20</v>
      </c>
      <c r="F691" t="s">
        <v>20</v>
      </c>
      <c r="G691" t="str">
        <f>"2026-04-26 09:48:18.498"</f>
        <v>2026-04-26 09:48:18.498</v>
      </c>
      <c r="H691" t="s">
        <v>21</v>
      </c>
      <c r="I691">
        <v>0</v>
      </c>
      <c r="J691" t="s">
        <v>22</v>
      </c>
    </row>
    <row r="692" spans="1:10" x14ac:dyDescent="0.25">
      <c r="A692" s="1">
        <v>86</v>
      </c>
      <c r="B692" t="s">
        <v>19</v>
      </c>
      <c r="C692">
        <v>700</v>
      </c>
      <c r="D692">
        <v>0</v>
      </c>
      <c r="E692" t="s">
        <v>20</v>
      </c>
      <c r="F692" t="s">
        <v>20</v>
      </c>
      <c r="G692" t="str">
        <f>"2026-04-25 13:47:02.296"</f>
        <v>2026-04-25 13:47:02.296</v>
      </c>
      <c r="H692" t="s">
        <v>21</v>
      </c>
      <c r="I692">
        <v>0</v>
      </c>
      <c r="J692" t="s">
        <v>22</v>
      </c>
    </row>
    <row r="693" spans="1:10" x14ac:dyDescent="0.25">
      <c r="A693" s="1">
        <v>87</v>
      </c>
      <c r="B693" t="s">
        <v>19</v>
      </c>
      <c r="C693">
        <v>700</v>
      </c>
      <c r="D693">
        <v>0</v>
      </c>
      <c r="E693" t="s">
        <v>20</v>
      </c>
      <c r="F693" t="s">
        <v>20</v>
      </c>
      <c r="G693" t="str">
        <f>"2026-04-25 12:46:50.328"</f>
        <v>2026-04-25 12:46:50.328</v>
      </c>
      <c r="H693" t="s">
        <v>21</v>
      </c>
      <c r="I693">
        <v>0</v>
      </c>
      <c r="J693" t="s">
        <v>22</v>
      </c>
    </row>
    <row r="694" spans="1:10" x14ac:dyDescent="0.25">
      <c r="A694" s="1">
        <v>88</v>
      </c>
      <c r="B694" t="s">
        <v>26</v>
      </c>
      <c r="C694">
        <v>635</v>
      </c>
      <c r="D694">
        <v>1</v>
      </c>
      <c r="E694" t="s">
        <v>32</v>
      </c>
      <c r="F694" t="s">
        <v>33</v>
      </c>
      <c r="G694" t="str">
        <f>"2026-04-25 08:55:22.419"</f>
        <v>2026-04-25 08:55:22.419</v>
      </c>
      <c r="H694" t="s">
        <v>21</v>
      </c>
    </row>
    <row r="695" spans="1:10" x14ac:dyDescent="0.25">
      <c r="A695" s="1">
        <v>89</v>
      </c>
      <c r="B695" t="s">
        <v>34</v>
      </c>
      <c r="C695">
        <v>635</v>
      </c>
      <c r="D695">
        <v>1</v>
      </c>
      <c r="E695" t="s">
        <v>32</v>
      </c>
      <c r="F695" t="s">
        <v>33</v>
      </c>
      <c r="G695" t="str">
        <f>"2026-04-25 08:53:01.919"</f>
        <v>2026-04-25 08:53:01.919</v>
      </c>
      <c r="H695" t="s">
        <v>21</v>
      </c>
      <c r="I695">
        <v>6.06</v>
      </c>
      <c r="J695" t="s">
        <v>35</v>
      </c>
    </row>
    <row r="696" spans="1:10" x14ac:dyDescent="0.25">
      <c r="A696" s="1">
        <v>90</v>
      </c>
      <c r="B696" t="s">
        <v>26</v>
      </c>
      <c r="C696">
        <v>635</v>
      </c>
      <c r="D696">
        <v>1</v>
      </c>
      <c r="E696" t="s">
        <v>32</v>
      </c>
      <c r="F696" t="s">
        <v>33</v>
      </c>
      <c r="G696" t="str">
        <f>"2026-04-24 14:54:44.319"</f>
        <v>2026-04-24 14:54:44.319</v>
      </c>
      <c r="H696" t="s">
        <v>21</v>
      </c>
    </row>
    <row r="697" spans="1:10" x14ac:dyDescent="0.25">
      <c r="A697" s="1">
        <v>91</v>
      </c>
      <c r="B697" t="s">
        <v>34</v>
      </c>
      <c r="C697">
        <v>635</v>
      </c>
      <c r="D697">
        <v>1</v>
      </c>
      <c r="E697" t="s">
        <v>32</v>
      </c>
      <c r="F697" t="s">
        <v>33</v>
      </c>
      <c r="G697" t="str">
        <f>"2026-04-24 14:50:37.319"</f>
        <v>2026-04-24 14:50:37.319</v>
      </c>
      <c r="H697" t="s">
        <v>21</v>
      </c>
      <c r="I697">
        <v>5.89</v>
      </c>
      <c r="J697" t="s">
        <v>38</v>
      </c>
    </row>
    <row r="698" spans="1:10" x14ac:dyDescent="0.25">
      <c r="A698" s="1">
        <v>92</v>
      </c>
      <c r="B698" t="s">
        <v>26</v>
      </c>
      <c r="C698">
        <v>635</v>
      </c>
      <c r="D698">
        <v>1</v>
      </c>
      <c r="E698" t="s">
        <v>32</v>
      </c>
      <c r="F698" t="s">
        <v>33</v>
      </c>
      <c r="G698" t="str">
        <f>"2026-04-24 14:38:03.319"</f>
        <v>2026-04-24 14:38:03.319</v>
      </c>
      <c r="H698" t="s">
        <v>21</v>
      </c>
    </row>
    <row r="699" spans="1:10" x14ac:dyDescent="0.25">
      <c r="A699" s="1">
        <v>93</v>
      </c>
      <c r="B699" t="s">
        <v>34</v>
      </c>
      <c r="C699">
        <v>635</v>
      </c>
      <c r="D699">
        <v>1</v>
      </c>
      <c r="E699" t="s">
        <v>32</v>
      </c>
      <c r="F699" t="s">
        <v>33</v>
      </c>
      <c r="G699" t="str">
        <f>"2026-04-24 14:33:42.819"</f>
        <v>2026-04-24 14:33:42.819</v>
      </c>
      <c r="H699" t="s">
        <v>21</v>
      </c>
      <c r="I699">
        <v>3.59</v>
      </c>
      <c r="J699" t="s">
        <v>35</v>
      </c>
    </row>
    <row r="700" spans="1:10" x14ac:dyDescent="0.25">
      <c r="A700" s="1">
        <v>94</v>
      </c>
      <c r="B700" t="s">
        <v>19</v>
      </c>
      <c r="C700">
        <v>700</v>
      </c>
      <c r="D700">
        <v>0</v>
      </c>
      <c r="E700" t="s">
        <v>20</v>
      </c>
      <c r="F700" t="s">
        <v>20</v>
      </c>
      <c r="G700" t="str">
        <f>"2026-04-24 13:42:32.327"</f>
        <v>2026-04-24 13:42:32.327</v>
      </c>
      <c r="H700" t="s">
        <v>21</v>
      </c>
    </row>
    <row r="701" spans="1:10" x14ac:dyDescent="0.25">
      <c r="A701" s="1">
        <v>95</v>
      </c>
      <c r="B701" t="s">
        <v>31</v>
      </c>
      <c r="C701">
        <v>630</v>
      </c>
      <c r="D701">
        <v>5</v>
      </c>
      <c r="E701" t="s">
        <v>27</v>
      </c>
      <c r="F701" t="s">
        <v>28</v>
      </c>
      <c r="G701" t="str">
        <f>"2026-04-24 12:49:38.724"</f>
        <v>2026-04-24 12:49:38.724</v>
      </c>
      <c r="H701" t="s">
        <v>29</v>
      </c>
      <c r="I701">
        <v>0</v>
      </c>
      <c r="J701" t="s">
        <v>25</v>
      </c>
    </row>
    <row r="702" spans="1:10" x14ac:dyDescent="0.25">
      <c r="A702" s="1">
        <v>96</v>
      </c>
      <c r="B702" t="s">
        <v>26</v>
      </c>
      <c r="C702">
        <v>635</v>
      </c>
      <c r="D702">
        <v>1</v>
      </c>
      <c r="E702" t="s">
        <v>32</v>
      </c>
      <c r="F702" t="s">
        <v>33</v>
      </c>
      <c r="G702" t="str">
        <f>"2026-04-24 00:42:47.923"</f>
        <v>2026-04-24 00:42:47.923</v>
      </c>
      <c r="H702" t="s">
        <v>21</v>
      </c>
    </row>
    <row r="703" spans="1:10" x14ac:dyDescent="0.25">
      <c r="A703" s="1">
        <v>97</v>
      </c>
      <c r="B703" t="s">
        <v>34</v>
      </c>
      <c r="C703">
        <v>635</v>
      </c>
      <c r="D703">
        <v>1</v>
      </c>
      <c r="E703" t="s">
        <v>32</v>
      </c>
      <c r="F703" t="s">
        <v>33</v>
      </c>
      <c r="G703" t="str">
        <f>"2026-04-24 00:21:13.423"</f>
        <v>2026-04-24 00:21:13.423</v>
      </c>
      <c r="H703" t="s">
        <v>21</v>
      </c>
      <c r="I703">
        <v>7.5</v>
      </c>
      <c r="J703" t="s">
        <v>35</v>
      </c>
    </row>
    <row r="704" spans="1:10" x14ac:dyDescent="0.25">
      <c r="A704" s="1">
        <v>98</v>
      </c>
      <c r="B704" t="s">
        <v>19</v>
      </c>
      <c r="C704">
        <v>700</v>
      </c>
      <c r="D704">
        <v>0</v>
      </c>
      <c r="E704" t="s">
        <v>20</v>
      </c>
      <c r="F704" t="s">
        <v>20</v>
      </c>
      <c r="G704" t="str">
        <f>"2026-04-23 14:58:08.299"</f>
        <v>2026-04-23 14:58:08.299</v>
      </c>
      <c r="H704" t="s">
        <v>21</v>
      </c>
      <c r="I704">
        <v>0</v>
      </c>
      <c r="J704" t="s">
        <v>22</v>
      </c>
    </row>
    <row r="705" spans="1:10" x14ac:dyDescent="0.25">
      <c r="A705" s="1">
        <v>99</v>
      </c>
      <c r="B705" t="s">
        <v>19</v>
      </c>
      <c r="C705">
        <v>700</v>
      </c>
      <c r="D705">
        <v>0</v>
      </c>
      <c r="E705" t="s">
        <v>20</v>
      </c>
      <c r="F705" t="s">
        <v>20</v>
      </c>
      <c r="G705" t="str">
        <f>"2026-04-23 13:55:12.293"</f>
        <v>2026-04-23 13:55:12.293</v>
      </c>
      <c r="H705" t="s">
        <v>21</v>
      </c>
      <c r="I705">
        <v>0</v>
      </c>
      <c r="J705" t="s">
        <v>22</v>
      </c>
    </row>
    <row r="706" spans="1:10" x14ac:dyDescent="0.25">
      <c r="A706" s="1">
        <v>0</v>
      </c>
      <c r="B706" t="s">
        <v>31</v>
      </c>
      <c r="C706">
        <v>630</v>
      </c>
      <c r="D706">
        <v>5</v>
      </c>
      <c r="E706" t="s">
        <v>27</v>
      </c>
      <c r="F706" t="s">
        <v>28</v>
      </c>
      <c r="G706" t="str">
        <f>"2026-04-23 13:07:05.211"</f>
        <v>2026-04-23 13:07:05.211</v>
      </c>
      <c r="H706" t="s">
        <v>29</v>
      </c>
      <c r="I706">
        <v>0</v>
      </c>
      <c r="J706" t="s">
        <v>25</v>
      </c>
    </row>
    <row r="707" spans="1:10" x14ac:dyDescent="0.25">
      <c r="A707" s="1">
        <v>1</v>
      </c>
      <c r="B707" t="s">
        <v>19</v>
      </c>
      <c r="C707">
        <v>700</v>
      </c>
      <c r="D707">
        <v>0</v>
      </c>
      <c r="E707" t="s">
        <v>20</v>
      </c>
      <c r="F707" t="s">
        <v>20</v>
      </c>
      <c r="G707" t="str">
        <f>"2026-04-23 12:03:48.324"</f>
        <v>2026-04-23 12:03:48.324</v>
      </c>
      <c r="H707" t="s">
        <v>21</v>
      </c>
      <c r="I707">
        <v>0</v>
      </c>
      <c r="J707" t="s">
        <v>22</v>
      </c>
    </row>
    <row r="708" spans="1:10" x14ac:dyDescent="0.25">
      <c r="A708" s="1">
        <v>2</v>
      </c>
      <c r="B708" t="s">
        <v>26</v>
      </c>
      <c r="C708">
        <v>635</v>
      </c>
      <c r="D708">
        <v>1</v>
      </c>
      <c r="E708" t="s">
        <v>32</v>
      </c>
      <c r="F708" t="s">
        <v>33</v>
      </c>
      <c r="G708" t="str">
        <f>"2026-04-23 06:47:49.893"</f>
        <v>2026-04-23 06:47:49.893</v>
      </c>
      <c r="H708" t="s">
        <v>21</v>
      </c>
    </row>
    <row r="709" spans="1:10" x14ac:dyDescent="0.25">
      <c r="A709" s="1">
        <v>3</v>
      </c>
      <c r="B709" t="s">
        <v>34</v>
      </c>
      <c r="C709">
        <v>635</v>
      </c>
      <c r="D709">
        <v>1</v>
      </c>
      <c r="E709" t="s">
        <v>32</v>
      </c>
      <c r="F709" t="s">
        <v>33</v>
      </c>
      <c r="G709" t="str">
        <f>"2026-04-23 06:27:01.893"</f>
        <v>2026-04-23 06:27:01.893</v>
      </c>
      <c r="H709" t="s">
        <v>21</v>
      </c>
      <c r="I709">
        <v>9.9600000000000009</v>
      </c>
      <c r="J709" t="s">
        <v>38</v>
      </c>
    </row>
    <row r="710" spans="1:10" x14ac:dyDescent="0.25">
      <c r="A710" s="1">
        <v>4</v>
      </c>
      <c r="B710" t="s">
        <v>19</v>
      </c>
      <c r="C710">
        <v>700</v>
      </c>
      <c r="D710">
        <v>0</v>
      </c>
      <c r="E710" t="s">
        <v>20</v>
      </c>
      <c r="F710" t="s">
        <v>20</v>
      </c>
      <c r="G710" t="str">
        <f>"2026-04-23 00:35:37.436"</f>
        <v>2026-04-23 00:35:37.436</v>
      </c>
      <c r="H710" t="s">
        <v>21</v>
      </c>
      <c r="I710">
        <v>0</v>
      </c>
      <c r="J710" t="s">
        <v>22</v>
      </c>
    </row>
    <row r="711" spans="1:10" x14ac:dyDescent="0.25">
      <c r="A711" s="1">
        <v>6</v>
      </c>
      <c r="B711" t="s">
        <v>19</v>
      </c>
      <c r="C711">
        <v>700</v>
      </c>
      <c r="D711">
        <v>0</v>
      </c>
      <c r="E711" t="s">
        <v>20</v>
      </c>
      <c r="F711" t="s">
        <v>20</v>
      </c>
      <c r="G711" t="str">
        <f>"2026-04-22 13:17:26.302"</f>
        <v>2026-04-22 13:17:26.302</v>
      </c>
      <c r="H711" t="s">
        <v>21</v>
      </c>
      <c r="I711">
        <v>0</v>
      </c>
      <c r="J711" t="s">
        <v>22</v>
      </c>
    </row>
    <row r="712" spans="1:10" x14ac:dyDescent="0.25">
      <c r="A712" s="1">
        <v>7</v>
      </c>
      <c r="B712" t="s">
        <v>26</v>
      </c>
      <c r="C712">
        <v>635</v>
      </c>
      <c r="D712">
        <v>1</v>
      </c>
      <c r="E712" t="s">
        <v>32</v>
      </c>
      <c r="F712" t="s">
        <v>33</v>
      </c>
      <c r="G712" t="str">
        <f>"2026-04-22 11:05:13.567"</f>
        <v>2026-04-22 11:05:13.567</v>
      </c>
      <c r="H712" t="s">
        <v>21</v>
      </c>
    </row>
    <row r="713" spans="1:10" x14ac:dyDescent="0.25">
      <c r="A713" s="1">
        <v>8</v>
      </c>
      <c r="B713" t="s">
        <v>34</v>
      </c>
      <c r="C713">
        <v>635</v>
      </c>
      <c r="D713">
        <v>1</v>
      </c>
      <c r="E713" t="s">
        <v>32</v>
      </c>
      <c r="F713" t="s">
        <v>33</v>
      </c>
      <c r="G713" t="str">
        <f>"2026-04-22 11:02:26.067"</f>
        <v>2026-04-22 11:02:26.067</v>
      </c>
      <c r="H713" t="s">
        <v>21</v>
      </c>
      <c r="I713">
        <v>1.35</v>
      </c>
      <c r="J713" t="s">
        <v>35</v>
      </c>
    </row>
    <row r="714" spans="1:10" x14ac:dyDescent="0.25">
      <c r="A714" s="1">
        <v>9</v>
      </c>
      <c r="B714" t="s">
        <v>26</v>
      </c>
      <c r="C714">
        <v>635</v>
      </c>
      <c r="D714">
        <v>1</v>
      </c>
      <c r="E714" t="s">
        <v>32</v>
      </c>
      <c r="F714" t="s">
        <v>33</v>
      </c>
      <c r="G714" t="str">
        <f>"2026-04-21 04:20:54.667"</f>
        <v>2026-04-21 04:20:54.667</v>
      </c>
      <c r="H714" t="s">
        <v>21</v>
      </c>
    </row>
    <row r="715" spans="1:10" x14ac:dyDescent="0.25">
      <c r="A715" s="1">
        <v>10</v>
      </c>
      <c r="B715" t="s">
        <v>34</v>
      </c>
      <c r="C715">
        <v>635</v>
      </c>
      <c r="D715">
        <v>1</v>
      </c>
      <c r="E715" t="s">
        <v>32</v>
      </c>
      <c r="F715" t="s">
        <v>33</v>
      </c>
      <c r="G715" t="str">
        <f>"2026-04-21 03:47:45.267"</f>
        <v>2026-04-21 03:47:45.267</v>
      </c>
      <c r="H715" t="s">
        <v>21</v>
      </c>
      <c r="I715">
        <v>8.86</v>
      </c>
      <c r="J715" t="s">
        <v>35</v>
      </c>
    </row>
    <row r="716" spans="1:10" x14ac:dyDescent="0.25">
      <c r="A716" s="1">
        <v>11</v>
      </c>
      <c r="B716" t="s">
        <v>19</v>
      </c>
      <c r="C716">
        <v>700</v>
      </c>
      <c r="D716">
        <v>0</v>
      </c>
      <c r="E716" t="s">
        <v>20</v>
      </c>
      <c r="F716" t="s">
        <v>20</v>
      </c>
      <c r="G716" t="str">
        <f>"2026-04-20 16:06:10.269"</f>
        <v>2026-04-20 16:06:10.269</v>
      </c>
      <c r="H716" t="s">
        <v>21</v>
      </c>
      <c r="I716">
        <v>0</v>
      </c>
      <c r="J716" t="s">
        <v>22</v>
      </c>
    </row>
    <row r="717" spans="1:10" x14ac:dyDescent="0.25">
      <c r="A717" s="1">
        <v>12</v>
      </c>
      <c r="B717" t="s">
        <v>31</v>
      </c>
      <c r="C717">
        <v>630</v>
      </c>
      <c r="D717">
        <v>5</v>
      </c>
      <c r="E717" t="s">
        <v>27</v>
      </c>
      <c r="F717" t="s">
        <v>28</v>
      </c>
      <c r="G717" t="str">
        <f>"2026-04-20 15:36:33.123"</f>
        <v>2026-04-20 15:36:33.123</v>
      </c>
      <c r="H717" t="s">
        <v>29</v>
      </c>
      <c r="I717">
        <v>0</v>
      </c>
      <c r="J717" t="s">
        <v>25</v>
      </c>
    </row>
    <row r="718" spans="1:10" x14ac:dyDescent="0.25">
      <c r="A718" s="1">
        <v>13</v>
      </c>
      <c r="B718" t="s">
        <v>19</v>
      </c>
      <c r="C718">
        <v>700</v>
      </c>
      <c r="D718">
        <v>0</v>
      </c>
      <c r="E718" t="s">
        <v>20</v>
      </c>
      <c r="F718" t="s">
        <v>20</v>
      </c>
      <c r="G718" t="str">
        <f>"2026-04-20 15:31:30.309"</f>
        <v>2026-04-20 15:31:30.309</v>
      </c>
      <c r="H718" t="s">
        <v>21</v>
      </c>
      <c r="I718">
        <v>0</v>
      </c>
      <c r="J718" t="s">
        <v>22</v>
      </c>
    </row>
    <row r="719" spans="1:10" x14ac:dyDescent="0.25">
      <c r="A719" s="1">
        <v>14</v>
      </c>
      <c r="B719" t="s">
        <v>19</v>
      </c>
      <c r="C719">
        <v>700</v>
      </c>
      <c r="D719">
        <v>0</v>
      </c>
      <c r="E719" t="s">
        <v>20</v>
      </c>
      <c r="F719" t="s">
        <v>20</v>
      </c>
      <c r="G719" t="str">
        <f>"2026-04-20 07:07:53.296"</f>
        <v>2026-04-20 07:07:53.296</v>
      </c>
      <c r="H719" t="s">
        <v>21</v>
      </c>
      <c r="I719">
        <v>0</v>
      </c>
      <c r="J719" t="s">
        <v>22</v>
      </c>
    </row>
    <row r="720" spans="1:10" x14ac:dyDescent="0.25">
      <c r="A720" s="1">
        <v>15</v>
      </c>
      <c r="B720" t="s">
        <v>19</v>
      </c>
      <c r="C720">
        <v>706</v>
      </c>
      <c r="D720">
        <v>4</v>
      </c>
      <c r="E720" t="s">
        <v>23</v>
      </c>
      <c r="F720" t="s">
        <v>30</v>
      </c>
      <c r="G720" t="str">
        <f>"2026-04-20 07:06:06.393"</f>
        <v>2026-04-20 07:06:06.393</v>
      </c>
      <c r="H720" t="s">
        <v>21</v>
      </c>
      <c r="I720">
        <v>0</v>
      </c>
      <c r="J720" t="s">
        <v>25</v>
      </c>
    </row>
    <row r="721" spans="1:10" x14ac:dyDescent="0.25">
      <c r="A721" s="1">
        <v>16</v>
      </c>
      <c r="B721" t="s">
        <v>19</v>
      </c>
      <c r="C721">
        <v>700</v>
      </c>
      <c r="D721">
        <v>0</v>
      </c>
      <c r="E721" t="s">
        <v>20</v>
      </c>
      <c r="F721" t="s">
        <v>20</v>
      </c>
      <c r="G721" t="str">
        <f>"2026-04-19 20:23:53.453"</f>
        <v>2026-04-19 20:23:53.453</v>
      </c>
      <c r="H721" t="s">
        <v>21</v>
      </c>
      <c r="I721">
        <v>0</v>
      </c>
      <c r="J721" t="s">
        <v>22</v>
      </c>
    </row>
    <row r="722" spans="1:10" x14ac:dyDescent="0.25">
      <c r="A722" s="1">
        <v>17</v>
      </c>
      <c r="B722" t="s">
        <v>19</v>
      </c>
      <c r="C722">
        <v>700</v>
      </c>
      <c r="D722">
        <v>0</v>
      </c>
      <c r="E722" t="s">
        <v>20</v>
      </c>
      <c r="F722" t="s">
        <v>20</v>
      </c>
      <c r="G722" t="str">
        <f>"2026-04-19 09:27:20.253"</f>
        <v>2026-04-19 09:27:20.253</v>
      </c>
      <c r="H722" t="s">
        <v>21</v>
      </c>
      <c r="I722">
        <v>0</v>
      </c>
      <c r="J722" t="s">
        <v>22</v>
      </c>
    </row>
    <row r="723" spans="1:10" x14ac:dyDescent="0.25">
      <c r="A723" s="1">
        <v>18</v>
      </c>
      <c r="B723" t="s">
        <v>19</v>
      </c>
      <c r="C723">
        <v>700</v>
      </c>
      <c r="D723">
        <v>0</v>
      </c>
      <c r="E723" t="s">
        <v>20</v>
      </c>
      <c r="F723" t="s">
        <v>20</v>
      </c>
      <c r="G723" t="str">
        <f>"2026-04-19 09:24:04.251"</f>
        <v>2026-04-19 09:24:04.251</v>
      </c>
      <c r="H723" t="s">
        <v>21</v>
      </c>
      <c r="I723">
        <v>0</v>
      </c>
      <c r="J723" t="s">
        <v>22</v>
      </c>
    </row>
    <row r="724" spans="1:10" x14ac:dyDescent="0.25">
      <c r="A724" s="1">
        <v>19</v>
      </c>
      <c r="B724" t="s">
        <v>19</v>
      </c>
      <c r="C724">
        <v>706</v>
      </c>
      <c r="D724">
        <v>2</v>
      </c>
      <c r="E724" t="s">
        <v>23</v>
      </c>
      <c r="F724" t="s">
        <v>24</v>
      </c>
      <c r="G724" t="str">
        <f>"2026-04-18 18:28:52.738"</f>
        <v>2026-04-18 18:28:52.738</v>
      </c>
      <c r="H724" t="s">
        <v>21</v>
      </c>
      <c r="I724">
        <v>0</v>
      </c>
      <c r="J724" t="s">
        <v>25</v>
      </c>
    </row>
    <row r="725" spans="1:10" x14ac:dyDescent="0.25">
      <c r="A725" s="1">
        <v>20</v>
      </c>
      <c r="B725" t="s">
        <v>19</v>
      </c>
      <c r="C725">
        <v>700</v>
      </c>
      <c r="D725">
        <v>0</v>
      </c>
      <c r="E725" t="s">
        <v>20</v>
      </c>
      <c r="F725" t="s">
        <v>20</v>
      </c>
      <c r="G725" t="str">
        <f>"2026-04-18 18:28:38.208"</f>
        <v>2026-04-18 18:28:38.208</v>
      </c>
      <c r="H725" t="s">
        <v>21</v>
      </c>
      <c r="I725">
        <v>0</v>
      </c>
      <c r="J725" t="s">
        <v>22</v>
      </c>
    </row>
    <row r="726" spans="1:10" x14ac:dyDescent="0.25">
      <c r="A726" s="1">
        <v>21</v>
      </c>
      <c r="B726" t="s">
        <v>31</v>
      </c>
      <c r="C726">
        <v>630</v>
      </c>
      <c r="D726">
        <v>5</v>
      </c>
      <c r="E726" t="s">
        <v>27</v>
      </c>
      <c r="F726" t="s">
        <v>28</v>
      </c>
      <c r="G726" t="str">
        <f>"2026-04-18 17:28:38.984"</f>
        <v>2026-04-18 17:28:38.984</v>
      </c>
      <c r="H726" t="s">
        <v>29</v>
      </c>
      <c r="I726">
        <v>0</v>
      </c>
      <c r="J726" t="s">
        <v>25</v>
      </c>
    </row>
    <row r="727" spans="1:10" x14ac:dyDescent="0.25">
      <c r="A727" s="1">
        <v>22</v>
      </c>
      <c r="B727" t="s">
        <v>19</v>
      </c>
      <c r="C727">
        <v>700</v>
      </c>
      <c r="D727">
        <v>0</v>
      </c>
      <c r="E727" t="s">
        <v>20</v>
      </c>
      <c r="F727" t="s">
        <v>20</v>
      </c>
      <c r="G727" t="str">
        <f>"2026-04-18 17:23:36.222"</f>
        <v>2026-04-18 17:23:36.222</v>
      </c>
      <c r="H727" t="s">
        <v>21</v>
      </c>
      <c r="I727">
        <v>0</v>
      </c>
      <c r="J727" t="s">
        <v>22</v>
      </c>
    </row>
    <row r="728" spans="1:10" x14ac:dyDescent="0.25">
      <c r="A728" s="1">
        <v>23</v>
      </c>
      <c r="B728" t="s">
        <v>31</v>
      </c>
      <c r="C728">
        <v>630</v>
      </c>
      <c r="D728">
        <v>5</v>
      </c>
      <c r="E728" t="s">
        <v>27</v>
      </c>
      <c r="F728" t="s">
        <v>28</v>
      </c>
      <c r="G728" t="str">
        <f>"2026-04-18 17:16:31.751"</f>
        <v>2026-04-18 17:16:31.751</v>
      </c>
      <c r="H728" t="s">
        <v>29</v>
      </c>
      <c r="I728">
        <v>0</v>
      </c>
      <c r="J728" t="s">
        <v>25</v>
      </c>
    </row>
    <row r="729" spans="1:10" x14ac:dyDescent="0.25">
      <c r="A729" s="1">
        <v>24</v>
      </c>
      <c r="B729" t="s">
        <v>19</v>
      </c>
      <c r="C729">
        <v>706</v>
      </c>
      <c r="D729">
        <v>4</v>
      </c>
      <c r="E729" t="s">
        <v>23</v>
      </c>
      <c r="F729" t="s">
        <v>30</v>
      </c>
      <c r="G729" t="str">
        <f>"2026-04-18 12:20:37.330"</f>
        <v>2026-04-18 12:20:37.330</v>
      </c>
      <c r="H729" t="s">
        <v>21</v>
      </c>
      <c r="I729">
        <v>0</v>
      </c>
      <c r="J729" t="s">
        <v>25</v>
      </c>
    </row>
    <row r="730" spans="1:10" x14ac:dyDescent="0.25">
      <c r="A730" s="1">
        <v>25</v>
      </c>
      <c r="B730" t="s">
        <v>19</v>
      </c>
      <c r="C730">
        <v>706</v>
      </c>
      <c r="D730">
        <v>3</v>
      </c>
      <c r="E730" t="s">
        <v>23</v>
      </c>
      <c r="F730" t="s">
        <v>39</v>
      </c>
      <c r="G730" t="str">
        <f>"2026-04-18 12:20:16.040"</f>
        <v>2026-04-18 12:20:16.040</v>
      </c>
      <c r="H730" t="s">
        <v>21</v>
      </c>
      <c r="I730">
        <v>0</v>
      </c>
      <c r="J730" t="s">
        <v>25</v>
      </c>
    </row>
    <row r="731" spans="1:10" x14ac:dyDescent="0.25">
      <c r="A731" s="1">
        <v>26</v>
      </c>
      <c r="B731" t="s">
        <v>19</v>
      </c>
      <c r="C731">
        <v>700</v>
      </c>
      <c r="D731">
        <v>0</v>
      </c>
      <c r="E731" t="s">
        <v>20</v>
      </c>
      <c r="F731" t="s">
        <v>20</v>
      </c>
      <c r="G731" t="str">
        <f>"2026-04-18 10:13:41.120"</f>
        <v>2026-04-18 10:13:41.120</v>
      </c>
      <c r="H731" t="s">
        <v>21</v>
      </c>
    </row>
    <row r="732" spans="1:10" x14ac:dyDescent="0.25">
      <c r="A732" s="1">
        <v>27</v>
      </c>
      <c r="B732" t="s">
        <v>19</v>
      </c>
      <c r="C732">
        <v>706</v>
      </c>
      <c r="D732">
        <v>3</v>
      </c>
      <c r="E732" t="s">
        <v>23</v>
      </c>
      <c r="F732" t="s">
        <v>39</v>
      </c>
      <c r="G732" t="str">
        <f>"2026-04-18 10:11:43.366"</f>
        <v>2026-04-18 10:11:43.366</v>
      </c>
      <c r="H732" t="s">
        <v>21</v>
      </c>
      <c r="I732">
        <v>0</v>
      </c>
      <c r="J732" t="s">
        <v>25</v>
      </c>
    </row>
    <row r="733" spans="1:10" x14ac:dyDescent="0.25">
      <c r="A733" s="1">
        <v>28</v>
      </c>
      <c r="B733" t="s">
        <v>26</v>
      </c>
      <c r="C733">
        <v>630</v>
      </c>
      <c r="D733">
        <v>5</v>
      </c>
      <c r="E733" t="s">
        <v>27</v>
      </c>
      <c r="F733" t="s">
        <v>28</v>
      </c>
      <c r="G733" t="str">
        <f>"2026-04-18 09:58:32.994"</f>
        <v>2026-04-18 09:58:32.994</v>
      </c>
      <c r="H733" t="s">
        <v>29</v>
      </c>
    </row>
    <row r="734" spans="1:10" x14ac:dyDescent="0.25">
      <c r="A734" s="1">
        <v>29</v>
      </c>
      <c r="B734" t="s">
        <v>19</v>
      </c>
      <c r="C734">
        <v>706</v>
      </c>
      <c r="D734">
        <v>2</v>
      </c>
      <c r="E734" t="s">
        <v>23</v>
      </c>
      <c r="F734" t="s">
        <v>24</v>
      </c>
      <c r="G734" t="str">
        <f>"2026-04-18 09:58:02.856"</f>
        <v>2026-04-18 09:58:02.856</v>
      </c>
      <c r="H734" t="s">
        <v>21</v>
      </c>
      <c r="I734">
        <v>0</v>
      </c>
      <c r="J734" t="s">
        <v>25</v>
      </c>
    </row>
    <row r="735" spans="1:10" x14ac:dyDescent="0.25">
      <c r="A735" s="1">
        <v>30</v>
      </c>
      <c r="B735" t="s">
        <v>31</v>
      </c>
      <c r="C735">
        <v>630</v>
      </c>
      <c r="D735">
        <v>5</v>
      </c>
      <c r="E735" t="s">
        <v>27</v>
      </c>
      <c r="F735" t="s">
        <v>28</v>
      </c>
      <c r="G735" t="str">
        <f>"2026-04-18 09:45:23.795"</f>
        <v>2026-04-18 09:45:23.795</v>
      </c>
      <c r="H735" t="s">
        <v>29</v>
      </c>
      <c r="I735">
        <v>0</v>
      </c>
      <c r="J735" t="s">
        <v>25</v>
      </c>
    </row>
    <row r="736" spans="1:10" x14ac:dyDescent="0.25">
      <c r="A736" s="1">
        <v>31</v>
      </c>
      <c r="B736" t="s">
        <v>19</v>
      </c>
      <c r="C736">
        <v>700</v>
      </c>
      <c r="D736">
        <v>0</v>
      </c>
      <c r="E736" t="s">
        <v>20</v>
      </c>
      <c r="F736" t="s">
        <v>20</v>
      </c>
      <c r="G736" t="str">
        <f>"2026-04-18 09:40:21.106"</f>
        <v>2026-04-18 09:40:21.106</v>
      </c>
      <c r="H736" t="s">
        <v>21</v>
      </c>
      <c r="I736">
        <v>0</v>
      </c>
      <c r="J736" t="s">
        <v>22</v>
      </c>
    </row>
    <row r="737" spans="1:10" x14ac:dyDescent="0.25">
      <c r="A737" s="1">
        <v>32</v>
      </c>
      <c r="B737" t="s">
        <v>19</v>
      </c>
      <c r="C737">
        <v>700</v>
      </c>
      <c r="D737">
        <v>0</v>
      </c>
      <c r="E737" t="s">
        <v>20</v>
      </c>
      <c r="F737" t="s">
        <v>20</v>
      </c>
      <c r="G737" t="str">
        <f>"2026-04-18 09:30:02.109"</f>
        <v>2026-04-18 09:30:02.109</v>
      </c>
      <c r="H737" t="s">
        <v>21</v>
      </c>
    </row>
    <row r="738" spans="1:10" x14ac:dyDescent="0.25">
      <c r="A738" s="1">
        <v>33</v>
      </c>
      <c r="B738" t="s">
        <v>19</v>
      </c>
      <c r="C738">
        <v>706</v>
      </c>
      <c r="D738">
        <v>3</v>
      </c>
      <c r="E738" t="s">
        <v>23</v>
      </c>
      <c r="F738" t="s">
        <v>39</v>
      </c>
      <c r="G738" t="str">
        <f>"2026-04-18 09:26:19.594"</f>
        <v>2026-04-18 09:26:19.594</v>
      </c>
      <c r="H738" t="s">
        <v>21</v>
      </c>
      <c r="I738">
        <v>0</v>
      </c>
      <c r="J738" t="s">
        <v>25</v>
      </c>
    </row>
    <row r="739" spans="1:10" x14ac:dyDescent="0.25">
      <c r="A739" s="1">
        <v>34</v>
      </c>
      <c r="B739" t="s">
        <v>19</v>
      </c>
      <c r="C739">
        <v>706</v>
      </c>
      <c r="D739">
        <v>4</v>
      </c>
      <c r="E739" t="s">
        <v>23</v>
      </c>
      <c r="F739" t="s">
        <v>30</v>
      </c>
      <c r="G739" t="str">
        <f>"2026-04-18 09:24:44.414"</f>
        <v>2026-04-18 09:24:44.414</v>
      </c>
      <c r="H739" t="s">
        <v>21</v>
      </c>
      <c r="I739">
        <v>0</v>
      </c>
      <c r="J739" t="s">
        <v>25</v>
      </c>
    </row>
    <row r="740" spans="1:10" x14ac:dyDescent="0.25">
      <c r="A740" s="1">
        <v>37</v>
      </c>
      <c r="B740" t="s">
        <v>19</v>
      </c>
      <c r="C740">
        <v>782</v>
      </c>
      <c r="D740">
        <v>7</v>
      </c>
      <c r="E740" t="s">
        <v>52</v>
      </c>
      <c r="F740" t="s">
        <v>53</v>
      </c>
      <c r="G740" t="str">
        <f>"2026-04-18 09:24:25.987"</f>
        <v>2026-04-18 09:24:25.987</v>
      </c>
      <c r="H740" t="s">
        <v>21</v>
      </c>
      <c r="I740">
        <v>0</v>
      </c>
      <c r="J740" t="s">
        <v>25</v>
      </c>
    </row>
    <row r="741" spans="1:10" x14ac:dyDescent="0.25">
      <c r="A741" s="1">
        <v>40</v>
      </c>
      <c r="B741" t="s">
        <v>26</v>
      </c>
      <c r="C741">
        <v>12</v>
      </c>
      <c r="D741">
        <v>2</v>
      </c>
      <c r="E741" t="s">
        <v>54</v>
      </c>
      <c r="F741" t="s">
        <v>55</v>
      </c>
      <c r="G741" t="str">
        <f>"2026-04-18 09:24:25.983"</f>
        <v>2026-04-18 09:24:25.983</v>
      </c>
      <c r="H741" t="s">
        <v>21</v>
      </c>
    </row>
    <row r="742" spans="1:10" x14ac:dyDescent="0.25">
      <c r="A742" s="1">
        <v>41</v>
      </c>
      <c r="B742" t="s">
        <v>26</v>
      </c>
      <c r="C742">
        <v>12</v>
      </c>
      <c r="D742">
        <v>1</v>
      </c>
      <c r="E742" t="s">
        <v>54</v>
      </c>
      <c r="F742" t="s">
        <v>56</v>
      </c>
      <c r="G742" t="str">
        <f>"2026-04-18 09:24:25.982"</f>
        <v>2026-04-18 09:24:25.982</v>
      </c>
      <c r="H742" t="s">
        <v>21</v>
      </c>
    </row>
    <row r="743" spans="1:10" x14ac:dyDescent="0.25">
      <c r="A743" s="1">
        <v>42</v>
      </c>
      <c r="B743" t="s">
        <v>19</v>
      </c>
      <c r="C743">
        <v>782</v>
      </c>
      <c r="D743">
        <v>7</v>
      </c>
      <c r="E743" t="s">
        <v>52</v>
      </c>
      <c r="F743" t="s">
        <v>53</v>
      </c>
      <c r="G743" t="str">
        <f>"2026-04-18 09:24:25.981"</f>
        <v>2026-04-18 09:24:25.981</v>
      </c>
      <c r="H743" t="s">
        <v>21</v>
      </c>
      <c r="I743">
        <v>0</v>
      </c>
      <c r="J743" t="s">
        <v>25</v>
      </c>
    </row>
    <row r="744" spans="1:10" x14ac:dyDescent="0.25">
      <c r="A744" s="1">
        <v>43</v>
      </c>
      <c r="B744" t="s">
        <v>19</v>
      </c>
      <c r="C744">
        <v>700</v>
      </c>
      <c r="D744">
        <v>0</v>
      </c>
      <c r="E744" t="s">
        <v>20</v>
      </c>
      <c r="F744" t="s">
        <v>20</v>
      </c>
      <c r="G744" t="str">
        <f>"2026-04-18 09:23:28.114"</f>
        <v>2026-04-18 09:23:28.114</v>
      </c>
      <c r="H744" t="s">
        <v>21</v>
      </c>
      <c r="I744">
        <v>0</v>
      </c>
      <c r="J744" t="s">
        <v>22</v>
      </c>
    </row>
    <row r="745" spans="1:10" x14ac:dyDescent="0.25">
      <c r="A745" s="1">
        <v>44</v>
      </c>
      <c r="B745" t="s">
        <v>26</v>
      </c>
      <c r="C745">
        <v>650</v>
      </c>
      <c r="D745">
        <v>4</v>
      </c>
      <c r="E745" t="s">
        <v>57</v>
      </c>
      <c r="F745" t="s">
        <v>58</v>
      </c>
      <c r="G745" t="str">
        <f>"2026-04-18 09:22:15.335"</f>
        <v>2026-04-18 09:22:15.335</v>
      </c>
      <c r="H745" t="s">
        <v>21</v>
      </c>
    </row>
    <row r="746" spans="1:10" x14ac:dyDescent="0.25">
      <c r="A746" s="1">
        <v>45</v>
      </c>
      <c r="B746" t="s">
        <v>19</v>
      </c>
      <c r="C746">
        <v>719</v>
      </c>
      <c r="D746">
        <v>5</v>
      </c>
      <c r="E746" t="s">
        <v>59</v>
      </c>
      <c r="F746" t="s">
        <v>60</v>
      </c>
      <c r="G746" t="str">
        <f>"2026-04-18 09:21:30.828"</f>
        <v>2026-04-18 09:21:30.828</v>
      </c>
      <c r="H746" t="s">
        <v>21</v>
      </c>
      <c r="I746">
        <v>0</v>
      </c>
      <c r="J746" t="s">
        <v>25</v>
      </c>
    </row>
    <row r="747" spans="1:10" x14ac:dyDescent="0.25">
      <c r="A747" s="1">
        <v>46</v>
      </c>
      <c r="B747" t="s">
        <v>19</v>
      </c>
      <c r="C747">
        <v>719</v>
      </c>
      <c r="D747">
        <v>5</v>
      </c>
      <c r="E747" t="s">
        <v>59</v>
      </c>
      <c r="F747" t="s">
        <v>60</v>
      </c>
      <c r="G747" t="str">
        <f>"2026-04-18 09:21:30.349"</f>
        <v>2026-04-18 09:21:30.349</v>
      </c>
      <c r="H747" t="s">
        <v>21</v>
      </c>
      <c r="I747">
        <v>0</v>
      </c>
      <c r="J747" t="s">
        <v>25</v>
      </c>
    </row>
    <row r="748" spans="1:10" x14ac:dyDescent="0.25">
      <c r="A748" s="1">
        <v>47</v>
      </c>
      <c r="B748" t="s">
        <v>31</v>
      </c>
      <c r="C748">
        <v>630</v>
      </c>
      <c r="D748">
        <v>5</v>
      </c>
      <c r="E748" t="s">
        <v>27</v>
      </c>
      <c r="F748" t="s">
        <v>28</v>
      </c>
      <c r="G748" t="str">
        <f>"2026-04-18 06:06:30.837"</f>
        <v>2026-04-18 06:06:30.837</v>
      </c>
      <c r="H748" t="s">
        <v>29</v>
      </c>
      <c r="I748">
        <v>0</v>
      </c>
      <c r="J748" t="s">
        <v>25</v>
      </c>
    </row>
    <row r="749" spans="1:10" x14ac:dyDescent="0.25">
      <c r="A749" s="1">
        <v>48</v>
      </c>
      <c r="B749" t="s">
        <v>26</v>
      </c>
      <c r="C749">
        <v>98</v>
      </c>
      <c r="D749">
        <v>1</v>
      </c>
      <c r="E749" t="s">
        <v>50</v>
      </c>
      <c r="F749" t="s">
        <v>51</v>
      </c>
      <c r="G749" t="str">
        <f>"2026-04-18 06:06:19.828"</f>
        <v>2026-04-18 06:06:19.828</v>
      </c>
      <c r="H749" t="s">
        <v>21</v>
      </c>
    </row>
    <row r="750" spans="1:10" x14ac:dyDescent="0.25">
      <c r="A750" s="1">
        <v>49</v>
      </c>
      <c r="B750" t="s">
        <v>34</v>
      </c>
      <c r="C750">
        <v>98</v>
      </c>
      <c r="D750">
        <v>1</v>
      </c>
      <c r="E750" t="s">
        <v>50</v>
      </c>
      <c r="F750" t="s">
        <v>51</v>
      </c>
      <c r="G750" t="str">
        <f>"2026-04-18 06:06:18.729"</f>
        <v>2026-04-18 06:06:18.729</v>
      </c>
      <c r="H750" t="s">
        <v>21</v>
      </c>
      <c r="I750">
        <v>0</v>
      </c>
      <c r="J750" t="s">
        <v>25</v>
      </c>
    </row>
    <row r="751" spans="1:10" x14ac:dyDescent="0.25">
      <c r="A751" s="1">
        <v>50</v>
      </c>
      <c r="B751" t="s">
        <v>26</v>
      </c>
      <c r="C751">
        <v>98</v>
      </c>
      <c r="D751">
        <v>1</v>
      </c>
      <c r="E751" t="s">
        <v>50</v>
      </c>
      <c r="F751" t="s">
        <v>51</v>
      </c>
      <c r="G751" t="str">
        <f>"2026-04-18 06:06:16.628"</f>
        <v>2026-04-18 06:06:16.628</v>
      </c>
      <c r="H751" t="s">
        <v>21</v>
      </c>
    </row>
    <row r="752" spans="1:10" x14ac:dyDescent="0.25">
      <c r="A752" s="1">
        <v>51</v>
      </c>
      <c r="B752" t="s">
        <v>34</v>
      </c>
      <c r="C752">
        <v>98</v>
      </c>
      <c r="D752">
        <v>1</v>
      </c>
      <c r="E752" t="s">
        <v>50</v>
      </c>
      <c r="F752" t="s">
        <v>51</v>
      </c>
      <c r="G752" t="str">
        <f>"2026-04-18 06:06:15.529"</f>
        <v>2026-04-18 06:06:15.529</v>
      </c>
      <c r="H752" t="s">
        <v>21</v>
      </c>
      <c r="I752">
        <v>0</v>
      </c>
      <c r="J752" t="s">
        <v>25</v>
      </c>
    </row>
    <row r="753" spans="1:10" x14ac:dyDescent="0.25">
      <c r="A753" s="1">
        <v>52</v>
      </c>
      <c r="B753" t="s">
        <v>19</v>
      </c>
      <c r="C753">
        <v>700</v>
      </c>
      <c r="D753">
        <v>0</v>
      </c>
      <c r="E753" t="s">
        <v>20</v>
      </c>
      <c r="F753" t="s">
        <v>20</v>
      </c>
      <c r="G753" t="str">
        <f>"2026-04-18 06:01:28.109"</f>
        <v>2026-04-18 06:01:28.109</v>
      </c>
      <c r="H753" t="s">
        <v>21</v>
      </c>
      <c r="I753">
        <v>0</v>
      </c>
      <c r="J753" t="s">
        <v>22</v>
      </c>
    </row>
    <row r="754" spans="1:10" x14ac:dyDescent="0.25">
      <c r="A754" s="1">
        <v>55</v>
      </c>
      <c r="B754" t="s">
        <v>19</v>
      </c>
      <c r="C754">
        <v>753</v>
      </c>
      <c r="D754">
        <v>1</v>
      </c>
      <c r="E754" t="s">
        <v>61</v>
      </c>
      <c r="F754" t="s">
        <v>62</v>
      </c>
      <c r="G754" t="str">
        <f>"2026-04-18 05:56:20.602"</f>
        <v>2026-04-18 05:56:20.602</v>
      </c>
      <c r="H754" t="s">
        <v>21</v>
      </c>
      <c r="I754">
        <v>0</v>
      </c>
      <c r="J754" t="s">
        <v>25</v>
      </c>
    </row>
    <row r="755" spans="1:10" x14ac:dyDescent="0.25">
      <c r="A755" s="1">
        <v>56</v>
      </c>
      <c r="B755" t="s">
        <v>31</v>
      </c>
      <c r="C755">
        <v>641</v>
      </c>
      <c r="D755">
        <v>1</v>
      </c>
      <c r="E755" t="s">
        <v>63</v>
      </c>
      <c r="F755" t="s">
        <v>55</v>
      </c>
      <c r="G755" t="str">
        <f>"2026-04-18 05:56:13.368"</f>
        <v>2026-04-18 05:56:13.368</v>
      </c>
      <c r="H755" t="s">
        <v>21</v>
      </c>
      <c r="I755">
        <v>0</v>
      </c>
      <c r="J755" t="s">
        <v>25</v>
      </c>
    </row>
    <row r="756" spans="1:10" x14ac:dyDescent="0.25">
      <c r="A756" s="1">
        <v>57</v>
      </c>
      <c r="B756" t="s">
        <v>31</v>
      </c>
      <c r="C756">
        <v>640</v>
      </c>
      <c r="D756">
        <v>1</v>
      </c>
      <c r="E756" t="s">
        <v>64</v>
      </c>
      <c r="F756" t="s">
        <v>56</v>
      </c>
      <c r="G756" t="str">
        <f>"2026-04-18 05:56:13.333"</f>
        <v>2026-04-18 05:56:13.333</v>
      </c>
      <c r="H756" t="s">
        <v>65</v>
      </c>
      <c r="I756">
        <v>0</v>
      </c>
      <c r="J756" t="s">
        <v>25</v>
      </c>
    </row>
    <row r="757" spans="1:10" x14ac:dyDescent="0.25">
      <c r="A757" s="1">
        <v>58</v>
      </c>
      <c r="B757" t="s">
        <v>34</v>
      </c>
      <c r="C757">
        <v>12</v>
      </c>
      <c r="D757">
        <v>1</v>
      </c>
      <c r="E757" t="s">
        <v>54</v>
      </c>
      <c r="F757" t="s">
        <v>56</v>
      </c>
      <c r="G757" t="str">
        <f>"2026-04-18 05:56:07.153"</f>
        <v>2026-04-18 05:56:07.153</v>
      </c>
      <c r="H757" t="s">
        <v>21</v>
      </c>
      <c r="I757">
        <v>0</v>
      </c>
      <c r="J757" t="s">
        <v>66</v>
      </c>
    </row>
    <row r="758" spans="1:10" x14ac:dyDescent="0.25">
      <c r="A758" s="1">
        <v>59</v>
      </c>
      <c r="B758" t="s">
        <v>34</v>
      </c>
      <c r="C758">
        <v>12</v>
      </c>
      <c r="D758">
        <v>2</v>
      </c>
      <c r="E758" t="s">
        <v>54</v>
      </c>
      <c r="F758" t="s">
        <v>55</v>
      </c>
      <c r="G758" t="str">
        <f>"2026-04-18 05:56:07.053"</f>
        <v>2026-04-18 05:56:07.053</v>
      </c>
      <c r="H758" t="s">
        <v>21</v>
      </c>
      <c r="I758">
        <v>0</v>
      </c>
      <c r="J758" t="s">
        <v>66</v>
      </c>
    </row>
    <row r="759" spans="1:10" x14ac:dyDescent="0.25">
      <c r="A759" s="1">
        <v>60</v>
      </c>
      <c r="B759" t="s">
        <v>34</v>
      </c>
      <c r="C759">
        <v>650</v>
      </c>
      <c r="D759">
        <v>4</v>
      </c>
      <c r="E759" t="s">
        <v>57</v>
      </c>
      <c r="F759" t="s">
        <v>58</v>
      </c>
      <c r="G759" t="str">
        <f>"2026-04-18 05:56:05.754"</f>
        <v>2026-04-18 05:56:05.754</v>
      </c>
      <c r="H759" t="s">
        <v>21</v>
      </c>
      <c r="I759">
        <v>0</v>
      </c>
      <c r="J759" t="s">
        <v>22</v>
      </c>
    </row>
    <row r="760" spans="1:10" x14ac:dyDescent="0.25">
      <c r="A760" s="1">
        <v>61</v>
      </c>
      <c r="B760" t="s">
        <v>19</v>
      </c>
      <c r="C760">
        <v>700</v>
      </c>
      <c r="D760">
        <v>0</v>
      </c>
      <c r="E760" t="s">
        <v>20</v>
      </c>
      <c r="F760" t="s">
        <v>20</v>
      </c>
      <c r="G760" t="str">
        <f>"2026-04-18 05:56:03.102"</f>
        <v>2026-04-18 05:56:03.102</v>
      </c>
      <c r="H760" t="s">
        <v>21</v>
      </c>
      <c r="I760">
        <v>0</v>
      </c>
      <c r="J760" t="s">
        <v>22</v>
      </c>
    </row>
    <row r="761" spans="1:10" x14ac:dyDescent="0.25">
      <c r="A761" s="1">
        <v>62</v>
      </c>
      <c r="B761" t="s">
        <v>19</v>
      </c>
      <c r="C761">
        <v>739</v>
      </c>
      <c r="D761">
        <v>0</v>
      </c>
      <c r="E761" t="s">
        <v>67</v>
      </c>
      <c r="F761" t="s">
        <v>67</v>
      </c>
      <c r="G761" t="str">
        <f>"2026-01-22 10:33:41.403"</f>
        <v>2026-01-22 10:33:41.403</v>
      </c>
      <c r="H761" t="s">
        <v>21</v>
      </c>
    </row>
    <row r="762" spans="1:10" x14ac:dyDescent="0.25">
      <c r="A762" s="1">
        <v>63</v>
      </c>
      <c r="B762" t="s">
        <v>19</v>
      </c>
      <c r="C762">
        <v>757</v>
      </c>
      <c r="D762">
        <v>0</v>
      </c>
      <c r="E762" t="s">
        <v>68</v>
      </c>
      <c r="F762" t="s">
        <v>68</v>
      </c>
      <c r="G762" t="str">
        <f>"2026-01-22 10:33:41.121"</f>
        <v>2026-01-22 10:33:41.121</v>
      </c>
      <c r="H762" t="s">
        <v>21</v>
      </c>
    </row>
  </sheetData>
  <autoFilter ref="A9:J762" xr:uid="{2314D563-8502-4788-9D9D-3A0DBB1D9A49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6C19BD-92DC-4D0A-87F9-A191F6A5D8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events_ru_85_20260716-170529 46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2026-07-16T06:53:34Z</dcterms:modified>
</cp:coreProperties>
</file>
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D5C216D8-C240-4248-A50D-542037603B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3_20260512-210221 86" sheetId="2" r:id="rId1"/>
    <sheet name="Лист1" sheetId="1" r:id="rId2"/>
  </sheets>
  <definedNames>
    <definedName name="_xlnm._FilterDatabase" localSheetId="0" hidden="1">'events_ru_83_20260512-210221 86'!$A$9:$J$648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8A80AA-3350-4AB2-AA9D-56D2FECBA01B}" keepAlive="1" name="Запрос — events_ru_83_20260512-210221 863" description="Соединение с запросом &quot;events_ru_83_20260512-210221 863&quot; в книге." type="5" refreshedVersion="0" background="1">
    <dbPr connection="Provider=Microsoft.Mashup.OleDb.1;Data Source=$Workbook$;Location=&quot;events_ru_83_20260512-210221 863&quot;;Extended Properties=&quot;&quot;" command="SELECT * FROM [events_ru_83_20260512-210221 863]"/>
  </connection>
</connections>
</file>

<file path=xl/sharedStrings.xml><?xml version="1.0" encoding="utf-8"?>
<sst xmlns="http://schemas.openxmlformats.org/spreadsheetml/2006/main" count="2956" uniqueCount="66">
  <si>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</si>
  <si>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</si>
  <si>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</si>
  <si>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</si>
  <si>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</si>
  <si>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</si>
  <si>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</si>
  <si>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</si>
  <si>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</si>
  <si>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</si>
  <si>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</si>
  <si>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</si>
  <si>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</si>
  <si>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</si>
  <si>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</si>
  <si>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</si>
  <si>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</si>
  <si>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</si>
  <si>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</si>
  <si>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</si>
  <si>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Система в безопасном режиме</t>
  </si>
  <si>
    <t>Введен безопасный режим файловой системы - Низкий заряд батареи</t>
  </si>
  <si>
    <t>Неограничивающее событие</t>
  </si>
  <si>
    <t>Test</t>
  </si>
  <si>
    <t>--Включение питания системы--</t>
  </si>
  <si>
    <t>Null</t>
  </si>
  <si>
    <t>SRst</t>
  </si>
  <si>
    <t>Самосвал перегружен - NR</t>
  </si>
  <si>
    <t>Не доступно</t>
  </si>
  <si>
    <t>Log+</t>
  </si>
  <si>
    <t>Propel</t>
  </si>
  <si>
    <t>Ready</t>
  </si>
  <si>
    <t xml:space="preserve">Log </t>
  </si>
  <si>
    <t>TMC2 Плата ИНВ В/О [C666155]</t>
  </si>
  <si>
    <t>Монитор источника питания оптоволоконной платы</t>
  </si>
  <si>
    <t>Инв2 Выкл</t>
  </si>
  <si>
    <t>Retard</t>
  </si>
  <si>
    <t>TMC1 Плата ИНВ В/О [C666155]</t>
  </si>
  <si>
    <t>Инв1 Выкл</t>
  </si>
  <si>
    <t>Рабочий тормоз на ходу</t>
  </si>
  <si>
    <t>Рабочие тормоза использованы на ходу</t>
  </si>
  <si>
    <t>Вход в безопасный режим файловой системы - Запуск двигателя</t>
  </si>
  <si>
    <t>Команда сохранения данных PTU</t>
  </si>
  <si>
    <t>Инициированное водителем сохранение данных</t>
  </si>
  <si>
    <t>Вход в безопасный режим файловой системы - Ключ или CPS</t>
  </si>
  <si>
    <t>Превышении скорости</t>
  </si>
  <si>
    <t>Управление скоростью - превышение</t>
  </si>
  <si>
    <t>Получено предупреждение ДВС</t>
  </si>
  <si>
    <t>Запрет тяги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</si>
  <si>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</si>
  <si>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</si>
  <si>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</si>
  <si>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</si>
  <si>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Rest</t>
  </si>
  <si>
    <t>Останов ДВС во время движения</t>
  </si>
  <si>
    <t>Установка часов реального времени</t>
  </si>
  <si>
    <t>через WebPTU</t>
  </si>
  <si>
    <t>Reset All Faults</t>
  </si>
  <si>
    <t>Zero</t>
  </si>
  <si>
    <t>Отказ педали ретардера</t>
  </si>
  <si>
    <t>Слишком низкое напряжение</t>
  </si>
  <si>
    <t>Слишком высокое напряжение</t>
  </si>
  <si>
    <t>Нужна калибровка педали</t>
  </si>
  <si>
    <t>Нужна калибровка запуска</t>
  </si>
  <si>
    <t>Педаль акслератора вне пределов - низкий уровень</t>
  </si>
  <si>
    <t>Педаль акслератора вне пределов - высокий уровень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</si>
</sst>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6EE2-EA53-4331-8939-A1AAEA76F654}">
  <dimension ref="A1:J648"/>
  <sheetViews>
    <sheetView tabSelected="1" workbookViewId="0">
      <selection activeCell="D39" sqref="D39"/>
    </sheetView>
  </sheetViews>
  <sheetFormatPr defaultRowHeight="15" x14ac:dyDescent="0.25"/>
  <cols>
    <col min="1" max="1" width="16" bestFit="1" customWidth="1"/>
    <col min="5" max="5" width="33.140625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83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"2026-05-12 21:02:21.863"</f>
        <v>2026-05-12 21:02:21.863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706</v>
      </c>
      <c r="D10">
        <v>4</v>
      </c>
      <c r="E10" t="s">
        <v>20</v>
      </c>
      <c r="F10" t="s">
        <v>21</v>
      </c>
      <c r="G10" t="str">
        <f>"2026-05-12 21:00:54.991"</f>
        <v>2026-05-12 21:00:54.991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24</v>
      </c>
      <c r="F11" t="s">
        <v>24</v>
      </c>
      <c r="G11" t="str">
        <f>"2026-05-11 22:23:10.511"</f>
        <v>2026-05-11 22:23:10.511</v>
      </c>
      <c r="H11" t="s">
        <v>22</v>
      </c>
      <c r="I11">
        <v>0</v>
      </c>
      <c r="J11" t="s">
        <v>25</v>
      </c>
    </row>
    <row r="12" spans="1:10" x14ac:dyDescent="0.25">
      <c r="A12" s="1"/>
      <c r="B12" t="s">
        <v>26</v>
      </c>
      <c r="C12">
        <v>635</v>
      </c>
      <c r="D12">
        <v>1</v>
      </c>
      <c r="E12" t="s">
        <v>27</v>
      </c>
      <c r="F12" t="s">
        <v>28</v>
      </c>
      <c r="G12" t="str">
        <f>"2026-05-11 01:12:04.872"</f>
        <v>2026-05-11 01:12:04.872</v>
      </c>
      <c r="H12" t="s">
        <v>22</v>
      </c>
    </row>
    <row r="13" spans="1:10" x14ac:dyDescent="0.25">
      <c r="A13" s="1"/>
      <c r="B13" t="s">
        <v>29</v>
      </c>
      <c r="C13">
        <v>635</v>
      </c>
      <c r="D13">
        <v>1</v>
      </c>
      <c r="E13" t="s">
        <v>27</v>
      </c>
      <c r="F13" t="s">
        <v>28</v>
      </c>
      <c r="G13" t="str">
        <f>"2026-05-11 01:08:05.972"</f>
        <v>2026-05-11 01:08:05.972</v>
      </c>
      <c r="H13" t="s">
        <v>22</v>
      </c>
      <c r="I13">
        <v>6.26</v>
      </c>
      <c r="J13" t="s">
        <v>30</v>
      </c>
    </row>
    <row r="14" spans="1:10" x14ac:dyDescent="0.25">
      <c r="A14" s="1"/>
      <c r="B14" t="s">
        <v>26</v>
      </c>
      <c r="C14">
        <v>635</v>
      </c>
      <c r="D14">
        <v>1</v>
      </c>
      <c r="E14" t="s">
        <v>27</v>
      </c>
      <c r="F14" t="s">
        <v>28</v>
      </c>
      <c r="G14" t="str">
        <f>"2026-05-10 09:35:26.572"</f>
        <v>2026-05-10 09:35:26.572</v>
      </c>
      <c r="H14" t="s">
        <v>22</v>
      </c>
    </row>
    <row r="15" spans="1:10" x14ac:dyDescent="0.25">
      <c r="A15" s="1"/>
      <c r="B15" t="s">
        <v>29</v>
      </c>
      <c r="C15">
        <v>635</v>
      </c>
      <c r="D15">
        <v>1</v>
      </c>
      <c r="E15" t="s">
        <v>27</v>
      </c>
      <c r="F15" t="s">
        <v>28</v>
      </c>
      <c r="G15" t="str">
        <f>"2026-05-10 09:28:44.572"</f>
        <v>2026-05-10 09:28:44.572</v>
      </c>
      <c r="H15" t="s">
        <v>22</v>
      </c>
      <c r="I15">
        <v>4.67</v>
      </c>
      <c r="J15" t="s">
        <v>31</v>
      </c>
    </row>
    <row r="16" spans="1:10" x14ac:dyDescent="0.25">
      <c r="A16" s="1"/>
      <c r="B16" t="s">
        <v>19</v>
      </c>
      <c r="C16">
        <v>706</v>
      </c>
      <c r="D16">
        <v>4</v>
      </c>
      <c r="E16" t="s">
        <v>20</v>
      </c>
      <c r="F16" t="s">
        <v>21</v>
      </c>
      <c r="G16" t="str">
        <f>"2026-05-09 13:41:30.275"</f>
        <v>2026-05-09 13:41:30.275</v>
      </c>
      <c r="H16" t="s">
        <v>22</v>
      </c>
      <c r="I16">
        <v>0</v>
      </c>
      <c r="J16" t="s">
        <v>23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24</v>
      </c>
      <c r="F17" t="s">
        <v>24</v>
      </c>
      <c r="G17" t="str">
        <f>"2026-05-09 13:40:36.515"</f>
        <v>2026-05-09 13:40:36.515</v>
      </c>
      <c r="H17" t="s">
        <v>22</v>
      </c>
    </row>
    <row r="18" spans="1:10" x14ac:dyDescent="0.25">
      <c r="A18" s="1"/>
      <c r="B18" t="s">
        <v>26</v>
      </c>
      <c r="C18">
        <v>635</v>
      </c>
      <c r="D18">
        <v>1</v>
      </c>
      <c r="E18" t="s">
        <v>27</v>
      </c>
      <c r="F18" t="s">
        <v>28</v>
      </c>
      <c r="G18" t="str">
        <f>"2026-05-08 21:01:26.315"</f>
        <v>2026-05-08 21:01:26.315</v>
      </c>
      <c r="H18" t="s">
        <v>22</v>
      </c>
    </row>
    <row r="19" spans="1:10" x14ac:dyDescent="0.25">
      <c r="A19" s="1"/>
      <c r="B19" t="s">
        <v>29</v>
      </c>
      <c r="C19">
        <v>635</v>
      </c>
      <c r="D19">
        <v>1</v>
      </c>
      <c r="E19" t="s">
        <v>27</v>
      </c>
      <c r="F19" t="s">
        <v>28</v>
      </c>
      <c r="G19" t="str">
        <f>"2026-05-08 20:54:24.315"</f>
        <v>2026-05-08 20:54:24.315</v>
      </c>
      <c r="H19" t="s">
        <v>22</v>
      </c>
      <c r="I19">
        <v>1.17</v>
      </c>
      <c r="J19" t="s">
        <v>31</v>
      </c>
    </row>
    <row r="20" spans="1:10" x14ac:dyDescent="0.25">
      <c r="A20" s="1">
        <v>0</v>
      </c>
      <c r="B20" t="s">
        <v>26</v>
      </c>
      <c r="C20">
        <v>635</v>
      </c>
      <c r="D20">
        <v>1</v>
      </c>
      <c r="E20" t="s">
        <v>27</v>
      </c>
      <c r="F20" t="s">
        <v>28</v>
      </c>
      <c r="G20" t="str">
        <f>"2026-05-07 09:44:56.315"</f>
        <v>2026-05-07 09:44:56.315</v>
      </c>
      <c r="H20" t="s">
        <v>22</v>
      </c>
    </row>
    <row r="21" spans="1:10" x14ac:dyDescent="0.25">
      <c r="A21" s="1">
        <v>1</v>
      </c>
      <c r="B21" t="s">
        <v>29</v>
      </c>
      <c r="C21">
        <v>635</v>
      </c>
      <c r="D21">
        <v>1</v>
      </c>
      <c r="E21" t="s">
        <v>27</v>
      </c>
      <c r="F21" t="s">
        <v>28</v>
      </c>
      <c r="G21" t="str">
        <f>"2026-05-07 09:38:49.815"</f>
        <v>2026-05-07 09:38:49.815</v>
      </c>
      <c r="H21" t="s">
        <v>22</v>
      </c>
      <c r="I21">
        <v>2.58</v>
      </c>
      <c r="J21" t="s">
        <v>30</v>
      </c>
    </row>
    <row r="22" spans="1:10" x14ac:dyDescent="0.25">
      <c r="A22" s="1">
        <v>2</v>
      </c>
      <c r="B22" t="s">
        <v>19</v>
      </c>
      <c r="C22">
        <v>700</v>
      </c>
      <c r="D22">
        <v>0</v>
      </c>
      <c r="E22" t="s">
        <v>24</v>
      </c>
      <c r="F22" t="s">
        <v>24</v>
      </c>
      <c r="G22" t="str">
        <f>"2026-05-04 21:25:53.535"</f>
        <v>2026-05-04 21:25:53.535</v>
      </c>
      <c r="H22" t="s">
        <v>22</v>
      </c>
    </row>
    <row r="23" spans="1:10" x14ac:dyDescent="0.25">
      <c r="A23" s="1">
        <v>3</v>
      </c>
      <c r="B23" t="s">
        <v>19</v>
      </c>
      <c r="C23">
        <v>706</v>
      </c>
      <c r="D23">
        <v>4</v>
      </c>
      <c r="E23" t="s">
        <v>20</v>
      </c>
      <c r="F23" t="s">
        <v>21</v>
      </c>
      <c r="G23" t="str">
        <f>"2026-05-04 16:57:37.729"</f>
        <v>2026-05-04 16:57:37.729</v>
      </c>
      <c r="H23" t="s">
        <v>22</v>
      </c>
      <c r="I23">
        <v>0</v>
      </c>
      <c r="J23" t="s">
        <v>23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24</v>
      </c>
      <c r="F24" t="s">
        <v>24</v>
      </c>
      <c r="G24" t="str">
        <f>"2026-05-04 16:55:16.499"</f>
        <v>2026-05-04 16:55:16.499</v>
      </c>
      <c r="H24" t="s">
        <v>22</v>
      </c>
      <c r="I24">
        <v>0</v>
      </c>
      <c r="J24" t="s">
        <v>25</v>
      </c>
    </row>
    <row r="25" spans="1:10" x14ac:dyDescent="0.25">
      <c r="A25" s="1">
        <v>5</v>
      </c>
      <c r="B25" t="s">
        <v>32</v>
      </c>
      <c r="C25">
        <v>204</v>
      </c>
      <c r="D25">
        <v>1</v>
      </c>
      <c r="E25" t="s">
        <v>33</v>
      </c>
      <c r="F25" t="s">
        <v>34</v>
      </c>
      <c r="G25" t="str">
        <f>"2026-05-04 14:16:11.197"</f>
        <v>2026-05-04 14:16:11.197</v>
      </c>
      <c r="H25" t="s">
        <v>35</v>
      </c>
      <c r="I25">
        <v>16.61</v>
      </c>
      <c r="J25" t="s">
        <v>36</v>
      </c>
    </row>
    <row r="26" spans="1:10" x14ac:dyDescent="0.25">
      <c r="A26" s="1">
        <v>6</v>
      </c>
      <c r="B26" t="s">
        <v>32</v>
      </c>
      <c r="C26">
        <v>104</v>
      </c>
      <c r="D26">
        <v>1</v>
      </c>
      <c r="E26" t="s">
        <v>37</v>
      </c>
      <c r="F26" t="s">
        <v>34</v>
      </c>
      <c r="G26" t="str">
        <f>"2026-05-04 14:16:11.191"</f>
        <v>2026-05-04 14:16:11.191</v>
      </c>
      <c r="H26" t="s">
        <v>38</v>
      </c>
      <c r="I26">
        <v>16.61</v>
      </c>
      <c r="J26" t="s">
        <v>36</v>
      </c>
    </row>
    <row r="27" spans="1:10" x14ac:dyDescent="0.25">
      <c r="A27" s="1">
        <v>7</v>
      </c>
      <c r="B27" t="s">
        <v>26</v>
      </c>
      <c r="C27">
        <v>635</v>
      </c>
      <c r="D27">
        <v>1</v>
      </c>
      <c r="E27" t="s">
        <v>27</v>
      </c>
      <c r="F27" t="s">
        <v>28</v>
      </c>
      <c r="G27" t="str">
        <f>"2026-05-04 11:21:56.055"</f>
        <v>2026-05-04 11:21:56.055</v>
      </c>
      <c r="H27" t="s">
        <v>22</v>
      </c>
    </row>
    <row r="28" spans="1:10" x14ac:dyDescent="0.25">
      <c r="A28" s="1">
        <v>8</v>
      </c>
      <c r="B28" t="s">
        <v>29</v>
      </c>
      <c r="C28">
        <v>635</v>
      </c>
      <c r="D28">
        <v>1</v>
      </c>
      <c r="E28" t="s">
        <v>27</v>
      </c>
      <c r="F28" t="s">
        <v>28</v>
      </c>
      <c r="G28" t="str">
        <f>"2026-05-04 11:17:45.055"</f>
        <v>2026-05-04 11:17:45.055</v>
      </c>
      <c r="H28" t="s">
        <v>22</v>
      </c>
      <c r="I28">
        <v>3.25</v>
      </c>
      <c r="J28" t="s">
        <v>31</v>
      </c>
    </row>
    <row r="29" spans="1:10" x14ac:dyDescent="0.25">
      <c r="A29" s="1">
        <v>9</v>
      </c>
      <c r="B29" t="s">
        <v>19</v>
      </c>
      <c r="C29">
        <v>700</v>
      </c>
      <c r="D29">
        <v>0</v>
      </c>
      <c r="E29" t="s">
        <v>24</v>
      </c>
      <c r="F29" t="s">
        <v>24</v>
      </c>
      <c r="G29" t="str">
        <f>"2026-05-04 09:01:09.538"</f>
        <v>2026-05-04 09:01:09.538</v>
      </c>
      <c r="H29" t="s">
        <v>22</v>
      </c>
      <c r="I29">
        <v>0</v>
      </c>
      <c r="J29" t="s">
        <v>25</v>
      </c>
    </row>
    <row r="30" spans="1:10" x14ac:dyDescent="0.25">
      <c r="A30" s="1">
        <v>0</v>
      </c>
      <c r="B30" t="s">
        <v>26</v>
      </c>
      <c r="C30">
        <v>635</v>
      </c>
      <c r="D30">
        <v>1</v>
      </c>
      <c r="E30" t="s">
        <v>27</v>
      </c>
      <c r="F30" t="s">
        <v>28</v>
      </c>
      <c r="G30" t="str">
        <f>"2026-05-04 03:20:04.153"</f>
        <v>2026-05-04 03:20:04.153</v>
      </c>
      <c r="H30" t="s">
        <v>22</v>
      </c>
    </row>
    <row r="31" spans="1:10" x14ac:dyDescent="0.25">
      <c r="A31" s="1">
        <v>1</v>
      </c>
      <c r="B31" t="s">
        <v>29</v>
      </c>
      <c r="C31">
        <v>635</v>
      </c>
      <c r="D31">
        <v>1</v>
      </c>
      <c r="E31" t="s">
        <v>27</v>
      </c>
      <c r="F31" t="s">
        <v>28</v>
      </c>
      <c r="G31" t="str">
        <f>"2026-05-04 03:06:50.153"</f>
        <v>2026-05-04 03:06:50.153</v>
      </c>
      <c r="H31" t="s">
        <v>22</v>
      </c>
      <c r="I31">
        <v>9.68</v>
      </c>
      <c r="J31" t="s">
        <v>36</v>
      </c>
    </row>
    <row r="32" spans="1:10" x14ac:dyDescent="0.25">
      <c r="A32" s="1">
        <v>2</v>
      </c>
      <c r="B32" t="s">
        <v>19</v>
      </c>
      <c r="C32">
        <v>700</v>
      </c>
      <c r="D32">
        <v>0</v>
      </c>
      <c r="E32" t="s">
        <v>24</v>
      </c>
      <c r="F32" t="s">
        <v>24</v>
      </c>
      <c r="G32" t="str">
        <f>"2026-05-03 13:54:17.536"</f>
        <v>2026-05-03 13:54:17.536</v>
      </c>
      <c r="H32" t="s">
        <v>22</v>
      </c>
      <c r="I32">
        <v>0</v>
      </c>
      <c r="J32" t="s">
        <v>25</v>
      </c>
    </row>
    <row r="33" spans="1:10" x14ac:dyDescent="0.25">
      <c r="A33" s="1">
        <v>3</v>
      </c>
      <c r="B33" t="s">
        <v>19</v>
      </c>
      <c r="C33">
        <v>700</v>
      </c>
      <c r="D33">
        <v>0</v>
      </c>
      <c r="E33" t="s">
        <v>24</v>
      </c>
      <c r="F33" t="s">
        <v>24</v>
      </c>
      <c r="G33" t="str">
        <f>"2026-05-02 05:31:40.664"</f>
        <v>2026-05-02 05:31:40.664</v>
      </c>
      <c r="H33" t="s">
        <v>22</v>
      </c>
      <c r="I33">
        <v>0</v>
      </c>
      <c r="J33" t="s">
        <v>25</v>
      </c>
    </row>
    <row r="34" spans="1:10" x14ac:dyDescent="0.25">
      <c r="A34" s="1">
        <v>4</v>
      </c>
      <c r="B34" t="s">
        <v>19</v>
      </c>
      <c r="C34">
        <v>706</v>
      </c>
      <c r="D34">
        <v>4</v>
      </c>
      <c r="E34" t="s">
        <v>20</v>
      </c>
      <c r="F34" t="s">
        <v>21</v>
      </c>
      <c r="G34" t="str">
        <f>"2026-05-02 05:08:53.247"</f>
        <v>2026-05-02 05:08:53.247</v>
      </c>
      <c r="H34" t="s">
        <v>22</v>
      </c>
      <c r="I34">
        <v>0</v>
      </c>
      <c r="J34" t="s">
        <v>23</v>
      </c>
    </row>
    <row r="35" spans="1:10" x14ac:dyDescent="0.25">
      <c r="A35" s="1">
        <v>5</v>
      </c>
      <c r="B35" t="s">
        <v>19</v>
      </c>
      <c r="C35">
        <v>700</v>
      </c>
      <c r="D35">
        <v>0</v>
      </c>
      <c r="E35" t="s">
        <v>24</v>
      </c>
      <c r="F35" t="s">
        <v>24</v>
      </c>
      <c r="G35" t="str">
        <f>"2026-05-02 05:01:59.497"</f>
        <v>2026-05-02 05:01:59.497</v>
      </c>
      <c r="H35" t="s">
        <v>22</v>
      </c>
      <c r="I35">
        <v>0</v>
      </c>
      <c r="J35" t="s">
        <v>25</v>
      </c>
    </row>
    <row r="36" spans="1:10" x14ac:dyDescent="0.25">
      <c r="A36" s="1">
        <v>6</v>
      </c>
      <c r="B36" t="s">
        <v>19</v>
      </c>
      <c r="C36">
        <v>700</v>
      </c>
      <c r="D36">
        <v>0</v>
      </c>
      <c r="E36" t="s">
        <v>24</v>
      </c>
      <c r="F36" t="s">
        <v>24</v>
      </c>
      <c r="G36" t="str">
        <f>"2026-05-02 02:43:40.572"</f>
        <v>2026-05-02 02:43:40.572</v>
      </c>
      <c r="H36" t="s">
        <v>22</v>
      </c>
    </row>
    <row r="37" spans="1:10" x14ac:dyDescent="0.25">
      <c r="A37" s="1">
        <v>7</v>
      </c>
      <c r="B37" t="s">
        <v>19</v>
      </c>
      <c r="C37">
        <v>700</v>
      </c>
      <c r="D37">
        <v>0</v>
      </c>
      <c r="E37" t="s">
        <v>24</v>
      </c>
      <c r="F37" t="s">
        <v>24</v>
      </c>
      <c r="G37" t="str">
        <f>"2026-05-02 02:37:09.553"</f>
        <v>2026-05-02 02:37:09.553</v>
      </c>
      <c r="H37" t="s">
        <v>22</v>
      </c>
    </row>
    <row r="38" spans="1:10" s="3" customFormat="1" x14ac:dyDescent="0.25">
      <c r="A38" s="2">
        <v>8</v>
      </c>
      <c r="B38" s="3" t="s">
        <v>26</v>
      </c>
      <c r="C38" s="3">
        <v>647</v>
      </c>
      <c r="D38" s="3">
        <v>1</v>
      </c>
      <c r="E38" s="3" t="s">
        <v>39</v>
      </c>
      <c r="F38" s="3" t="s">
        <v>40</v>
      </c>
      <c r="G38" s="3" t="str">
        <f>"2026-05-01 23:38:07.889"</f>
        <v>2026-05-01 23:38:07.889</v>
      </c>
      <c r="H38" s="3" t="s">
        <v>22</v>
      </c>
    </row>
    <row r="39" spans="1:10" s="3" customFormat="1" x14ac:dyDescent="0.25">
      <c r="A39" s="2">
        <v>9</v>
      </c>
      <c r="B39" s="3" t="s">
        <v>29</v>
      </c>
      <c r="C39" s="3">
        <v>647</v>
      </c>
      <c r="D39" s="3">
        <v>1</v>
      </c>
      <c r="E39" s="3" t="s">
        <v>39</v>
      </c>
      <c r="F39" s="3" t="s">
        <v>40</v>
      </c>
      <c r="G39" s="3" t="str">
        <f>"2026-05-01 23:38:06.189"</f>
        <v>2026-05-01 23:38:06.189</v>
      </c>
      <c r="H39" s="3" t="s">
        <v>22</v>
      </c>
      <c r="I39" s="3">
        <v>9.75</v>
      </c>
      <c r="J39" s="3" t="s">
        <v>36</v>
      </c>
    </row>
    <row r="40" spans="1:10" s="3" customFormat="1" x14ac:dyDescent="0.25">
      <c r="A40" s="2">
        <v>1</v>
      </c>
      <c r="B40" s="3" t="s">
        <v>26</v>
      </c>
      <c r="C40" s="3">
        <v>647</v>
      </c>
      <c r="D40" s="3">
        <v>1</v>
      </c>
      <c r="E40" s="3" t="s">
        <v>39</v>
      </c>
      <c r="F40" s="3" t="s">
        <v>40</v>
      </c>
      <c r="G40" s="3" t="str">
        <f>"2026-05-01 20:32:03.189"</f>
        <v>2026-05-01 20:32:03.189</v>
      </c>
      <c r="H40" s="3" t="s">
        <v>22</v>
      </c>
    </row>
    <row r="41" spans="1:10" s="3" customFormat="1" x14ac:dyDescent="0.25">
      <c r="A41" s="2">
        <v>2</v>
      </c>
      <c r="B41" s="3" t="s">
        <v>29</v>
      </c>
      <c r="C41" s="3">
        <v>647</v>
      </c>
      <c r="D41" s="3">
        <v>1</v>
      </c>
      <c r="E41" s="3" t="s">
        <v>39</v>
      </c>
      <c r="F41" s="3" t="s">
        <v>40</v>
      </c>
      <c r="G41" s="3" t="str">
        <f>"2026-05-01 20:32:00.289"</f>
        <v>2026-05-01 20:32:00.289</v>
      </c>
      <c r="H41" s="3" t="s">
        <v>22</v>
      </c>
      <c r="I41" s="3">
        <v>10.27</v>
      </c>
      <c r="J41" s="3" t="s">
        <v>36</v>
      </c>
    </row>
    <row r="42" spans="1:10" x14ac:dyDescent="0.25">
      <c r="A42" s="1">
        <v>3</v>
      </c>
      <c r="B42" t="s">
        <v>19</v>
      </c>
      <c r="C42">
        <v>700</v>
      </c>
      <c r="D42">
        <v>0</v>
      </c>
      <c r="E42" t="s">
        <v>24</v>
      </c>
      <c r="F42" t="s">
        <v>24</v>
      </c>
      <c r="G42" t="str">
        <f>"2026-05-01 20:12:42.497"</f>
        <v>2026-05-01 20:12:42.497</v>
      </c>
      <c r="H42" t="s">
        <v>22</v>
      </c>
      <c r="I42">
        <v>0</v>
      </c>
      <c r="J42" t="s">
        <v>25</v>
      </c>
    </row>
    <row r="43" spans="1:10" x14ac:dyDescent="0.25">
      <c r="A43" s="1">
        <v>4</v>
      </c>
      <c r="B43" t="s">
        <v>19</v>
      </c>
      <c r="C43">
        <v>700</v>
      </c>
      <c r="D43">
        <v>0</v>
      </c>
      <c r="E43" t="s">
        <v>24</v>
      </c>
      <c r="F43" t="s">
        <v>24</v>
      </c>
      <c r="G43" t="str">
        <f>"2026-05-01 19:50:02.492"</f>
        <v>2026-05-01 19:50:02.492</v>
      </c>
      <c r="H43" t="s">
        <v>22</v>
      </c>
      <c r="I43">
        <v>0</v>
      </c>
      <c r="J43" t="s">
        <v>25</v>
      </c>
    </row>
    <row r="44" spans="1:10" x14ac:dyDescent="0.25">
      <c r="A44" s="1">
        <v>5</v>
      </c>
      <c r="B44" t="s">
        <v>19</v>
      </c>
      <c r="C44">
        <v>706</v>
      </c>
      <c r="D44">
        <v>2</v>
      </c>
      <c r="E44" t="s">
        <v>20</v>
      </c>
      <c r="F44" t="s">
        <v>41</v>
      </c>
      <c r="G44" t="str">
        <f>"2026-05-01 17:17:40.708"</f>
        <v>2026-05-01 17:17:40.708</v>
      </c>
      <c r="H44" t="s">
        <v>22</v>
      </c>
      <c r="I44">
        <v>0</v>
      </c>
      <c r="J44" t="s">
        <v>23</v>
      </c>
    </row>
    <row r="45" spans="1:10" x14ac:dyDescent="0.25">
      <c r="A45" s="1">
        <v>6</v>
      </c>
      <c r="B45" t="s">
        <v>19</v>
      </c>
      <c r="C45">
        <v>700</v>
      </c>
      <c r="D45">
        <v>0</v>
      </c>
      <c r="E45" t="s">
        <v>24</v>
      </c>
      <c r="F45" t="s">
        <v>24</v>
      </c>
      <c r="G45" t="str">
        <f>"2026-05-01 17:17:18.698"</f>
        <v>2026-05-01 17:17:18.698</v>
      </c>
      <c r="H45" t="s">
        <v>22</v>
      </c>
    </row>
    <row r="46" spans="1:10" x14ac:dyDescent="0.25">
      <c r="A46" s="1">
        <v>7</v>
      </c>
      <c r="B46" t="s">
        <v>19</v>
      </c>
      <c r="C46">
        <v>700</v>
      </c>
      <c r="D46">
        <v>0</v>
      </c>
      <c r="E46" t="s">
        <v>24</v>
      </c>
      <c r="F46" t="s">
        <v>24</v>
      </c>
      <c r="G46" t="str">
        <f>"2026-05-01 16:32:54.500"</f>
        <v>2026-05-01 16:32:54.500</v>
      </c>
      <c r="H46" t="s">
        <v>22</v>
      </c>
    </row>
    <row r="47" spans="1:10" x14ac:dyDescent="0.25">
      <c r="A47" s="1">
        <v>8</v>
      </c>
      <c r="B47" t="s">
        <v>19</v>
      </c>
      <c r="C47">
        <v>700</v>
      </c>
      <c r="D47">
        <v>0</v>
      </c>
      <c r="E47" t="s">
        <v>24</v>
      </c>
      <c r="F47" t="s">
        <v>24</v>
      </c>
      <c r="G47" t="str">
        <f>"2026-05-01 14:55:08.499"</f>
        <v>2026-05-01 14:55:08.499</v>
      </c>
      <c r="H47" t="s">
        <v>22</v>
      </c>
    </row>
    <row r="48" spans="1:10" x14ac:dyDescent="0.25">
      <c r="A48" s="1">
        <v>9</v>
      </c>
      <c r="B48" t="s">
        <v>19</v>
      </c>
      <c r="C48">
        <v>706</v>
      </c>
      <c r="D48">
        <v>4</v>
      </c>
      <c r="E48" t="s">
        <v>20</v>
      </c>
      <c r="F48" t="s">
        <v>21</v>
      </c>
      <c r="G48" t="str">
        <f>"2026-05-01 14:02:36.050"</f>
        <v>2026-05-01 14:02:36.050</v>
      </c>
      <c r="H48" t="s">
        <v>22</v>
      </c>
      <c r="I48">
        <v>0</v>
      </c>
      <c r="J48" t="s">
        <v>23</v>
      </c>
    </row>
    <row r="49" spans="1:10" x14ac:dyDescent="0.25">
      <c r="A49" s="1">
        <v>0</v>
      </c>
      <c r="B49" t="s">
        <v>19</v>
      </c>
      <c r="C49">
        <v>700</v>
      </c>
      <c r="D49">
        <v>0</v>
      </c>
      <c r="E49" t="s">
        <v>24</v>
      </c>
      <c r="F49" t="s">
        <v>24</v>
      </c>
      <c r="G49" t="str">
        <f>"2026-05-01 13:58:02.490"</f>
        <v>2026-05-01 13:58:02.490</v>
      </c>
      <c r="H49" t="s">
        <v>22</v>
      </c>
      <c r="I49">
        <v>0</v>
      </c>
      <c r="J49" t="s">
        <v>25</v>
      </c>
    </row>
    <row r="50" spans="1:10" x14ac:dyDescent="0.25">
      <c r="A50" s="1">
        <v>1</v>
      </c>
      <c r="B50" t="s">
        <v>19</v>
      </c>
      <c r="C50">
        <v>706</v>
      </c>
      <c r="D50">
        <v>2</v>
      </c>
      <c r="E50" t="s">
        <v>20</v>
      </c>
      <c r="F50" t="s">
        <v>41</v>
      </c>
      <c r="G50" t="str">
        <f>"2026-05-01 12:48:43.621"</f>
        <v>2026-05-01 12:48:43.621</v>
      </c>
      <c r="H50" t="s">
        <v>22</v>
      </c>
      <c r="I50">
        <v>0</v>
      </c>
      <c r="J50" t="s">
        <v>23</v>
      </c>
    </row>
    <row r="51" spans="1:10" x14ac:dyDescent="0.25">
      <c r="A51" s="1">
        <v>2</v>
      </c>
      <c r="B51" t="s">
        <v>19</v>
      </c>
      <c r="C51">
        <v>706</v>
      </c>
      <c r="D51">
        <v>2</v>
      </c>
      <c r="E51" t="s">
        <v>20</v>
      </c>
      <c r="F51" t="s">
        <v>41</v>
      </c>
      <c r="G51" t="str">
        <f>"2026-05-01 12:29:34.921"</f>
        <v>2026-05-01 12:29:34.921</v>
      </c>
      <c r="H51" t="s">
        <v>22</v>
      </c>
      <c r="I51">
        <v>0</v>
      </c>
      <c r="J51" t="s">
        <v>23</v>
      </c>
    </row>
    <row r="52" spans="1:10" x14ac:dyDescent="0.25">
      <c r="A52" s="1">
        <v>3</v>
      </c>
      <c r="B52" t="s">
        <v>19</v>
      </c>
      <c r="C52">
        <v>706</v>
      </c>
      <c r="D52">
        <v>2</v>
      </c>
      <c r="E52" t="s">
        <v>20</v>
      </c>
      <c r="F52" t="s">
        <v>41</v>
      </c>
      <c r="G52" t="str">
        <f>"2026-05-01 12:16:55.121"</f>
        <v>2026-05-01 12:16:55.121</v>
      </c>
      <c r="H52" t="s">
        <v>22</v>
      </c>
      <c r="I52">
        <v>0</v>
      </c>
      <c r="J52" t="s">
        <v>23</v>
      </c>
    </row>
    <row r="53" spans="1:10" x14ac:dyDescent="0.25">
      <c r="A53" s="1">
        <v>4</v>
      </c>
      <c r="B53" t="s">
        <v>19</v>
      </c>
      <c r="C53">
        <v>700</v>
      </c>
      <c r="D53">
        <v>0</v>
      </c>
      <c r="E53" t="s">
        <v>24</v>
      </c>
      <c r="F53" t="s">
        <v>24</v>
      </c>
      <c r="G53" t="str">
        <f>"2026-05-01 12:09:53.491"</f>
        <v>2026-05-01 12:09:53.491</v>
      </c>
      <c r="H53" t="s">
        <v>22</v>
      </c>
    </row>
    <row r="54" spans="1:10" s="3" customFormat="1" x14ac:dyDescent="0.25">
      <c r="A54" s="2">
        <v>5</v>
      </c>
      <c r="B54" s="3" t="s">
        <v>26</v>
      </c>
      <c r="C54" s="3">
        <v>647</v>
      </c>
      <c r="D54" s="3">
        <v>1</v>
      </c>
      <c r="E54" s="3" t="s">
        <v>39</v>
      </c>
      <c r="F54" s="3" t="s">
        <v>40</v>
      </c>
      <c r="G54" s="3" t="str">
        <f>"2026-05-01 01:26:30.726"</f>
        <v>2026-05-01 01:26:30.726</v>
      </c>
      <c r="H54" s="3" t="s">
        <v>22</v>
      </c>
    </row>
    <row r="55" spans="1:10" s="3" customFormat="1" x14ac:dyDescent="0.25">
      <c r="A55" s="2">
        <v>6</v>
      </c>
      <c r="B55" s="3" t="s">
        <v>29</v>
      </c>
      <c r="C55" s="3">
        <v>647</v>
      </c>
      <c r="D55" s="3">
        <v>1</v>
      </c>
      <c r="E55" s="3" t="s">
        <v>39</v>
      </c>
      <c r="F55" s="3" t="s">
        <v>40</v>
      </c>
      <c r="G55" s="3" t="str">
        <f>"2026-05-01 01:26:22.926"</f>
        <v>2026-05-01 01:26:22.926</v>
      </c>
      <c r="H55" s="3" t="s">
        <v>22</v>
      </c>
      <c r="I55" s="3">
        <v>11.71</v>
      </c>
      <c r="J55" s="3" t="s">
        <v>36</v>
      </c>
    </row>
    <row r="56" spans="1:10" x14ac:dyDescent="0.25">
      <c r="A56" s="1">
        <v>7</v>
      </c>
      <c r="B56" t="s">
        <v>26</v>
      </c>
      <c r="C56">
        <v>635</v>
      </c>
      <c r="D56">
        <v>1</v>
      </c>
      <c r="E56" t="s">
        <v>27</v>
      </c>
      <c r="F56" t="s">
        <v>28</v>
      </c>
      <c r="G56" t="str">
        <f>"2026-04-30 23:24:01.678"</f>
        <v>2026-04-30 23:24:01.678</v>
      </c>
      <c r="H56" t="s">
        <v>22</v>
      </c>
    </row>
    <row r="57" spans="1:10" x14ac:dyDescent="0.25">
      <c r="A57" s="1">
        <v>8</v>
      </c>
      <c r="B57" t="s">
        <v>29</v>
      </c>
      <c r="C57">
        <v>635</v>
      </c>
      <c r="D57">
        <v>1</v>
      </c>
      <c r="E57" t="s">
        <v>27</v>
      </c>
      <c r="F57" t="s">
        <v>28</v>
      </c>
      <c r="G57" t="str">
        <f>"2026-04-30 23:21:31.178"</f>
        <v>2026-04-30 23:21:31.178</v>
      </c>
      <c r="H57" t="s">
        <v>22</v>
      </c>
      <c r="I57">
        <v>1.06</v>
      </c>
      <c r="J57" t="s">
        <v>30</v>
      </c>
    </row>
    <row r="58" spans="1:10" x14ac:dyDescent="0.25">
      <c r="A58" s="1">
        <v>9</v>
      </c>
      <c r="B58" t="s">
        <v>19</v>
      </c>
      <c r="C58">
        <v>706</v>
      </c>
      <c r="D58">
        <v>4</v>
      </c>
      <c r="E58" t="s">
        <v>20</v>
      </c>
      <c r="F58" t="s">
        <v>21</v>
      </c>
      <c r="G58" t="str">
        <f>"2026-04-30 21:33:11.149"</f>
        <v>2026-04-30 21:33:11.149</v>
      </c>
      <c r="H58" t="s">
        <v>22</v>
      </c>
      <c r="I58">
        <v>0</v>
      </c>
      <c r="J58" t="s">
        <v>23</v>
      </c>
    </row>
    <row r="59" spans="1:10" x14ac:dyDescent="0.25">
      <c r="A59" s="1">
        <v>0</v>
      </c>
      <c r="B59" t="s">
        <v>19</v>
      </c>
      <c r="C59">
        <v>700</v>
      </c>
      <c r="D59">
        <v>0</v>
      </c>
      <c r="E59" t="s">
        <v>24</v>
      </c>
      <c r="F59" t="s">
        <v>24</v>
      </c>
      <c r="G59" t="str">
        <f>"2026-04-30 21:30:03.499"</f>
        <v>2026-04-30 21:30:03.499</v>
      </c>
      <c r="H59" t="s">
        <v>22</v>
      </c>
      <c r="I59">
        <v>0</v>
      </c>
      <c r="J59" t="s">
        <v>25</v>
      </c>
    </row>
    <row r="60" spans="1:10" x14ac:dyDescent="0.25">
      <c r="A60" s="1">
        <v>1</v>
      </c>
      <c r="B60" t="s">
        <v>19</v>
      </c>
      <c r="C60">
        <v>706</v>
      </c>
      <c r="D60">
        <v>2</v>
      </c>
      <c r="E60" t="s">
        <v>20</v>
      </c>
      <c r="F60" t="s">
        <v>41</v>
      </c>
      <c r="G60" t="str">
        <f>"2026-04-30 21:11:23.255"</f>
        <v>2026-04-30 21:11:23.255</v>
      </c>
      <c r="H60" t="s">
        <v>22</v>
      </c>
      <c r="I60">
        <v>0</v>
      </c>
      <c r="J60" t="s">
        <v>23</v>
      </c>
    </row>
    <row r="61" spans="1:10" x14ac:dyDescent="0.25">
      <c r="A61" s="1">
        <v>2</v>
      </c>
      <c r="B61" t="s">
        <v>19</v>
      </c>
      <c r="C61">
        <v>700</v>
      </c>
      <c r="D61">
        <v>0</v>
      </c>
      <c r="E61" t="s">
        <v>24</v>
      </c>
      <c r="F61" t="s">
        <v>24</v>
      </c>
      <c r="G61" t="str">
        <f>"2026-04-30 21:01:10.765"</f>
        <v>2026-04-30 21:01:10.765</v>
      </c>
      <c r="H61" t="s">
        <v>22</v>
      </c>
      <c r="I61">
        <v>0</v>
      </c>
      <c r="J61" t="s">
        <v>25</v>
      </c>
    </row>
    <row r="62" spans="1:10" x14ac:dyDescent="0.25">
      <c r="A62" s="1">
        <v>3</v>
      </c>
      <c r="B62" t="s">
        <v>19</v>
      </c>
      <c r="C62">
        <v>700</v>
      </c>
      <c r="D62">
        <v>0</v>
      </c>
      <c r="E62" t="s">
        <v>24</v>
      </c>
      <c r="F62" t="s">
        <v>24</v>
      </c>
      <c r="G62" t="str">
        <f>"2026-04-30 08:31:58.498"</f>
        <v>2026-04-30 08:31:58.498</v>
      </c>
      <c r="H62" t="s">
        <v>22</v>
      </c>
      <c r="I62">
        <v>0</v>
      </c>
      <c r="J62" t="s">
        <v>25</v>
      </c>
    </row>
    <row r="63" spans="1:10" s="3" customFormat="1" x14ac:dyDescent="0.25">
      <c r="A63" s="2">
        <v>4</v>
      </c>
      <c r="B63" s="3" t="s">
        <v>26</v>
      </c>
      <c r="C63" s="3">
        <v>647</v>
      </c>
      <c r="D63" s="3">
        <v>1</v>
      </c>
      <c r="E63" s="3" t="s">
        <v>39</v>
      </c>
      <c r="F63" s="3" t="s">
        <v>40</v>
      </c>
      <c r="G63" s="3" t="str">
        <f>"2026-04-30 06:17:04.893"</f>
        <v>2026-04-30 06:17:04.893</v>
      </c>
      <c r="H63" s="3" t="s">
        <v>22</v>
      </c>
    </row>
    <row r="64" spans="1:10" s="3" customFormat="1" x14ac:dyDescent="0.25">
      <c r="A64" s="2">
        <v>5</v>
      </c>
      <c r="B64" s="3" t="s">
        <v>29</v>
      </c>
      <c r="C64" s="3">
        <v>647</v>
      </c>
      <c r="D64" s="3">
        <v>1</v>
      </c>
      <c r="E64" s="3" t="s">
        <v>39</v>
      </c>
      <c r="F64" s="3" t="s">
        <v>40</v>
      </c>
      <c r="G64" s="3" t="str">
        <f>"2026-04-30 06:16:50.993"</f>
        <v>2026-04-30 06:16:50.993</v>
      </c>
      <c r="H64" s="3" t="s">
        <v>22</v>
      </c>
      <c r="I64" s="3">
        <v>16.11</v>
      </c>
      <c r="J64" s="3" t="s">
        <v>31</v>
      </c>
    </row>
    <row r="65" spans="1:10" x14ac:dyDescent="0.25">
      <c r="A65" s="1">
        <v>6</v>
      </c>
      <c r="B65" t="s">
        <v>19</v>
      </c>
      <c r="C65">
        <v>700</v>
      </c>
      <c r="D65">
        <v>0</v>
      </c>
      <c r="E65" t="s">
        <v>24</v>
      </c>
      <c r="F65" t="s">
        <v>24</v>
      </c>
      <c r="G65" t="str">
        <f>"2026-04-29 13:21:05.512"</f>
        <v>2026-04-29 13:21:05.512</v>
      </c>
      <c r="H65" t="s">
        <v>22</v>
      </c>
      <c r="I65">
        <v>0</v>
      </c>
      <c r="J65" t="s">
        <v>25</v>
      </c>
    </row>
    <row r="66" spans="1:10" s="3" customFormat="1" x14ac:dyDescent="0.25">
      <c r="A66" s="2">
        <v>7</v>
      </c>
      <c r="B66" s="3" t="s">
        <v>26</v>
      </c>
      <c r="C66" s="3">
        <v>647</v>
      </c>
      <c r="D66" s="3">
        <v>1</v>
      </c>
      <c r="E66" s="3" t="s">
        <v>39</v>
      </c>
      <c r="F66" s="3" t="s">
        <v>40</v>
      </c>
      <c r="G66" s="3" t="str">
        <f>"2026-04-29 10:47:50.185"</f>
        <v>2026-04-29 10:47:50.185</v>
      </c>
      <c r="H66" s="3" t="s">
        <v>22</v>
      </c>
    </row>
    <row r="67" spans="1:10" s="3" customFormat="1" x14ac:dyDescent="0.25">
      <c r="A67" s="2">
        <v>8</v>
      </c>
      <c r="B67" s="3" t="s">
        <v>29</v>
      </c>
      <c r="C67" s="3">
        <v>647</v>
      </c>
      <c r="D67" s="3">
        <v>1</v>
      </c>
      <c r="E67" s="3" t="s">
        <v>39</v>
      </c>
      <c r="F67" s="3" t="s">
        <v>40</v>
      </c>
      <c r="G67" s="3" t="str">
        <f>"2026-04-29 10:47:45.085"</f>
        <v>2026-04-29 10:47:45.085</v>
      </c>
      <c r="H67" s="3" t="s">
        <v>22</v>
      </c>
      <c r="I67" s="3">
        <v>11.98</v>
      </c>
      <c r="J67" s="3" t="s">
        <v>36</v>
      </c>
    </row>
    <row r="68" spans="1:10" x14ac:dyDescent="0.25">
      <c r="A68" s="1">
        <v>9</v>
      </c>
      <c r="B68" t="s">
        <v>26</v>
      </c>
      <c r="C68">
        <v>635</v>
      </c>
      <c r="D68">
        <v>1</v>
      </c>
      <c r="E68" t="s">
        <v>27</v>
      </c>
      <c r="F68" t="s">
        <v>28</v>
      </c>
      <c r="G68" t="str">
        <f>"2026-04-29 10:07:16.584"</f>
        <v>2026-04-29 10:07:16.584</v>
      </c>
      <c r="H68" t="s">
        <v>22</v>
      </c>
    </row>
    <row r="69" spans="1:10" x14ac:dyDescent="0.25">
      <c r="A69" s="1">
        <v>0</v>
      </c>
      <c r="B69" t="s">
        <v>29</v>
      </c>
      <c r="C69">
        <v>635</v>
      </c>
      <c r="D69">
        <v>1</v>
      </c>
      <c r="E69" t="s">
        <v>27</v>
      </c>
      <c r="F69" t="s">
        <v>28</v>
      </c>
      <c r="G69" t="str">
        <f>"2026-04-29 10:04:21.584"</f>
        <v>2026-04-29 10:04:21.584</v>
      </c>
      <c r="H69" t="s">
        <v>22</v>
      </c>
      <c r="I69">
        <v>0.11</v>
      </c>
      <c r="J69" t="s">
        <v>30</v>
      </c>
    </row>
    <row r="70" spans="1:10" x14ac:dyDescent="0.25">
      <c r="A70" s="1">
        <v>1</v>
      </c>
      <c r="B70" t="s">
        <v>26</v>
      </c>
      <c r="C70">
        <v>635</v>
      </c>
      <c r="D70">
        <v>1</v>
      </c>
      <c r="E70" t="s">
        <v>27</v>
      </c>
      <c r="F70" t="s">
        <v>28</v>
      </c>
      <c r="G70" t="str">
        <f>"2026-04-28 13:22:55.084"</f>
        <v>2026-04-28 13:22:55.084</v>
      </c>
      <c r="H70" t="s">
        <v>22</v>
      </c>
    </row>
    <row r="71" spans="1:10" x14ac:dyDescent="0.25">
      <c r="A71" s="1">
        <v>2</v>
      </c>
      <c r="B71" t="s">
        <v>29</v>
      </c>
      <c r="C71">
        <v>635</v>
      </c>
      <c r="D71">
        <v>1</v>
      </c>
      <c r="E71" t="s">
        <v>27</v>
      </c>
      <c r="F71" t="s">
        <v>28</v>
      </c>
      <c r="G71" t="str">
        <f>"2026-04-28 13:20:45.584"</f>
        <v>2026-04-28 13:20:45.584</v>
      </c>
      <c r="H71" t="s">
        <v>22</v>
      </c>
      <c r="I71">
        <v>0.34</v>
      </c>
      <c r="J71" t="s">
        <v>30</v>
      </c>
    </row>
    <row r="72" spans="1:10" x14ac:dyDescent="0.25">
      <c r="A72" s="1">
        <v>3</v>
      </c>
      <c r="B72" t="s">
        <v>19</v>
      </c>
      <c r="C72">
        <v>706</v>
      </c>
      <c r="D72">
        <v>4</v>
      </c>
      <c r="E72" t="s">
        <v>20</v>
      </c>
      <c r="F72" t="s">
        <v>21</v>
      </c>
      <c r="G72" t="str">
        <f>"2026-04-28 12:34:05.933"</f>
        <v>2026-04-28 12:34:05.933</v>
      </c>
      <c r="H72" t="s">
        <v>22</v>
      </c>
      <c r="I72">
        <v>0</v>
      </c>
      <c r="J72" t="s">
        <v>23</v>
      </c>
    </row>
    <row r="73" spans="1:10" x14ac:dyDescent="0.25">
      <c r="A73" s="1">
        <v>4</v>
      </c>
      <c r="B73" t="s">
        <v>26</v>
      </c>
      <c r="C73">
        <v>635</v>
      </c>
      <c r="D73">
        <v>1</v>
      </c>
      <c r="E73" t="s">
        <v>27</v>
      </c>
      <c r="F73" t="s">
        <v>28</v>
      </c>
      <c r="G73" t="str">
        <f>"2026-04-26 18:25:34.284"</f>
        <v>2026-04-26 18:25:34.284</v>
      </c>
      <c r="H73" t="s">
        <v>22</v>
      </c>
    </row>
    <row r="74" spans="1:10" x14ac:dyDescent="0.25">
      <c r="A74" s="1">
        <v>5</v>
      </c>
      <c r="B74" t="s">
        <v>29</v>
      </c>
      <c r="C74">
        <v>635</v>
      </c>
      <c r="D74">
        <v>1</v>
      </c>
      <c r="E74" t="s">
        <v>27</v>
      </c>
      <c r="F74" t="s">
        <v>28</v>
      </c>
      <c r="G74" t="str">
        <f>"2026-04-26 18:22:08.785"</f>
        <v>2026-04-26 18:22:08.785</v>
      </c>
      <c r="H74" t="s">
        <v>22</v>
      </c>
      <c r="I74">
        <v>1.58</v>
      </c>
      <c r="J74" t="s">
        <v>31</v>
      </c>
    </row>
    <row r="75" spans="1:10" x14ac:dyDescent="0.25">
      <c r="A75" s="1">
        <v>7</v>
      </c>
      <c r="B75" t="s">
        <v>19</v>
      </c>
      <c r="C75">
        <v>700</v>
      </c>
      <c r="D75">
        <v>0</v>
      </c>
      <c r="E75" t="s">
        <v>24</v>
      </c>
      <c r="F75" t="s">
        <v>24</v>
      </c>
      <c r="G75" t="str">
        <f>"2026-04-26 14:15:56.493"</f>
        <v>2026-04-26 14:15:56.493</v>
      </c>
      <c r="H75" t="s">
        <v>22</v>
      </c>
    </row>
    <row r="76" spans="1:10" x14ac:dyDescent="0.25">
      <c r="A76" s="1">
        <v>8</v>
      </c>
      <c r="B76" t="s">
        <v>19</v>
      </c>
      <c r="C76">
        <v>700</v>
      </c>
      <c r="D76">
        <v>0</v>
      </c>
      <c r="E76" t="s">
        <v>24</v>
      </c>
      <c r="F76" t="s">
        <v>24</v>
      </c>
      <c r="G76" t="str">
        <f>"2026-04-26 13:22:45.511"</f>
        <v>2026-04-26 13:22:45.511</v>
      </c>
      <c r="H76" t="s">
        <v>22</v>
      </c>
    </row>
    <row r="77" spans="1:10" x14ac:dyDescent="0.25">
      <c r="A77" s="1">
        <v>9</v>
      </c>
      <c r="B77" t="s">
        <v>26</v>
      </c>
      <c r="C77">
        <v>635</v>
      </c>
      <c r="D77">
        <v>1</v>
      </c>
      <c r="E77" t="s">
        <v>27</v>
      </c>
      <c r="F77" t="s">
        <v>28</v>
      </c>
      <c r="G77" t="str">
        <f>"2026-04-26 07:04:18.509"</f>
        <v>2026-04-26 07:04:18.509</v>
      </c>
      <c r="H77" t="s">
        <v>22</v>
      </c>
    </row>
    <row r="78" spans="1:10" x14ac:dyDescent="0.25">
      <c r="A78" s="1">
        <v>0</v>
      </c>
      <c r="B78" t="s">
        <v>29</v>
      </c>
      <c r="C78">
        <v>635</v>
      </c>
      <c r="D78">
        <v>1</v>
      </c>
      <c r="E78" t="s">
        <v>27</v>
      </c>
      <c r="F78" t="s">
        <v>28</v>
      </c>
      <c r="G78" t="str">
        <f>"2026-04-26 07:00:32.509"</f>
        <v>2026-04-26 07:00:32.509</v>
      </c>
      <c r="H78" t="s">
        <v>22</v>
      </c>
      <c r="I78">
        <v>2.2599999999999998</v>
      </c>
      <c r="J78" t="s">
        <v>31</v>
      </c>
    </row>
    <row r="79" spans="1:10" x14ac:dyDescent="0.25">
      <c r="A79" s="1">
        <v>1</v>
      </c>
      <c r="B79" t="s">
        <v>19</v>
      </c>
      <c r="C79">
        <v>700</v>
      </c>
      <c r="D79">
        <v>0</v>
      </c>
      <c r="E79" t="s">
        <v>24</v>
      </c>
      <c r="F79" t="s">
        <v>24</v>
      </c>
      <c r="G79" t="str">
        <f>"2026-04-25 16:07:52.516"</f>
        <v>2026-04-25 16:07:52.516</v>
      </c>
      <c r="H79" t="s">
        <v>22</v>
      </c>
    </row>
    <row r="80" spans="1:10" x14ac:dyDescent="0.25">
      <c r="A80" s="1">
        <v>2</v>
      </c>
      <c r="B80" t="s">
        <v>26</v>
      </c>
      <c r="C80">
        <v>635</v>
      </c>
      <c r="D80">
        <v>1</v>
      </c>
      <c r="E80" t="s">
        <v>27</v>
      </c>
      <c r="F80" t="s">
        <v>28</v>
      </c>
      <c r="G80" t="str">
        <f>"2026-04-25 14:10:09.149"</f>
        <v>2026-04-25 14:10:09.149</v>
      </c>
      <c r="H80" t="s">
        <v>22</v>
      </c>
    </row>
    <row r="81" spans="1:10" x14ac:dyDescent="0.25">
      <c r="A81" s="1">
        <v>3</v>
      </c>
      <c r="B81" t="s">
        <v>29</v>
      </c>
      <c r="C81">
        <v>635</v>
      </c>
      <c r="D81">
        <v>1</v>
      </c>
      <c r="E81" t="s">
        <v>27</v>
      </c>
      <c r="F81" t="s">
        <v>28</v>
      </c>
      <c r="G81" t="str">
        <f>"2026-04-25 14:06:16.149"</f>
        <v>2026-04-25 14:06:16.149</v>
      </c>
      <c r="H81" t="s">
        <v>22</v>
      </c>
      <c r="I81">
        <v>3.08</v>
      </c>
      <c r="J81" t="s">
        <v>36</v>
      </c>
    </row>
    <row r="82" spans="1:10" x14ac:dyDescent="0.25">
      <c r="A82" s="1">
        <v>4</v>
      </c>
      <c r="B82" t="s">
        <v>19</v>
      </c>
      <c r="C82">
        <v>700</v>
      </c>
      <c r="D82">
        <v>0</v>
      </c>
      <c r="E82" t="s">
        <v>24</v>
      </c>
      <c r="F82" t="s">
        <v>24</v>
      </c>
      <c r="G82" t="str">
        <f>"2026-04-25 12:31:06.505"</f>
        <v>2026-04-25 12:31:06.505</v>
      </c>
      <c r="H82" t="s">
        <v>22</v>
      </c>
    </row>
    <row r="83" spans="1:10" x14ac:dyDescent="0.25">
      <c r="A83" s="1">
        <v>5</v>
      </c>
      <c r="B83" t="s">
        <v>19</v>
      </c>
      <c r="C83">
        <v>706</v>
      </c>
      <c r="D83">
        <v>4</v>
      </c>
      <c r="E83" t="s">
        <v>20</v>
      </c>
      <c r="F83" t="s">
        <v>21</v>
      </c>
      <c r="G83" t="str">
        <f>"2026-04-24 13:34:42.462"</f>
        <v>2026-04-24 13:34:42.462</v>
      </c>
      <c r="H83" t="s">
        <v>22</v>
      </c>
      <c r="I83">
        <v>0</v>
      </c>
      <c r="J83" t="s">
        <v>23</v>
      </c>
    </row>
    <row r="84" spans="1:10" x14ac:dyDescent="0.25">
      <c r="A84" s="1">
        <v>6</v>
      </c>
      <c r="B84" t="s">
        <v>19</v>
      </c>
      <c r="C84">
        <v>700</v>
      </c>
      <c r="D84">
        <v>0</v>
      </c>
      <c r="E84" t="s">
        <v>24</v>
      </c>
      <c r="F84" t="s">
        <v>24</v>
      </c>
      <c r="G84" t="str">
        <f>"2026-04-24 13:33:46.482"</f>
        <v>2026-04-24 13:33:46.482</v>
      </c>
      <c r="H84" t="s">
        <v>22</v>
      </c>
    </row>
    <row r="85" spans="1:10" x14ac:dyDescent="0.25">
      <c r="A85" s="1">
        <v>7</v>
      </c>
      <c r="B85" t="s">
        <v>26</v>
      </c>
      <c r="C85">
        <v>635</v>
      </c>
      <c r="D85">
        <v>1</v>
      </c>
      <c r="E85" t="s">
        <v>27</v>
      </c>
      <c r="F85" t="s">
        <v>28</v>
      </c>
      <c r="G85" t="str">
        <f>"2026-04-24 11:56:34.256"</f>
        <v>2026-04-24 11:56:34.256</v>
      </c>
      <c r="H85" t="s">
        <v>22</v>
      </c>
    </row>
    <row r="86" spans="1:10" x14ac:dyDescent="0.25">
      <c r="A86" s="1">
        <v>8</v>
      </c>
      <c r="B86" t="s">
        <v>29</v>
      </c>
      <c r="C86">
        <v>635</v>
      </c>
      <c r="D86">
        <v>1</v>
      </c>
      <c r="E86" t="s">
        <v>27</v>
      </c>
      <c r="F86" t="s">
        <v>28</v>
      </c>
      <c r="G86" t="str">
        <f>"2026-04-24 11:52:27.256"</f>
        <v>2026-04-24 11:52:27.256</v>
      </c>
      <c r="H86" t="s">
        <v>22</v>
      </c>
      <c r="I86">
        <v>2.95</v>
      </c>
      <c r="J86" t="s">
        <v>30</v>
      </c>
    </row>
    <row r="87" spans="1:10" x14ac:dyDescent="0.25">
      <c r="A87" s="1">
        <v>9</v>
      </c>
      <c r="B87" t="s">
        <v>19</v>
      </c>
      <c r="C87">
        <v>700</v>
      </c>
      <c r="D87">
        <v>0</v>
      </c>
      <c r="E87" t="s">
        <v>24</v>
      </c>
      <c r="F87" t="s">
        <v>24</v>
      </c>
      <c r="G87" t="str">
        <f>"2026-04-23 14:12:16.514"</f>
        <v>2026-04-23 14:12:16.514</v>
      </c>
      <c r="H87" t="s">
        <v>22</v>
      </c>
      <c r="I87">
        <v>0</v>
      </c>
      <c r="J87" t="s">
        <v>25</v>
      </c>
    </row>
    <row r="88" spans="1:10" x14ac:dyDescent="0.25">
      <c r="A88" s="1">
        <v>0</v>
      </c>
      <c r="B88" t="s">
        <v>19</v>
      </c>
      <c r="C88">
        <v>700</v>
      </c>
      <c r="D88">
        <v>0</v>
      </c>
      <c r="E88" t="s">
        <v>24</v>
      </c>
      <c r="F88" t="s">
        <v>24</v>
      </c>
      <c r="G88" t="str">
        <f>"2026-04-22 14:04:08.529"</f>
        <v>2026-04-22 14:04:08.529</v>
      </c>
      <c r="H88" t="s">
        <v>22</v>
      </c>
      <c r="I88">
        <v>0</v>
      </c>
      <c r="J88" t="s">
        <v>25</v>
      </c>
    </row>
    <row r="89" spans="1:10" x14ac:dyDescent="0.25">
      <c r="A89" s="1">
        <v>1</v>
      </c>
      <c r="B89" t="s">
        <v>19</v>
      </c>
      <c r="C89">
        <v>700</v>
      </c>
      <c r="D89">
        <v>0</v>
      </c>
      <c r="E89" t="s">
        <v>24</v>
      </c>
      <c r="F89" t="s">
        <v>24</v>
      </c>
      <c r="G89" t="str">
        <f>"2026-04-21 13:49:47.487"</f>
        <v>2026-04-21 13:49:47.487</v>
      </c>
      <c r="H89" t="s">
        <v>22</v>
      </c>
      <c r="I89">
        <v>0</v>
      </c>
      <c r="J89" t="s">
        <v>25</v>
      </c>
    </row>
    <row r="90" spans="1:10" x14ac:dyDescent="0.25">
      <c r="A90" s="1">
        <v>2</v>
      </c>
      <c r="B90" t="s">
        <v>19</v>
      </c>
      <c r="C90">
        <v>700</v>
      </c>
      <c r="D90">
        <v>0</v>
      </c>
      <c r="E90" t="s">
        <v>24</v>
      </c>
      <c r="F90" t="s">
        <v>24</v>
      </c>
      <c r="G90" t="str">
        <f>"2026-04-21 10:49:47.672"</f>
        <v>2026-04-21 10:49:47.672</v>
      </c>
      <c r="H90" t="s">
        <v>22</v>
      </c>
      <c r="I90">
        <v>0</v>
      </c>
      <c r="J90" t="s">
        <v>25</v>
      </c>
    </row>
    <row r="91" spans="1:10" x14ac:dyDescent="0.25">
      <c r="A91" s="1">
        <v>3</v>
      </c>
      <c r="B91" t="s">
        <v>19</v>
      </c>
      <c r="C91">
        <v>700</v>
      </c>
      <c r="D91">
        <v>0</v>
      </c>
      <c r="E91" t="s">
        <v>24</v>
      </c>
      <c r="F91" t="s">
        <v>24</v>
      </c>
      <c r="G91" t="str">
        <f>"2026-04-21 04:07:33.481"</f>
        <v>2026-04-21 04:07:33.481</v>
      </c>
      <c r="H91" t="s">
        <v>22</v>
      </c>
      <c r="I91">
        <v>0</v>
      </c>
      <c r="J91" t="s">
        <v>25</v>
      </c>
    </row>
    <row r="92" spans="1:10" x14ac:dyDescent="0.25">
      <c r="A92" s="1">
        <v>4</v>
      </c>
      <c r="B92" t="s">
        <v>19</v>
      </c>
      <c r="C92">
        <v>706</v>
      </c>
      <c r="D92">
        <v>4</v>
      </c>
      <c r="E92" t="s">
        <v>20</v>
      </c>
      <c r="F92" t="s">
        <v>21</v>
      </c>
      <c r="G92" t="str">
        <f>"2026-04-21 03:46:46.036"</f>
        <v>2026-04-21 03:46:46.036</v>
      </c>
      <c r="H92" t="s">
        <v>22</v>
      </c>
      <c r="I92">
        <v>0</v>
      </c>
      <c r="J92" t="s">
        <v>23</v>
      </c>
    </row>
    <row r="93" spans="1:10" x14ac:dyDescent="0.25">
      <c r="A93" s="1">
        <v>5</v>
      </c>
      <c r="B93" t="s">
        <v>19</v>
      </c>
      <c r="C93">
        <v>700</v>
      </c>
      <c r="D93">
        <v>0</v>
      </c>
      <c r="E93" t="s">
        <v>24</v>
      </c>
      <c r="F93" t="s">
        <v>24</v>
      </c>
      <c r="G93" t="str">
        <f>"2026-04-21 03:42:36.486"</f>
        <v>2026-04-21 03:42:36.486</v>
      </c>
      <c r="H93" t="s">
        <v>22</v>
      </c>
      <c r="I93">
        <v>0</v>
      </c>
      <c r="J93" t="s">
        <v>25</v>
      </c>
    </row>
    <row r="94" spans="1:10" x14ac:dyDescent="0.25">
      <c r="A94" s="1">
        <v>6</v>
      </c>
      <c r="B94" t="s">
        <v>19</v>
      </c>
      <c r="C94">
        <v>700</v>
      </c>
      <c r="D94">
        <v>0</v>
      </c>
      <c r="E94" t="s">
        <v>24</v>
      </c>
      <c r="F94" t="s">
        <v>24</v>
      </c>
      <c r="G94" t="str">
        <f>"2026-04-21 03:25:32.508"</f>
        <v>2026-04-21 03:25:32.508</v>
      </c>
      <c r="H94" t="s">
        <v>22</v>
      </c>
      <c r="I94">
        <v>0</v>
      </c>
      <c r="J94" t="s">
        <v>25</v>
      </c>
    </row>
    <row r="95" spans="1:10" x14ac:dyDescent="0.25">
      <c r="A95" s="1">
        <v>7</v>
      </c>
      <c r="B95" t="s">
        <v>19</v>
      </c>
      <c r="C95">
        <v>700</v>
      </c>
      <c r="D95">
        <v>0</v>
      </c>
      <c r="E95" t="s">
        <v>24</v>
      </c>
      <c r="F95" t="s">
        <v>24</v>
      </c>
      <c r="G95" t="str">
        <f>"2026-04-20 13:19:01.485"</f>
        <v>2026-04-20 13:19:01.485</v>
      </c>
      <c r="H95" t="s">
        <v>22</v>
      </c>
      <c r="I95">
        <v>0</v>
      </c>
      <c r="J95" t="s">
        <v>25</v>
      </c>
    </row>
    <row r="96" spans="1:10" x14ac:dyDescent="0.25">
      <c r="A96" s="1">
        <v>8</v>
      </c>
      <c r="B96" t="s">
        <v>19</v>
      </c>
      <c r="C96">
        <v>700</v>
      </c>
      <c r="D96">
        <v>0</v>
      </c>
      <c r="E96" t="s">
        <v>24</v>
      </c>
      <c r="F96" t="s">
        <v>24</v>
      </c>
      <c r="G96" t="str">
        <f>"2026-04-20 04:57:14.492"</f>
        <v>2026-04-20 04:57:14.492</v>
      </c>
      <c r="H96" t="s">
        <v>22</v>
      </c>
      <c r="I96">
        <v>0</v>
      </c>
      <c r="J96" t="s">
        <v>25</v>
      </c>
    </row>
    <row r="97" spans="1:10" s="3" customFormat="1" x14ac:dyDescent="0.25">
      <c r="A97" s="2">
        <v>9</v>
      </c>
      <c r="B97" s="3" t="s">
        <v>26</v>
      </c>
      <c r="C97" s="3">
        <v>647</v>
      </c>
      <c r="D97" s="3">
        <v>1</v>
      </c>
      <c r="E97" s="3" t="s">
        <v>39</v>
      </c>
      <c r="F97" s="3" t="s">
        <v>40</v>
      </c>
      <c r="G97" s="3" t="str">
        <f>"2026-04-19 18:53:22.375"</f>
        <v>2026-04-19 18:53:22.375</v>
      </c>
      <c r="H97" s="3" t="s">
        <v>22</v>
      </c>
    </row>
    <row r="98" spans="1:10" s="3" customFormat="1" x14ac:dyDescent="0.25">
      <c r="A98" s="2">
        <v>0</v>
      </c>
      <c r="B98" s="3" t="s">
        <v>29</v>
      </c>
      <c r="C98" s="3">
        <v>647</v>
      </c>
      <c r="D98" s="3">
        <v>1</v>
      </c>
      <c r="E98" s="3" t="s">
        <v>39</v>
      </c>
      <c r="F98" s="3" t="s">
        <v>40</v>
      </c>
      <c r="G98" s="3" t="str">
        <f>"2026-04-19 18:53:21.075"</f>
        <v>2026-04-19 18:53:21.075</v>
      </c>
      <c r="H98" s="3" t="s">
        <v>22</v>
      </c>
      <c r="I98" s="3">
        <v>16.88</v>
      </c>
      <c r="J98" s="3" t="s">
        <v>36</v>
      </c>
    </row>
    <row r="99" spans="1:10" x14ac:dyDescent="0.25">
      <c r="A99" s="1">
        <v>1</v>
      </c>
      <c r="B99" t="s">
        <v>19</v>
      </c>
      <c r="C99">
        <v>700</v>
      </c>
      <c r="D99">
        <v>0</v>
      </c>
      <c r="E99" t="s">
        <v>24</v>
      </c>
      <c r="F99" t="s">
        <v>24</v>
      </c>
      <c r="G99" t="str">
        <f>"2026-04-19 14:45:39.482"</f>
        <v>2026-04-19 14:45:39.482</v>
      </c>
      <c r="H99" t="s">
        <v>22</v>
      </c>
      <c r="I99">
        <v>0</v>
      </c>
      <c r="J99" t="s">
        <v>25</v>
      </c>
    </row>
    <row r="100" spans="1:10" x14ac:dyDescent="0.25">
      <c r="A100" s="1">
        <v>3</v>
      </c>
      <c r="B100" t="s">
        <v>19</v>
      </c>
      <c r="C100">
        <v>700</v>
      </c>
      <c r="D100">
        <v>0</v>
      </c>
      <c r="E100" t="s">
        <v>24</v>
      </c>
      <c r="F100" t="s">
        <v>24</v>
      </c>
      <c r="G100" t="str">
        <f>"2026-04-18 14:11:25.516"</f>
        <v>2026-04-18 14:11:25.516</v>
      </c>
      <c r="H100" t="s">
        <v>22</v>
      </c>
      <c r="I100">
        <v>0</v>
      </c>
      <c r="J100" t="s">
        <v>25</v>
      </c>
    </row>
    <row r="101" spans="1:10" x14ac:dyDescent="0.25">
      <c r="A101" s="1">
        <v>4</v>
      </c>
      <c r="B101" t="s">
        <v>19</v>
      </c>
      <c r="C101">
        <v>700</v>
      </c>
      <c r="D101">
        <v>0</v>
      </c>
      <c r="E101" t="s">
        <v>24</v>
      </c>
      <c r="F101" t="s">
        <v>24</v>
      </c>
      <c r="G101" t="str">
        <f>"2026-04-18 09:50:46.479"</f>
        <v>2026-04-18 09:50:46.479</v>
      </c>
      <c r="H101" t="s">
        <v>22</v>
      </c>
    </row>
    <row r="102" spans="1:10" x14ac:dyDescent="0.25">
      <c r="A102" s="1">
        <v>5</v>
      </c>
      <c r="B102" t="s">
        <v>19</v>
      </c>
      <c r="C102">
        <v>700</v>
      </c>
      <c r="D102">
        <v>0</v>
      </c>
      <c r="E102" t="s">
        <v>24</v>
      </c>
      <c r="F102" t="s">
        <v>24</v>
      </c>
      <c r="G102" t="str">
        <f>"2026-04-18 04:28:14.474"</f>
        <v>2026-04-18 04:28:14.474</v>
      </c>
      <c r="H102" t="s">
        <v>22</v>
      </c>
    </row>
    <row r="103" spans="1:10" x14ac:dyDescent="0.25">
      <c r="A103" s="1">
        <v>6</v>
      </c>
      <c r="B103" t="s">
        <v>19</v>
      </c>
      <c r="C103">
        <v>700</v>
      </c>
      <c r="D103">
        <v>0</v>
      </c>
      <c r="E103" t="s">
        <v>24</v>
      </c>
      <c r="F103" t="s">
        <v>24</v>
      </c>
      <c r="G103" t="str">
        <f>"2026-04-17 23:24:08.482"</f>
        <v>2026-04-17 23:24:08.482</v>
      </c>
      <c r="H103" t="s">
        <v>22</v>
      </c>
      <c r="I103">
        <v>0</v>
      </c>
      <c r="J103" t="s">
        <v>25</v>
      </c>
    </row>
    <row r="104" spans="1:10" x14ac:dyDescent="0.25">
      <c r="A104" s="1">
        <v>7</v>
      </c>
      <c r="B104" t="s">
        <v>19</v>
      </c>
      <c r="C104">
        <v>706</v>
      </c>
      <c r="D104">
        <v>2</v>
      </c>
      <c r="E104" t="s">
        <v>20</v>
      </c>
      <c r="F104" t="s">
        <v>41</v>
      </c>
      <c r="G104" t="str">
        <f>"2026-04-17 14:01:23.727"</f>
        <v>2026-04-17 14:01:23.727</v>
      </c>
      <c r="H104" t="s">
        <v>22</v>
      </c>
      <c r="I104">
        <v>0</v>
      </c>
      <c r="J104" t="s">
        <v>23</v>
      </c>
    </row>
    <row r="105" spans="1:10" x14ac:dyDescent="0.25">
      <c r="A105" s="1">
        <v>8</v>
      </c>
      <c r="B105" t="s">
        <v>19</v>
      </c>
      <c r="C105">
        <v>700</v>
      </c>
      <c r="D105">
        <v>0</v>
      </c>
      <c r="E105" t="s">
        <v>24</v>
      </c>
      <c r="F105" t="s">
        <v>24</v>
      </c>
      <c r="G105" t="str">
        <f>"2026-04-17 13:40:48.497"</f>
        <v>2026-04-17 13:40:48.497</v>
      </c>
      <c r="H105" t="s">
        <v>22</v>
      </c>
    </row>
    <row r="106" spans="1:10" x14ac:dyDescent="0.25">
      <c r="A106" s="1">
        <v>9</v>
      </c>
      <c r="B106" t="s">
        <v>26</v>
      </c>
      <c r="C106">
        <v>635</v>
      </c>
      <c r="D106">
        <v>1</v>
      </c>
      <c r="E106" t="s">
        <v>27</v>
      </c>
      <c r="F106" t="s">
        <v>28</v>
      </c>
      <c r="G106" t="str">
        <f>"2026-04-17 08:34:11.777"</f>
        <v>2026-04-17 08:34:11.777</v>
      </c>
      <c r="H106" t="s">
        <v>22</v>
      </c>
    </row>
    <row r="107" spans="1:10" x14ac:dyDescent="0.25">
      <c r="A107" s="1">
        <v>0</v>
      </c>
      <c r="B107" t="s">
        <v>29</v>
      </c>
      <c r="C107">
        <v>635</v>
      </c>
      <c r="D107">
        <v>1</v>
      </c>
      <c r="E107" t="s">
        <v>27</v>
      </c>
      <c r="F107" t="s">
        <v>28</v>
      </c>
      <c r="G107" t="str">
        <f>"2026-04-17 08:29:13.777"</f>
        <v>2026-04-17 08:29:13.777</v>
      </c>
      <c r="H107" t="s">
        <v>22</v>
      </c>
      <c r="I107">
        <v>5.73</v>
      </c>
      <c r="J107" t="s">
        <v>30</v>
      </c>
    </row>
    <row r="108" spans="1:10" x14ac:dyDescent="0.25">
      <c r="A108" s="1">
        <v>1</v>
      </c>
      <c r="B108" t="s">
        <v>19</v>
      </c>
      <c r="C108">
        <v>706</v>
      </c>
      <c r="D108">
        <v>2</v>
      </c>
      <c r="E108" t="s">
        <v>20</v>
      </c>
      <c r="F108" t="s">
        <v>41</v>
      </c>
      <c r="G108" t="str">
        <f>"2026-04-16 13:38:23.553"</f>
        <v>2026-04-16 13:38:23.553</v>
      </c>
      <c r="H108" t="s">
        <v>22</v>
      </c>
      <c r="I108">
        <v>0</v>
      </c>
      <c r="J108" t="s">
        <v>23</v>
      </c>
    </row>
    <row r="109" spans="1:10" x14ac:dyDescent="0.25">
      <c r="A109" s="1">
        <v>2</v>
      </c>
      <c r="B109" t="s">
        <v>19</v>
      </c>
      <c r="C109">
        <v>700</v>
      </c>
      <c r="D109">
        <v>0</v>
      </c>
      <c r="E109" t="s">
        <v>24</v>
      </c>
      <c r="F109" t="s">
        <v>24</v>
      </c>
      <c r="G109" t="str">
        <f>"2026-04-16 13:37:25.513"</f>
        <v>2026-04-16 13:37:25.513</v>
      </c>
      <c r="H109" t="s">
        <v>22</v>
      </c>
    </row>
    <row r="110" spans="1:10" x14ac:dyDescent="0.25">
      <c r="A110" s="1">
        <v>3</v>
      </c>
      <c r="B110" t="s">
        <v>26</v>
      </c>
      <c r="C110">
        <v>635</v>
      </c>
      <c r="D110">
        <v>1</v>
      </c>
      <c r="E110" t="s">
        <v>27</v>
      </c>
      <c r="F110" t="s">
        <v>28</v>
      </c>
      <c r="G110" t="str">
        <f>"2026-04-16 09:39:03.630"</f>
        <v>2026-04-16 09:39:03.630</v>
      </c>
      <c r="H110" t="s">
        <v>22</v>
      </c>
    </row>
    <row r="111" spans="1:10" x14ac:dyDescent="0.25">
      <c r="A111" s="1">
        <v>4</v>
      </c>
      <c r="B111" t="s">
        <v>29</v>
      </c>
      <c r="C111">
        <v>635</v>
      </c>
      <c r="D111">
        <v>1</v>
      </c>
      <c r="E111" t="s">
        <v>27</v>
      </c>
      <c r="F111" t="s">
        <v>28</v>
      </c>
      <c r="G111" t="str">
        <f>"2026-04-16 09:32:57.130"</f>
        <v>2026-04-16 09:32:57.130</v>
      </c>
      <c r="H111" t="s">
        <v>22</v>
      </c>
      <c r="I111">
        <v>7.17</v>
      </c>
      <c r="J111" t="s">
        <v>30</v>
      </c>
    </row>
    <row r="112" spans="1:10" x14ac:dyDescent="0.25">
      <c r="A112" s="1">
        <v>5</v>
      </c>
      <c r="B112" t="s">
        <v>19</v>
      </c>
      <c r="C112">
        <v>700</v>
      </c>
      <c r="D112">
        <v>0</v>
      </c>
      <c r="E112" t="s">
        <v>24</v>
      </c>
      <c r="F112" t="s">
        <v>24</v>
      </c>
      <c r="G112" t="str">
        <f>"2026-04-15 08:04:02.499"</f>
        <v>2026-04-15 08:04:02.499</v>
      </c>
      <c r="H112" t="s">
        <v>22</v>
      </c>
    </row>
    <row r="113" spans="1:10" x14ac:dyDescent="0.25">
      <c r="A113" s="1">
        <v>6</v>
      </c>
      <c r="B113" t="s">
        <v>19</v>
      </c>
      <c r="C113">
        <v>700</v>
      </c>
      <c r="D113">
        <v>0</v>
      </c>
      <c r="E113" t="s">
        <v>24</v>
      </c>
      <c r="F113" t="s">
        <v>24</v>
      </c>
      <c r="G113" t="str">
        <f>"2026-04-14 20:42:30.505"</f>
        <v>2026-04-14 20:42:30.505</v>
      </c>
      <c r="H113" t="s">
        <v>22</v>
      </c>
    </row>
    <row r="114" spans="1:10" x14ac:dyDescent="0.25">
      <c r="A114" s="1">
        <v>7</v>
      </c>
      <c r="B114" t="s">
        <v>19</v>
      </c>
      <c r="C114">
        <v>706</v>
      </c>
      <c r="D114">
        <v>2</v>
      </c>
      <c r="E114" t="s">
        <v>20</v>
      </c>
      <c r="F114" t="s">
        <v>41</v>
      </c>
      <c r="G114" t="str">
        <f>"2026-04-14 13:54:21.898"</f>
        <v>2026-04-14 13:54:21.898</v>
      </c>
      <c r="H114" t="s">
        <v>22</v>
      </c>
      <c r="I114">
        <v>0</v>
      </c>
      <c r="J114" t="s">
        <v>23</v>
      </c>
    </row>
    <row r="115" spans="1:10" x14ac:dyDescent="0.25">
      <c r="A115" s="1">
        <v>8</v>
      </c>
      <c r="B115" t="s">
        <v>19</v>
      </c>
      <c r="C115">
        <v>700</v>
      </c>
      <c r="D115">
        <v>0</v>
      </c>
      <c r="E115" t="s">
        <v>24</v>
      </c>
      <c r="F115" t="s">
        <v>24</v>
      </c>
      <c r="G115" t="str">
        <f>"2026-04-14 13:54:02.488"</f>
        <v>2026-04-14 13:54:02.488</v>
      </c>
      <c r="H115" t="s">
        <v>22</v>
      </c>
      <c r="I115">
        <v>0</v>
      </c>
      <c r="J115" t="s">
        <v>25</v>
      </c>
    </row>
    <row r="116" spans="1:10" x14ac:dyDescent="0.25">
      <c r="A116" s="1">
        <v>9</v>
      </c>
      <c r="B116" t="s">
        <v>19</v>
      </c>
      <c r="C116">
        <v>700</v>
      </c>
      <c r="D116">
        <v>0</v>
      </c>
      <c r="E116" t="s">
        <v>24</v>
      </c>
      <c r="F116" t="s">
        <v>24</v>
      </c>
      <c r="G116" t="str">
        <f>"2026-04-14 08:53:32.491"</f>
        <v>2026-04-14 08:53:32.491</v>
      </c>
      <c r="H116" t="s">
        <v>22</v>
      </c>
      <c r="I116">
        <v>0</v>
      </c>
      <c r="J116" t="s">
        <v>25</v>
      </c>
    </row>
    <row r="117" spans="1:10" x14ac:dyDescent="0.25">
      <c r="A117" s="1">
        <v>10</v>
      </c>
      <c r="B117" t="s">
        <v>26</v>
      </c>
      <c r="C117">
        <v>98</v>
      </c>
      <c r="D117">
        <v>1</v>
      </c>
      <c r="E117" t="s">
        <v>42</v>
      </c>
      <c r="F117" t="s">
        <v>43</v>
      </c>
      <c r="G117" t="str">
        <f>"2026-04-13 22:13:21.509"</f>
        <v>2026-04-13 22:13:21.509</v>
      </c>
      <c r="H117" t="s">
        <v>22</v>
      </c>
    </row>
    <row r="118" spans="1:10" x14ac:dyDescent="0.25">
      <c r="A118" s="1">
        <v>11</v>
      </c>
      <c r="B118" t="s">
        <v>29</v>
      </c>
      <c r="C118">
        <v>98</v>
      </c>
      <c r="D118">
        <v>1</v>
      </c>
      <c r="E118" t="s">
        <v>42</v>
      </c>
      <c r="F118" t="s">
        <v>43</v>
      </c>
      <c r="G118" t="str">
        <f>"2026-04-13 22:13:20.509"</f>
        <v>2026-04-13 22:13:20.509</v>
      </c>
      <c r="H118" t="s">
        <v>22</v>
      </c>
      <c r="I118">
        <v>0.02</v>
      </c>
      <c r="J118" t="s">
        <v>31</v>
      </c>
    </row>
    <row r="119" spans="1:10" x14ac:dyDescent="0.25">
      <c r="A119" s="1">
        <v>12</v>
      </c>
      <c r="B119" t="s">
        <v>26</v>
      </c>
      <c r="C119">
        <v>635</v>
      </c>
      <c r="D119">
        <v>1</v>
      </c>
      <c r="E119" t="s">
        <v>27</v>
      </c>
      <c r="F119" t="s">
        <v>28</v>
      </c>
      <c r="G119" t="str">
        <f>"2026-04-13 20:05:41.855"</f>
        <v>2026-04-13 20:05:41.855</v>
      </c>
      <c r="H119" t="s">
        <v>22</v>
      </c>
    </row>
    <row r="120" spans="1:10" x14ac:dyDescent="0.25">
      <c r="A120" s="1">
        <v>13</v>
      </c>
      <c r="B120" t="s">
        <v>29</v>
      </c>
      <c r="C120">
        <v>635</v>
      </c>
      <c r="D120">
        <v>1</v>
      </c>
      <c r="E120" t="s">
        <v>27</v>
      </c>
      <c r="F120" t="s">
        <v>28</v>
      </c>
      <c r="G120" t="str">
        <f>"2026-04-13 19:59:29.455"</f>
        <v>2026-04-13 19:59:29.455</v>
      </c>
      <c r="H120" t="s">
        <v>22</v>
      </c>
      <c r="I120">
        <v>7.17</v>
      </c>
      <c r="J120" t="s">
        <v>30</v>
      </c>
    </row>
    <row r="121" spans="1:10" x14ac:dyDescent="0.25">
      <c r="A121" s="1">
        <v>14</v>
      </c>
      <c r="B121" t="s">
        <v>19</v>
      </c>
      <c r="C121">
        <v>700</v>
      </c>
      <c r="D121">
        <v>0</v>
      </c>
      <c r="E121" t="s">
        <v>24</v>
      </c>
      <c r="F121" t="s">
        <v>24</v>
      </c>
      <c r="G121" t="str">
        <f>"2026-04-13 16:50:56.487"</f>
        <v>2026-04-13 16:50:56.487</v>
      </c>
      <c r="H121" t="s">
        <v>22</v>
      </c>
    </row>
    <row r="122" spans="1:10" x14ac:dyDescent="0.25">
      <c r="A122" s="1">
        <v>15</v>
      </c>
      <c r="B122" t="s">
        <v>19</v>
      </c>
      <c r="C122">
        <v>700</v>
      </c>
      <c r="D122">
        <v>0</v>
      </c>
      <c r="E122" t="s">
        <v>24</v>
      </c>
      <c r="F122" t="s">
        <v>24</v>
      </c>
      <c r="G122" t="str">
        <f>"2026-04-13 16:35:50.519"</f>
        <v>2026-04-13 16:35:50.519</v>
      </c>
      <c r="H122" t="s">
        <v>22</v>
      </c>
      <c r="I122">
        <v>0</v>
      </c>
      <c r="J122" t="s">
        <v>25</v>
      </c>
    </row>
    <row r="123" spans="1:10" x14ac:dyDescent="0.25">
      <c r="A123" s="1">
        <v>16</v>
      </c>
      <c r="B123" t="s">
        <v>26</v>
      </c>
      <c r="C123">
        <v>635</v>
      </c>
      <c r="D123">
        <v>1</v>
      </c>
      <c r="E123" t="s">
        <v>27</v>
      </c>
      <c r="F123" t="s">
        <v>28</v>
      </c>
      <c r="G123" t="str">
        <f>"2026-04-13 03:47:05.252"</f>
        <v>2026-04-13 03:47:05.252</v>
      </c>
      <c r="H123" t="s">
        <v>22</v>
      </c>
    </row>
    <row r="124" spans="1:10" x14ac:dyDescent="0.25">
      <c r="A124" s="1">
        <v>17</v>
      </c>
      <c r="B124" t="s">
        <v>29</v>
      </c>
      <c r="C124">
        <v>635</v>
      </c>
      <c r="D124">
        <v>1</v>
      </c>
      <c r="E124" t="s">
        <v>27</v>
      </c>
      <c r="F124" t="s">
        <v>28</v>
      </c>
      <c r="G124" t="str">
        <f>"2026-04-13 03:42:37.752"</f>
        <v>2026-04-13 03:42:37.752</v>
      </c>
      <c r="H124" t="s">
        <v>22</v>
      </c>
      <c r="I124">
        <v>5.65</v>
      </c>
      <c r="J124" t="s">
        <v>30</v>
      </c>
    </row>
    <row r="125" spans="1:10" x14ac:dyDescent="0.25">
      <c r="A125" s="1">
        <v>18</v>
      </c>
      <c r="B125" t="s">
        <v>26</v>
      </c>
      <c r="C125">
        <v>635</v>
      </c>
      <c r="D125">
        <v>1</v>
      </c>
      <c r="E125" t="s">
        <v>27</v>
      </c>
      <c r="F125" t="s">
        <v>28</v>
      </c>
      <c r="G125" t="str">
        <f>"2026-04-11 21:31:19.752"</f>
        <v>2026-04-11 21:31:19.752</v>
      </c>
      <c r="H125" t="s">
        <v>22</v>
      </c>
    </row>
    <row r="126" spans="1:10" x14ac:dyDescent="0.25">
      <c r="A126" s="1">
        <v>19</v>
      </c>
      <c r="B126" t="s">
        <v>29</v>
      </c>
      <c r="C126">
        <v>635</v>
      </c>
      <c r="D126">
        <v>1</v>
      </c>
      <c r="E126" t="s">
        <v>27</v>
      </c>
      <c r="F126" t="s">
        <v>28</v>
      </c>
      <c r="G126" t="str">
        <f>"2026-04-11 21:23:14.752"</f>
        <v>2026-04-11 21:23:14.752</v>
      </c>
      <c r="H126" t="s">
        <v>22</v>
      </c>
      <c r="I126">
        <v>4.13</v>
      </c>
      <c r="J126" t="s">
        <v>30</v>
      </c>
    </row>
    <row r="127" spans="1:10" x14ac:dyDescent="0.25">
      <c r="A127" s="1">
        <v>20</v>
      </c>
      <c r="B127" t="s">
        <v>19</v>
      </c>
      <c r="C127">
        <v>700</v>
      </c>
      <c r="D127">
        <v>0</v>
      </c>
      <c r="E127" t="s">
        <v>24</v>
      </c>
      <c r="F127" t="s">
        <v>24</v>
      </c>
      <c r="G127" t="str">
        <f>"2026-04-11 05:21:47.492"</f>
        <v>2026-04-11 05:21:47.492</v>
      </c>
      <c r="H127" t="s">
        <v>22</v>
      </c>
      <c r="I127">
        <v>0</v>
      </c>
      <c r="J127" t="s">
        <v>25</v>
      </c>
    </row>
    <row r="128" spans="1:10" x14ac:dyDescent="0.25">
      <c r="A128" s="1">
        <v>21</v>
      </c>
      <c r="B128" t="s">
        <v>19</v>
      </c>
      <c r="C128">
        <v>706</v>
      </c>
      <c r="D128">
        <v>2</v>
      </c>
      <c r="E128" t="s">
        <v>20</v>
      </c>
      <c r="F128" t="s">
        <v>41</v>
      </c>
      <c r="G128" t="str">
        <f>"2026-04-11 04:19:41.089"</f>
        <v>2026-04-11 04:19:41.089</v>
      </c>
      <c r="H128" t="s">
        <v>22</v>
      </c>
      <c r="I128">
        <v>0</v>
      </c>
      <c r="J128" t="s">
        <v>23</v>
      </c>
    </row>
    <row r="129" spans="1:10" x14ac:dyDescent="0.25">
      <c r="A129" s="1">
        <v>22</v>
      </c>
      <c r="B129" t="s">
        <v>19</v>
      </c>
      <c r="C129">
        <v>706</v>
      </c>
      <c r="D129">
        <v>3</v>
      </c>
      <c r="E129" t="s">
        <v>20</v>
      </c>
      <c r="F129" t="s">
        <v>44</v>
      </c>
      <c r="G129" t="str">
        <f>"2026-04-11 04:19:19.389"</f>
        <v>2026-04-11 04:19:19.389</v>
      </c>
      <c r="H129" t="s">
        <v>22</v>
      </c>
      <c r="I129">
        <v>0</v>
      </c>
      <c r="J129" t="s">
        <v>23</v>
      </c>
    </row>
    <row r="130" spans="1:10" x14ac:dyDescent="0.25">
      <c r="A130" s="1">
        <v>23</v>
      </c>
      <c r="B130" t="s">
        <v>19</v>
      </c>
      <c r="C130">
        <v>700</v>
      </c>
      <c r="D130">
        <v>0</v>
      </c>
      <c r="E130" t="s">
        <v>24</v>
      </c>
      <c r="F130" t="s">
        <v>24</v>
      </c>
      <c r="G130" t="str">
        <f>"2026-04-10 12:57:40.489"</f>
        <v>2026-04-10 12:57:40.489</v>
      </c>
      <c r="H130" t="s">
        <v>22</v>
      </c>
      <c r="I130">
        <v>0</v>
      </c>
      <c r="J130" t="s">
        <v>25</v>
      </c>
    </row>
    <row r="131" spans="1:10" x14ac:dyDescent="0.25">
      <c r="A131" s="1">
        <v>24</v>
      </c>
      <c r="B131" t="s">
        <v>19</v>
      </c>
      <c r="C131">
        <v>700</v>
      </c>
      <c r="D131">
        <v>0</v>
      </c>
      <c r="E131" t="s">
        <v>24</v>
      </c>
      <c r="F131" t="s">
        <v>24</v>
      </c>
      <c r="G131" t="str">
        <f>"2026-04-10 12:42:13.468"</f>
        <v>2026-04-10 12:42:13.468</v>
      </c>
      <c r="H131" t="s">
        <v>22</v>
      </c>
    </row>
    <row r="132" spans="1:10" x14ac:dyDescent="0.25">
      <c r="A132" s="1">
        <v>25</v>
      </c>
      <c r="B132" t="s">
        <v>19</v>
      </c>
      <c r="C132">
        <v>700</v>
      </c>
      <c r="D132">
        <v>0</v>
      </c>
      <c r="E132" t="s">
        <v>24</v>
      </c>
      <c r="F132" t="s">
        <v>24</v>
      </c>
      <c r="G132" t="str">
        <f>"2026-04-10 12:35:48.473"</f>
        <v>2026-04-10 12:35:48.473</v>
      </c>
      <c r="H132" t="s">
        <v>22</v>
      </c>
      <c r="I132">
        <v>0</v>
      </c>
      <c r="J132" t="s">
        <v>25</v>
      </c>
    </row>
    <row r="133" spans="1:10" x14ac:dyDescent="0.25">
      <c r="A133" s="1">
        <v>26</v>
      </c>
      <c r="B133" t="s">
        <v>19</v>
      </c>
      <c r="C133">
        <v>706</v>
      </c>
      <c r="D133">
        <v>4</v>
      </c>
      <c r="E133" t="s">
        <v>20</v>
      </c>
      <c r="F133" t="s">
        <v>21</v>
      </c>
      <c r="G133" t="str">
        <f>"2026-04-10 12:11:08.444"</f>
        <v>2026-04-10 12:11:08.444</v>
      </c>
      <c r="H133" t="s">
        <v>22</v>
      </c>
      <c r="I133">
        <v>0</v>
      </c>
      <c r="J133" t="s">
        <v>23</v>
      </c>
    </row>
    <row r="134" spans="1:10" x14ac:dyDescent="0.25">
      <c r="A134" s="1">
        <v>27</v>
      </c>
      <c r="B134" t="s">
        <v>19</v>
      </c>
      <c r="C134">
        <v>700</v>
      </c>
      <c r="D134">
        <v>0</v>
      </c>
      <c r="E134" t="s">
        <v>24</v>
      </c>
      <c r="F134" t="s">
        <v>24</v>
      </c>
      <c r="G134" t="str">
        <f>"2026-04-10 12:05:43.474"</f>
        <v>2026-04-10 12:05:43.474</v>
      </c>
      <c r="H134" t="s">
        <v>22</v>
      </c>
    </row>
    <row r="135" spans="1:10" x14ac:dyDescent="0.25">
      <c r="A135" s="1">
        <v>28</v>
      </c>
      <c r="B135" t="s">
        <v>19</v>
      </c>
      <c r="C135">
        <v>700</v>
      </c>
      <c r="D135">
        <v>0</v>
      </c>
      <c r="E135" t="s">
        <v>24</v>
      </c>
      <c r="F135" t="s">
        <v>24</v>
      </c>
      <c r="G135" t="str">
        <f>"2026-04-10 10:31:58.527"</f>
        <v>2026-04-10 10:31:58.527</v>
      </c>
      <c r="H135" t="s">
        <v>22</v>
      </c>
    </row>
    <row r="136" spans="1:10" x14ac:dyDescent="0.25">
      <c r="A136" s="1">
        <v>29</v>
      </c>
      <c r="B136" t="s">
        <v>26</v>
      </c>
      <c r="C136">
        <v>635</v>
      </c>
      <c r="D136">
        <v>1</v>
      </c>
      <c r="E136" t="s">
        <v>27</v>
      </c>
      <c r="F136" t="s">
        <v>28</v>
      </c>
      <c r="G136" t="str">
        <f>"2026-04-10 04:29:34.969"</f>
        <v>2026-04-10 04:29:34.969</v>
      </c>
      <c r="H136" t="s">
        <v>22</v>
      </c>
    </row>
    <row r="137" spans="1:10" x14ac:dyDescent="0.25">
      <c r="A137" s="1">
        <v>30</v>
      </c>
      <c r="B137" t="s">
        <v>29</v>
      </c>
      <c r="C137">
        <v>635</v>
      </c>
      <c r="D137">
        <v>1</v>
      </c>
      <c r="E137" t="s">
        <v>27</v>
      </c>
      <c r="F137" t="s">
        <v>28</v>
      </c>
      <c r="G137" t="str">
        <f>"2026-04-10 04:27:05.017"</f>
        <v>2026-04-10 04:27:05.017</v>
      </c>
      <c r="H137" t="s">
        <v>22</v>
      </c>
      <c r="I137">
        <v>5.49</v>
      </c>
      <c r="J137" t="s">
        <v>36</v>
      </c>
    </row>
    <row r="138" spans="1:10" x14ac:dyDescent="0.25">
      <c r="A138" s="1">
        <v>31</v>
      </c>
      <c r="B138" t="s">
        <v>26</v>
      </c>
      <c r="C138">
        <v>635</v>
      </c>
      <c r="D138">
        <v>1</v>
      </c>
      <c r="E138" t="s">
        <v>27</v>
      </c>
      <c r="F138" t="s">
        <v>28</v>
      </c>
      <c r="G138" t="str">
        <f>"2026-04-09 20:27:16.817"</f>
        <v>2026-04-09 20:27:16.817</v>
      </c>
      <c r="H138" t="s">
        <v>22</v>
      </c>
    </row>
    <row r="139" spans="1:10" x14ac:dyDescent="0.25">
      <c r="A139" s="1">
        <v>32</v>
      </c>
      <c r="B139" t="s">
        <v>29</v>
      </c>
      <c r="C139">
        <v>635</v>
      </c>
      <c r="D139">
        <v>1</v>
      </c>
      <c r="E139" t="s">
        <v>27</v>
      </c>
      <c r="F139" t="s">
        <v>28</v>
      </c>
      <c r="G139" t="str">
        <f>"2026-04-09 20:24:55.317"</f>
        <v>2026-04-09 20:24:55.317</v>
      </c>
      <c r="H139" t="s">
        <v>22</v>
      </c>
      <c r="I139">
        <v>4.9800000000000004</v>
      </c>
      <c r="J139" t="s">
        <v>30</v>
      </c>
    </row>
    <row r="140" spans="1:10" x14ac:dyDescent="0.25">
      <c r="A140" s="1">
        <v>33</v>
      </c>
      <c r="B140" t="s">
        <v>26</v>
      </c>
      <c r="C140">
        <v>635</v>
      </c>
      <c r="D140">
        <v>1</v>
      </c>
      <c r="E140" t="s">
        <v>27</v>
      </c>
      <c r="F140" t="s">
        <v>28</v>
      </c>
      <c r="G140" t="str">
        <f>"2026-04-09 11:44:11.717"</f>
        <v>2026-04-09 11:44:11.717</v>
      </c>
      <c r="H140" t="s">
        <v>22</v>
      </c>
    </row>
    <row r="141" spans="1:10" x14ac:dyDescent="0.25">
      <c r="A141" s="1">
        <v>34</v>
      </c>
      <c r="B141" t="s">
        <v>29</v>
      </c>
      <c r="C141">
        <v>635</v>
      </c>
      <c r="D141">
        <v>1</v>
      </c>
      <c r="E141" t="s">
        <v>27</v>
      </c>
      <c r="F141" t="s">
        <v>28</v>
      </c>
      <c r="G141" t="str">
        <f>"2026-04-09 11:40:35.717"</f>
        <v>2026-04-09 11:40:35.717</v>
      </c>
      <c r="H141" t="s">
        <v>22</v>
      </c>
      <c r="I141">
        <v>6.05</v>
      </c>
      <c r="J141" t="s">
        <v>30</v>
      </c>
    </row>
    <row r="142" spans="1:10" x14ac:dyDescent="0.25">
      <c r="A142" s="1">
        <v>35</v>
      </c>
      <c r="B142" t="s">
        <v>26</v>
      </c>
      <c r="C142">
        <v>635</v>
      </c>
      <c r="D142">
        <v>1</v>
      </c>
      <c r="E142" t="s">
        <v>27</v>
      </c>
      <c r="F142" t="s">
        <v>28</v>
      </c>
      <c r="G142" t="str">
        <f>"2026-04-08 16:07:40.517"</f>
        <v>2026-04-08 16:07:40.517</v>
      </c>
      <c r="H142" t="s">
        <v>22</v>
      </c>
    </row>
    <row r="143" spans="1:10" x14ac:dyDescent="0.25">
      <c r="A143" s="1">
        <v>36</v>
      </c>
      <c r="B143" t="s">
        <v>29</v>
      </c>
      <c r="C143">
        <v>635</v>
      </c>
      <c r="D143">
        <v>1</v>
      </c>
      <c r="E143" t="s">
        <v>27</v>
      </c>
      <c r="F143" t="s">
        <v>28</v>
      </c>
      <c r="G143" t="str">
        <f>"2026-04-08 16:03:12.518"</f>
        <v>2026-04-08 16:03:12.518</v>
      </c>
      <c r="H143" t="s">
        <v>22</v>
      </c>
      <c r="I143">
        <v>4.22</v>
      </c>
      <c r="J143" t="s">
        <v>30</v>
      </c>
    </row>
    <row r="144" spans="1:10" x14ac:dyDescent="0.25">
      <c r="A144" s="1">
        <v>37</v>
      </c>
      <c r="B144" t="s">
        <v>19</v>
      </c>
      <c r="C144">
        <v>700</v>
      </c>
      <c r="D144">
        <v>0</v>
      </c>
      <c r="E144" t="s">
        <v>24</v>
      </c>
      <c r="F144" t="s">
        <v>24</v>
      </c>
      <c r="G144" t="str">
        <f>"2026-04-07 01:20:04.507"</f>
        <v>2026-04-07 01:20:04.507</v>
      </c>
      <c r="H144" t="s">
        <v>22</v>
      </c>
      <c r="I144">
        <v>0</v>
      </c>
      <c r="J144" t="s">
        <v>25</v>
      </c>
    </row>
    <row r="145" spans="1:10" x14ac:dyDescent="0.25">
      <c r="A145" s="1">
        <v>38</v>
      </c>
      <c r="B145" t="s">
        <v>26</v>
      </c>
      <c r="C145">
        <v>635</v>
      </c>
      <c r="D145">
        <v>1</v>
      </c>
      <c r="E145" t="s">
        <v>27</v>
      </c>
      <c r="F145" t="s">
        <v>28</v>
      </c>
      <c r="G145" t="str">
        <f>"2026-04-06 15:43:39.949"</f>
        <v>2026-04-06 15:43:39.949</v>
      </c>
      <c r="H145" t="s">
        <v>22</v>
      </c>
    </row>
    <row r="146" spans="1:10" x14ac:dyDescent="0.25">
      <c r="A146" s="1">
        <v>39</v>
      </c>
      <c r="B146" t="s">
        <v>29</v>
      </c>
      <c r="C146">
        <v>635</v>
      </c>
      <c r="D146">
        <v>1</v>
      </c>
      <c r="E146" t="s">
        <v>27</v>
      </c>
      <c r="F146" t="s">
        <v>28</v>
      </c>
      <c r="G146" t="str">
        <f>"2026-04-06 15:38:54.448"</f>
        <v>2026-04-06 15:38:54.448</v>
      </c>
      <c r="H146" t="s">
        <v>22</v>
      </c>
      <c r="I146">
        <v>2.57</v>
      </c>
      <c r="J146" t="s">
        <v>30</v>
      </c>
    </row>
    <row r="147" spans="1:10" x14ac:dyDescent="0.25">
      <c r="A147" s="1">
        <v>40</v>
      </c>
      <c r="B147" t="s">
        <v>19</v>
      </c>
      <c r="C147">
        <v>700</v>
      </c>
      <c r="D147">
        <v>0</v>
      </c>
      <c r="E147" t="s">
        <v>24</v>
      </c>
      <c r="F147" t="s">
        <v>24</v>
      </c>
      <c r="G147" t="str">
        <f>"2026-04-06 09:32:16.478"</f>
        <v>2026-04-06 09:32:16.478</v>
      </c>
      <c r="H147" t="s">
        <v>22</v>
      </c>
    </row>
    <row r="148" spans="1:10" x14ac:dyDescent="0.25">
      <c r="A148" s="1">
        <v>41</v>
      </c>
      <c r="B148" t="s">
        <v>26</v>
      </c>
      <c r="C148">
        <v>635</v>
      </c>
      <c r="D148">
        <v>1</v>
      </c>
      <c r="E148" t="s">
        <v>27</v>
      </c>
      <c r="F148" t="s">
        <v>28</v>
      </c>
      <c r="G148" t="str">
        <f>"2026-04-06 05:02:53.415"</f>
        <v>2026-04-06 05:02:53.415</v>
      </c>
      <c r="H148" t="s">
        <v>22</v>
      </c>
    </row>
    <row r="149" spans="1:10" x14ac:dyDescent="0.25">
      <c r="A149" s="1">
        <v>42</v>
      </c>
      <c r="B149" t="s">
        <v>29</v>
      </c>
      <c r="C149">
        <v>635</v>
      </c>
      <c r="D149">
        <v>1</v>
      </c>
      <c r="E149" t="s">
        <v>27</v>
      </c>
      <c r="F149" t="s">
        <v>28</v>
      </c>
      <c r="G149" t="str">
        <f>"2026-04-06 04:58:51.415"</f>
        <v>2026-04-06 04:58:51.415</v>
      </c>
      <c r="H149" t="s">
        <v>22</v>
      </c>
      <c r="I149">
        <v>5.96</v>
      </c>
      <c r="J149" t="s">
        <v>30</v>
      </c>
    </row>
    <row r="150" spans="1:10" x14ac:dyDescent="0.25">
      <c r="A150" s="1">
        <v>44</v>
      </c>
      <c r="B150" t="s">
        <v>26</v>
      </c>
      <c r="C150">
        <v>635</v>
      </c>
      <c r="D150">
        <v>1</v>
      </c>
      <c r="E150" t="s">
        <v>27</v>
      </c>
      <c r="F150" t="s">
        <v>28</v>
      </c>
      <c r="G150" t="str">
        <f>"2026-04-04 20:50:57.815"</f>
        <v>2026-04-04 20:50:57.815</v>
      </c>
      <c r="H150" t="s">
        <v>22</v>
      </c>
    </row>
    <row r="151" spans="1:10" x14ac:dyDescent="0.25">
      <c r="A151" s="1">
        <v>45</v>
      </c>
      <c r="B151" t="s">
        <v>29</v>
      </c>
      <c r="C151">
        <v>635</v>
      </c>
      <c r="D151">
        <v>1</v>
      </c>
      <c r="E151" t="s">
        <v>27</v>
      </c>
      <c r="F151" t="s">
        <v>28</v>
      </c>
      <c r="G151" t="str">
        <f>"2026-04-04 20:46:26.815"</f>
        <v>2026-04-04 20:46:26.815</v>
      </c>
      <c r="H151" t="s">
        <v>22</v>
      </c>
      <c r="I151">
        <v>2.44</v>
      </c>
      <c r="J151" t="s">
        <v>31</v>
      </c>
    </row>
    <row r="152" spans="1:10" x14ac:dyDescent="0.25">
      <c r="A152" s="1">
        <v>46</v>
      </c>
      <c r="B152" t="s">
        <v>26</v>
      </c>
      <c r="C152">
        <v>61</v>
      </c>
      <c r="D152">
        <v>2</v>
      </c>
      <c r="E152" t="s">
        <v>45</v>
      </c>
      <c r="F152" t="s">
        <v>46</v>
      </c>
      <c r="G152" t="str">
        <f>"2026-04-03 06:52:37.816"</f>
        <v>2026-04-03 06:52:37.816</v>
      </c>
      <c r="H152" t="s">
        <v>22</v>
      </c>
    </row>
    <row r="153" spans="1:10" x14ac:dyDescent="0.25">
      <c r="A153" s="1">
        <v>47</v>
      </c>
      <c r="B153" t="s">
        <v>32</v>
      </c>
      <c r="C153">
        <v>61</v>
      </c>
      <c r="D153">
        <v>2</v>
      </c>
      <c r="E153" t="s">
        <v>45</v>
      </c>
      <c r="F153" t="s">
        <v>46</v>
      </c>
      <c r="G153" t="str">
        <f>"2026-04-03 06:52:26.116"</f>
        <v>2026-04-03 06:52:26.116</v>
      </c>
      <c r="H153" t="s">
        <v>22</v>
      </c>
      <c r="I153">
        <v>29.37</v>
      </c>
      <c r="J153" t="s">
        <v>36</v>
      </c>
    </row>
    <row r="154" spans="1:10" x14ac:dyDescent="0.25">
      <c r="A154" s="1">
        <v>48</v>
      </c>
      <c r="B154" t="s">
        <v>19</v>
      </c>
      <c r="C154">
        <v>706</v>
      </c>
      <c r="D154">
        <v>2</v>
      </c>
      <c r="E154" t="s">
        <v>20</v>
      </c>
      <c r="F154" t="s">
        <v>41</v>
      </c>
      <c r="G154" t="str">
        <f>"2026-04-02 20:20:46.903"</f>
        <v>2026-04-02 20:20:46.903</v>
      </c>
      <c r="H154" t="s">
        <v>22</v>
      </c>
      <c r="I154">
        <v>0</v>
      </c>
      <c r="J154" t="s">
        <v>23</v>
      </c>
    </row>
    <row r="155" spans="1:10" x14ac:dyDescent="0.25">
      <c r="A155" s="1">
        <v>49</v>
      </c>
      <c r="B155" t="s">
        <v>19</v>
      </c>
      <c r="C155">
        <v>700</v>
      </c>
      <c r="D155">
        <v>0</v>
      </c>
      <c r="E155" t="s">
        <v>24</v>
      </c>
      <c r="F155" t="s">
        <v>24</v>
      </c>
      <c r="G155" t="str">
        <f>"2026-04-02 20:20:30.483"</f>
        <v>2026-04-02 20:20:30.483</v>
      </c>
      <c r="H155" t="s">
        <v>22</v>
      </c>
    </row>
    <row r="156" spans="1:10" x14ac:dyDescent="0.25">
      <c r="A156" s="1">
        <v>50</v>
      </c>
      <c r="B156" t="s">
        <v>26</v>
      </c>
      <c r="C156">
        <v>635</v>
      </c>
      <c r="D156">
        <v>1</v>
      </c>
      <c r="E156" t="s">
        <v>27</v>
      </c>
      <c r="F156" t="s">
        <v>28</v>
      </c>
      <c r="G156" t="str">
        <f>"2026-04-02 06:10:25.312"</f>
        <v>2026-04-02 06:10:25.312</v>
      </c>
      <c r="H156" t="s">
        <v>22</v>
      </c>
    </row>
    <row r="157" spans="1:10" x14ac:dyDescent="0.25">
      <c r="A157" s="1">
        <v>51</v>
      </c>
      <c r="B157" t="s">
        <v>29</v>
      </c>
      <c r="C157">
        <v>635</v>
      </c>
      <c r="D157">
        <v>1</v>
      </c>
      <c r="E157" t="s">
        <v>27</v>
      </c>
      <c r="F157" t="s">
        <v>28</v>
      </c>
      <c r="G157" t="str">
        <f>"2026-04-02 06:06:36.312"</f>
        <v>2026-04-02 06:06:36.312</v>
      </c>
      <c r="H157" t="s">
        <v>22</v>
      </c>
      <c r="I157">
        <v>-0.18</v>
      </c>
      <c r="J157" t="s">
        <v>31</v>
      </c>
    </row>
    <row r="158" spans="1:10" x14ac:dyDescent="0.25">
      <c r="A158" s="1">
        <v>52</v>
      </c>
      <c r="B158" t="s">
        <v>19</v>
      </c>
      <c r="C158">
        <v>706</v>
      </c>
      <c r="D158">
        <v>2</v>
      </c>
      <c r="E158" t="s">
        <v>20</v>
      </c>
      <c r="F158" t="s">
        <v>41</v>
      </c>
      <c r="G158" t="str">
        <f>"2026-04-01 20:46:23.713"</f>
        <v>2026-04-01 20:46:23.713</v>
      </c>
      <c r="H158" t="s">
        <v>22</v>
      </c>
      <c r="I158">
        <v>0</v>
      </c>
      <c r="J158" t="s">
        <v>23</v>
      </c>
    </row>
    <row r="159" spans="1:10" x14ac:dyDescent="0.25">
      <c r="A159" s="1">
        <v>53</v>
      </c>
      <c r="B159" t="s">
        <v>19</v>
      </c>
      <c r="C159">
        <v>700</v>
      </c>
      <c r="D159">
        <v>0</v>
      </c>
      <c r="E159" t="s">
        <v>24</v>
      </c>
      <c r="F159" t="s">
        <v>24</v>
      </c>
      <c r="G159" t="str">
        <f>"2026-04-01 20:45:58.483"</f>
        <v>2026-04-01 20:45:58.483</v>
      </c>
      <c r="H159" t="s">
        <v>22</v>
      </c>
    </row>
    <row r="160" spans="1:10" s="3" customFormat="1" x14ac:dyDescent="0.25">
      <c r="A160" s="2">
        <v>54</v>
      </c>
      <c r="B160" s="3" t="s">
        <v>26</v>
      </c>
      <c r="C160" s="3">
        <v>647</v>
      </c>
      <c r="D160" s="3">
        <v>1</v>
      </c>
      <c r="E160" s="3" t="s">
        <v>39</v>
      </c>
      <c r="F160" s="3" t="s">
        <v>40</v>
      </c>
      <c r="G160" s="3" t="str">
        <f>"2026-04-01 15:36:58.690"</f>
        <v>2026-04-01 15:36:58.690</v>
      </c>
      <c r="H160" s="3" t="s">
        <v>22</v>
      </c>
    </row>
    <row r="161" spans="1:10" s="3" customFormat="1" x14ac:dyDescent="0.25">
      <c r="A161" s="2">
        <v>55</v>
      </c>
      <c r="B161" s="3" t="s">
        <v>29</v>
      </c>
      <c r="C161" s="3">
        <v>647</v>
      </c>
      <c r="D161" s="3">
        <v>1</v>
      </c>
      <c r="E161" s="3" t="s">
        <v>39</v>
      </c>
      <c r="F161" s="3" t="s">
        <v>40</v>
      </c>
      <c r="G161" s="3" t="str">
        <f>"2026-04-01 15:36:56.591"</f>
        <v>2026-04-01 15:36:56.591</v>
      </c>
      <c r="H161" s="3" t="s">
        <v>22</v>
      </c>
      <c r="I161" s="3">
        <v>8.86</v>
      </c>
      <c r="J161" s="3" t="s">
        <v>36</v>
      </c>
    </row>
    <row r="162" spans="1:10" x14ac:dyDescent="0.25">
      <c r="A162" s="1">
        <v>56</v>
      </c>
      <c r="B162" t="s">
        <v>19</v>
      </c>
      <c r="C162">
        <v>700</v>
      </c>
      <c r="D162">
        <v>0</v>
      </c>
      <c r="E162" t="s">
        <v>24</v>
      </c>
      <c r="F162" t="s">
        <v>24</v>
      </c>
      <c r="G162" t="str">
        <f>"2026-04-01 12:26:09.472"</f>
        <v>2026-04-01 12:26:09.472</v>
      </c>
      <c r="H162" t="s">
        <v>22</v>
      </c>
    </row>
    <row r="163" spans="1:10" x14ac:dyDescent="0.25">
      <c r="A163" s="1">
        <v>57</v>
      </c>
      <c r="B163" t="s">
        <v>19</v>
      </c>
      <c r="C163">
        <v>706</v>
      </c>
      <c r="D163">
        <v>4</v>
      </c>
      <c r="E163" t="s">
        <v>20</v>
      </c>
      <c r="F163" t="s">
        <v>21</v>
      </c>
      <c r="G163" t="str">
        <f>"2026-03-31 11:06:15.084"</f>
        <v>2026-03-31 11:06:15.084</v>
      </c>
      <c r="H163" t="s">
        <v>22</v>
      </c>
      <c r="I163">
        <v>0</v>
      </c>
      <c r="J163" t="s">
        <v>23</v>
      </c>
    </row>
    <row r="164" spans="1:10" x14ac:dyDescent="0.25">
      <c r="A164" s="1">
        <v>58</v>
      </c>
      <c r="B164" t="s">
        <v>19</v>
      </c>
      <c r="C164">
        <v>706</v>
      </c>
      <c r="D164">
        <v>4</v>
      </c>
      <c r="E164" t="s">
        <v>20</v>
      </c>
      <c r="F164" t="s">
        <v>21</v>
      </c>
      <c r="G164" t="str">
        <f>"2026-03-31 08:58:51.054"</f>
        <v>2026-03-31 08:58:51.054</v>
      </c>
      <c r="H164" t="s">
        <v>22</v>
      </c>
      <c r="I164">
        <v>0</v>
      </c>
      <c r="J164" t="s">
        <v>23</v>
      </c>
    </row>
    <row r="165" spans="1:10" x14ac:dyDescent="0.25">
      <c r="A165" s="1">
        <v>59</v>
      </c>
      <c r="B165" t="s">
        <v>19</v>
      </c>
      <c r="C165">
        <v>700</v>
      </c>
      <c r="D165">
        <v>0</v>
      </c>
      <c r="E165" t="s">
        <v>24</v>
      </c>
      <c r="F165" t="s">
        <v>24</v>
      </c>
      <c r="G165" t="str">
        <f>"2026-03-31 08:58:34.534"</f>
        <v>2026-03-31 08:58:34.534</v>
      </c>
      <c r="H165" t="s">
        <v>22</v>
      </c>
    </row>
    <row r="166" spans="1:10" x14ac:dyDescent="0.25">
      <c r="A166" s="1">
        <v>60</v>
      </c>
      <c r="B166" t="s">
        <v>19</v>
      </c>
      <c r="C166">
        <v>700</v>
      </c>
      <c r="D166">
        <v>0</v>
      </c>
      <c r="E166" t="s">
        <v>24</v>
      </c>
      <c r="F166" t="s">
        <v>24</v>
      </c>
      <c r="G166" t="str">
        <f>"2026-03-30 14:47:29.466"</f>
        <v>2026-03-30 14:47:29.466</v>
      </c>
      <c r="H166" t="s">
        <v>22</v>
      </c>
      <c r="I166">
        <v>0</v>
      </c>
      <c r="J166" t="s">
        <v>25</v>
      </c>
    </row>
    <row r="167" spans="1:10" x14ac:dyDescent="0.25">
      <c r="A167" s="1">
        <v>61</v>
      </c>
      <c r="B167" t="s">
        <v>19</v>
      </c>
      <c r="C167">
        <v>700</v>
      </c>
      <c r="D167">
        <v>0</v>
      </c>
      <c r="E167" t="s">
        <v>24</v>
      </c>
      <c r="F167" t="s">
        <v>24</v>
      </c>
      <c r="G167" t="str">
        <f>"2026-03-30 14:41:58.527"</f>
        <v>2026-03-30 14:41:58.527</v>
      </c>
      <c r="H167" t="s">
        <v>22</v>
      </c>
      <c r="I167">
        <v>0</v>
      </c>
      <c r="J167" t="s">
        <v>25</v>
      </c>
    </row>
    <row r="168" spans="1:10" x14ac:dyDescent="0.25">
      <c r="A168" s="1">
        <v>62</v>
      </c>
      <c r="B168" t="s">
        <v>19</v>
      </c>
      <c r="C168">
        <v>700</v>
      </c>
      <c r="D168">
        <v>0</v>
      </c>
      <c r="E168" t="s">
        <v>24</v>
      </c>
      <c r="F168" t="s">
        <v>24</v>
      </c>
      <c r="G168" t="str">
        <f>"2026-03-21 07:18:23.434"</f>
        <v>2026-03-21 07:18:23.434</v>
      </c>
      <c r="H168" t="s">
        <v>22</v>
      </c>
    </row>
    <row r="169" spans="1:10" x14ac:dyDescent="0.25">
      <c r="A169" s="1">
        <v>63</v>
      </c>
      <c r="B169" t="s">
        <v>19</v>
      </c>
      <c r="C169">
        <v>700</v>
      </c>
      <c r="D169">
        <v>0</v>
      </c>
      <c r="E169" t="s">
        <v>24</v>
      </c>
      <c r="F169" t="s">
        <v>24</v>
      </c>
      <c r="G169" t="str">
        <f>"2026-03-21 06:14:56.567"</f>
        <v>2026-03-21 06:14:56.567</v>
      </c>
      <c r="H169" t="s">
        <v>22</v>
      </c>
      <c r="I169">
        <v>0</v>
      </c>
      <c r="J169" t="s">
        <v>25</v>
      </c>
    </row>
    <row r="170" spans="1:10" x14ac:dyDescent="0.25">
      <c r="A170" s="1">
        <v>64</v>
      </c>
      <c r="B170" t="s">
        <v>19</v>
      </c>
      <c r="C170">
        <v>700</v>
      </c>
      <c r="D170">
        <v>0</v>
      </c>
      <c r="E170" t="s">
        <v>24</v>
      </c>
      <c r="F170" t="s">
        <v>24</v>
      </c>
      <c r="G170" t="str">
        <f>"2026-03-21 06:06:21.458"</f>
        <v>2026-03-21 06:06:21.458</v>
      </c>
      <c r="H170" t="s">
        <v>22</v>
      </c>
    </row>
    <row r="171" spans="1:10" x14ac:dyDescent="0.25">
      <c r="A171" s="1">
        <v>65</v>
      </c>
      <c r="B171" t="s">
        <v>19</v>
      </c>
      <c r="C171">
        <v>700</v>
      </c>
      <c r="D171">
        <v>0</v>
      </c>
      <c r="E171" t="s">
        <v>24</v>
      </c>
      <c r="F171" t="s">
        <v>24</v>
      </c>
      <c r="G171" t="str">
        <f>"2026-03-21 05:57:52.644"</f>
        <v>2026-03-21 05:57:52.644</v>
      </c>
      <c r="H171" t="s">
        <v>22</v>
      </c>
    </row>
    <row r="172" spans="1:10" x14ac:dyDescent="0.25">
      <c r="A172" s="1">
        <v>66</v>
      </c>
      <c r="B172" t="s">
        <v>26</v>
      </c>
      <c r="C172">
        <v>619</v>
      </c>
      <c r="D172">
        <v>1</v>
      </c>
      <c r="E172" t="s">
        <v>47</v>
      </c>
      <c r="F172" t="s">
        <v>28</v>
      </c>
      <c r="G172" t="str">
        <f>"2026-03-21 05:35:39.761"</f>
        <v>2026-03-21 05:35:39.761</v>
      </c>
      <c r="H172" t="s">
        <v>48</v>
      </c>
    </row>
    <row r="173" spans="1:10" x14ac:dyDescent="0.25">
      <c r="A173" s="1">
        <v>67</v>
      </c>
      <c r="B173" t="s">
        <v>29</v>
      </c>
      <c r="C173">
        <v>619</v>
      </c>
      <c r="D173">
        <v>1</v>
      </c>
      <c r="E173" t="s">
        <v>47</v>
      </c>
      <c r="F173" t="s">
        <v>28</v>
      </c>
      <c r="G173" t="str">
        <f>"2026-03-21 05:35:22.414"</f>
        <v>2026-03-21 05:35:22.414</v>
      </c>
      <c r="H173" t="s">
        <v>48</v>
      </c>
      <c r="I173">
        <v>0.1</v>
      </c>
      <c r="J173" t="s">
        <v>31</v>
      </c>
    </row>
    <row r="174" spans="1:10" x14ac:dyDescent="0.25">
      <c r="A174" s="1">
        <v>68</v>
      </c>
      <c r="B174" t="s">
        <v>26</v>
      </c>
      <c r="C174">
        <v>61</v>
      </c>
      <c r="D174">
        <v>2</v>
      </c>
      <c r="E174" t="s">
        <v>45</v>
      </c>
      <c r="F174" t="s">
        <v>46</v>
      </c>
      <c r="G174" t="str">
        <f>"2026-03-20 19:09:14.774"</f>
        <v>2026-03-20 19:09:14.774</v>
      </c>
      <c r="H174" t="s">
        <v>22</v>
      </c>
    </row>
    <row r="175" spans="1:10" x14ac:dyDescent="0.25">
      <c r="A175" s="1">
        <v>69</v>
      </c>
      <c r="B175" t="s">
        <v>32</v>
      </c>
      <c r="C175">
        <v>61</v>
      </c>
      <c r="D175">
        <v>2</v>
      </c>
      <c r="E175" t="s">
        <v>45</v>
      </c>
      <c r="F175" t="s">
        <v>46</v>
      </c>
      <c r="G175" t="str">
        <f>"2026-03-20 19:08:55.674"</f>
        <v>2026-03-20 19:08:55.674</v>
      </c>
      <c r="H175" t="s">
        <v>22</v>
      </c>
      <c r="I175">
        <v>30.23</v>
      </c>
      <c r="J175" t="s">
        <v>36</v>
      </c>
    </row>
    <row r="176" spans="1:10" x14ac:dyDescent="0.25">
      <c r="A176" s="1">
        <v>70</v>
      </c>
      <c r="B176" t="s">
        <v>19</v>
      </c>
      <c r="C176">
        <v>706</v>
      </c>
      <c r="D176">
        <v>2</v>
      </c>
      <c r="E176" t="s">
        <v>20</v>
      </c>
      <c r="F176" t="s">
        <v>41</v>
      </c>
      <c r="G176" t="str">
        <f>"2026-03-20 14:27:31.943"</f>
        <v>2026-03-20 14:27:31.943</v>
      </c>
      <c r="H176" t="s">
        <v>22</v>
      </c>
      <c r="I176">
        <v>0</v>
      </c>
      <c r="J176" t="s">
        <v>23</v>
      </c>
    </row>
    <row r="177" spans="1:10" x14ac:dyDescent="0.25">
      <c r="A177" s="1">
        <v>71</v>
      </c>
      <c r="B177" t="s">
        <v>19</v>
      </c>
      <c r="C177">
        <v>700</v>
      </c>
      <c r="D177">
        <v>0</v>
      </c>
      <c r="E177" t="s">
        <v>24</v>
      </c>
      <c r="F177" t="s">
        <v>24</v>
      </c>
      <c r="G177" t="str">
        <f>"2026-03-20 14:27:15.453"</f>
        <v>2026-03-20 14:27:15.453</v>
      </c>
      <c r="H177" t="s">
        <v>22</v>
      </c>
      <c r="I177">
        <v>0</v>
      </c>
      <c r="J177" t="s">
        <v>25</v>
      </c>
    </row>
    <row r="178" spans="1:10" x14ac:dyDescent="0.25">
      <c r="A178" s="1">
        <v>72</v>
      </c>
      <c r="B178" t="s">
        <v>19</v>
      </c>
      <c r="C178">
        <v>700</v>
      </c>
      <c r="D178">
        <v>0</v>
      </c>
      <c r="E178" t="s">
        <v>24</v>
      </c>
      <c r="F178" t="s">
        <v>24</v>
      </c>
      <c r="G178" t="str">
        <f>"2026-03-20 12:25:00.457"</f>
        <v>2026-03-20 12:25:00.457</v>
      </c>
      <c r="H178" t="s">
        <v>22</v>
      </c>
      <c r="I178">
        <v>0</v>
      </c>
      <c r="J178" t="s">
        <v>25</v>
      </c>
    </row>
    <row r="179" spans="1:10" x14ac:dyDescent="0.25">
      <c r="A179" s="1">
        <v>73</v>
      </c>
      <c r="B179" t="s">
        <v>19</v>
      </c>
      <c r="C179">
        <v>706</v>
      </c>
      <c r="D179">
        <v>4</v>
      </c>
      <c r="E179" t="s">
        <v>20</v>
      </c>
      <c r="F179" t="s">
        <v>21</v>
      </c>
      <c r="G179" t="str">
        <f>"2026-03-20 11:55:26.194"</f>
        <v>2026-03-20 11:55:26.194</v>
      </c>
      <c r="H179" t="s">
        <v>22</v>
      </c>
      <c r="I179">
        <v>0</v>
      </c>
      <c r="J179" t="s">
        <v>23</v>
      </c>
    </row>
    <row r="180" spans="1:10" x14ac:dyDescent="0.25">
      <c r="A180" s="1">
        <v>74</v>
      </c>
      <c r="B180" t="s">
        <v>19</v>
      </c>
      <c r="C180">
        <v>700</v>
      </c>
      <c r="D180">
        <v>0</v>
      </c>
      <c r="E180" t="s">
        <v>24</v>
      </c>
      <c r="F180" t="s">
        <v>24</v>
      </c>
      <c r="G180" t="str">
        <f>"2026-03-20 11:34:27.464"</f>
        <v>2026-03-20 11:34:27.464</v>
      </c>
      <c r="H180" t="s">
        <v>22</v>
      </c>
    </row>
    <row r="181" spans="1:10" x14ac:dyDescent="0.25">
      <c r="A181" s="1">
        <v>75</v>
      </c>
      <c r="B181" t="s">
        <v>19</v>
      </c>
      <c r="C181">
        <v>700</v>
      </c>
      <c r="D181">
        <v>0</v>
      </c>
      <c r="E181" t="s">
        <v>24</v>
      </c>
      <c r="F181" t="s">
        <v>24</v>
      </c>
      <c r="G181" t="str">
        <f>"2026-03-20 11:11:23.467"</f>
        <v>2026-03-20 11:11:23.467</v>
      </c>
      <c r="H181" t="s">
        <v>22</v>
      </c>
      <c r="I181">
        <v>0</v>
      </c>
      <c r="J181" t="s">
        <v>25</v>
      </c>
    </row>
    <row r="182" spans="1:10" x14ac:dyDescent="0.25">
      <c r="A182" s="1">
        <v>76</v>
      </c>
      <c r="B182" t="s">
        <v>49</v>
      </c>
      <c r="C182">
        <v>33</v>
      </c>
      <c r="D182">
        <v>1</v>
      </c>
      <c r="E182" t="s">
        <v>50</v>
      </c>
      <c r="F182" t="s">
        <v>51</v>
      </c>
      <c r="G182" t="str">
        <f>"2026-03-20 09:23:13.645"</f>
        <v>2026-03-20 09:23:13.645</v>
      </c>
      <c r="H182" t="s">
        <v>52</v>
      </c>
    </row>
    <row r="183" spans="1:10" x14ac:dyDescent="0.25">
      <c r="A183" s="1">
        <v>77</v>
      </c>
      <c r="B183" t="s">
        <v>32</v>
      </c>
      <c r="C183">
        <v>33</v>
      </c>
      <c r="D183">
        <v>1</v>
      </c>
      <c r="E183" t="s">
        <v>50</v>
      </c>
      <c r="F183" t="s">
        <v>51</v>
      </c>
      <c r="G183" t="str">
        <f>"2026-03-20 09:22:51.244"</f>
        <v>2026-03-20 09:22:51.244</v>
      </c>
      <c r="H183" t="s">
        <v>52</v>
      </c>
      <c r="I183">
        <v>8.16</v>
      </c>
      <c r="J183" t="s">
        <v>30</v>
      </c>
    </row>
    <row r="184" spans="1:10" x14ac:dyDescent="0.25">
      <c r="A184" s="1">
        <v>78</v>
      </c>
      <c r="B184" t="s">
        <v>19</v>
      </c>
      <c r="C184">
        <v>700</v>
      </c>
      <c r="D184">
        <v>0</v>
      </c>
      <c r="E184" t="s">
        <v>24</v>
      </c>
      <c r="F184" t="s">
        <v>24</v>
      </c>
      <c r="G184" t="str">
        <f>"2026-03-20 08:44:20.472"</f>
        <v>2026-03-20 08:44:20.472</v>
      </c>
      <c r="H184" t="s">
        <v>22</v>
      </c>
      <c r="I184">
        <v>0</v>
      </c>
      <c r="J184" t="s">
        <v>25</v>
      </c>
    </row>
    <row r="185" spans="1:10" x14ac:dyDescent="0.25">
      <c r="A185" s="1">
        <v>79</v>
      </c>
      <c r="B185" t="s">
        <v>19</v>
      </c>
      <c r="C185">
        <v>700</v>
      </c>
      <c r="D185">
        <v>0</v>
      </c>
      <c r="E185" t="s">
        <v>24</v>
      </c>
      <c r="F185" t="s">
        <v>24</v>
      </c>
      <c r="G185" t="str">
        <f>"2026-03-19 04:20:25.462"</f>
        <v>2026-03-19 04:20:25.462</v>
      </c>
      <c r="H185" t="s">
        <v>22</v>
      </c>
      <c r="I185">
        <v>0</v>
      </c>
      <c r="J185" t="s">
        <v>25</v>
      </c>
    </row>
    <row r="186" spans="1:10" x14ac:dyDescent="0.25">
      <c r="A186" s="1">
        <v>80</v>
      </c>
      <c r="B186" t="s">
        <v>26</v>
      </c>
      <c r="C186">
        <v>635</v>
      </c>
      <c r="D186">
        <v>1</v>
      </c>
      <c r="E186" t="s">
        <v>27</v>
      </c>
      <c r="F186" t="s">
        <v>28</v>
      </c>
      <c r="G186" t="str">
        <f>"2026-03-19 03:18:22.764"</f>
        <v>2026-03-19 03:18:22.764</v>
      </c>
      <c r="H186" t="s">
        <v>22</v>
      </c>
    </row>
    <row r="187" spans="1:10" x14ac:dyDescent="0.25">
      <c r="A187" s="1">
        <v>81</v>
      </c>
      <c r="B187" t="s">
        <v>29</v>
      </c>
      <c r="C187">
        <v>635</v>
      </c>
      <c r="D187">
        <v>1</v>
      </c>
      <c r="E187" t="s">
        <v>27</v>
      </c>
      <c r="F187" t="s">
        <v>28</v>
      </c>
      <c r="G187" t="str">
        <f>"2026-03-19 03:14:38.765"</f>
        <v>2026-03-19 03:14:38.765</v>
      </c>
      <c r="H187" t="s">
        <v>22</v>
      </c>
      <c r="I187">
        <v>2.9</v>
      </c>
      <c r="J187" t="s">
        <v>30</v>
      </c>
    </row>
    <row r="188" spans="1:10" x14ac:dyDescent="0.25">
      <c r="A188" s="1">
        <v>82</v>
      </c>
      <c r="B188" t="s">
        <v>19</v>
      </c>
      <c r="C188">
        <v>706</v>
      </c>
      <c r="D188">
        <v>4</v>
      </c>
      <c r="E188" t="s">
        <v>20</v>
      </c>
      <c r="F188" t="s">
        <v>21</v>
      </c>
      <c r="G188" t="str">
        <f>"2026-03-18 23:39:39.434"</f>
        <v>2026-03-18 23:39:39.434</v>
      </c>
      <c r="H188" t="s">
        <v>22</v>
      </c>
      <c r="I188">
        <v>0</v>
      </c>
      <c r="J188" t="s">
        <v>23</v>
      </c>
    </row>
    <row r="189" spans="1:10" x14ac:dyDescent="0.25">
      <c r="A189" s="1">
        <v>83</v>
      </c>
      <c r="B189" t="s">
        <v>19</v>
      </c>
      <c r="C189">
        <v>706</v>
      </c>
      <c r="D189">
        <v>3</v>
      </c>
      <c r="E189" t="s">
        <v>20</v>
      </c>
      <c r="F189" t="s">
        <v>44</v>
      </c>
      <c r="G189" t="str">
        <f>"2026-03-18 23:33:36.064"</f>
        <v>2026-03-18 23:33:36.064</v>
      </c>
      <c r="H189" t="s">
        <v>22</v>
      </c>
      <c r="I189">
        <v>0</v>
      </c>
      <c r="J189" t="s">
        <v>23</v>
      </c>
    </row>
    <row r="190" spans="1:10" x14ac:dyDescent="0.25">
      <c r="A190" s="1">
        <v>84</v>
      </c>
      <c r="B190" t="s">
        <v>19</v>
      </c>
      <c r="C190">
        <v>700</v>
      </c>
      <c r="D190">
        <v>0</v>
      </c>
      <c r="E190" t="s">
        <v>24</v>
      </c>
      <c r="F190" t="s">
        <v>24</v>
      </c>
      <c r="G190" t="str">
        <f>"2026-03-18 23:31:29.634"</f>
        <v>2026-03-18 23:31:29.634</v>
      </c>
      <c r="H190" t="s">
        <v>22</v>
      </c>
    </row>
    <row r="191" spans="1:10" x14ac:dyDescent="0.25">
      <c r="A191" s="1">
        <v>85</v>
      </c>
      <c r="B191" t="s">
        <v>19</v>
      </c>
      <c r="C191">
        <v>700</v>
      </c>
      <c r="D191">
        <v>0</v>
      </c>
      <c r="E191" t="s">
        <v>24</v>
      </c>
      <c r="F191" t="s">
        <v>24</v>
      </c>
      <c r="G191" t="str">
        <f>"2026-03-18 23:04:07.509"</f>
        <v>2026-03-18 23:04:07.509</v>
      </c>
      <c r="H191" t="s">
        <v>22</v>
      </c>
      <c r="I191">
        <v>0</v>
      </c>
      <c r="J191" t="s">
        <v>25</v>
      </c>
    </row>
    <row r="192" spans="1:10" x14ac:dyDescent="0.25">
      <c r="A192" s="1">
        <v>86</v>
      </c>
      <c r="B192" t="s">
        <v>19</v>
      </c>
      <c r="C192">
        <v>700</v>
      </c>
      <c r="D192">
        <v>0</v>
      </c>
      <c r="E192" t="s">
        <v>24</v>
      </c>
      <c r="F192" t="s">
        <v>24</v>
      </c>
      <c r="G192" t="str">
        <f>"2026-03-18 22:57:08.452"</f>
        <v>2026-03-18 22:57:08.452</v>
      </c>
      <c r="H192" t="s">
        <v>22</v>
      </c>
      <c r="I192">
        <v>0</v>
      </c>
      <c r="J192" t="s">
        <v>25</v>
      </c>
    </row>
    <row r="193" spans="1:10" x14ac:dyDescent="0.25">
      <c r="A193" s="1">
        <v>87</v>
      </c>
      <c r="B193" t="s">
        <v>19</v>
      </c>
      <c r="C193">
        <v>700</v>
      </c>
      <c r="D193">
        <v>0</v>
      </c>
      <c r="E193" t="s">
        <v>24</v>
      </c>
      <c r="F193" t="s">
        <v>24</v>
      </c>
      <c r="G193" t="str">
        <f>"2026-03-18 22:51:39.578"</f>
        <v>2026-03-18 22:51:39.578</v>
      </c>
      <c r="H193" t="s">
        <v>22</v>
      </c>
      <c r="I193">
        <v>0</v>
      </c>
      <c r="J193" t="s">
        <v>25</v>
      </c>
    </row>
    <row r="194" spans="1:10" x14ac:dyDescent="0.25">
      <c r="A194" s="1">
        <v>88</v>
      </c>
      <c r="B194" t="s">
        <v>19</v>
      </c>
      <c r="C194">
        <v>700</v>
      </c>
      <c r="D194">
        <v>0</v>
      </c>
      <c r="E194" t="s">
        <v>24</v>
      </c>
      <c r="F194" t="s">
        <v>24</v>
      </c>
      <c r="G194" t="str">
        <f>"2026-03-18 22:45:32.476"</f>
        <v>2026-03-18 22:45:32.476</v>
      </c>
      <c r="H194" t="s">
        <v>22</v>
      </c>
      <c r="I194">
        <v>0</v>
      </c>
      <c r="J194" t="s">
        <v>25</v>
      </c>
    </row>
    <row r="195" spans="1:10" x14ac:dyDescent="0.25">
      <c r="A195" s="1">
        <v>89</v>
      </c>
      <c r="B195" t="s">
        <v>26</v>
      </c>
      <c r="C195">
        <v>98</v>
      </c>
      <c r="D195">
        <v>1</v>
      </c>
      <c r="E195" t="s">
        <v>42</v>
      </c>
      <c r="F195" t="s">
        <v>43</v>
      </c>
      <c r="G195" t="str">
        <f>"2026-03-18 14:42:03.882"</f>
        <v>2026-03-18 14:42:03.882</v>
      </c>
      <c r="H195" t="s">
        <v>22</v>
      </c>
    </row>
    <row r="196" spans="1:10" x14ac:dyDescent="0.25">
      <c r="A196" s="1">
        <v>90</v>
      </c>
      <c r="B196" t="s">
        <v>29</v>
      </c>
      <c r="C196">
        <v>98</v>
      </c>
      <c r="D196">
        <v>1</v>
      </c>
      <c r="E196" t="s">
        <v>42</v>
      </c>
      <c r="F196" t="s">
        <v>43</v>
      </c>
      <c r="G196" t="str">
        <f>"2026-03-18 14:42:02.783"</f>
        <v>2026-03-18 14:42:02.783</v>
      </c>
      <c r="H196" t="s">
        <v>22</v>
      </c>
      <c r="I196">
        <v>0</v>
      </c>
      <c r="J196" t="s">
        <v>31</v>
      </c>
    </row>
    <row r="197" spans="1:10" x14ac:dyDescent="0.25">
      <c r="A197" s="1">
        <v>91</v>
      </c>
      <c r="B197" t="s">
        <v>19</v>
      </c>
      <c r="C197">
        <v>700</v>
      </c>
      <c r="D197">
        <v>0</v>
      </c>
      <c r="E197" t="s">
        <v>24</v>
      </c>
      <c r="F197" t="s">
        <v>24</v>
      </c>
      <c r="G197" t="str">
        <f>"2026-03-16 05:19:46.438"</f>
        <v>2026-03-16 05:19:46.438</v>
      </c>
      <c r="H197" t="s">
        <v>22</v>
      </c>
      <c r="I197">
        <v>0</v>
      </c>
      <c r="J197" t="s">
        <v>25</v>
      </c>
    </row>
    <row r="198" spans="1:10" x14ac:dyDescent="0.25">
      <c r="A198" s="1">
        <v>92</v>
      </c>
      <c r="B198" t="s">
        <v>19</v>
      </c>
      <c r="C198">
        <v>700</v>
      </c>
      <c r="D198">
        <v>0</v>
      </c>
      <c r="E198" t="s">
        <v>24</v>
      </c>
      <c r="F198" t="s">
        <v>24</v>
      </c>
      <c r="G198" t="str">
        <f>"2026-03-16 05:16:40.624"</f>
        <v>2026-03-16 05:16:40.624</v>
      </c>
      <c r="H198" t="s">
        <v>22</v>
      </c>
      <c r="I198">
        <v>0</v>
      </c>
      <c r="J198" t="s">
        <v>25</v>
      </c>
    </row>
    <row r="199" spans="1:10" x14ac:dyDescent="0.25">
      <c r="A199" s="1">
        <v>93</v>
      </c>
      <c r="B199" t="s">
        <v>19</v>
      </c>
      <c r="C199">
        <v>700</v>
      </c>
      <c r="D199">
        <v>0</v>
      </c>
      <c r="E199" t="s">
        <v>24</v>
      </c>
      <c r="F199" t="s">
        <v>24</v>
      </c>
      <c r="G199" t="str">
        <f>"2026-03-16 05:12:48.471"</f>
        <v>2026-03-16 05:12:48.471</v>
      </c>
      <c r="H199" t="s">
        <v>22</v>
      </c>
    </row>
    <row r="200" spans="1:10" x14ac:dyDescent="0.25">
      <c r="A200" s="1">
        <v>94</v>
      </c>
      <c r="B200" t="s">
        <v>19</v>
      </c>
      <c r="C200">
        <v>700</v>
      </c>
      <c r="D200">
        <v>0</v>
      </c>
      <c r="E200" t="s">
        <v>24</v>
      </c>
      <c r="F200" t="s">
        <v>24</v>
      </c>
      <c r="G200" t="str">
        <f>"2026-03-15 13:27:24.673"</f>
        <v>2026-03-15 13:27:24.673</v>
      </c>
      <c r="H200" t="s">
        <v>22</v>
      </c>
    </row>
    <row r="201" spans="1:10" x14ac:dyDescent="0.25">
      <c r="A201" s="1">
        <v>95</v>
      </c>
      <c r="B201" t="s">
        <v>26</v>
      </c>
      <c r="C201">
        <v>61</v>
      </c>
      <c r="D201">
        <v>2</v>
      </c>
      <c r="E201" t="s">
        <v>45</v>
      </c>
      <c r="F201" t="s">
        <v>46</v>
      </c>
      <c r="G201" t="str">
        <f>"2026-03-15 11:30:45.493"</f>
        <v>2026-03-15 11:30:45.493</v>
      </c>
      <c r="H201" t="s">
        <v>22</v>
      </c>
    </row>
    <row r="202" spans="1:10" x14ac:dyDescent="0.25">
      <c r="A202" s="1">
        <v>96</v>
      </c>
      <c r="B202" t="s">
        <v>32</v>
      </c>
      <c r="C202">
        <v>61</v>
      </c>
      <c r="D202">
        <v>2</v>
      </c>
      <c r="E202" t="s">
        <v>45</v>
      </c>
      <c r="F202" t="s">
        <v>46</v>
      </c>
      <c r="G202" t="str">
        <f>"2026-03-15 11:30:34.193"</f>
        <v>2026-03-15 11:30:34.193</v>
      </c>
      <c r="H202" t="s">
        <v>22</v>
      </c>
      <c r="I202">
        <v>30.08</v>
      </c>
      <c r="J202" t="s">
        <v>36</v>
      </c>
    </row>
    <row r="203" spans="1:10" x14ac:dyDescent="0.25">
      <c r="A203" s="1">
        <v>97</v>
      </c>
      <c r="B203" t="s">
        <v>26</v>
      </c>
      <c r="C203">
        <v>635</v>
      </c>
      <c r="D203">
        <v>1</v>
      </c>
      <c r="E203" t="s">
        <v>27</v>
      </c>
      <c r="F203" t="s">
        <v>28</v>
      </c>
      <c r="G203" t="str">
        <f>"2026-03-14 17:02:42.080"</f>
        <v>2026-03-14 17:02:42.080</v>
      </c>
      <c r="H203" t="s">
        <v>22</v>
      </c>
    </row>
    <row r="204" spans="1:10" x14ac:dyDescent="0.25">
      <c r="A204" s="1">
        <v>98</v>
      </c>
      <c r="B204" t="s">
        <v>29</v>
      </c>
      <c r="C204">
        <v>635</v>
      </c>
      <c r="D204">
        <v>1</v>
      </c>
      <c r="E204" t="s">
        <v>27</v>
      </c>
      <c r="F204" t="s">
        <v>28</v>
      </c>
      <c r="G204" t="str">
        <f>"2026-03-14 17:00:47.081"</f>
        <v>2026-03-14 17:00:47.081</v>
      </c>
      <c r="H204" t="s">
        <v>22</v>
      </c>
      <c r="I204">
        <v>9.68</v>
      </c>
      <c r="J204" t="s">
        <v>36</v>
      </c>
    </row>
    <row r="205" spans="1:10" x14ac:dyDescent="0.25">
      <c r="A205" s="1">
        <v>99</v>
      </c>
      <c r="B205" t="s">
        <v>19</v>
      </c>
      <c r="C205">
        <v>700</v>
      </c>
      <c r="D205">
        <v>0</v>
      </c>
      <c r="E205" t="s">
        <v>24</v>
      </c>
      <c r="F205" t="s">
        <v>24</v>
      </c>
      <c r="G205" t="str">
        <f>"2026-03-13 20:22:31.460"</f>
        <v>2026-03-13 20:22:31.460</v>
      </c>
      <c r="H205" t="s">
        <v>22</v>
      </c>
      <c r="I205">
        <v>0</v>
      </c>
      <c r="J205" t="s">
        <v>25</v>
      </c>
    </row>
    <row r="206" spans="1:10" x14ac:dyDescent="0.25">
      <c r="A206" s="1">
        <v>0</v>
      </c>
      <c r="B206" t="s">
        <v>26</v>
      </c>
      <c r="C206">
        <v>635</v>
      </c>
      <c r="D206">
        <v>1</v>
      </c>
      <c r="E206" t="s">
        <v>27</v>
      </c>
      <c r="F206" t="s">
        <v>28</v>
      </c>
      <c r="G206" t="str">
        <f>"2026-03-13 10:44:41.217"</f>
        <v>2026-03-13 10:44:41.217</v>
      </c>
      <c r="H206" t="s">
        <v>22</v>
      </c>
    </row>
    <row r="207" spans="1:10" x14ac:dyDescent="0.25">
      <c r="A207" s="1">
        <v>1</v>
      </c>
      <c r="B207" t="s">
        <v>29</v>
      </c>
      <c r="C207">
        <v>635</v>
      </c>
      <c r="D207">
        <v>1</v>
      </c>
      <c r="E207" t="s">
        <v>27</v>
      </c>
      <c r="F207" t="s">
        <v>28</v>
      </c>
      <c r="G207" t="str">
        <f>"2026-03-13 10:42:43.717"</f>
        <v>2026-03-13 10:42:43.717</v>
      </c>
      <c r="H207" t="s">
        <v>22</v>
      </c>
      <c r="I207">
        <v>-0.03</v>
      </c>
      <c r="J207" t="s">
        <v>31</v>
      </c>
    </row>
    <row r="208" spans="1:10" x14ac:dyDescent="0.25">
      <c r="A208" s="1">
        <v>2</v>
      </c>
      <c r="B208" t="s">
        <v>26</v>
      </c>
      <c r="C208">
        <v>635</v>
      </c>
      <c r="D208">
        <v>1</v>
      </c>
      <c r="E208" t="s">
        <v>27</v>
      </c>
      <c r="F208" t="s">
        <v>28</v>
      </c>
      <c r="G208" t="str">
        <f>"2026-03-11 08:31:10.917"</f>
        <v>2026-03-11 08:31:10.917</v>
      </c>
      <c r="H208" t="s">
        <v>22</v>
      </c>
    </row>
    <row r="209" spans="1:10" x14ac:dyDescent="0.25">
      <c r="A209" s="1">
        <v>3</v>
      </c>
      <c r="B209" t="s">
        <v>29</v>
      </c>
      <c r="C209">
        <v>635</v>
      </c>
      <c r="D209">
        <v>1</v>
      </c>
      <c r="E209" t="s">
        <v>27</v>
      </c>
      <c r="F209" t="s">
        <v>28</v>
      </c>
      <c r="G209" t="str">
        <f>"2026-03-11 08:26:26.017"</f>
        <v>2026-03-11 08:26:26.017</v>
      </c>
      <c r="H209" t="s">
        <v>22</v>
      </c>
      <c r="I209">
        <v>5.18</v>
      </c>
      <c r="J209" t="s">
        <v>30</v>
      </c>
    </row>
    <row r="210" spans="1:10" x14ac:dyDescent="0.25">
      <c r="A210" s="1">
        <v>4</v>
      </c>
      <c r="B210" t="s">
        <v>26</v>
      </c>
      <c r="C210">
        <v>635</v>
      </c>
      <c r="D210">
        <v>1</v>
      </c>
      <c r="E210" t="s">
        <v>27</v>
      </c>
      <c r="F210" t="s">
        <v>28</v>
      </c>
      <c r="G210" t="str">
        <f>"2026-03-11 07:03:56.717"</f>
        <v>2026-03-11 07:03:56.717</v>
      </c>
      <c r="H210" t="s">
        <v>22</v>
      </c>
    </row>
    <row r="211" spans="1:10" x14ac:dyDescent="0.25">
      <c r="A211" s="1">
        <v>5</v>
      </c>
      <c r="B211" t="s">
        <v>29</v>
      </c>
      <c r="C211">
        <v>635</v>
      </c>
      <c r="D211">
        <v>1</v>
      </c>
      <c r="E211" t="s">
        <v>27</v>
      </c>
      <c r="F211" t="s">
        <v>28</v>
      </c>
      <c r="G211" t="str">
        <f>"2026-03-11 06:52:52.217"</f>
        <v>2026-03-11 06:52:52.217</v>
      </c>
      <c r="H211" t="s">
        <v>22</v>
      </c>
      <c r="I211">
        <v>5.57</v>
      </c>
      <c r="J211" t="s">
        <v>30</v>
      </c>
    </row>
    <row r="212" spans="1:10" x14ac:dyDescent="0.25">
      <c r="A212" s="1">
        <v>6</v>
      </c>
      <c r="B212" t="s">
        <v>26</v>
      </c>
      <c r="C212">
        <v>98</v>
      </c>
      <c r="D212">
        <v>1</v>
      </c>
      <c r="E212" t="s">
        <v>42</v>
      </c>
      <c r="F212" t="s">
        <v>43</v>
      </c>
      <c r="G212" t="str">
        <f>"2026-03-10 19:32:37.090"</f>
        <v>2026-03-10 19:32:37.090</v>
      </c>
      <c r="H212" t="s">
        <v>22</v>
      </c>
    </row>
    <row r="213" spans="1:10" x14ac:dyDescent="0.25">
      <c r="A213" s="1">
        <v>7</v>
      </c>
      <c r="B213" t="s">
        <v>29</v>
      </c>
      <c r="C213">
        <v>98</v>
      </c>
      <c r="D213">
        <v>1</v>
      </c>
      <c r="E213" t="s">
        <v>42</v>
      </c>
      <c r="F213" t="s">
        <v>43</v>
      </c>
      <c r="G213" t="str">
        <f>"2026-03-10 19:32:35.991"</f>
        <v>2026-03-10 19:32:35.991</v>
      </c>
      <c r="H213" t="s">
        <v>22</v>
      </c>
      <c r="I213">
        <v>0</v>
      </c>
      <c r="J213" t="s">
        <v>31</v>
      </c>
    </row>
    <row r="214" spans="1:10" x14ac:dyDescent="0.25">
      <c r="A214" s="1">
        <v>8</v>
      </c>
      <c r="B214" t="s">
        <v>26</v>
      </c>
      <c r="C214">
        <v>635</v>
      </c>
      <c r="D214">
        <v>1</v>
      </c>
      <c r="E214" t="s">
        <v>27</v>
      </c>
      <c r="F214" t="s">
        <v>28</v>
      </c>
      <c r="G214" t="str">
        <f>"2026-03-10 00:11:16.717"</f>
        <v>2026-03-10 00:11:16.717</v>
      </c>
      <c r="H214" t="s">
        <v>22</v>
      </c>
    </row>
    <row r="215" spans="1:10" x14ac:dyDescent="0.25">
      <c r="A215" s="1">
        <v>9</v>
      </c>
      <c r="B215" t="s">
        <v>29</v>
      </c>
      <c r="C215">
        <v>635</v>
      </c>
      <c r="D215">
        <v>1</v>
      </c>
      <c r="E215" t="s">
        <v>27</v>
      </c>
      <c r="F215" t="s">
        <v>28</v>
      </c>
      <c r="G215" t="str">
        <f>"2026-03-10 00:07:26.817"</f>
        <v>2026-03-10 00:07:26.817</v>
      </c>
      <c r="H215" t="s">
        <v>22</v>
      </c>
      <c r="I215">
        <v>0.02</v>
      </c>
      <c r="J215" t="s">
        <v>31</v>
      </c>
    </row>
    <row r="216" spans="1:10" x14ac:dyDescent="0.25">
      <c r="A216" s="1">
        <v>10</v>
      </c>
      <c r="B216" t="s">
        <v>19</v>
      </c>
      <c r="C216">
        <v>700</v>
      </c>
      <c r="D216">
        <v>0</v>
      </c>
      <c r="E216" t="s">
        <v>24</v>
      </c>
      <c r="F216" t="s">
        <v>24</v>
      </c>
      <c r="G216" t="str">
        <f>"2026-03-09 23:02:05.450"</f>
        <v>2026-03-09 23:02:05.450</v>
      </c>
      <c r="H216" t="s">
        <v>22</v>
      </c>
      <c r="I216">
        <v>0</v>
      </c>
      <c r="J216" t="s">
        <v>25</v>
      </c>
    </row>
    <row r="217" spans="1:10" x14ac:dyDescent="0.25">
      <c r="A217" s="1">
        <v>11</v>
      </c>
      <c r="B217" t="s">
        <v>19</v>
      </c>
      <c r="C217">
        <v>700</v>
      </c>
      <c r="D217">
        <v>0</v>
      </c>
      <c r="E217" t="s">
        <v>24</v>
      </c>
      <c r="F217" t="s">
        <v>24</v>
      </c>
      <c r="G217" t="str">
        <f>"2026-03-09 22:05:40.437"</f>
        <v>2026-03-09 22:05:40.437</v>
      </c>
      <c r="H217" t="s">
        <v>22</v>
      </c>
      <c r="I217">
        <v>0</v>
      </c>
      <c r="J217" t="s">
        <v>25</v>
      </c>
    </row>
    <row r="218" spans="1:10" x14ac:dyDescent="0.25">
      <c r="A218" s="1">
        <v>12</v>
      </c>
      <c r="B218" t="s">
        <v>19</v>
      </c>
      <c r="C218">
        <v>700</v>
      </c>
      <c r="D218">
        <v>0</v>
      </c>
      <c r="E218" t="s">
        <v>24</v>
      </c>
      <c r="F218" t="s">
        <v>24</v>
      </c>
      <c r="G218" t="str">
        <f>"2026-03-09 22:02:33.435"</f>
        <v>2026-03-09 22:02:33.435</v>
      </c>
      <c r="H218" t="s">
        <v>22</v>
      </c>
    </row>
    <row r="219" spans="1:10" x14ac:dyDescent="0.25">
      <c r="A219" s="1">
        <v>13</v>
      </c>
      <c r="B219" t="s">
        <v>19</v>
      </c>
      <c r="C219">
        <v>706</v>
      </c>
      <c r="D219">
        <v>2</v>
      </c>
      <c r="E219" t="s">
        <v>20</v>
      </c>
      <c r="F219" t="s">
        <v>41</v>
      </c>
      <c r="G219" t="str">
        <f>"2026-03-09 21:58:31.845"</f>
        <v>2026-03-09 21:58:31.845</v>
      </c>
      <c r="H219" t="s">
        <v>22</v>
      </c>
      <c r="I219">
        <v>0</v>
      </c>
      <c r="J219" t="s">
        <v>23</v>
      </c>
    </row>
    <row r="220" spans="1:10" x14ac:dyDescent="0.25">
      <c r="A220" s="1">
        <v>14</v>
      </c>
      <c r="B220" t="s">
        <v>19</v>
      </c>
      <c r="C220">
        <v>700</v>
      </c>
      <c r="D220">
        <v>0</v>
      </c>
      <c r="E220" t="s">
        <v>24</v>
      </c>
      <c r="F220" t="s">
        <v>24</v>
      </c>
      <c r="G220" t="str">
        <f>"2026-03-09 21:18:12.455"</f>
        <v>2026-03-09 21:18:12.455</v>
      </c>
      <c r="H220" t="s">
        <v>22</v>
      </c>
      <c r="I220">
        <v>0</v>
      </c>
      <c r="J220" t="s">
        <v>25</v>
      </c>
    </row>
    <row r="221" spans="1:10" x14ac:dyDescent="0.25">
      <c r="A221" s="1">
        <v>15</v>
      </c>
      <c r="B221" t="s">
        <v>26</v>
      </c>
      <c r="C221">
        <v>98</v>
      </c>
      <c r="D221">
        <v>1</v>
      </c>
      <c r="E221" t="s">
        <v>42</v>
      </c>
      <c r="F221" t="s">
        <v>43</v>
      </c>
      <c r="G221" t="str">
        <f>"2026-03-09 19:31:26.885"</f>
        <v>2026-03-09 19:31:26.885</v>
      </c>
      <c r="H221" t="s">
        <v>22</v>
      </c>
    </row>
    <row r="222" spans="1:10" x14ac:dyDescent="0.25">
      <c r="A222" s="1">
        <v>16</v>
      </c>
      <c r="B222" t="s">
        <v>29</v>
      </c>
      <c r="C222">
        <v>98</v>
      </c>
      <c r="D222">
        <v>1</v>
      </c>
      <c r="E222" t="s">
        <v>42</v>
      </c>
      <c r="F222" t="s">
        <v>43</v>
      </c>
      <c r="G222" t="str">
        <f>"2026-03-09 19:31:25.885"</f>
        <v>2026-03-09 19:31:25.885</v>
      </c>
      <c r="H222" t="s">
        <v>22</v>
      </c>
      <c r="I222">
        <v>0</v>
      </c>
      <c r="J222" t="s">
        <v>31</v>
      </c>
    </row>
    <row r="223" spans="1:10" x14ac:dyDescent="0.25">
      <c r="A223" s="1">
        <v>17</v>
      </c>
      <c r="B223" t="s">
        <v>26</v>
      </c>
      <c r="C223">
        <v>98</v>
      </c>
      <c r="D223">
        <v>1</v>
      </c>
      <c r="E223" t="s">
        <v>42</v>
      </c>
      <c r="F223" t="s">
        <v>43</v>
      </c>
      <c r="G223" t="str">
        <f>"2026-03-09 19:31:23.485"</f>
        <v>2026-03-09 19:31:23.485</v>
      </c>
      <c r="H223" t="s">
        <v>22</v>
      </c>
    </row>
    <row r="224" spans="1:10" x14ac:dyDescent="0.25">
      <c r="A224" s="1">
        <v>18</v>
      </c>
      <c r="B224" t="s">
        <v>29</v>
      </c>
      <c r="C224">
        <v>98</v>
      </c>
      <c r="D224">
        <v>1</v>
      </c>
      <c r="E224" t="s">
        <v>42</v>
      </c>
      <c r="F224" t="s">
        <v>43</v>
      </c>
      <c r="G224" t="str">
        <f>"2026-03-09 19:31:22.485"</f>
        <v>2026-03-09 19:31:22.485</v>
      </c>
      <c r="H224" t="s">
        <v>22</v>
      </c>
      <c r="I224">
        <v>0</v>
      </c>
      <c r="J224" t="s">
        <v>31</v>
      </c>
    </row>
    <row r="225" spans="1:10" x14ac:dyDescent="0.25">
      <c r="A225" s="1">
        <v>19</v>
      </c>
      <c r="B225" t="s">
        <v>26</v>
      </c>
      <c r="C225">
        <v>635</v>
      </c>
      <c r="D225">
        <v>1</v>
      </c>
      <c r="E225" t="s">
        <v>27</v>
      </c>
      <c r="F225" t="s">
        <v>28</v>
      </c>
      <c r="G225" t="str">
        <f>"2026-03-09 15:54:46.665"</f>
        <v>2026-03-09 15:54:46.665</v>
      </c>
      <c r="H225" t="s">
        <v>22</v>
      </c>
    </row>
    <row r="226" spans="1:10" x14ac:dyDescent="0.25">
      <c r="A226" s="1">
        <v>20</v>
      </c>
      <c r="B226" t="s">
        <v>29</v>
      </c>
      <c r="C226">
        <v>635</v>
      </c>
      <c r="D226">
        <v>1</v>
      </c>
      <c r="E226" t="s">
        <v>27</v>
      </c>
      <c r="F226" t="s">
        <v>28</v>
      </c>
      <c r="G226" t="str">
        <f>"2026-03-09 15:50:23.165"</f>
        <v>2026-03-09 15:50:23.165</v>
      </c>
      <c r="H226" t="s">
        <v>22</v>
      </c>
      <c r="I226">
        <v>4.7</v>
      </c>
      <c r="J226" t="s">
        <v>30</v>
      </c>
    </row>
    <row r="227" spans="1:10" x14ac:dyDescent="0.25">
      <c r="A227" s="1">
        <v>21</v>
      </c>
      <c r="B227" t="s">
        <v>19</v>
      </c>
      <c r="C227">
        <v>706</v>
      </c>
      <c r="D227">
        <v>4</v>
      </c>
      <c r="E227" t="s">
        <v>20</v>
      </c>
      <c r="F227" t="s">
        <v>21</v>
      </c>
      <c r="G227" t="str">
        <f>"2026-03-08 13:37:15.651"</f>
        <v>2026-03-08 13:37:15.651</v>
      </c>
      <c r="H227" t="s">
        <v>22</v>
      </c>
      <c r="I227">
        <v>0</v>
      </c>
      <c r="J227" t="s">
        <v>23</v>
      </c>
    </row>
    <row r="228" spans="1:10" x14ac:dyDescent="0.25">
      <c r="A228" s="1">
        <v>22</v>
      </c>
      <c r="B228" t="s">
        <v>19</v>
      </c>
      <c r="C228">
        <v>700</v>
      </c>
      <c r="D228">
        <v>0</v>
      </c>
      <c r="E228" t="s">
        <v>24</v>
      </c>
      <c r="F228" t="s">
        <v>24</v>
      </c>
      <c r="G228" t="str">
        <f>"2026-03-08 13:36:07.451"</f>
        <v>2026-03-08 13:36:07.451</v>
      </c>
      <c r="H228" t="s">
        <v>22</v>
      </c>
      <c r="I228">
        <v>0</v>
      </c>
      <c r="J228" t="s">
        <v>25</v>
      </c>
    </row>
    <row r="229" spans="1:10" x14ac:dyDescent="0.25">
      <c r="A229" s="1">
        <v>23</v>
      </c>
      <c r="B229" t="s">
        <v>26</v>
      </c>
      <c r="C229">
        <v>61</v>
      </c>
      <c r="D229">
        <v>2</v>
      </c>
      <c r="E229" t="s">
        <v>45</v>
      </c>
      <c r="F229" t="s">
        <v>46</v>
      </c>
      <c r="G229" t="str">
        <f>"2026-03-08 09:40:09.069"</f>
        <v>2026-03-08 09:40:09.069</v>
      </c>
      <c r="H229" t="s">
        <v>22</v>
      </c>
    </row>
    <row r="230" spans="1:10" x14ac:dyDescent="0.25">
      <c r="A230" s="1">
        <v>24</v>
      </c>
      <c r="B230" t="s">
        <v>32</v>
      </c>
      <c r="C230">
        <v>61</v>
      </c>
      <c r="D230">
        <v>2</v>
      </c>
      <c r="E230" t="s">
        <v>45</v>
      </c>
      <c r="F230" t="s">
        <v>46</v>
      </c>
      <c r="G230" t="str">
        <f>"2026-03-08 09:39:46.568"</f>
        <v>2026-03-08 09:39:46.568</v>
      </c>
      <c r="H230" t="s">
        <v>22</v>
      </c>
      <c r="I230">
        <v>30.03</v>
      </c>
      <c r="J230" t="s">
        <v>36</v>
      </c>
    </row>
    <row r="231" spans="1:10" x14ac:dyDescent="0.25">
      <c r="A231" s="1">
        <v>25</v>
      </c>
      <c r="B231" t="s">
        <v>26</v>
      </c>
      <c r="C231">
        <v>61</v>
      </c>
      <c r="D231">
        <v>2</v>
      </c>
      <c r="E231" t="s">
        <v>45</v>
      </c>
      <c r="F231" t="s">
        <v>46</v>
      </c>
      <c r="G231" t="str">
        <f>"2026-03-07 19:36:20.368"</f>
        <v>2026-03-07 19:36:20.368</v>
      </c>
      <c r="H231" t="s">
        <v>22</v>
      </c>
    </row>
    <row r="232" spans="1:10" x14ac:dyDescent="0.25">
      <c r="A232" s="1">
        <v>26</v>
      </c>
      <c r="B232" t="s">
        <v>32</v>
      </c>
      <c r="C232">
        <v>61</v>
      </c>
      <c r="D232">
        <v>2</v>
      </c>
      <c r="E232" t="s">
        <v>45</v>
      </c>
      <c r="F232" t="s">
        <v>46</v>
      </c>
      <c r="G232" t="str">
        <f>"2026-03-07 19:36:00.769"</f>
        <v>2026-03-07 19:36:00.769</v>
      </c>
      <c r="H232" t="s">
        <v>22</v>
      </c>
      <c r="I232">
        <v>29.78</v>
      </c>
      <c r="J232" t="s">
        <v>36</v>
      </c>
    </row>
    <row r="233" spans="1:10" x14ac:dyDescent="0.25">
      <c r="A233" s="1">
        <v>27</v>
      </c>
      <c r="B233" t="s">
        <v>19</v>
      </c>
      <c r="C233">
        <v>706</v>
      </c>
      <c r="D233">
        <v>4</v>
      </c>
      <c r="E233" t="s">
        <v>20</v>
      </c>
      <c r="F233" t="s">
        <v>21</v>
      </c>
      <c r="G233" t="str">
        <f>"2026-03-07 07:08:25.649"</f>
        <v>2026-03-07 07:08:25.649</v>
      </c>
      <c r="H233" t="s">
        <v>22</v>
      </c>
      <c r="I233">
        <v>0</v>
      </c>
      <c r="J233" t="s">
        <v>23</v>
      </c>
    </row>
    <row r="234" spans="1:10" x14ac:dyDescent="0.25">
      <c r="A234" s="1">
        <v>28</v>
      </c>
      <c r="B234" t="s">
        <v>19</v>
      </c>
      <c r="C234">
        <v>700</v>
      </c>
      <c r="D234">
        <v>0</v>
      </c>
      <c r="E234" t="s">
        <v>24</v>
      </c>
      <c r="F234" t="s">
        <v>24</v>
      </c>
      <c r="G234" t="str">
        <f>"2026-03-07 07:07:59.439"</f>
        <v>2026-03-07 07:07:59.439</v>
      </c>
      <c r="H234" t="s">
        <v>22</v>
      </c>
    </row>
    <row r="235" spans="1:10" x14ac:dyDescent="0.25">
      <c r="A235" s="1">
        <v>29</v>
      </c>
      <c r="B235" t="s">
        <v>26</v>
      </c>
      <c r="C235">
        <v>61</v>
      </c>
      <c r="D235">
        <v>2</v>
      </c>
      <c r="E235" t="s">
        <v>45</v>
      </c>
      <c r="F235" t="s">
        <v>46</v>
      </c>
      <c r="G235" t="str">
        <f>"2026-03-06 19:31:58.373"</f>
        <v>2026-03-06 19:31:58.373</v>
      </c>
      <c r="H235" t="s">
        <v>22</v>
      </c>
    </row>
    <row r="236" spans="1:10" x14ac:dyDescent="0.25">
      <c r="A236" s="1">
        <v>30</v>
      </c>
      <c r="B236" t="s">
        <v>32</v>
      </c>
      <c r="C236">
        <v>61</v>
      </c>
      <c r="D236">
        <v>2</v>
      </c>
      <c r="E236" t="s">
        <v>45</v>
      </c>
      <c r="F236" t="s">
        <v>46</v>
      </c>
      <c r="G236" t="str">
        <f>"2026-03-06 19:31:45.574"</f>
        <v>2026-03-06 19:31:45.574</v>
      </c>
      <c r="H236" t="s">
        <v>22</v>
      </c>
      <c r="I236">
        <v>30.56</v>
      </c>
      <c r="J236" t="s">
        <v>36</v>
      </c>
    </row>
    <row r="237" spans="1:10" x14ac:dyDescent="0.25">
      <c r="A237" s="1">
        <v>31</v>
      </c>
      <c r="B237" t="s">
        <v>26</v>
      </c>
      <c r="C237">
        <v>635</v>
      </c>
      <c r="D237">
        <v>1</v>
      </c>
      <c r="E237" t="s">
        <v>27</v>
      </c>
      <c r="F237" t="s">
        <v>28</v>
      </c>
      <c r="G237" t="str">
        <f>"2026-03-06 00:43:39.881"</f>
        <v>2026-03-06 00:43:39.881</v>
      </c>
      <c r="H237" t="s">
        <v>22</v>
      </c>
    </row>
    <row r="238" spans="1:10" x14ac:dyDescent="0.25">
      <c r="A238" s="1">
        <v>32</v>
      </c>
      <c r="B238" t="s">
        <v>29</v>
      </c>
      <c r="C238">
        <v>635</v>
      </c>
      <c r="D238">
        <v>1</v>
      </c>
      <c r="E238" t="s">
        <v>27</v>
      </c>
      <c r="F238" t="s">
        <v>28</v>
      </c>
      <c r="G238" t="str">
        <f>"2026-03-06 00:37:47.381"</f>
        <v>2026-03-06 00:37:47.381</v>
      </c>
      <c r="H238" t="s">
        <v>22</v>
      </c>
      <c r="I238">
        <v>3.47</v>
      </c>
      <c r="J238" t="s">
        <v>30</v>
      </c>
    </row>
    <row r="239" spans="1:10" x14ac:dyDescent="0.25">
      <c r="A239" s="1">
        <v>33</v>
      </c>
      <c r="B239" t="s">
        <v>26</v>
      </c>
      <c r="C239">
        <v>635</v>
      </c>
      <c r="D239">
        <v>1</v>
      </c>
      <c r="E239" t="s">
        <v>27</v>
      </c>
      <c r="F239" t="s">
        <v>28</v>
      </c>
      <c r="G239" t="str">
        <f>"2026-03-05 11:59:40.881"</f>
        <v>2026-03-05 11:59:40.881</v>
      </c>
      <c r="H239" t="s">
        <v>22</v>
      </c>
    </row>
    <row r="240" spans="1:10" x14ac:dyDescent="0.25">
      <c r="A240" s="1">
        <v>34</v>
      </c>
      <c r="B240" t="s">
        <v>29</v>
      </c>
      <c r="C240">
        <v>635</v>
      </c>
      <c r="D240">
        <v>1</v>
      </c>
      <c r="E240" t="s">
        <v>27</v>
      </c>
      <c r="F240" t="s">
        <v>28</v>
      </c>
      <c r="G240" t="str">
        <f>"2026-03-05 11:55:59.382"</f>
        <v>2026-03-05 11:55:59.382</v>
      </c>
      <c r="H240" t="s">
        <v>22</v>
      </c>
      <c r="I240">
        <v>2.99</v>
      </c>
      <c r="J240" t="s">
        <v>31</v>
      </c>
    </row>
    <row r="241" spans="1:10" x14ac:dyDescent="0.25">
      <c r="A241" s="1">
        <v>35</v>
      </c>
      <c r="B241" t="s">
        <v>19</v>
      </c>
      <c r="C241">
        <v>700</v>
      </c>
      <c r="D241">
        <v>0</v>
      </c>
      <c r="E241" t="s">
        <v>24</v>
      </c>
      <c r="F241" t="s">
        <v>24</v>
      </c>
      <c r="G241" t="str">
        <f>"2026-03-05 11:36:14.433"</f>
        <v>2026-03-05 11:36:14.433</v>
      </c>
      <c r="H241" t="s">
        <v>22</v>
      </c>
    </row>
    <row r="242" spans="1:10" x14ac:dyDescent="0.25">
      <c r="A242" s="1">
        <v>36</v>
      </c>
      <c r="B242" t="s">
        <v>19</v>
      </c>
      <c r="C242">
        <v>700</v>
      </c>
      <c r="D242">
        <v>0</v>
      </c>
      <c r="E242" t="s">
        <v>24</v>
      </c>
      <c r="F242" t="s">
        <v>24</v>
      </c>
      <c r="G242" t="str">
        <f>"2026-03-04 08:39:10.601"</f>
        <v>2026-03-04 08:39:10.601</v>
      </c>
      <c r="H242" t="s">
        <v>22</v>
      </c>
    </row>
    <row r="243" spans="1:10" x14ac:dyDescent="0.25">
      <c r="A243" s="1">
        <v>38</v>
      </c>
      <c r="B243" t="s">
        <v>19</v>
      </c>
      <c r="C243">
        <v>706</v>
      </c>
      <c r="D243">
        <v>4</v>
      </c>
      <c r="E243" t="s">
        <v>20</v>
      </c>
      <c r="F243" t="s">
        <v>21</v>
      </c>
      <c r="G243" t="str">
        <f>"2026-03-02 14:22:43.468"</f>
        <v>2026-03-02 14:22:43.468</v>
      </c>
      <c r="H243" t="s">
        <v>22</v>
      </c>
      <c r="I243">
        <v>0</v>
      </c>
      <c r="J243" t="s">
        <v>23</v>
      </c>
    </row>
    <row r="244" spans="1:10" x14ac:dyDescent="0.25">
      <c r="A244" s="1">
        <v>39</v>
      </c>
      <c r="B244" t="s">
        <v>19</v>
      </c>
      <c r="C244">
        <v>700</v>
      </c>
      <c r="D244">
        <v>0</v>
      </c>
      <c r="E244" t="s">
        <v>24</v>
      </c>
      <c r="F244" t="s">
        <v>24</v>
      </c>
      <c r="G244" t="str">
        <f>"2026-03-02 14:22:19.638"</f>
        <v>2026-03-02 14:22:19.638</v>
      </c>
      <c r="H244" t="s">
        <v>22</v>
      </c>
      <c r="I244">
        <v>0</v>
      </c>
      <c r="J244" t="s">
        <v>25</v>
      </c>
    </row>
    <row r="245" spans="1:10" x14ac:dyDescent="0.25">
      <c r="A245" s="1">
        <v>40</v>
      </c>
      <c r="B245" t="s">
        <v>26</v>
      </c>
      <c r="C245">
        <v>635</v>
      </c>
      <c r="D245">
        <v>1</v>
      </c>
      <c r="E245" t="s">
        <v>27</v>
      </c>
      <c r="F245" t="s">
        <v>28</v>
      </c>
      <c r="G245" t="str">
        <f>"2026-03-01 05:03:49.492"</f>
        <v>2026-03-01 05:03:49.492</v>
      </c>
      <c r="H245" t="s">
        <v>22</v>
      </c>
    </row>
    <row r="246" spans="1:10" x14ac:dyDescent="0.25">
      <c r="A246" s="1">
        <v>41</v>
      </c>
      <c r="B246" t="s">
        <v>29</v>
      </c>
      <c r="C246">
        <v>635</v>
      </c>
      <c r="D246">
        <v>1</v>
      </c>
      <c r="E246" t="s">
        <v>27</v>
      </c>
      <c r="F246" t="s">
        <v>28</v>
      </c>
      <c r="G246" t="str">
        <f>"2026-03-01 05:00:42.092"</f>
        <v>2026-03-01 05:00:42.092</v>
      </c>
      <c r="H246" t="s">
        <v>22</v>
      </c>
      <c r="I246">
        <v>7.08</v>
      </c>
      <c r="J246" t="s">
        <v>30</v>
      </c>
    </row>
    <row r="247" spans="1:10" x14ac:dyDescent="0.25">
      <c r="A247" s="1">
        <v>42</v>
      </c>
      <c r="B247" t="s">
        <v>26</v>
      </c>
      <c r="C247">
        <v>635</v>
      </c>
      <c r="D247">
        <v>1</v>
      </c>
      <c r="E247" t="s">
        <v>27</v>
      </c>
      <c r="F247" t="s">
        <v>28</v>
      </c>
      <c r="G247" t="str">
        <f>"2026-02-28 10:31:48.592"</f>
        <v>2026-02-28 10:31:48.592</v>
      </c>
      <c r="H247" t="s">
        <v>22</v>
      </c>
    </row>
    <row r="248" spans="1:10" x14ac:dyDescent="0.25">
      <c r="A248" s="1">
        <v>43</v>
      </c>
      <c r="B248" t="s">
        <v>29</v>
      </c>
      <c r="C248">
        <v>635</v>
      </c>
      <c r="D248">
        <v>1</v>
      </c>
      <c r="E248" t="s">
        <v>27</v>
      </c>
      <c r="F248" t="s">
        <v>28</v>
      </c>
      <c r="G248" t="str">
        <f>"2026-02-28 10:27:10.092"</f>
        <v>2026-02-28 10:27:10.092</v>
      </c>
      <c r="H248" t="s">
        <v>22</v>
      </c>
      <c r="I248">
        <v>3.28</v>
      </c>
      <c r="J248" t="s">
        <v>36</v>
      </c>
    </row>
    <row r="249" spans="1:10" x14ac:dyDescent="0.25">
      <c r="A249" s="1">
        <v>44</v>
      </c>
      <c r="B249" t="s">
        <v>26</v>
      </c>
      <c r="C249">
        <v>635</v>
      </c>
      <c r="D249">
        <v>1</v>
      </c>
      <c r="E249" t="s">
        <v>27</v>
      </c>
      <c r="F249" t="s">
        <v>28</v>
      </c>
      <c r="G249" t="str">
        <f>"2026-02-27 23:31:00.392"</f>
        <v>2026-02-27 23:31:00.392</v>
      </c>
      <c r="H249" t="s">
        <v>22</v>
      </c>
    </row>
    <row r="250" spans="1:10" x14ac:dyDescent="0.25">
      <c r="A250" s="1">
        <v>45</v>
      </c>
      <c r="B250" t="s">
        <v>29</v>
      </c>
      <c r="C250">
        <v>635</v>
      </c>
      <c r="D250">
        <v>1</v>
      </c>
      <c r="E250" t="s">
        <v>27</v>
      </c>
      <c r="F250" t="s">
        <v>28</v>
      </c>
      <c r="G250" t="str">
        <f>"2026-02-27 23:28:33.892"</f>
        <v>2026-02-27 23:28:33.892</v>
      </c>
      <c r="H250" t="s">
        <v>22</v>
      </c>
      <c r="I250">
        <v>2.86</v>
      </c>
      <c r="J250" t="s">
        <v>31</v>
      </c>
    </row>
    <row r="251" spans="1:10" x14ac:dyDescent="0.25">
      <c r="A251" s="1">
        <v>46</v>
      </c>
      <c r="B251" t="s">
        <v>19</v>
      </c>
      <c r="C251">
        <v>700</v>
      </c>
      <c r="D251">
        <v>0</v>
      </c>
      <c r="E251" t="s">
        <v>24</v>
      </c>
      <c r="F251" t="s">
        <v>24</v>
      </c>
      <c r="G251" t="str">
        <f>"2026-02-27 20:04:57.464"</f>
        <v>2026-02-27 20:04:57.464</v>
      </c>
      <c r="H251" t="s">
        <v>22</v>
      </c>
      <c r="I251">
        <v>0</v>
      </c>
      <c r="J251" t="s">
        <v>25</v>
      </c>
    </row>
    <row r="252" spans="1:10" x14ac:dyDescent="0.25">
      <c r="A252" s="1">
        <v>47</v>
      </c>
      <c r="B252" t="s">
        <v>19</v>
      </c>
      <c r="C252">
        <v>700</v>
      </c>
      <c r="D252">
        <v>0</v>
      </c>
      <c r="E252" t="s">
        <v>24</v>
      </c>
      <c r="F252" t="s">
        <v>24</v>
      </c>
      <c r="G252" t="str">
        <f>"2026-02-27 15:07:47.418"</f>
        <v>2026-02-27 15:07:47.418</v>
      </c>
      <c r="H252" t="s">
        <v>22</v>
      </c>
    </row>
    <row r="253" spans="1:10" x14ac:dyDescent="0.25">
      <c r="A253" s="1">
        <v>48</v>
      </c>
      <c r="B253" t="s">
        <v>26</v>
      </c>
      <c r="C253">
        <v>635</v>
      </c>
      <c r="D253">
        <v>1</v>
      </c>
      <c r="E253" t="s">
        <v>27</v>
      </c>
      <c r="F253" t="s">
        <v>28</v>
      </c>
      <c r="G253" t="str">
        <f>"2026-02-27 04:23:15.063"</f>
        <v>2026-02-27 04:23:15.063</v>
      </c>
      <c r="H253" t="s">
        <v>22</v>
      </c>
    </row>
    <row r="254" spans="1:10" x14ac:dyDescent="0.25">
      <c r="A254" s="1">
        <v>49</v>
      </c>
      <c r="B254" t="s">
        <v>29</v>
      </c>
      <c r="C254">
        <v>635</v>
      </c>
      <c r="D254">
        <v>1</v>
      </c>
      <c r="E254" t="s">
        <v>27</v>
      </c>
      <c r="F254" t="s">
        <v>28</v>
      </c>
      <c r="G254" t="str">
        <f>"2026-02-27 04:17:48.563"</f>
        <v>2026-02-27 04:17:48.563</v>
      </c>
      <c r="H254" t="s">
        <v>22</v>
      </c>
      <c r="I254">
        <v>7</v>
      </c>
      <c r="J254" t="s">
        <v>30</v>
      </c>
    </row>
    <row r="255" spans="1:10" x14ac:dyDescent="0.25">
      <c r="A255" s="1">
        <v>50</v>
      </c>
      <c r="B255" t="s">
        <v>19</v>
      </c>
      <c r="C255">
        <v>700</v>
      </c>
      <c r="D255">
        <v>0</v>
      </c>
      <c r="E255" t="s">
        <v>24</v>
      </c>
      <c r="F255" t="s">
        <v>24</v>
      </c>
      <c r="G255" t="str">
        <f>"2026-02-26 16:53:24.432"</f>
        <v>2026-02-26 16:53:24.432</v>
      </c>
      <c r="H255" t="s">
        <v>22</v>
      </c>
      <c r="I255">
        <v>0</v>
      </c>
      <c r="J255" t="s">
        <v>25</v>
      </c>
    </row>
    <row r="256" spans="1:10" x14ac:dyDescent="0.25">
      <c r="A256" s="1">
        <v>51</v>
      </c>
      <c r="B256" t="s">
        <v>19</v>
      </c>
      <c r="C256">
        <v>700</v>
      </c>
      <c r="D256">
        <v>0</v>
      </c>
      <c r="E256" t="s">
        <v>24</v>
      </c>
      <c r="F256" t="s">
        <v>24</v>
      </c>
      <c r="G256" t="str">
        <f>"2026-02-26 14:20:52.418"</f>
        <v>2026-02-26 14:20:52.418</v>
      </c>
      <c r="H256" t="s">
        <v>22</v>
      </c>
    </row>
    <row r="257" spans="1:10" x14ac:dyDescent="0.25">
      <c r="A257" s="1">
        <v>52</v>
      </c>
      <c r="B257" t="s">
        <v>19</v>
      </c>
      <c r="C257">
        <v>706</v>
      </c>
      <c r="D257">
        <v>2</v>
      </c>
      <c r="E257" t="s">
        <v>20</v>
      </c>
      <c r="F257" t="s">
        <v>41</v>
      </c>
      <c r="G257" t="str">
        <f>"2026-02-26 14:03:03.274"</f>
        <v>2026-02-26 14:03:03.274</v>
      </c>
      <c r="H257" t="s">
        <v>22</v>
      </c>
      <c r="I257">
        <v>0</v>
      </c>
      <c r="J257" t="s">
        <v>23</v>
      </c>
    </row>
    <row r="258" spans="1:10" x14ac:dyDescent="0.25">
      <c r="A258" s="1">
        <v>53</v>
      </c>
      <c r="B258" t="s">
        <v>19</v>
      </c>
      <c r="C258">
        <v>700</v>
      </c>
      <c r="D258">
        <v>0</v>
      </c>
      <c r="E258" t="s">
        <v>24</v>
      </c>
      <c r="F258" t="s">
        <v>24</v>
      </c>
      <c r="G258" t="str">
        <f>"2026-02-26 12:26:39.424"</f>
        <v>2026-02-26 12:26:39.424</v>
      </c>
      <c r="H258" t="s">
        <v>22</v>
      </c>
    </row>
    <row r="259" spans="1:10" x14ac:dyDescent="0.25">
      <c r="A259" s="1">
        <v>54</v>
      </c>
      <c r="B259" t="s">
        <v>19</v>
      </c>
      <c r="C259">
        <v>700</v>
      </c>
      <c r="D259">
        <v>0</v>
      </c>
      <c r="E259" t="s">
        <v>24</v>
      </c>
      <c r="F259" t="s">
        <v>24</v>
      </c>
      <c r="G259" t="str">
        <f>"2026-02-26 12:00:42.574"</f>
        <v>2026-02-26 12:00:42.574</v>
      </c>
      <c r="H259" t="s">
        <v>22</v>
      </c>
      <c r="I259">
        <v>0</v>
      </c>
      <c r="J259" t="s">
        <v>25</v>
      </c>
    </row>
    <row r="260" spans="1:10" x14ac:dyDescent="0.25">
      <c r="A260" s="1">
        <v>55</v>
      </c>
      <c r="B260" t="s">
        <v>19</v>
      </c>
      <c r="C260">
        <v>700</v>
      </c>
      <c r="D260">
        <v>0</v>
      </c>
      <c r="E260" t="s">
        <v>24</v>
      </c>
      <c r="F260" t="s">
        <v>24</v>
      </c>
      <c r="G260" t="str">
        <f>"2026-02-26 11:43:52.416"</f>
        <v>2026-02-26 11:43:52.416</v>
      </c>
      <c r="H260" t="s">
        <v>22</v>
      </c>
    </row>
    <row r="261" spans="1:10" x14ac:dyDescent="0.25">
      <c r="A261" s="1">
        <v>56</v>
      </c>
      <c r="B261" t="s">
        <v>19</v>
      </c>
      <c r="C261">
        <v>700</v>
      </c>
      <c r="D261">
        <v>0</v>
      </c>
      <c r="E261" t="s">
        <v>24</v>
      </c>
      <c r="F261" t="s">
        <v>24</v>
      </c>
      <c r="G261" t="str">
        <f>"2026-02-26 11:39:42.418"</f>
        <v>2026-02-26 11:39:42.418</v>
      </c>
      <c r="H261" t="s">
        <v>22</v>
      </c>
    </row>
    <row r="262" spans="1:10" x14ac:dyDescent="0.25">
      <c r="A262" s="1">
        <v>57</v>
      </c>
      <c r="B262" t="s">
        <v>19</v>
      </c>
      <c r="C262">
        <v>700</v>
      </c>
      <c r="D262">
        <v>0</v>
      </c>
      <c r="E262" t="s">
        <v>24</v>
      </c>
      <c r="F262" t="s">
        <v>24</v>
      </c>
      <c r="G262" t="str">
        <f>"2026-02-26 11:38:13.428"</f>
        <v>2026-02-26 11:38:13.428</v>
      </c>
      <c r="H262" t="s">
        <v>22</v>
      </c>
    </row>
    <row r="263" spans="1:10" x14ac:dyDescent="0.25">
      <c r="A263" s="1">
        <v>58</v>
      </c>
      <c r="B263" t="s">
        <v>19</v>
      </c>
      <c r="C263">
        <v>700</v>
      </c>
      <c r="D263">
        <v>0</v>
      </c>
      <c r="E263" t="s">
        <v>24</v>
      </c>
      <c r="F263" t="s">
        <v>24</v>
      </c>
      <c r="G263" t="str">
        <f>"2026-02-26 11:33:27.700"</f>
        <v>2026-02-26 11:33:27.700</v>
      </c>
      <c r="H263" t="s">
        <v>22</v>
      </c>
    </row>
    <row r="264" spans="1:10" x14ac:dyDescent="0.25">
      <c r="A264" s="1">
        <v>59</v>
      </c>
      <c r="B264" t="s">
        <v>26</v>
      </c>
      <c r="C264">
        <v>61</v>
      </c>
      <c r="D264">
        <v>2</v>
      </c>
      <c r="E264" t="s">
        <v>45</v>
      </c>
      <c r="F264" t="s">
        <v>46</v>
      </c>
      <c r="G264" t="str">
        <f>"2026-02-25 19:34:12.494"</f>
        <v>2026-02-25 19:34:12.494</v>
      </c>
      <c r="H264" t="s">
        <v>22</v>
      </c>
    </row>
    <row r="265" spans="1:10" x14ac:dyDescent="0.25">
      <c r="A265" s="1">
        <v>60</v>
      </c>
      <c r="B265" t="s">
        <v>32</v>
      </c>
      <c r="C265">
        <v>61</v>
      </c>
      <c r="D265">
        <v>2</v>
      </c>
      <c r="E265" t="s">
        <v>45</v>
      </c>
      <c r="F265" t="s">
        <v>46</v>
      </c>
      <c r="G265" t="str">
        <f>"2026-02-25 19:33:59.694"</f>
        <v>2026-02-25 19:33:59.694</v>
      </c>
      <c r="H265" t="s">
        <v>22</v>
      </c>
      <c r="I265">
        <v>30.69</v>
      </c>
      <c r="J265" t="s">
        <v>36</v>
      </c>
    </row>
    <row r="266" spans="1:10" x14ac:dyDescent="0.25">
      <c r="A266" s="1">
        <v>61</v>
      </c>
      <c r="B266" t="s">
        <v>26</v>
      </c>
      <c r="C266">
        <v>635</v>
      </c>
      <c r="D266">
        <v>1</v>
      </c>
      <c r="E266" t="s">
        <v>27</v>
      </c>
      <c r="F266" t="s">
        <v>28</v>
      </c>
      <c r="G266" t="str">
        <f>"2026-02-25 16:44:24.093"</f>
        <v>2026-02-25 16:44:24.093</v>
      </c>
      <c r="H266" t="s">
        <v>22</v>
      </c>
    </row>
    <row r="267" spans="1:10" x14ac:dyDescent="0.25">
      <c r="A267" s="1">
        <v>62</v>
      </c>
      <c r="B267" t="s">
        <v>29</v>
      </c>
      <c r="C267">
        <v>635</v>
      </c>
      <c r="D267">
        <v>1</v>
      </c>
      <c r="E267" t="s">
        <v>27</v>
      </c>
      <c r="F267" t="s">
        <v>28</v>
      </c>
      <c r="G267" t="str">
        <f>"2026-02-25 16:39:23.093"</f>
        <v>2026-02-25 16:39:23.093</v>
      </c>
      <c r="H267" t="s">
        <v>22</v>
      </c>
      <c r="I267">
        <v>2.57</v>
      </c>
      <c r="J267" t="s">
        <v>30</v>
      </c>
    </row>
    <row r="268" spans="1:10" x14ac:dyDescent="0.25">
      <c r="A268" s="1">
        <v>63</v>
      </c>
      <c r="B268" t="s">
        <v>19</v>
      </c>
      <c r="C268">
        <v>700</v>
      </c>
      <c r="D268">
        <v>0</v>
      </c>
      <c r="E268" t="s">
        <v>24</v>
      </c>
      <c r="F268" t="s">
        <v>24</v>
      </c>
      <c r="G268" t="str">
        <f>"2026-02-25 11:23:59.443"</f>
        <v>2026-02-25 11:23:59.443</v>
      </c>
      <c r="H268" t="s">
        <v>22</v>
      </c>
    </row>
    <row r="269" spans="1:10" s="3" customFormat="1" x14ac:dyDescent="0.25">
      <c r="A269" s="2">
        <v>64</v>
      </c>
      <c r="B269" s="3" t="s">
        <v>26</v>
      </c>
      <c r="C269" s="3">
        <v>647</v>
      </c>
      <c r="D269" s="3">
        <v>1</v>
      </c>
      <c r="E269" s="3" t="s">
        <v>39</v>
      </c>
      <c r="F269" s="3" t="s">
        <v>40</v>
      </c>
      <c r="G269" s="3" t="str">
        <f>"2026-02-25 09:50:11.986"</f>
        <v>2026-02-25 09:50:11.986</v>
      </c>
      <c r="H269" s="3" t="s">
        <v>22</v>
      </c>
    </row>
    <row r="270" spans="1:10" s="3" customFormat="1" x14ac:dyDescent="0.25">
      <c r="A270" s="2">
        <v>65</v>
      </c>
      <c r="B270" s="3" t="s">
        <v>29</v>
      </c>
      <c r="C270" s="3">
        <v>647</v>
      </c>
      <c r="D270" s="3">
        <v>1</v>
      </c>
      <c r="E270" s="3" t="s">
        <v>39</v>
      </c>
      <c r="F270" s="3" t="s">
        <v>40</v>
      </c>
      <c r="G270" s="3" t="str">
        <f>"2026-02-25 09:50:10.087"</f>
        <v>2026-02-25 09:50:10.087</v>
      </c>
      <c r="H270" s="3" t="s">
        <v>22</v>
      </c>
      <c r="I270" s="3">
        <v>9.77</v>
      </c>
      <c r="J270" s="3" t="s">
        <v>36</v>
      </c>
    </row>
    <row r="271" spans="1:10" x14ac:dyDescent="0.25">
      <c r="A271" s="1">
        <v>66</v>
      </c>
      <c r="B271" t="s">
        <v>19</v>
      </c>
      <c r="C271">
        <v>700</v>
      </c>
      <c r="D271">
        <v>0</v>
      </c>
      <c r="E271" t="s">
        <v>24</v>
      </c>
      <c r="F271" t="s">
        <v>24</v>
      </c>
      <c r="G271" t="str">
        <f>"2026-02-24 10:49:31.657"</f>
        <v>2026-02-24 10:49:31.657</v>
      </c>
      <c r="H271" t="s">
        <v>22</v>
      </c>
      <c r="I271">
        <v>0</v>
      </c>
      <c r="J271" t="s">
        <v>25</v>
      </c>
    </row>
    <row r="272" spans="1:10" x14ac:dyDescent="0.25">
      <c r="A272" s="1">
        <v>67</v>
      </c>
      <c r="B272" t="s">
        <v>26</v>
      </c>
      <c r="C272">
        <v>635</v>
      </c>
      <c r="D272">
        <v>1</v>
      </c>
      <c r="E272" t="s">
        <v>27</v>
      </c>
      <c r="F272" t="s">
        <v>28</v>
      </c>
      <c r="G272" t="str">
        <f>"2026-02-24 02:56:55.066"</f>
        <v>2026-02-24 02:56:55.066</v>
      </c>
      <c r="H272" t="s">
        <v>22</v>
      </c>
    </row>
    <row r="273" spans="1:10" x14ac:dyDescent="0.25">
      <c r="A273" s="1">
        <v>68</v>
      </c>
      <c r="B273" t="s">
        <v>29</v>
      </c>
      <c r="C273">
        <v>635</v>
      </c>
      <c r="D273">
        <v>1</v>
      </c>
      <c r="E273" t="s">
        <v>27</v>
      </c>
      <c r="F273" t="s">
        <v>28</v>
      </c>
      <c r="G273" t="str">
        <f>"2026-02-24 02:43:58.167"</f>
        <v>2026-02-24 02:43:58.167</v>
      </c>
      <c r="H273" t="s">
        <v>22</v>
      </c>
      <c r="I273">
        <v>10.95</v>
      </c>
      <c r="J273" t="s">
        <v>36</v>
      </c>
    </row>
    <row r="274" spans="1:10" x14ac:dyDescent="0.25">
      <c r="A274" s="1">
        <v>69</v>
      </c>
      <c r="B274" t="s">
        <v>26</v>
      </c>
      <c r="C274">
        <v>635</v>
      </c>
      <c r="D274">
        <v>1</v>
      </c>
      <c r="E274" t="s">
        <v>27</v>
      </c>
      <c r="F274" t="s">
        <v>28</v>
      </c>
      <c r="G274" t="str">
        <f>"2026-02-23 23:22:48.167"</f>
        <v>2026-02-23 23:22:48.167</v>
      </c>
      <c r="H274" t="s">
        <v>22</v>
      </c>
    </row>
    <row r="275" spans="1:10" x14ac:dyDescent="0.25">
      <c r="A275" s="1">
        <v>70</v>
      </c>
      <c r="B275" t="s">
        <v>29</v>
      </c>
      <c r="C275">
        <v>635</v>
      </c>
      <c r="D275">
        <v>1</v>
      </c>
      <c r="E275" t="s">
        <v>27</v>
      </c>
      <c r="F275" t="s">
        <v>28</v>
      </c>
      <c r="G275" t="str">
        <f>"2026-02-23 23:09:54.767"</f>
        <v>2026-02-23 23:09:54.767</v>
      </c>
      <c r="H275" t="s">
        <v>22</v>
      </c>
      <c r="I275">
        <v>8.14</v>
      </c>
      <c r="J275" t="s">
        <v>36</v>
      </c>
    </row>
    <row r="276" spans="1:10" x14ac:dyDescent="0.25">
      <c r="A276" s="1">
        <v>71</v>
      </c>
      <c r="B276" t="s">
        <v>19</v>
      </c>
      <c r="C276">
        <v>700</v>
      </c>
      <c r="D276">
        <v>0</v>
      </c>
      <c r="E276" t="s">
        <v>24</v>
      </c>
      <c r="F276" t="s">
        <v>24</v>
      </c>
      <c r="G276" t="str">
        <f>"2026-02-23 09:34:10.548"</f>
        <v>2026-02-23 09:34:10.548</v>
      </c>
      <c r="H276" t="s">
        <v>22</v>
      </c>
      <c r="I276">
        <v>0</v>
      </c>
      <c r="J276" t="s">
        <v>25</v>
      </c>
    </row>
    <row r="277" spans="1:10" x14ac:dyDescent="0.25">
      <c r="A277" s="1">
        <v>72</v>
      </c>
      <c r="B277" t="s">
        <v>19</v>
      </c>
      <c r="C277">
        <v>700</v>
      </c>
      <c r="D277">
        <v>0</v>
      </c>
      <c r="E277" t="s">
        <v>24</v>
      </c>
      <c r="F277" t="s">
        <v>24</v>
      </c>
      <c r="G277" t="str">
        <f>"2026-02-22 23:13:09.450"</f>
        <v>2026-02-22 23:13:09.450</v>
      </c>
      <c r="H277" t="s">
        <v>22</v>
      </c>
      <c r="I277">
        <v>0</v>
      </c>
      <c r="J277" t="s">
        <v>25</v>
      </c>
    </row>
    <row r="278" spans="1:10" x14ac:dyDescent="0.25">
      <c r="A278" s="1">
        <v>74</v>
      </c>
      <c r="B278" t="s">
        <v>26</v>
      </c>
      <c r="C278">
        <v>635</v>
      </c>
      <c r="D278">
        <v>1</v>
      </c>
      <c r="E278" t="s">
        <v>27</v>
      </c>
      <c r="F278" t="s">
        <v>28</v>
      </c>
      <c r="G278" t="str">
        <f>"2026-02-20 23:39:33.916"</f>
        <v>2026-02-20 23:39:33.916</v>
      </c>
      <c r="H278" t="s">
        <v>22</v>
      </c>
    </row>
    <row r="279" spans="1:10" x14ac:dyDescent="0.25">
      <c r="A279" s="1">
        <v>75</v>
      </c>
      <c r="B279" t="s">
        <v>29</v>
      </c>
      <c r="C279">
        <v>635</v>
      </c>
      <c r="D279">
        <v>1</v>
      </c>
      <c r="E279" t="s">
        <v>27</v>
      </c>
      <c r="F279" t="s">
        <v>28</v>
      </c>
      <c r="G279" t="str">
        <f>"2026-02-20 23:28:37.016"</f>
        <v>2026-02-20 23:28:37.016</v>
      </c>
      <c r="H279" t="s">
        <v>22</v>
      </c>
      <c r="I279">
        <v>2.5099999999999998</v>
      </c>
      <c r="J279" t="s">
        <v>30</v>
      </c>
    </row>
    <row r="280" spans="1:10" x14ac:dyDescent="0.25">
      <c r="A280" s="1">
        <v>76</v>
      </c>
      <c r="B280" t="s">
        <v>19</v>
      </c>
      <c r="C280">
        <v>700</v>
      </c>
      <c r="D280">
        <v>0</v>
      </c>
      <c r="E280" t="s">
        <v>24</v>
      </c>
      <c r="F280" t="s">
        <v>24</v>
      </c>
      <c r="G280" t="str">
        <f>"2026-02-20 20:24:39.417"</f>
        <v>2026-02-20 20:24:39.417</v>
      </c>
      <c r="H280" t="s">
        <v>22</v>
      </c>
      <c r="I280">
        <v>0</v>
      </c>
      <c r="J280" t="s">
        <v>25</v>
      </c>
    </row>
    <row r="281" spans="1:10" x14ac:dyDescent="0.25">
      <c r="A281" s="1">
        <v>77</v>
      </c>
      <c r="B281" t="s">
        <v>26</v>
      </c>
      <c r="C281">
        <v>61</v>
      </c>
      <c r="D281">
        <v>2</v>
      </c>
      <c r="E281" t="s">
        <v>45</v>
      </c>
      <c r="F281" t="s">
        <v>46</v>
      </c>
      <c r="G281" t="str">
        <f>"2026-02-20 17:00:10.710"</f>
        <v>2026-02-20 17:00:10.710</v>
      </c>
      <c r="H281" t="s">
        <v>22</v>
      </c>
    </row>
    <row r="282" spans="1:10" x14ac:dyDescent="0.25">
      <c r="A282" s="1">
        <v>78</v>
      </c>
      <c r="B282" t="s">
        <v>32</v>
      </c>
      <c r="C282">
        <v>61</v>
      </c>
      <c r="D282">
        <v>2</v>
      </c>
      <c r="E282" t="s">
        <v>45</v>
      </c>
      <c r="F282" t="s">
        <v>46</v>
      </c>
      <c r="G282" t="str">
        <f>"2026-02-20 16:59:59.009"</f>
        <v>2026-02-20 16:59:59.009</v>
      </c>
      <c r="H282" t="s">
        <v>22</v>
      </c>
      <c r="I282">
        <v>29.68</v>
      </c>
      <c r="J282" t="s">
        <v>36</v>
      </c>
    </row>
    <row r="283" spans="1:10" x14ac:dyDescent="0.25">
      <c r="A283" s="1">
        <v>79</v>
      </c>
      <c r="B283" t="s">
        <v>26</v>
      </c>
      <c r="C283">
        <v>61</v>
      </c>
      <c r="D283">
        <v>2</v>
      </c>
      <c r="E283" t="s">
        <v>45</v>
      </c>
      <c r="F283" t="s">
        <v>46</v>
      </c>
      <c r="G283" t="str">
        <f>"2026-02-20 16:25:03.009"</f>
        <v>2026-02-20 16:25:03.009</v>
      </c>
      <c r="H283" t="s">
        <v>22</v>
      </c>
    </row>
    <row r="284" spans="1:10" x14ac:dyDescent="0.25">
      <c r="A284" s="1">
        <v>80</v>
      </c>
      <c r="B284" t="s">
        <v>32</v>
      </c>
      <c r="C284">
        <v>61</v>
      </c>
      <c r="D284">
        <v>2</v>
      </c>
      <c r="E284" t="s">
        <v>45</v>
      </c>
      <c r="F284" t="s">
        <v>46</v>
      </c>
      <c r="G284" t="str">
        <f>"2026-02-20 16:24:50.610"</f>
        <v>2026-02-20 16:24:50.610</v>
      </c>
      <c r="H284" t="s">
        <v>22</v>
      </c>
      <c r="I284">
        <v>30.11</v>
      </c>
      <c r="J284" t="s">
        <v>36</v>
      </c>
    </row>
    <row r="285" spans="1:10" x14ac:dyDescent="0.25">
      <c r="A285" s="1">
        <v>81</v>
      </c>
      <c r="B285" t="s">
        <v>26</v>
      </c>
      <c r="C285">
        <v>635</v>
      </c>
      <c r="D285">
        <v>1</v>
      </c>
      <c r="E285" t="s">
        <v>27</v>
      </c>
      <c r="F285" t="s">
        <v>28</v>
      </c>
      <c r="G285" t="str">
        <f>"2026-02-20 15:39:00.629"</f>
        <v>2026-02-20 15:39:00.629</v>
      </c>
      <c r="H285" t="s">
        <v>22</v>
      </c>
    </row>
    <row r="286" spans="1:10" x14ac:dyDescent="0.25">
      <c r="A286" s="1">
        <v>82</v>
      </c>
      <c r="B286" t="s">
        <v>29</v>
      </c>
      <c r="C286">
        <v>635</v>
      </c>
      <c r="D286">
        <v>1</v>
      </c>
      <c r="E286" t="s">
        <v>27</v>
      </c>
      <c r="F286" t="s">
        <v>28</v>
      </c>
      <c r="G286" t="str">
        <f>"2026-02-20 15:35:30.129"</f>
        <v>2026-02-20 15:35:30.129</v>
      </c>
      <c r="H286" t="s">
        <v>22</v>
      </c>
      <c r="I286">
        <v>3.03</v>
      </c>
      <c r="J286" t="s">
        <v>30</v>
      </c>
    </row>
    <row r="287" spans="1:10" x14ac:dyDescent="0.25">
      <c r="A287" s="1">
        <v>83</v>
      </c>
      <c r="B287" t="s">
        <v>26</v>
      </c>
      <c r="C287">
        <v>635</v>
      </c>
      <c r="D287">
        <v>1</v>
      </c>
      <c r="E287" t="s">
        <v>27</v>
      </c>
      <c r="F287" t="s">
        <v>28</v>
      </c>
      <c r="G287" t="str">
        <f>"2026-02-20 14:17:58.829"</f>
        <v>2026-02-20 14:17:58.829</v>
      </c>
      <c r="H287" t="s">
        <v>22</v>
      </c>
    </row>
    <row r="288" spans="1:10" x14ac:dyDescent="0.25">
      <c r="A288" s="1">
        <v>84</v>
      </c>
      <c r="B288" t="s">
        <v>29</v>
      </c>
      <c r="C288">
        <v>635</v>
      </c>
      <c r="D288">
        <v>1</v>
      </c>
      <c r="E288" t="s">
        <v>27</v>
      </c>
      <c r="F288" t="s">
        <v>28</v>
      </c>
      <c r="G288" t="str">
        <f>"2026-02-20 14:13:23.329"</f>
        <v>2026-02-20 14:13:23.329</v>
      </c>
      <c r="H288" t="s">
        <v>22</v>
      </c>
      <c r="I288">
        <v>5.43</v>
      </c>
      <c r="J288" t="s">
        <v>31</v>
      </c>
    </row>
    <row r="289" spans="1:10" x14ac:dyDescent="0.25">
      <c r="A289" s="1">
        <v>85</v>
      </c>
      <c r="B289" t="s">
        <v>26</v>
      </c>
      <c r="C289">
        <v>635</v>
      </c>
      <c r="D289">
        <v>1</v>
      </c>
      <c r="E289" t="s">
        <v>27</v>
      </c>
      <c r="F289" t="s">
        <v>28</v>
      </c>
      <c r="G289" t="str">
        <f>"2026-02-19 19:06:22.429"</f>
        <v>2026-02-19 19:06:22.429</v>
      </c>
      <c r="H289" t="s">
        <v>22</v>
      </c>
    </row>
    <row r="290" spans="1:10" x14ac:dyDescent="0.25">
      <c r="A290" s="1">
        <v>86</v>
      </c>
      <c r="B290" t="s">
        <v>29</v>
      </c>
      <c r="C290">
        <v>635</v>
      </c>
      <c r="D290">
        <v>1</v>
      </c>
      <c r="E290" t="s">
        <v>27</v>
      </c>
      <c r="F290" t="s">
        <v>28</v>
      </c>
      <c r="G290" t="str">
        <f>"2026-02-19 18:43:48.029"</f>
        <v>2026-02-19 18:43:48.029</v>
      </c>
      <c r="H290" t="s">
        <v>22</v>
      </c>
      <c r="I290">
        <v>6.4</v>
      </c>
      <c r="J290" t="s">
        <v>30</v>
      </c>
    </row>
    <row r="291" spans="1:10" x14ac:dyDescent="0.25">
      <c r="A291" s="1">
        <v>87</v>
      </c>
      <c r="B291" t="s">
        <v>19</v>
      </c>
      <c r="C291">
        <v>700</v>
      </c>
      <c r="D291">
        <v>0</v>
      </c>
      <c r="E291" t="s">
        <v>24</v>
      </c>
      <c r="F291" t="s">
        <v>24</v>
      </c>
      <c r="G291" t="str">
        <f>"2026-02-19 13:03:53.641"</f>
        <v>2026-02-19 13:03:53.641</v>
      </c>
      <c r="H291" t="s">
        <v>22</v>
      </c>
    </row>
    <row r="292" spans="1:10" x14ac:dyDescent="0.25">
      <c r="A292" s="1">
        <v>88</v>
      </c>
      <c r="B292" t="s">
        <v>19</v>
      </c>
      <c r="C292">
        <v>700</v>
      </c>
      <c r="D292">
        <v>0</v>
      </c>
      <c r="E292" t="s">
        <v>24</v>
      </c>
      <c r="F292" t="s">
        <v>24</v>
      </c>
      <c r="G292" t="str">
        <f>"2026-02-19 04:09:03.660"</f>
        <v>2026-02-19 04:09:03.660</v>
      </c>
      <c r="H292" t="s">
        <v>22</v>
      </c>
    </row>
    <row r="293" spans="1:10" x14ac:dyDescent="0.25">
      <c r="A293" s="1">
        <v>89</v>
      </c>
      <c r="B293" t="s">
        <v>19</v>
      </c>
      <c r="C293">
        <v>700</v>
      </c>
      <c r="D293">
        <v>0</v>
      </c>
      <c r="E293" t="s">
        <v>24</v>
      </c>
      <c r="F293" t="s">
        <v>24</v>
      </c>
      <c r="G293" t="str">
        <f>"2026-02-18 15:53:49.406"</f>
        <v>2026-02-18 15:53:49.406</v>
      </c>
      <c r="H293" t="s">
        <v>22</v>
      </c>
    </row>
    <row r="294" spans="1:10" x14ac:dyDescent="0.25">
      <c r="A294" s="1">
        <v>90</v>
      </c>
      <c r="B294" t="s">
        <v>19</v>
      </c>
      <c r="C294">
        <v>706</v>
      </c>
      <c r="D294">
        <v>4</v>
      </c>
      <c r="E294" t="s">
        <v>20</v>
      </c>
      <c r="F294" t="s">
        <v>21</v>
      </c>
      <c r="G294" t="str">
        <f>"2026-02-18 15:52:31.737"</f>
        <v>2026-02-18 15:52:31.737</v>
      </c>
      <c r="H294" t="s">
        <v>22</v>
      </c>
      <c r="I294">
        <v>0</v>
      </c>
      <c r="J294" t="s">
        <v>23</v>
      </c>
    </row>
    <row r="295" spans="1:10" x14ac:dyDescent="0.25">
      <c r="A295" s="1">
        <v>91</v>
      </c>
      <c r="B295" t="s">
        <v>19</v>
      </c>
      <c r="C295">
        <v>706</v>
      </c>
      <c r="D295">
        <v>2</v>
      </c>
      <c r="E295" t="s">
        <v>20</v>
      </c>
      <c r="F295" t="s">
        <v>41</v>
      </c>
      <c r="G295" t="str">
        <f>"2026-02-18 15:52:15.747"</f>
        <v>2026-02-18 15:52:15.747</v>
      </c>
      <c r="H295" t="s">
        <v>22</v>
      </c>
      <c r="I295">
        <v>0</v>
      </c>
      <c r="J295" t="s">
        <v>23</v>
      </c>
    </row>
    <row r="296" spans="1:10" x14ac:dyDescent="0.25">
      <c r="A296" s="1">
        <v>92</v>
      </c>
      <c r="B296" t="s">
        <v>19</v>
      </c>
      <c r="C296">
        <v>706</v>
      </c>
      <c r="D296">
        <v>4</v>
      </c>
      <c r="E296" t="s">
        <v>20</v>
      </c>
      <c r="F296" t="s">
        <v>21</v>
      </c>
      <c r="G296" t="str">
        <f>"2026-02-18 15:52:00.447"</f>
        <v>2026-02-18 15:52:00.447</v>
      </c>
      <c r="H296" t="s">
        <v>22</v>
      </c>
      <c r="I296">
        <v>0</v>
      </c>
      <c r="J296" t="s">
        <v>23</v>
      </c>
    </row>
    <row r="297" spans="1:10" x14ac:dyDescent="0.25">
      <c r="A297" s="1">
        <v>93</v>
      </c>
      <c r="B297" t="s">
        <v>19</v>
      </c>
      <c r="C297">
        <v>706</v>
      </c>
      <c r="D297">
        <v>4</v>
      </c>
      <c r="E297" t="s">
        <v>20</v>
      </c>
      <c r="F297" t="s">
        <v>21</v>
      </c>
      <c r="G297" t="str">
        <f>"2026-02-18 15:51:27.937"</f>
        <v>2026-02-18 15:51:27.937</v>
      </c>
      <c r="H297" t="s">
        <v>22</v>
      </c>
      <c r="I297">
        <v>0</v>
      </c>
      <c r="J297" t="s">
        <v>23</v>
      </c>
    </row>
    <row r="298" spans="1:10" x14ac:dyDescent="0.25">
      <c r="A298" s="1">
        <v>94</v>
      </c>
      <c r="B298" t="s">
        <v>19</v>
      </c>
      <c r="C298">
        <v>700</v>
      </c>
      <c r="D298">
        <v>0</v>
      </c>
      <c r="E298" t="s">
        <v>24</v>
      </c>
      <c r="F298" t="s">
        <v>24</v>
      </c>
      <c r="G298" t="str">
        <f>"2026-02-18 15:49:57.397"</f>
        <v>2026-02-18 15:49:57.397</v>
      </c>
      <c r="H298" t="s">
        <v>22</v>
      </c>
    </row>
    <row r="299" spans="1:10" x14ac:dyDescent="0.25">
      <c r="A299" s="1">
        <v>95</v>
      </c>
      <c r="B299" t="s">
        <v>19</v>
      </c>
      <c r="C299">
        <v>700</v>
      </c>
      <c r="D299">
        <v>0</v>
      </c>
      <c r="E299" t="s">
        <v>24</v>
      </c>
      <c r="F299" t="s">
        <v>24</v>
      </c>
      <c r="G299" t="str">
        <f>"2026-02-18 15:46:40.406"</f>
        <v>2026-02-18 15:46:40.406</v>
      </c>
      <c r="H299" t="s">
        <v>22</v>
      </c>
    </row>
    <row r="300" spans="1:10" x14ac:dyDescent="0.25">
      <c r="A300" s="1">
        <v>96</v>
      </c>
      <c r="B300" t="s">
        <v>19</v>
      </c>
      <c r="C300">
        <v>706</v>
      </c>
      <c r="D300">
        <v>2</v>
      </c>
      <c r="E300" t="s">
        <v>20</v>
      </c>
      <c r="F300" t="s">
        <v>41</v>
      </c>
      <c r="G300" t="str">
        <f>"2026-02-18 15:44:58.256"</f>
        <v>2026-02-18 15:44:58.256</v>
      </c>
      <c r="H300" t="s">
        <v>22</v>
      </c>
      <c r="I300">
        <v>0</v>
      </c>
      <c r="J300" t="s">
        <v>23</v>
      </c>
    </row>
    <row r="301" spans="1:10" x14ac:dyDescent="0.25">
      <c r="A301" s="1">
        <v>97</v>
      </c>
      <c r="B301" t="s">
        <v>26</v>
      </c>
      <c r="C301">
        <v>61</v>
      </c>
      <c r="D301">
        <v>2</v>
      </c>
      <c r="E301" t="s">
        <v>45</v>
      </c>
      <c r="F301" t="s">
        <v>46</v>
      </c>
      <c r="G301" t="str">
        <f>"2026-02-17 17:11:05.727"</f>
        <v>2026-02-17 17:11:05.727</v>
      </c>
      <c r="H301" t="s">
        <v>22</v>
      </c>
    </row>
    <row r="302" spans="1:10" x14ac:dyDescent="0.25">
      <c r="A302" s="1">
        <v>98</v>
      </c>
      <c r="B302" t="s">
        <v>32</v>
      </c>
      <c r="C302">
        <v>61</v>
      </c>
      <c r="D302">
        <v>2</v>
      </c>
      <c r="E302" t="s">
        <v>45</v>
      </c>
      <c r="F302" t="s">
        <v>46</v>
      </c>
      <c r="G302" t="str">
        <f>"2026-02-17 17:10:53.627"</f>
        <v>2026-02-17 17:10:53.627</v>
      </c>
      <c r="H302" t="s">
        <v>22</v>
      </c>
      <c r="I302">
        <v>29.98</v>
      </c>
      <c r="J302" t="s">
        <v>36</v>
      </c>
    </row>
    <row r="303" spans="1:10" x14ac:dyDescent="0.25">
      <c r="A303" s="1">
        <v>99</v>
      </c>
      <c r="B303" t="s">
        <v>26</v>
      </c>
      <c r="C303">
        <v>635</v>
      </c>
      <c r="D303">
        <v>1</v>
      </c>
      <c r="E303" t="s">
        <v>27</v>
      </c>
      <c r="F303" t="s">
        <v>28</v>
      </c>
      <c r="G303" t="str">
        <f>"2026-02-17 10:16:19.674"</f>
        <v>2026-02-17 10:16:19.674</v>
      </c>
      <c r="H303" t="s">
        <v>22</v>
      </c>
    </row>
    <row r="304" spans="1:10" x14ac:dyDescent="0.25">
      <c r="A304" s="1">
        <v>0</v>
      </c>
      <c r="B304" t="s">
        <v>29</v>
      </c>
      <c r="C304">
        <v>635</v>
      </c>
      <c r="D304">
        <v>1</v>
      </c>
      <c r="E304" t="s">
        <v>27</v>
      </c>
      <c r="F304" t="s">
        <v>28</v>
      </c>
      <c r="G304" t="str">
        <f>"2026-02-17 10:11:09.174"</f>
        <v>2026-02-17 10:11:09.174</v>
      </c>
      <c r="H304" t="s">
        <v>22</v>
      </c>
      <c r="I304">
        <v>6.8</v>
      </c>
      <c r="J304" t="s">
        <v>30</v>
      </c>
    </row>
    <row r="305" spans="1:10" x14ac:dyDescent="0.25">
      <c r="A305" s="1">
        <v>1</v>
      </c>
      <c r="B305" t="s">
        <v>26</v>
      </c>
      <c r="C305">
        <v>61</v>
      </c>
      <c r="D305">
        <v>2</v>
      </c>
      <c r="E305" t="s">
        <v>45</v>
      </c>
      <c r="F305" t="s">
        <v>46</v>
      </c>
      <c r="G305" t="str">
        <f>"2026-02-16 17:31:42.627"</f>
        <v>2026-02-16 17:31:42.627</v>
      </c>
      <c r="H305" t="s">
        <v>22</v>
      </c>
    </row>
    <row r="306" spans="1:10" x14ac:dyDescent="0.25">
      <c r="A306" s="1">
        <v>2</v>
      </c>
      <c r="B306" t="s">
        <v>32</v>
      </c>
      <c r="C306">
        <v>61</v>
      </c>
      <c r="D306">
        <v>2</v>
      </c>
      <c r="E306" t="s">
        <v>45</v>
      </c>
      <c r="F306" t="s">
        <v>46</v>
      </c>
      <c r="G306" t="str">
        <f>"2026-02-16 17:31:28.028"</f>
        <v>2026-02-16 17:31:28.028</v>
      </c>
      <c r="H306" t="s">
        <v>22</v>
      </c>
      <c r="I306">
        <v>30.17</v>
      </c>
      <c r="J306" t="s">
        <v>36</v>
      </c>
    </row>
    <row r="307" spans="1:10" x14ac:dyDescent="0.25">
      <c r="A307" s="1">
        <v>3</v>
      </c>
      <c r="B307" t="s">
        <v>19</v>
      </c>
      <c r="C307">
        <v>706</v>
      </c>
      <c r="D307">
        <v>4</v>
      </c>
      <c r="E307" t="s">
        <v>20</v>
      </c>
      <c r="F307" t="s">
        <v>21</v>
      </c>
      <c r="G307" t="str">
        <f>"2026-02-16 13:54:23.056"</f>
        <v>2026-02-16 13:54:23.056</v>
      </c>
      <c r="H307" t="s">
        <v>22</v>
      </c>
      <c r="I307">
        <v>0</v>
      </c>
      <c r="J307" t="s">
        <v>23</v>
      </c>
    </row>
    <row r="308" spans="1:10" x14ac:dyDescent="0.25">
      <c r="A308" s="1">
        <v>4</v>
      </c>
      <c r="B308" t="s">
        <v>19</v>
      </c>
      <c r="C308">
        <v>700</v>
      </c>
      <c r="D308">
        <v>0</v>
      </c>
      <c r="E308" t="s">
        <v>24</v>
      </c>
      <c r="F308" t="s">
        <v>24</v>
      </c>
      <c r="G308" t="str">
        <f>"2026-02-16 13:53:36.416"</f>
        <v>2026-02-16 13:53:36.416</v>
      </c>
      <c r="H308" t="s">
        <v>22</v>
      </c>
      <c r="I308">
        <v>0</v>
      </c>
      <c r="J308" t="s">
        <v>25</v>
      </c>
    </row>
    <row r="309" spans="1:10" x14ac:dyDescent="0.25">
      <c r="A309" s="1">
        <v>5</v>
      </c>
      <c r="B309" t="s">
        <v>19</v>
      </c>
      <c r="C309">
        <v>700</v>
      </c>
      <c r="D309">
        <v>0</v>
      </c>
      <c r="E309" t="s">
        <v>24</v>
      </c>
      <c r="F309" t="s">
        <v>24</v>
      </c>
      <c r="G309" t="str">
        <f>"2026-02-16 12:13:19.403"</f>
        <v>2026-02-16 12:13:19.403</v>
      </c>
      <c r="H309" t="s">
        <v>22</v>
      </c>
      <c r="I309">
        <v>0</v>
      </c>
      <c r="J309" t="s">
        <v>25</v>
      </c>
    </row>
    <row r="310" spans="1:10" x14ac:dyDescent="0.25">
      <c r="A310" s="1">
        <v>6</v>
      </c>
      <c r="B310" t="s">
        <v>19</v>
      </c>
      <c r="C310">
        <v>706</v>
      </c>
      <c r="D310">
        <v>2</v>
      </c>
      <c r="E310" t="s">
        <v>20</v>
      </c>
      <c r="F310" t="s">
        <v>41</v>
      </c>
      <c r="G310" t="str">
        <f>"2026-02-16 11:45:32.455"</f>
        <v>2026-02-16 11:45:32.455</v>
      </c>
      <c r="H310" t="s">
        <v>22</v>
      </c>
      <c r="I310">
        <v>0</v>
      </c>
      <c r="J310" t="s">
        <v>23</v>
      </c>
    </row>
    <row r="311" spans="1:10" x14ac:dyDescent="0.25">
      <c r="A311" s="1">
        <v>7</v>
      </c>
      <c r="B311" t="s">
        <v>19</v>
      </c>
      <c r="C311">
        <v>700</v>
      </c>
      <c r="D311">
        <v>0</v>
      </c>
      <c r="E311" t="s">
        <v>24</v>
      </c>
      <c r="F311" t="s">
        <v>24</v>
      </c>
      <c r="G311" t="str">
        <f>"2026-02-16 11:25:12.395"</f>
        <v>2026-02-16 11:25:12.395</v>
      </c>
      <c r="H311" t="s">
        <v>22</v>
      </c>
    </row>
    <row r="312" spans="1:10" x14ac:dyDescent="0.25">
      <c r="A312" s="1">
        <v>8</v>
      </c>
      <c r="B312" t="s">
        <v>19</v>
      </c>
      <c r="C312">
        <v>700</v>
      </c>
      <c r="D312">
        <v>0</v>
      </c>
      <c r="E312" t="s">
        <v>24</v>
      </c>
      <c r="F312" t="s">
        <v>24</v>
      </c>
      <c r="G312" t="str">
        <f>"2026-02-16 10:16:19.639"</f>
        <v>2026-02-16 10:16:19.639</v>
      </c>
      <c r="H312" t="s">
        <v>22</v>
      </c>
      <c r="I312">
        <v>0</v>
      </c>
      <c r="J312" t="s">
        <v>25</v>
      </c>
    </row>
    <row r="313" spans="1:10" x14ac:dyDescent="0.25">
      <c r="A313" s="1">
        <v>9</v>
      </c>
      <c r="B313" t="s">
        <v>19</v>
      </c>
      <c r="C313">
        <v>700</v>
      </c>
      <c r="D313">
        <v>0</v>
      </c>
      <c r="E313" t="s">
        <v>24</v>
      </c>
      <c r="F313" t="s">
        <v>24</v>
      </c>
      <c r="G313" t="str">
        <f>"2026-02-16 09:12:34.443"</f>
        <v>2026-02-16 09:12:34.443</v>
      </c>
      <c r="H313" t="s">
        <v>22</v>
      </c>
      <c r="I313">
        <v>0</v>
      </c>
      <c r="J313" t="s">
        <v>25</v>
      </c>
    </row>
    <row r="314" spans="1:10" x14ac:dyDescent="0.25">
      <c r="A314" s="1">
        <v>10</v>
      </c>
      <c r="B314" t="s">
        <v>26</v>
      </c>
      <c r="C314">
        <v>635</v>
      </c>
      <c r="D314">
        <v>1</v>
      </c>
      <c r="E314" t="s">
        <v>27</v>
      </c>
      <c r="F314" t="s">
        <v>28</v>
      </c>
      <c r="G314" t="str">
        <f>"2026-02-16 08:21:41.394"</f>
        <v>2026-02-16 08:21:41.394</v>
      </c>
      <c r="H314" t="s">
        <v>22</v>
      </c>
    </row>
    <row r="315" spans="1:10" x14ac:dyDescent="0.25">
      <c r="A315" s="1">
        <v>11</v>
      </c>
      <c r="B315" t="s">
        <v>29</v>
      </c>
      <c r="C315">
        <v>635</v>
      </c>
      <c r="D315">
        <v>1</v>
      </c>
      <c r="E315" t="s">
        <v>27</v>
      </c>
      <c r="F315" t="s">
        <v>28</v>
      </c>
      <c r="G315" t="str">
        <f>"2026-02-16 07:59:48.894"</f>
        <v>2026-02-16 07:59:48.894</v>
      </c>
      <c r="H315" t="s">
        <v>22</v>
      </c>
      <c r="I315">
        <v>4.75</v>
      </c>
      <c r="J315" t="s">
        <v>30</v>
      </c>
    </row>
    <row r="316" spans="1:10" x14ac:dyDescent="0.25">
      <c r="A316" s="1">
        <v>12</v>
      </c>
      <c r="B316" t="s">
        <v>19</v>
      </c>
      <c r="C316">
        <v>700</v>
      </c>
      <c r="D316">
        <v>0</v>
      </c>
      <c r="E316" t="s">
        <v>24</v>
      </c>
      <c r="F316" t="s">
        <v>24</v>
      </c>
      <c r="G316" t="str">
        <f>"2026-02-16 05:00:23.424"</f>
        <v>2026-02-16 05:00:23.424</v>
      </c>
      <c r="H316" t="s">
        <v>22</v>
      </c>
    </row>
    <row r="317" spans="1:10" x14ac:dyDescent="0.25">
      <c r="A317" s="1">
        <v>13</v>
      </c>
      <c r="B317" t="s">
        <v>26</v>
      </c>
      <c r="C317">
        <v>635</v>
      </c>
      <c r="D317">
        <v>1</v>
      </c>
      <c r="E317" t="s">
        <v>27</v>
      </c>
      <c r="F317" t="s">
        <v>28</v>
      </c>
      <c r="G317" t="str">
        <f>"2026-02-14 19:05:09.421"</f>
        <v>2026-02-14 19:05:09.421</v>
      </c>
      <c r="H317" t="s">
        <v>22</v>
      </c>
    </row>
    <row r="318" spans="1:10" x14ac:dyDescent="0.25">
      <c r="A318" s="1">
        <v>14</v>
      </c>
      <c r="B318" t="s">
        <v>29</v>
      </c>
      <c r="C318">
        <v>635</v>
      </c>
      <c r="D318">
        <v>1</v>
      </c>
      <c r="E318" t="s">
        <v>27</v>
      </c>
      <c r="F318" t="s">
        <v>28</v>
      </c>
      <c r="G318" t="str">
        <f>"2026-02-14 19:00:37.520"</f>
        <v>2026-02-14 19:00:37.520</v>
      </c>
      <c r="H318" t="s">
        <v>22</v>
      </c>
      <c r="I318">
        <v>4.57</v>
      </c>
      <c r="J318" t="s">
        <v>30</v>
      </c>
    </row>
    <row r="319" spans="1:10" x14ac:dyDescent="0.25">
      <c r="A319" s="1">
        <v>15</v>
      </c>
      <c r="B319" t="s">
        <v>26</v>
      </c>
      <c r="C319">
        <v>635</v>
      </c>
      <c r="D319">
        <v>1</v>
      </c>
      <c r="E319" t="s">
        <v>27</v>
      </c>
      <c r="F319" t="s">
        <v>28</v>
      </c>
      <c r="G319" t="str">
        <f>"2026-02-14 17:53:27.121"</f>
        <v>2026-02-14 17:53:27.121</v>
      </c>
      <c r="H319" t="s">
        <v>22</v>
      </c>
    </row>
    <row r="320" spans="1:10" x14ac:dyDescent="0.25">
      <c r="A320" s="1">
        <v>16</v>
      </c>
      <c r="B320" t="s">
        <v>29</v>
      </c>
      <c r="C320">
        <v>635</v>
      </c>
      <c r="D320">
        <v>1</v>
      </c>
      <c r="E320" t="s">
        <v>27</v>
      </c>
      <c r="F320" t="s">
        <v>28</v>
      </c>
      <c r="G320" t="str">
        <f>"2026-02-14 17:48:22.721"</f>
        <v>2026-02-14 17:48:22.721</v>
      </c>
      <c r="H320" t="s">
        <v>22</v>
      </c>
      <c r="I320">
        <v>5.57</v>
      </c>
      <c r="J320" t="s">
        <v>31</v>
      </c>
    </row>
    <row r="321" spans="1:10" x14ac:dyDescent="0.25">
      <c r="A321" s="1">
        <v>17</v>
      </c>
      <c r="B321" t="s">
        <v>26</v>
      </c>
      <c r="C321">
        <v>635</v>
      </c>
      <c r="D321">
        <v>1</v>
      </c>
      <c r="E321" t="s">
        <v>27</v>
      </c>
      <c r="F321" t="s">
        <v>28</v>
      </c>
      <c r="G321" t="str">
        <f>"2026-02-14 14:32:24.721"</f>
        <v>2026-02-14 14:32:24.721</v>
      </c>
      <c r="H321" t="s">
        <v>22</v>
      </c>
    </row>
    <row r="322" spans="1:10" x14ac:dyDescent="0.25">
      <c r="A322" s="1">
        <v>18</v>
      </c>
      <c r="B322" t="s">
        <v>29</v>
      </c>
      <c r="C322">
        <v>635</v>
      </c>
      <c r="D322">
        <v>1</v>
      </c>
      <c r="E322" t="s">
        <v>27</v>
      </c>
      <c r="F322" t="s">
        <v>28</v>
      </c>
      <c r="G322" t="str">
        <f>"2026-02-14 14:28:51.721"</f>
        <v>2026-02-14 14:28:51.721</v>
      </c>
      <c r="H322" t="s">
        <v>22</v>
      </c>
      <c r="I322">
        <v>7.21</v>
      </c>
      <c r="J322" t="s">
        <v>30</v>
      </c>
    </row>
    <row r="323" spans="1:10" x14ac:dyDescent="0.25">
      <c r="A323" s="1">
        <v>19</v>
      </c>
      <c r="B323" t="s">
        <v>26</v>
      </c>
      <c r="C323">
        <v>635</v>
      </c>
      <c r="D323">
        <v>1</v>
      </c>
      <c r="E323" t="s">
        <v>27</v>
      </c>
      <c r="F323" t="s">
        <v>28</v>
      </c>
      <c r="G323" t="str">
        <f>"2026-02-13 15:20:10.521"</f>
        <v>2026-02-13 15:20:10.521</v>
      </c>
      <c r="H323" t="s">
        <v>22</v>
      </c>
    </row>
    <row r="324" spans="1:10" x14ac:dyDescent="0.25">
      <c r="A324" s="1">
        <v>20</v>
      </c>
      <c r="B324" t="s">
        <v>29</v>
      </c>
      <c r="C324">
        <v>635</v>
      </c>
      <c r="D324">
        <v>1</v>
      </c>
      <c r="E324" t="s">
        <v>27</v>
      </c>
      <c r="F324" t="s">
        <v>28</v>
      </c>
      <c r="G324" t="str">
        <f>"2026-02-13 15:14:15.521"</f>
        <v>2026-02-13 15:14:15.521</v>
      </c>
      <c r="H324" t="s">
        <v>22</v>
      </c>
      <c r="I324">
        <v>6.24</v>
      </c>
      <c r="J324" t="s">
        <v>30</v>
      </c>
    </row>
    <row r="325" spans="1:10" x14ac:dyDescent="0.25">
      <c r="A325" s="1">
        <v>21</v>
      </c>
      <c r="B325" t="s">
        <v>19</v>
      </c>
      <c r="C325">
        <v>700</v>
      </c>
      <c r="D325">
        <v>0</v>
      </c>
      <c r="E325" t="s">
        <v>24</v>
      </c>
      <c r="F325" t="s">
        <v>24</v>
      </c>
      <c r="G325" t="str">
        <f>"2026-02-13 12:44:04.408"</f>
        <v>2026-02-13 12:44:04.408</v>
      </c>
      <c r="H325" t="s">
        <v>22</v>
      </c>
      <c r="I325">
        <v>0</v>
      </c>
      <c r="J325" t="s">
        <v>25</v>
      </c>
    </row>
    <row r="326" spans="1:10" x14ac:dyDescent="0.25">
      <c r="A326" s="1">
        <v>22</v>
      </c>
      <c r="B326" t="s">
        <v>19</v>
      </c>
      <c r="C326">
        <v>700</v>
      </c>
      <c r="D326">
        <v>0</v>
      </c>
      <c r="E326" t="s">
        <v>24</v>
      </c>
      <c r="F326" t="s">
        <v>24</v>
      </c>
      <c r="G326" t="str">
        <f>"2026-02-13 09:24:48.397"</f>
        <v>2026-02-13 09:24:48.397</v>
      </c>
      <c r="H326" t="s">
        <v>22</v>
      </c>
    </row>
    <row r="327" spans="1:10" x14ac:dyDescent="0.25">
      <c r="A327" s="1">
        <v>23</v>
      </c>
      <c r="B327" t="s">
        <v>26</v>
      </c>
      <c r="C327">
        <v>98</v>
      </c>
      <c r="D327">
        <v>1</v>
      </c>
      <c r="E327" t="s">
        <v>42</v>
      </c>
      <c r="F327" t="s">
        <v>43</v>
      </c>
      <c r="G327" t="str">
        <f>"2026-02-13 04:57:13.519"</f>
        <v>2026-02-13 04:57:13.519</v>
      </c>
      <c r="H327" t="s">
        <v>22</v>
      </c>
    </row>
    <row r="328" spans="1:10" x14ac:dyDescent="0.25">
      <c r="A328" s="1">
        <v>24</v>
      </c>
      <c r="B328" t="s">
        <v>29</v>
      </c>
      <c r="C328">
        <v>98</v>
      </c>
      <c r="D328">
        <v>1</v>
      </c>
      <c r="E328" t="s">
        <v>42</v>
      </c>
      <c r="F328" t="s">
        <v>43</v>
      </c>
      <c r="G328" t="str">
        <f>"2026-02-13 04:57:11.419"</f>
        <v>2026-02-13 04:57:11.419</v>
      </c>
      <c r="H328" t="s">
        <v>22</v>
      </c>
      <c r="I328">
        <v>0</v>
      </c>
      <c r="J328" t="s">
        <v>31</v>
      </c>
    </row>
    <row r="329" spans="1:10" x14ac:dyDescent="0.25">
      <c r="A329" s="1">
        <v>25</v>
      </c>
      <c r="B329" t="s">
        <v>26</v>
      </c>
      <c r="C329">
        <v>98</v>
      </c>
      <c r="D329">
        <v>1</v>
      </c>
      <c r="E329" t="s">
        <v>42</v>
      </c>
      <c r="F329" t="s">
        <v>43</v>
      </c>
      <c r="G329" t="str">
        <f>"2026-02-13 04:57:10.719"</f>
        <v>2026-02-13 04:57:10.719</v>
      </c>
      <c r="H329" t="s">
        <v>22</v>
      </c>
    </row>
    <row r="330" spans="1:10" x14ac:dyDescent="0.25">
      <c r="A330" s="1">
        <v>26</v>
      </c>
      <c r="B330" t="s">
        <v>29</v>
      </c>
      <c r="C330">
        <v>98</v>
      </c>
      <c r="D330">
        <v>1</v>
      </c>
      <c r="E330" t="s">
        <v>42</v>
      </c>
      <c r="F330" t="s">
        <v>43</v>
      </c>
      <c r="G330" t="str">
        <f>"2026-02-13 04:57:09.719"</f>
        <v>2026-02-13 04:57:09.719</v>
      </c>
      <c r="H330" t="s">
        <v>22</v>
      </c>
      <c r="I330">
        <v>0</v>
      </c>
      <c r="J330" t="s">
        <v>31</v>
      </c>
    </row>
    <row r="331" spans="1:10" x14ac:dyDescent="0.25">
      <c r="A331" s="1">
        <v>27</v>
      </c>
      <c r="B331" t="s">
        <v>26</v>
      </c>
      <c r="C331">
        <v>98</v>
      </c>
      <c r="D331">
        <v>1</v>
      </c>
      <c r="E331" t="s">
        <v>42</v>
      </c>
      <c r="F331" t="s">
        <v>43</v>
      </c>
      <c r="G331" t="str">
        <f>"2026-02-13 04:57:09.319"</f>
        <v>2026-02-13 04:57:09.319</v>
      </c>
      <c r="H331" t="s">
        <v>22</v>
      </c>
    </row>
    <row r="332" spans="1:10" x14ac:dyDescent="0.25">
      <c r="A332" s="1">
        <v>28</v>
      </c>
      <c r="B332" t="s">
        <v>29</v>
      </c>
      <c r="C332">
        <v>98</v>
      </c>
      <c r="D332">
        <v>1</v>
      </c>
      <c r="E332" t="s">
        <v>42</v>
      </c>
      <c r="F332" t="s">
        <v>43</v>
      </c>
      <c r="G332" t="str">
        <f>"2026-02-13 04:57:08.319"</f>
        <v>2026-02-13 04:57:08.319</v>
      </c>
      <c r="H332" t="s">
        <v>22</v>
      </c>
      <c r="I332">
        <v>0</v>
      </c>
      <c r="J332" t="s">
        <v>31</v>
      </c>
    </row>
    <row r="333" spans="1:10" x14ac:dyDescent="0.25">
      <c r="A333" s="1">
        <v>29</v>
      </c>
      <c r="B333" t="s">
        <v>26</v>
      </c>
      <c r="C333">
        <v>98</v>
      </c>
      <c r="D333">
        <v>1</v>
      </c>
      <c r="E333" t="s">
        <v>42</v>
      </c>
      <c r="F333" t="s">
        <v>43</v>
      </c>
      <c r="G333" t="str">
        <f>"2026-02-13 04:57:07.519"</f>
        <v>2026-02-13 04:57:07.519</v>
      </c>
      <c r="H333" t="s">
        <v>22</v>
      </c>
    </row>
    <row r="334" spans="1:10" x14ac:dyDescent="0.25">
      <c r="A334" s="1">
        <v>30</v>
      </c>
      <c r="B334" t="s">
        <v>29</v>
      </c>
      <c r="C334">
        <v>98</v>
      </c>
      <c r="D334">
        <v>1</v>
      </c>
      <c r="E334" t="s">
        <v>42</v>
      </c>
      <c r="F334" t="s">
        <v>43</v>
      </c>
      <c r="G334" t="str">
        <f>"2026-02-13 04:57:06.519"</f>
        <v>2026-02-13 04:57:06.519</v>
      </c>
      <c r="H334" t="s">
        <v>22</v>
      </c>
      <c r="I334">
        <v>0</v>
      </c>
      <c r="J334" t="s">
        <v>31</v>
      </c>
    </row>
    <row r="335" spans="1:10" x14ac:dyDescent="0.25">
      <c r="A335" s="1">
        <v>31</v>
      </c>
      <c r="B335" t="s">
        <v>26</v>
      </c>
      <c r="C335">
        <v>98</v>
      </c>
      <c r="D335">
        <v>1</v>
      </c>
      <c r="E335" t="s">
        <v>42</v>
      </c>
      <c r="F335" t="s">
        <v>43</v>
      </c>
      <c r="G335" t="str">
        <f>"2026-02-13 04:57:05.919"</f>
        <v>2026-02-13 04:57:05.919</v>
      </c>
      <c r="H335" t="s">
        <v>22</v>
      </c>
    </row>
    <row r="336" spans="1:10" x14ac:dyDescent="0.25">
      <c r="A336" s="1">
        <v>32</v>
      </c>
      <c r="B336" t="s">
        <v>29</v>
      </c>
      <c r="C336">
        <v>98</v>
      </c>
      <c r="D336">
        <v>1</v>
      </c>
      <c r="E336" t="s">
        <v>42</v>
      </c>
      <c r="F336" t="s">
        <v>43</v>
      </c>
      <c r="G336" t="str">
        <f>"2026-02-13 04:57:04.519"</f>
        <v>2026-02-13 04:57:04.519</v>
      </c>
      <c r="H336" t="s">
        <v>22</v>
      </c>
      <c r="I336">
        <v>0</v>
      </c>
      <c r="J336" t="s">
        <v>31</v>
      </c>
    </row>
    <row r="337" spans="1:10" x14ac:dyDescent="0.25">
      <c r="A337" s="1">
        <v>33</v>
      </c>
      <c r="B337" t="s">
        <v>26</v>
      </c>
      <c r="C337">
        <v>98</v>
      </c>
      <c r="D337">
        <v>1</v>
      </c>
      <c r="E337" t="s">
        <v>42</v>
      </c>
      <c r="F337" t="s">
        <v>43</v>
      </c>
      <c r="G337" t="str">
        <f>"2026-02-13 04:57:03.719"</f>
        <v>2026-02-13 04:57:03.719</v>
      </c>
      <c r="H337" t="s">
        <v>22</v>
      </c>
    </row>
    <row r="338" spans="1:10" x14ac:dyDescent="0.25">
      <c r="A338" s="1">
        <v>34</v>
      </c>
      <c r="B338" t="s">
        <v>29</v>
      </c>
      <c r="C338">
        <v>98</v>
      </c>
      <c r="D338">
        <v>1</v>
      </c>
      <c r="E338" t="s">
        <v>42</v>
      </c>
      <c r="F338" t="s">
        <v>43</v>
      </c>
      <c r="G338" t="str">
        <f>"2026-02-13 04:57:02.719"</f>
        <v>2026-02-13 04:57:02.719</v>
      </c>
      <c r="H338" t="s">
        <v>22</v>
      </c>
      <c r="I338">
        <v>0</v>
      </c>
      <c r="J338" t="s">
        <v>31</v>
      </c>
    </row>
    <row r="339" spans="1:10" x14ac:dyDescent="0.25">
      <c r="A339" s="1">
        <v>35</v>
      </c>
      <c r="B339" t="s">
        <v>26</v>
      </c>
      <c r="C339">
        <v>98</v>
      </c>
      <c r="D339">
        <v>1</v>
      </c>
      <c r="E339" t="s">
        <v>42</v>
      </c>
      <c r="F339" t="s">
        <v>43</v>
      </c>
      <c r="G339" t="str">
        <f>"2026-02-13 04:57:02.119"</f>
        <v>2026-02-13 04:57:02.119</v>
      </c>
      <c r="H339" t="s">
        <v>22</v>
      </c>
    </row>
    <row r="340" spans="1:10" x14ac:dyDescent="0.25">
      <c r="A340" s="1">
        <v>36</v>
      </c>
      <c r="B340" t="s">
        <v>29</v>
      </c>
      <c r="C340">
        <v>98</v>
      </c>
      <c r="D340">
        <v>1</v>
      </c>
      <c r="E340" t="s">
        <v>42</v>
      </c>
      <c r="F340" t="s">
        <v>43</v>
      </c>
      <c r="G340" t="str">
        <f>"2026-02-13 04:57:00.919"</f>
        <v>2026-02-13 04:57:00.919</v>
      </c>
      <c r="H340" t="s">
        <v>22</v>
      </c>
      <c r="I340">
        <v>0</v>
      </c>
      <c r="J340" t="s">
        <v>31</v>
      </c>
    </row>
    <row r="341" spans="1:10" x14ac:dyDescent="0.25">
      <c r="A341" s="1">
        <v>37</v>
      </c>
      <c r="B341" t="s">
        <v>26</v>
      </c>
      <c r="C341">
        <v>61</v>
      </c>
      <c r="D341">
        <v>2</v>
      </c>
      <c r="E341" t="s">
        <v>45</v>
      </c>
      <c r="F341" t="s">
        <v>46</v>
      </c>
      <c r="G341" t="str">
        <f>"2026-02-13 02:04:18.719"</f>
        <v>2026-02-13 02:04:18.719</v>
      </c>
      <c r="H341" t="s">
        <v>22</v>
      </c>
    </row>
    <row r="342" spans="1:10" x14ac:dyDescent="0.25">
      <c r="A342" s="1">
        <v>38</v>
      </c>
      <c r="B342" t="s">
        <v>32</v>
      </c>
      <c r="C342">
        <v>61</v>
      </c>
      <c r="D342">
        <v>2</v>
      </c>
      <c r="E342" t="s">
        <v>45</v>
      </c>
      <c r="F342" t="s">
        <v>46</v>
      </c>
      <c r="G342" t="str">
        <f>"2026-02-13 02:03:54.319"</f>
        <v>2026-02-13 02:03:54.319</v>
      </c>
      <c r="H342" t="s">
        <v>22</v>
      </c>
      <c r="I342">
        <v>30.3</v>
      </c>
      <c r="J342" t="s">
        <v>36</v>
      </c>
    </row>
    <row r="343" spans="1:10" x14ac:dyDescent="0.25">
      <c r="A343" s="1">
        <v>39</v>
      </c>
      <c r="B343" t="s">
        <v>26</v>
      </c>
      <c r="C343">
        <v>98</v>
      </c>
      <c r="D343">
        <v>1</v>
      </c>
      <c r="E343" t="s">
        <v>42</v>
      </c>
      <c r="F343" t="s">
        <v>43</v>
      </c>
      <c r="G343" t="str">
        <f>"2026-02-12 22:33:01.619"</f>
        <v>2026-02-12 22:33:01.619</v>
      </c>
      <c r="H343" t="s">
        <v>22</v>
      </c>
    </row>
    <row r="344" spans="1:10" x14ac:dyDescent="0.25">
      <c r="A344" s="1">
        <v>40</v>
      </c>
      <c r="B344" t="s">
        <v>29</v>
      </c>
      <c r="C344">
        <v>98</v>
      </c>
      <c r="D344">
        <v>1</v>
      </c>
      <c r="E344" t="s">
        <v>42</v>
      </c>
      <c r="F344" t="s">
        <v>43</v>
      </c>
      <c r="G344" t="str">
        <f>"2026-02-12 22:33:00.619"</f>
        <v>2026-02-12 22:33:00.619</v>
      </c>
      <c r="H344" t="s">
        <v>22</v>
      </c>
      <c r="I344">
        <v>-0.04</v>
      </c>
      <c r="J344" t="s">
        <v>31</v>
      </c>
    </row>
    <row r="345" spans="1:10" x14ac:dyDescent="0.25">
      <c r="A345" s="1">
        <v>41</v>
      </c>
      <c r="B345" t="s">
        <v>26</v>
      </c>
      <c r="C345">
        <v>98</v>
      </c>
      <c r="D345">
        <v>1</v>
      </c>
      <c r="E345" t="s">
        <v>42</v>
      </c>
      <c r="F345" t="s">
        <v>43</v>
      </c>
      <c r="G345" t="str">
        <f>"2026-02-12 22:33:00.019"</f>
        <v>2026-02-12 22:33:00.019</v>
      </c>
      <c r="H345" t="s">
        <v>22</v>
      </c>
    </row>
    <row r="346" spans="1:10" x14ac:dyDescent="0.25">
      <c r="A346" s="1">
        <v>42</v>
      </c>
      <c r="B346" t="s">
        <v>29</v>
      </c>
      <c r="C346">
        <v>98</v>
      </c>
      <c r="D346">
        <v>1</v>
      </c>
      <c r="E346" t="s">
        <v>42</v>
      </c>
      <c r="F346" t="s">
        <v>43</v>
      </c>
      <c r="G346" t="str">
        <f>"2026-02-12 22:32:59.019"</f>
        <v>2026-02-12 22:32:59.019</v>
      </c>
      <c r="H346" t="s">
        <v>22</v>
      </c>
      <c r="I346">
        <v>0</v>
      </c>
      <c r="J346" t="s">
        <v>31</v>
      </c>
    </row>
    <row r="347" spans="1:10" x14ac:dyDescent="0.25">
      <c r="A347" s="1">
        <v>43</v>
      </c>
      <c r="B347" t="s">
        <v>26</v>
      </c>
      <c r="C347">
        <v>98</v>
      </c>
      <c r="D347">
        <v>1</v>
      </c>
      <c r="E347" t="s">
        <v>42</v>
      </c>
      <c r="F347" t="s">
        <v>43</v>
      </c>
      <c r="G347" t="str">
        <f>"2026-02-12 22:32:55.819"</f>
        <v>2026-02-12 22:32:55.819</v>
      </c>
      <c r="H347" t="s">
        <v>22</v>
      </c>
    </row>
    <row r="348" spans="1:10" x14ac:dyDescent="0.25">
      <c r="A348" s="1">
        <v>44</v>
      </c>
      <c r="B348" t="s">
        <v>29</v>
      </c>
      <c r="C348">
        <v>98</v>
      </c>
      <c r="D348">
        <v>1</v>
      </c>
      <c r="E348" t="s">
        <v>42</v>
      </c>
      <c r="F348" t="s">
        <v>43</v>
      </c>
      <c r="G348" t="str">
        <f>"2026-02-12 22:32:54.819"</f>
        <v>2026-02-12 22:32:54.819</v>
      </c>
      <c r="H348" t="s">
        <v>22</v>
      </c>
      <c r="I348">
        <v>0</v>
      </c>
      <c r="J348" t="s">
        <v>31</v>
      </c>
    </row>
    <row r="349" spans="1:10" x14ac:dyDescent="0.25">
      <c r="A349" s="1">
        <v>45</v>
      </c>
      <c r="B349" t="s">
        <v>26</v>
      </c>
      <c r="C349">
        <v>98</v>
      </c>
      <c r="D349">
        <v>1</v>
      </c>
      <c r="E349" t="s">
        <v>42</v>
      </c>
      <c r="F349" t="s">
        <v>43</v>
      </c>
      <c r="G349" t="str">
        <f>"2026-02-12 22:32:54.619"</f>
        <v>2026-02-12 22:32:54.619</v>
      </c>
      <c r="H349" t="s">
        <v>22</v>
      </c>
    </row>
    <row r="350" spans="1:10" x14ac:dyDescent="0.25">
      <c r="A350" s="1">
        <v>46</v>
      </c>
      <c r="B350" t="s">
        <v>29</v>
      </c>
      <c r="C350">
        <v>98</v>
      </c>
      <c r="D350">
        <v>1</v>
      </c>
      <c r="E350" t="s">
        <v>42</v>
      </c>
      <c r="F350" t="s">
        <v>43</v>
      </c>
      <c r="G350" t="str">
        <f>"2026-02-12 22:32:53.419"</f>
        <v>2026-02-12 22:32:53.419</v>
      </c>
      <c r="H350" t="s">
        <v>22</v>
      </c>
      <c r="I350">
        <v>0</v>
      </c>
      <c r="J350" t="s">
        <v>31</v>
      </c>
    </row>
    <row r="351" spans="1:10" x14ac:dyDescent="0.25">
      <c r="A351" s="1">
        <v>47</v>
      </c>
      <c r="B351" t="s">
        <v>26</v>
      </c>
      <c r="C351">
        <v>98</v>
      </c>
      <c r="D351">
        <v>1</v>
      </c>
      <c r="E351" t="s">
        <v>42</v>
      </c>
      <c r="F351" t="s">
        <v>43</v>
      </c>
      <c r="G351" t="str">
        <f>"2026-02-12 22:32:52.419"</f>
        <v>2026-02-12 22:32:52.419</v>
      </c>
      <c r="H351" t="s">
        <v>22</v>
      </c>
    </row>
    <row r="352" spans="1:10" x14ac:dyDescent="0.25">
      <c r="A352" s="1">
        <v>48</v>
      </c>
      <c r="B352" t="s">
        <v>29</v>
      </c>
      <c r="C352">
        <v>98</v>
      </c>
      <c r="D352">
        <v>1</v>
      </c>
      <c r="E352" t="s">
        <v>42</v>
      </c>
      <c r="F352" t="s">
        <v>43</v>
      </c>
      <c r="G352" t="str">
        <f>"2026-02-12 22:32:51.219"</f>
        <v>2026-02-12 22:32:51.219</v>
      </c>
      <c r="H352" t="s">
        <v>22</v>
      </c>
      <c r="I352">
        <v>0</v>
      </c>
      <c r="J352" t="s">
        <v>31</v>
      </c>
    </row>
    <row r="353" spans="1:10" x14ac:dyDescent="0.25">
      <c r="A353" s="1">
        <v>49</v>
      </c>
      <c r="B353" t="s">
        <v>26</v>
      </c>
      <c r="C353">
        <v>635</v>
      </c>
      <c r="D353">
        <v>1</v>
      </c>
      <c r="E353" t="s">
        <v>27</v>
      </c>
      <c r="F353" t="s">
        <v>28</v>
      </c>
      <c r="G353" t="str">
        <f>"2026-02-12 18:46:38.719"</f>
        <v>2026-02-12 18:46:38.719</v>
      </c>
      <c r="H353" t="s">
        <v>22</v>
      </c>
    </row>
    <row r="354" spans="1:10" x14ac:dyDescent="0.25">
      <c r="A354" s="1">
        <v>50</v>
      </c>
      <c r="B354" t="s">
        <v>29</v>
      </c>
      <c r="C354">
        <v>635</v>
      </c>
      <c r="D354">
        <v>1</v>
      </c>
      <c r="E354" t="s">
        <v>27</v>
      </c>
      <c r="F354" t="s">
        <v>28</v>
      </c>
      <c r="G354" t="str">
        <f>"2026-02-12 18:29:04.719"</f>
        <v>2026-02-12 18:29:04.719</v>
      </c>
      <c r="H354" t="s">
        <v>22</v>
      </c>
      <c r="I354">
        <v>8.7899999999999991</v>
      </c>
      <c r="J354" t="s">
        <v>30</v>
      </c>
    </row>
    <row r="355" spans="1:10" x14ac:dyDescent="0.25">
      <c r="A355" s="1">
        <v>51</v>
      </c>
      <c r="B355" t="s">
        <v>26</v>
      </c>
      <c r="C355">
        <v>635</v>
      </c>
      <c r="D355">
        <v>1</v>
      </c>
      <c r="E355" t="s">
        <v>27</v>
      </c>
      <c r="F355" t="s">
        <v>28</v>
      </c>
      <c r="G355" t="str">
        <f>"2026-02-12 08:48:35.319"</f>
        <v>2026-02-12 08:48:35.319</v>
      </c>
      <c r="H355" t="s">
        <v>22</v>
      </c>
    </row>
    <row r="356" spans="1:10" x14ac:dyDescent="0.25">
      <c r="A356" s="1">
        <v>52</v>
      </c>
      <c r="B356" t="s">
        <v>29</v>
      </c>
      <c r="C356">
        <v>635</v>
      </c>
      <c r="D356">
        <v>1</v>
      </c>
      <c r="E356" t="s">
        <v>27</v>
      </c>
      <c r="F356" t="s">
        <v>28</v>
      </c>
      <c r="G356" t="str">
        <f>"2026-02-12 08:43:21.319"</f>
        <v>2026-02-12 08:43:21.319</v>
      </c>
      <c r="H356" t="s">
        <v>22</v>
      </c>
      <c r="I356">
        <v>6.41</v>
      </c>
      <c r="J356" t="s">
        <v>31</v>
      </c>
    </row>
    <row r="357" spans="1:10" x14ac:dyDescent="0.25">
      <c r="A357" s="1">
        <v>53</v>
      </c>
      <c r="B357" t="s">
        <v>26</v>
      </c>
      <c r="C357">
        <v>61</v>
      </c>
      <c r="D357">
        <v>2</v>
      </c>
      <c r="E357" t="s">
        <v>45</v>
      </c>
      <c r="F357" t="s">
        <v>46</v>
      </c>
      <c r="G357" t="str">
        <f>"2026-02-11 17:22:13.419"</f>
        <v>2026-02-11 17:22:13.419</v>
      </c>
      <c r="H357" t="s">
        <v>22</v>
      </c>
    </row>
    <row r="358" spans="1:10" x14ac:dyDescent="0.25">
      <c r="A358" s="1">
        <v>54</v>
      </c>
      <c r="B358" t="s">
        <v>32</v>
      </c>
      <c r="C358">
        <v>61</v>
      </c>
      <c r="D358">
        <v>2</v>
      </c>
      <c r="E358" t="s">
        <v>45</v>
      </c>
      <c r="F358" t="s">
        <v>46</v>
      </c>
      <c r="G358" t="str">
        <f>"2026-02-11 17:22:01.819"</f>
        <v>2026-02-11 17:22:01.819</v>
      </c>
      <c r="H358" t="s">
        <v>22</v>
      </c>
      <c r="I358">
        <v>29.42</v>
      </c>
      <c r="J358" t="s">
        <v>36</v>
      </c>
    </row>
    <row r="359" spans="1:10" x14ac:dyDescent="0.25">
      <c r="A359" s="1">
        <v>55</v>
      </c>
      <c r="B359" t="s">
        <v>26</v>
      </c>
      <c r="C359">
        <v>61</v>
      </c>
      <c r="D359">
        <v>2</v>
      </c>
      <c r="E359" t="s">
        <v>45</v>
      </c>
      <c r="F359" t="s">
        <v>46</v>
      </c>
      <c r="G359" t="str">
        <f>"2026-02-11 07:17:03.519"</f>
        <v>2026-02-11 07:17:03.519</v>
      </c>
      <c r="H359" t="s">
        <v>22</v>
      </c>
    </row>
    <row r="360" spans="1:10" x14ac:dyDescent="0.25">
      <c r="A360" s="1">
        <v>56</v>
      </c>
      <c r="B360" t="s">
        <v>32</v>
      </c>
      <c r="C360">
        <v>61</v>
      </c>
      <c r="D360">
        <v>2</v>
      </c>
      <c r="E360" t="s">
        <v>45</v>
      </c>
      <c r="F360" t="s">
        <v>46</v>
      </c>
      <c r="G360" t="str">
        <f>"2026-02-11 07:16:51.620"</f>
        <v>2026-02-11 07:16:51.620</v>
      </c>
      <c r="H360" t="s">
        <v>22</v>
      </c>
      <c r="I360">
        <v>29.84</v>
      </c>
      <c r="J360" t="s">
        <v>36</v>
      </c>
    </row>
    <row r="361" spans="1:10" x14ac:dyDescent="0.25">
      <c r="A361" s="1">
        <v>57</v>
      </c>
      <c r="B361" t="s">
        <v>26</v>
      </c>
      <c r="C361">
        <v>635</v>
      </c>
      <c r="D361">
        <v>1</v>
      </c>
      <c r="E361" t="s">
        <v>27</v>
      </c>
      <c r="F361" t="s">
        <v>28</v>
      </c>
      <c r="G361" t="str">
        <f>"2026-02-10 23:21:30.819"</f>
        <v>2026-02-10 23:21:30.819</v>
      </c>
      <c r="H361" t="s">
        <v>22</v>
      </c>
    </row>
    <row r="362" spans="1:10" x14ac:dyDescent="0.25">
      <c r="A362" s="1">
        <v>58</v>
      </c>
      <c r="B362" t="s">
        <v>29</v>
      </c>
      <c r="C362">
        <v>635</v>
      </c>
      <c r="D362">
        <v>1</v>
      </c>
      <c r="E362" t="s">
        <v>27</v>
      </c>
      <c r="F362" t="s">
        <v>28</v>
      </c>
      <c r="G362" t="str">
        <f>"2026-02-10 23:19:04.819"</f>
        <v>2026-02-10 23:19:04.819</v>
      </c>
      <c r="H362" t="s">
        <v>22</v>
      </c>
      <c r="I362">
        <v>-0.33</v>
      </c>
      <c r="J362" t="s">
        <v>30</v>
      </c>
    </row>
    <row r="363" spans="1:10" x14ac:dyDescent="0.25">
      <c r="A363" s="1">
        <v>59</v>
      </c>
      <c r="B363" t="s">
        <v>19</v>
      </c>
      <c r="C363">
        <v>700</v>
      </c>
      <c r="D363">
        <v>0</v>
      </c>
      <c r="E363" t="s">
        <v>24</v>
      </c>
      <c r="F363" t="s">
        <v>24</v>
      </c>
      <c r="G363" t="str">
        <f>"2026-02-10 13:28:57.434"</f>
        <v>2026-02-10 13:28:57.434</v>
      </c>
      <c r="H363" t="s">
        <v>22</v>
      </c>
    </row>
    <row r="364" spans="1:10" x14ac:dyDescent="0.25">
      <c r="A364" s="1">
        <v>60</v>
      </c>
      <c r="B364" t="s">
        <v>26</v>
      </c>
      <c r="C364">
        <v>61</v>
      </c>
      <c r="D364">
        <v>2</v>
      </c>
      <c r="E364" t="s">
        <v>45</v>
      </c>
      <c r="F364" t="s">
        <v>46</v>
      </c>
      <c r="G364" t="str">
        <f>"2026-02-10 12:34:29.116"</f>
        <v>2026-02-10 12:34:29.116</v>
      </c>
      <c r="H364" t="s">
        <v>22</v>
      </c>
    </row>
    <row r="365" spans="1:10" x14ac:dyDescent="0.25">
      <c r="A365" s="1">
        <v>61</v>
      </c>
      <c r="B365" t="s">
        <v>32</v>
      </c>
      <c r="C365">
        <v>61</v>
      </c>
      <c r="D365">
        <v>2</v>
      </c>
      <c r="E365" t="s">
        <v>45</v>
      </c>
      <c r="F365" t="s">
        <v>46</v>
      </c>
      <c r="G365" t="str">
        <f>"2026-02-10 12:34:15.316"</f>
        <v>2026-02-10 12:34:15.316</v>
      </c>
      <c r="H365" t="s">
        <v>22</v>
      </c>
      <c r="I365">
        <v>30.63</v>
      </c>
      <c r="J365" t="s">
        <v>36</v>
      </c>
    </row>
    <row r="366" spans="1:10" x14ac:dyDescent="0.25">
      <c r="A366" s="1">
        <v>63</v>
      </c>
      <c r="B366" t="s">
        <v>26</v>
      </c>
      <c r="C366">
        <v>61</v>
      </c>
      <c r="D366">
        <v>2</v>
      </c>
      <c r="E366" t="s">
        <v>45</v>
      </c>
      <c r="F366" t="s">
        <v>46</v>
      </c>
      <c r="G366" t="str">
        <f>"2026-02-10 05:38:26.516"</f>
        <v>2026-02-10 05:38:26.516</v>
      </c>
      <c r="H366" t="s">
        <v>22</v>
      </c>
    </row>
    <row r="367" spans="1:10" x14ac:dyDescent="0.25">
      <c r="A367" s="1">
        <v>64</v>
      </c>
      <c r="B367" t="s">
        <v>32</v>
      </c>
      <c r="C367">
        <v>61</v>
      </c>
      <c r="D367">
        <v>2</v>
      </c>
      <c r="E367" t="s">
        <v>45</v>
      </c>
      <c r="F367" t="s">
        <v>46</v>
      </c>
      <c r="G367" t="str">
        <f>"2026-02-10 05:38:09.616"</f>
        <v>2026-02-10 05:38:09.616</v>
      </c>
      <c r="H367" t="s">
        <v>22</v>
      </c>
      <c r="I367">
        <v>29.94</v>
      </c>
      <c r="J367" t="s">
        <v>36</v>
      </c>
    </row>
    <row r="368" spans="1:10" x14ac:dyDescent="0.25">
      <c r="A368" s="1">
        <v>65</v>
      </c>
      <c r="B368" t="s">
        <v>26</v>
      </c>
      <c r="C368">
        <v>61</v>
      </c>
      <c r="D368">
        <v>2</v>
      </c>
      <c r="E368" t="s">
        <v>45</v>
      </c>
      <c r="F368" t="s">
        <v>46</v>
      </c>
      <c r="G368" t="str">
        <f>"2026-02-10 04:06:34.515"</f>
        <v>2026-02-10 04:06:34.515</v>
      </c>
      <c r="H368" t="s">
        <v>22</v>
      </c>
    </row>
    <row r="369" spans="1:10" x14ac:dyDescent="0.25">
      <c r="A369" s="1">
        <v>66</v>
      </c>
      <c r="B369" t="s">
        <v>32</v>
      </c>
      <c r="C369">
        <v>61</v>
      </c>
      <c r="D369">
        <v>2</v>
      </c>
      <c r="E369" t="s">
        <v>45</v>
      </c>
      <c r="F369" t="s">
        <v>46</v>
      </c>
      <c r="G369" t="str">
        <f>"2026-02-10 04:06:20.515"</f>
        <v>2026-02-10 04:06:20.515</v>
      </c>
      <c r="H369" t="s">
        <v>22</v>
      </c>
      <c r="I369">
        <v>30.49</v>
      </c>
      <c r="J369" t="s">
        <v>36</v>
      </c>
    </row>
    <row r="370" spans="1:10" x14ac:dyDescent="0.25">
      <c r="A370" s="1">
        <v>67</v>
      </c>
      <c r="B370" t="s">
        <v>19</v>
      </c>
      <c r="C370">
        <v>706</v>
      </c>
      <c r="D370">
        <v>4</v>
      </c>
      <c r="E370" t="s">
        <v>20</v>
      </c>
      <c r="F370" t="s">
        <v>21</v>
      </c>
      <c r="G370" t="str">
        <f>"2026-02-08 12:57:48.666"</f>
        <v>2026-02-08 12:57:48.666</v>
      </c>
      <c r="H370" t="s">
        <v>22</v>
      </c>
      <c r="I370">
        <v>0</v>
      </c>
      <c r="J370" t="s">
        <v>23</v>
      </c>
    </row>
    <row r="371" spans="1:10" x14ac:dyDescent="0.25">
      <c r="A371" s="1">
        <v>68</v>
      </c>
      <c r="B371" t="s">
        <v>26</v>
      </c>
      <c r="C371">
        <v>61</v>
      </c>
      <c r="D371">
        <v>2</v>
      </c>
      <c r="E371" t="s">
        <v>45</v>
      </c>
      <c r="F371" t="s">
        <v>46</v>
      </c>
      <c r="G371" t="str">
        <f>"2026-02-08 09:57:06.516"</f>
        <v>2026-02-08 09:57:06.516</v>
      </c>
      <c r="H371" t="s">
        <v>22</v>
      </c>
    </row>
    <row r="372" spans="1:10" x14ac:dyDescent="0.25">
      <c r="A372" s="1">
        <v>69</v>
      </c>
      <c r="B372" t="s">
        <v>32</v>
      </c>
      <c r="C372">
        <v>61</v>
      </c>
      <c r="D372">
        <v>2</v>
      </c>
      <c r="E372" t="s">
        <v>45</v>
      </c>
      <c r="F372" t="s">
        <v>46</v>
      </c>
      <c r="G372" t="str">
        <f>"2026-02-08 09:56:46.416"</f>
        <v>2026-02-08 09:56:46.416</v>
      </c>
      <c r="H372" t="s">
        <v>22</v>
      </c>
      <c r="I372">
        <v>29.94</v>
      </c>
      <c r="J372" t="s">
        <v>36</v>
      </c>
    </row>
    <row r="373" spans="1:10" x14ac:dyDescent="0.25">
      <c r="A373" s="1">
        <v>70</v>
      </c>
      <c r="B373" t="s">
        <v>19</v>
      </c>
      <c r="C373">
        <v>700</v>
      </c>
      <c r="D373">
        <v>0</v>
      </c>
      <c r="E373" t="s">
        <v>24</v>
      </c>
      <c r="F373" t="s">
        <v>24</v>
      </c>
      <c r="G373" t="str">
        <f>"2026-02-08 00:43:14.346"</f>
        <v>2026-02-08 00:43:14.346</v>
      </c>
      <c r="H373" t="s">
        <v>22</v>
      </c>
      <c r="I373">
        <v>0</v>
      </c>
      <c r="J373" t="s">
        <v>25</v>
      </c>
    </row>
    <row r="374" spans="1:10" x14ac:dyDescent="0.25">
      <c r="A374" s="1">
        <v>71</v>
      </c>
      <c r="B374" t="s">
        <v>26</v>
      </c>
      <c r="C374">
        <v>61</v>
      </c>
      <c r="D374">
        <v>2</v>
      </c>
      <c r="E374" t="s">
        <v>45</v>
      </c>
      <c r="F374" t="s">
        <v>46</v>
      </c>
      <c r="G374" t="str">
        <f>"2026-02-07 19:39:30.241"</f>
        <v>2026-02-07 19:39:30.241</v>
      </c>
      <c r="H374" t="s">
        <v>22</v>
      </c>
    </row>
    <row r="375" spans="1:10" x14ac:dyDescent="0.25">
      <c r="A375" s="1">
        <v>72</v>
      </c>
      <c r="B375" t="s">
        <v>32</v>
      </c>
      <c r="C375">
        <v>61</v>
      </c>
      <c r="D375">
        <v>2</v>
      </c>
      <c r="E375" t="s">
        <v>45</v>
      </c>
      <c r="F375" t="s">
        <v>46</v>
      </c>
      <c r="G375" t="str">
        <f>"2026-02-07 19:39:10.841"</f>
        <v>2026-02-07 19:39:10.841</v>
      </c>
      <c r="H375" t="s">
        <v>22</v>
      </c>
      <c r="I375">
        <v>29.94</v>
      </c>
      <c r="J375" t="s">
        <v>36</v>
      </c>
    </row>
    <row r="376" spans="1:10" x14ac:dyDescent="0.25">
      <c r="A376" s="1">
        <v>73</v>
      </c>
      <c r="B376" t="s">
        <v>26</v>
      </c>
      <c r="C376">
        <v>635</v>
      </c>
      <c r="D376">
        <v>1</v>
      </c>
      <c r="E376" t="s">
        <v>27</v>
      </c>
      <c r="F376" t="s">
        <v>28</v>
      </c>
      <c r="G376" t="str">
        <f>"2026-02-07 16:20:07.780"</f>
        <v>2026-02-07 16:20:07.780</v>
      </c>
      <c r="H376" t="s">
        <v>22</v>
      </c>
    </row>
    <row r="377" spans="1:10" x14ac:dyDescent="0.25">
      <c r="A377" s="1">
        <v>74</v>
      </c>
      <c r="B377" t="s">
        <v>29</v>
      </c>
      <c r="C377">
        <v>635</v>
      </c>
      <c r="D377">
        <v>1</v>
      </c>
      <c r="E377" t="s">
        <v>27</v>
      </c>
      <c r="F377" t="s">
        <v>28</v>
      </c>
      <c r="G377" t="str">
        <f>"2026-02-07 15:51:56.880"</f>
        <v>2026-02-07 15:51:56.880</v>
      </c>
      <c r="H377" t="s">
        <v>22</v>
      </c>
      <c r="I377">
        <v>2.89</v>
      </c>
      <c r="J377" t="s">
        <v>30</v>
      </c>
    </row>
    <row r="378" spans="1:10" x14ac:dyDescent="0.25">
      <c r="A378" s="1">
        <v>75</v>
      </c>
      <c r="B378" t="s">
        <v>26</v>
      </c>
      <c r="C378">
        <v>635</v>
      </c>
      <c r="D378">
        <v>1</v>
      </c>
      <c r="E378" t="s">
        <v>27</v>
      </c>
      <c r="F378" t="s">
        <v>28</v>
      </c>
      <c r="G378" t="str">
        <f>"2026-02-07 14:31:28.080"</f>
        <v>2026-02-07 14:31:28.080</v>
      </c>
      <c r="H378" t="s">
        <v>22</v>
      </c>
    </row>
    <row r="379" spans="1:10" x14ac:dyDescent="0.25">
      <c r="A379" s="1">
        <v>76</v>
      </c>
      <c r="B379" t="s">
        <v>29</v>
      </c>
      <c r="C379">
        <v>635</v>
      </c>
      <c r="D379">
        <v>1</v>
      </c>
      <c r="E379" t="s">
        <v>27</v>
      </c>
      <c r="F379" t="s">
        <v>28</v>
      </c>
      <c r="G379" t="str">
        <f>"2026-02-07 14:27:06.580"</f>
        <v>2026-02-07 14:27:06.580</v>
      </c>
      <c r="H379" t="s">
        <v>22</v>
      </c>
      <c r="I379">
        <v>6.71</v>
      </c>
      <c r="J379" t="s">
        <v>30</v>
      </c>
    </row>
    <row r="380" spans="1:10" x14ac:dyDescent="0.25">
      <c r="A380" s="1">
        <v>77</v>
      </c>
      <c r="B380" t="s">
        <v>26</v>
      </c>
      <c r="C380">
        <v>635</v>
      </c>
      <c r="D380">
        <v>1</v>
      </c>
      <c r="E380" t="s">
        <v>27</v>
      </c>
      <c r="F380" t="s">
        <v>28</v>
      </c>
      <c r="G380" t="str">
        <f>"2026-02-07 12:58:08.380"</f>
        <v>2026-02-07 12:58:08.380</v>
      </c>
      <c r="H380" t="s">
        <v>22</v>
      </c>
    </row>
    <row r="381" spans="1:10" x14ac:dyDescent="0.25">
      <c r="A381" s="1">
        <v>78</v>
      </c>
      <c r="B381" t="s">
        <v>29</v>
      </c>
      <c r="C381">
        <v>635</v>
      </c>
      <c r="D381">
        <v>1</v>
      </c>
      <c r="E381" t="s">
        <v>27</v>
      </c>
      <c r="F381" t="s">
        <v>28</v>
      </c>
      <c r="G381" t="str">
        <f>"2026-02-07 12:53:43.880"</f>
        <v>2026-02-07 12:53:43.880</v>
      </c>
      <c r="H381" t="s">
        <v>22</v>
      </c>
      <c r="I381">
        <v>5.9</v>
      </c>
      <c r="J381" t="s">
        <v>30</v>
      </c>
    </row>
    <row r="382" spans="1:10" x14ac:dyDescent="0.25">
      <c r="A382" s="1">
        <v>79</v>
      </c>
      <c r="B382" t="s">
        <v>26</v>
      </c>
      <c r="C382">
        <v>61</v>
      </c>
      <c r="D382">
        <v>2</v>
      </c>
      <c r="E382" t="s">
        <v>45</v>
      </c>
      <c r="F382" t="s">
        <v>46</v>
      </c>
      <c r="G382" t="str">
        <f>"2026-02-06 19:26:29.141"</f>
        <v>2026-02-06 19:26:29.141</v>
      </c>
      <c r="H382" t="s">
        <v>22</v>
      </c>
    </row>
    <row r="383" spans="1:10" x14ac:dyDescent="0.25">
      <c r="A383" s="1">
        <v>80</v>
      </c>
      <c r="B383" t="s">
        <v>32</v>
      </c>
      <c r="C383">
        <v>61</v>
      </c>
      <c r="D383">
        <v>2</v>
      </c>
      <c r="E383" t="s">
        <v>45</v>
      </c>
      <c r="F383" t="s">
        <v>46</v>
      </c>
      <c r="G383" t="str">
        <f>"2026-02-06 19:26:09.641"</f>
        <v>2026-02-06 19:26:09.641</v>
      </c>
      <c r="H383" t="s">
        <v>22</v>
      </c>
      <c r="I383">
        <v>29.94</v>
      </c>
      <c r="J383" t="s">
        <v>36</v>
      </c>
    </row>
    <row r="384" spans="1:10" x14ac:dyDescent="0.25">
      <c r="A384" s="1">
        <v>81</v>
      </c>
      <c r="B384" t="s">
        <v>26</v>
      </c>
      <c r="C384">
        <v>635</v>
      </c>
      <c r="D384">
        <v>1</v>
      </c>
      <c r="E384" t="s">
        <v>27</v>
      </c>
      <c r="F384" t="s">
        <v>28</v>
      </c>
      <c r="G384" t="str">
        <f>"2026-02-06 11:19:58.580"</f>
        <v>2026-02-06 11:19:58.580</v>
      </c>
      <c r="H384" t="s">
        <v>22</v>
      </c>
    </row>
    <row r="385" spans="1:10" x14ac:dyDescent="0.25">
      <c r="A385" s="1">
        <v>82</v>
      </c>
      <c r="B385" t="s">
        <v>29</v>
      </c>
      <c r="C385">
        <v>635</v>
      </c>
      <c r="D385">
        <v>1</v>
      </c>
      <c r="E385" t="s">
        <v>27</v>
      </c>
      <c r="F385" t="s">
        <v>28</v>
      </c>
      <c r="G385" t="str">
        <f>"2026-02-06 11:18:07.080"</f>
        <v>2026-02-06 11:18:07.080</v>
      </c>
      <c r="H385" t="s">
        <v>22</v>
      </c>
      <c r="I385">
        <v>4.75</v>
      </c>
      <c r="J385" t="s">
        <v>30</v>
      </c>
    </row>
    <row r="386" spans="1:10" x14ac:dyDescent="0.25">
      <c r="A386" s="1">
        <v>83</v>
      </c>
      <c r="B386" t="s">
        <v>26</v>
      </c>
      <c r="C386">
        <v>635</v>
      </c>
      <c r="D386">
        <v>1</v>
      </c>
      <c r="E386" t="s">
        <v>27</v>
      </c>
      <c r="F386" t="s">
        <v>28</v>
      </c>
      <c r="G386" t="str">
        <f>"2026-02-05 18:47:00.380"</f>
        <v>2026-02-05 18:47:00.380</v>
      </c>
      <c r="H386" t="s">
        <v>22</v>
      </c>
    </row>
    <row r="387" spans="1:10" x14ac:dyDescent="0.25">
      <c r="A387" s="1">
        <v>84</v>
      </c>
      <c r="B387" t="s">
        <v>29</v>
      </c>
      <c r="C387">
        <v>635</v>
      </c>
      <c r="D387">
        <v>1</v>
      </c>
      <c r="E387" t="s">
        <v>27</v>
      </c>
      <c r="F387" t="s">
        <v>28</v>
      </c>
      <c r="G387" t="str">
        <f>"2026-02-05 18:25:49.380"</f>
        <v>2026-02-05 18:25:49.380</v>
      </c>
      <c r="H387" t="s">
        <v>22</v>
      </c>
      <c r="I387">
        <v>7.5</v>
      </c>
      <c r="J387" t="s">
        <v>30</v>
      </c>
    </row>
    <row r="388" spans="1:10" x14ac:dyDescent="0.25">
      <c r="A388" s="1">
        <v>85</v>
      </c>
      <c r="B388" t="s">
        <v>19</v>
      </c>
      <c r="C388">
        <v>700</v>
      </c>
      <c r="D388">
        <v>0</v>
      </c>
      <c r="E388" t="s">
        <v>24</v>
      </c>
      <c r="F388" t="s">
        <v>24</v>
      </c>
      <c r="G388" t="str">
        <f>"2026-02-05 12:07:17.337"</f>
        <v>2026-02-05 12:07:17.337</v>
      </c>
      <c r="H388" t="s">
        <v>22</v>
      </c>
    </row>
    <row r="389" spans="1:10" x14ac:dyDescent="0.25">
      <c r="A389" s="1">
        <v>86</v>
      </c>
      <c r="B389" t="s">
        <v>19</v>
      </c>
      <c r="C389">
        <v>706</v>
      </c>
      <c r="D389">
        <v>4</v>
      </c>
      <c r="E389" t="s">
        <v>20</v>
      </c>
      <c r="F389" t="s">
        <v>21</v>
      </c>
      <c r="G389" t="str">
        <f>"2026-02-05 11:44:46.228"</f>
        <v>2026-02-05 11:44:46.228</v>
      </c>
      <c r="H389" t="s">
        <v>22</v>
      </c>
      <c r="I389">
        <v>0</v>
      </c>
      <c r="J389" t="s">
        <v>23</v>
      </c>
    </row>
    <row r="390" spans="1:10" x14ac:dyDescent="0.25">
      <c r="A390" s="1">
        <v>87</v>
      </c>
      <c r="B390" t="s">
        <v>19</v>
      </c>
      <c r="C390">
        <v>700</v>
      </c>
      <c r="D390">
        <v>0</v>
      </c>
      <c r="E390" t="s">
        <v>24</v>
      </c>
      <c r="F390" t="s">
        <v>24</v>
      </c>
      <c r="G390" t="str">
        <f>"2026-02-05 11:44:12.318"</f>
        <v>2026-02-05 11:44:12.318</v>
      </c>
      <c r="H390" t="s">
        <v>22</v>
      </c>
      <c r="I390">
        <v>0</v>
      </c>
      <c r="J390" t="s">
        <v>25</v>
      </c>
    </row>
    <row r="391" spans="1:10" x14ac:dyDescent="0.25">
      <c r="A391" s="1">
        <v>88</v>
      </c>
      <c r="B391" t="s">
        <v>19</v>
      </c>
      <c r="C391">
        <v>700</v>
      </c>
      <c r="D391">
        <v>0</v>
      </c>
      <c r="E391" t="s">
        <v>24</v>
      </c>
      <c r="F391" t="s">
        <v>24</v>
      </c>
      <c r="G391" t="str">
        <f>"2026-02-05 11:03:21.334"</f>
        <v>2026-02-05 11:03:21.334</v>
      </c>
      <c r="H391" t="s">
        <v>22</v>
      </c>
      <c r="I391">
        <v>0</v>
      </c>
      <c r="J391" t="s">
        <v>25</v>
      </c>
    </row>
    <row r="392" spans="1:10" x14ac:dyDescent="0.25">
      <c r="A392" s="1">
        <v>89</v>
      </c>
      <c r="B392" t="s">
        <v>19</v>
      </c>
      <c r="C392">
        <v>700</v>
      </c>
      <c r="D392">
        <v>0</v>
      </c>
      <c r="E392" t="s">
        <v>24</v>
      </c>
      <c r="F392" t="s">
        <v>24</v>
      </c>
      <c r="G392" t="str">
        <f>"2026-02-05 10:58:11.590"</f>
        <v>2026-02-05 10:58:11.590</v>
      </c>
      <c r="H392" t="s">
        <v>22</v>
      </c>
      <c r="I392">
        <v>0</v>
      </c>
      <c r="J392" t="s">
        <v>25</v>
      </c>
    </row>
    <row r="393" spans="1:10" x14ac:dyDescent="0.25">
      <c r="A393" s="1">
        <v>90</v>
      </c>
      <c r="B393" t="s">
        <v>19</v>
      </c>
      <c r="C393">
        <v>700</v>
      </c>
      <c r="D393">
        <v>0</v>
      </c>
      <c r="E393" t="s">
        <v>24</v>
      </c>
      <c r="F393" t="s">
        <v>24</v>
      </c>
      <c r="G393" t="str">
        <f>"2026-02-05 10:25:14.889"</f>
        <v>2026-02-05 10:25:14.889</v>
      </c>
      <c r="H393" t="s">
        <v>22</v>
      </c>
      <c r="I393">
        <v>0</v>
      </c>
      <c r="J393" t="s">
        <v>25</v>
      </c>
    </row>
    <row r="394" spans="1:10" x14ac:dyDescent="0.25">
      <c r="A394" s="1">
        <v>91</v>
      </c>
      <c r="B394" t="s">
        <v>26</v>
      </c>
      <c r="C394">
        <v>98</v>
      </c>
      <c r="D394">
        <v>1</v>
      </c>
      <c r="E394" t="s">
        <v>42</v>
      </c>
      <c r="F394" t="s">
        <v>43</v>
      </c>
      <c r="G394" t="str">
        <f>"2026-02-05 04:06:58.235"</f>
        <v>2026-02-05 04:06:58.235</v>
      </c>
      <c r="H394" t="s">
        <v>22</v>
      </c>
    </row>
    <row r="395" spans="1:10" x14ac:dyDescent="0.25">
      <c r="A395" s="1">
        <v>92</v>
      </c>
      <c r="B395" t="s">
        <v>29</v>
      </c>
      <c r="C395">
        <v>98</v>
      </c>
      <c r="D395">
        <v>1</v>
      </c>
      <c r="E395" t="s">
        <v>42</v>
      </c>
      <c r="F395" t="s">
        <v>43</v>
      </c>
      <c r="G395" t="str">
        <f>"2026-02-05 04:06:57.235"</f>
        <v>2026-02-05 04:06:57.235</v>
      </c>
      <c r="H395" t="s">
        <v>22</v>
      </c>
      <c r="I395">
        <v>0</v>
      </c>
      <c r="J395" t="s">
        <v>31</v>
      </c>
    </row>
    <row r="396" spans="1:10" x14ac:dyDescent="0.25">
      <c r="A396" s="1">
        <v>93</v>
      </c>
      <c r="B396" t="s">
        <v>19</v>
      </c>
      <c r="C396">
        <v>700</v>
      </c>
      <c r="D396">
        <v>0</v>
      </c>
      <c r="E396" t="s">
        <v>24</v>
      </c>
      <c r="F396" t="s">
        <v>24</v>
      </c>
      <c r="G396" t="str">
        <f>"2026-02-04 12:54:27.341"</f>
        <v>2026-02-04 12:54:27.341</v>
      </c>
      <c r="H396" t="s">
        <v>22</v>
      </c>
      <c r="I396">
        <v>0</v>
      </c>
      <c r="J396" t="s">
        <v>25</v>
      </c>
    </row>
    <row r="397" spans="1:10" x14ac:dyDescent="0.25">
      <c r="A397" s="1">
        <v>94</v>
      </c>
      <c r="B397" t="s">
        <v>26</v>
      </c>
      <c r="C397">
        <v>635</v>
      </c>
      <c r="D397">
        <v>1</v>
      </c>
      <c r="E397" t="s">
        <v>27</v>
      </c>
      <c r="F397" t="s">
        <v>28</v>
      </c>
      <c r="G397" t="str">
        <f>"2026-02-03 08:50:19.412"</f>
        <v>2026-02-03 08:50:19.412</v>
      </c>
      <c r="H397" t="s">
        <v>22</v>
      </c>
    </row>
    <row r="398" spans="1:10" x14ac:dyDescent="0.25">
      <c r="A398" s="1">
        <v>95</v>
      </c>
      <c r="B398" t="s">
        <v>29</v>
      </c>
      <c r="C398">
        <v>635</v>
      </c>
      <c r="D398">
        <v>1</v>
      </c>
      <c r="E398" t="s">
        <v>27</v>
      </c>
      <c r="F398" t="s">
        <v>28</v>
      </c>
      <c r="G398" t="str">
        <f>"2026-02-03 08:12:26.012"</f>
        <v>2026-02-03 08:12:26.012</v>
      </c>
      <c r="H398" t="s">
        <v>22</v>
      </c>
      <c r="I398">
        <v>5.4</v>
      </c>
      <c r="J398" t="s">
        <v>30</v>
      </c>
    </row>
    <row r="399" spans="1:10" x14ac:dyDescent="0.25">
      <c r="A399" s="1">
        <v>96</v>
      </c>
      <c r="B399" t="s">
        <v>19</v>
      </c>
      <c r="C399">
        <v>700</v>
      </c>
      <c r="D399">
        <v>0</v>
      </c>
      <c r="E399" t="s">
        <v>24</v>
      </c>
      <c r="F399" t="s">
        <v>24</v>
      </c>
      <c r="G399" t="str">
        <f>"2026-02-02 20:12:55.330"</f>
        <v>2026-02-02 20:12:55.330</v>
      </c>
      <c r="H399" t="s">
        <v>22</v>
      </c>
      <c r="I399">
        <v>0</v>
      </c>
      <c r="J399" t="s">
        <v>25</v>
      </c>
    </row>
    <row r="400" spans="1:10" s="3" customFormat="1" x14ac:dyDescent="0.25">
      <c r="A400" s="2">
        <v>97</v>
      </c>
      <c r="B400" s="3" t="s">
        <v>26</v>
      </c>
      <c r="C400" s="3">
        <v>647</v>
      </c>
      <c r="D400" s="3">
        <v>1</v>
      </c>
      <c r="E400" s="3" t="s">
        <v>39</v>
      </c>
      <c r="F400" s="3" t="s">
        <v>40</v>
      </c>
      <c r="G400" s="3" t="str">
        <f>"2026-02-01 20:45:32.629"</f>
        <v>2026-02-01 20:45:32.629</v>
      </c>
      <c r="H400" s="3" t="s">
        <v>22</v>
      </c>
    </row>
    <row r="401" spans="1:10" s="3" customFormat="1" x14ac:dyDescent="0.25">
      <c r="A401" s="2">
        <v>98</v>
      </c>
      <c r="B401" s="3" t="s">
        <v>29</v>
      </c>
      <c r="C401" s="3">
        <v>647</v>
      </c>
      <c r="D401" s="3">
        <v>1</v>
      </c>
      <c r="E401" s="3" t="s">
        <v>39</v>
      </c>
      <c r="F401" s="3" t="s">
        <v>40</v>
      </c>
      <c r="G401" s="3" t="str">
        <f>"2026-02-01 20:45:23.729"</f>
        <v>2026-02-01 20:45:23.729</v>
      </c>
      <c r="H401" s="3" t="s">
        <v>22</v>
      </c>
      <c r="I401" s="3">
        <v>12.67</v>
      </c>
      <c r="J401" s="3" t="s">
        <v>36</v>
      </c>
    </row>
    <row r="402" spans="1:10" s="3" customFormat="1" x14ac:dyDescent="0.25">
      <c r="A402" s="2">
        <v>99</v>
      </c>
      <c r="B402" s="3" t="s">
        <v>26</v>
      </c>
      <c r="C402" s="3">
        <v>647</v>
      </c>
      <c r="D402" s="3">
        <v>1</v>
      </c>
      <c r="E402" s="3" t="s">
        <v>39</v>
      </c>
      <c r="F402" s="3" t="s">
        <v>40</v>
      </c>
      <c r="G402" s="3" t="str">
        <f>"2026-01-31 22:41:17.429"</f>
        <v>2026-01-31 22:41:17.429</v>
      </c>
      <c r="H402" s="3" t="s">
        <v>22</v>
      </c>
    </row>
    <row r="403" spans="1:10" s="3" customFormat="1" x14ac:dyDescent="0.25">
      <c r="A403" s="2">
        <v>0</v>
      </c>
      <c r="B403" s="3" t="s">
        <v>29</v>
      </c>
      <c r="C403" s="3">
        <v>647</v>
      </c>
      <c r="D403" s="3">
        <v>1</v>
      </c>
      <c r="E403" s="3" t="s">
        <v>39</v>
      </c>
      <c r="F403" s="3" t="s">
        <v>40</v>
      </c>
      <c r="G403" s="3" t="str">
        <f>"2026-01-31 22:41:12.829"</f>
        <v>2026-01-31 22:41:12.829</v>
      </c>
      <c r="H403" s="3" t="s">
        <v>22</v>
      </c>
      <c r="I403" s="3">
        <v>9.17</v>
      </c>
      <c r="J403" s="3" t="s">
        <v>36</v>
      </c>
    </row>
    <row r="404" spans="1:10" x14ac:dyDescent="0.25">
      <c r="A404" s="1">
        <v>1</v>
      </c>
      <c r="B404" t="s">
        <v>26</v>
      </c>
      <c r="C404">
        <v>61</v>
      </c>
      <c r="D404">
        <v>2</v>
      </c>
      <c r="E404" t="s">
        <v>45</v>
      </c>
      <c r="F404" t="s">
        <v>46</v>
      </c>
      <c r="G404" t="str">
        <f>"2026-01-31 00:34:36.042"</f>
        <v>2026-01-31 00:34:36.042</v>
      </c>
      <c r="H404" t="s">
        <v>22</v>
      </c>
    </row>
    <row r="405" spans="1:10" x14ac:dyDescent="0.25">
      <c r="A405" s="1">
        <v>2</v>
      </c>
      <c r="B405" t="s">
        <v>32</v>
      </c>
      <c r="C405">
        <v>61</v>
      </c>
      <c r="D405">
        <v>2</v>
      </c>
      <c r="E405" t="s">
        <v>45</v>
      </c>
      <c r="F405" t="s">
        <v>46</v>
      </c>
      <c r="G405" t="str">
        <f>"2026-01-31 00:34:24.342"</f>
        <v>2026-01-31 00:34:24.342</v>
      </c>
      <c r="H405" t="s">
        <v>22</v>
      </c>
      <c r="I405">
        <v>29.43</v>
      </c>
      <c r="J405" t="s">
        <v>36</v>
      </c>
    </row>
    <row r="406" spans="1:10" x14ac:dyDescent="0.25">
      <c r="A406" s="1">
        <v>3</v>
      </c>
      <c r="B406" t="s">
        <v>26</v>
      </c>
      <c r="C406">
        <v>635</v>
      </c>
      <c r="D406">
        <v>1</v>
      </c>
      <c r="E406" t="s">
        <v>27</v>
      </c>
      <c r="F406" t="s">
        <v>28</v>
      </c>
      <c r="G406" t="str">
        <f>"2026-01-30 03:29:26.681"</f>
        <v>2026-01-30 03:29:26.681</v>
      </c>
      <c r="H406" t="s">
        <v>22</v>
      </c>
    </row>
    <row r="407" spans="1:10" x14ac:dyDescent="0.25">
      <c r="A407" s="1">
        <v>4</v>
      </c>
      <c r="B407" t="s">
        <v>29</v>
      </c>
      <c r="C407">
        <v>635</v>
      </c>
      <c r="D407">
        <v>1</v>
      </c>
      <c r="E407" t="s">
        <v>27</v>
      </c>
      <c r="F407" t="s">
        <v>28</v>
      </c>
      <c r="G407" t="str">
        <f>"2026-01-30 03:23:39.181"</f>
        <v>2026-01-30 03:23:39.181</v>
      </c>
      <c r="H407" t="s">
        <v>22</v>
      </c>
      <c r="I407">
        <v>8.8699999999999992</v>
      </c>
      <c r="J407" t="s">
        <v>30</v>
      </c>
    </row>
    <row r="408" spans="1:10" x14ac:dyDescent="0.25">
      <c r="A408" s="1">
        <v>5</v>
      </c>
      <c r="B408" t="s">
        <v>26</v>
      </c>
      <c r="C408">
        <v>635</v>
      </c>
      <c r="D408">
        <v>1</v>
      </c>
      <c r="E408" t="s">
        <v>27</v>
      </c>
      <c r="F408" t="s">
        <v>28</v>
      </c>
      <c r="G408" t="str">
        <f>"2026-01-28 16:01:58.481"</f>
        <v>2026-01-28 16:01:58.481</v>
      </c>
      <c r="H408" t="s">
        <v>22</v>
      </c>
    </row>
    <row r="409" spans="1:10" x14ac:dyDescent="0.25">
      <c r="A409" s="1">
        <v>6</v>
      </c>
      <c r="B409" t="s">
        <v>29</v>
      </c>
      <c r="C409">
        <v>635</v>
      </c>
      <c r="D409">
        <v>1</v>
      </c>
      <c r="E409" t="s">
        <v>27</v>
      </c>
      <c r="F409" t="s">
        <v>28</v>
      </c>
      <c r="G409" t="str">
        <f>"2026-01-28 15:59:15.481"</f>
        <v>2026-01-28 15:59:15.481</v>
      </c>
      <c r="H409" t="s">
        <v>22</v>
      </c>
      <c r="I409">
        <v>2.16</v>
      </c>
      <c r="J409" t="s">
        <v>30</v>
      </c>
    </row>
    <row r="410" spans="1:10" x14ac:dyDescent="0.25">
      <c r="A410" s="1">
        <v>7</v>
      </c>
      <c r="B410" t="s">
        <v>19</v>
      </c>
      <c r="C410">
        <v>700</v>
      </c>
      <c r="D410">
        <v>0</v>
      </c>
      <c r="E410" t="s">
        <v>24</v>
      </c>
      <c r="F410" t="s">
        <v>24</v>
      </c>
      <c r="G410" t="str">
        <f>"2026-01-27 09:20:26.346"</f>
        <v>2026-01-27 09:20:26.346</v>
      </c>
      <c r="H410" t="s">
        <v>22</v>
      </c>
      <c r="I410">
        <v>0</v>
      </c>
      <c r="J410" t="s">
        <v>25</v>
      </c>
    </row>
    <row r="411" spans="1:10" x14ac:dyDescent="0.25">
      <c r="A411" s="1">
        <v>8</v>
      </c>
      <c r="B411" t="s">
        <v>26</v>
      </c>
      <c r="C411">
        <v>635</v>
      </c>
      <c r="D411">
        <v>1</v>
      </c>
      <c r="E411" t="s">
        <v>27</v>
      </c>
      <c r="F411" t="s">
        <v>28</v>
      </c>
      <c r="G411" t="str">
        <f>"2026-01-26 19:18:45.568"</f>
        <v>2026-01-26 19:18:45.568</v>
      </c>
      <c r="H411" t="s">
        <v>22</v>
      </c>
    </row>
    <row r="412" spans="1:10" x14ac:dyDescent="0.25">
      <c r="A412" s="1">
        <v>9</v>
      </c>
      <c r="B412" t="s">
        <v>29</v>
      </c>
      <c r="C412">
        <v>635</v>
      </c>
      <c r="D412">
        <v>1</v>
      </c>
      <c r="E412" t="s">
        <v>27</v>
      </c>
      <c r="F412" t="s">
        <v>28</v>
      </c>
      <c r="G412" t="str">
        <f>"2026-01-26 19:14:47.168"</f>
        <v>2026-01-26 19:14:47.168</v>
      </c>
      <c r="H412" t="s">
        <v>22</v>
      </c>
      <c r="I412">
        <v>6.99</v>
      </c>
      <c r="J412" t="s">
        <v>30</v>
      </c>
    </row>
    <row r="413" spans="1:10" x14ac:dyDescent="0.25">
      <c r="A413" s="1">
        <v>10</v>
      </c>
      <c r="B413" t="s">
        <v>19</v>
      </c>
      <c r="C413">
        <v>700</v>
      </c>
      <c r="D413">
        <v>0</v>
      </c>
      <c r="E413" t="s">
        <v>24</v>
      </c>
      <c r="F413" t="s">
        <v>24</v>
      </c>
      <c r="G413" t="str">
        <f>"2026-01-26 08:13:47.333"</f>
        <v>2026-01-26 08:13:47.333</v>
      </c>
      <c r="H413" t="s">
        <v>22</v>
      </c>
      <c r="I413">
        <v>0</v>
      </c>
      <c r="J413" t="s">
        <v>25</v>
      </c>
    </row>
    <row r="414" spans="1:10" x14ac:dyDescent="0.25">
      <c r="A414" s="1">
        <v>11</v>
      </c>
      <c r="B414" t="s">
        <v>19</v>
      </c>
      <c r="C414">
        <v>700</v>
      </c>
      <c r="D414">
        <v>0</v>
      </c>
      <c r="E414" t="s">
        <v>24</v>
      </c>
      <c r="F414" t="s">
        <v>24</v>
      </c>
      <c r="G414" t="str">
        <f>"2026-01-26 02:55:56.344"</f>
        <v>2026-01-26 02:55:56.344</v>
      </c>
      <c r="H414" t="s">
        <v>22</v>
      </c>
    </row>
    <row r="415" spans="1:10" x14ac:dyDescent="0.25">
      <c r="A415" s="1">
        <v>12</v>
      </c>
      <c r="B415" t="s">
        <v>19</v>
      </c>
      <c r="C415">
        <v>706</v>
      </c>
      <c r="D415">
        <v>4</v>
      </c>
      <c r="E415" t="s">
        <v>20</v>
      </c>
      <c r="F415" t="s">
        <v>21</v>
      </c>
      <c r="G415" t="str">
        <f>"2026-01-26 00:21:59.556"</f>
        <v>2026-01-26 00:21:59.556</v>
      </c>
      <c r="H415" t="s">
        <v>22</v>
      </c>
      <c r="I415">
        <v>0</v>
      </c>
      <c r="J415" t="s">
        <v>23</v>
      </c>
    </row>
    <row r="416" spans="1:10" x14ac:dyDescent="0.25">
      <c r="A416" s="1">
        <v>13</v>
      </c>
      <c r="B416" t="s">
        <v>19</v>
      </c>
      <c r="C416">
        <v>700</v>
      </c>
      <c r="D416">
        <v>0</v>
      </c>
      <c r="E416" t="s">
        <v>24</v>
      </c>
      <c r="F416" t="s">
        <v>24</v>
      </c>
      <c r="G416" t="str">
        <f>"2026-01-25 23:41:18.336"</f>
        <v>2026-01-25 23:41:18.336</v>
      </c>
      <c r="H416" t="s">
        <v>22</v>
      </c>
      <c r="I416">
        <v>0</v>
      </c>
      <c r="J416" t="s">
        <v>25</v>
      </c>
    </row>
    <row r="417" spans="1:10" x14ac:dyDescent="0.25">
      <c r="A417" s="1">
        <v>14</v>
      </c>
      <c r="B417" t="s">
        <v>19</v>
      </c>
      <c r="C417">
        <v>700</v>
      </c>
      <c r="D417">
        <v>0</v>
      </c>
      <c r="E417" t="s">
        <v>24</v>
      </c>
      <c r="F417" t="s">
        <v>24</v>
      </c>
      <c r="G417" t="str">
        <f>"2026-01-25 22:42:19.606"</f>
        <v>2026-01-25 22:42:19.606</v>
      </c>
      <c r="H417" t="s">
        <v>22</v>
      </c>
    </row>
    <row r="418" spans="1:10" x14ac:dyDescent="0.25">
      <c r="A418" s="1">
        <v>15</v>
      </c>
      <c r="B418" t="s">
        <v>26</v>
      </c>
      <c r="C418">
        <v>635</v>
      </c>
      <c r="D418">
        <v>1</v>
      </c>
      <c r="E418" t="s">
        <v>27</v>
      </c>
      <c r="F418" t="s">
        <v>28</v>
      </c>
      <c r="G418" t="str">
        <f>"2026-01-25 18:03:10.895"</f>
        <v>2026-01-25 18:03:10.895</v>
      </c>
      <c r="H418" t="s">
        <v>22</v>
      </c>
    </row>
    <row r="419" spans="1:10" x14ac:dyDescent="0.25">
      <c r="A419" s="1">
        <v>16</v>
      </c>
      <c r="B419" t="s">
        <v>29</v>
      </c>
      <c r="C419">
        <v>635</v>
      </c>
      <c r="D419">
        <v>1</v>
      </c>
      <c r="E419" t="s">
        <v>27</v>
      </c>
      <c r="F419" t="s">
        <v>28</v>
      </c>
      <c r="G419" t="str">
        <f>"2026-01-25 17:59:55.495"</f>
        <v>2026-01-25 17:59:55.495</v>
      </c>
      <c r="H419" t="s">
        <v>22</v>
      </c>
      <c r="I419">
        <v>3.46</v>
      </c>
      <c r="J419" t="s">
        <v>30</v>
      </c>
    </row>
    <row r="420" spans="1:10" x14ac:dyDescent="0.25">
      <c r="A420" s="1">
        <v>17</v>
      </c>
      <c r="B420" t="s">
        <v>26</v>
      </c>
      <c r="C420">
        <v>635</v>
      </c>
      <c r="D420">
        <v>1</v>
      </c>
      <c r="E420" t="s">
        <v>27</v>
      </c>
      <c r="F420" t="s">
        <v>28</v>
      </c>
      <c r="G420" t="str">
        <f>"2026-01-25 11:54:46.395"</f>
        <v>2026-01-25 11:54:46.395</v>
      </c>
      <c r="H420" t="s">
        <v>22</v>
      </c>
    </row>
    <row r="421" spans="1:10" x14ac:dyDescent="0.25">
      <c r="A421" s="1">
        <v>18</v>
      </c>
      <c r="B421" t="s">
        <v>29</v>
      </c>
      <c r="C421">
        <v>635</v>
      </c>
      <c r="D421">
        <v>1</v>
      </c>
      <c r="E421" t="s">
        <v>27</v>
      </c>
      <c r="F421" t="s">
        <v>28</v>
      </c>
      <c r="G421" t="str">
        <f>"2026-01-25 11:51:50.996"</f>
        <v>2026-01-25 11:51:50.996</v>
      </c>
      <c r="H421" t="s">
        <v>22</v>
      </c>
      <c r="I421">
        <v>5.18</v>
      </c>
      <c r="J421" t="s">
        <v>30</v>
      </c>
    </row>
    <row r="422" spans="1:10" x14ac:dyDescent="0.25">
      <c r="A422" s="1">
        <v>19</v>
      </c>
      <c r="B422" t="s">
        <v>19</v>
      </c>
      <c r="C422">
        <v>700</v>
      </c>
      <c r="D422">
        <v>0</v>
      </c>
      <c r="E422" t="s">
        <v>24</v>
      </c>
      <c r="F422" t="s">
        <v>24</v>
      </c>
      <c r="G422" t="str">
        <f>"2026-01-25 08:45:47.360"</f>
        <v>2026-01-25 08:45:47.360</v>
      </c>
      <c r="H422" t="s">
        <v>22</v>
      </c>
      <c r="I422">
        <v>0</v>
      </c>
      <c r="J422" t="s">
        <v>25</v>
      </c>
    </row>
    <row r="423" spans="1:10" x14ac:dyDescent="0.25">
      <c r="A423" s="1">
        <v>20</v>
      </c>
      <c r="B423" t="s">
        <v>19</v>
      </c>
      <c r="C423">
        <v>700</v>
      </c>
      <c r="D423">
        <v>0</v>
      </c>
      <c r="E423" t="s">
        <v>24</v>
      </c>
      <c r="F423" t="s">
        <v>24</v>
      </c>
      <c r="G423" t="str">
        <f>"2026-01-24 13:07:21.540"</f>
        <v>2026-01-24 13:07:21.540</v>
      </c>
      <c r="H423" t="s">
        <v>22</v>
      </c>
    </row>
    <row r="424" spans="1:10" x14ac:dyDescent="0.25">
      <c r="A424" s="1">
        <v>21</v>
      </c>
      <c r="B424" t="s">
        <v>19</v>
      </c>
      <c r="C424">
        <v>700</v>
      </c>
      <c r="D424">
        <v>0</v>
      </c>
      <c r="E424" t="s">
        <v>24</v>
      </c>
      <c r="F424" t="s">
        <v>24</v>
      </c>
      <c r="G424" t="str">
        <f>"2026-01-22 13:29:40.330"</f>
        <v>2026-01-22 13:29:40.330</v>
      </c>
      <c r="H424" t="s">
        <v>22</v>
      </c>
    </row>
    <row r="425" spans="1:10" x14ac:dyDescent="0.25">
      <c r="A425" s="1">
        <v>22</v>
      </c>
      <c r="B425" t="s">
        <v>19</v>
      </c>
      <c r="C425">
        <v>700</v>
      </c>
      <c r="D425">
        <v>0</v>
      </c>
      <c r="E425" t="s">
        <v>24</v>
      </c>
      <c r="F425" t="s">
        <v>24</v>
      </c>
      <c r="G425" t="str">
        <f>"2026-01-21 22:23:13.344"</f>
        <v>2026-01-21 22:23:13.344</v>
      </c>
      <c r="H425" t="s">
        <v>22</v>
      </c>
      <c r="I425">
        <v>0</v>
      </c>
      <c r="J425" t="s">
        <v>25</v>
      </c>
    </row>
    <row r="426" spans="1:10" x14ac:dyDescent="0.25">
      <c r="A426" s="1">
        <v>23</v>
      </c>
      <c r="B426" t="s">
        <v>26</v>
      </c>
      <c r="C426">
        <v>635</v>
      </c>
      <c r="D426">
        <v>1</v>
      </c>
      <c r="E426" t="s">
        <v>27</v>
      </c>
      <c r="F426" t="s">
        <v>28</v>
      </c>
      <c r="G426" t="str">
        <f>"2026-01-21 17:07:58.773"</f>
        <v>2026-01-21 17:07:58.773</v>
      </c>
      <c r="H426" t="s">
        <v>22</v>
      </c>
    </row>
    <row r="427" spans="1:10" x14ac:dyDescent="0.25">
      <c r="A427" s="1">
        <v>24</v>
      </c>
      <c r="B427" t="s">
        <v>29</v>
      </c>
      <c r="C427">
        <v>635</v>
      </c>
      <c r="D427">
        <v>1</v>
      </c>
      <c r="E427" t="s">
        <v>27</v>
      </c>
      <c r="F427" t="s">
        <v>28</v>
      </c>
      <c r="G427" t="str">
        <f>"2026-01-21 17:04:41.773"</f>
        <v>2026-01-21 17:04:41.773</v>
      </c>
      <c r="H427" t="s">
        <v>22</v>
      </c>
      <c r="I427">
        <v>1.74</v>
      </c>
      <c r="J427" t="s">
        <v>30</v>
      </c>
    </row>
    <row r="428" spans="1:10" x14ac:dyDescent="0.25">
      <c r="A428" s="1">
        <v>25</v>
      </c>
      <c r="B428" t="s">
        <v>26</v>
      </c>
      <c r="C428">
        <v>635</v>
      </c>
      <c r="D428">
        <v>1</v>
      </c>
      <c r="E428" t="s">
        <v>27</v>
      </c>
      <c r="F428" t="s">
        <v>28</v>
      </c>
      <c r="G428" t="str">
        <f>"2026-01-20 17:19:36.673"</f>
        <v>2026-01-20 17:19:36.673</v>
      </c>
      <c r="H428" t="s">
        <v>22</v>
      </c>
    </row>
    <row r="429" spans="1:10" x14ac:dyDescent="0.25">
      <c r="A429" s="1">
        <v>26</v>
      </c>
      <c r="B429" t="s">
        <v>29</v>
      </c>
      <c r="C429">
        <v>635</v>
      </c>
      <c r="D429">
        <v>1</v>
      </c>
      <c r="E429" t="s">
        <v>27</v>
      </c>
      <c r="F429" t="s">
        <v>28</v>
      </c>
      <c r="G429" t="str">
        <f>"2026-01-20 17:15:07.173"</f>
        <v>2026-01-20 17:15:07.173</v>
      </c>
      <c r="H429" t="s">
        <v>22</v>
      </c>
      <c r="I429">
        <v>4.21</v>
      </c>
      <c r="J429" t="s">
        <v>31</v>
      </c>
    </row>
    <row r="430" spans="1:10" x14ac:dyDescent="0.25">
      <c r="A430" s="1">
        <v>27</v>
      </c>
      <c r="B430" t="s">
        <v>19</v>
      </c>
      <c r="C430">
        <v>700</v>
      </c>
      <c r="D430">
        <v>0</v>
      </c>
      <c r="E430" t="s">
        <v>24</v>
      </c>
      <c r="F430" t="s">
        <v>24</v>
      </c>
      <c r="G430" t="str">
        <f>"2026-01-20 09:11:06.328"</f>
        <v>2026-01-20 09:11:06.328</v>
      </c>
      <c r="H430" t="s">
        <v>22</v>
      </c>
      <c r="I430">
        <v>0</v>
      </c>
      <c r="J430" t="s">
        <v>25</v>
      </c>
    </row>
    <row r="431" spans="1:10" x14ac:dyDescent="0.25">
      <c r="A431" s="1">
        <v>28</v>
      </c>
      <c r="B431" t="s">
        <v>26</v>
      </c>
      <c r="C431">
        <v>635</v>
      </c>
      <c r="D431">
        <v>1</v>
      </c>
      <c r="E431" t="s">
        <v>27</v>
      </c>
      <c r="F431" t="s">
        <v>28</v>
      </c>
      <c r="G431" t="str">
        <f>"2026-01-20 06:05:15.873"</f>
        <v>2026-01-20 06:05:15.873</v>
      </c>
      <c r="H431" t="s">
        <v>22</v>
      </c>
    </row>
    <row r="432" spans="1:10" x14ac:dyDescent="0.25">
      <c r="A432" s="1">
        <v>29</v>
      </c>
      <c r="B432" t="s">
        <v>29</v>
      </c>
      <c r="C432">
        <v>635</v>
      </c>
      <c r="D432">
        <v>1</v>
      </c>
      <c r="E432" t="s">
        <v>27</v>
      </c>
      <c r="F432" t="s">
        <v>28</v>
      </c>
      <c r="G432" t="str">
        <f>"2026-01-20 06:01:05.973"</f>
        <v>2026-01-20 06:01:05.973</v>
      </c>
      <c r="H432" t="s">
        <v>22</v>
      </c>
      <c r="I432">
        <v>5.58</v>
      </c>
      <c r="J432" t="s">
        <v>30</v>
      </c>
    </row>
    <row r="433" spans="1:10" x14ac:dyDescent="0.25">
      <c r="A433" s="1">
        <v>30</v>
      </c>
      <c r="B433" t="s">
        <v>26</v>
      </c>
      <c r="C433">
        <v>635</v>
      </c>
      <c r="D433">
        <v>1</v>
      </c>
      <c r="E433" t="s">
        <v>27</v>
      </c>
      <c r="F433" t="s">
        <v>28</v>
      </c>
      <c r="G433" t="str">
        <f>"2026-01-20 05:40:20.473"</f>
        <v>2026-01-20 05:40:20.473</v>
      </c>
      <c r="H433" t="s">
        <v>22</v>
      </c>
    </row>
    <row r="434" spans="1:10" x14ac:dyDescent="0.25">
      <c r="A434" s="1">
        <v>31</v>
      </c>
      <c r="B434" t="s">
        <v>29</v>
      </c>
      <c r="C434">
        <v>635</v>
      </c>
      <c r="D434">
        <v>1</v>
      </c>
      <c r="E434" t="s">
        <v>27</v>
      </c>
      <c r="F434" t="s">
        <v>28</v>
      </c>
      <c r="G434" t="str">
        <f>"2026-01-20 05:36:47.473"</f>
        <v>2026-01-20 05:36:47.473</v>
      </c>
      <c r="H434" t="s">
        <v>22</v>
      </c>
      <c r="I434">
        <v>5.7</v>
      </c>
      <c r="J434" t="s">
        <v>30</v>
      </c>
    </row>
    <row r="435" spans="1:10" x14ac:dyDescent="0.25">
      <c r="A435" s="1">
        <v>32</v>
      </c>
      <c r="B435" t="s">
        <v>26</v>
      </c>
      <c r="C435">
        <v>635</v>
      </c>
      <c r="D435">
        <v>1</v>
      </c>
      <c r="E435" t="s">
        <v>27</v>
      </c>
      <c r="F435" t="s">
        <v>28</v>
      </c>
      <c r="G435" t="str">
        <f>"2026-01-20 04:52:58.573"</f>
        <v>2026-01-20 04:52:58.573</v>
      </c>
      <c r="H435" t="s">
        <v>22</v>
      </c>
    </row>
    <row r="436" spans="1:10" x14ac:dyDescent="0.25">
      <c r="A436" s="1">
        <v>33</v>
      </c>
      <c r="B436" t="s">
        <v>29</v>
      </c>
      <c r="C436">
        <v>635</v>
      </c>
      <c r="D436">
        <v>1</v>
      </c>
      <c r="E436" t="s">
        <v>27</v>
      </c>
      <c r="F436" t="s">
        <v>28</v>
      </c>
      <c r="G436" t="str">
        <f>"2026-01-20 04:48:46.173"</f>
        <v>2026-01-20 04:48:46.173</v>
      </c>
      <c r="H436" t="s">
        <v>22</v>
      </c>
      <c r="I436">
        <v>6.07</v>
      </c>
      <c r="J436" t="s">
        <v>30</v>
      </c>
    </row>
    <row r="437" spans="1:10" x14ac:dyDescent="0.25">
      <c r="A437" s="1">
        <v>34</v>
      </c>
      <c r="B437" t="s">
        <v>19</v>
      </c>
      <c r="C437">
        <v>706</v>
      </c>
      <c r="D437">
        <v>4</v>
      </c>
      <c r="E437" t="s">
        <v>20</v>
      </c>
      <c r="F437" t="s">
        <v>21</v>
      </c>
      <c r="G437" t="str">
        <f>"2026-01-18 23:16:29.043"</f>
        <v>2026-01-18 23:16:29.043</v>
      </c>
      <c r="H437" t="s">
        <v>22</v>
      </c>
      <c r="I437">
        <v>0</v>
      </c>
      <c r="J437" t="s">
        <v>23</v>
      </c>
    </row>
    <row r="438" spans="1:10" x14ac:dyDescent="0.25">
      <c r="A438" s="1">
        <v>35</v>
      </c>
      <c r="B438" t="s">
        <v>19</v>
      </c>
      <c r="C438">
        <v>700</v>
      </c>
      <c r="D438">
        <v>0</v>
      </c>
      <c r="E438" t="s">
        <v>24</v>
      </c>
      <c r="F438" t="s">
        <v>24</v>
      </c>
      <c r="G438" t="str">
        <f>"2026-01-18 23:14:11.313"</f>
        <v>2026-01-18 23:14:11.313</v>
      </c>
      <c r="H438" t="s">
        <v>22</v>
      </c>
    </row>
    <row r="439" spans="1:10" x14ac:dyDescent="0.25">
      <c r="A439" s="1">
        <v>36</v>
      </c>
      <c r="B439" t="s">
        <v>19</v>
      </c>
      <c r="C439">
        <v>700</v>
      </c>
      <c r="D439">
        <v>0</v>
      </c>
      <c r="E439" t="s">
        <v>24</v>
      </c>
      <c r="F439" t="s">
        <v>24</v>
      </c>
      <c r="G439" t="str">
        <f>"2026-01-18 23:03:29.395"</f>
        <v>2026-01-18 23:03:29.395</v>
      </c>
      <c r="H439" t="s">
        <v>22</v>
      </c>
    </row>
    <row r="440" spans="1:10" x14ac:dyDescent="0.25">
      <c r="A440" s="1">
        <v>37</v>
      </c>
      <c r="B440" t="s">
        <v>19</v>
      </c>
      <c r="C440">
        <v>700</v>
      </c>
      <c r="D440">
        <v>0</v>
      </c>
      <c r="E440" t="s">
        <v>24</v>
      </c>
      <c r="F440" t="s">
        <v>24</v>
      </c>
      <c r="G440" t="str">
        <f>"2026-01-18 22:24:14.323"</f>
        <v>2026-01-18 22:24:14.323</v>
      </c>
      <c r="H440" t="s">
        <v>22</v>
      </c>
    </row>
    <row r="441" spans="1:10" x14ac:dyDescent="0.25">
      <c r="A441" s="1">
        <v>38</v>
      </c>
      <c r="B441" t="s">
        <v>26</v>
      </c>
      <c r="C441">
        <v>61</v>
      </c>
      <c r="D441">
        <v>2</v>
      </c>
      <c r="E441" t="s">
        <v>45</v>
      </c>
      <c r="F441" t="s">
        <v>46</v>
      </c>
      <c r="G441" t="str">
        <f>"2026-01-18 14:28:01.226"</f>
        <v>2026-01-18 14:28:01.226</v>
      </c>
      <c r="H441" t="s">
        <v>22</v>
      </c>
    </row>
    <row r="442" spans="1:10" x14ac:dyDescent="0.25">
      <c r="A442" s="1">
        <v>39</v>
      </c>
      <c r="B442" t="s">
        <v>32</v>
      </c>
      <c r="C442">
        <v>61</v>
      </c>
      <c r="D442">
        <v>2</v>
      </c>
      <c r="E442" t="s">
        <v>45</v>
      </c>
      <c r="F442" t="s">
        <v>46</v>
      </c>
      <c r="G442" t="str">
        <f>"2026-01-18 14:27:55.726"</f>
        <v>2026-01-18 14:27:55.726</v>
      </c>
      <c r="H442" t="s">
        <v>22</v>
      </c>
      <c r="I442">
        <v>29.94</v>
      </c>
      <c r="J442" t="s">
        <v>36</v>
      </c>
    </row>
    <row r="443" spans="1:10" x14ac:dyDescent="0.25">
      <c r="A443" s="1">
        <v>40</v>
      </c>
      <c r="B443" t="s">
        <v>26</v>
      </c>
      <c r="C443">
        <v>635</v>
      </c>
      <c r="D443">
        <v>1</v>
      </c>
      <c r="E443" t="s">
        <v>27</v>
      </c>
      <c r="F443" t="s">
        <v>28</v>
      </c>
      <c r="G443" t="str">
        <f>"2026-01-16 03:52:18.765"</f>
        <v>2026-01-16 03:52:18.765</v>
      </c>
      <c r="H443" t="s">
        <v>22</v>
      </c>
    </row>
    <row r="444" spans="1:10" x14ac:dyDescent="0.25">
      <c r="A444" s="1">
        <v>41</v>
      </c>
      <c r="B444" t="s">
        <v>29</v>
      </c>
      <c r="C444">
        <v>635</v>
      </c>
      <c r="D444">
        <v>1</v>
      </c>
      <c r="E444" t="s">
        <v>27</v>
      </c>
      <c r="F444" t="s">
        <v>28</v>
      </c>
      <c r="G444" t="str">
        <f>"2026-01-16 03:49:51.765"</f>
        <v>2026-01-16 03:49:51.765</v>
      </c>
      <c r="H444" t="s">
        <v>22</v>
      </c>
      <c r="I444">
        <v>7.45</v>
      </c>
      <c r="J444" t="s">
        <v>30</v>
      </c>
    </row>
    <row r="445" spans="1:10" x14ac:dyDescent="0.25">
      <c r="A445" s="1">
        <v>42</v>
      </c>
      <c r="B445" t="s">
        <v>19</v>
      </c>
      <c r="C445">
        <v>700</v>
      </c>
      <c r="D445">
        <v>0</v>
      </c>
      <c r="E445" t="s">
        <v>24</v>
      </c>
      <c r="F445" t="s">
        <v>24</v>
      </c>
      <c r="G445" t="str">
        <f>"2026-01-15 14:22:01.313"</f>
        <v>2026-01-15 14:22:01.313</v>
      </c>
      <c r="H445" t="s">
        <v>22</v>
      </c>
    </row>
    <row r="446" spans="1:10" x14ac:dyDescent="0.25">
      <c r="A446" s="1">
        <v>43</v>
      </c>
      <c r="B446" t="s">
        <v>19</v>
      </c>
      <c r="C446">
        <v>700</v>
      </c>
      <c r="D446">
        <v>0</v>
      </c>
      <c r="E446" t="s">
        <v>24</v>
      </c>
      <c r="F446" t="s">
        <v>24</v>
      </c>
      <c r="G446" t="str">
        <f>"2026-01-15 12:44:01.319"</f>
        <v>2026-01-15 12:44:01.319</v>
      </c>
      <c r="H446" t="s">
        <v>22</v>
      </c>
    </row>
    <row r="447" spans="1:10" x14ac:dyDescent="0.25">
      <c r="A447" s="1">
        <v>44</v>
      </c>
      <c r="B447" t="s">
        <v>19</v>
      </c>
      <c r="C447">
        <v>700</v>
      </c>
      <c r="D447">
        <v>0</v>
      </c>
      <c r="E447" t="s">
        <v>24</v>
      </c>
      <c r="F447" t="s">
        <v>24</v>
      </c>
      <c r="G447" t="str">
        <f>"2026-01-15 11:24:35.320"</f>
        <v>2026-01-15 11:24:35.320</v>
      </c>
      <c r="H447" t="s">
        <v>22</v>
      </c>
      <c r="I447">
        <v>0</v>
      </c>
      <c r="J447" t="s">
        <v>25</v>
      </c>
    </row>
    <row r="448" spans="1:10" x14ac:dyDescent="0.25">
      <c r="A448" s="1">
        <v>45</v>
      </c>
      <c r="B448" t="s">
        <v>26</v>
      </c>
      <c r="C448">
        <v>635</v>
      </c>
      <c r="D448">
        <v>1</v>
      </c>
      <c r="E448" t="s">
        <v>27</v>
      </c>
      <c r="F448" t="s">
        <v>28</v>
      </c>
      <c r="G448" t="str">
        <f>"2026-01-15 09:18:47.322"</f>
        <v>2026-01-15 09:18:47.322</v>
      </c>
      <c r="H448" t="s">
        <v>22</v>
      </c>
    </row>
    <row r="449" spans="1:10" x14ac:dyDescent="0.25">
      <c r="A449" s="1">
        <v>46</v>
      </c>
      <c r="B449" t="s">
        <v>29</v>
      </c>
      <c r="C449">
        <v>635</v>
      </c>
      <c r="D449">
        <v>1</v>
      </c>
      <c r="E449" t="s">
        <v>27</v>
      </c>
      <c r="F449" t="s">
        <v>28</v>
      </c>
      <c r="G449" t="str">
        <f>"2026-01-15 09:15:26.322"</f>
        <v>2026-01-15 09:15:26.322</v>
      </c>
      <c r="H449" t="s">
        <v>22</v>
      </c>
      <c r="I449">
        <v>6.95</v>
      </c>
      <c r="J449" t="s">
        <v>30</v>
      </c>
    </row>
    <row r="450" spans="1:10" x14ac:dyDescent="0.25">
      <c r="A450" s="1">
        <v>47</v>
      </c>
      <c r="B450" t="s">
        <v>19</v>
      </c>
      <c r="C450">
        <v>700</v>
      </c>
      <c r="D450">
        <v>0</v>
      </c>
      <c r="E450" t="s">
        <v>24</v>
      </c>
      <c r="F450" t="s">
        <v>24</v>
      </c>
      <c r="G450" t="str">
        <f>"2026-01-14 10:58:45.318"</f>
        <v>2026-01-14 10:58:45.318</v>
      </c>
      <c r="H450" t="s">
        <v>22</v>
      </c>
      <c r="I450">
        <v>0</v>
      </c>
      <c r="J450" t="s">
        <v>25</v>
      </c>
    </row>
    <row r="451" spans="1:10" x14ac:dyDescent="0.25">
      <c r="A451" s="1">
        <v>48</v>
      </c>
      <c r="B451" t="s">
        <v>26</v>
      </c>
      <c r="C451">
        <v>635</v>
      </c>
      <c r="D451">
        <v>1</v>
      </c>
      <c r="E451" t="s">
        <v>27</v>
      </c>
      <c r="F451" t="s">
        <v>28</v>
      </c>
      <c r="G451" t="str">
        <f>"2026-01-14 03:45:46.237"</f>
        <v>2026-01-14 03:45:46.237</v>
      </c>
      <c r="H451" t="s">
        <v>22</v>
      </c>
    </row>
    <row r="452" spans="1:10" x14ac:dyDescent="0.25">
      <c r="A452" s="1">
        <v>49</v>
      </c>
      <c r="B452" t="s">
        <v>29</v>
      </c>
      <c r="C452">
        <v>635</v>
      </c>
      <c r="D452">
        <v>1</v>
      </c>
      <c r="E452" t="s">
        <v>27</v>
      </c>
      <c r="F452" t="s">
        <v>28</v>
      </c>
      <c r="G452" t="str">
        <f>"2026-01-14 03:42:13.737"</f>
        <v>2026-01-14 03:42:13.737</v>
      </c>
      <c r="H452" t="s">
        <v>22</v>
      </c>
      <c r="I452">
        <v>2.98</v>
      </c>
      <c r="J452" t="s">
        <v>30</v>
      </c>
    </row>
    <row r="453" spans="1:10" x14ac:dyDescent="0.25">
      <c r="A453" s="1">
        <v>50</v>
      </c>
      <c r="B453" t="s">
        <v>26</v>
      </c>
      <c r="C453">
        <v>635</v>
      </c>
      <c r="D453">
        <v>1</v>
      </c>
      <c r="E453" t="s">
        <v>27</v>
      </c>
      <c r="F453" t="s">
        <v>28</v>
      </c>
      <c r="G453" t="str">
        <f>"2026-01-13 21:43:52.637"</f>
        <v>2026-01-13 21:43:52.637</v>
      </c>
      <c r="H453" t="s">
        <v>22</v>
      </c>
    </row>
    <row r="454" spans="1:10" x14ac:dyDescent="0.25">
      <c r="A454" s="1">
        <v>51</v>
      </c>
      <c r="B454" t="s">
        <v>29</v>
      </c>
      <c r="C454">
        <v>635</v>
      </c>
      <c r="D454">
        <v>1</v>
      </c>
      <c r="E454" t="s">
        <v>27</v>
      </c>
      <c r="F454" t="s">
        <v>28</v>
      </c>
      <c r="G454" t="str">
        <f>"2026-01-13 21:39:39.737"</f>
        <v>2026-01-13 21:39:39.737</v>
      </c>
      <c r="H454" t="s">
        <v>22</v>
      </c>
      <c r="I454">
        <v>3.83</v>
      </c>
      <c r="J454" t="s">
        <v>31</v>
      </c>
    </row>
    <row r="455" spans="1:10" x14ac:dyDescent="0.25">
      <c r="A455" s="1">
        <v>52</v>
      </c>
      <c r="B455" t="s">
        <v>26</v>
      </c>
      <c r="C455">
        <v>61</v>
      </c>
      <c r="D455">
        <v>2</v>
      </c>
      <c r="E455" t="s">
        <v>45</v>
      </c>
      <c r="F455" t="s">
        <v>46</v>
      </c>
      <c r="G455" t="str">
        <f>"2026-01-13 18:37:33.298"</f>
        <v>2026-01-13 18:37:33.298</v>
      </c>
      <c r="H455" t="s">
        <v>22</v>
      </c>
    </row>
    <row r="456" spans="1:10" x14ac:dyDescent="0.25">
      <c r="A456" s="1">
        <v>53</v>
      </c>
      <c r="B456" t="s">
        <v>32</v>
      </c>
      <c r="C456">
        <v>61</v>
      </c>
      <c r="D456">
        <v>2</v>
      </c>
      <c r="E456" t="s">
        <v>45</v>
      </c>
      <c r="F456" t="s">
        <v>46</v>
      </c>
      <c r="G456" t="str">
        <f>"2026-01-13 18:37:26.598"</f>
        <v>2026-01-13 18:37:26.598</v>
      </c>
      <c r="H456" t="s">
        <v>22</v>
      </c>
      <c r="I456">
        <v>30.5</v>
      </c>
      <c r="J456" t="s">
        <v>36</v>
      </c>
    </row>
    <row r="457" spans="1:10" x14ac:dyDescent="0.25">
      <c r="A457" s="1">
        <v>54</v>
      </c>
      <c r="B457" t="s">
        <v>19</v>
      </c>
      <c r="C457">
        <v>700</v>
      </c>
      <c r="D457">
        <v>0</v>
      </c>
      <c r="E457" t="s">
        <v>24</v>
      </c>
      <c r="F457" t="s">
        <v>24</v>
      </c>
      <c r="G457" t="str">
        <f>"2026-01-12 10:30:48.484"</f>
        <v>2026-01-12 10:30:48.484</v>
      </c>
      <c r="H457" t="s">
        <v>22</v>
      </c>
      <c r="I457">
        <v>0</v>
      </c>
      <c r="J457" t="s">
        <v>25</v>
      </c>
    </row>
    <row r="458" spans="1:10" x14ac:dyDescent="0.25">
      <c r="A458" s="1">
        <v>55</v>
      </c>
      <c r="B458" t="s">
        <v>26</v>
      </c>
      <c r="C458">
        <v>635</v>
      </c>
      <c r="D458">
        <v>1</v>
      </c>
      <c r="E458" t="s">
        <v>27</v>
      </c>
      <c r="F458" t="s">
        <v>28</v>
      </c>
      <c r="G458" t="str">
        <f>"2026-01-10 09:18:54.622"</f>
        <v>2026-01-10 09:18:54.622</v>
      </c>
      <c r="H458" t="s">
        <v>22</v>
      </c>
    </row>
    <row r="459" spans="1:10" x14ac:dyDescent="0.25">
      <c r="A459" s="1">
        <v>56</v>
      </c>
      <c r="B459" t="s">
        <v>29</v>
      </c>
      <c r="C459">
        <v>635</v>
      </c>
      <c r="D459">
        <v>1</v>
      </c>
      <c r="E459" t="s">
        <v>27</v>
      </c>
      <c r="F459" t="s">
        <v>28</v>
      </c>
      <c r="G459" t="str">
        <f>"2026-01-10 09:15:27.122"</f>
        <v>2026-01-10 09:15:27.122</v>
      </c>
      <c r="H459" t="s">
        <v>22</v>
      </c>
      <c r="I459">
        <v>5.96</v>
      </c>
      <c r="J459" t="s">
        <v>30</v>
      </c>
    </row>
    <row r="460" spans="1:10" x14ac:dyDescent="0.25">
      <c r="A460" s="1">
        <v>57</v>
      </c>
      <c r="B460" t="s">
        <v>26</v>
      </c>
      <c r="C460">
        <v>635</v>
      </c>
      <c r="D460">
        <v>1</v>
      </c>
      <c r="E460" t="s">
        <v>27</v>
      </c>
      <c r="F460" t="s">
        <v>28</v>
      </c>
      <c r="G460" t="str">
        <f>"2026-01-10 07:01:52.022"</f>
        <v>2026-01-10 07:01:52.022</v>
      </c>
      <c r="H460" t="s">
        <v>22</v>
      </c>
    </row>
    <row r="461" spans="1:10" x14ac:dyDescent="0.25">
      <c r="A461" s="1">
        <v>58</v>
      </c>
      <c r="B461" t="s">
        <v>29</v>
      </c>
      <c r="C461">
        <v>635</v>
      </c>
      <c r="D461">
        <v>1</v>
      </c>
      <c r="E461" t="s">
        <v>27</v>
      </c>
      <c r="F461" t="s">
        <v>28</v>
      </c>
      <c r="G461" t="str">
        <f>"2026-01-10 06:56:44.022"</f>
        <v>2026-01-10 06:56:44.022</v>
      </c>
      <c r="H461" t="s">
        <v>22</v>
      </c>
      <c r="I461">
        <v>4.34</v>
      </c>
      <c r="J461" t="s">
        <v>30</v>
      </c>
    </row>
    <row r="462" spans="1:10" x14ac:dyDescent="0.25">
      <c r="A462" s="1">
        <v>63</v>
      </c>
      <c r="B462" t="s">
        <v>26</v>
      </c>
      <c r="C462">
        <v>635</v>
      </c>
      <c r="D462">
        <v>1</v>
      </c>
      <c r="E462" t="s">
        <v>27</v>
      </c>
      <c r="F462" t="s">
        <v>28</v>
      </c>
      <c r="G462" t="str">
        <f>"2026-01-08 23:20:36.622"</f>
        <v>2026-01-08 23:20:36.622</v>
      </c>
      <c r="H462" t="s">
        <v>22</v>
      </c>
    </row>
    <row r="463" spans="1:10" x14ac:dyDescent="0.25">
      <c r="A463" s="1">
        <v>64</v>
      </c>
      <c r="B463" t="s">
        <v>29</v>
      </c>
      <c r="C463">
        <v>635</v>
      </c>
      <c r="D463">
        <v>1</v>
      </c>
      <c r="E463" t="s">
        <v>27</v>
      </c>
      <c r="F463" t="s">
        <v>28</v>
      </c>
      <c r="G463" t="str">
        <f>"2026-01-08 23:17:47.222"</f>
        <v>2026-01-08 23:17:47.222</v>
      </c>
      <c r="H463" t="s">
        <v>22</v>
      </c>
      <c r="I463">
        <v>0.82</v>
      </c>
      <c r="J463" t="s">
        <v>30</v>
      </c>
    </row>
    <row r="464" spans="1:10" x14ac:dyDescent="0.25">
      <c r="A464" s="1">
        <v>65</v>
      </c>
      <c r="B464" t="s">
        <v>19</v>
      </c>
      <c r="C464">
        <v>700</v>
      </c>
      <c r="D464">
        <v>0</v>
      </c>
      <c r="E464" t="s">
        <v>24</v>
      </c>
      <c r="F464" t="s">
        <v>24</v>
      </c>
      <c r="G464" t="str">
        <f>"2026-01-08 09:33:05.310"</f>
        <v>2026-01-08 09:33:05.310</v>
      </c>
      <c r="H464" t="s">
        <v>22</v>
      </c>
    </row>
    <row r="465" spans="1:10" x14ac:dyDescent="0.25">
      <c r="A465" s="1">
        <v>66</v>
      </c>
      <c r="B465" t="s">
        <v>19</v>
      </c>
      <c r="C465">
        <v>706</v>
      </c>
      <c r="D465">
        <v>4</v>
      </c>
      <c r="E465" t="s">
        <v>20</v>
      </c>
      <c r="F465" t="s">
        <v>21</v>
      </c>
      <c r="G465" t="str">
        <f>"2026-01-08 04:55:51.526"</f>
        <v>2026-01-08 04:55:51.526</v>
      </c>
      <c r="H465" t="s">
        <v>22</v>
      </c>
      <c r="I465">
        <v>0</v>
      </c>
      <c r="J465" t="s">
        <v>23</v>
      </c>
    </row>
    <row r="466" spans="1:10" x14ac:dyDescent="0.25">
      <c r="A466" s="1">
        <v>67</v>
      </c>
      <c r="B466" t="s">
        <v>19</v>
      </c>
      <c r="C466">
        <v>700</v>
      </c>
      <c r="D466">
        <v>0</v>
      </c>
      <c r="E466" t="s">
        <v>24</v>
      </c>
      <c r="F466" t="s">
        <v>24</v>
      </c>
      <c r="G466" t="str">
        <f>"2026-01-06 22:58:41.526"</f>
        <v>2026-01-06 22:58:41.526</v>
      </c>
      <c r="H466" t="s">
        <v>22</v>
      </c>
    </row>
    <row r="467" spans="1:10" x14ac:dyDescent="0.25">
      <c r="A467" s="1">
        <v>68</v>
      </c>
      <c r="B467" t="s">
        <v>26</v>
      </c>
      <c r="C467">
        <v>635</v>
      </c>
      <c r="D467">
        <v>1</v>
      </c>
      <c r="E467" t="s">
        <v>27</v>
      </c>
      <c r="F467" t="s">
        <v>28</v>
      </c>
      <c r="G467" t="str">
        <f>"2026-01-06 15:43:36.719"</f>
        <v>2026-01-06 15:43:36.719</v>
      </c>
      <c r="H467" t="s">
        <v>22</v>
      </c>
    </row>
    <row r="468" spans="1:10" x14ac:dyDescent="0.25">
      <c r="A468" s="1">
        <v>69</v>
      </c>
      <c r="B468" t="s">
        <v>29</v>
      </c>
      <c r="C468">
        <v>635</v>
      </c>
      <c r="D468">
        <v>1</v>
      </c>
      <c r="E468" t="s">
        <v>27</v>
      </c>
      <c r="F468" t="s">
        <v>28</v>
      </c>
      <c r="G468" t="str">
        <f>"2026-01-06 15:35:54.219"</f>
        <v>2026-01-06 15:35:54.219</v>
      </c>
      <c r="H468" t="s">
        <v>22</v>
      </c>
      <c r="I468">
        <v>9.15</v>
      </c>
      <c r="J468" t="s">
        <v>36</v>
      </c>
    </row>
    <row r="469" spans="1:10" x14ac:dyDescent="0.25">
      <c r="A469" s="1">
        <v>70</v>
      </c>
      <c r="B469" t="s">
        <v>26</v>
      </c>
      <c r="C469">
        <v>61</v>
      </c>
      <c r="D469">
        <v>2</v>
      </c>
      <c r="E469" t="s">
        <v>45</v>
      </c>
      <c r="F469" t="s">
        <v>46</v>
      </c>
      <c r="G469" t="str">
        <f>"2026-01-06 14:26:16.412"</f>
        <v>2026-01-06 14:26:16.412</v>
      </c>
      <c r="H469" t="s">
        <v>22</v>
      </c>
    </row>
    <row r="470" spans="1:10" x14ac:dyDescent="0.25">
      <c r="A470" s="1">
        <v>71</v>
      </c>
      <c r="B470" t="s">
        <v>32</v>
      </c>
      <c r="C470">
        <v>61</v>
      </c>
      <c r="D470">
        <v>2</v>
      </c>
      <c r="E470" t="s">
        <v>45</v>
      </c>
      <c r="F470" t="s">
        <v>46</v>
      </c>
      <c r="G470" t="str">
        <f>"2026-01-06 14:26:01.412"</f>
        <v>2026-01-06 14:26:01.412</v>
      </c>
      <c r="H470" t="s">
        <v>22</v>
      </c>
      <c r="I470">
        <v>30.11</v>
      </c>
      <c r="J470" t="s">
        <v>36</v>
      </c>
    </row>
    <row r="471" spans="1:10" x14ac:dyDescent="0.25">
      <c r="A471" s="1">
        <v>73</v>
      </c>
      <c r="B471" t="s">
        <v>19</v>
      </c>
      <c r="C471">
        <v>700</v>
      </c>
      <c r="D471">
        <v>0</v>
      </c>
      <c r="E471" t="s">
        <v>24</v>
      </c>
      <c r="F471" t="s">
        <v>24</v>
      </c>
      <c r="G471" t="str">
        <f>"2026-01-05 04:54:53.311"</f>
        <v>2026-01-05 04:54:53.311</v>
      </c>
      <c r="H471" t="s">
        <v>22</v>
      </c>
      <c r="I471">
        <v>0</v>
      </c>
      <c r="J471" t="s">
        <v>25</v>
      </c>
    </row>
    <row r="472" spans="1:10" x14ac:dyDescent="0.25">
      <c r="A472" s="1">
        <v>74</v>
      </c>
      <c r="B472" t="s">
        <v>19</v>
      </c>
      <c r="C472">
        <v>706</v>
      </c>
      <c r="D472">
        <v>4</v>
      </c>
      <c r="E472" t="s">
        <v>20</v>
      </c>
      <c r="F472" t="s">
        <v>21</v>
      </c>
      <c r="G472" t="str">
        <f>"2026-01-05 03:50:27.946"</f>
        <v>2026-01-05 03:50:27.946</v>
      </c>
      <c r="H472" t="s">
        <v>22</v>
      </c>
      <c r="I472">
        <v>0</v>
      </c>
      <c r="J472" t="s">
        <v>23</v>
      </c>
    </row>
    <row r="473" spans="1:10" x14ac:dyDescent="0.25">
      <c r="A473" s="1">
        <v>75</v>
      </c>
      <c r="B473" t="s">
        <v>19</v>
      </c>
      <c r="C473">
        <v>706</v>
      </c>
      <c r="D473">
        <v>4</v>
      </c>
      <c r="E473" t="s">
        <v>20</v>
      </c>
      <c r="F473" t="s">
        <v>21</v>
      </c>
      <c r="G473" t="str">
        <f>"2026-01-05 03:50:17.156"</f>
        <v>2026-01-05 03:50:17.156</v>
      </c>
      <c r="H473" t="s">
        <v>22</v>
      </c>
      <c r="I473">
        <v>0</v>
      </c>
      <c r="J473" t="s">
        <v>23</v>
      </c>
    </row>
    <row r="474" spans="1:10" x14ac:dyDescent="0.25">
      <c r="A474" s="1">
        <v>76</v>
      </c>
      <c r="B474" t="s">
        <v>19</v>
      </c>
      <c r="C474">
        <v>700</v>
      </c>
      <c r="D474">
        <v>0</v>
      </c>
      <c r="E474" t="s">
        <v>24</v>
      </c>
      <c r="F474" t="s">
        <v>24</v>
      </c>
      <c r="G474" t="str">
        <f>"2026-01-05 03:11:17.306"</f>
        <v>2026-01-05 03:11:17.306</v>
      </c>
      <c r="H474" t="s">
        <v>22</v>
      </c>
    </row>
    <row r="475" spans="1:10" x14ac:dyDescent="0.25">
      <c r="A475" s="1">
        <v>77</v>
      </c>
      <c r="B475" t="s">
        <v>19</v>
      </c>
      <c r="C475">
        <v>700</v>
      </c>
      <c r="D475">
        <v>0</v>
      </c>
      <c r="E475" t="s">
        <v>24</v>
      </c>
      <c r="F475" t="s">
        <v>24</v>
      </c>
      <c r="G475" t="str">
        <f>"2026-01-05 02:10:24.744"</f>
        <v>2026-01-05 02:10:24.744</v>
      </c>
      <c r="H475" t="s">
        <v>22</v>
      </c>
    </row>
    <row r="476" spans="1:10" x14ac:dyDescent="0.25">
      <c r="A476" s="1">
        <v>78</v>
      </c>
      <c r="B476" t="s">
        <v>19</v>
      </c>
      <c r="C476">
        <v>700</v>
      </c>
      <c r="D476">
        <v>0</v>
      </c>
      <c r="E476" t="s">
        <v>24</v>
      </c>
      <c r="F476" t="s">
        <v>24</v>
      </c>
      <c r="G476" t="str">
        <f>"2026-01-04 09:36:30.371"</f>
        <v>2026-01-04 09:36:30.371</v>
      </c>
      <c r="H476" t="s">
        <v>22</v>
      </c>
      <c r="I476">
        <v>0</v>
      </c>
      <c r="J476" t="s">
        <v>25</v>
      </c>
    </row>
    <row r="477" spans="1:10" x14ac:dyDescent="0.25">
      <c r="A477" s="1">
        <v>79</v>
      </c>
      <c r="B477" t="s">
        <v>26</v>
      </c>
      <c r="C477">
        <v>635</v>
      </c>
      <c r="D477">
        <v>1</v>
      </c>
      <c r="E477" t="s">
        <v>27</v>
      </c>
      <c r="F477" t="s">
        <v>28</v>
      </c>
      <c r="G477" t="str">
        <f>"2026-01-02 15:56:03.614"</f>
        <v>2026-01-02 15:56:03.614</v>
      </c>
      <c r="H477" t="s">
        <v>22</v>
      </c>
    </row>
    <row r="478" spans="1:10" x14ac:dyDescent="0.25">
      <c r="A478" s="1">
        <v>80</v>
      </c>
      <c r="B478" t="s">
        <v>29</v>
      </c>
      <c r="C478">
        <v>635</v>
      </c>
      <c r="D478">
        <v>1</v>
      </c>
      <c r="E478" t="s">
        <v>27</v>
      </c>
      <c r="F478" t="s">
        <v>28</v>
      </c>
      <c r="G478" t="str">
        <f>"2026-01-02 15:50:40.214"</f>
        <v>2026-01-02 15:50:40.214</v>
      </c>
      <c r="H478" t="s">
        <v>22</v>
      </c>
      <c r="I478">
        <v>1.83</v>
      </c>
      <c r="J478" t="s">
        <v>36</v>
      </c>
    </row>
    <row r="479" spans="1:10" x14ac:dyDescent="0.25">
      <c r="A479" s="1">
        <v>81</v>
      </c>
      <c r="B479" t="s">
        <v>19</v>
      </c>
      <c r="C479">
        <v>700</v>
      </c>
      <c r="D479">
        <v>0</v>
      </c>
      <c r="E479" t="s">
        <v>24</v>
      </c>
      <c r="F479" t="s">
        <v>24</v>
      </c>
      <c r="G479" t="str">
        <f>"2026-01-02 11:11:53.306"</f>
        <v>2026-01-02 11:11:53.306</v>
      </c>
      <c r="H479" t="s">
        <v>22</v>
      </c>
      <c r="I479">
        <v>0</v>
      </c>
      <c r="J479" t="s">
        <v>25</v>
      </c>
    </row>
    <row r="480" spans="1:10" x14ac:dyDescent="0.25">
      <c r="A480" s="1">
        <v>82</v>
      </c>
      <c r="B480" t="s">
        <v>26</v>
      </c>
      <c r="C480">
        <v>635</v>
      </c>
      <c r="D480">
        <v>1</v>
      </c>
      <c r="E480" t="s">
        <v>27</v>
      </c>
      <c r="F480" t="s">
        <v>28</v>
      </c>
      <c r="G480" t="str">
        <f>"2025-12-31 03:35:09.173"</f>
        <v>2025-12-31 03:35:09.173</v>
      </c>
      <c r="H480" t="s">
        <v>22</v>
      </c>
    </row>
    <row r="481" spans="1:10" x14ac:dyDescent="0.25">
      <c r="A481" s="1">
        <v>83</v>
      </c>
      <c r="B481" t="s">
        <v>29</v>
      </c>
      <c r="C481">
        <v>635</v>
      </c>
      <c r="D481">
        <v>1</v>
      </c>
      <c r="E481" t="s">
        <v>27</v>
      </c>
      <c r="F481" t="s">
        <v>28</v>
      </c>
      <c r="G481" t="str">
        <f>"2025-12-31 03:16:18.673"</f>
        <v>2025-12-31 03:16:18.673</v>
      </c>
      <c r="H481" t="s">
        <v>22</v>
      </c>
      <c r="I481">
        <v>7.98</v>
      </c>
      <c r="J481" t="s">
        <v>30</v>
      </c>
    </row>
    <row r="482" spans="1:10" x14ac:dyDescent="0.25">
      <c r="A482" s="1">
        <v>84</v>
      </c>
      <c r="B482" t="s">
        <v>26</v>
      </c>
      <c r="C482">
        <v>635</v>
      </c>
      <c r="D482">
        <v>1</v>
      </c>
      <c r="E482" t="s">
        <v>27</v>
      </c>
      <c r="F482" t="s">
        <v>28</v>
      </c>
      <c r="G482" t="str">
        <f>"2025-12-29 03:01:37.074"</f>
        <v>2025-12-29 03:01:37.074</v>
      </c>
      <c r="H482" t="s">
        <v>22</v>
      </c>
    </row>
    <row r="483" spans="1:10" x14ac:dyDescent="0.25">
      <c r="A483" s="1">
        <v>85</v>
      </c>
      <c r="B483" t="s">
        <v>29</v>
      </c>
      <c r="C483">
        <v>635</v>
      </c>
      <c r="D483">
        <v>1</v>
      </c>
      <c r="E483" t="s">
        <v>27</v>
      </c>
      <c r="F483" t="s">
        <v>28</v>
      </c>
      <c r="G483" t="str">
        <f>"2025-12-29 02:58:18.074"</f>
        <v>2025-12-29 02:58:18.074</v>
      </c>
      <c r="H483" t="s">
        <v>22</v>
      </c>
      <c r="I483">
        <v>3.52</v>
      </c>
      <c r="J483" t="s">
        <v>31</v>
      </c>
    </row>
    <row r="484" spans="1:10" x14ac:dyDescent="0.25">
      <c r="A484" s="1">
        <v>86</v>
      </c>
      <c r="B484" t="s">
        <v>19</v>
      </c>
      <c r="C484">
        <v>700</v>
      </c>
      <c r="D484">
        <v>0</v>
      </c>
      <c r="E484" t="s">
        <v>24</v>
      </c>
      <c r="F484" t="s">
        <v>24</v>
      </c>
      <c r="G484" t="str">
        <f>"2025-12-28 09:21:52.312"</f>
        <v>2025-12-28 09:21:52.312</v>
      </c>
      <c r="H484" t="s">
        <v>22</v>
      </c>
      <c r="I484">
        <v>0</v>
      </c>
      <c r="J484" t="s">
        <v>25</v>
      </c>
    </row>
    <row r="485" spans="1:10" x14ac:dyDescent="0.25">
      <c r="A485" s="1">
        <v>87</v>
      </c>
      <c r="B485" t="s">
        <v>26</v>
      </c>
      <c r="C485">
        <v>61</v>
      </c>
      <c r="D485">
        <v>2</v>
      </c>
      <c r="E485" t="s">
        <v>45</v>
      </c>
      <c r="F485" t="s">
        <v>46</v>
      </c>
      <c r="G485" t="str">
        <f>"2025-12-27 12:41:58.222"</f>
        <v>2025-12-27 12:41:58.222</v>
      </c>
      <c r="H485" t="s">
        <v>22</v>
      </c>
    </row>
    <row r="486" spans="1:10" x14ac:dyDescent="0.25">
      <c r="A486" s="1">
        <v>88</v>
      </c>
      <c r="B486" t="s">
        <v>32</v>
      </c>
      <c r="C486">
        <v>61</v>
      </c>
      <c r="D486">
        <v>2</v>
      </c>
      <c r="E486" t="s">
        <v>45</v>
      </c>
      <c r="F486" t="s">
        <v>46</v>
      </c>
      <c r="G486" t="str">
        <f>"2025-12-27 12:41:45.523"</f>
        <v>2025-12-27 12:41:45.523</v>
      </c>
      <c r="H486" t="s">
        <v>22</v>
      </c>
      <c r="I486">
        <v>30.6</v>
      </c>
      <c r="J486" t="s">
        <v>36</v>
      </c>
    </row>
    <row r="487" spans="1:10" x14ac:dyDescent="0.25">
      <c r="A487" s="1">
        <v>89</v>
      </c>
      <c r="B487" t="s">
        <v>26</v>
      </c>
      <c r="C487">
        <v>635</v>
      </c>
      <c r="D487">
        <v>1</v>
      </c>
      <c r="E487" t="s">
        <v>27</v>
      </c>
      <c r="F487" t="s">
        <v>28</v>
      </c>
      <c r="G487" t="str">
        <f>"2025-12-26 06:40:57.722"</f>
        <v>2025-12-26 06:40:57.722</v>
      </c>
      <c r="H487" t="s">
        <v>22</v>
      </c>
    </row>
    <row r="488" spans="1:10" x14ac:dyDescent="0.25">
      <c r="A488" s="1">
        <v>90</v>
      </c>
      <c r="B488" t="s">
        <v>29</v>
      </c>
      <c r="C488">
        <v>635</v>
      </c>
      <c r="D488">
        <v>1</v>
      </c>
      <c r="E488" t="s">
        <v>27</v>
      </c>
      <c r="F488" t="s">
        <v>28</v>
      </c>
      <c r="G488" t="str">
        <f>"2025-12-26 06:36:55.722"</f>
        <v>2025-12-26 06:36:55.722</v>
      </c>
      <c r="H488" t="s">
        <v>22</v>
      </c>
      <c r="I488">
        <v>7.55</v>
      </c>
      <c r="J488" t="s">
        <v>30</v>
      </c>
    </row>
    <row r="489" spans="1:10" x14ac:dyDescent="0.25">
      <c r="A489" s="1">
        <v>91</v>
      </c>
      <c r="B489" t="s">
        <v>19</v>
      </c>
      <c r="C489">
        <v>706</v>
      </c>
      <c r="D489">
        <v>4</v>
      </c>
      <c r="E489" t="s">
        <v>20</v>
      </c>
      <c r="F489" t="s">
        <v>21</v>
      </c>
      <c r="G489" t="str">
        <f>"2025-12-25 14:04:52.051"</f>
        <v>2025-12-25 14:04:52.051</v>
      </c>
      <c r="H489" t="s">
        <v>22</v>
      </c>
      <c r="I489">
        <v>0</v>
      </c>
      <c r="J489" t="s">
        <v>53</v>
      </c>
    </row>
    <row r="490" spans="1:10" x14ac:dyDescent="0.25">
      <c r="A490" s="1">
        <v>92</v>
      </c>
      <c r="B490" t="s">
        <v>19</v>
      </c>
      <c r="C490">
        <v>700</v>
      </c>
      <c r="D490">
        <v>0</v>
      </c>
      <c r="E490" t="s">
        <v>24</v>
      </c>
      <c r="F490" t="s">
        <v>24</v>
      </c>
      <c r="G490" t="str">
        <f>"2025-12-25 13:59:24.431"</f>
        <v>2025-12-25 13:59:24.431</v>
      </c>
      <c r="H490" t="s">
        <v>22</v>
      </c>
    </row>
    <row r="491" spans="1:10" x14ac:dyDescent="0.25">
      <c r="A491" s="1">
        <v>93</v>
      </c>
      <c r="B491" t="s">
        <v>19</v>
      </c>
      <c r="C491">
        <v>700</v>
      </c>
      <c r="D491">
        <v>0</v>
      </c>
      <c r="E491" t="s">
        <v>24</v>
      </c>
      <c r="F491" t="s">
        <v>24</v>
      </c>
      <c r="G491" t="str">
        <f>"2025-12-25 11:53:44.281"</f>
        <v>2025-12-25 11:53:44.281</v>
      </c>
      <c r="H491" t="s">
        <v>22</v>
      </c>
    </row>
    <row r="492" spans="1:10" x14ac:dyDescent="0.25">
      <c r="A492" s="1">
        <v>94</v>
      </c>
      <c r="B492" t="s">
        <v>19</v>
      </c>
      <c r="C492">
        <v>700</v>
      </c>
      <c r="D492">
        <v>0</v>
      </c>
      <c r="E492" t="s">
        <v>24</v>
      </c>
      <c r="F492" t="s">
        <v>24</v>
      </c>
      <c r="G492" t="str">
        <f>"2025-12-25 11:25:39.346"</f>
        <v>2025-12-25 11:25:39.346</v>
      </c>
      <c r="H492" t="s">
        <v>22</v>
      </c>
    </row>
    <row r="493" spans="1:10" x14ac:dyDescent="0.25">
      <c r="A493" s="1">
        <v>95</v>
      </c>
      <c r="B493" t="s">
        <v>26</v>
      </c>
      <c r="C493">
        <v>635</v>
      </c>
      <c r="D493">
        <v>1</v>
      </c>
      <c r="E493" t="s">
        <v>27</v>
      </c>
      <c r="F493" t="s">
        <v>28</v>
      </c>
      <c r="G493" t="str">
        <f>"2025-12-25 04:57:59.117"</f>
        <v>2025-12-25 04:57:59.117</v>
      </c>
      <c r="H493" t="s">
        <v>22</v>
      </c>
    </row>
    <row r="494" spans="1:10" x14ac:dyDescent="0.25">
      <c r="A494" s="1">
        <v>96</v>
      </c>
      <c r="B494" t="s">
        <v>29</v>
      </c>
      <c r="C494">
        <v>635</v>
      </c>
      <c r="D494">
        <v>1</v>
      </c>
      <c r="E494" t="s">
        <v>27</v>
      </c>
      <c r="F494" t="s">
        <v>28</v>
      </c>
      <c r="G494" t="str">
        <f>"2025-12-25 04:50:34.117"</f>
        <v>2025-12-25 04:50:34.117</v>
      </c>
      <c r="H494" t="s">
        <v>22</v>
      </c>
      <c r="I494">
        <v>4.3099999999999996</v>
      </c>
      <c r="J494" t="s">
        <v>30</v>
      </c>
    </row>
    <row r="495" spans="1:10" x14ac:dyDescent="0.25">
      <c r="A495" s="1">
        <v>97</v>
      </c>
      <c r="B495" t="s">
        <v>19</v>
      </c>
      <c r="C495">
        <v>700</v>
      </c>
      <c r="D495">
        <v>0</v>
      </c>
      <c r="E495" t="s">
        <v>24</v>
      </c>
      <c r="F495" t="s">
        <v>24</v>
      </c>
      <c r="G495" t="str">
        <f>"2025-12-23 11:38:25.299"</f>
        <v>2025-12-23 11:38:25.299</v>
      </c>
      <c r="H495" t="s">
        <v>22</v>
      </c>
      <c r="I495">
        <v>0</v>
      </c>
      <c r="J495" t="s">
        <v>25</v>
      </c>
    </row>
    <row r="496" spans="1:10" x14ac:dyDescent="0.25">
      <c r="A496" s="1">
        <v>99</v>
      </c>
      <c r="B496" t="s">
        <v>26</v>
      </c>
      <c r="C496">
        <v>98</v>
      </c>
      <c r="D496">
        <v>1</v>
      </c>
      <c r="E496" t="s">
        <v>42</v>
      </c>
      <c r="F496" t="s">
        <v>43</v>
      </c>
      <c r="G496" t="str">
        <f>"2025-12-21 18:52:36.015"</f>
        <v>2025-12-21 18:52:36.015</v>
      </c>
      <c r="H496" t="s">
        <v>22</v>
      </c>
    </row>
    <row r="497" spans="1:10" x14ac:dyDescent="0.25">
      <c r="A497" s="1">
        <v>0</v>
      </c>
      <c r="B497" t="s">
        <v>29</v>
      </c>
      <c r="C497">
        <v>98</v>
      </c>
      <c r="D497">
        <v>1</v>
      </c>
      <c r="E497" t="s">
        <v>42</v>
      </c>
      <c r="F497" t="s">
        <v>43</v>
      </c>
      <c r="G497" t="str">
        <f>"2025-12-21 18:52:35.016"</f>
        <v>2025-12-21 18:52:35.016</v>
      </c>
      <c r="H497" t="s">
        <v>22</v>
      </c>
      <c r="I497">
        <v>0</v>
      </c>
      <c r="J497" t="s">
        <v>31</v>
      </c>
    </row>
    <row r="498" spans="1:10" x14ac:dyDescent="0.25">
      <c r="A498" s="1">
        <v>1</v>
      </c>
      <c r="B498" t="s">
        <v>26</v>
      </c>
      <c r="C498">
        <v>635</v>
      </c>
      <c r="D498">
        <v>1</v>
      </c>
      <c r="E498" t="s">
        <v>27</v>
      </c>
      <c r="F498" t="s">
        <v>28</v>
      </c>
      <c r="G498" t="str">
        <f>"2025-12-20 13:02:44.515"</f>
        <v>2025-12-20 13:02:44.515</v>
      </c>
      <c r="H498" t="s">
        <v>22</v>
      </c>
    </row>
    <row r="499" spans="1:10" x14ac:dyDescent="0.25">
      <c r="A499" s="1">
        <v>2</v>
      </c>
      <c r="B499" t="s">
        <v>29</v>
      </c>
      <c r="C499">
        <v>635</v>
      </c>
      <c r="D499">
        <v>1</v>
      </c>
      <c r="E499" t="s">
        <v>27</v>
      </c>
      <c r="F499" t="s">
        <v>28</v>
      </c>
      <c r="G499" t="str">
        <f>"2025-12-20 13:01:00.515"</f>
        <v>2025-12-20 13:01:00.515</v>
      </c>
      <c r="H499" t="s">
        <v>22</v>
      </c>
      <c r="I499">
        <v>4.51</v>
      </c>
      <c r="J499" t="s">
        <v>36</v>
      </c>
    </row>
    <row r="500" spans="1:10" x14ac:dyDescent="0.25">
      <c r="A500" s="1">
        <v>3</v>
      </c>
      <c r="B500" t="s">
        <v>26</v>
      </c>
      <c r="C500">
        <v>635</v>
      </c>
      <c r="D500">
        <v>1</v>
      </c>
      <c r="E500" t="s">
        <v>27</v>
      </c>
      <c r="F500" t="s">
        <v>28</v>
      </c>
      <c r="G500" t="str">
        <f>"2025-12-19 19:15:21.015"</f>
        <v>2025-12-19 19:15:21.015</v>
      </c>
      <c r="H500" t="s">
        <v>22</v>
      </c>
    </row>
    <row r="501" spans="1:10" x14ac:dyDescent="0.25">
      <c r="A501" s="1">
        <v>4</v>
      </c>
      <c r="B501" t="s">
        <v>29</v>
      </c>
      <c r="C501">
        <v>635</v>
      </c>
      <c r="D501">
        <v>1</v>
      </c>
      <c r="E501" t="s">
        <v>27</v>
      </c>
      <c r="F501" t="s">
        <v>28</v>
      </c>
      <c r="G501" t="str">
        <f>"2025-12-19 19:07:30.015"</f>
        <v>2025-12-19 19:07:30.015</v>
      </c>
      <c r="H501" t="s">
        <v>22</v>
      </c>
      <c r="I501">
        <v>6.07</v>
      </c>
      <c r="J501" t="s">
        <v>30</v>
      </c>
    </row>
    <row r="502" spans="1:10" x14ac:dyDescent="0.25">
      <c r="A502" s="1">
        <v>5</v>
      </c>
      <c r="B502" t="s">
        <v>19</v>
      </c>
      <c r="C502">
        <v>700</v>
      </c>
      <c r="D502">
        <v>0</v>
      </c>
      <c r="E502" t="s">
        <v>24</v>
      </c>
      <c r="F502" t="s">
        <v>24</v>
      </c>
      <c r="G502" t="str">
        <f>"2025-12-19 13:23:12.274"</f>
        <v>2025-12-19 13:23:12.274</v>
      </c>
      <c r="H502" t="s">
        <v>22</v>
      </c>
    </row>
    <row r="503" spans="1:10" x14ac:dyDescent="0.25">
      <c r="A503" s="1">
        <v>6</v>
      </c>
      <c r="B503" t="s">
        <v>19</v>
      </c>
      <c r="C503">
        <v>706</v>
      </c>
      <c r="D503">
        <v>4</v>
      </c>
      <c r="E503" t="s">
        <v>20</v>
      </c>
      <c r="F503" t="s">
        <v>21</v>
      </c>
      <c r="G503" t="str">
        <f>"2025-12-19 13:21:08.488"</f>
        <v>2025-12-19 13:21:08.488</v>
      </c>
      <c r="H503" t="s">
        <v>22</v>
      </c>
      <c r="I503">
        <v>0</v>
      </c>
      <c r="J503" t="s">
        <v>23</v>
      </c>
    </row>
    <row r="504" spans="1:10" x14ac:dyDescent="0.25">
      <c r="A504" s="1">
        <v>7</v>
      </c>
      <c r="B504" t="s">
        <v>19</v>
      </c>
      <c r="C504">
        <v>700</v>
      </c>
      <c r="D504">
        <v>0</v>
      </c>
      <c r="E504" t="s">
        <v>24</v>
      </c>
      <c r="F504" t="s">
        <v>24</v>
      </c>
      <c r="G504" t="str">
        <f>"2025-12-19 12:58:57.278"</f>
        <v>2025-12-19 12:58:57.278</v>
      </c>
      <c r="H504" t="s">
        <v>22</v>
      </c>
    </row>
    <row r="505" spans="1:10" x14ac:dyDescent="0.25">
      <c r="A505" s="1">
        <v>8</v>
      </c>
      <c r="B505" t="s">
        <v>49</v>
      </c>
      <c r="C505">
        <v>620</v>
      </c>
      <c r="D505">
        <v>1</v>
      </c>
      <c r="E505" t="s">
        <v>54</v>
      </c>
      <c r="F505" t="s">
        <v>28</v>
      </c>
      <c r="G505" t="str">
        <f>"2025-12-19 11:47:31.107"</f>
        <v>2025-12-19 11:47:31.107</v>
      </c>
      <c r="H505" t="s">
        <v>48</v>
      </c>
    </row>
    <row r="506" spans="1:10" x14ac:dyDescent="0.25">
      <c r="A506" s="1">
        <v>9</v>
      </c>
      <c r="B506" t="s">
        <v>32</v>
      </c>
      <c r="C506">
        <v>620</v>
      </c>
      <c r="D506">
        <v>1</v>
      </c>
      <c r="E506" t="s">
        <v>54</v>
      </c>
      <c r="F506" t="s">
        <v>28</v>
      </c>
      <c r="G506" t="str">
        <f>"2025-12-19 11:47:27.385"</f>
        <v>2025-12-19 11:47:27.385</v>
      </c>
      <c r="H506" t="s">
        <v>48</v>
      </c>
      <c r="I506">
        <v>7.46</v>
      </c>
      <c r="J506" t="s">
        <v>30</v>
      </c>
    </row>
    <row r="507" spans="1:10" x14ac:dyDescent="0.25">
      <c r="A507" s="1">
        <v>10</v>
      </c>
      <c r="B507" t="s">
        <v>26</v>
      </c>
      <c r="C507">
        <v>635</v>
      </c>
      <c r="D507">
        <v>1</v>
      </c>
      <c r="E507" t="s">
        <v>27</v>
      </c>
      <c r="F507" t="s">
        <v>28</v>
      </c>
      <c r="G507" t="str">
        <f>"2025-12-18 10:26:34.906"</f>
        <v>2025-12-18 10:26:34.906</v>
      </c>
      <c r="H507" t="s">
        <v>22</v>
      </c>
    </row>
    <row r="508" spans="1:10" x14ac:dyDescent="0.25">
      <c r="A508" s="1">
        <v>11</v>
      </c>
      <c r="B508" t="s">
        <v>29</v>
      </c>
      <c r="C508">
        <v>635</v>
      </c>
      <c r="D508">
        <v>1</v>
      </c>
      <c r="E508" t="s">
        <v>27</v>
      </c>
      <c r="F508" t="s">
        <v>28</v>
      </c>
      <c r="G508" t="str">
        <f>"2025-12-18 10:13:26.005"</f>
        <v>2025-12-18 10:13:26.005</v>
      </c>
      <c r="H508" t="s">
        <v>22</v>
      </c>
      <c r="I508">
        <v>7.35</v>
      </c>
      <c r="J508" t="s">
        <v>30</v>
      </c>
    </row>
    <row r="509" spans="1:10" x14ac:dyDescent="0.25">
      <c r="A509" s="1">
        <v>13</v>
      </c>
      <c r="B509" t="s">
        <v>19</v>
      </c>
      <c r="C509">
        <v>706</v>
      </c>
      <c r="D509">
        <v>2</v>
      </c>
      <c r="E509" t="s">
        <v>20</v>
      </c>
      <c r="F509" t="s">
        <v>41</v>
      </c>
      <c r="G509" t="str">
        <f>"2025-12-17 11:02:04.275"</f>
        <v>2025-12-17 11:02:04.275</v>
      </c>
      <c r="H509" t="s">
        <v>22</v>
      </c>
      <c r="I509">
        <v>0</v>
      </c>
      <c r="J509" t="s">
        <v>23</v>
      </c>
    </row>
    <row r="510" spans="1:10" x14ac:dyDescent="0.25">
      <c r="A510" s="1">
        <v>14</v>
      </c>
      <c r="B510" t="s">
        <v>26</v>
      </c>
      <c r="C510">
        <v>635</v>
      </c>
      <c r="D510">
        <v>1</v>
      </c>
      <c r="E510" t="s">
        <v>27</v>
      </c>
      <c r="F510" t="s">
        <v>28</v>
      </c>
      <c r="G510" t="str">
        <f>"2025-12-16 16:25:16.306"</f>
        <v>2025-12-16 16:25:16.306</v>
      </c>
      <c r="H510" t="s">
        <v>22</v>
      </c>
    </row>
    <row r="511" spans="1:10" x14ac:dyDescent="0.25">
      <c r="A511" s="1">
        <v>15</v>
      </c>
      <c r="B511" t="s">
        <v>29</v>
      </c>
      <c r="C511">
        <v>635</v>
      </c>
      <c r="D511">
        <v>1</v>
      </c>
      <c r="E511" t="s">
        <v>27</v>
      </c>
      <c r="F511" t="s">
        <v>28</v>
      </c>
      <c r="G511" t="str">
        <f>"2025-12-16 16:21:59.806"</f>
        <v>2025-12-16 16:21:59.806</v>
      </c>
      <c r="H511" t="s">
        <v>22</v>
      </c>
      <c r="I511">
        <v>2.0299999999999998</v>
      </c>
      <c r="J511" t="s">
        <v>30</v>
      </c>
    </row>
    <row r="512" spans="1:10" x14ac:dyDescent="0.25">
      <c r="A512" s="1">
        <v>16</v>
      </c>
      <c r="B512" t="s">
        <v>26</v>
      </c>
      <c r="C512">
        <v>635</v>
      </c>
      <c r="D512">
        <v>1</v>
      </c>
      <c r="E512" t="s">
        <v>27</v>
      </c>
      <c r="F512" t="s">
        <v>28</v>
      </c>
      <c r="G512" t="str">
        <f>"2025-12-15 04:32:55.606"</f>
        <v>2025-12-15 04:32:55.606</v>
      </c>
      <c r="H512" t="s">
        <v>22</v>
      </c>
    </row>
    <row r="513" spans="1:10" x14ac:dyDescent="0.25">
      <c r="A513" s="1">
        <v>17</v>
      </c>
      <c r="B513" t="s">
        <v>29</v>
      </c>
      <c r="C513">
        <v>635</v>
      </c>
      <c r="D513">
        <v>1</v>
      </c>
      <c r="E513" t="s">
        <v>27</v>
      </c>
      <c r="F513" t="s">
        <v>28</v>
      </c>
      <c r="G513" t="str">
        <f>"2025-12-15 04:29:10.606"</f>
        <v>2025-12-15 04:29:10.606</v>
      </c>
      <c r="H513" t="s">
        <v>22</v>
      </c>
      <c r="I513">
        <v>6.33</v>
      </c>
      <c r="J513" t="s">
        <v>30</v>
      </c>
    </row>
    <row r="514" spans="1:10" x14ac:dyDescent="0.25">
      <c r="A514" s="1">
        <v>18</v>
      </c>
      <c r="B514" t="s">
        <v>19</v>
      </c>
      <c r="C514">
        <v>700</v>
      </c>
      <c r="D514">
        <v>0</v>
      </c>
      <c r="E514" t="s">
        <v>24</v>
      </c>
      <c r="F514" t="s">
        <v>24</v>
      </c>
      <c r="G514" t="str">
        <f>"2025-12-14 14:00:21.265"</f>
        <v>2025-12-14 14:00:21.265</v>
      </c>
      <c r="H514" t="s">
        <v>22</v>
      </c>
    </row>
    <row r="515" spans="1:10" x14ac:dyDescent="0.25">
      <c r="A515" s="1">
        <v>19</v>
      </c>
      <c r="B515" t="s">
        <v>19</v>
      </c>
      <c r="C515">
        <v>706</v>
      </c>
      <c r="D515">
        <v>4</v>
      </c>
      <c r="E515" t="s">
        <v>20</v>
      </c>
      <c r="F515" t="s">
        <v>21</v>
      </c>
      <c r="G515" t="str">
        <f>"2025-12-14 12:02:20.044"</f>
        <v>2025-12-14 12:02:20.044</v>
      </c>
      <c r="H515" t="s">
        <v>22</v>
      </c>
      <c r="I515">
        <v>0</v>
      </c>
      <c r="J515" t="s">
        <v>23</v>
      </c>
    </row>
    <row r="516" spans="1:10" x14ac:dyDescent="0.25">
      <c r="A516" s="1">
        <v>20</v>
      </c>
      <c r="B516" t="s">
        <v>19</v>
      </c>
      <c r="C516">
        <v>700</v>
      </c>
      <c r="D516">
        <v>0</v>
      </c>
      <c r="E516" t="s">
        <v>24</v>
      </c>
      <c r="F516" t="s">
        <v>24</v>
      </c>
      <c r="G516" t="str">
        <f>"2025-12-14 11:57:32.264"</f>
        <v>2025-12-14 11:57:32.264</v>
      </c>
      <c r="H516" t="s">
        <v>22</v>
      </c>
      <c r="I516">
        <v>0</v>
      </c>
      <c r="J516" t="s">
        <v>25</v>
      </c>
    </row>
    <row r="517" spans="1:10" x14ac:dyDescent="0.25">
      <c r="A517" s="1">
        <v>21</v>
      </c>
      <c r="B517" t="s">
        <v>19</v>
      </c>
      <c r="C517">
        <v>700</v>
      </c>
      <c r="D517">
        <v>0</v>
      </c>
      <c r="E517" t="s">
        <v>24</v>
      </c>
      <c r="F517" t="s">
        <v>24</v>
      </c>
      <c r="G517" t="str">
        <f>"2025-12-14 09:46:04.283"</f>
        <v>2025-12-14 09:46:04.283</v>
      </c>
      <c r="H517" t="s">
        <v>22</v>
      </c>
      <c r="I517">
        <v>0</v>
      </c>
      <c r="J517" t="s">
        <v>25</v>
      </c>
    </row>
    <row r="518" spans="1:10" x14ac:dyDescent="0.25">
      <c r="A518" s="1">
        <v>22</v>
      </c>
      <c r="B518" t="s">
        <v>19</v>
      </c>
      <c r="C518">
        <v>700</v>
      </c>
      <c r="D518">
        <v>0</v>
      </c>
      <c r="E518" t="s">
        <v>24</v>
      </c>
      <c r="F518" t="s">
        <v>24</v>
      </c>
      <c r="G518" t="str">
        <f>"2025-12-14 09:40:40.277"</f>
        <v>2025-12-14 09:40:40.277</v>
      </c>
      <c r="H518" t="s">
        <v>22</v>
      </c>
      <c r="I518">
        <v>0</v>
      </c>
      <c r="J518" t="s">
        <v>25</v>
      </c>
    </row>
    <row r="519" spans="1:10" x14ac:dyDescent="0.25">
      <c r="A519" s="1">
        <v>23</v>
      </c>
      <c r="B519" t="s">
        <v>26</v>
      </c>
      <c r="C519">
        <v>61</v>
      </c>
      <c r="D519">
        <v>2</v>
      </c>
      <c r="E519" t="s">
        <v>45</v>
      </c>
      <c r="F519" t="s">
        <v>46</v>
      </c>
      <c r="G519" t="str">
        <f>"2025-12-13 19:38:35.623"</f>
        <v>2025-12-13 19:38:35.623</v>
      </c>
      <c r="H519" t="s">
        <v>22</v>
      </c>
    </row>
    <row r="520" spans="1:10" x14ac:dyDescent="0.25">
      <c r="A520" s="1">
        <v>24</v>
      </c>
      <c r="B520" t="s">
        <v>32</v>
      </c>
      <c r="C520">
        <v>61</v>
      </c>
      <c r="D520">
        <v>2</v>
      </c>
      <c r="E520" t="s">
        <v>45</v>
      </c>
      <c r="F520" t="s">
        <v>46</v>
      </c>
      <c r="G520" t="str">
        <f>"2025-12-13 19:38:05.223"</f>
        <v>2025-12-13 19:38:05.223</v>
      </c>
      <c r="H520" t="s">
        <v>22</v>
      </c>
      <c r="I520">
        <v>29.88</v>
      </c>
      <c r="J520" t="s">
        <v>36</v>
      </c>
    </row>
    <row r="521" spans="1:10" x14ac:dyDescent="0.25">
      <c r="A521" s="1">
        <v>25</v>
      </c>
      <c r="B521" t="s">
        <v>19</v>
      </c>
      <c r="C521">
        <v>706</v>
      </c>
      <c r="D521">
        <v>4</v>
      </c>
      <c r="E521" t="s">
        <v>20</v>
      </c>
      <c r="F521" t="s">
        <v>21</v>
      </c>
      <c r="G521" t="str">
        <f>"2025-12-13 14:14:45.702"</f>
        <v>2025-12-13 14:14:45.702</v>
      </c>
      <c r="H521" t="s">
        <v>22</v>
      </c>
      <c r="I521">
        <v>0</v>
      </c>
      <c r="J521" t="s">
        <v>23</v>
      </c>
    </row>
    <row r="522" spans="1:10" x14ac:dyDescent="0.25">
      <c r="A522" s="1">
        <v>26</v>
      </c>
      <c r="B522" t="s">
        <v>19</v>
      </c>
      <c r="C522">
        <v>706</v>
      </c>
      <c r="D522">
        <v>2</v>
      </c>
      <c r="E522" t="s">
        <v>20</v>
      </c>
      <c r="F522" t="s">
        <v>41</v>
      </c>
      <c r="G522" t="str">
        <f>"2025-12-11 10:31:03.062"</f>
        <v>2025-12-11 10:31:03.062</v>
      </c>
      <c r="H522" t="s">
        <v>22</v>
      </c>
      <c r="I522">
        <v>0</v>
      </c>
      <c r="J522" t="s">
        <v>23</v>
      </c>
    </row>
    <row r="523" spans="1:10" x14ac:dyDescent="0.25">
      <c r="A523" s="1">
        <v>27</v>
      </c>
      <c r="B523" t="s">
        <v>19</v>
      </c>
      <c r="C523">
        <v>706</v>
      </c>
      <c r="D523">
        <v>4</v>
      </c>
      <c r="E523" t="s">
        <v>20</v>
      </c>
      <c r="F523" t="s">
        <v>21</v>
      </c>
      <c r="G523" t="str">
        <f>"2025-12-10 23:35:02.012"</f>
        <v>2025-12-10 23:35:02.012</v>
      </c>
      <c r="H523" t="s">
        <v>22</v>
      </c>
      <c r="I523">
        <v>0</v>
      </c>
      <c r="J523" t="s">
        <v>23</v>
      </c>
    </row>
    <row r="524" spans="1:10" x14ac:dyDescent="0.25">
      <c r="A524" s="1">
        <v>28</v>
      </c>
      <c r="B524" t="s">
        <v>19</v>
      </c>
      <c r="C524">
        <v>706</v>
      </c>
      <c r="D524">
        <v>4</v>
      </c>
      <c r="E524" t="s">
        <v>20</v>
      </c>
      <c r="F524" t="s">
        <v>21</v>
      </c>
      <c r="G524" t="str">
        <f>"2025-12-09 12:58:57.182"</f>
        <v>2025-12-09 12:58:57.182</v>
      </c>
      <c r="H524" t="s">
        <v>22</v>
      </c>
      <c r="I524">
        <v>0</v>
      </c>
      <c r="J524" t="s">
        <v>23</v>
      </c>
    </row>
    <row r="525" spans="1:10" x14ac:dyDescent="0.25">
      <c r="A525" s="1">
        <v>30</v>
      </c>
      <c r="B525" t="s">
        <v>19</v>
      </c>
      <c r="C525">
        <v>706</v>
      </c>
      <c r="D525">
        <v>4</v>
      </c>
      <c r="E525" t="s">
        <v>20</v>
      </c>
      <c r="F525" t="s">
        <v>21</v>
      </c>
      <c r="G525" t="str">
        <f>"2025-12-09 02:45:17.242"</f>
        <v>2025-12-09 02:45:17.242</v>
      </c>
      <c r="H525" t="s">
        <v>22</v>
      </c>
      <c r="I525">
        <v>0</v>
      </c>
      <c r="J525" t="s">
        <v>23</v>
      </c>
    </row>
    <row r="526" spans="1:10" x14ac:dyDescent="0.25">
      <c r="A526" s="1">
        <v>31</v>
      </c>
      <c r="B526" t="s">
        <v>19</v>
      </c>
      <c r="C526">
        <v>700</v>
      </c>
      <c r="D526">
        <v>0</v>
      </c>
      <c r="E526" t="s">
        <v>24</v>
      </c>
      <c r="F526" t="s">
        <v>24</v>
      </c>
      <c r="G526" t="str">
        <f>"2025-12-09 02:42:40.262"</f>
        <v>2025-12-09 02:42:40.262</v>
      </c>
      <c r="H526" t="s">
        <v>22</v>
      </c>
      <c r="I526">
        <v>0</v>
      </c>
      <c r="J526" t="s">
        <v>25</v>
      </c>
    </row>
    <row r="527" spans="1:10" x14ac:dyDescent="0.25">
      <c r="A527" s="1">
        <v>32</v>
      </c>
      <c r="B527" t="s">
        <v>19</v>
      </c>
      <c r="C527">
        <v>700</v>
      </c>
      <c r="D527">
        <v>0</v>
      </c>
      <c r="E527" t="s">
        <v>24</v>
      </c>
      <c r="F527" t="s">
        <v>24</v>
      </c>
      <c r="G527" t="str">
        <f>"2025-12-09 02:36:38.254"</f>
        <v>2025-12-09 02:36:38.254</v>
      </c>
      <c r="H527" t="s">
        <v>22</v>
      </c>
      <c r="I527">
        <v>0</v>
      </c>
      <c r="J527" t="s">
        <v>25</v>
      </c>
    </row>
    <row r="528" spans="1:10" x14ac:dyDescent="0.25">
      <c r="A528" s="1">
        <v>33</v>
      </c>
      <c r="B528" t="s">
        <v>19</v>
      </c>
      <c r="C528">
        <v>700</v>
      </c>
      <c r="D528">
        <v>0</v>
      </c>
      <c r="E528" t="s">
        <v>24</v>
      </c>
      <c r="F528" t="s">
        <v>24</v>
      </c>
      <c r="G528" t="str">
        <f>"2025-12-09 02:03:44.285"</f>
        <v>2025-12-09 02:03:44.285</v>
      </c>
      <c r="H528" t="s">
        <v>22</v>
      </c>
      <c r="I528">
        <v>0</v>
      </c>
      <c r="J528" t="s">
        <v>25</v>
      </c>
    </row>
    <row r="529" spans="1:10" x14ac:dyDescent="0.25">
      <c r="A529" s="1">
        <v>34</v>
      </c>
      <c r="B529" t="s">
        <v>26</v>
      </c>
      <c r="C529">
        <v>635</v>
      </c>
      <c r="D529">
        <v>1</v>
      </c>
      <c r="E529" t="s">
        <v>27</v>
      </c>
      <c r="F529" t="s">
        <v>28</v>
      </c>
      <c r="G529" t="str">
        <f>"2025-12-08 17:04:21.160"</f>
        <v>2025-12-08 17:04:21.160</v>
      </c>
      <c r="H529" t="s">
        <v>22</v>
      </c>
    </row>
    <row r="530" spans="1:10" x14ac:dyDescent="0.25">
      <c r="A530" s="1">
        <v>35</v>
      </c>
      <c r="B530" t="s">
        <v>29</v>
      </c>
      <c r="C530">
        <v>635</v>
      </c>
      <c r="D530">
        <v>1</v>
      </c>
      <c r="E530" t="s">
        <v>27</v>
      </c>
      <c r="F530" t="s">
        <v>28</v>
      </c>
      <c r="G530" t="str">
        <f>"2025-12-08 17:00:55.160"</f>
        <v>2025-12-08 17:00:55.160</v>
      </c>
      <c r="H530" t="s">
        <v>22</v>
      </c>
      <c r="I530">
        <v>2.75</v>
      </c>
      <c r="J530" t="s">
        <v>30</v>
      </c>
    </row>
    <row r="531" spans="1:10" x14ac:dyDescent="0.25">
      <c r="A531" s="1">
        <v>36</v>
      </c>
      <c r="B531" t="s">
        <v>19</v>
      </c>
      <c r="C531">
        <v>700</v>
      </c>
      <c r="D531">
        <v>0</v>
      </c>
      <c r="E531" t="s">
        <v>24</v>
      </c>
      <c r="F531" t="s">
        <v>24</v>
      </c>
      <c r="G531" t="str">
        <f>"2025-12-07 20:49:25.262"</f>
        <v>2025-12-07 20:49:25.262</v>
      </c>
      <c r="H531" t="s">
        <v>22</v>
      </c>
      <c r="I531">
        <v>0</v>
      </c>
      <c r="J531" t="s">
        <v>25</v>
      </c>
    </row>
    <row r="532" spans="1:10" x14ac:dyDescent="0.25">
      <c r="A532" s="1">
        <v>37</v>
      </c>
      <c r="B532" t="s">
        <v>19</v>
      </c>
      <c r="C532">
        <v>700</v>
      </c>
      <c r="D532">
        <v>0</v>
      </c>
      <c r="E532" t="s">
        <v>24</v>
      </c>
      <c r="F532" t="s">
        <v>24</v>
      </c>
      <c r="G532" t="str">
        <f>"2025-12-07 14:55:24.245"</f>
        <v>2025-12-07 14:55:24.245</v>
      </c>
      <c r="H532" t="s">
        <v>22</v>
      </c>
      <c r="I532">
        <v>0</v>
      </c>
      <c r="J532" t="s">
        <v>25</v>
      </c>
    </row>
    <row r="533" spans="1:10" x14ac:dyDescent="0.25">
      <c r="A533" s="1">
        <v>38</v>
      </c>
      <c r="B533" t="s">
        <v>19</v>
      </c>
      <c r="C533">
        <v>700</v>
      </c>
      <c r="D533">
        <v>0</v>
      </c>
      <c r="E533" t="s">
        <v>24</v>
      </c>
      <c r="F533" t="s">
        <v>24</v>
      </c>
      <c r="G533" t="str">
        <f>"2025-12-07 14:17:08.251"</f>
        <v>2025-12-07 14:17:08.251</v>
      </c>
      <c r="H533" t="s">
        <v>22</v>
      </c>
    </row>
    <row r="534" spans="1:10" x14ac:dyDescent="0.25">
      <c r="A534" s="1">
        <v>39</v>
      </c>
      <c r="B534" t="s">
        <v>19</v>
      </c>
      <c r="C534">
        <v>706</v>
      </c>
      <c r="D534">
        <v>3</v>
      </c>
      <c r="E534" t="s">
        <v>20</v>
      </c>
      <c r="F534" t="s">
        <v>44</v>
      </c>
      <c r="G534" t="str">
        <f>"2025-12-07 14:15:45.117"</f>
        <v>2025-12-07 14:15:45.117</v>
      </c>
      <c r="H534" t="s">
        <v>22</v>
      </c>
      <c r="I534">
        <v>0</v>
      </c>
      <c r="J534" t="s">
        <v>23</v>
      </c>
    </row>
    <row r="535" spans="1:10" x14ac:dyDescent="0.25">
      <c r="A535" s="1">
        <v>40</v>
      </c>
      <c r="B535" t="s">
        <v>19</v>
      </c>
      <c r="C535">
        <v>700</v>
      </c>
      <c r="D535">
        <v>0</v>
      </c>
      <c r="E535" t="s">
        <v>24</v>
      </c>
      <c r="F535" t="s">
        <v>24</v>
      </c>
      <c r="G535" t="str">
        <f>"2025-12-07 14:14:44.377"</f>
        <v>2025-12-07 14:14:44.377</v>
      </c>
      <c r="H535" t="s">
        <v>22</v>
      </c>
      <c r="I535">
        <v>0</v>
      </c>
      <c r="J535" t="s">
        <v>25</v>
      </c>
    </row>
    <row r="536" spans="1:10" x14ac:dyDescent="0.25">
      <c r="A536" s="1">
        <v>41</v>
      </c>
      <c r="B536" t="s">
        <v>19</v>
      </c>
      <c r="C536">
        <v>700</v>
      </c>
      <c r="D536">
        <v>0</v>
      </c>
      <c r="E536" t="s">
        <v>24</v>
      </c>
      <c r="F536" t="s">
        <v>24</v>
      </c>
      <c r="G536" t="str">
        <f>"2025-12-07 14:13:19.256"</f>
        <v>2025-12-07 14:13:19.256</v>
      </c>
      <c r="H536" t="s">
        <v>22</v>
      </c>
      <c r="I536">
        <v>0</v>
      </c>
      <c r="J536" t="s">
        <v>25</v>
      </c>
    </row>
    <row r="537" spans="1:10" x14ac:dyDescent="0.25">
      <c r="A537" s="1">
        <v>42</v>
      </c>
      <c r="B537" t="s">
        <v>19</v>
      </c>
      <c r="C537">
        <v>700</v>
      </c>
      <c r="D537">
        <v>0</v>
      </c>
      <c r="E537" t="s">
        <v>24</v>
      </c>
      <c r="F537" t="s">
        <v>24</v>
      </c>
      <c r="G537" t="str">
        <f>"2025-12-07 14:07:10.251"</f>
        <v>2025-12-07 14:07:10.251</v>
      </c>
      <c r="H537" t="s">
        <v>22</v>
      </c>
    </row>
    <row r="538" spans="1:10" x14ac:dyDescent="0.25">
      <c r="A538" s="1">
        <v>43</v>
      </c>
      <c r="B538" t="s">
        <v>19</v>
      </c>
      <c r="C538">
        <v>700</v>
      </c>
      <c r="D538">
        <v>0</v>
      </c>
      <c r="E538" t="s">
        <v>24</v>
      </c>
      <c r="F538" t="s">
        <v>24</v>
      </c>
      <c r="G538" t="str">
        <f>"2025-12-07 14:03:21.267"</f>
        <v>2025-12-07 14:03:21.267</v>
      </c>
      <c r="H538" t="s">
        <v>22</v>
      </c>
      <c r="I538">
        <v>0</v>
      </c>
      <c r="J538" t="s">
        <v>25</v>
      </c>
    </row>
    <row r="539" spans="1:10" x14ac:dyDescent="0.25">
      <c r="A539" s="1">
        <v>44</v>
      </c>
      <c r="B539" t="s">
        <v>19</v>
      </c>
      <c r="C539">
        <v>700</v>
      </c>
      <c r="D539">
        <v>0</v>
      </c>
      <c r="E539" t="s">
        <v>24</v>
      </c>
      <c r="F539" t="s">
        <v>24</v>
      </c>
      <c r="G539" t="str">
        <f>"2025-12-07 14:00:46.478"</f>
        <v>2025-12-07 14:00:46.478</v>
      </c>
      <c r="H539" t="s">
        <v>22</v>
      </c>
      <c r="I539">
        <v>0</v>
      </c>
      <c r="J539" t="s">
        <v>25</v>
      </c>
    </row>
    <row r="540" spans="1:10" x14ac:dyDescent="0.25">
      <c r="A540" s="1">
        <v>45</v>
      </c>
      <c r="B540" t="s">
        <v>19</v>
      </c>
      <c r="C540">
        <v>700</v>
      </c>
      <c r="D540">
        <v>0</v>
      </c>
      <c r="E540" t="s">
        <v>24</v>
      </c>
      <c r="F540" t="s">
        <v>24</v>
      </c>
      <c r="G540" t="str">
        <f>"2025-12-07 13:44:10.247"</f>
        <v>2025-12-07 13:44:10.247</v>
      </c>
      <c r="H540" t="s">
        <v>22</v>
      </c>
    </row>
    <row r="541" spans="1:10" x14ac:dyDescent="0.25">
      <c r="A541" s="1">
        <v>46</v>
      </c>
      <c r="B541" t="s">
        <v>19</v>
      </c>
      <c r="C541">
        <v>700</v>
      </c>
      <c r="D541">
        <v>0</v>
      </c>
      <c r="E541" t="s">
        <v>24</v>
      </c>
      <c r="F541" t="s">
        <v>24</v>
      </c>
      <c r="G541" t="str">
        <f>"2025-12-07 13:42:23.246"</f>
        <v>2025-12-07 13:42:23.246</v>
      </c>
      <c r="H541" t="s">
        <v>22</v>
      </c>
      <c r="I541">
        <v>0</v>
      </c>
      <c r="J541" t="s">
        <v>25</v>
      </c>
    </row>
    <row r="542" spans="1:10" x14ac:dyDescent="0.25">
      <c r="A542" s="1">
        <v>47</v>
      </c>
      <c r="B542" t="s">
        <v>19</v>
      </c>
      <c r="C542">
        <v>700</v>
      </c>
      <c r="D542">
        <v>0</v>
      </c>
      <c r="E542" t="s">
        <v>24</v>
      </c>
      <c r="F542" t="s">
        <v>24</v>
      </c>
      <c r="G542" t="str">
        <f>"2025-12-07 13:39:18.251"</f>
        <v>2025-12-07 13:39:18.251</v>
      </c>
      <c r="H542" t="s">
        <v>22</v>
      </c>
      <c r="I542">
        <v>0</v>
      </c>
      <c r="J542" t="s">
        <v>25</v>
      </c>
    </row>
    <row r="543" spans="1:10" x14ac:dyDescent="0.25">
      <c r="A543" s="1">
        <v>48</v>
      </c>
      <c r="B543" t="s">
        <v>19</v>
      </c>
      <c r="C543">
        <v>700</v>
      </c>
      <c r="D543">
        <v>0</v>
      </c>
      <c r="E543" t="s">
        <v>24</v>
      </c>
      <c r="F543" t="s">
        <v>24</v>
      </c>
      <c r="G543" t="str">
        <f>"2025-12-07 13:36:53.239"</f>
        <v>2025-12-07 13:36:53.239</v>
      </c>
      <c r="H543" t="s">
        <v>22</v>
      </c>
    </row>
    <row r="544" spans="1:10" x14ac:dyDescent="0.25">
      <c r="A544" s="1">
        <v>49</v>
      </c>
      <c r="B544" t="s">
        <v>19</v>
      </c>
      <c r="C544">
        <v>700</v>
      </c>
      <c r="D544">
        <v>0</v>
      </c>
      <c r="E544" t="s">
        <v>24</v>
      </c>
      <c r="F544" t="s">
        <v>24</v>
      </c>
      <c r="G544" t="str">
        <f>"2025-12-07 13:31:46.249"</f>
        <v>2025-12-07 13:31:46.249</v>
      </c>
      <c r="H544" t="s">
        <v>22</v>
      </c>
    </row>
    <row r="545" spans="1:10" x14ac:dyDescent="0.25">
      <c r="A545" s="1">
        <v>50</v>
      </c>
      <c r="B545" t="s">
        <v>19</v>
      </c>
      <c r="C545">
        <v>700</v>
      </c>
      <c r="D545">
        <v>0</v>
      </c>
      <c r="E545" t="s">
        <v>24</v>
      </c>
      <c r="F545" t="s">
        <v>24</v>
      </c>
      <c r="G545" t="str">
        <f>"2025-12-07 13:28:15.457"</f>
        <v>2025-12-07 13:28:15.457</v>
      </c>
      <c r="H545" t="s">
        <v>22</v>
      </c>
      <c r="I545">
        <v>0</v>
      </c>
      <c r="J545" t="s">
        <v>25</v>
      </c>
    </row>
    <row r="546" spans="1:10" x14ac:dyDescent="0.25">
      <c r="A546" s="1">
        <v>51</v>
      </c>
      <c r="B546" t="s">
        <v>19</v>
      </c>
      <c r="C546">
        <v>700</v>
      </c>
      <c r="D546">
        <v>0</v>
      </c>
      <c r="E546" t="s">
        <v>24</v>
      </c>
      <c r="F546" t="s">
        <v>24</v>
      </c>
      <c r="G546" t="str">
        <f>"2025-12-07 13:24:38.354"</f>
        <v>2025-12-07 13:24:38.354</v>
      </c>
      <c r="H546" t="s">
        <v>22</v>
      </c>
    </row>
    <row r="547" spans="1:10" x14ac:dyDescent="0.25">
      <c r="A547" s="1">
        <v>52</v>
      </c>
      <c r="B547" t="s">
        <v>19</v>
      </c>
      <c r="C547">
        <v>706</v>
      </c>
      <c r="D547">
        <v>3</v>
      </c>
      <c r="E547" t="s">
        <v>20</v>
      </c>
      <c r="F547" t="s">
        <v>44</v>
      </c>
      <c r="G547" t="str">
        <f>"2025-12-07 13:21:25.800"</f>
        <v>2025-12-07 13:21:25.800</v>
      </c>
      <c r="H547" t="s">
        <v>22</v>
      </c>
      <c r="I547">
        <v>0</v>
      </c>
      <c r="J547" t="s">
        <v>23</v>
      </c>
    </row>
    <row r="548" spans="1:10" x14ac:dyDescent="0.25">
      <c r="A548" s="1">
        <v>53</v>
      </c>
      <c r="B548" t="s">
        <v>26</v>
      </c>
      <c r="C548">
        <v>635</v>
      </c>
      <c r="D548">
        <v>1</v>
      </c>
      <c r="E548" t="s">
        <v>27</v>
      </c>
      <c r="F548" t="s">
        <v>28</v>
      </c>
      <c r="G548" t="str">
        <f>"2025-12-06 09:31:26.197"</f>
        <v>2025-12-06 09:31:26.197</v>
      </c>
      <c r="H548" t="s">
        <v>22</v>
      </c>
    </row>
    <row r="549" spans="1:10" x14ac:dyDescent="0.25">
      <c r="A549" s="1">
        <v>54</v>
      </c>
      <c r="B549" t="s">
        <v>29</v>
      </c>
      <c r="C549">
        <v>635</v>
      </c>
      <c r="D549">
        <v>1</v>
      </c>
      <c r="E549" t="s">
        <v>27</v>
      </c>
      <c r="F549" t="s">
        <v>28</v>
      </c>
      <c r="G549" t="str">
        <f>"2025-12-06 09:25:03.297"</f>
        <v>2025-12-06 09:25:03.297</v>
      </c>
      <c r="H549" t="s">
        <v>22</v>
      </c>
      <c r="I549">
        <v>5.3</v>
      </c>
      <c r="J549" t="s">
        <v>30</v>
      </c>
    </row>
    <row r="550" spans="1:10" x14ac:dyDescent="0.25">
      <c r="A550" s="1">
        <v>55</v>
      </c>
      <c r="B550" t="s">
        <v>26</v>
      </c>
      <c r="C550">
        <v>635</v>
      </c>
      <c r="D550">
        <v>1</v>
      </c>
      <c r="E550" t="s">
        <v>27</v>
      </c>
      <c r="F550" t="s">
        <v>28</v>
      </c>
      <c r="G550" t="str">
        <f>"2025-12-05 14:07:51.397"</f>
        <v>2025-12-05 14:07:51.397</v>
      </c>
      <c r="H550" t="s">
        <v>22</v>
      </c>
    </row>
    <row r="551" spans="1:10" x14ac:dyDescent="0.25">
      <c r="A551" s="1">
        <v>56</v>
      </c>
      <c r="B551" t="s">
        <v>29</v>
      </c>
      <c r="C551">
        <v>635</v>
      </c>
      <c r="D551">
        <v>1</v>
      </c>
      <c r="E551" t="s">
        <v>27</v>
      </c>
      <c r="F551" t="s">
        <v>28</v>
      </c>
      <c r="G551" t="str">
        <f>"2025-12-05 14:01:52.397"</f>
        <v>2025-12-05 14:01:52.397</v>
      </c>
      <c r="H551" t="s">
        <v>22</v>
      </c>
      <c r="I551">
        <v>7.48</v>
      </c>
      <c r="J551" t="s">
        <v>31</v>
      </c>
    </row>
    <row r="552" spans="1:10" x14ac:dyDescent="0.25">
      <c r="A552" s="1">
        <v>57</v>
      </c>
      <c r="B552" t="s">
        <v>19</v>
      </c>
      <c r="C552">
        <v>706</v>
      </c>
      <c r="D552">
        <v>2</v>
      </c>
      <c r="E552" t="s">
        <v>20</v>
      </c>
      <c r="F552" t="s">
        <v>41</v>
      </c>
      <c r="G552" t="str">
        <f>"2025-12-05 08:27:49.880"</f>
        <v>2025-12-05 08:27:49.880</v>
      </c>
      <c r="H552" t="s">
        <v>22</v>
      </c>
      <c r="I552">
        <v>0</v>
      </c>
      <c r="J552" t="s">
        <v>23</v>
      </c>
    </row>
    <row r="553" spans="1:10" x14ac:dyDescent="0.25">
      <c r="A553" s="1">
        <v>58</v>
      </c>
      <c r="B553" t="s">
        <v>26</v>
      </c>
      <c r="C553">
        <v>61</v>
      </c>
      <c r="D553">
        <v>2</v>
      </c>
      <c r="E553" t="s">
        <v>45</v>
      </c>
      <c r="F553" t="s">
        <v>46</v>
      </c>
      <c r="G553" t="str">
        <f>"2025-12-05 07:39:48.189"</f>
        <v>2025-12-05 07:39:48.189</v>
      </c>
      <c r="H553" t="s">
        <v>22</v>
      </c>
    </row>
    <row r="554" spans="1:10" x14ac:dyDescent="0.25">
      <c r="A554" s="1">
        <v>59</v>
      </c>
      <c r="B554" t="s">
        <v>32</v>
      </c>
      <c r="C554">
        <v>61</v>
      </c>
      <c r="D554">
        <v>2</v>
      </c>
      <c r="E554" t="s">
        <v>45</v>
      </c>
      <c r="F554" t="s">
        <v>46</v>
      </c>
      <c r="G554" t="str">
        <f>"2025-12-05 07:39:36.490"</f>
        <v>2025-12-05 07:39:36.490</v>
      </c>
      <c r="H554" t="s">
        <v>22</v>
      </c>
      <c r="I554">
        <v>29.51</v>
      </c>
      <c r="J554" t="s">
        <v>36</v>
      </c>
    </row>
    <row r="555" spans="1:10" x14ac:dyDescent="0.25">
      <c r="A555" s="1">
        <v>60</v>
      </c>
      <c r="B555" t="s">
        <v>19</v>
      </c>
      <c r="C555">
        <v>700</v>
      </c>
      <c r="D555">
        <v>0</v>
      </c>
      <c r="E555" t="s">
        <v>24</v>
      </c>
      <c r="F555" t="s">
        <v>24</v>
      </c>
      <c r="G555" t="str">
        <f>"2025-12-04 03:55:07.230"</f>
        <v>2025-12-04 03:55:07.230</v>
      </c>
      <c r="H555" t="s">
        <v>22</v>
      </c>
    </row>
    <row r="556" spans="1:10" x14ac:dyDescent="0.25">
      <c r="A556" s="1">
        <v>61</v>
      </c>
      <c r="B556" t="s">
        <v>19</v>
      </c>
      <c r="C556">
        <v>706</v>
      </c>
      <c r="D556">
        <v>4</v>
      </c>
      <c r="E556" t="s">
        <v>20</v>
      </c>
      <c r="F556" t="s">
        <v>21</v>
      </c>
      <c r="G556" t="str">
        <f>"2025-12-04 03:38:02.745"</f>
        <v>2025-12-04 03:38:02.745</v>
      </c>
      <c r="H556" t="s">
        <v>22</v>
      </c>
      <c r="I556">
        <v>0</v>
      </c>
      <c r="J556" t="s">
        <v>23</v>
      </c>
    </row>
    <row r="557" spans="1:10" x14ac:dyDescent="0.25">
      <c r="A557" s="1">
        <v>62</v>
      </c>
      <c r="B557" t="s">
        <v>19</v>
      </c>
      <c r="C557">
        <v>700</v>
      </c>
      <c r="D557">
        <v>0</v>
      </c>
      <c r="E557" t="s">
        <v>24</v>
      </c>
      <c r="F557" t="s">
        <v>24</v>
      </c>
      <c r="G557" t="str">
        <f>"2025-12-04 03:36:19.265"</f>
        <v>2025-12-04 03:36:19.265</v>
      </c>
      <c r="H557" t="s">
        <v>22</v>
      </c>
      <c r="I557">
        <v>0</v>
      </c>
      <c r="J557" t="s">
        <v>25</v>
      </c>
    </row>
    <row r="558" spans="1:10" x14ac:dyDescent="0.25">
      <c r="A558" s="1">
        <v>63</v>
      </c>
      <c r="B558" t="s">
        <v>19</v>
      </c>
      <c r="C558">
        <v>700</v>
      </c>
      <c r="D558">
        <v>0</v>
      </c>
      <c r="E558" t="s">
        <v>24</v>
      </c>
      <c r="F558" t="s">
        <v>24</v>
      </c>
      <c r="G558" t="str">
        <f>"2025-12-03 16:07:08.229"</f>
        <v>2025-12-03 16:07:08.229</v>
      </c>
      <c r="H558" t="s">
        <v>22</v>
      </c>
      <c r="I558">
        <v>0</v>
      </c>
      <c r="J558" t="s">
        <v>25</v>
      </c>
    </row>
    <row r="559" spans="1:10" x14ac:dyDescent="0.25">
      <c r="A559" s="1">
        <v>64</v>
      </c>
      <c r="B559" t="s">
        <v>19</v>
      </c>
      <c r="C559">
        <v>706</v>
      </c>
      <c r="D559">
        <v>2</v>
      </c>
      <c r="E559" t="s">
        <v>20</v>
      </c>
      <c r="F559" t="s">
        <v>41</v>
      </c>
      <c r="G559" t="str">
        <f>"2025-12-03 16:04:51.788"</f>
        <v>2025-12-03 16:04:51.788</v>
      </c>
      <c r="H559" t="s">
        <v>22</v>
      </c>
      <c r="I559">
        <v>0</v>
      </c>
      <c r="J559" t="s">
        <v>23</v>
      </c>
    </row>
    <row r="560" spans="1:10" x14ac:dyDescent="0.25">
      <c r="A560" s="1">
        <v>65</v>
      </c>
      <c r="B560" t="s">
        <v>19</v>
      </c>
      <c r="C560">
        <v>706</v>
      </c>
      <c r="D560">
        <v>2</v>
      </c>
      <c r="E560" t="s">
        <v>20</v>
      </c>
      <c r="F560" t="s">
        <v>41</v>
      </c>
      <c r="G560" t="str">
        <f>"2025-12-03 16:04:15.988"</f>
        <v>2025-12-03 16:04:15.988</v>
      </c>
      <c r="H560" t="s">
        <v>22</v>
      </c>
      <c r="I560">
        <v>0</v>
      </c>
      <c r="J560" t="s">
        <v>23</v>
      </c>
    </row>
    <row r="561" spans="1:10" x14ac:dyDescent="0.25">
      <c r="A561" s="1">
        <v>66</v>
      </c>
      <c r="B561" t="s">
        <v>19</v>
      </c>
      <c r="C561">
        <v>706</v>
      </c>
      <c r="D561">
        <v>4</v>
      </c>
      <c r="E561" t="s">
        <v>20</v>
      </c>
      <c r="F561" t="s">
        <v>21</v>
      </c>
      <c r="G561" t="str">
        <f>"2025-12-03 15:56:46.578"</f>
        <v>2025-12-03 15:56:46.578</v>
      </c>
      <c r="H561" t="s">
        <v>22</v>
      </c>
      <c r="I561">
        <v>0</v>
      </c>
      <c r="J561" t="s">
        <v>23</v>
      </c>
    </row>
    <row r="562" spans="1:10" x14ac:dyDescent="0.25">
      <c r="A562" s="1">
        <v>67</v>
      </c>
      <c r="B562" t="s">
        <v>19</v>
      </c>
      <c r="C562">
        <v>706</v>
      </c>
      <c r="D562">
        <v>2</v>
      </c>
      <c r="E562" t="s">
        <v>20</v>
      </c>
      <c r="F562" t="s">
        <v>41</v>
      </c>
      <c r="G562" t="str">
        <f>"2025-12-03 15:54:06.088"</f>
        <v>2025-12-03 15:54:06.088</v>
      </c>
      <c r="H562" t="s">
        <v>22</v>
      </c>
      <c r="I562">
        <v>0</v>
      </c>
      <c r="J562" t="s">
        <v>23</v>
      </c>
    </row>
    <row r="563" spans="1:10" x14ac:dyDescent="0.25">
      <c r="A563" s="1">
        <v>68</v>
      </c>
      <c r="B563" t="s">
        <v>19</v>
      </c>
      <c r="C563">
        <v>706</v>
      </c>
      <c r="D563">
        <v>2</v>
      </c>
      <c r="E563" t="s">
        <v>20</v>
      </c>
      <c r="F563" t="s">
        <v>41</v>
      </c>
      <c r="G563" t="str">
        <f>"2025-12-03 15:47:52.288"</f>
        <v>2025-12-03 15:47:52.288</v>
      </c>
      <c r="H563" t="s">
        <v>22</v>
      </c>
      <c r="I563">
        <v>0</v>
      </c>
      <c r="J563" t="s">
        <v>23</v>
      </c>
    </row>
    <row r="564" spans="1:10" x14ac:dyDescent="0.25">
      <c r="A564" s="1">
        <v>69</v>
      </c>
      <c r="B564" t="s">
        <v>19</v>
      </c>
      <c r="C564">
        <v>706</v>
      </c>
      <c r="D564">
        <v>2</v>
      </c>
      <c r="E564" t="s">
        <v>20</v>
      </c>
      <c r="F564" t="s">
        <v>41</v>
      </c>
      <c r="G564" t="str">
        <f>"2025-12-03 15:47:39.488"</f>
        <v>2025-12-03 15:47:39.488</v>
      </c>
      <c r="H564" t="s">
        <v>22</v>
      </c>
      <c r="I564">
        <v>0</v>
      </c>
      <c r="J564" t="s">
        <v>23</v>
      </c>
    </row>
    <row r="565" spans="1:10" x14ac:dyDescent="0.25">
      <c r="A565" s="1">
        <v>70</v>
      </c>
      <c r="B565" t="s">
        <v>19</v>
      </c>
      <c r="C565">
        <v>719</v>
      </c>
      <c r="D565">
        <v>5</v>
      </c>
      <c r="E565" t="s">
        <v>55</v>
      </c>
      <c r="F565" t="s">
        <v>56</v>
      </c>
      <c r="G565" t="str">
        <f>"2025-12-03 15:35:00.853"</f>
        <v>2025-12-03 15:35:00.853</v>
      </c>
      <c r="H565" t="s">
        <v>22</v>
      </c>
      <c r="I565">
        <v>0</v>
      </c>
      <c r="J565" t="s">
        <v>23</v>
      </c>
    </row>
    <row r="566" spans="1:10" x14ac:dyDescent="0.25">
      <c r="A566" s="1">
        <v>71</v>
      </c>
      <c r="B566" t="s">
        <v>19</v>
      </c>
      <c r="C566">
        <v>700</v>
      </c>
      <c r="D566">
        <v>0</v>
      </c>
      <c r="E566" t="s">
        <v>24</v>
      </c>
      <c r="F566" t="s">
        <v>24</v>
      </c>
      <c r="G566" t="str">
        <f>"2025-12-03 12:30:41.369"</f>
        <v>2025-12-03 12:30:41.369</v>
      </c>
      <c r="H566" t="s">
        <v>22</v>
      </c>
      <c r="I566">
        <v>0</v>
      </c>
      <c r="J566" t="s">
        <v>25</v>
      </c>
    </row>
    <row r="567" spans="1:10" x14ac:dyDescent="0.25">
      <c r="A567" s="1">
        <v>72</v>
      </c>
      <c r="B567" t="s">
        <v>19</v>
      </c>
      <c r="C567">
        <v>700</v>
      </c>
      <c r="D567">
        <v>0</v>
      </c>
      <c r="E567" t="s">
        <v>24</v>
      </c>
      <c r="F567" t="s">
        <v>24</v>
      </c>
      <c r="G567" t="str">
        <f>"2025-12-03 11:18:51.445"</f>
        <v>2025-12-03 11:18:51.445</v>
      </c>
      <c r="H567" t="s">
        <v>22</v>
      </c>
      <c r="I567">
        <v>0</v>
      </c>
      <c r="J567" t="s">
        <v>25</v>
      </c>
    </row>
    <row r="568" spans="1:10" x14ac:dyDescent="0.25">
      <c r="A568" s="1">
        <v>73</v>
      </c>
      <c r="B568" t="s">
        <v>19</v>
      </c>
      <c r="C568">
        <v>706</v>
      </c>
      <c r="D568">
        <v>4</v>
      </c>
      <c r="E568" t="s">
        <v>20</v>
      </c>
      <c r="F568" t="s">
        <v>21</v>
      </c>
      <c r="G568" t="str">
        <f>"2025-12-03 11:13:49.741"</f>
        <v>2025-12-03 11:13:49.741</v>
      </c>
      <c r="H568" t="s">
        <v>22</v>
      </c>
      <c r="I568">
        <v>0</v>
      </c>
      <c r="J568" t="s">
        <v>23</v>
      </c>
    </row>
    <row r="569" spans="1:10" x14ac:dyDescent="0.25">
      <c r="A569" s="1">
        <v>74</v>
      </c>
      <c r="B569" t="s">
        <v>19</v>
      </c>
      <c r="C569">
        <v>706</v>
      </c>
      <c r="D569">
        <v>4</v>
      </c>
      <c r="E569" t="s">
        <v>20</v>
      </c>
      <c r="F569" t="s">
        <v>21</v>
      </c>
      <c r="G569" t="str">
        <f>"2025-12-03 08:19:54.611"</f>
        <v>2025-12-03 08:19:54.611</v>
      </c>
      <c r="H569" t="s">
        <v>22</v>
      </c>
      <c r="I569">
        <v>0</v>
      </c>
      <c r="J569" t="s">
        <v>23</v>
      </c>
    </row>
    <row r="570" spans="1:10" x14ac:dyDescent="0.25">
      <c r="A570" s="1">
        <v>75</v>
      </c>
      <c r="B570" t="s">
        <v>19</v>
      </c>
      <c r="C570">
        <v>700</v>
      </c>
      <c r="D570">
        <v>0</v>
      </c>
      <c r="E570" t="s">
        <v>24</v>
      </c>
      <c r="F570" t="s">
        <v>24</v>
      </c>
      <c r="G570" t="str">
        <f>"2025-12-03 08:10:06.241"</f>
        <v>2025-12-03 08:10:06.241</v>
      </c>
      <c r="H570" t="s">
        <v>22</v>
      </c>
      <c r="I570">
        <v>0</v>
      </c>
      <c r="J570" t="s">
        <v>25</v>
      </c>
    </row>
    <row r="571" spans="1:10" x14ac:dyDescent="0.25">
      <c r="A571" s="1">
        <v>76</v>
      </c>
      <c r="B571" t="s">
        <v>19</v>
      </c>
      <c r="C571">
        <v>700</v>
      </c>
      <c r="D571">
        <v>0</v>
      </c>
      <c r="E571" t="s">
        <v>24</v>
      </c>
      <c r="F571" t="s">
        <v>24</v>
      </c>
      <c r="G571" t="str">
        <f>"2025-12-03 02:03:50.502"</f>
        <v>2025-12-03 02:03:50.502</v>
      </c>
      <c r="H571" t="s">
        <v>22</v>
      </c>
      <c r="I571">
        <v>0</v>
      </c>
      <c r="J571" t="s">
        <v>25</v>
      </c>
    </row>
    <row r="572" spans="1:10" x14ac:dyDescent="0.25">
      <c r="A572" s="1">
        <v>77</v>
      </c>
      <c r="B572" t="s">
        <v>19</v>
      </c>
      <c r="C572">
        <v>706</v>
      </c>
      <c r="D572">
        <v>2</v>
      </c>
      <c r="E572" t="s">
        <v>20</v>
      </c>
      <c r="F572" t="s">
        <v>41</v>
      </c>
      <c r="G572" t="str">
        <f>"2025-12-01 10:19:31.687"</f>
        <v>2025-12-01 10:19:31.687</v>
      </c>
      <c r="H572" t="s">
        <v>22</v>
      </c>
      <c r="I572">
        <v>0</v>
      </c>
      <c r="J572" t="s">
        <v>23</v>
      </c>
    </row>
    <row r="573" spans="1:10" x14ac:dyDescent="0.25">
      <c r="A573" s="1">
        <v>78</v>
      </c>
      <c r="B573" t="s">
        <v>19</v>
      </c>
      <c r="C573">
        <v>700</v>
      </c>
      <c r="D573">
        <v>0</v>
      </c>
      <c r="E573" t="s">
        <v>24</v>
      </c>
      <c r="F573" t="s">
        <v>24</v>
      </c>
      <c r="G573" t="str">
        <f>"2025-11-30 19:15:18.227"</f>
        <v>2025-11-30 19:15:18.227</v>
      </c>
      <c r="H573" t="s">
        <v>22</v>
      </c>
    </row>
    <row r="574" spans="1:10" x14ac:dyDescent="0.25">
      <c r="A574" s="1">
        <v>80</v>
      </c>
      <c r="B574" t="s">
        <v>19</v>
      </c>
      <c r="C574">
        <v>700</v>
      </c>
      <c r="D574">
        <v>0</v>
      </c>
      <c r="E574" t="s">
        <v>24</v>
      </c>
      <c r="F574" t="s">
        <v>24</v>
      </c>
      <c r="G574" t="str">
        <f>"2025-11-30 18:10:41.334"</f>
        <v>2025-11-30 18:10:41.334</v>
      </c>
      <c r="H574" t="s">
        <v>22</v>
      </c>
    </row>
    <row r="575" spans="1:10" x14ac:dyDescent="0.25">
      <c r="A575" s="1">
        <v>81</v>
      </c>
      <c r="B575" t="s">
        <v>19</v>
      </c>
      <c r="C575">
        <v>706</v>
      </c>
      <c r="D575">
        <v>2</v>
      </c>
      <c r="E575" t="s">
        <v>20</v>
      </c>
      <c r="F575" t="s">
        <v>41</v>
      </c>
      <c r="G575" t="str">
        <f>"2025-11-30 18:07:36.866"</f>
        <v>2025-11-30 18:07:36.866</v>
      </c>
      <c r="H575" t="s">
        <v>22</v>
      </c>
      <c r="I575">
        <v>0</v>
      </c>
      <c r="J575" t="s">
        <v>23</v>
      </c>
    </row>
    <row r="576" spans="1:10" x14ac:dyDescent="0.25">
      <c r="A576" s="1">
        <v>83</v>
      </c>
      <c r="B576" t="s">
        <v>26</v>
      </c>
      <c r="C576">
        <v>61</v>
      </c>
      <c r="D576">
        <v>2</v>
      </c>
      <c r="E576" t="s">
        <v>45</v>
      </c>
      <c r="F576" t="s">
        <v>46</v>
      </c>
      <c r="G576" t="str">
        <f>"2025-11-30 11:20:37.100"</f>
        <v>2025-11-30 11:20:37.100</v>
      </c>
      <c r="H576" t="s">
        <v>22</v>
      </c>
    </row>
    <row r="577" spans="1:10" x14ac:dyDescent="0.25">
      <c r="A577" s="1">
        <v>84</v>
      </c>
      <c r="B577" t="s">
        <v>32</v>
      </c>
      <c r="C577">
        <v>61</v>
      </c>
      <c r="D577">
        <v>2</v>
      </c>
      <c r="E577" t="s">
        <v>45</v>
      </c>
      <c r="F577" t="s">
        <v>46</v>
      </c>
      <c r="G577" t="str">
        <f>"2025-11-30 11:20:20.800"</f>
        <v>2025-11-30 11:20:20.800</v>
      </c>
      <c r="H577" t="s">
        <v>22</v>
      </c>
      <c r="I577">
        <v>30.04</v>
      </c>
      <c r="J577" t="s">
        <v>36</v>
      </c>
    </row>
    <row r="578" spans="1:10" x14ac:dyDescent="0.25">
      <c r="A578" s="1">
        <v>85</v>
      </c>
      <c r="B578" t="s">
        <v>26</v>
      </c>
      <c r="C578">
        <v>61</v>
      </c>
      <c r="D578">
        <v>2</v>
      </c>
      <c r="E578" t="s">
        <v>45</v>
      </c>
      <c r="F578" t="s">
        <v>46</v>
      </c>
      <c r="G578" t="str">
        <f>"2025-11-30 08:49:43.400"</f>
        <v>2025-11-30 08:49:43.400</v>
      </c>
      <c r="H578" t="s">
        <v>22</v>
      </c>
    </row>
    <row r="579" spans="1:10" x14ac:dyDescent="0.25">
      <c r="A579" s="1">
        <v>86</v>
      </c>
      <c r="B579" t="s">
        <v>32</v>
      </c>
      <c r="C579">
        <v>61</v>
      </c>
      <c r="D579">
        <v>2</v>
      </c>
      <c r="E579" t="s">
        <v>45</v>
      </c>
      <c r="F579" t="s">
        <v>46</v>
      </c>
      <c r="G579" t="str">
        <f>"2025-11-30 08:49:29.700"</f>
        <v>2025-11-30 08:49:29.700</v>
      </c>
      <c r="H579" t="s">
        <v>22</v>
      </c>
      <c r="I579">
        <v>30.5</v>
      </c>
      <c r="J579" t="s">
        <v>36</v>
      </c>
    </row>
    <row r="580" spans="1:10" x14ac:dyDescent="0.25">
      <c r="A580" s="1">
        <v>87</v>
      </c>
      <c r="B580" t="s">
        <v>26</v>
      </c>
      <c r="C580">
        <v>98</v>
      </c>
      <c r="D580">
        <v>1</v>
      </c>
      <c r="E580" t="s">
        <v>42</v>
      </c>
      <c r="F580" t="s">
        <v>43</v>
      </c>
      <c r="G580" t="str">
        <f>"2025-11-28 17:05:08.699"</f>
        <v>2025-11-28 17:05:08.699</v>
      </c>
      <c r="H580" t="s">
        <v>22</v>
      </c>
    </row>
    <row r="581" spans="1:10" x14ac:dyDescent="0.25">
      <c r="A581" s="1">
        <v>88</v>
      </c>
      <c r="B581" t="s">
        <v>29</v>
      </c>
      <c r="C581">
        <v>98</v>
      </c>
      <c r="D581">
        <v>1</v>
      </c>
      <c r="E581" t="s">
        <v>42</v>
      </c>
      <c r="F581" t="s">
        <v>43</v>
      </c>
      <c r="G581" t="str">
        <f>"2025-11-28 17:05:07.700"</f>
        <v>2025-11-28 17:05:07.700</v>
      </c>
      <c r="H581" t="s">
        <v>22</v>
      </c>
      <c r="I581">
        <v>0</v>
      </c>
      <c r="J581" t="s">
        <v>31</v>
      </c>
    </row>
    <row r="582" spans="1:10" x14ac:dyDescent="0.25">
      <c r="A582" s="1">
        <v>89</v>
      </c>
      <c r="B582" t="s">
        <v>26</v>
      </c>
      <c r="C582">
        <v>635</v>
      </c>
      <c r="D582">
        <v>1</v>
      </c>
      <c r="E582" t="s">
        <v>27</v>
      </c>
      <c r="F582" t="s">
        <v>28</v>
      </c>
      <c r="G582" t="str">
        <f>"2025-11-28 14:24:48.287"</f>
        <v>2025-11-28 14:24:48.287</v>
      </c>
      <c r="H582" t="s">
        <v>22</v>
      </c>
    </row>
    <row r="583" spans="1:10" x14ac:dyDescent="0.25">
      <c r="A583" s="1">
        <v>90</v>
      </c>
      <c r="B583" t="s">
        <v>29</v>
      </c>
      <c r="C583">
        <v>635</v>
      </c>
      <c r="D583">
        <v>1</v>
      </c>
      <c r="E583" t="s">
        <v>27</v>
      </c>
      <c r="F583" t="s">
        <v>28</v>
      </c>
      <c r="G583" t="str">
        <f>"2025-11-28 14:21:37.888"</f>
        <v>2025-11-28 14:21:37.888</v>
      </c>
      <c r="H583" t="s">
        <v>22</v>
      </c>
      <c r="I583">
        <v>6.59</v>
      </c>
      <c r="J583" t="s">
        <v>31</v>
      </c>
    </row>
    <row r="584" spans="1:10" x14ac:dyDescent="0.25">
      <c r="A584" s="1">
        <v>91</v>
      </c>
      <c r="B584" t="s">
        <v>19</v>
      </c>
      <c r="C584">
        <v>706</v>
      </c>
      <c r="D584">
        <v>2</v>
      </c>
      <c r="E584" t="s">
        <v>20</v>
      </c>
      <c r="F584" t="s">
        <v>41</v>
      </c>
      <c r="G584" t="str">
        <f>"2025-11-26 21:33:39.156"</f>
        <v>2025-11-26 21:33:39.156</v>
      </c>
      <c r="H584" t="s">
        <v>22</v>
      </c>
      <c r="I584">
        <v>0</v>
      </c>
      <c r="J584" t="s">
        <v>23</v>
      </c>
    </row>
    <row r="585" spans="1:10" x14ac:dyDescent="0.25">
      <c r="A585" s="1">
        <v>92</v>
      </c>
      <c r="B585" t="s">
        <v>19</v>
      </c>
      <c r="C585">
        <v>700</v>
      </c>
      <c r="D585">
        <v>0</v>
      </c>
      <c r="E585" t="s">
        <v>24</v>
      </c>
      <c r="F585" t="s">
        <v>24</v>
      </c>
      <c r="G585" t="str">
        <f>"2025-11-26 21:32:01.196"</f>
        <v>2025-11-26 21:32:01.196</v>
      </c>
      <c r="H585" t="s">
        <v>22</v>
      </c>
      <c r="I585">
        <v>0</v>
      </c>
      <c r="J585" t="s">
        <v>25</v>
      </c>
    </row>
    <row r="586" spans="1:10" x14ac:dyDescent="0.25">
      <c r="A586" s="1">
        <v>93</v>
      </c>
      <c r="B586" t="s">
        <v>26</v>
      </c>
      <c r="C586">
        <v>98</v>
      </c>
      <c r="D586">
        <v>1</v>
      </c>
      <c r="E586" t="s">
        <v>42</v>
      </c>
      <c r="F586" t="s">
        <v>43</v>
      </c>
      <c r="G586" t="str">
        <f>"2025-11-26 21:09:18.415"</f>
        <v>2025-11-26 21:09:18.415</v>
      </c>
      <c r="H586" t="s">
        <v>22</v>
      </c>
    </row>
    <row r="587" spans="1:10" x14ac:dyDescent="0.25">
      <c r="A587" s="1">
        <v>94</v>
      </c>
      <c r="B587" t="s">
        <v>29</v>
      </c>
      <c r="C587">
        <v>98</v>
      </c>
      <c r="D587">
        <v>1</v>
      </c>
      <c r="E587" t="s">
        <v>42</v>
      </c>
      <c r="F587" t="s">
        <v>43</v>
      </c>
      <c r="G587" t="str">
        <f>"2025-11-26 21:09:17.415"</f>
        <v>2025-11-26 21:09:17.415</v>
      </c>
      <c r="H587" t="s">
        <v>22</v>
      </c>
      <c r="I587">
        <v>0</v>
      </c>
      <c r="J587" t="s">
        <v>31</v>
      </c>
    </row>
    <row r="588" spans="1:10" x14ac:dyDescent="0.25">
      <c r="A588" s="1">
        <v>95</v>
      </c>
      <c r="B588" t="s">
        <v>19</v>
      </c>
      <c r="C588">
        <v>700</v>
      </c>
      <c r="D588">
        <v>0</v>
      </c>
      <c r="E588" t="s">
        <v>24</v>
      </c>
      <c r="F588" t="s">
        <v>24</v>
      </c>
      <c r="G588" t="str">
        <f>"2025-11-26 15:21:56.184"</f>
        <v>2025-11-26 15:21:56.184</v>
      </c>
      <c r="H588" t="s">
        <v>22</v>
      </c>
      <c r="I588">
        <v>0</v>
      </c>
      <c r="J588" t="s">
        <v>25</v>
      </c>
    </row>
    <row r="589" spans="1:10" x14ac:dyDescent="0.25">
      <c r="A589" s="1">
        <v>96</v>
      </c>
      <c r="B589" t="s">
        <v>19</v>
      </c>
      <c r="C589">
        <v>700</v>
      </c>
      <c r="D589">
        <v>0</v>
      </c>
      <c r="E589" t="s">
        <v>24</v>
      </c>
      <c r="F589" t="s">
        <v>24</v>
      </c>
      <c r="G589" t="str">
        <f>"2025-11-26 14:38:25.187"</f>
        <v>2025-11-26 14:38:25.187</v>
      </c>
      <c r="H589" t="s">
        <v>22</v>
      </c>
      <c r="I589">
        <v>0</v>
      </c>
      <c r="J589" t="s">
        <v>25</v>
      </c>
    </row>
    <row r="590" spans="1:10" x14ac:dyDescent="0.25">
      <c r="A590" s="1">
        <v>97</v>
      </c>
      <c r="B590" t="s">
        <v>19</v>
      </c>
      <c r="C590">
        <v>700</v>
      </c>
      <c r="D590">
        <v>0</v>
      </c>
      <c r="E590" t="s">
        <v>24</v>
      </c>
      <c r="F590" t="s">
        <v>24</v>
      </c>
      <c r="G590" t="str">
        <f>"2025-11-26 14:04:51.180"</f>
        <v>2025-11-26 14:04:51.180</v>
      </c>
      <c r="H590" t="s">
        <v>22</v>
      </c>
      <c r="I590">
        <v>0</v>
      </c>
      <c r="J590" t="s">
        <v>25</v>
      </c>
    </row>
    <row r="591" spans="1:10" x14ac:dyDescent="0.25">
      <c r="A591" s="1">
        <v>98</v>
      </c>
      <c r="B591" t="s">
        <v>19</v>
      </c>
      <c r="C591">
        <v>700</v>
      </c>
      <c r="D591">
        <v>0</v>
      </c>
      <c r="E591" t="s">
        <v>24</v>
      </c>
      <c r="F591" t="s">
        <v>24</v>
      </c>
      <c r="G591" t="str">
        <f>"2025-11-26 14:03:30.195"</f>
        <v>2025-11-26 14:03:30.195</v>
      </c>
      <c r="H591" t="s">
        <v>22</v>
      </c>
      <c r="I591">
        <v>0</v>
      </c>
      <c r="J591" t="s">
        <v>25</v>
      </c>
    </row>
    <row r="592" spans="1:10" x14ac:dyDescent="0.25">
      <c r="A592" s="1">
        <v>99</v>
      </c>
      <c r="B592" t="s">
        <v>19</v>
      </c>
      <c r="C592">
        <v>700</v>
      </c>
      <c r="D592">
        <v>0</v>
      </c>
      <c r="E592" t="s">
        <v>24</v>
      </c>
      <c r="F592" t="s">
        <v>24</v>
      </c>
      <c r="G592" t="str">
        <f>"2025-11-26 00:38:19.226"</f>
        <v>2025-11-26 00:38:19.226</v>
      </c>
      <c r="H592" t="s">
        <v>22</v>
      </c>
      <c r="I592">
        <v>0</v>
      </c>
      <c r="J592" t="s">
        <v>25</v>
      </c>
    </row>
    <row r="593" spans="1:10" x14ac:dyDescent="0.25">
      <c r="A593" s="1">
        <v>0</v>
      </c>
      <c r="B593" t="s">
        <v>26</v>
      </c>
      <c r="C593">
        <v>98</v>
      </c>
      <c r="D593">
        <v>1</v>
      </c>
      <c r="E593" t="s">
        <v>42</v>
      </c>
      <c r="F593" t="s">
        <v>43</v>
      </c>
      <c r="G593" t="str">
        <f>"2025-11-25 13:42:35.794"</f>
        <v>2025-11-25 13:42:35.794</v>
      </c>
      <c r="H593" t="s">
        <v>22</v>
      </c>
    </row>
    <row r="594" spans="1:10" x14ac:dyDescent="0.25">
      <c r="A594" s="1">
        <v>1</v>
      </c>
      <c r="B594" t="s">
        <v>29</v>
      </c>
      <c r="C594">
        <v>98</v>
      </c>
      <c r="D594">
        <v>1</v>
      </c>
      <c r="E594" t="s">
        <v>42</v>
      </c>
      <c r="F594" t="s">
        <v>43</v>
      </c>
      <c r="G594" t="str">
        <f>"2025-11-25 13:42:34.795"</f>
        <v>2025-11-25 13:42:34.795</v>
      </c>
      <c r="H594" t="s">
        <v>22</v>
      </c>
      <c r="I594">
        <v>0</v>
      </c>
      <c r="J594" t="s">
        <v>31</v>
      </c>
    </row>
    <row r="595" spans="1:10" x14ac:dyDescent="0.25">
      <c r="A595" s="1">
        <v>2</v>
      </c>
      <c r="B595" t="s">
        <v>19</v>
      </c>
      <c r="C595">
        <v>700</v>
      </c>
      <c r="D595">
        <v>0</v>
      </c>
      <c r="E595" t="s">
        <v>24</v>
      </c>
      <c r="F595" t="s">
        <v>24</v>
      </c>
      <c r="G595" t="str">
        <f>"2025-11-24 11:43:04.174"</f>
        <v>2025-11-24 11:43:04.174</v>
      </c>
      <c r="H595" t="s">
        <v>22</v>
      </c>
      <c r="I595">
        <v>0</v>
      </c>
      <c r="J595" t="s">
        <v>25</v>
      </c>
    </row>
    <row r="596" spans="1:10" x14ac:dyDescent="0.25">
      <c r="A596" s="1">
        <v>3</v>
      </c>
      <c r="B596" t="s">
        <v>19</v>
      </c>
      <c r="C596">
        <v>700</v>
      </c>
      <c r="D596">
        <v>0</v>
      </c>
      <c r="E596" t="s">
        <v>24</v>
      </c>
      <c r="F596" t="s">
        <v>24</v>
      </c>
      <c r="G596" t="str">
        <f>"2025-11-24 11:08:20.289"</f>
        <v>2025-11-24 11:08:20.289</v>
      </c>
      <c r="H596" t="s">
        <v>22</v>
      </c>
    </row>
    <row r="597" spans="1:10" x14ac:dyDescent="0.25">
      <c r="A597" s="1">
        <v>4</v>
      </c>
      <c r="B597" t="s">
        <v>19</v>
      </c>
      <c r="C597">
        <v>706</v>
      </c>
      <c r="D597">
        <v>4</v>
      </c>
      <c r="E597" t="s">
        <v>20</v>
      </c>
      <c r="F597" t="s">
        <v>21</v>
      </c>
      <c r="G597" t="str">
        <f>"2025-11-24 10:52:54.213"</f>
        <v>2025-11-24 10:52:54.213</v>
      </c>
      <c r="H597" t="s">
        <v>22</v>
      </c>
      <c r="I597">
        <v>0</v>
      </c>
      <c r="J597" t="s">
        <v>23</v>
      </c>
    </row>
    <row r="598" spans="1:10" x14ac:dyDescent="0.25">
      <c r="A598" s="1">
        <v>5</v>
      </c>
      <c r="B598" t="s">
        <v>19</v>
      </c>
      <c r="C598">
        <v>700</v>
      </c>
      <c r="D598">
        <v>0</v>
      </c>
      <c r="E598" t="s">
        <v>24</v>
      </c>
      <c r="F598" t="s">
        <v>24</v>
      </c>
      <c r="G598" t="str">
        <f>"2025-11-24 09:23:57.163"</f>
        <v>2025-11-24 09:23:57.163</v>
      </c>
      <c r="H598" t="s">
        <v>22</v>
      </c>
      <c r="I598">
        <v>0</v>
      </c>
      <c r="J598" t="s">
        <v>25</v>
      </c>
    </row>
    <row r="599" spans="1:10" x14ac:dyDescent="0.25">
      <c r="A599" s="1">
        <v>6</v>
      </c>
      <c r="B599" t="s">
        <v>19</v>
      </c>
      <c r="C599">
        <v>700</v>
      </c>
      <c r="D599">
        <v>0</v>
      </c>
      <c r="E599" t="s">
        <v>24</v>
      </c>
      <c r="F599" t="s">
        <v>24</v>
      </c>
      <c r="G599" t="str">
        <f>"2025-11-24 05:33:45.159"</f>
        <v>2025-11-24 05:33:45.159</v>
      </c>
      <c r="H599" t="s">
        <v>22</v>
      </c>
    </row>
    <row r="600" spans="1:10" x14ac:dyDescent="0.25">
      <c r="A600" s="1">
        <v>7</v>
      </c>
      <c r="B600" t="s">
        <v>19</v>
      </c>
      <c r="C600">
        <v>700</v>
      </c>
      <c r="D600">
        <v>0</v>
      </c>
      <c r="E600" t="s">
        <v>24</v>
      </c>
      <c r="F600" t="s">
        <v>24</v>
      </c>
      <c r="G600" t="str">
        <f>"2025-11-23 06:17:48.183"</f>
        <v>2025-11-23 06:17:48.183</v>
      </c>
      <c r="H600" t="s">
        <v>22</v>
      </c>
      <c r="I600">
        <v>0</v>
      </c>
      <c r="J600" t="s">
        <v>25</v>
      </c>
    </row>
    <row r="601" spans="1:10" x14ac:dyDescent="0.25">
      <c r="A601" s="1">
        <v>8</v>
      </c>
      <c r="B601" t="s">
        <v>19</v>
      </c>
      <c r="C601">
        <v>706</v>
      </c>
      <c r="D601">
        <v>4</v>
      </c>
      <c r="E601" t="s">
        <v>20</v>
      </c>
      <c r="F601" t="s">
        <v>21</v>
      </c>
      <c r="G601" t="str">
        <f>"2025-11-22 14:28:30.381"</f>
        <v>2025-11-22 14:28:30.381</v>
      </c>
      <c r="H601" t="s">
        <v>22</v>
      </c>
      <c r="I601">
        <v>0</v>
      </c>
      <c r="J601" t="s">
        <v>23</v>
      </c>
    </row>
    <row r="602" spans="1:10" x14ac:dyDescent="0.25">
      <c r="A602" s="1">
        <v>9</v>
      </c>
      <c r="B602" t="s">
        <v>19</v>
      </c>
      <c r="C602">
        <v>700</v>
      </c>
      <c r="D602">
        <v>0</v>
      </c>
      <c r="E602" t="s">
        <v>24</v>
      </c>
      <c r="F602" t="s">
        <v>24</v>
      </c>
      <c r="G602" t="str">
        <f>"2025-11-22 12:47:12.121"</f>
        <v>2025-11-22 12:47:12.121</v>
      </c>
      <c r="H602" t="s">
        <v>22</v>
      </c>
    </row>
    <row r="603" spans="1:10" x14ac:dyDescent="0.25">
      <c r="A603" s="1">
        <v>10</v>
      </c>
      <c r="B603" t="s">
        <v>19</v>
      </c>
      <c r="C603">
        <v>700</v>
      </c>
      <c r="D603">
        <v>0</v>
      </c>
      <c r="E603" t="s">
        <v>24</v>
      </c>
      <c r="F603" t="s">
        <v>24</v>
      </c>
      <c r="G603" t="str">
        <f>"2025-11-22 11:31:20.122"</f>
        <v>2025-11-22 11:31:20.122</v>
      </c>
      <c r="H603" t="s">
        <v>22</v>
      </c>
      <c r="I603">
        <v>0</v>
      </c>
      <c r="J603" t="s">
        <v>25</v>
      </c>
    </row>
    <row r="604" spans="1:10" x14ac:dyDescent="0.25">
      <c r="A604" s="1">
        <v>11</v>
      </c>
      <c r="B604" t="s">
        <v>19</v>
      </c>
      <c r="C604">
        <v>700</v>
      </c>
      <c r="D604">
        <v>0</v>
      </c>
      <c r="E604" t="s">
        <v>24</v>
      </c>
      <c r="F604" t="s">
        <v>24</v>
      </c>
      <c r="G604" t="str">
        <f>"2025-11-22 09:01:37.092"</f>
        <v>2025-11-22 09:01:37.092</v>
      </c>
      <c r="H604" t="s">
        <v>22</v>
      </c>
      <c r="I604">
        <v>0</v>
      </c>
      <c r="J604" t="s">
        <v>25</v>
      </c>
    </row>
    <row r="605" spans="1:10" x14ac:dyDescent="0.25">
      <c r="A605" s="1">
        <v>12</v>
      </c>
      <c r="B605" t="s">
        <v>19</v>
      </c>
      <c r="C605">
        <v>706</v>
      </c>
      <c r="D605">
        <v>4</v>
      </c>
      <c r="E605" t="s">
        <v>20</v>
      </c>
      <c r="F605" t="s">
        <v>21</v>
      </c>
      <c r="G605" t="str">
        <f>"2025-11-22 06:25:20.209"</f>
        <v>2025-11-22 06:25:20.209</v>
      </c>
      <c r="H605" t="s">
        <v>22</v>
      </c>
      <c r="I605">
        <v>0</v>
      </c>
      <c r="J605" t="s">
        <v>23</v>
      </c>
    </row>
    <row r="606" spans="1:10" x14ac:dyDescent="0.25">
      <c r="A606" s="1">
        <v>13</v>
      </c>
      <c r="B606" t="s">
        <v>19</v>
      </c>
      <c r="C606">
        <v>700</v>
      </c>
      <c r="D606">
        <v>0</v>
      </c>
      <c r="E606" t="s">
        <v>24</v>
      </c>
      <c r="F606" t="s">
        <v>24</v>
      </c>
      <c r="G606" t="str">
        <f>"2025-11-22 06:00:59.069"</f>
        <v>2025-11-22 06:00:59.069</v>
      </c>
      <c r="H606" t="s">
        <v>22</v>
      </c>
    </row>
    <row r="607" spans="1:10" x14ac:dyDescent="0.25">
      <c r="A607" s="1">
        <v>14</v>
      </c>
      <c r="B607" t="s">
        <v>19</v>
      </c>
      <c r="C607">
        <v>706</v>
      </c>
      <c r="D607">
        <v>4</v>
      </c>
      <c r="E607" t="s">
        <v>20</v>
      </c>
      <c r="F607" t="s">
        <v>21</v>
      </c>
      <c r="G607" t="str">
        <f>"2025-11-21 12:25:49.449"</f>
        <v>2025-11-21 12:25:49.449</v>
      </c>
      <c r="H607" t="s">
        <v>22</v>
      </c>
      <c r="I607">
        <v>0</v>
      </c>
      <c r="J607" t="s">
        <v>23</v>
      </c>
    </row>
    <row r="608" spans="1:10" x14ac:dyDescent="0.25">
      <c r="A608" s="1">
        <v>15</v>
      </c>
      <c r="B608" t="s">
        <v>19</v>
      </c>
      <c r="C608">
        <v>700</v>
      </c>
      <c r="D608">
        <v>0</v>
      </c>
      <c r="E608" t="s">
        <v>24</v>
      </c>
      <c r="F608" t="s">
        <v>24</v>
      </c>
      <c r="G608" t="str">
        <f>"2025-11-21 12:24:39.069"</f>
        <v>2025-11-21 12:24:39.069</v>
      </c>
      <c r="H608" t="s">
        <v>22</v>
      </c>
      <c r="I608">
        <v>0</v>
      </c>
      <c r="J608" t="s">
        <v>25</v>
      </c>
    </row>
    <row r="609" spans="1:10" x14ac:dyDescent="0.25">
      <c r="A609" s="1">
        <v>16</v>
      </c>
      <c r="B609" t="s">
        <v>19</v>
      </c>
      <c r="C609">
        <v>700</v>
      </c>
      <c r="D609">
        <v>0</v>
      </c>
      <c r="E609" t="s">
        <v>24</v>
      </c>
      <c r="F609" t="s">
        <v>24</v>
      </c>
      <c r="G609" t="str">
        <f>"2025-11-21 12:22:37.060"</f>
        <v>2025-11-21 12:22:37.060</v>
      </c>
      <c r="H609" t="s">
        <v>22</v>
      </c>
    </row>
    <row r="610" spans="1:10" x14ac:dyDescent="0.25">
      <c r="A610" s="1">
        <v>17</v>
      </c>
      <c r="B610" t="s">
        <v>19</v>
      </c>
      <c r="C610">
        <v>700</v>
      </c>
      <c r="D610">
        <v>0</v>
      </c>
      <c r="E610" t="s">
        <v>24</v>
      </c>
      <c r="F610" t="s">
        <v>24</v>
      </c>
      <c r="G610" t="str">
        <f>"2025-11-21 12:04:58.074"</f>
        <v>2025-11-21 12:04:58.074</v>
      </c>
      <c r="H610" t="s">
        <v>22</v>
      </c>
      <c r="I610">
        <v>0</v>
      </c>
      <c r="J610" t="s">
        <v>25</v>
      </c>
    </row>
    <row r="611" spans="1:10" x14ac:dyDescent="0.25">
      <c r="A611" s="1">
        <v>18</v>
      </c>
      <c r="B611" t="s">
        <v>19</v>
      </c>
      <c r="C611">
        <v>700</v>
      </c>
      <c r="D611">
        <v>0</v>
      </c>
      <c r="E611" t="s">
        <v>24</v>
      </c>
      <c r="F611" t="s">
        <v>24</v>
      </c>
      <c r="G611" t="str">
        <f>"2025-11-21 11:49:50.083"</f>
        <v>2025-11-21 11:49:50.083</v>
      </c>
      <c r="H611" t="s">
        <v>22</v>
      </c>
      <c r="I611">
        <v>0</v>
      </c>
      <c r="J611" t="s">
        <v>25</v>
      </c>
    </row>
    <row r="612" spans="1:10" x14ac:dyDescent="0.25">
      <c r="A612" s="1">
        <v>19</v>
      </c>
      <c r="B612" t="s">
        <v>19</v>
      </c>
      <c r="C612">
        <v>700</v>
      </c>
      <c r="D612">
        <v>0</v>
      </c>
      <c r="E612" t="s">
        <v>24</v>
      </c>
      <c r="F612" t="s">
        <v>24</v>
      </c>
      <c r="G612" t="str">
        <f>"2025-11-19 14:49:50.057"</f>
        <v>2025-11-19 14:49:50.057</v>
      </c>
      <c r="H612" t="s">
        <v>22</v>
      </c>
    </row>
    <row r="613" spans="1:10" x14ac:dyDescent="0.25">
      <c r="A613" s="1">
        <v>20</v>
      </c>
      <c r="B613" t="s">
        <v>19</v>
      </c>
      <c r="C613">
        <v>706</v>
      </c>
      <c r="D613">
        <v>4</v>
      </c>
      <c r="E613" t="s">
        <v>20</v>
      </c>
      <c r="F613" t="s">
        <v>21</v>
      </c>
      <c r="G613" t="str">
        <f>"2025-11-19 14:22:23.450"</f>
        <v>2025-11-19 14:22:23.450</v>
      </c>
      <c r="H613" t="s">
        <v>22</v>
      </c>
      <c r="I613">
        <v>0</v>
      </c>
      <c r="J613" t="s">
        <v>23</v>
      </c>
    </row>
    <row r="614" spans="1:10" x14ac:dyDescent="0.25">
      <c r="A614" s="1">
        <v>21</v>
      </c>
      <c r="B614" t="s">
        <v>19</v>
      </c>
      <c r="C614">
        <v>700</v>
      </c>
      <c r="D614">
        <v>0</v>
      </c>
      <c r="E614" t="s">
        <v>24</v>
      </c>
      <c r="F614" t="s">
        <v>24</v>
      </c>
      <c r="G614" t="str">
        <f>"2025-11-19 14:22:00.070"</f>
        <v>2025-11-19 14:22:00.070</v>
      </c>
      <c r="H614" t="s">
        <v>22</v>
      </c>
      <c r="I614">
        <v>0</v>
      </c>
      <c r="J614" t="s">
        <v>25</v>
      </c>
    </row>
    <row r="615" spans="1:10" x14ac:dyDescent="0.25">
      <c r="A615" s="1">
        <v>22</v>
      </c>
      <c r="B615" t="s">
        <v>19</v>
      </c>
      <c r="C615">
        <v>706</v>
      </c>
      <c r="D615">
        <v>4</v>
      </c>
      <c r="E615" t="s">
        <v>20</v>
      </c>
      <c r="F615" t="s">
        <v>21</v>
      </c>
      <c r="G615" t="str">
        <f>"2025-11-19 08:48:07.962"</f>
        <v>2025-11-19 08:48:07.962</v>
      </c>
      <c r="H615" t="s">
        <v>22</v>
      </c>
      <c r="I615">
        <v>0</v>
      </c>
      <c r="J615" t="s">
        <v>23</v>
      </c>
    </row>
    <row r="616" spans="1:10" x14ac:dyDescent="0.25">
      <c r="A616" s="1">
        <v>23</v>
      </c>
      <c r="B616" t="s">
        <v>19</v>
      </c>
      <c r="C616">
        <v>700</v>
      </c>
      <c r="D616">
        <v>0</v>
      </c>
      <c r="E616" t="s">
        <v>24</v>
      </c>
      <c r="F616" t="s">
        <v>24</v>
      </c>
      <c r="G616" t="str">
        <f>"2025-11-19 08:47:31.072"</f>
        <v>2025-11-19 08:47:31.072</v>
      </c>
      <c r="H616" t="s">
        <v>22</v>
      </c>
    </row>
    <row r="617" spans="1:10" x14ac:dyDescent="0.25">
      <c r="A617" s="1">
        <v>24</v>
      </c>
      <c r="B617" t="s">
        <v>19</v>
      </c>
      <c r="C617">
        <v>700</v>
      </c>
      <c r="D617">
        <v>0</v>
      </c>
      <c r="E617" t="s">
        <v>24</v>
      </c>
      <c r="F617" t="s">
        <v>24</v>
      </c>
      <c r="G617" t="str">
        <f>"2025-11-18 11:55:52.051"</f>
        <v>2025-11-18 11:55:52.051</v>
      </c>
      <c r="H617" t="s">
        <v>22</v>
      </c>
      <c r="I617">
        <v>0</v>
      </c>
      <c r="J617" t="s">
        <v>25</v>
      </c>
    </row>
    <row r="618" spans="1:10" x14ac:dyDescent="0.25">
      <c r="A618" s="1">
        <v>25</v>
      </c>
      <c r="B618" t="s">
        <v>19</v>
      </c>
      <c r="C618">
        <v>706</v>
      </c>
      <c r="D618">
        <v>4</v>
      </c>
      <c r="E618" t="s">
        <v>20</v>
      </c>
      <c r="F618" t="s">
        <v>21</v>
      </c>
      <c r="G618" t="str">
        <f>"2025-11-18 11:47:46.855"</f>
        <v>2025-11-18 11:47:46.855</v>
      </c>
      <c r="H618" t="s">
        <v>22</v>
      </c>
      <c r="I618">
        <v>0</v>
      </c>
      <c r="J618" t="s">
        <v>23</v>
      </c>
    </row>
    <row r="619" spans="1:10" x14ac:dyDescent="0.25">
      <c r="A619" s="1">
        <v>26</v>
      </c>
      <c r="B619" t="s">
        <v>19</v>
      </c>
      <c r="C619">
        <v>700</v>
      </c>
      <c r="D619">
        <v>0</v>
      </c>
      <c r="E619" t="s">
        <v>24</v>
      </c>
      <c r="F619" t="s">
        <v>24</v>
      </c>
      <c r="G619" t="str">
        <f>"2025-11-18 11:47:20.045"</f>
        <v>2025-11-18 11:47:20.045</v>
      </c>
      <c r="H619" t="s">
        <v>22</v>
      </c>
      <c r="I619">
        <v>0</v>
      </c>
      <c r="J619" t="s">
        <v>25</v>
      </c>
    </row>
    <row r="620" spans="1:10" x14ac:dyDescent="0.25">
      <c r="A620" s="1">
        <v>27</v>
      </c>
      <c r="B620" t="s">
        <v>19</v>
      </c>
      <c r="C620">
        <v>700</v>
      </c>
      <c r="D620">
        <v>0</v>
      </c>
      <c r="E620" t="s">
        <v>24</v>
      </c>
      <c r="F620" t="s">
        <v>24</v>
      </c>
      <c r="G620" t="str">
        <f>"2025-11-18 11:39:15.038"</f>
        <v>2025-11-18 11:39:15.038</v>
      </c>
      <c r="H620" t="s">
        <v>22</v>
      </c>
      <c r="I620">
        <v>0</v>
      </c>
      <c r="J620" t="s">
        <v>25</v>
      </c>
    </row>
    <row r="621" spans="1:10" x14ac:dyDescent="0.25">
      <c r="A621" s="1">
        <v>28</v>
      </c>
      <c r="B621" t="s">
        <v>19</v>
      </c>
      <c r="C621">
        <v>706</v>
      </c>
      <c r="D621">
        <v>2</v>
      </c>
      <c r="E621" t="s">
        <v>20</v>
      </c>
      <c r="F621" t="s">
        <v>41</v>
      </c>
      <c r="G621" t="str">
        <f>"2025-11-18 08:23:01.116"</f>
        <v>2025-11-18 08:23:01.116</v>
      </c>
      <c r="H621" t="s">
        <v>22</v>
      </c>
      <c r="I621">
        <v>0</v>
      </c>
      <c r="J621" t="s">
        <v>23</v>
      </c>
    </row>
    <row r="622" spans="1:10" x14ac:dyDescent="0.25">
      <c r="A622" s="1">
        <v>29</v>
      </c>
      <c r="B622" t="s">
        <v>19</v>
      </c>
      <c r="C622">
        <v>706</v>
      </c>
      <c r="D622">
        <v>4</v>
      </c>
      <c r="E622" t="s">
        <v>20</v>
      </c>
      <c r="F622" t="s">
        <v>21</v>
      </c>
      <c r="G622" t="str">
        <f>"2025-11-18 08:22:41.616"</f>
        <v>2025-11-18 08:22:41.616</v>
      </c>
      <c r="H622" t="s">
        <v>22</v>
      </c>
      <c r="I622">
        <v>0</v>
      </c>
      <c r="J622" t="s">
        <v>23</v>
      </c>
    </row>
    <row r="623" spans="1:10" x14ac:dyDescent="0.25">
      <c r="A623" s="1">
        <v>30</v>
      </c>
      <c r="B623" t="s">
        <v>19</v>
      </c>
      <c r="C623">
        <v>700</v>
      </c>
      <c r="D623">
        <v>0</v>
      </c>
      <c r="E623" t="s">
        <v>24</v>
      </c>
      <c r="F623" t="s">
        <v>24</v>
      </c>
      <c r="G623" t="str">
        <f>"2025-11-18 08:22:06.026"</f>
        <v>2025-11-18 08:22:06.026</v>
      </c>
      <c r="H623" t="s">
        <v>22</v>
      </c>
    </row>
    <row r="624" spans="1:10" x14ac:dyDescent="0.25">
      <c r="A624" s="1">
        <v>31</v>
      </c>
      <c r="B624" t="s">
        <v>19</v>
      </c>
      <c r="C624">
        <v>706</v>
      </c>
      <c r="D624">
        <v>2</v>
      </c>
      <c r="E624" t="s">
        <v>20</v>
      </c>
      <c r="F624" t="s">
        <v>41</v>
      </c>
      <c r="G624" t="str">
        <f>"2025-11-18 08:21:13.743"</f>
        <v>2025-11-18 08:21:13.743</v>
      </c>
      <c r="H624" t="s">
        <v>22</v>
      </c>
      <c r="I624">
        <v>0</v>
      </c>
      <c r="J624" t="s">
        <v>23</v>
      </c>
    </row>
    <row r="625" spans="1:10" x14ac:dyDescent="0.25">
      <c r="A625" s="1">
        <v>32</v>
      </c>
      <c r="B625" t="s">
        <v>19</v>
      </c>
      <c r="C625">
        <v>700</v>
      </c>
      <c r="D625">
        <v>0</v>
      </c>
      <c r="E625" t="s">
        <v>24</v>
      </c>
      <c r="F625" t="s">
        <v>24</v>
      </c>
      <c r="G625" t="str">
        <f>"2025-11-18 08:20:49.033"</f>
        <v>2025-11-18 08:20:49.033</v>
      </c>
      <c r="H625" t="s">
        <v>22</v>
      </c>
    </row>
    <row r="626" spans="1:10" x14ac:dyDescent="0.25">
      <c r="A626" s="1">
        <v>33</v>
      </c>
      <c r="B626" t="s">
        <v>26</v>
      </c>
      <c r="C626">
        <v>98</v>
      </c>
      <c r="D626">
        <v>1</v>
      </c>
      <c r="E626" t="s">
        <v>42</v>
      </c>
      <c r="F626" t="s">
        <v>43</v>
      </c>
      <c r="G626" t="str">
        <f>"2025-11-18 07:37:34.556"</f>
        <v>2025-11-18 07:37:34.556</v>
      </c>
      <c r="H626" t="s">
        <v>22</v>
      </c>
    </row>
    <row r="627" spans="1:10" x14ac:dyDescent="0.25">
      <c r="A627" s="1">
        <v>34</v>
      </c>
      <c r="B627" t="s">
        <v>29</v>
      </c>
      <c r="C627">
        <v>98</v>
      </c>
      <c r="D627">
        <v>1</v>
      </c>
      <c r="E627" t="s">
        <v>42</v>
      </c>
      <c r="F627" t="s">
        <v>43</v>
      </c>
      <c r="G627" t="str">
        <f>"2025-11-18 07:37:33.556"</f>
        <v>2025-11-18 07:37:33.556</v>
      </c>
      <c r="H627" t="s">
        <v>22</v>
      </c>
      <c r="I627">
        <v>0</v>
      </c>
      <c r="J627" t="s">
        <v>23</v>
      </c>
    </row>
    <row r="628" spans="1:10" x14ac:dyDescent="0.25">
      <c r="A628" s="1">
        <v>35</v>
      </c>
      <c r="B628" t="s">
        <v>26</v>
      </c>
      <c r="C628">
        <v>98</v>
      </c>
      <c r="D628">
        <v>1</v>
      </c>
      <c r="E628" t="s">
        <v>42</v>
      </c>
      <c r="F628" t="s">
        <v>43</v>
      </c>
      <c r="G628" t="str">
        <f>"2025-11-18 07:37:30.156"</f>
        <v>2025-11-18 07:37:30.156</v>
      </c>
      <c r="H628" t="s">
        <v>22</v>
      </c>
    </row>
    <row r="629" spans="1:10" x14ac:dyDescent="0.25">
      <c r="A629" s="1">
        <v>36</v>
      </c>
      <c r="B629" t="s">
        <v>29</v>
      </c>
      <c r="C629">
        <v>98</v>
      </c>
      <c r="D629">
        <v>1</v>
      </c>
      <c r="E629" t="s">
        <v>42</v>
      </c>
      <c r="F629" t="s">
        <v>43</v>
      </c>
      <c r="G629" t="str">
        <f>"2025-11-18 07:37:29.156"</f>
        <v>2025-11-18 07:37:29.156</v>
      </c>
      <c r="H629" t="s">
        <v>22</v>
      </c>
      <c r="I629">
        <v>0</v>
      </c>
      <c r="J629" t="s">
        <v>23</v>
      </c>
    </row>
    <row r="630" spans="1:10" x14ac:dyDescent="0.25">
      <c r="A630" s="1">
        <v>37</v>
      </c>
      <c r="B630" t="s">
        <v>26</v>
      </c>
      <c r="C630">
        <v>98</v>
      </c>
      <c r="D630">
        <v>1</v>
      </c>
      <c r="E630" t="s">
        <v>42</v>
      </c>
      <c r="F630" t="s">
        <v>43</v>
      </c>
      <c r="G630" t="str">
        <f>"2025-11-18 07:37:27.356"</f>
        <v>2025-11-18 07:37:27.356</v>
      </c>
      <c r="H630" t="s">
        <v>22</v>
      </c>
    </row>
    <row r="631" spans="1:10" x14ac:dyDescent="0.25">
      <c r="A631" s="1">
        <v>38</v>
      </c>
      <c r="B631" t="s">
        <v>29</v>
      </c>
      <c r="C631">
        <v>98</v>
      </c>
      <c r="D631">
        <v>1</v>
      </c>
      <c r="E631" t="s">
        <v>42</v>
      </c>
      <c r="F631" t="s">
        <v>43</v>
      </c>
      <c r="G631" t="str">
        <f>"2025-11-18 07:37:26.357"</f>
        <v>2025-11-18 07:37:26.357</v>
      </c>
      <c r="H631" t="s">
        <v>22</v>
      </c>
      <c r="I631">
        <v>0</v>
      </c>
      <c r="J631" t="s">
        <v>23</v>
      </c>
    </row>
    <row r="632" spans="1:10" x14ac:dyDescent="0.25">
      <c r="A632" s="1">
        <v>39</v>
      </c>
      <c r="B632" t="s">
        <v>19</v>
      </c>
      <c r="C632">
        <v>700</v>
      </c>
      <c r="D632">
        <v>0</v>
      </c>
      <c r="E632" t="s">
        <v>24</v>
      </c>
      <c r="F632" t="s">
        <v>24</v>
      </c>
      <c r="G632" t="str">
        <f>"2025-11-18 07:36:04.027"</f>
        <v>2025-11-18 07:36:04.027</v>
      </c>
      <c r="H632" t="s">
        <v>22</v>
      </c>
      <c r="I632">
        <v>0</v>
      </c>
      <c r="J632" t="s">
        <v>25</v>
      </c>
    </row>
    <row r="633" spans="1:10" x14ac:dyDescent="0.25">
      <c r="A633" s="1">
        <v>40</v>
      </c>
      <c r="B633" t="s">
        <v>19</v>
      </c>
      <c r="C633">
        <v>700</v>
      </c>
      <c r="D633">
        <v>0</v>
      </c>
      <c r="E633" t="s">
        <v>24</v>
      </c>
      <c r="F633" t="s">
        <v>24</v>
      </c>
      <c r="G633" t="str">
        <f>"2025-11-18 07:28:00.025"</f>
        <v>2025-11-18 07:28:00.025</v>
      </c>
      <c r="H633" t="s">
        <v>22</v>
      </c>
      <c r="I633">
        <v>0</v>
      </c>
      <c r="J633" t="s">
        <v>25</v>
      </c>
    </row>
    <row r="634" spans="1:10" x14ac:dyDescent="0.25">
      <c r="A634" s="1">
        <v>41</v>
      </c>
      <c r="B634" t="s">
        <v>19</v>
      </c>
      <c r="C634">
        <v>700</v>
      </c>
      <c r="D634">
        <v>0</v>
      </c>
      <c r="E634" t="s">
        <v>24</v>
      </c>
      <c r="F634" t="s">
        <v>24</v>
      </c>
      <c r="G634" t="str">
        <f>"2025-11-18 07:25:28.023"</f>
        <v>2025-11-18 07:25:28.023</v>
      </c>
      <c r="H634" t="s">
        <v>22</v>
      </c>
    </row>
    <row r="635" spans="1:10" x14ac:dyDescent="0.25">
      <c r="A635" s="1">
        <v>42</v>
      </c>
      <c r="B635" t="s">
        <v>19</v>
      </c>
      <c r="C635">
        <v>700</v>
      </c>
      <c r="D635">
        <v>0</v>
      </c>
      <c r="E635" t="s">
        <v>24</v>
      </c>
      <c r="F635" t="s">
        <v>24</v>
      </c>
      <c r="G635" t="str">
        <f>"2025-11-18 07:20:00.030"</f>
        <v>2025-11-18 07:20:00.030</v>
      </c>
      <c r="H635" t="s">
        <v>22</v>
      </c>
      <c r="I635">
        <v>0</v>
      </c>
      <c r="J635" t="s">
        <v>25</v>
      </c>
    </row>
    <row r="636" spans="1:10" x14ac:dyDescent="0.25">
      <c r="A636" s="1">
        <v>45</v>
      </c>
      <c r="B636" t="s">
        <v>19</v>
      </c>
      <c r="C636">
        <v>782</v>
      </c>
      <c r="D636">
        <v>7</v>
      </c>
      <c r="E636" t="s">
        <v>57</v>
      </c>
      <c r="F636" t="s">
        <v>58</v>
      </c>
      <c r="G636" t="str">
        <f>"2025-11-18 07:16:18.260"</f>
        <v>2025-11-18 07:16:18.260</v>
      </c>
      <c r="H636" t="s">
        <v>22</v>
      </c>
      <c r="I636">
        <v>0</v>
      </c>
      <c r="J636" t="s">
        <v>23</v>
      </c>
    </row>
    <row r="637" spans="1:10" x14ac:dyDescent="0.25">
      <c r="A637" s="1">
        <v>48</v>
      </c>
      <c r="B637" t="s">
        <v>26</v>
      </c>
      <c r="C637">
        <v>12</v>
      </c>
      <c r="D637">
        <v>2</v>
      </c>
      <c r="E637" t="s">
        <v>59</v>
      </c>
      <c r="F637" t="s">
        <v>60</v>
      </c>
      <c r="G637" t="str">
        <f>"2025-11-18 07:16:18.254"</f>
        <v>2025-11-18 07:16:18.254</v>
      </c>
      <c r="H637" t="s">
        <v>22</v>
      </c>
    </row>
    <row r="638" spans="1:10" x14ac:dyDescent="0.25">
      <c r="A638" s="1">
        <v>49</v>
      </c>
      <c r="B638" t="s">
        <v>26</v>
      </c>
      <c r="C638">
        <v>12</v>
      </c>
      <c r="D638">
        <v>1</v>
      </c>
      <c r="E638" t="s">
        <v>59</v>
      </c>
      <c r="F638" t="s">
        <v>61</v>
      </c>
      <c r="G638" t="str">
        <f>"2025-11-18 07:16:18.253"</f>
        <v>2025-11-18 07:16:18.253</v>
      </c>
      <c r="H638" t="s">
        <v>22</v>
      </c>
    </row>
    <row r="639" spans="1:10" x14ac:dyDescent="0.25">
      <c r="A639" s="1">
        <v>50</v>
      </c>
      <c r="B639" t="s">
        <v>19</v>
      </c>
      <c r="C639">
        <v>782</v>
      </c>
      <c r="D639">
        <v>7</v>
      </c>
      <c r="E639" t="s">
        <v>57</v>
      </c>
      <c r="F639" t="s">
        <v>58</v>
      </c>
      <c r="G639" t="str">
        <f>"2025-11-18 07:16:18.252"</f>
        <v>2025-11-18 07:16:18.252</v>
      </c>
      <c r="H639" t="s">
        <v>22</v>
      </c>
      <c r="I639">
        <v>0</v>
      </c>
      <c r="J639" t="s">
        <v>23</v>
      </c>
    </row>
    <row r="640" spans="1:10" x14ac:dyDescent="0.25">
      <c r="A640" s="1">
        <v>51</v>
      </c>
      <c r="B640" t="s">
        <v>26</v>
      </c>
      <c r="C640">
        <v>650</v>
      </c>
      <c r="D640">
        <v>4</v>
      </c>
      <c r="E640" t="s">
        <v>62</v>
      </c>
      <c r="F640" t="s">
        <v>63</v>
      </c>
      <c r="G640" t="str">
        <f>"2025-11-18 07:15:48.901"</f>
        <v>2025-11-18 07:15:48.901</v>
      </c>
      <c r="H640" t="s">
        <v>22</v>
      </c>
    </row>
    <row r="641" spans="1:10" x14ac:dyDescent="0.25">
      <c r="A641" s="1">
        <v>52</v>
      </c>
      <c r="B641" t="s">
        <v>19</v>
      </c>
      <c r="C641">
        <v>700</v>
      </c>
      <c r="D641">
        <v>0</v>
      </c>
      <c r="E641" t="s">
        <v>24</v>
      </c>
      <c r="F641" t="s">
        <v>24</v>
      </c>
      <c r="G641" t="str">
        <f>"2025-11-18 07:12:02.032"</f>
        <v>2025-11-18 07:12:02.032</v>
      </c>
      <c r="H641" t="s">
        <v>22</v>
      </c>
      <c r="I641">
        <v>0</v>
      </c>
      <c r="J641" t="s">
        <v>25</v>
      </c>
    </row>
    <row r="642" spans="1:10" x14ac:dyDescent="0.25">
      <c r="A642" s="1">
        <v>53</v>
      </c>
      <c r="B642" t="s">
        <v>19</v>
      </c>
      <c r="C642">
        <v>706</v>
      </c>
      <c r="D642">
        <v>3</v>
      </c>
      <c r="E642" t="s">
        <v>20</v>
      </c>
      <c r="F642" t="s">
        <v>44</v>
      </c>
      <c r="G642" t="str">
        <f>"2025-11-18 07:06:25.515"</f>
        <v>2025-11-18 07:06:25.515</v>
      </c>
      <c r="H642" t="s">
        <v>22</v>
      </c>
      <c r="I642">
        <v>0</v>
      </c>
      <c r="J642" t="s">
        <v>23</v>
      </c>
    </row>
    <row r="643" spans="1:10" x14ac:dyDescent="0.25">
      <c r="A643" s="1">
        <v>56</v>
      </c>
      <c r="B643" t="s">
        <v>32</v>
      </c>
      <c r="C643">
        <v>641</v>
      </c>
      <c r="D643">
        <v>1</v>
      </c>
      <c r="E643" t="s">
        <v>64</v>
      </c>
      <c r="F643" t="s">
        <v>60</v>
      </c>
      <c r="G643" t="str">
        <f>"2025-11-18 07:05:24.078"</f>
        <v>2025-11-18 07:05:24.078</v>
      </c>
      <c r="H643" t="s">
        <v>22</v>
      </c>
      <c r="I643">
        <v>0</v>
      </c>
      <c r="J643" t="s">
        <v>23</v>
      </c>
    </row>
    <row r="644" spans="1:10" x14ac:dyDescent="0.25">
      <c r="A644" s="1">
        <v>57</v>
      </c>
      <c r="B644" t="s">
        <v>32</v>
      </c>
      <c r="C644">
        <v>640</v>
      </c>
      <c r="D644">
        <v>1</v>
      </c>
      <c r="E644" t="s">
        <v>65</v>
      </c>
      <c r="F644" t="s">
        <v>61</v>
      </c>
      <c r="G644" t="str">
        <f>"2025-11-18 07:05:24.072"</f>
        <v>2025-11-18 07:05:24.072</v>
      </c>
      <c r="H644" t="s">
        <v>48</v>
      </c>
      <c r="I644">
        <v>0</v>
      </c>
      <c r="J644" t="s">
        <v>23</v>
      </c>
    </row>
    <row r="645" spans="1:10" x14ac:dyDescent="0.25">
      <c r="A645" s="1">
        <v>58</v>
      </c>
      <c r="B645" t="s">
        <v>29</v>
      </c>
      <c r="C645">
        <v>12</v>
      </c>
      <c r="D645">
        <v>1</v>
      </c>
      <c r="E645" t="s">
        <v>59</v>
      </c>
      <c r="F645" t="s">
        <v>61</v>
      </c>
      <c r="G645" t="str">
        <f>"2025-11-18 07:05:17.925"</f>
        <v>2025-11-18 07:05:17.925</v>
      </c>
      <c r="H645" t="s">
        <v>22</v>
      </c>
      <c r="I645">
        <v>0</v>
      </c>
      <c r="J645" t="s">
        <v>23</v>
      </c>
    </row>
    <row r="646" spans="1:10" x14ac:dyDescent="0.25">
      <c r="A646" s="1">
        <v>59</v>
      </c>
      <c r="B646" t="s">
        <v>29</v>
      </c>
      <c r="C646">
        <v>12</v>
      </c>
      <c r="D646">
        <v>2</v>
      </c>
      <c r="E646" t="s">
        <v>59</v>
      </c>
      <c r="F646" t="s">
        <v>60</v>
      </c>
      <c r="G646" t="str">
        <f>"2025-11-18 07:05:17.830"</f>
        <v>2025-11-18 07:05:17.830</v>
      </c>
      <c r="H646" t="s">
        <v>22</v>
      </c>
      <c r="I646">
        <v>0</v>
      </c>
      <c r="J646" t="s">
        <v>23</v>
      </c>
    </row>
    <row r="647" spans="1:10" x14ac:dyDescent="0.25">
      <c r="A647" s="1">
        <v>60</v>
      </c>
      <c r="B647" t="s">
        <v>29</v>
      </c>
      <c r="C647">
        <v>650</v>
      </c>
      <c r="D647">
        <v>4</v>
      </c>
      <c r="E647" t="s">
        <v>62</v>
      </c>
      <c r="F647" t="s">
        <v>63</v>
      </c>
      <c r="G647" t="str">
        <f>"2025-11-18 07:05:16.538"</f>
        <v>2025-11-18 07:05:16.538</v>
      </c>
      <c r="H647" t="s">
        <v>22</v>
      </c>
      <c r="I647">
        <v>0</v>
      </c>
      <c r="J647" t="s">
        <v>25</v>
      </c>
    </row>
    <row r="648" spans="1:10" x14ac:dyDescent="0.25">
      <c r="A648" s="1">
        <v>61</v>
      </c>
      <c r="B648" t="s">
        <v>19</v>
      </c>
      <c r="C648">
        <v>700</v>
      </c>
      <c r="D648">
        <v>0</v>
      </c>
      <c r="E648" t="s">
        <v>24</v>
      </c>
      <c r="F648" t="s">
        <v>24</v>
      </c>
      <c r="G648" t="str">
        <f>"2025-11-18 07:05:13.945"</f>
        <v>2025-11-18 07:05:13.945</v>
      </c>
      <c r="H648" t="s">
        <v>22</v>
      </c>
      <c r="I648">
        <v>0</v>
      </c>
      <c r="J648" t="s">
        <v>25</v>
      </c>
    </row>
  </sheetData>
  <autoFilter ref="A9:J648" xr:uid="{FFEB6EE2-EA53-4331-8939-A1AAEA76F654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494E9B-7971-4ECB-B16E-D68CE8C2CA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events_ru_83_20260512-210221 86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2026-05-12T22:51:40Z</dcterms:modified>
</cp:coreProperties>
</file>
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8D08F67-E41B-44A1-9B89-0242C6C4D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9_20260720-211234 76" sheetId="2" r:id="rId1"/>
    <sheet name="Лист1" sheetId="1" r:id="rId2"/>
  </sheets>
  <definedNames>
    <definedName name="_xlnm._FilterDatabase" localSheetId="0" hidden="1">'events_ru_69_20260720-211234 76'!$C$1:$C$2682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871AA7-D70D-4001-8A47-7A8EC543BE59}" keepAlive="1" name="Запрос — events_ru_69_20260720-211234 768" description="Соединение с запросом &quot;events_ru_69_20260720-211234 768&quot; в книге." type="5" refreshedVersion="0" background="1">
    <dbPr connection="Provider=Microsoft.Mashup.OleDb.1;Data Source=$Workbook$;Location=&quot;events_ru_69_20260720-211234 768&quot;;Extended Properties=&quot;&quot;" command="SELECT * FROM [events_ru_69_20260720-211234 768]"/>
  </connection>
</connections>
</file>

<file path=xl/sharedStrings.xml><?xml version="1.0" encoding="utf-8"?>
<sst xmlns="http://schemas.openxmlformats.org/spreadsheetml/2006/main" count="12345" uniqueCount="140">
  <si>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</si>
  <si>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</si>
  <si>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</si>
  <si>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</si>
  <si>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</si>
  <si>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</si>
  <si>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</si>
  <si>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</si>
  <si>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</si>
  <si>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</si>
  <si>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</si>
  <si>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</si>
  <si>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</si>
  <si>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</si>
  <si>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</si>
  <si>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</si>
  <si>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</si>
  <si>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</si>
  <si>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</si>
  <si>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</si>
  <si>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</si>
  <si>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</si>
  <si>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</si>
  <si>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</si>
  <si>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</si>
  <si>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</si>
  <si>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Ready</t>
  </si>
  <si>
    <t>Null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</si>
  <si>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</si>
  <si>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</si>
  <si>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</si>
  <si>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</si>
  <si>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</si>
  <si>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</si>
  <si>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</si>
  <si>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Вход в безопасный режим файловой системы - Запуск двигателя</t>
  </si>
  <si>
    <t>Propel</t>
  </si>
  <si>
    <t>Retard</t>
  </si>
  <si>
    <t>Rest</t>
  </si>
  <si>
    <t>Рабочий тормоз на ходу</t>
  </si>
  <si>
    <t>Рабочие тормоза использованы на ходу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</si>
  <si>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</si>
  <si>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</si>
  <si>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</si>
  <si>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</si>
  <si>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</si>
  <si>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</si>
  <si>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</si>
  <si>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</si>
  <si>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</si>
  <si>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</si>
  <si>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</si>
  <si>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</si>
  <si>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</si>
  <si>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Получено предупреждение ДВС</t>
  </si>
  <si>
    <t>Запрет тяги</t>
  </si>
  <si>
    <t>WRst</t>
  </si>
  <si>
    <t>Останов ДВС во время движения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</si>
  <si>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</si>
  <si>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</si>
  <si>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</si>
  <si>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</si>
  <si>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Температура окружающего воздуха вне пределов</t>
  </si>
  <si>
    <t>Высокий</t>
  </si>
  <si>
    <t xml:space="preserve">TMC2 ИНВ Фаза А+ </t>
  </si>
  <si>
    <t>Сбой источника питания IGBT в A+</t>
  </si>
  <si>
    <t>Вход в безопасный режим файловой системы - Ключ или CPS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</si>
  <si>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</si>
  <si>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</si>
  <si>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</si>
  <si>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Тест VI не пройден</t>
  </si>
  <si>
    <t>Инвертор</t>
  </si>
  <si>
    <t>Установка часов реального времени</t>
  </si>
  <si>
    <t>через WebPTU</t>
  </si>
  <si>
    <t>Reset All Faults</t>
  </si>
  <si>
    <t>Zero</t>
  </si>
  <si>
    <t>TMC1 Фаза В+ ИНВ</t>
  </si>
  <si>
    <t>Сбой источника питания IGBT фаза В+</t>
  </si>
  <si>
    <t>Изменен серийный номер карты</t>
  </si>
  <si>
    <t>Инвертор №2</t>
  </si>
  <si>
    <t>Инвертор №1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</si>
  <si>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</si>
  <si>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</si>
  <si>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</si>
  <si>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Ток утечки превысил пороговое значение</t>
  </si>
  <si>
    <t>Отказ аналогового датчика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</si>
  <si>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</si>
  <si>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</si>
  <si>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</si>
  <si>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</si>
  <si>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</si>
  <si>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</si>
  <si>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</si>
  <si>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</si>
  <si>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</si>
  <si>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</si>
  <si>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В- ИНВ</t>
  </si>
  <si>
    <t>Сбой источника питания IGBT фаза В-</t>
  </si>
  <si>
    <t>Модули фаз В+ и В- вкл.</t>
  </si>
  <si>
    <t>Модуль фазы В- не выключился</t>
  </si>
  <si>
    <t>Подъём кузова на ходу</t>
  </si>
  <si>
    <t>TMC1 Фаза С- ИНВ</t>
  </si>
  <si>
    <t>Сбой источника питания IGBT фаза С-</t>
  </si>
  <si>
    <t>Модули фаз С+ и С- вкл.</t>
  </si>
  <si>
    <t>TMC1 Фаза А- ИНВ</t>
  </si>
  <si>
    <t>Модули фаз A+ и A- вкл.</t>
  </si>
  <si>
    <t>TMC2 Фаза С- ИНВ</t>
  </si>
  <si>
    <t>TMC1 Фаза С+ ИНВ</t>
  </si>
  <si>
    <t>Сбой источника питания IGBT фаза С+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</si>
  <si>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</si>
  <si>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</si>
  <si>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</si>
  <si>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</si>
  <si>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</si>
  <si>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TMC2 Чоппер 1 ИНВ (NR)</t>
  </si>
  <si>
    <t>Чоппер 1 не выключен при напряжении пост. тока</t>
  </si>
  <si>
    <t>Низкое напряжение АКБ</t>
  </si>
  <si>
    <t>Низкий заряд АКБ 24В КС - ДВС остановлен</t>
  </si>
  <si>
    <t>TMC1 Чоппер 1 ИНВ (NR)</t>
  </si>
  <si>
    <t>Отказ педали ретардера</t>
  </si>
  <si>
    <t>Слишком низкое напряжение</t>
  </si>
  <si>
    <t>Слишком высокое напряжение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</si>
  <si>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</si>
  <si>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</si>
  <si>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</si>
  <si>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через панель DID</t>
  </si>
  <si>
    <t>Нужна калибровка педали</t>
  </si>
  <si>
    <t>Нужна калибровка запуска</t>
  </si>
  <si>
    <t>Неправильный файл конфигурации Wabtec</t>
  </si>
  <si>
    <t>Файл конфигурации - старая версия</t>
  </si>
  <si>
    <t>--Изменена настройка системы--</t>
  </si>
  <si>
    <t>Доступно обновление ПО</t>
  </si>
  <si>
    <t>Инвертор 2</t>
  </si>
  <si>
    <t>Педаль акслератора вне пределов - низкий уровень</t>
  </si>
  <si>
    <t>Педаль акслератора вне пределов - высокий уровень</t>
  </si>
  <si>
    <t>Su-Sd</t>
  </si>
  <si>
    <t>Неверный тип ПО ИНВЕРТОРА 2</t>
  </si>
  <si>
    <t>Возможное несоответствие версии программного обеспечения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</si>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</sst>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2781-FA79-452E-8360-3FA4578F954D}">
  <dimension ref="A1:J2682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8.42578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"2026-07-20 21:12:34.768"</f>
        <v>2026-07-20 21:12:34.768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"2026-07-20 21:07:25.195"</f>
        <v>2026-07-20 21:07:25.195</v>
      </c>
      <c r="H10" t="s">
        <v>21</v>
      </c>
    </row>
    <row r="11" spans="1:10" x14ac:dyDescent="0.25">
      <c r="A11" s="1"/>
      <c r="B11" t="s">
        <v>22</v>
      </c>
      <c r="C11">
        <v>635</v>
      </c>
      <c r="D11">
        <v>1</v>
      </c>
      <c r="E11" t="s">
        <v>23</v>
      </c>
      <c r="F11" t="s">
        <v>24</v>
      </c>
      <c r="G11" t="str">
        <f>"2026-07-20 17:34:44.515"</f>
        <v>2026-07-20 17:34:44.515</v>
      </c>
      <c r="H11" t="s">
        <v>21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23</v>
      </c>
      <c r="F12" t="s">
        <v>24</v>
      </c>
      <c r="G12" t="str">
        <f>"2026-07-20 17:30:41.515"</f>
        <v>2026-07-20 17:30:41.515</v>
      </c>
      <c r="H12" t="s">
        <v>21</v>
      </c>
      <c r="I12">
        <v>0</v>
      </c>
      <c r="J12" t="s">
        <v>26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"2026-07-20 13:28:08.183"</f>
        <v>2026-07-20 13:28:08.183</v>
      </c>
      <c r="H13" t="s">
        <v>21</v>
      </c>
      <c r="I13">
        <v>0</v>
      </c>
      <c r="J13" t="s">
        <v>27</v>
      </c>
    </row>
    <row r="14" spans="1:10" x14ac:dyDescent="0.25">
      <c r="A14" s="1"/>
      <c r="B14" t="s">
        <v>22</v>
      </c>
      <c r="C14">
        <v>630</v>
      </c>
      <c r="D14">
        <v>5</v>
      </c>
      <c r="E14" t="s">
        <v>28</v>
      </c>
      <c r="F14" t="s">
        <v>29</v>
      </c>
      <c r="G14" t="str">
        <f>"2026-07-20 05:25:57.210"</f>
        <v>2026-07-20 05:25:57.210</v>
      </c>
      <c r="H14" t="s">
        <v>30</v>
      </c>
    </row>
    <row r="15" spans="1:10" x14ac:dyDescent="0.25">
      <c r="A15" s="1"/>
      <c r="B15" t="s">
        <v>19</v>
      </c>
      <c r="C15">
        <v>706</v>
      </c>
      <c r="D15">
        <v>4</v>
      </c>
      <c r="E15" t="s">
        <v>31</v>
      </c>
      <c r="F15" t="s">
        <v>32</v>
      </c>
      <c r="G15" t="str">
        <f>"2026-07-20 05:25:27.098"</f>
        <v>2026-07-20 05:25:27.098</v>
      </c>
      <c r="H15" t="s">
        <v>21</v>
      </c>
      <c r="I15">
        <v>0</v>
      </c>
      <c r="J15" t="s">
        <v>33</v>
      </c>
    </row>
    <row r="16" spans="1:10" x14ac:dyDescent="0.25">
      <c r="A16" s="1"/>
      <c r="B16" t="s">
        <v>34</v>
      </c>
      <c r="C16">
        <v>630</v>
      </c>
      <c r="D16">
        <v>5</v>
      </c>
      <c r="E16" t="s">
        <v>28</v>
      </c>
      <c r="F16" t="s">
        <v>29</v>
      </c>
      <c r="G16" t="str">
        <f>"2026-07-20 05:17:43.910"</f>
        <v>2026-07-20 05:17:43.910</v>
      </c>
      <c r="H16" t="s">
        <v>30</v>
      </c>
      <c r="I16">
        <v>0</v>
      </c>
      <c r="J16" t="s">
        <v>33</v>
      </c>
    </row>
    <row r="17" spans="1:10" x14ac:dyDescent="0.25">
      <c r="A17" s="1"/>
      <c r="B17" t="s">
        <v>22</v>
      </c>
      <c r="C17">
        <v>630</v>
      </c>
      <c r="D17">
        <v>5</v>
      </c>
      <c r="E17" t="s">
        <v>28</v>
      </c>
      <c r="F17" t="s">
        <v>29</v>
      </c>
      <c r="G17" t="str">
        <f>"2026-07-20 02:11:40.310"</f>
        <v>2026-07-20 02:11:40.310</v>
      </c>
      <c r="H17" t="s">
        <v>30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31</v>
      </c>
      <c r="F18" t="s">
        <v>35</v>
      </c>
      <c r="G18" t="str">
        <f>"2026-07-20 02:11:10.118"</f>
        <v>2026-07-20 02:11:10.118</v>
      </c>
      <c r="H18" t="s">
        <v>21</v>
      </c>
      <c r="I18">
        <v>0</v>
      </c>
      <c r="J18" t="s">
        <v>33</v>
      </c>
    </row>
    <row r="19" spans="1:10" x14ac:dyDescent="0.25">
      <c r="A19" s="1"/>
      <c r="B19" t="s">
        <v>34</v>
      </c>
      <c r="C19">
        <v>630</v>
      </c>
      <c r="D19">
        <v>5</v>
      </c>
      <c r="E19" t="s">
        <v>28</v>
      </c>
      <c r="F19" t="s">
        <v>29</v>
      </c>
      <c r="G19" t="str">
        <f>"2026-07-20 01:48:37.110"</f>
        <v>2026-07-20 01:48:37.110</v>
      </c>
      <c r="H19" t="s">
        <v>30</v>
      </c>
      <c r="I19">
        <v>0</v>
      </c>
      <c r="J19" t="s">
        <v>33</v>
      </c>
    </row>
    <row r="20" spans="1:10" x14ac:dyDescent="0.25">
      <c r="A20" s="1">
        <v>0</v>
      </c>
      <c r="B20" t="s">
        <v>22</v>
      </c>
      <c r="C20">
        <v>630</v>
      </c>
      <c r="D20">
        <v>5</v>
      </c>
      <c r="E20" t="s">
        <v>28</v>
      </c>
      <c r="F20" t="s">
        <v>29</v>
      </c>
      <c r="G20" t="str">
        <f>"2026-07-19 21:16:57.610"</f>
        <v>2026-07-19 21:16:57.610</v>
      </c>
      <c r="H20" t="s">
        <v>30</v>
      </c>
    </row>
    <row r="21" spans="1:10" x14ac:dyDescent="0.25">
      <c r="A21" s="1">
        <v>1</v>
      </c>
      <c r="B21" t="s">
        <v>19</v>
      </c>
      <c r="C21">
        <v>706</v>
      </c>
      <c r="D21">
        <v>4</v>
      </c>
      <c r="E21" t="s">
        <v>31</v>
      </c>
      <c r="F21" t="s">
        <v>32</v>
      </c>
      <c r="G21" t="str">
        <f>"2026-07-19 21:16:27.468"</f>
        <v>2026-07-19 21:16:27.468</v>
      </c>
      <c r="H21" t="s">
        <v>21</v>
      </c>
      <c r="I21">
        <v>0</v>
      </c>
      <c r="J21" t="s">
        <v>33</v>
      </c>
    </row>
    <row r="22" spans="1:10" x14ac:dyDescent="0.25">
      <c r="A22" s="1">
        <v>2</v>
      </c>
      <c r="B22" t="s">
        <v>34</v>
      </c>
      <c r="C22">
        <v>630</v>
      </c>
      <c r="D22">
        <v>5</v>
      </c>
      <c r="E22" t="s">
        <v>28</v>
      </c>
      <c r="F22" t="s">
        <v>29</v>
      </c>
      <c r="G22" t="str">
        <f>"2026-07-19 21:08:05.110"</f>
        <v>2026-07-19 21:08:05.110</v>
      </c>
      <c r="H22" t="s">
        <v>30</v>
      </c>
      <c r="I22">
        <v>0</v>
      </c>
      <c r="J22" t="s">
        <v>33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"2026-07-19 14:16:22.158"</f>
        <v>2026-07-19 14:16:22.158</v>
      </c>
      <c r="H23" t="s">
        <v>21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"2026-07-19 13:19:50.258"</f>
        <v>2026-07-19 13:19:50.258</v>
      </c>
      <c r="H24" t="s">
        <v>21</v>
      </c>
    </row>
    <row r="25" spans="1:10" x14ac:dyDescent="0.25">
      <c r="A25" s="1">
        <v>5</v>
      </c>
      <c r="B25" t="s">
        <v>22</v>
      </c>
      <c r="C25">
        <v>635</v>
      </c>
      <c r="D25">
        <v>1</v>
      </c>
      <c r="E25" t="s">
        <v>23</v>
      </c>
      <c r="F25" t="s">
        <v>24</v>
      </c>
      <c r="G25" t="str">
        <f>"2026-07-19 12:18:29.246"</f>
        <v>2026-07-19 12:18:29.246</v>
      </c>
      <c r="H25" t="s">
        <v>21</v>
      </c>
    </row>
    <row r="26" spans="1:10" x14ac:dyDescent="0.25">
      <c r="A26" s="1">
        <v>6</v>
      </c>
      <c r="B26" t="s">
        <v>25</v>
      </c>
      <c r="C26">
        <v>635</v>
      </c>
      <c r="D26">
        <v>1</v>
      </c>
      <c r="E26" t="s">
        <v>23</v>
      </c>
      <c r="F26" t="s">
        <v>24</v>
      </c>
      <c r="G26" t="str">
        <f>"2026-07-19 12:14:18.746"</f>
        <v>2026-07-19 12:14:18.746</v>
      </c>
      <c r="H26" t="s">
        <v>21</v>
      </c>
      <c r="I26">
        <v>5.85</v>
      </c>
      <c r="J26" t="s">
        <v>36</v>
      </c>
    </row>
    <row r="27" spans="1:10" x14ac:dyDescent="0.25">
      <c r="A27" s="1">
        <v>7</v>
      </c>
      <c r="B27" t="s">
        <v>22</v>
      </c>
      <c r="C27">
        <v>630</v>
      </c>
      <c r="D27">
        <v>5</v>
      </c>
      <c r="E27" t="s">
        <v>28</v>
      </c>
      <c r="F27" t="s">
        <v>29</v>
      </c>
      <c r="G27" t="str">
        <f>"2026-07-19 04:54:00.600"</f>
        <v>2026-07-19 04:54:00.600</v>
      </c>
      <c r="H27" t="s">
        <v>30</v>
      </c>
    </row>
    <row r="28" spans="1:10" x14ac:dyDescent="0.25">
      <c r="A28" s="1">
        <v>8</v>
      </c>
      <c r="B28" t="s">
        <v>19</v>
      </c>
      <c r="C28">
        <v>706</v>
      </c>
      <c r="D28">
        <v>4</v>
      </c>
      <c r="E28" t="s">
        <v>31</v>
      </c>
      <c r="F28" t="s">
        <v>32</v>
      </c>
      <c r="G28" t="str">
        <f>"2026-07-19 04:53:30.608"</f>
        <v>2026-07-19 04:53:30.608</v>
      </c>
      <c r="H28" t="s">
        <v>21</v>
      </c>
      <c r="I28">
        <v>0</v>
      </c>
      <c r="J28" t="s">
        <v>33</v>
      </c>
    </row>
    <row r="29" spans="1:10" x14ac:dyDescent="0.25">
      <c r="A29" s="1">
        <v>9</v>
      </c>
      <c r="B29" t="s">
        <v>34</v>
      </c>
      <c r="C29">
        <v>630</v>
      </c>
      <c r="D29">
        <v>5</v>
      </c>
      <c r="E29" t="s">
        <v>28</v>
      </c>
      <c r="F29" t="s">
        <v>29</v>
      </c>
      <c r="G29" t="str">
        <f>"2026-07-19 04:46:22.900"</f>
        <v>2026-07-19 04:46:22.900</v>
      </c>
      <c r="H29" t="s">
        <v>30</v>
      </c>
      <c r="I29">
        <v>0</v>
      </c>
      <c r="J29" t="s">
        <v>33</v>
      </c>
    </row>
    <row r="30" spans="1:10" x14ac:dyDescent="0.25">
      <c r="A30" s="1">
        <v>0</v>
      </c>
      <c r="B30" t="s">
        <v>22</v>
      </c>
      <c r="C30">
        <v>635</v>
      </c>
      <c r="D30">
        <v>1</v>
      </c>
      <c r="E30" t="s">
        <v>23</v>
      </c>
      <c r="F30" t="s">
        <v>24</v>
      </c>
      <c r="G30" t="str">
        <f>"2026-07-19 04:10:34.646"</f>
        <v>2026-07-19 04:10:34.646</v>
      </c>
      <c r="H30" t="s">
        <v>21</v>
      </c>
    </row>
    <row r="31" spans="1:10" x14ac:dyDescent="0.25">
      <c r="A31" s="1">
        <v>1</v>
      </c>
      <c r="B31" t="s">
        <v>25</v>
      </c>
      <c r="C31">
        <v>635</v>
      </c>
      <c r="D31">
        <v>1</v>
      </c>
      <c r="E31" t="s">
        <v>23</v>
      </c>
      <c r="F31" t="s">
        <v>24</v>
      </c>
      <c r="G31" t="str">
        <f>"2026-07-19 04:05:41.246"</f>
        <v>2026-07-19 04:05:41.246</v>
      </c>
      <c r="H31" t="s">
        <v>21</v>
      </c>
      <c r="I31">
        <v>0.77</v>
      </c>
      <c r="J31" t="s">
        <v>36</v>
      </c>
    </row>
    <row r="32" spans="1:10" x14ac:dyDescent="0.25">
      <c r="A32" s="1">
        <v>2</v>
      </c>
      <c r="B32" t="s">
        <v>22</v>
      </c>
      <c r="C32">
        <v>630</v>
      </c>
      <c r="D32">
        <v>5</v>
      </c>
      <c r="E32" t="s">
        <v>28</v>
      </c>
      <c r="F32" t="s">
        <v>29</v>
      </c>
      <c r="G32" t="str">
        <f>"2026-07-19 01:13:46.100"</f>
        <v>2026-07-19 01:13:46.100</v>
      </c>
      <c r="H32" t="s">
        <v>30</v>
      </c>
    </row>
    <row r="33" spans="1:10" x14ac:dyDescent="0.25">
      <c r="A33" s="1">
        <v>3</v>
      </c>
      <c r="B33" t="s">
        <v>19</v>
      </c>
      <c r="C33">
        <v>706</v>
      </c>
      <c r="D33">
        <v>2</v>
      </c>
      <c r="E33" t="s">
        <v>31</v>
      </c>
      <c r="F33" t="s">
        <v>35</v>
      </c>
      <c r="G33" t="str">
        <f>"2026-07-19 01:13:15.918"</f>
        <v>2026-07-19 01:13:15.918</v>
      </c>
      <c r="H33" t="s">
        <v>21</v>
      </c>
      <c r="I33">
        <v>0</v>
      </c>
      <c r="J33" t="s">
        <v>33</v>
      </c>
    </row>
    <row r="34" spans="1:10" x14ac:dyDescent="0.25">
      <c r="A34" s="1">
        <v>4</v>
      </c>
      <c r="B34" t="s">
        <v>34</v>
      </c>
      <c r="C34">
        <v>630</v>
      </c>
      <c r="D34">
        <v>5</v>
      </c>
      <c r="E34" t="s">
        <v>28</v>
      </c>
      <c r="F34" t="s">
        <v>29</v>
      </c>
      <c r="G34" t="str">
        <f>"2026-07-19 00:52:23.600"</f>
        <v>2026-07-19 00:52:23.600</v>
      </c>
      <c r="H34" t="s">
        <v>30</v>
      </c>
      <c r="I34">
        <v>0</v>
      </c>
      <c r="J34" t="s">
        <v>33</v>
      </c>
    </row>
    <row r="35" spans="1:10" x14ac:dyDescent="0.25">
      <c r="A35" s="1">
        <v>5</v>
      </c>
      <c r="B35" t="s">
        <v>22</v>
      </c>
      <c r="C35">
        <v>630</v>
      </c>
      <c r="D35">
        <v>5</v>
      </c>
      <c r="E35" t="s">
        <v>28</v>
      </c>
      <c r="F35" t="s">
        <v>29</v>
      </c>
      <c r="G35" t="str">
        <f>"2026-07-18 21:04:42.200"</f>
        <v>2026-07-18 21:04:42.200</v>
      </c>
      <c r="H35" t="s">
        <v>30</v>
      </c>
    </row>
    <row r="36" spans="1:10" x14ac:dyDescent="0.25">
      <c r="A36" s="1">
        <v>6</v>
      </c>
      <c r="B36" t="s">
        <v>19</v>
      </c>
      <c r="C36">
        <v>706</v>
      </c>
      <c r="D36">
        <v>2</v>
      </c>
      <c r="E36" t="s">
        <v>31</v>
      </c>
      <c r="F36" t="s">
        <v>35</v>
      </c>
      <c r="G36" t="str">
        <f>"2026-07-18 21:04:12.018"</f>
        <v>2026-07-18 21:04:12.018</v>
      </c>
      <c r="H36" t="s">
        <v>21</v>
      </c>
      <c r="I36">
        <v>0</v>
      </c>
      <c r="J36" t="s">
        <v>33</v>
      </c>
    </row>
    <row r="37" spans="1:10" x14ac:dyDescent="0.25">
      <c r="A37" s="1">
        <v>7</v>
      </c>
      <c r="B37" t="s">
        <v>34</v>
      </c>
      <c r="C37">
        <v>630</v>
      </c>
      <c r="D37">
        <v>5</v>
      </c>
      <c r="E37" t="s">
        <v>28</v>
      </c>
      <c r="F37" t="s">
        <v>29</v>
      </c>
      <c r="G37" t="str">
        <f>"2026-07-18 20:58:18.400"</f>
        <v>2026-07-18 20:58:18.400</v>
      </c>
      <c r="H37" t="s">
        <v>30</v>
      </c>
      <c r="I37">
        <v>0</v>
      </c>
      <c r="J37" t="s">
        <v>33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"2026-07-18 13:15:55.158"</f>
        <v>2026-07-18 13:15:55.158</v>
      </c>
      <c r="H38" t="s">
        <v>21</v>
      </c>
      <c r="I38">
        <v>0</v>
      </c>
      <c r="J38" t="s">
        <v>27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"2026-07-18 01:56:07.295"</f>
        <v>2026-07-18 01:56:07.295</v>
      </c>
      <c r="H39" t="s">
        <v>21</v>
      </c>
      <c r="I39">
        <v>0</v>
      </c>
      <c r="J39" t="s">
        <v>27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"2026-07-17 13:45:47.190"</f>
        <v>2026-07-17 13:45:47.190</v>
      </c>
      <c r="H40" t="s">
        <v>21</v>
      </c>
      <c r="I40">
        <v>0</v>
      </c>
      <c r="J40" t="s">
        <v>27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"2026-07-17 00:37:11.338"</f>
        <v>2026-07-17 00:37:11.338</v>
      </c>
      <c r="H41" t="s">
        <v>21</v>
      </c>
      <c r="I41">
        <v>0</v>
      </c>
      <c r="J41" t="s">
        <v>27</v>
      </c>
    </row>
    <row r="42" spans="1:10" x14ac:dyDescent="0.25">
      <c r="A42" s="1">
        <v>2</v>
      </c>
      <c r="B42" t="s">
        <v>22</v>
      </c>
      <c r="C42">
        <v>635</v>
      </c>
      <c r="D42">
        <v>1</v>
      </c>
      <c r="E42" t="s">
        <v>23</v>
      </c>
      <c r="F42" t="s">
        <v>24</v>
      </c>
      <c r="G42" t="str">
        <f>"2026-07-16 21:00:10.535"</f>
        <v>2026-07-16 21:00:10.535</v>
      </c>
      <c r="H42" t="s">
        <v>21</v>
      </c>
    </row>
    <row r="43" spans="1:10" x14ac:dyDescent="0.25">
      <c r="A43" s="1">
        <v>3</v>
      </c>
      <c r="B43" t="s">
        <v>25</v>
      </c>
      <c r="C43">
        <v>635</v>
      </c>
      <c r="D43">
        <v>1</v>
      </c>
      <c r="E43" t="s">
        <v>23</v>
      </c>
      <c r="F43" t="s">
        <v>24</v>
      </c>
      <c r="G43" t="str">
        <f>"2026-07-16 20:54:44.535"</f>
        <v>2026-07-16 20:54:44.535</v>
      </c>
      <c r="H43" t="s">
        <v>21</v>
      </c>
      <c r="I43">
        <v>1.25</v>
      </c>
      <c r="J43" t="s">
        <v>26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"2026-07-16 12:44:28.196"</f>
        <v>2026-07-16 12:44:28.196</v>
      </c>
      <c r="H44" t="s">
        <v>21</v>
      </c>
      <c r="I44">
        <v>0</v>
      </c>
      <c r="J44" t="s">
        <v>27</v>
      </c>
    </row>
    <row r="45" spans="1:10" x14ac:dyDescent="0.25">
      <c r="A45" s="1">
        <v>5</v>
      </c>
      <c r="B45" t="s">
        <v>22</v>
      </c>
      <c r="C45">
        <v>635</v>
      </c>
      <c r="D45">
        <v>1</v>
      </c>
      <c r="E45" t="s">
        <v>23</v>
      </c>
      <c r="F45" t="s">
        <v>24</v>
      </c>
      <c r="G45" t="str">
        <f>"2026-07-16 07:09:33.334"</f>
        <v>2026-07-16 07:09:33.334</v>
      </c>
      <c r="H45" t="s">
        <v>21</v>
      </c>
    </row>
    <row r="46" spans="1:10" x14ac:dyDescent="0.25">
      <c r="A46" s="1">
        <v>6</v>
      </c>
      <c r="B46" t="s">
        <v>25</v>
      </c>
      <c r="C46">
        <v>635</v>
      </c>
      <c r="D46">
        <v>1</v>
      </c>
      <c r="E46" t="s">
        <v>23</v>
      </c>
      <c r="F46" t="s">
        <v>24</v>
      </c>
      <c r="G46" t="str">
        <f>"2026-07-16 07:07:18.334"</f>
        <v>2026-07-16 07:07:18.334</v>
      </c>
      <c r="H46" t="s">
        <v>21</v>
      </c>
      <c r="I46">
        <v>-3.85</v>
      </c>
      <c r="J46" t="s">
        <v>36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"2026-07-16 01:31:42.287"</f>
        <v>2026-07-16 01:31:42.287</v>
      </c>
      <c r="H47" t="s">
        <v>21</v>
      </c>
      <c r="I47">
        <v>0</v>
      </c>
      <c r="J47" t="s">
        <v>27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"2026-07-15 13:18:58.187"</f>
        <v>2026-07-15 13:18:58.187</v>
      </c>
      <c r="H48" t="s">
        <v>21</v>
      </c>
      <c r="I48">
        <v>0</v>
      </c>
      <c r="J48" t="s">
        <v>27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"2026-07-15 00:25:35.180"</f>
        <v>2026-07-15 00:25:35.180</v>
      </c>
      <c r="H49" t="s">
        <v>21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"2026-07-14 01:40:22.180"</f>
        <v>2026-07-14 01:40:22.180</v>
      </c>
      <c r="H50" t="s">
        <v>21</v>
      </c>
      <c r="I50">
        <v>0</v>
      </c>
      <c r="J50" t="s">
        <v>27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"2026-07-12 13:43:52.186"</f>
        <v>2026-07-12 13:43:52.186</v>
      </c>
      <c r="H51" t="s">
        <v>21</v>
      </c>
      <c r="I51">
        <v>0</v>
      </c>
      <c r="J51" t="s">
        <v>27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"2026-07-11 14:07:18.345"</f>
        <v>2026-07-11 14:07:18.345</v>
      </c>
      <c r="H52" t="s">
        <v>21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"2026-07-11 01:46:56.164"</f>
        <v>2026-07-11 01:46:56.164</v>
      </c>
      <c r="H53" t="s">
        <v>21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"2026-07-10 13:34:07.329"</f>
        <v>2026-07-10 13:34:07.329</v>
      </c>
      <c r="H54" t="s">
        <v>21</v>
      </c>
    </row>
    <row r="55" spans="1:10" x14ac:dyDescent="0.25">
      <c r="A55" s="1">
        <v>5</v>
      </c>
      <c r="B55" t="s">
        <v>22</v>
      </c>
      <c r="C55">
        <v>630</v>
      </c>
      <c r="D55">
        <v>5</v>
      </c>
      <c r="E55" t="s">
        <v>28</v>
      </c>
      <c r="F55" t="s">
        <v>29</v>
      </c>
      <c r="G55" t="str">
        <f>"2026-07-10 03:03:43.958"</f>
        <v>2026-07-10 03:03:43.958</v>
      </c>
      <c r="H55" t="s">
        <v>30</v>
      </c>
    </row>
    <row r="56" spans="1:10" x14ac:dyDescent="0.25">
      <c r="A56" s="1">
        <v>6</v>
      </c>
      <c r="B56" t="s">
        <v>19</v>
      </c>
      <c r="C56">
        <v>706</v>
      </c>
      <c r="D56">
        <v>4</v>
      </c>
      <c r="E56" t="s">
        <v>31</v>
      </c>
      <c r="F56" t="s">
        <v>32</v>
      </c>
      <c r="G56" t="str">
        <f>"2026-07-10 03:03:13.843"</f>
        <v>2026-07-10 03:03:13.843</v>
      </c>
      <c r="H56" t="s">
        <v>21</v>
      </c>
      <c r="I56">
        <v>0</v>
      </c>
      <c r="J56" t="s">
        <v>33</v>
      </c>
    </row>
    <row r="57" spans="1:10" x14ac:dyDescent="0.25">
      <c r="A57" s="1">
        <v>7</v>
      </c>
      <c r="B57" t="s">
        <v>34</v>
      </c>
      <c r="C57">
        <v>630</v>
      </c>
      <c r="D57">
        <v>5</v>
      </c>
      <c r="E57" t="s">
        <v>28</v>
      </c>
      <c r="F57" t="s">
        <v>29</v>
      </c>
      <c r="G57" t="str">
        <f>"2026-07-10 02:51:06.958"</f>
        <v>2026-07-10 02:51:06.958</v>
      </c>
      <c r="H57" t="s">
        <v>30</v>
      </c>
      <c r="I57">
        <v>0</v>
      </c>
      <c r="J57" t="s">
        <v>33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"2026-07-10 02:46:04.173"</f>
        <v>2026-07-10 02:46:04.173</v>
      </c>
      <c r="H58" t="s">
        <v>21</v>
      </c>
      <c r="I58">
        <v>0</v>
      </c>
      <c r="J58" t="s">
        <v>27</v>
      </c>
    </row>
    <row r="59" spans="1:10" x14ac:dyDescent="0.25">
      <c r="A59" s="1">
        <v>9</v>
      </c>
      <c r="B59" t="s">
        <v>22</v>
      </c>
      <c r="C59">
        <v>630</v>
      </c>
      <c r="D59">
        <v>5</v>
      </c>
      <c r="E59" t="s">
        <v>28</v>
      </c>
      <c r="F59" t="s">
        <v>29</v>
      </c>
      <c r="G59" t="str">
        <f>"2026-07-10 02:15:37.896"</f>
        <v>2026-07-10 02:15:37.896</v>
      </c>
      <c r="H59" t="s">
        <v>30</v>
      </c>
    </row>
    <row r="60" spans="1:10" x14ac:dyDescent="0.25">
      <c r="A60" s="1">
        <v>0</v>
      </c>
      <c r="B60" t="s">
        <v>19</v>
      </c>
      <c r="C60">
        <v>706</v>
      </c>
      <c r="D60">
        <v>4</v>
      </c>
      <c r="E60" t="s">
        <v>31</v>
      </c>
      <c r="F60" t="s">
        <v>32</v>
      </c>
      <c r="G60" t="str">
        <f>"2026-07-10 02:15:07.809"</f>
        <v>2026-07-10 02:15:07.809</v>
      </c>
      <c r="H60" t="s">
        <v>21</v>
      </c>
      <c r="I60">
        <v>0</v>
      </c>
      <c r="J60" t="s">
        <v>33</v>
      </c>
    </row>
    <row r="61" spans="1:10" x14ac:dyDescent="0.25">
      <c r="A61" s="1">
        <v>1</v>
      </c>
      <c r="B61" t="s">
        <v>34</v>
      </c>
      <c r="C61">
        <v>630</v>
      </c>
      <c r="D61">
        <v>5</v>
      </c>
      <c r="E61" t="s">
        <v>28</v>
      </c>
      <c r="F61" t="s">
        <v>29</v>
      </c>
      <c r="G61" t="str">
        <f>"2026-07-10 02:02:20.197"</f>
        <v>2026-07-10 02:02:20.197</v>
      </c>
      <c r="H61" t="s">
        <v>30</v>
      </c>
      <c r="I61">
        <v>0</v>
      </c>
      <c r="J61" t="s">
        <v>33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"2026-07-10 01:57:17.359"</f>
        <v>2026-07-10 01:57:17.359</v>
      </c>
      <c r="H62" t="s">
        <v>21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"2026-07-09 13:07:20.204"</f>
        <v>2026-07-09 13:07:20.204</v>
      </c>
      <c r="H63" t="s">
        <v>21</v>
      </c>
      <c r="I63">
        <v>0</v>
      </c>
      <c r="J63" t="s">
        <v>27</v>
      </c>
    </row>
    <row r="64" spans="1:10" x14ac:dyDescent="0.25">
      <c r="A64" s="1">
        <v>4</v>
      </c>
      <c r="B64" t="s">
        <v>22</v>
      </c>
      <c r="C64">
        <v>635</v>
      </c>
      <c r="D64">
        <v>1</v>
      </c>
      <c r="E64" t="s">
        <v>23</v>
      </c>
      <c r="F64" t="s">
        <v>24</v>
      </c>
      <c r="G64" t="str">
        <f>"2026-07-09 04:59:54.012"</f>
        <v>2026-07-09 04:59:54.012</v>
      </c>
      <c r="H64" t="s">
        <v>21</v>
      </c>
    </row>
    <row r="65" spans="1:10" x14ac:dyDescent="0.25">
      <c r="A65" s="1">
        <v>5</v>
      </c>
      <c r="B65" t="s">
        <v>25</v>
      </c>
      <c r="C65">
        <v>635</v>
      </c>
      <c r="D65">
        <v>1</v>
      </c>
      <c r="E65" t="s">
        <v>23</v>
      </c>
      <c r="F65" t="s">
        <v>24</v>
      </c>
      <c r="G65" t="str">
        <f>"2026-07-09 04:54:02.013"</f>
        <v>2026-07-09 04:54:02.013</v>
      </c>
      <c r="H65" t="s">
        <v>21</v>
      </c>
      <c r="I65">
        <v>-0.53</v>
      </c>
      <c r="J65" t="s">
        <v>26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"2026-07-09 01:24:19.162"</f>
        <v>2026-07-09 01:24:19.162</v>
      </c>
      <c r="H66" t="s">
        <v>21</v>
      </c>
      <c r="I66">
        <v>0</v>
      </c>
      <c r="J66" t="s">
        <v>27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"2026-07-09 01:20:36.148"</f>
        <v>2026-07-09 01:20:36.148</v>
      </c>
      <c r="H67" t="s">
        <v>21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"2026-07-08 12:18:01.171"</f>
        <v>2026-07-08 12:18:01.171</v>
      </c>
      <c r="H68" t="s">
        <v>21</v>
      </c>
      <c r="I68">
        <v>0</v>
      </c>
      <c r="J68" t="s">
        <v>27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"2026-07-08 02:08:59.166"</f>
        <v>2026-07-08 02:08:59.166</v>
      </c>
      <c r="H69" t="s">
        <v>21</v>
      </c>
      <c r="I69">
        <v>0</v>
      </c>
      <c r="J69" t="s">
        <v>27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"2026-07-07 12:23:26.169"</f>
        <v>2026-07-07 12:23:26.169</v>
      </c>
      <c r="H70" t="s">
        <v>21</v>
      </c>
      <c r="I70">
        <v>0</v>
      </c>
      <c r="J70" t="s">
        <v>27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"2026-07-07 01:17:24.161"</f>
        <v>2026-07-07 01:17:24.161</v>
      </c>
      <c r="H71" t="s">
        <v>21</v>
      </c>
      <c r="I71">
        <v>0</v>
      </c>
      <c r="J71" t="s">
        <v>27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"2026-07-06 00:30:46.327"</f>
        <v>2026-07-06 00:30:46.327</v>
      </c>
      <c r="H72" t="s">
        <v>21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"2026-07-05 08:10:10.239"</f>
        <v>2026-07-05 08:10:10.239</v>
      </c>
      <c r="H73" t="s">
        <v>21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"2026-07-05 00:24:31.162"</f>
        <v>2026-07-05 00:24:31.162</v>
      </c>
      <c r="H74" t="s">
        <v>21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"2026-07-04 01:41:28.179"</f>
        <v>2026-07-04 01:41:28.179</v>
      </c>
      <c r="H75" t="s">
        <v>21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"2026-07-03 21:17:26.201"</f>
        <v>2026-07-03 21:17:26.201</v>
      </c>
      <c r="H76" t="s">
        <v>21</v>
      </c>
      <c r="I76">
        <v>0</v>
      </c>
      <c r="J76" t="s">
        <v>27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"2026-07-03 12:57:41.176"</f>
        <v>2026-07-03 12:57:41.176</v>
      </c>
      <c r="H77" t="s">
        <v>21</v>
      </c>
    </row>
    <row r="78" spans="1:10" x14ac:dyDescent="0.25">
      <c r="A78" s="1">
        <v>8</v>
      </c>
      <c r="B78" t="s">
        <v>22</v>
      </c>
      <c r="C78">
        <v>635</v>
      </c>
      <c r="D78">
        <v>1</v>
      </c>
      <c r="E78" t="s">
        <v>23</v>
      </c>
      <c r="F78" t="s">
        <v>24</v>
      </c>
      <c r="G78" t="str">
        <f>"2026-07-03 09:01:42.150"</f>
        <v>2026-07-03 09:01:42.150</v>
      </c>
      <c r="H78" t="s">
        <v>21</v>
      </c>
    </row>
    <row r="79" spans="1:10" x14ac:dyDescent="0.25">
      <c r="A79" s="1">
        <v>9</v>
      </c>
      <c r="B79" t="s">
        <v>25</v>
      </c>
      <c r="C79">
        <v>635</v>
      </c>
      <c r="D79">
        <v>1</v>
      </c>
      <c r="E79" t="s">
        <v>23</v>
      </c>
      <c r="F79" t="s">
        <v>24</v>
      </c>
      <c r="G79" t="str">
        <f>"2026-07-03 08:34:56.751"</f>
        <v>2026-07-03 08:34:56.751</v>
      </c>
      <c r="H79" t="s">
        <v>21</v>
      </c>
      <c r="I79">
        <v>9.11</v>
      </c>
      <c r="J79" t="s">
        <v>37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"2026-07-03 01:05:17.350"</f>
        <v>2026-07-03 01:05:17.350</v>
      </c>
      <c r="H80" t="s">
        <v>21</v>
      </c>
      <c r="I80">
        <v>0</v>
      </c>
      <c r="J80" t="s">
        <v>27</v>
      </c>
    </row>
    <row r="81" spans="1:10" x14ac:dyDescent="0.25">
      <c r="A81" s="1">
        <v>1</v>
      </c>
      <c r="B81" t="s">
        <v>19</v>
      </c>
      <c r="C81">
        <v>706</v>
      </c>
      <c r="D81">
        <v>4</v>
      </c>
      <c r="E81" t="s">
        <v>31</v>
      </c>
      <c r="F81" t="s">
        <v>32</v>
      </c>
      <c r="G81" t="str">
        <f>"2026-07-02 01:22:01.861"</f>
        <v>2026-07-02 01:22:01.861</v>
      </c>
      <c r="H81" t="s">
        <v>21</v>
      </c>
      <c r="I81">
        <v>0</v>
      </c>
      <c r="J81" t="s">
        <v>33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"2026-07-02 01:21:14.161"</f>
        <v>2026-07-02 01:21:14.161</v>
      </c>
      <c r="H82" t="s">
        <v>21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"2026-07-02 00:45:33.164"</f>
        <v>2026-07-02 00:45:33.164</v>
      </c>
      <c r="H83" t="s">
        <v>21</v>
      </c>
      <c r="I83">
        <v>0</v>
      </c>
      <c r="J83" t="s">
        <v>27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"2026-07-01 13:27:52.164"</f>
        <v>2026-07-01 13:27:52.164</v>
      </c>
      <c r="H84" t="s">
        <v>21</v>
      </c>
      <c r="I84">
        <v>0</v>
      </c>
      <c r="J84" t="s">
        <v>27</v>
      </c>
    </row>
    <row r="85" spans="1:10" x14ac:dyDescent="0.25">
      <c r="A85" s="1">
        <v>5</v>
      </c>
      <c r="B85" t="s">
        <v>22</v>
      </c>
      <c r="C85">
        <v>630</v>
      </c>
      <c r="D85">
        <v>5</v>
      </c>
      <c r="E85" t="s">
        <v>28</v>
      </c>
      <c r="F85" t="s">
        <v>29</v>
      </c>
      <c r="G85" t="str">
        <f>"2026-07-01 02:23:44.224"</f>
        <v>2026-07-01 02:23:44.224</v>
      </c>
      <c r="H85" t="s">
        <v>30</v>
      </c>
    </row>
    <row r="86" spans="1:10" x14ac:dyDescent="0.25">
      <c r="A86" s="1">
        <v>6</v>
      </c>
      <c r="B86" t="s">
        <v>19</v>
      </c>
      <c r="C86">
        <v>706</v>
      </c>
      <c r="D86">
        <v>4</v>
      </c>
      <c r="E86" t="s">
        <v>31</v>
      </c>
      <c r="F86" t="s">
        <v>32</v>
      </c>
      <c r="G86" t="str">
        <f>"2026-07-01 02:23:14.237"</f>
        <v>2026-07-01 02:23:14.237</v>
      </c>
      <c r="H86" t="s">
        <v>21</v>
      </c>
      <c r="I86">
        <v>0</v>
      </c>
      <c r="J86" t="s">
        <v>33</v>
      </c>
    </row>
    <row r="87" spans="1:10" x14ac:dyDescent="0.25">
      <c r="A87" s="1">
        <v>7</v>
      </c>
      <c r="B87" t="s">
        <v>34</v>
      </c>
      <c r="C87">
        <v>630</v>
      </c>
      <c r="D87">
        <v>5</v>
      </c>
      <c r="E87" t="s">
        <v>28</v>
      </c>
      <c r="F87" t="s">
        <v>29</v>
      </c>
      <c r="G87" t="str">
        <f>"2026-07-01 02:18:11.925"</f>
        <v>2026-07-01 02:18:11.925</v>
      </c>
      <c r="H87" t="s">
        <v>30</v>
      </c>
      <c r="I87">
        <v>0</v>
      </c>
      <c r="J87" t="s">
        <v>33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"2026-07-01 02:13:09.157"</f>
        <v>2026-07-01 02:13:09.157</v>
      </c>
      <c r="H88" t="s">
        <v>21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"2026-06-30 13:00:21.205"</f>
        <v>2026-06-30 13:00:21.205</v>
      </c>
      <c r="H89" t="s">
        <v>21</v>
      </c>
      <c r="I89">
        <v>0</v>
      </c>
      <c r="J89" t="s">
        <v>27</v>
      </c>
    </row>
    <row r="90" spans="1:10" x14ac:dyDescent="0.25">
      <c r="A90" s="1">
        <v>0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"2026-06-30 01:18:28.256"</f>
        <v>2026-06-30 01:18:28.256</v>
      </c>
      <c r="H90" t="s">
        <v>21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"2026-06-29 04:31:55.179"</f>
        <v>2026-06-29 04:31:55.179</v>
      </c>
      <c r="H91" t="s">
        <v>21</v>
      </c>
    </row>
    <row r="92" spans="1:10" x14ac:dyDescent="0.25">
      <c r="A92" s="1">
        <v>2</v>
      </c>
      <c r="B92" t="s">
        <v>22</v>
      </c>
      <c r="C92">
        <v>630</v>
      </c>
      <c r="D92">
        <v>5</v>
      </c>
      <c r="E92" t="s">
        <v>28</v>
      </c>
      <c r="F92" t="s">
        <v>29</v>
      </c>
      <c r="G92" t="str">
        <f>"2026-06-29 04:25:29.333"</f>
        <v>2026-06-29 04:25:29.333</v>
      </c>
      <c r="H92" t="s">
        <v>30</v>
      </c>
    </row>
    <row r="93" spans="1:10" x14ac:dyDescent="0.25">
      <c r="A93" s="1">
        <v>3</v>
      </c>
      <c r="B93" t="s">
        <v>19</v>
      </c>
      <c r="C93">
        <v>706</v>
      </c>
      <c r="D93">
        <v>4</v>
      </c>
      <c r="E93" t="s">
        <v>31</v>
      </c>
      <c r="F93" t="s">
        <v>32</v>
      </c>
      <c r="G93" t="str">
        <f>"2026-06-29 04:24:59.209"</f>
        <v>2026-06-29 04:24:59.209</v>
      </c>
      <c r="H93" t="s">
        <v>21</v>
      </c>
      <c r="I93">
        <v>0</v>
      </c>
      <c r="J93" t="s">
        <v>33</v>
      </c>
    </row>
    <row r="94" spans="1:10" x14ac:dyDescent="0.25">
      <c r="A94" s="1">
        <v>4</v>
      </c>
      <c r="B94" t="s">
        <v>34</v>
      </c>
      <c r="C94">
        <v>630</v>
      </c>
      <c r="D94">
        <v>5</v>
      </c>
      <c r="E94" t="s">
        <v>28</v>
      </c>
      <c r="F94" t="s">
        <v>29</v>
      </c>
      <c r="G94" t="str">
        <f>"2026-06-29 04:24:36.932"</f>
        <v>2026-06-29 04:24:36.932</v>
      </c>
      <c r="H94" t="s">
        <v>30</v>
      </c>
      <c r="I94">
        <v>0</v>
      </c>
      <c r="J94" t="s">
        <v>33</v>
      </c>
    </row>
    <row r="95" spans="1:10" x14ac:dyDescent="0.25">
      <c r="A95" s="1">
        <v>5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"2026-06-29 04:19:34.169"</f>
        <v>2026-06-29 04:19:34.169</v>
      </c>
      <c r="H95" t="s">
        <v>21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"2026-06-29 04:10:01.168"</f>
        <v>2026-06-29 04:10:01.168</v>
      </c>
      <c r="H96" t="s">
        <v>21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"2026-06-29 04:03:51.179"</f>
        <v>2026-06-29 04:03:51.179</v>
      </c>
      <c r="H97" t="s">
        <v>21</v>
      </c>
      <c r="I97">
        <v>0</v>
      </c>
      <c r="J97" t="s">
        <v>27</v>
      </c>
    </row>
    <row r="98" spans="1:10" x14ac:dyDescent="0.25">
      <c r="A98" s="1">
        <v>8</v>
      </c>
      <c r="B98" t="s">
        <v>22</v>
      </c>
      <c r="C98">
        <v>630</v>
      </c>
      <c r="D98">
        <v>5</v>
      </c>
      <c r="E98" t="s">
        <v>28</v>
      </c>
      <c r="F98" t="s">
        <v>29</v>
      </c>
      <c r="G98" t="str">
        <f>"2026-06-29 03:52:37.964"</f>
        <v>2026-06-29 03:52:37.964</v>
      </c>
      <c r="H98" t="s">
        <v>30</v>
      </c>
    </row>
    <row r="99" spans="1:10" x14ac:dyDescent="0.25">
      <c r="A99" s="1">
        <v>9</v>
      </c>
      <c r="B99" t="s">
        <v>19</v>
      </c>
      <c r="C99">
        <v>706</v>
      </c>
      <c r="D99">
        <v>2</v>
      </c>
      <c r="E99" t="s">
        <v>31</v>
      </c>
      <c r="F99" t="s">
        <v>35</v>
      </c>
      <c r="G99" t="str">
        <f>"2026-06-29 03:52:07.787"</f>
        <v>2026-06-29 03:52:07.787</v>
      </c>
      <c r="H99" t="s">
        <v>21</v>
      </c>
      <c r="I99">
        <v>0</v>
      </c>
      <c r="J99" t="s">
        <v>38</v>
      </c>
    </row>
    <row r="100" spans="1:10" x14ac:dyDescent="0.25">
      <c r="A100" s="1">
        <v>0</v>
      </c>
      <c r="B100" t="s">
        <v>19</v>
      </c>
      <c r="C100">
        <v>706</v>
      </c>
      <c r="D100">
        <v>2</v>
      </c>
      <c r="E100" t="s">
        <v>31</v>
      </c>
      <c r="F100" t="s">
        <v>35</v>
      </c>
      <c r="G100" t="str">
        <f>"2026-06-29 03:46:22.187"</f>
        <v>2026-06-29 03:46:22.187</v>
      </c>
      <c r="H100" t="s">
        <v>21</v>
      </c>
      <c r="I100">
        <v>0</v>
      </c>
      <c r="J100" t="s">
        <v>38</v>
      </c>
    </row>
    <row r="101" spans="1:10" x14ac:dyDescent="0.25">
      <c r="A101" s="1">
        <v>1</v>
      </c>
      <c r="B101" t="s">
        <v>19</v>
      </c>
      <c r="C101">
        <v>706</v>
      </c>
      <c r="D101">
        <v>4</v>
      </c>
      <c r="E101" t="s">
        <v>31</v>
      </c>
      <c r="F101" t="s">
        <v>32</v>
      </c>
      <c r="G101" t="str">
        <f>"2026-06-29 03:42:48.887"</f>
        <v>2026-06-29 03:42:48.887</v>
      </c>
      <c r="H101" t="s">
        <v>21</v>
      </c>
      <c r="I101">
        <v>0</v>
      </c>
      <c r="J101" t="s">
        <v>38</v>
      </c>
    </row>
    <row r="102" spans="1:10" x14ac:dyDescent="0.25">
      <c r="A102" s="1">
        <v>2</v>
      </c>
      <c r="B102" t="s">
        <v>34</v>
      </c>
      <c r="C102">
        <v>630</v>
      </c>
      <c r="D102">
        <v>5</v>
      </c>
      <c r="E102" t="s">
        <v>28</v>
      </c>
      <c r="F102" t="s">
        <v>29</v>
      </c>
      <c r="G102" t="str">
        <f>"2026-06-29 03:42:06.965"</f>
        <v>2026-06-29 03:42:06.965</v>
      </c>
      <c r="H102" t="s">
        <v>30</v>
      </c>
      <c r="I102">
        <v>0</v>
      </c>
      <c r="J102" t="s">
        <v>38</v>
      </c>
    </row>
    <row r="103" spans="1:10" x14ac:dyDescent="0.25">
      <c r="A103" s="1">
        <v>3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"2026-06-29 03:37:04.167"</f>
        <v>2026-06-29 03:37:04.167</v>
      </c>
      <c r="H103" t="s">
        <v>21</v>
      </c>
    </row>
    <row r="104" spans="1:10" x14ac:dyDescent="0.25">
      <c r="A104" s="1">
        <v>4</v>
      </c>
      <c r="B104" t="s">
        <v>34</v>
      </c>
      <c r="C104">
        <v>630</v>
      </c>
      <c r="D104">
        <v>5</v>
      </c>
      <c r="E104" t="s">
        <v>28</v>
      </c>
      <c r="F104" t="s">
        <v>29</v>
      </c>
      <c r="G104" t="str">
        <f>"2026-06-29 03:36:03.934"</f>
        <v>2026-06-29 03:36:03.934</v>
      </c>
      <c r="H104" t="s">
        <v>30</v>
      </c>
      <c r="I104">
        <v>0</v>
      </c>
      <c r="J104" t="s">
        <v>38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"2026-06-29 03:31:01.173"</f>
        <v>2026-06-29 03:31:01.173</v>
      </c>
      <c r="H105" t="s">
        <v>21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"2026-06-28 23:57:39.353"</f>
        <v>2026-06-28 23:57:39.353</v>
      </c>
      <c r="H106" t="s">
        <v>21</v>
      </c>
      <c r="I106">
        <v>0</v>
      </c>
      <c r="J106" t="s">
        <v>27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"2026-06-28 12:59:32.182"</f>
        <v>2026-06-28 12:59:32.182</v>
      </c>
      <c r="H107" t="s">
        <v>21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"2026-06-28 03:41:27.156"</f>
        <v>2026-06-28 03:41:27.156</v>
      </c>
      <c r="H108" t="s">
        <v>21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"2026-06-28 03:23:07.177"</f>
        <v>2026-06-28 03:23:07.177</v>
      </c>
      <c r="H109" t="s">
        <v>21</v>
      </c>
    </row>
    <row r="110" spans="1:10" x14ac:dyDescent="0.25">
      <c r="A110" s="1">
        <v>0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"2026-06-28 01:23:01.280"</f>
        <v>2026-06-28 01:23:01.280</v>
      </c>
      <c r="H110" t="s">
        <v>21</v>
      </c>
      <c r="I110">
        <v>0</v>
      </c>
      <c r="J110" t="s">
        <v>27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"2026-06-27 13:43:45.188"</f>
        <v>2026-06-27 13:43:45.188</v>
      </c>
      <c r="H111" t="s">
        <v>21</v>
      </c>
      <c r="I111">
        <v>0</v>
      </c>
      <c r="J111" t="s">
        <v>27</v>
      </c>
    </row>
    <row r="112" spans="1:10" s="3" customFormat="1" x14ac:dyDescent="0.25">
      <c r="A112" s="2">
        <v>2</v>
      </c>
      <c r="B112" s="3" t="s">
        <v>22</v>
      </c>
      <c r="C112" s="3">
        <v>647</v>
      </c>
      <c r="D112" s="3">
        <v>1</v>
      </c>
      <c r="E112" s="3" t="s">
        <v>39</v>
      </c>
      <c r="F112" s="3" t="s">
        <v>40</v>
      </c>
      <c r="G112" s="3" t="str">
        <f>"2026-06-26 11:03:26.359"</f>
        <v>2026-06-26 11:03:26.359</v>
      </c>
      <c r="H112" s="3" t="s">
        <v>21</v>
      </c>
    </row>
    <row r="113" spans="1:10" s="3" customFormat="1" x14ac:dyDescent="0.25">
      <c r="A113" s="2">
        <v>3</v>
      </c>
      <c r="B113" s="3" t="s">
        <v>25</v>
      </c>
      <c r="C113" s="3">
        <v>647</v>
      </c>
      <c r="D113" s="3">
        <v>1</v>
      </c>
      <c r="E113" s="3" t="s">
        <v>39</v>
      </c>
      <c r="F113" s="3" t="s">
        <v>40</v>
      </c>
      <c r="G113" s="3" t="str">
        <f>"2026-06-26 11:03:22.459"</f>
        <v>2026-06-26 11:03:22.459</v>
      </c>
      <c r="H113" s="3" t="s">
        <v>21</v>
      </c>
      <c r="I113" s="3">
        <v>13.73</v>
      </c>
      <c r="J113" s="3" t="s">
        <v>37</v>
      </c>
    </row>
    <row r="114" spans="1:10" x14ac:dyDescent="0.25">
      <c r="A114" s="1">
        <v>4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"2026-06-26 01:45:41.198"</f>
        <v>2026-06-26 01:45:41.198</v>
      </c>
      <c r="H114" t="s">
        <v>21</v>
      </c>
      <c r="I114">
        <v>0</v>
      </c>
      <c r="J114" t="s">
        <v>27</v>
      </c>
    </row>
    <row r="115" spans="1:10" x14ac:dyDescent="0.25">
      <c r="A115" s="1">
        <v>5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"2026-06-25 13:17:42.177"</f>
        <v>2026-06-25 13:17:42.177</v>
      </c>
      <c r="H115" t="s">
        <v>21</v>
      </c>
      <c r="I115">
        <v>0</v>
      </c>
      <c r="J115" t="s">
        <v>27</v>
      </c>
    </row>
    <row r="116" spans="1:10" x14ac:dyDescent="0.25">
      <c r="A116" s="1">
        <v>6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"2026-06-23 13:23:15.297"</f>
        <v>2026-06-23 13:23:15.297</v>
      </c>
      <c r="H116" t="s">
        <v>21</v>
      </c>
      <c r="I116">
        <v>0</v>
      </c>
      <c r="J116" t="s">
        <v>27</v>
      </c>
    </row>
    <row r="117" spans="1:10" x14ac:dyDescent="0.25">
      <c r="A117" s="1">
        <v>7</v>
      </c>
      <c r="B117" t="s">
        <v>22</v>
      </c>
      <c r="C117">
        <v>635</v>
      </c>
      <c r="D117">
        <v>1</v>
      </c>
      <c r="E117" t="s">
        <v>23</v>
      </c>
      <c r="F117" t="s">
        <v>24</v>
      </c>
      <c r="G117" t="str">
        <f>"2026-06-23 09:02:43.590"</f>
        <v>2026-06-23 09:02:43.590</v>
      </c>
      <c r="H117" t="s">
        <v>21</v>
      </c>
    </row>
    <row r="118" spans="1:10" x14ac:dyDescent="0.25">
      <c r="A118" s="1">
        <v>8</v>
      </c>
      <c r="B118" t="s">
        <v>25</v>
      </c>
      <c r="C118">
        <v>635</v>
      </c>
      <c r="D118">
        <v>1</v>
      </c>
      <c r="E118" t="s">
        <v>23</v>
      </c>
      <c r="F118" t="s">
        <v>24</v>
      </c>
      <c r="G118" t="str">
        <f>"2026-06-23 08:52:36.590"</f>
        <v>2026-06-23 08:52:36.590</v>
      </c>
      <c r="H118" t="s">
        <v>21</v>
      </c>
      <c r="I118">
        <v>5.35</v>
      </c>
      <c r="J118" t="s">
        <v>36</v>
      </c>
    </row>
    <row r="119" spans="1:10" x14ac:dyDescent="0.25">
      <c r="A119" s="1">
        <v>9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"2026-06-22 12:23:13.162"</f>
        <v>2026-06-22 12:23:13.162</v>
      </c>
      <c r="H119" t="s">
        <v>21</v>
      </c>
    </row>
    <row r="120" spans="1:10" s="3" customFormat="1" x14ac:dyDescent="0.25">
      <c r="A120" s="2">
        <v>10</v>
      </c>
      <c r="B120" s="3" t="s">
        <v>22</v>
      </c>
      <c r="C120" s="3">
        <v>647</v>
      </c>
      <c r="D120" s="3">
        <v>1</v>
      </c>
      <c r="E120" s="3" t="s">
        <v>39</v>
      </c>
      <c r="F120" s="3" t="s">
        <v>40</v>
      </c>
      <c r="G120" s="3" t="str">
        <f>"2026-06-22 06:58:16.432"</f>
        <v>2026-06-22 06:58:16.432</v>
      </c>
      <c r="H120" s="3" t="s">
        <v>21</v>
      </c>
    </row>
    <row r="121" spans="1:10" s="3" customFormat="1" x14ac:dyDescent="0.25">
      <c r="A121" s="2">
        <v>11</v>
      </c>
      <c r="B121" s="3" t="s">
        <v>25</v>
      </c>
      <c r="C121" s="3">
        <v>647</v>
      </c>
      <c r="D121" s="3">
        <v>1</v>
      </c>
      <c r="E121" s="3" t="s">
        <v>39</v>
      </c>
      <c r="F121" s="3" t="s">
        <v>40</v>
      </c>
      <c r="G121" s="3" t="str">
        <f>"2026-06-22 06:58:14.533"</f>
        <v>2026-06-22 06:58:14.533</v>
      </c>
      <c r="H121" s="3" t="s">
        <v>21</v>
      </c>
      <c r="I121" s="3">
        <v>12.21</v>
      </c>
      <c r="J121" s="3" t="s">
        <v>37</v>
      </c>
    </row>
    <row r="122" spans="1:10" x14ac:dyDescent="0.25">
      <c r="A122" s="1">
        <v>12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"2026-06-21 13:05:00.166"</f>
        <v>2026-06-21 13:05:00.166</v>
      </c>
      <c r="H122" t="s">
        <v>21</v>
      </c>
    </row>
    <row r="123" spans="1:10" x14ac:dyDescent="0.25">
      <c r="A123" s="1">
        <v>13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"2026-06-20 13:29:07.187"</f>
        <v>2026-06-20 13:29:07.187</v>
      </c>
      <c r="H123" t="s">
        <v>21</v>
      </c>
      <c r="I123">
        <v>0</v>
      </c>
      <c r="J123" t="s">
        <v>27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"2026-06-19 13:12:40.320"</f>
        <v>2026-06-19 13:12:40.320</v>
      </c>
      <c r="H124" t="s">
        <v>21</v>
      </c>
    </row>
    <row r="125" spans="1:10" x14ac:dyDescent="0.25">
      <c r="A125" s="1">
        <v>15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"2026-06-18 20:48:46.168"</f>
        <v>2026-06-18 20:48:46.168</v>
      </c>
      <c r="H125" t="s">
        <v>21</v>
      </c>
      <c r="I125">
        <v>0</v>
      </c>
      <c r="J125" t="s">
        <v>27</v>
      </c>
    </row>
    <row r="126" spans="1:10" x14ac:dyDescent="0.25">
      <c r="A126" s="1">
        <v>16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"2026-06-18 17:13:19.198"</f>
        <v>2026-06-18 17:13:19.198</v>
      </c>
      <c r="H126" t="s">
        <v>21</v>
      </c>
    </row>
    <row r="127" spans="1:10" x14ac:dyDescent="0.25">
      <c r="A127" s="1">
        <v>17</v>
      </c>
      <c r="B127" t="s">
        <v>22</v>
      </c>
      <c r="C127">
        <v>630</v>
      </c>
      <c r="D127">
        <v>5</v>
      </c>
      <c r="E127" t="s">
        <v>28</v>
      </c>
      <c r="F127" t="s">
        <v>29</v>
      </c>
      <c r="G127" t="str">
        <f>"2026-06-18 16:52:35.206"</f>
        <v>2026-06-18 16:52:35.206</v>
      </c>
      <c r="H127" t="s">
        <v>30</v>
      </c>
    </row>
    <row r="128" spans="1:10" x14ac:dyDescent="0.25">
      <c r="A128" s="1">
        <v>18</v>
      </c>
      <c r="B128" t="s">
        <v>19</v>
      </c>
      <c r="C128">
        <v>706</v>
      </c>
      <c r="D128">
        <v>4</v>
      </c>
      <c r="E128" t="s">
        <v>31</v>
      </c>
      <c r="F128" t="s">
        <v>32</v>
      </c>
      <c r="G128" t="str">
        <f>"2026-06-18 16:52:05.239"</f>
        <v>2026-06-18 16:52:05.239</v>
      </c>
      <c r="H128" t="s">
        <v>21</v>
      </c>
      <c r="I128">
        <v>0</v>
      </c>
      <c r="J128" t="s">
        <v>33</v>
      </c>
    </row>
    <row r="129" spans="1:10" x14ac:dyDescent="0.25">
      <c r="A129" s="1">
        <v>19</v>
      </c>
      <c r="B129" t="s">
        <v>19</v>
      </c>
      <c r="C129">
        <v>706</v>
      </c>
      <c r="D129">
        <v>4</v>
      </c>
      <c r="E129" t="s">
        <v>31</v>
      </c>
      <c r="F129" t="s">
        <v>32</v>
      </c>
      <c r="G129" t="str">
        <f>"2026-06-18 16:47:40.059"</f>
        <v>2026-06-18 16:47:40.059</v>
      </c>
      <c r="H129" t="s">
        <v>21</v>
      </c>
      <c r="I129">
        <v>0</v>
      </c>
      <c r="J129" t="s">
        <v>33</v>
      </c>
    </row>
    <row r="130" spans="1:10" x14ac:dyDescent="0.25">
      <c r="A130" s="1">
        <v>20</v>
      </c>
      <c r="B130" t="s">
        <v>34</v>
      </c>
      <c r="C130">
        <v>630</v>
      </c>
      <c r="D130">
        <v>5</v>
      </c>
      <c r="E130" t="s">
        <v>28</v>
      </c>
      <c r="F130" t="s">
        <v>29</v>
      </c>
      <c r="G130" t="str">
        <f>"2026-06-18 16:46:40.907"</f>
        <v>2026-06-18 16:46:40.907</v>
      </c>
      <c r="H130" t="s">
        <v>30</v>
      </c>
      <c r="I130">
        <v>0</v>
      </c>
      <c r="J130" t="s">
        <v>33</v>
      </c>
    </row>
    <row r="131" spans="1:10" x14ac:dyDescent="0.25">
      <c r="A131" s="1">
        <v>21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"2026-06-18 16:41:38.149"</f>
        <v>2026-06-18 16:41:38.149</v>
      </c>
      <c r="H131" t="s">
        <v>21</v>
      </c>
      <c r="I131">
        <v>0</v>
      </c>
      <c r="J131" t="s">
        <v>27</v>
      </c>
    </row>
    <row r="132" spans="1:10" x14ac:dyDescent="0.25">
      <c r="A132" s="1">
        <v>22</v>
      </c>
      <c r="B132" t="s">
        <v>34</v>
      </c>
      <c r="C132">
        <v>630</v>
      </c>
      <c r="D132">
        <v>5</v>
      </c>
      <c r="E132" t="s">
        <v>28</v>
      </c>
      <c r="F132" t="s">
        <v>29</v>
      </c>
      <c r="G132" t="str">
        <f>"2026-06-18 15:54:05.017"</f>
        <v>2026-06-18 15:54:05.017</v>
      </c>
      <c r="H132" t="s">
        <v>30</v>
      </c>
      <c r="I132">
        <v>0</v>
      </c>
      <c r="J132" t="s">
        <v>33</v>
      </c>
    </row>
    <row r="133" spans="1:10" x14ac:dyDescent="0.25">
      <c r="A133" s="1">
        <v>23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"2026-06-18 15:49:02.219"</f>
        <v>2026-06-18 15:49:02.219</v>
      </c>
      <c r="H133" t="s">
        <v>21</v>
      </c>
      <c r="I133">
        <v>0</v>
      </c>
      <c r="J133" t="s">
        <v>27</v>
      </c>
    </row>
    <row r="134" spans="1:10" x14ac:dyDescent="0.25">
      <c r="A134" s="1">
        <v>24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"2026-06-18 14:01:55.370"</f>
        <v>2026-06-18 14:01:55.370</v>
      </c>
      <c r="H134" t="s">
        <v>21</v>
      </c>
    </row>
    <row r="135" spans="1:10" x14ac:dyDescent="0.25">
      <c r="A135" s="1">
        <v>25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"2026-06-18 01:28:08.158"</f>
        <v>2026-06-18 01:28:08.158</v>
      </c>
      <c r="H135" t="s">
        <v>21</v>
      </c>
    </row>
    <row r="136" spans="1:10" s="3" customFormat="1" x14ac:dyDescent="0.25">
      <c r="A136" s="2">
        <v>26</v>
      </c>
      <c r="B136" s="3" t="s">
        <v>22</v>
      </c>
      <c r="C136" s="3">
        <v>647</v>
      </c>
      <c r="D136" s="3">
        <v>1</v>
      </c>
      <c r="E136" s="3" t="s">
        <v>39</v>
      </c>
      <c r="F136" s="3" t="s">
        <v>40</v>
      </c>
      <c r="G136" s="3" t="str">
        <f>"2026-06-17 15:21:40.225"</f>
        <v>2026-06-17 15:21:40.225</v>
      </c>
      <c r="H136" s="3" t="s">
        <v>21</v>
      </c>
    </row>
    <row r="137" spans="1:10" s="3" customFormat="1" x14ac:dyDescent="0.25">
      <c r="A137" s="2">
        <v>27</v>
      </c>
      <c r="B137" s="3" t="s">
        <v>25</v>
      </c>
      <c r="C137" s="3">
        <v>647</v>
      </c>
      <c r="D137" s="3">
        <v>1</v>
      </c>
      <c r="E137" s="3" t="s">
        <v>39</v>
      </c>
      <c r="F137" s="3" t="s">
        <v>40</v>
      </c>
      <c r="G137" s="3" t="str">
        <f>"2026-06-17 15:21:39.125"</f>
        <v>2026-06-17 15:21:39.125</v>
      </c>
      <c r="H137" s="3" t="s">
        <v>21</v>
      </c>
      <c r="I137" s="3">
        <v>9.31</v>
      </c>
      <c r="J137" s="3" t="s">
        <v>37</v>
      </c>
    </row>
    <row r="138" spans="1:10" x14ac:dyDescent="0.25">
      <c r="A138" s="1">
        <v>28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"2026-06-17 13:47:04.353"</f>
        <v>2026-06-17 13:47:04.353</v>
      </c>
      <c r="H138" t="s">
        <v>21</v>
      </c>
    </row>
    <row r="139" spans="1:10" x14ac:dyDescent="0.25">
      <c r="A139" s="1">
        <v>29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"2026-06-16 14:22:05.179"</f>
        <v>2026-06-16 14:22:05.179</v>
      </c>
      <c r="H139" t="s">
        <v>21</v>
      </c>
      <c r="I139">
        <v>0</v>
      </c>
      <c r="J139" t="s">
        <v>27</v>
      </c>
    </row>
    <row r="140" spans="1:10" x14ac:dyDescent="0.25">
      <c r="A140" s="1">
        <v>30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"2026-06-16 01:06:52.183"</f>
        <v>2026-06-16 01:06:52.183</v>
      </c>
      <c r="H140" t="s">
        <v>21</v>
      </c>
      <c r="I140">
        <v>0</v>
      </c>
      <c r="J140" t="s">
        <v>27</v>
      </c>
    </row>
    <row r="141" spans="1:10" x14ac:dyDescent="0.25">
      <c r="A141" s="1">
        <v>31</v>
      </c>
      <c r="B141" t="s">
        <v>22</v>
      </c>
      <c r="C141">
        <v>635</v>
      </c>
      <c r="D141">
        <v>1</v>
      </c>
      <c r="E141" t="s">
        <v>23</v>
      </c>
      <c r="F141" t="s">
        <v>24</v>
      </c>
      <c r="G141" t="str">
        <f>"2026-06-15 16:16:54.270"</f>
        <v>2026-06-15 16:16:54.270</v>
      </c>
      <c r="H141" t="s">
        <v>21</v>
      </c>
    </row>
    <row r="142" spans="1:10" x14ac:dyDescent="0.25">
      <c r="A142" s="1">
        <v>32</v>
      </c>
      <c r="B142" t="s">
        <v>25</v>
      </c>
      <c r="C142">
        <v>635</v>
      </c>
      <c r="D142">
        <v>1</v>
      </c>
      <c r="E142" t="s">
        <v>23</v>
      </c>
      <c r="F142" t="s">
        <v>24</v>
      </c>
      <c r="G142" t="str">
        <f>"2026-06-15 16:10:05.770"</f>
        <v>2026-06-15 16:10:05.770</v>
      </c>
      <c r="H142" t="s">
        <v>21</v>
      </c>
      <c r="I142">
        <v>0</v>
      </c>
      <c r="J142" t="s">
        <v>26</v>
      </c>
    </row>
    <row r="143" spans="1:10" x14ac:dyDescent="0.25">
      <c r="A143" s="1">
        <v>33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"2026-06-15 14:22:57.153"</f>
        <v>2026-06-15 14:22:57.153</v>
      </c>
      <c r="H143" t="s">
        <v>21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"2026-06-15 11:19:11.151"</f>
        <v>2026-06-15 11:19:11.151</v>
      </c>
      <c r="H144" t="s">
        <v>21</v>
      </c>
      <c r="I144">
        <v>0</v>
      </c>
      <c r="J144" t="s">
        <v>27</v>
      </c>
    </row>
    <row r="145" spans="1:10" x14ac:dyDescent="0.25">
      <c r="A145" s="1">
        <v>35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"2026-06-13 13:54:21.182"</f>
        <v>2026-06-13 13:54:21.182</v>
      </c>
      <c r="H145" t="s">
        <v>21</v>
      </c>
      <c r="I145">
        <v>0</v>
      </c>
      <c r="J145" t="s">
        <v>27</v>
      </c>
    </row>
    <row r="146" spans="1:10" x14ac:dyDescent="0.25">
      <c r="A146" s="1">
        <v>36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"2026-06-13 09:17:45.172"</f>
        <v>2026-06-13 09:17:45.172</v>
      </c>
      <c r="H146" t="s">
        <v>21</v>
      </c>
    </row>
    <row r="147" spans="1:10" x14ac:dyDescent="0.25">
      <c r="A147" s="1">
        <v>37</v>
      </c>
      <c r="B147" t="s">
        <v>22</v>
      </c>
      <c r="C147">
        <v>635</v>
      </c>
      <c r="D147">
        <v>1</v>
      </c>
      <c r="E147" t="s">
        <v>23</v>
      </c>
      <c r="F147" t="s">
        <v>24</v>
      </c>
      <c r="G147" t="str">
        <f>"2026-06-13 05:39:30.282"</f>
        <v>2026-06-13 05:39:30.282</v>
      </c>
      <c r="H147" t="s">
        <v>21</v>
      </c>
    </row>
    <row r="148" spans="1:10" x14ac:dyDescent="0.25">
      <c r="A148" s="1">
        <v>38</v>
      </c>
      <c r="B148" t="s">
        <v>25</v>
      </c>
      <c r="C148">
        <v>635</v>
      </c>
      <c r="D148">
        <v>1</v>
      </c>
      <c r="E148" t="s">
        <v>23</v>
      </c>
      <c r="F148" t="s">
        <v>24</v>
      </c>
      <c r="G148" t="str">
        <f>"2026-06-13 05:34:27.782"</f>
        <v>2026-06-13 05:34:27.782</v>
      </c>
      <c r="H148" t="s">
        <v>21</v>
      </c>
      <c r="I148">
        <v>8.17</v>
      </c>
      <c r="J148" t="s">
        <v>36</v>
      </c>
    </row>
    <row r="149" spans="1:10" x14ac:dyDescent="0.25">
      <c r="A149" s="1">
        <v>39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"2026-06-12 22:53:25.214"</f>
        <v>2026-06-12 22:53:25.214</v>
      </c>
      <c r="H149" t="s">
        <v>21</v>
      </c>
      <c r="I149">
        <v>0</v>
      </c>
      <c r="J149" t="s">
        <v>27</v>
      </c>
    </row>
    <row r="150" spans="1:10" x14ac:dyDescent="0.25">
      <c r="A150" s="1">
        <v>40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"2026-06-12 22:34:46.287"</f>
        <v>2026-06-12 22:34:46.287</v>
      </c>
      <c r="H150" t="s">
        <v>21</v>
      </c>
      <c r="I150">
        <v>0</v>
      </c>
      <c r="J150" t="s">
        <v>27</v>
      </c>
    </row>
    <row r="151" spans="1:10" x14ac:dyDescent="0.25">
      <c r="A151" s="1">
        <v>41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"2026-06-12 20:07:56.145"</f>
        <v>2026-06-12 20:07:56.145</v>
      </c>
      <c r="H151" t="s">
        <v>21</v>
      </c>
      <c r="I151">
        <v>0</v>
      </c>
      <c r="J151" t="s">
        <v>27</v>
      </c>
    </row>
    <row r="152" spans="1:10" x14ac:dyDescent="0.25">
      <c r="A152" s="1">
        <v>42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"2026-06-12 15:20:45.150"</f>
        <v>2026-06-12 15:20:45.150</v>
      </c>
      <c r="H152" t="s">
        <v>21</v>
      </c>
      <c r="I152">
        <v>0</v>
      </c>
      <c r="J152" t="s">
        <v>27</v>
      </c>
    </row>
    <row r="153" spans="1:10" x14ac:dyDescent="0.25">
      <c r="A153" s="1">
        <v>43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"2026-06-12 15:10:55.161"</f>
        <v>2026-06-12 15:10:55.161</v>
      </c>
      <c r="H153" t="s">
        <v>21</v>
      </c>
    </row>
    <row r="154" spans="1:10" x14ac:dyDescent="0.25">
      <c r="A154" s="1">
        <v>44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"2026-06-12 15:06:30.163"</f>
        <v>2026-06-12 15:06:30.163</v>
      </c>
      <c r="H154" t="s">
        <v>21</v>
      </c>
      <c r="I154">
        <v>0</v>
      </c>
      <c r="J154" t="s">
        <v>27</v>
      </c>
    </row>
    <row r="155" spans="1:10" x14ac:dyDescent="0.25">
      <c r="A155" s="1">
        <v>45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"2026-06-12 14:59:09.164"</f>
        <v>2026-06-12 14:59:09.164</v>
      </c>
      <c r="H155" t="s">
        <v>21</v>
      </c>
      <c r="I155">
        <v>0</v>
      </c>
      <c r="J155" t="s">
        <v>27</v>
      </c>
    </row>
    <row r="156" spans="1:10" x14ac:dyDescent="0.25">
      <c r="A156" s="1">
        <v>46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"2026-06-12 14:56:55.212"</f>
        <v>2026-06-12 14:56:55.212</v>
      </c>
      <c r="H156" t="s">
        <v>21</v>
      </c>
      <c r="I156">
        <v>0</v>
      </c>
      <c r="J156" t="s">
        <v>27</v>
      </c>
    </row>
    <row r="157" spans="1:10" x14ac:dyDescent="0.25">
      <c r="A157" s="1">
        <v>47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"2026-06-12 14:46:07.260"</f>
        <v>2026-06-12 14:46:07.260</v>
      </c>
      <c r="H157" t="s">
        <v>21</v>
      </c>
      <c r="I157">
        <v>0</v>
      </c>
      <c r="J157" t="s">
        <v>27</v>
      </c>
    </row>
    <row r="158" spans="1:10" x14ac:dyDescent="0.25">
      <c r="A158" s="1">
        <v>48</v>
      </c>
      <c r="B158" t="s">
        <v>19</v>
      </c>
      <c r="C158">
        <v>706</v>
      </c>
      <c r="D158">
        <v>2</v>
      </c>
      <c r="E158" t="s">
        <v>31</v>
      </c>
      <c r="F158" t="s">
        <v>35</v>
      </c>
      <c r="G158" t="str">
        <f>"2026-06-12 14:43:43.115"</f>
        <v>2026-06-12 14:43:43.115</v>
      </c>
      <c r="H158" t="s">
        <v>21</v>
      </c>
      <c r="I158">
        <v>0</v>
      </c>
      <c r="J158" t="s">
        <v>33</v>
      </c>
    </row>
    <row r="159" spans="1:10" x14ac:dyDescent="0.25">
      <c r="A159" s="1">
        <v>49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"2026-06-12 14:42:25.135"</f>
        <v>2026-06-12 14:42:25.135</v>
      </c>
      <c r="H159" t="s">
        <v>21</v>
      </c>
    </row>
    <row r="160" spans="1:10" x14ac:dyDescent="0.25">
      <c r="A160" s="1">
        <v>50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"2026-06-12 14:22:16.151"</f>
        <v>2026-06-12 14:22:16.151</v>
      </c>
      <c r="H160" t="s">
        <v>21</v>
      </c>
    </row>
    <row r="161" spans="1:10" x14ac:dyDescent="0.25">
      <c r="A161" s="1">
        <v>51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"2026-06-12 14:20:42.138"</f>
        <v>2026-06-12 14:20:42.138</v>
      </c>
      <c r="H161" t="s">
        <v>21</v>
      </c>
    </row>
    <row r="162" spans="1:10" x14ac:dyDescent="0.25">
      <c r="A162" s="1">
        <v>52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"2026-06-12 13:33:02.182"</f>
        <v>2026-06-12 13:33:02.182</v>
      </c>
      <c r="H162" t="s">
        <v>21</v>
      </c>
      <c r="I162">
        <v>0</v>
      </c>
      <c r="J162" t="s">
        <v>27</v>
      </c>
    </row>
    <row r="163" spans="1:10" x14ac:dyDescent="0.25">
      <c r="A163" s="1">
        <v>53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"2026-06-12 01:17:50.177"</f>
        <v>2026-06-12 01:17:50.177</v>
      </c>
      <c r="H163" t="s">
        <v>21</v>
      </c>
    </row>
    <row r="164" spans="1:10" x14ac:dyDescent="0.25">
      <c r="A164" s="1">
        <v>54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"2026-06-11 13:53:00.167"</f>
        <v>2026-06-11 13:53:00.167</v>
      </c>
      <c r="H164" t="s">
        <v>21</v>
      </c>
      <c r="I164">
        <v>0</v>
      </c>
      <c r="J164" t="s">
        <v>27</v>
      </c>
    </row>
    <row r="165" spans="1:10" x14ac:dyDescent="0.25">
      <c r="A165" s="1">
        <v>55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"2026-06-10 13:35:41.148"</f>
        <v>2026-06-10 13:35:41.148</v>
      </c>
      <c r="H165" t="s">
        <v>21</v>
      </c>
    </row>
    <row r="166" spans="1:10" x14ac:dyDescent="0.25">
      <c r="A166" s="1">
        <v>56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"2026-06-10 12:27:59.182"</f>
        <v>2026-06-10 12:27:59.182</v>
      </c>
      <c r="H166" t="s">
        <v>21</v>
      </c>
    </row>
    <row r="167" spans="1:10" x14ac:dyDescent="0.25">
      <c r="A167" s="1">
        <v>57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"2026-06-10 04:59:33.147"</f>
        <v>2026-06-10 04:59:33.147</v>
      </c>
      <c r="H167" t="s">
        <v>21</v>
      </c>
      <c r="I167">
        <v>0</v>
      </c>
      <c r="J167" t="s">
        <v>27</v>
      </c>
    </row>
    <row r="168" spans="1:10" x14ac:dyDescent="0.25">
      <c r="A168" s="1">
        <v>58</v>
      </c>
      <c r="B168" t="s">
        <v>19</v>
      </c>
      <c r="C168">
        <v>706</v>
      </c>
      <c r="D168">
        <v>4</v>
      </c>
      <c r="E168" t="s">
        <v>31</v>
      </c>
      <c r="F168" t="s">
        <v>32</v>
      </c>
      <c r="G168" t="str">
        <f>"2026-06-10 04:47:46.830"</f>
        <v>2026-06-10 04:47:46.830</v>
      </c>
      <c r="H168" t="s">
        <v>21</v>
      </c>
      <c r="I168">
        <v>0</v>
      </c>
      <c r="J168" t="s">
        <v>33</v>
      </c>
    </row>
    <row r="169" spans="1:10" x14ac:dyDescent="0.25">
      <c r="A169" s="1">
        <v>59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"2026-06-10 04:47:19.220"</f>
        <v>2026-06-10 04:47:19.220</v>
      </c>
      <c r="H169" t="s">
        <v>21</v>
      </c>
      <c r="I169">
        <v>0</v>
      </c>
      <c r="J169" t="s">
        <v>27</v>
      </c>
    </row>
    <row r="170" spans="1:10" x14ac:dyDescent="0.25">
      <c r="A170" s="1">
        <v>60</v>
      </c>
      <c r="B170" t="s">
        <v>19</v>
      </c>
      <c r="C170">
        <v>706</v>
      </c>
      <c r="D170">
        <v>2</v>
      </c>
      <c r="E170" t="s">
        <v>31</v>
      </c>
      <c r="F170" t="s">
        <v>35</v>
      </c>
      <c r="G170" t="str">
        <f>"2026-06-10 04:09:18.510"</f>
        <v>2026-06-10 04:09:18.510</v>
      </c>
      <c r="H170" t="s">
        <v>21</v>
      </c>
      <c r="I170">
        <v>0</v>
      </c>
      <c r="J170" t="s">
        <v>33</v>
      </c>
    </row>
    <row r="171" spans="1:10" x14ac:dyDescent="0.25">
      <c r="A171" s="1">
        <v>61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"2026-06-10 04:08:38.340"</f>
        <v>2026-06-10 04:08:38.340</v>
      </c>
      <c r="H171" t="s">
        <v>21</v>
      </c>
    </row>
    <row r="172" spans="1:10" x14ac:dyDescent="0.25">
      <c r="A172" s="1">
        <v>62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"2026-06-09 23:28:12.209"</f>
        <v>2026-06-09 23:28:12.209</v>
      </c>
      <c r="H172" t="s">
        <v>21</v>
      </c>
    </row>
    <row r="173" spans="1:10" x14ac:dyDescent="0.25">
      <c r="A173" s="1">
        <v>63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"2026-06-09 15:47:32.347"</f>
        <v>2026-06-09 15:47:32.347</v>
      </c>
      <c r="H173" t="s">
        <v>21</v>
      </c>
      <c r="I173">
        <v>0</v>
      </c>
      <c r="J173" t="s">
        <v>27</v>
      </c>
    </row>
    <row r="174" spans="1:10" x14ac:dyDescent="0.25">
      <c r="A174" s="1">
        <v>64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"2026-06-09 13:26:16.178"</f>
        <v>2026-06-09 13:26:16.178</v>
      </c>
      <c r="H174" t="s">
        <v>21</v>
      </c>
      <c r="I174">
        <v>0</v>
      </c>
      <c r="J174" t="s">
        <v>27</v>
      </c>
    </row>
    <row r="175" spans="1:10" s="3" customFormat="1" x14ac:dyDescent="0.25">
      <c r="A175" s="2">
        <v>65</v>
      </c>
      <c r="B175" s="3" t="s">
        <v>22</v>
      </c>
      <c r="C175" s="3">
        <v>647</v>
      </c>
      <c r="D175" s="3">
        <v>1</v>
      </c>
      <c r="E175" s="3" t="s">
        <v>39</v>
      </c>
      <c r="F175" s="3" t="s">
        <v>40</v>
      </c>
      <c r="G175" s="3" t="str">
        <f>"2026-06-09 11:45:48.754"</f>
        <v>2026-06-09 11:45:48.754</v>
      </c>
      <c r="H175" s="3" t="s">
        <v>21</v>
      </c>
    </row>
    <row r="176" spans="1:10" s="3" customFormat="1" x14ac:dyDescent="0.25">
      <c r="A176" s="2">
        <v>66</v>
      </c>
      <c r="B176" s="3" t="s">
        <v>25</v>
      </c>
      <c r="C176" s="3">
        <v>647</v>
      </c>
      <c r="D176" s="3">
        <v>1</v>
      </c>
      <c r="E176" s="3" t="s">
        <v>39</v>
      </c>
      <c r="F176" s="3" t="s">
        <v>40</v>
      </c>
      <c r="G176" s="3" t="str">
        <f>"2026-06-09 11:45:44.855"</f>
        <v>2026-06-09 11:45:44.855</v>
      </c>
      <c r="H176" s="3" t="s">
        <v>21</v>
      </c>
      <c r="I176" s="3">
        <v>21.4</v>
      </c>
      <c r="J176" s="3" t="s">
        <v>37</v>
      </c>
    </row>
    <row r="177" spans="1:10" x14ac:dyDescent="0.25">
      <c r="A177" s="1">
        <v>67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"2026-06-08 20:17:46.166"</f>
        <v>2026-06-08 20:17:46.166</v>
      </c>
      <c r="H177" t="s">
        <v>21</v>
      </c>
      <c r="I177">
        <v>0</v>
      </c>
      <c r="J177" t="s">
        <v>27</v>
      </c>
    </row>
    <row r="178" spans="1:10" x14ac:dyDescent="0.25">
      <c r="A178" s="1">
        <v>68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"2026-06-08 13:35:29.144"</f>
        <v>2026-06-08 13:35:29.144</v>
      </c>
      <c r="H178" t="s">
        <v>21</v>
      </c>
    </row>
    <row r="179" spans="1:10" x14ac:dyDescent="0.25">
      <c r="A179" s="1">
        <v>69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"2026-06-08 10:52:37.158"</f>
        <v>2026-06-08 10:52:37.158</v>
      </c>
      <c r="H179" t="s">
        <v>21</v>
      </c>
      <c r="I179">
        <v>0</v>
      </c>
      <c r="J179" t="s">
        <v>27</v>
      </c>
    </row>
    <row r="180" spans="1:10" x14ac:dyDescent="0.25">
      <c r="A180" s="1">
        <v>70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"2026-06-08 04:57:54.144"</f>
        <v>2026-06-08 04:57:54.144</v>
      </c>
      <c r="H180" t="s">
        <v>21</v>
      </c>
      <c r="I180">
        <v>0</v>
      </c>
      <c r="J180" t="s">
        <v>27</v>
      </c>
    </row>
    <row r="181" spans="1:10" x14ac:dyDescent="0.25">
      <c r="A181" s="1">
        <v>71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"2026-06-07 17:18:48.157"</f>
        <v>2026-06-07 17:18:48.157</v>
      </c>
      <c r="H181" t="s">
        <v>21</v>
      </c>
      <c r="I181">
        <v>0</v>
      </c>
      <c r="J181" t="s">
        <v>27</v>
      </c>
    </row>
    <row r="182" spans="1:10" x14ac:dyDescent="0.25">
      <c r="A182" s="1">
        <v>72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"2026-06-07 09:35:05.269"</f>
        <v>2026-06-07 09:35:05.269</v>
      </c>
      <c r="H182" t="s">
        <v>21</v>
      </c>
      <c r="I182">
        <v>0</v>
      </c>
      <c r="J182" t="s">
        <v>27</v>
      </c>
    </row>
    <row r="183" spans="1:10" x14ac:dyDescent="0.25">
      <c r="A183" s="1">
        <v>73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"2026-06-07 01:07:55.184"</f>
        <v>2026-06-07 01:07:55.184</v>
      </c>
      <c r="H183" t="s">
        <v>21</v>
      </c>
      <c r="I183">
        <v>0</v>
      </c>
      <c r="J183" t="s">
        <v>27</v>
      </c>
    </row>
    <row r="184" spans="1:10" x14ac:dyDescent="0.25">
      <c r="A184" s="1">
        <v>75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"2026-06-06 15:55:48.240"</f>
        <v>2026-06-06 15:55:48.240</v>
      </c>
      <c r="H184" t="s">
        <v>21</v>
      </c>
      <c r="I184">
        <v>0</v>
      </c>
      <c r="J184" t="s">
        <v>27</v>
      </c>
    </row>
    <row r="185" spans="1:10" x14ac:dyDescent="0.25">
      <c r="A185" s="1">
        <v>76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"2026-06-06 14:19:54.158"</f>
        <v>2026-06-06 14:19:54.158</v>
      </c>
      <c r="H185" t="s">
        <v>21</v>
      </c>
      <c r="I185">
        <v>0</v>
      </c>
      <c r="J185" t="s">
        <v>27</v>
      </c>
    </row>
    <row r="186" spans="1:10" x14ac:dyDescent="0.25">
      <c r="A186" s="1">
        <v>77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"2026-06-06 08:27:19.163"</f>
        <v>2026-06-06 08:27:19.163</v>
      </c>
      <c r="H186" t="s">
        <v>21</v>
      </c>
      <c r="I186">
        <v>0</v>
      </c>
      <c r="J186" t="s">
        <v>27</v>
      </c>
    </row>
    <row r="187" spans="1:10" x14ac:dyDescent="0.25">
      <c r="A187" s="1">
        <v>78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"2026-06-06 06:21:15.145"</f>
        <v>2026-06-06 06:21:15.145</v>
      </c>
      <c r="H187" t="s">
        <v>21</v>
      </c>
    </row>
    <row r="188" spans="1:10" x14ac:dyDescent="0.25">
      <c r="A188" s="1">
        <v>79</v>
      </c>
      <c r="B188" t="s">
        <v>22</v>
      </c>
      <c r="C188">
        <v>630</v>
      </c>
      <c r="D188">
        <v>5</v>
      </c>
      <c r="E188" t="s">
        <v>28</v>
      </c>
      <c r="F188" t="s">
        <v>29</v>
      </c>
      <c r="G188" t="str">
        <f>"2026-06-06 05:50:00.832"</f>
        <v>2026-06-06 05:50:00.832</v>
      </c>
      <c r="H188" t="s">
        <v>30</v>
      </c>
    </row>
    <row r="189" spans="1:10" x14ac:dyDescent="0.25">
      <c r="A189" s="1">
        <v>80</v>
      </c>
      <c r="B189" t="s">
        <v>19</v>
      </c>
      <c r="C189">
        <v>706</v>
      </c>
      <c r="D189">
        <v>2</v>
      </c>
      <c r="E189" t="s">
        <v>31</v>
      </c>
      <c r="F189" t="s">
        <v>35</v>
      </c>
      <c r="G189" t="str">
        <f>"2026-06-06 05:49:30.700"</f>
        <v>2026-06-06 05:49:30.700</v>
      </c>
      <c r="H189" t="s">
        <v>21</v>
      </c>
      <c r="I189">
        <v>0</v>
      </c>
      <c r="J189" t="s">
        <v>33</v>
      </c>
    </row>
    <row r="190" spans="1:10" x14ac:dyDescent="0.25">
      <c r="A190" s="1">
        <v>81</v>
      </c>
      <c r="B190" t="s">
        <v>34</v>
      </c>
      <c r="C190">
        <v>630</v>
      </c>
      <c r="D190">
        <v>5</v>
      </c>
      <c r="E190" t="s">
        <v>28</v>
      </c>
      <c r="F190" t="s">
        <v>29</v>
      </c>
      <c r="G190" t="str">
        <f>"2026-06-06 05:47:26.932"</f>
        <v>2026-06-06 05:47:26.932</v>
      </c>
      <c r="H190" t="s">
        <v>30</v>
      </c>
      <c r="I190">
        <v>0</v>
      </c>
      <c r="J190" t="s">
        <v>33</v>
      </c>
    </row>
    <row r="191" spans="1:10" x14ac:dyDescent="0.25">
      <c r="A191" s="1">
        <v>82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"2026-06-06 05:42:24.140"</f>
        <v>2026-06-06 05:42:24.140</v>
      </c>
      <c r="H191" t="s">
        <v>21</v>
      </c>
    </row>
    <row r="192" spans="1:10" x14ac:dyDescent="0.25">
      <c r="A192" s="1">
        <v>83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"2026-06-06 00:12:44.153"</f>
        <v>2026-06-06 00:12:44.153</v>
      </c>
      <c r="H192" t="s">
        <v>21</v>
      </c>
      <c r="I192">
        <v>0</v>
      </c>
      <c r="J192" t="s">
        <v>27</v>
      </c>
    </row>
    <row r="193" spans="1:10" x14ac:dyDescent="0.25">
      <c r="A193" s="1">
        <v>84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"2026-06-06 00:11:13.168"</f>
        <v>2026-06-06 00:11:13.168</v>
      </c>
      <c r="H193" t="s">
        <v>21</v>
      </c>
      <c r="I193">
        <v>0</v>
      </c>
      <c r="J193" t="s">
        <v>27</v>
      </c>
    </row>
    <row r="194" spans="1:10" x14ac:dyDescent="0.25">
      <c r="A194" s="1">
        <v>85</v>
      </c>
      <c r="B194" t="s">
        <v>34</v>
      </c>
      <c r="C194">
        <v>630</v>
      </c>
      <c r="D194">
        <v>5</v>
      </c>
      <c r="E194" t="s">
        <v>28</v>
      </c>
      <c r="F194" t="s">
        <v>29</v>
      </c>
      <c r="G194" t="str">
        <f>"2026-06-05 23:45:01.845"</f>
        <v>2026-06-05 23:45:01.845</v>
      </c>
      <c r="H194" t="s">
        <v>30</v>
      </c>
      <c r="I194">
        <v>0</v>
      </c>
      <c r="J194" t="s">
        <v>33</v>
      </c>
    </row>
    <row r="195" spans="1:10" x14ac:dyDescent="0.25">
      <c r="A195" s="1">
        <v>86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"2026-06-05 23:39:59.187"</f>
        <v>2026-06-05 23:39:59.187</v>
      </c>
      <c r="H195" t="s">
        <v>21</v>
      </c>
      <c r="I195">
        <v>0</v>
      </c>
      <c r="J195" t="s">
        <v>27</v>
      </c>
    </row>
    <row r="196" spans="1:10" x14ac:dyDescent="0.25">
      <c r="A196" s="1">
        <v>87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"2026-06-05 14:03:48.149"</f>
        <v>2026-06-05 14:03:48.149</v>
      </c>
      <c r="H196" t="s">
        <v>21</v>
      </c>
    </row>
    <row r="197" spans="1:10" x14ac:dyDescent="0.25">
      <c r="A197" s="1">
        <v>88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"2026-06-05 08:23:12.159"</f>
        <v>2026-06-05 08:23:12.159</v>
      </c>
      <c r="H197" t="s">
        <v>21</v>
      </c>
      <c r="I197">
        <v>0</v>
      </c>
      <c r="J197" t="s">
        <v>27</v>
      </c>
    </row>
    <row r="198" spans="1:10" x14ac:dyDescent="0.25">
      <c r="A198" s="1">
        <v>89</v>
      </c>
      <c r="B198" t="s">
        <v>22</v>
      </c>
      <c r="C198">
        <v>635</v>
      </c>
      <c r="D198">
        <v>1</v>
      </c>
      <c r="E198" t="s">
        <v>23</v>
      </c>
      <c r="F198" t="s">
        <v>24</v>
      </c>
      <c r="G198" t="str">
        <f>"2026-06-04 20:24:43.653"</f>
        <v>2026-06-04 20:24:43.653</v>
      </c>
      <c r="H198" t="s">
        <v>21</v>
      </c>
    </row>
    <row r="199" spans="1:10" x14ac:dyDescent="0.25">
      <c r="A199" s="1">
        <v>90</v>
      </c>
      <c r="B199" t="s">
        <v>25</v>
      </c>
      <c r="C199">
        <v>635</v>
      </c>
      <c r="D199">
        <v>1</v>
      </c>
      <c r="E199" t="s">
        <v>23</v>
      </c>
      <c r="F199" t="s">
        <v>24</v>
      </c>
      <c r="G199" t="str">
        <f>"2026-06-04 20:22:31.154"</f>
        <v>2026-06-04 20:22:31.154</v>
      </c>
      <c r="H199" t="s">
        <v>21</v>
      </c>
      <c r="I199">
        <v>4.21</v>
      </c>
      <c r="J199" t="s">
        <v>36</v>
      </c>
    </row>
    <row r="200" spans="1:10" x14ac:dyDescent="0.25">
      <c r="A200" s="1">
        <v>91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"2026-06-04 13:49:33.165"</f>
        <v>2026-06-04 13:49:33.165</v>
      </c>
      <c r="H200" t="s">
        <v>21</v>
      </c>
      <c r="I200">
        <v>0</v>
      </c>
      <c r="J200" t="s">
        <v>27</v>
      </c>
    </row>
    <row r="201" spans="1:10" x14ac:dyDescent="0.25">
      <c r="A201" s="1">
        <v>92</v>
      </c>
      <c r="B201" t="s">
        <v>22</v>
      </c>
      <c r="C201">
        <v>635</v>
      </c>
      <c r="D201">
        <v>1</v>
      </c>
      <c r="E201" t="s">
        <v>23</v>
      </c>
      <c r="F201" t="s">
        <v>24</v>
      </c>
      <c r="G201" t="str">
        <f>"2026-06-03 21:05:49.717"</f>
        <v>2026-06-03 21:05:49.717</v>
      </c>
      <c r="H201" t="s">
        <v>21</v>
      </c>
    </row>
    <row r="202" spans="1:10" x14ac:dyDescent="0.25">
      <c r="A202" s="1">
        <v>93</v>
      </c>
      <c r="B202" t="s">
        <v>25</v>
      </c>
      <c r="C202">
        <v>635</v>
      </c>
      <c r="D202">
        <v>1</v>
      </c>
      <c r="E202" t="s">
        <v>23</v>
      </c>
      <c r="F202" t="s">
        <v>24</v>
      </c>
      <c r="G202" t="str">
        <f>"2026-06-03 20:59:59.717"</f>
        <v>2026-06-03 20:59:59.717</v>
      </c>
      <c r="H202" t="s">
        <v>21</v>
      </c>
      <c r="I202">
        <v>2.31</v>
      </c>
      <c r="J202" t="s">
        <v>36</v>
      </c>
    </row>
    <row r="203" spans="1:10" x14ac:dyDescent="0.25">
      <c r="A203" s="1">
        <v>94</v>
      </c>
      <c r="B203" t="s">
        <v>22</v>
      </c>
      <c r="C203">
        <v>630</v>
      </c>
      <c r="D203">
        <v>5</v>
      </c>
      <c r="E203" t="s">
        <v>28</v>
      </c>
      <c r="F203" t="s">
        <v>29</v>
      </c>
      <c r="G203" t="str">
        <f>"2026-06-03 18:11:13.065"</f>
        <v>2026-06-03 18:11:13.065</v>
      </c>
      <c r="H203" t="s">
        <v>30</v>
      </c>
    </row>
    <row r="204" spans="1:10" x14ac:dyDescent="0.25">
      <c r="A204" s="1">
        <v>95</v>
      </c>
      <c r="B204" t="s">
        <v>19</v>
      </c>
      <c r="C204">
        <v>706</v>
      </c>
      <c r="D204">
        <v>4</v>
      </c>
      <c r="E204" t="s">
        <v>31</v>
      </c>
      <c r="F204" t="s">
        <v>32</v>
      </c>
      <c r="G204" t="str">
        <f>"2026-06-03 18:10:43.018"</f>
        <v>2026-06-03 18:10:43.018</v>
      </c>
      <c r="H204" t="s">
        <v>21</v>
      </c>
      <c r="I204">
        <v>0</v>
      </c>
      <c r="J204" t="s">
        <v>33</v>
      </c>
    </row>
    <row r="205" spans="1:10" x14ac:dyDescent="0.25">
      <c r="A205" s="1">
        <v>96</v>
      </c>
      <c r="B205" t="s">
        <v>34</v>
      </c>
      <c r="C205">
        <v>630</v>
      </c>
      <c r="D205">
        <v>5</v>
      </c>
      <c r="E205" t="s">
        <v>28</v>
      </c>
      <c r="F205" t="s">
        <v>29</v>
      </c>
      <c r="G205" t="str">
        <f>"2026-06-03 17:59:57.466"</f>
        <v>2026-06-03 17:59:57.466</v>
      </c>
      <c r="H205" t="s">
        <v>30</v>
      </c>
      <c r="I205">
        <v>0</v>
      </c>
      <c r="J205" t="s">
        <v>33</v>
      </c>
    </row>
    <row r="206" spans="1:10" x14ac:dyDescent="0.25">
      <c r="A206" s="1">
        <v>97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"2026-06-03 14:00:28.178"</f>
        <v>2026-06-03 14:00:28.178</v>
      </c>
      <c r="H206" t="s">
        <v>21</v>
      </c>
    </row>
    <row r="207" spans="1:10" x14ac:dyDescent="0.25">
      <c r="A207" s="1">
        <v>98</v>
      </c>
      <c r="B207" t="s">
        <v>34</v>
      </c>
      <c r="C207">
        <v>630</v>
      </c>
      <c r="D207">
        <v>5</v>
      </c>
      <c r="E207" t="s">
        <v>28</v>
      </c>
      <c r="F207" t="s">
        <v>29</v>
      </c>
      <c r="G207" t="str">
        <f>"2026-06-03 13:18:24.960"</f>
        <v>2026-06-03 13:18:24.960</v>
      </c>
      <c r="H207" t="s">
        <v>30</v>
      </c>
      <c r="I207">
        <v>0</v>
      </c>
      <c r="J207" t="s">
        <v>33</v>
      </c>
    </row>
    <row r="208" spans="1:10" x14ac:dyDescent="0.25">
      <c r="A208" s="1">
        <v>99</v>
      </c>
      <c r="B208" t="s">
        <v>22</v>
      </c>
      <c r="C208">
        <v>635</v>
      </c>
      <c r="D208">
        <v>1</v>
      </c>
      <c r="E208" t="s">
        <v>23</v>
      </c>
      <c r="F208" t="s">
        <v>24</v>
      </c>
      <c r="G208" t="str">
        <f>"2026-06-03 11:56:52.859"</f>
        <v>2026-06-03 11:56:52.859</v>
      </c>
      <c r="H208" t="s">
        <v>21</v>
      </c>
    </row>
    <row r="209" spans="1:10" x14ac:dyDescent="0.25">
      <c r="A209" s="1">
        <v>0</v>
      </c>
      <c r="B209" t="s">
        <v>25</v>
      </c>
      <c r="C209">
        <v>635</v>
      </c>
      <c r="D209">
        <v>1</v>
      </c>
      <c r="E209" t="s">
        <v>23</v>
      </c>
      <c r="F209" t="s">
        <v>24</v>
      </c>
      <c r="G209" t="str">
        <f>"2026-06-03 11:35:06.359"</f>
        <v>2026-06-03 11:35:06.359</v>
      </c>
      <c r="H209" t="s">
        <v>21</v>
      </c>
      <c r="I209">
        <v>1.95</v>
      </c>
      <c r="J209" t="s">
        <v>37</v>
      </c>
    </row>
    <row r="210" spans="1:10" x14ac:dyDescent="0.25">
      <c r="A210" s="1">
        <v>1</v>
      </c>
      <c r="B210" t="s">
        <v>22</v>
      </c>
      <c r="C210">
        <v>630</v>
      </c>
      <c r="D210">
        <v>5</v>
      </c>
      <c r="E210" t="s">
        <v>28</v>
      </c>
      <c r="F210" t="s">
        <v>29</v>
      </c>
      <c r="G210" t="str">
        <f>"2026-06-03 10:02:29.060"</f>
        <v>2026-06-03 10:02:29.060</v>
      </c>
      <c r="H210" t="s">
        <v>30</v>
      </c>
    </row>
    <row r="211" spans="1:10" x14ac:dyDescent="0.25">
      <c r="A211" s="1">
        <v>2</v>
      </c>
      <c r="B211" t="s">
        <v>19</v>
      </c>
      <c r="C211">
        <v>706</v>
      </c>
      <c r="D211">
        <v>4</v>
      </c>
      <c r="E211" t="s">
        <v>31</v>
      </c>
      <c r="F211" t="s">
        <v>32</v>
      </c>
      <c r="G211" t="str">
        <f>"2026-06-03 10:01:58.979"</f>
        <v>2026-06-03 10:01:58.979</v>
      </c>
      <c r="H211" t="s">
        <v>21</v>
      </c>
      <c r="I211">
        <v>0</v>
      </c>
      <c r="J211" t="s">
        <v>33</v>
      </c>
    </row>
    <row r="212" spans="1:10" x14ac:dyDescent="0.25">
      <c r="A212" s="1">
        <v>3</v>
      </c>
      <c r="B212" t="s">
        <v>34</v>
      </c>
      <c r="C212">
        <v>630</v>
      </c>
      <c r="D212">
        <v>5</v>
      </c>
      <c r="E212" t="s">
        <v>28</v>
      </c>
      <c r="F212" t="s">
        <v>29</v>
      </c>
      <c r="G212" t="str">
        <f>"2026-06-03 09:47:33.560"</f>
        <v>2026-06-03 09:47:33.560</v>
      </c>
      <c r="H212" t="s">
        <v>30</v>
      </c>
      <c r="I212">
        <v>0</v>
      </c>
      <c r="J212" t="s">
        <v>33</v>
      </c>
    </row>
    <row r="213" spans="1:10" x14ac:dyDescent="0.25">
      <c r="A213" s="1">
        <v>4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"2026-06-03 01:42:58.179"</f>
        <v>2026-06-03 01:42:58.179</v>
      </c>
      <c r="H213" t="s">
        <v>21</v>
      </c>
      <c r="I213">
        <v>0</v>
      </c>
      <c r="J213" t="s">
        <v>27</v>
      </c>
    </row>
    <row r="214" spans="1:10" x14ac:dyDescent="0.25">
      <c r="A214" s="1">
        <v>5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"2026-06-02 13:57:51.126"</f>
        <v>2026-06-02 13:57:51.126</v>
      </c>
      <c r="H214" t="s">
        <v>21</v>
      </c>
    </row>
    <row r="215" spans="1:10" x14ac:dyDescent="0.25">
      <c r="A215" s="1">
        <v>6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"2026-06-02 13:07:57.161"</f>
        <v>2026-06-02 13:07:57.161</v>
      </c>
      <c r="H215" t="s">
        <v>21</v>
      </c>
      <c r="I215">
        <v>0</v>
      </c>
      <c r="J215" t="s">
        <v>27</v>
      </c>
    </row>
    <row r="216" spans="1:10" s="3" customFormat="1" x14ac:dyDescent="0.25">
      <c r="A216" s="2">
        <v>7</v>
      </c>
      <c r="B216" s="3" t="s">
        <v>22</v>
      </c>
      <c r="C216" s="3">
        <v>647</v>
      </c>
      <c r="D216" s="3">
        <v>1</v>
      </c>
      <c r="E216" s="3" t="s">
        <v>39</v>
      </c>
      <c r="F216" s="3" t="s">
        <v>40</v>
      </c>
      <c r="G216" s="3" t="str">
        <f>"2026-06-02 07:56:08.255"</f>
        <v>2026-06-02 07:56:08.255</v>
      </c>
      <c r="H216" s="3" t="s">
        <v>21</v>
      </c>
    </row>
    <row r="217" spans="1:10" s="3" customFormat="1" x14ac:dyDescent="0.25">
      <c r="A217" s="2">
        <v>8</v>
      </c>
      <c r="B217" s="3" t="s">
        <v>25</v>
      </c>
      <c r="C217" s="3">
        <v>647</v>
      </c>
      <c r="D217" s="3">
        <v>1</v>
      </c>
      <c r="E217" s="3" t="s">
        <v>39</v>
      </c>
      <c r="F217" s="3" t="s">
        <v>40</v>
      </c>
      <c r="G217" s="3" t="str">
        <f>"2026-06-02 07:56:01.756"</f>
        <v>2026-06-02 07:56:01.756</v>
      </c>
      <c r="H217" s="3" t="s">
        <v>21</v>
      </c>
      <c r="I217" s="3">
        <v>11.72</v>
      </c>
      <c r="J217" s="3" t="s">
        <v>37</v>
      </c>
    </row>
    <row r="218" spans="1:10" x14ac:dyDescent="0.25">
      <c r="A218" s="1">
        <v>9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"2026-06-02 01:09:58.157"</f>
        <v>2026-06-02 01:09:58.157</v>
      </c>
      <c r="H218" t="s">
        <v>21</v>
      </c>
    </row>
    <row r="219" spans="1:10" x14ac:dyDescent="0.25">
      <c r="A219" s="1">
        <v>11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"2026-06-01 13:12:08.309"</f>
        <v>2026-06-01 13:12:08.309</v>
      </c>
      <c r="H219" t="s">
        <v>21</v>
      </c>
      <c r="I219">
        <v>0</v>
      </c>
      <c r="J219" t="s">
        <v>27</v>
      </c>
    </row>
    <row r="220" spans="1:10" x14ac:dyDescent="0.25">
      <c r="A220" s="1">
        <v>12</v>
      </c>
      <c r="B220" t="s">
        <v>22</v>
      </c>
      <c r="C220">
        <v>635</v>
      </c>
      <c r="D220">
        <v>1</v>
      </c>
      <c r="E220" t="s">
        <v>23</v>
      </c>
      <c r="F220" t="s">
        <v>24</v>
      </c>
      <c r="G220" t="str">
        <f>"2026-06-01 07:01:56.150"</f>
        <v>2026-06-01 07:01:56.150</v>
      </c>
      <c r="H220" t="s">
        <v>21</v>
      </c>
    </row>
    <row r="221" spans="1:10" x14ac:dyDescent="0.25">
      <c r="A221" s="1">
        <v>13</v>
      </c>
      <c r="B221" t="s">
        <v>25</v>
      </c>
      <c r="C221">
        <v>635</v>
      </c>
      <c r="D221">
        <v>1</v>
      </c>
      <c r="E221" t="s">
        <v>23</v>
      </c>
      <c r="F221" t="s">
        <v>24</v>
      </c>
      <c r="G221" t="str">
        <f>"2026-06-01 06:48:57.750"</f>
        <v>2026-06-01 06:48:57.750</v>
      </c>
      <c r="H221" t="s">
        <v>21</v>
      </c>
      <c r="I221">
        <v>11.38</v>
      </c>
      <c r="J221" t="s">
        <v>37</v>
      </c>
    </row>
    <row r="222" spans="1:10" x14ac:dyDescent="0.25">
      <c r="A222" s="1">
        <v>14</v>
      </c>
      <c r="B222" t="s">
        <v>41</v>
      </c>
      <c r="C222">
        <v>215</v>
      </c>
      <c r="D222">
        <v>6</v>
      </c>
      <c r="E222" t="s">
        <v>42</v>
      </c>
      <c r="F222" t="s">
        <v>43</v>
      </c>
      <c r="G222" t="str">
        <f>"2026-05-31 20:03:48.695"</f>
        <v>2026-05-31 20:03:48.695</v>
      </c>
      <c r="H222" t="s">
        <v>21</v>
      </c>
    </row>
    <row r="223" spans="1:10" x14ac:dyDescent="0.25">
      <c r="A223" s="1">
        <v>15</v>
      </c>
      <c r="B223" t="s">
        <v>41</v>
      </c>
      <c r="C223">
        <v>115</v>
      </c>
      <c r="D223">
        <v>6</v>
      </c>
      <c r="E223" t="s">
        <v>44</v>
      </c>
      <c r="F223" t="s">
        <v>43</v>
      </c>
      <c r="G223" t="str">
        <f>"2026-05-31 20:03:48.595"</f>
        <v>2026-05-31 20:03:48.595</v>
      </c>
      <c r="H223" t="s">
        <v>21</v>
      </c>
    </row>
    <row r="224" spans="1:10" x14ac:dyDescent="0.25">
      <c r="A224" s="1">
        <v>16</v>
      </c>
      <c r="B224" t="s">
        <v>34</v>
      </c>
      <c r="C224">
        <v>215</v>
      </c>
      <c r="D224">
        <v>6</v>
      </c>
      <c r="E224" t="s">
        <v>42</v>
      </c>
      <c r="F224" t="s">
        <v>43</v>
      </c>
      <c r="G224" t="str">
        <f>"2026-05-31 20:03:43.526"</f>
        <v>2026-05-31 20:03:43.526</v>
      </c>
      <c r="H224" t="s">
        <v>21</v>
      </c>
      <c r="I224">
        <v>0</v>
      </c>
      <c r="J224" t="s">
        <v>33</v>
      </c>
    </row>
    <row r="225" spans="1:10" x14ac:dyDescent="0.25">
      <c r="A225" s="1">
        <v>17</v>
      </c>
      <c r="B225" t="s">
        <v>34</v>
      </c>
      <c r="C225">
        <v>115</v>
      </c>
      <c r="D225">
        <v>6</v>
      </c>
      <c r="E225" t="s">
        <v>44</v>
      </c>
      <c r="F225" t="s">
        <v>43</v>
      </c>
      <c r="G225" t="str">
        <f>"2026-05-31 20:03:43.521"</f>
        <v>2026-05-31 20:03:43.521</v>
      </c>
      <c r="H225" t="s">
        <v>21</v>
      </c>
      <c r="I225">
        <v>0</v>
      </c>
      <c r="J225" t="s">
        <v>33</v>
      </c>
    </row>
    <row r="226" spans="1:10" x14ac:dyDescent="0.25">
      <c r="A226" s="1">
        <v>18</v>
      </c>
      <c r="B226" t="s">
        <v>22</v>
      </c>
      <c r="C226">
        <v>6</v>
      </c>
      <c r="D226">
        <v>1</v>
      </c>
      <c r="E226" t="s">
        <v>45</v>
      </c>
      <c r="F226" t="s">
        <v>46</v>
      </c>
      <c r="G226" t="str">
        <f>"2026-05-31 20:03:43.395"</f>
        <v>2026-05-31 20:03:43.395</v>
      </c>
      <c r="H226" t="s">
        <v>47</v>
      </c>
    </row>
    <row r="227" spans="1:10" x14ac:dyDescent="0.25">
      <c r="A227" s="1">
        <v>19</v>
      </c>
      <c r="B227" t="s">
        <v>22</v>
      </c>
      <c r="C227">
        <v>75</v>
      </c>
      <c r="D227">
        <v>1</v>
      </c>
      <c r="E227" t="s">
        <v>48</v>
      </c>
      <c r="F227" t="s">
        <v>49</v>
      </c>
      <c r="G227" t="str">
        <f>"2026-05-31 20:03:43.392"</f>
        <v>2026-05-31 20:03:43.392</v>
      </c>
      <c r="H227" t="s">
        <v>50</v>
      </c>
    </row>
    <row r="228" spans="1:10" x14ac:dyDescent="0.25">
      <c r="A228" s="1">
        <v>20</v>
      </c>
      <c r="B228" t="s">
        <v>22</v>
      </c>
      <c r="C228">
        <v>74</v>
      </c>
      <c r="D228">
        <v>1</v>
      </c>
      <c r="E228" t="s">
        <v>51</v>
      </c>
      <c r="F228" t="s">
        <v>52</v>
      </c>
      <c r="G228" t="str">
        <f>"2026-05-31 20:03:43.390"</f>
        <v>2026-05-31 20:03:43.390</v>
      </c>
      <c r="H228" t="s">
        <v>53</v>
      </c>
    </row>
    <row r="229" spans="1:10" x14ac:dyDescent="0.25">
      <c r="A229" s="1">
        <v>21</v>
      </c>
      <c r="B229" t="s">
        <v>25</v>
      </c>
      <c r="C229">
        <v>75</v>
      </c>
      <c r="D229">
        <v>1</v>
      </c>
      <c r="E229" t="s">
        <v>48</v>
      </c>
      <c r="F229" t="s">
        <v>49</v>
      </c>
      <c r="G229" t="str">
        <f>"2026-05-31 20:03:31.902"</f>
        <v>2026-05-31 20:03:31.902</v>
      </c>
      <c r="H229" t="s">
        <v>50</v>
      </c>
      <c r="I229">
        <v>0</v>
      </c>
      <c r="J229" t="s">
        <v>33</v>
      </c>
    </row>
    <row r="230" spans="1:10" x14ac:dyDescent="0.25">
      <c r="A230" s="1">
        <v>22</v>
      </c>
      <c r="B230" t="s">
        <v>25</v>
      </c>
      <c r="C230">
        <v>74</v>
      </c>
      <c r="D230">
        <v>1</v>
      </c>
      <c r="E230" t="s">
        <v>51</v>
      </c>
      <c r="F230" t="s">
        <v>52</v>
      </c>
      <c r="G230" t="str">
        <f>"2026-05-31 20:03:31.895"</f>
        <v>2026-05-31 20:03:31.895</v>
      </c>
      <c r="H230" t="s">
        <v>53</v>
      </c>
      <c r="I230">
        <v>0</v>
      </c>
      <c r="J230" t="s">
        <v>33</v>
      </c>
    </row>
    <row r="231" spans="1:10" x14ac:dyDescent="0.25">
      <c r="A231" s="1">
        <v>23</v>
      </c>
      <c r="B231" t="s">
        <v>34</v>
      </c>
      <c r="C231">
        <v>6</v>
      </c>
      <c r="D231">
        <v>1</v>
      </c>
      <c r="E231" t="s">
        <v>45</v>
      </c>
      <c r="F231" t="s">
        <v>46</v>
      </c>
      <c r="G231" t="str">
        <f>"2026-05-31 20:03:31.891"</f>
        <v>2026-05-31 20:03:31.891</v>
      </c>
      <c r="H231" t="s">
        <v>47</v>
      </c>
      <c r="I231">
        <v>0</v>
      </c>
      <c r="J231" t="s">
        <v>33</v>
      </c>
    </row>
    <row r="232" spans="1:10" x14ac:dyDescent="0.25">
      <c r="A232" s="1">
        <v>27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"2026-05-31 14:16:13.111"</f>
        <v>2026-05-31 14:16:13.111</v>
      </c>
      <c r="H232" t="s">
        <v>21</v>
      </c>
      <c r="I232">
        <v>0</v>
      </c>
      <c r="J232" t="s">
        <v>27</v>
      </c>
    </row>
    <row r="233" spans="1:10" x14ac:dyDescent="0.25">
      <c r="A233" s="1">
        <v>28</v>
      </c>
      <c r="B233" t="s">
        <v>22</v>
      </c>
      <c r="C233">
        <v>630</v>
      </c>
      <c r="D233">
        <v>5</v>
      </c>
      <c r="E233" t="s">
        <v>28</v>
      </c>
      <c r="F233" t="s">
        <v>29</v>
      </c>
      <c r="G233" t="str">
        <f>"2026-05-30 13:44:10.104"</f>
        <v>2026-05-30 13:44:10.104</v>
      </c>
      <c r="H233" t="s">
        <v>30</v>
      </c>
    </row>
    <row r="234" spans="1:10" x14ac:dyDescent="0.25">
      <c r="A234" s="1">
        <v>29</v>
      </c>
      <c r="B234" t="s">
        <v>19</v>
      </c>
      <c r="C234">
        <v>706</v>
      </c>
      <c r="D234">
        <v>4</v>
      </c>
      <c r="E234" t="s">
        <v>31</v>
      </c>
      <c r="F234" t="s">
        <v>32</v>
      </c>
      <c r="G234" t="str">
        <f>"2026-05-30 13:43:40.077"</f>
        <v>2026-05-30 13:43:40.077</v>
      </c>
      <c r="H234" t="s">
        <v>21</v>
      </c>
      <c r="I234">
        <v>0</v>
      </c>
      <c r="J234" t="s">
        <v>33</v>
      </c>
    </row>
    <row r="235" spans="1:10" x14ac:dyDescent="0.25">
      <c r="A235" s="1">
        <v>30</v>
      </c>
      <c r="B235" t="s">
        <v>34</v>
      </c>
      <c r="C235">
        <v>630</v>
      </c>
      <c r="D235">
        <v>5</v>
      </c>
      <c r="E235" t="s">
        <v>28</v>
      </c>
      <c r="F235" t="s">
        <v>29</v>
      </c>
      <c r="G235" t="str">
        <f>"2026-05-30 13:18:14.404"</f>
        <v>2026-05-30 13:18:14.404</v>
      </c>
      <c r="H235" t="s">
        <v>30</v>
      </c>
      <c r="I235">
        <v>0</v>
      </c>
      <c r="J235" t="s">
        <v>33</v>
      </c>
    </row>
    <row r="236" spans="1:10" x14ac:dyDescent="0.25">
      <c r="A236" s="1">
        <v>31</v>
      </c>
      <c r="B236" t="s">
        <v>22</v>
      </c>
      <c r="C236">
        <v>630</v>
      </c>
      <c r="D236">
        <v>5</v>
      </c>
      <c r="E236" t="s">
        <v>28</v>
      </c>
      <c r="F236" t="s">
        <v>29</v>
      </c>
      <c r="G236" t="str">
        <f>"2026-05-30 08:56:40.104"</f>
        <v>2026-05-30 08:56:40.104</v>
      </c>
      <c r="H236" t="s">
        <v>30</v>
      </c>
    </row>
    <row r="237" spans="1:10" x14ac:dyDescent="0.25">
      <c r="A237" s="1">
        <v>32</v>
      </c>
      <c r="B237" t="s">
        <v>19</v>
      </c>
      <c r="C237">
        <v>706</v>
      </c>
      <c r="D237">
        <v>2</v>
      </c>
      <c r="E237" t="s">
        <v>31</v>
      </c>
      <c r="F237" t="s">
        <v>35</v>
      </c>
      <c r="G237" t="str">
        <f>"2026-05-30 08:56:10.086"</f>
        <v>2026-05-30 08:56:10.086</v>
      </c>
      <c r="H237" t="s">
        <v>21</v>
      </c>
      <c r="I237">
        <v>0</v>
      </c>
      <c r="J237" t="s">
        <v>33</v>
      </c>
    </row>
    <row r="238" spans="1:10" x14ac:dyDescent="0.25">
      <c r="A238" s="1">
        <v>33</v>
      </c>
      <c r="B238" t="s">
        <v>34</v>
      </c>
      <c r="C238">
        <v>630</v>
      </c>
      <c r="D238">
        <v>5</v>
      </c>
      <c r="E238" t="s">
        <v>28</v>
      </c>
      <c r="F238" t="s">
        <v>29</v>
      </c>
      <c r="G238" t="str">
        <f>"2026-05-30 08:46:27.005"</f>
        <v>2026-05-30 08:46:27.005</v>
      </c>
      <c r="H238" t="s">
        <v>30</v>
      </c>
      <c r="I238">
        <v>0</v>
      </c>
      <c r="J238" t="s">
        <v>33</v>
      </c>
    </row>
    <row r="239" spans="1:10" x14ac:dyDescent="0.25">
      <c r="A239" s="1">
        <v>34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"2026-05-30 02:16:19.117"</f>
        <v>2026-05-30 02:16:19.117</v>
      </c>
      <c r="H239" t="s">
        <v>21</v>
      </c>
      <c r="I239">
        <v>0</v>
      </c>
      <c r="J239" t="s">
        <v>27</v>
      </c>
    </row>
    <row r="240" spans="1:10" x14ac:dyDescent="0.25">
      <c r="A240" s="1">
        <v>35</v>
      </c>
      <c r="B240" t="s">
        <v>22</v>
      </c>
      <c r="C240">
        <v>630</v>
      </c>
      <c r="D240">
        <v>5</v>
      </c>
      <c r="E240" t="s">
        <v>28</v>
      </c>
      <c r="F240" t="s">
        <v>29</v>
      </c>
      <c r="G240" t="str">
        <f>"2026-05-29 17:30:27.355"</f>
        <v>2026-05-29 17:30:27.355</v>
      </c>
      <c r="H240" t="s">
        <v>30</v>
      </c>
    </row>
    <row r="241" spans="1:10" x14ac:dyDescent="0.25">
      <c r="A241" s="1">
        <v>36</v>
      </c>
      <c r="B241" t="s">
        <v>19</v>
      </c>
      <c r="C241">
        <v>706</v>
      </c>
      <c r="D241">
        <v>4</v>
      </c>
      <c r="E241" t="s">
        <v>31</v>
      </c>
      <c r="F241" t="s">
        <v>32</v>
      </c>
      <c r="G241" t="str">
        <f>"2026-05-29 17:29:57.188"</f>
        <v>2026-05-29 17:29:57.188</v>
      </c>
      <c r="H241" t="s">
        <v>21</v>
      </c>
      <c r="I241">
        <v>0</v>
      </c>
      <c r="J241" t="s">
        <v>33</v>
      </c>
    </row>
    <row r="242" spans="1:10" x14ac:dyDescent="0.25">
      <c r="A242" s="1">
        <v>37</v>
      </c>
      <c r="B242" t="s">
        <v>34</v>
      </c>
      <c r="C242">
        <v>630</v>
      </c>
      <c r="D242">
        <v>5</v>
      </c>
      <c r="E242" t="s">
        <v>28</v>
      </c>
      <c r="F242" t="s">
        <v>29</v>
      </c>
      <c r="G242" t="str">
        <f>"2026-05-29 17:25:57.855"</f>
        <v>2026-05-29 17:25:57.855</v>
      </c>
      <c r="H242" t="s">
        <v>30</v>
      </c>
      <c r="I242">
        <v>0</v>
      </c>
      <c r="J242" t="s">
        <v>33</v>
      </c>
    </row>
    <row r="243" spans="1:10" x14ac:dyDescent="0.25">
      <c r="A243" s="1">
        <v>38</v>
      </c>
      <c r="B243" t="s">
        <v>19</v>
      </c>
      <c r="C243">
        <v>706</v>
      </c>
      <c r="D243">
        <v>2</v>
      </c>
      <c r="E243" t="s">
        <v>31</v>
      </c>
      <c r="F243" t="s">
        <v>35</v>
      </c>
      <c r="G243" t="str">
        <f>"2026-05-29 13:55:24.098"</f>
        <v>2026-05-29 13:55:24.098</v>
      </c>
      <c r="H243" t="s">
        <v>21</v>
      </c>
      <c r="I243">
        <v>0</v>
      </c>
      <c r="J243" t="s">
        <v>33</v>
      </c>
    </row>
    <row r="244" spans="1:10" x14ac:dyDescent="0.25">
      <c r="A244" s="1">
        <v>39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"2026-05-29 13:55:10.128"</f>
        <v>2026-05-29 13:55:10.128</v>
      </c>
      <c r="H244" t="s">
        <v>21</v>
      </c>
    </row>
    <row r="245" spans="1:10" s="3" customFormat="1" x14ac:dyDescent="0.25">
      <c r="A245" s="2">
        <v>40</v>
      </c>
      <c r="B245" s="3" t="s">
        <v>22</v>
      </c>
      <c r="C245" s="3">
        <v>647</v>
      </c>
      <c r="D245" s="3">
        <v>1</v>
      </c>
      <c r="E245" s="3" t="s">
        <v>39</v>
      </c>
      <c r="F245" s="3" t="s">
        <v>40</v>
      </c>
      <c r="G245" s="3" t="str">
        <f>"2026-05-29 07:49:55.855"</f>
        <v>2026-05-29 07:49:55.855</v>
      </c>
      <c r="H245" s="3" t="s">
        <v>21</v>
      </c>
    </row>
    <row r="246" spans="1:10" s="3" customFormat="1" x14ac:dyDescent="0.25">
      <c r="A246" s="2">
        <v>41</v>
      </c>
      <c r="B246" s="3" t="s">
        <v>25</v>
      </c>
      <c r="C246" s="3">
        <v>647</v>
      </c>
      <c r="D246" s="3">
        <v>1</v>
      </c>
      <c r="E246" s="3" t="s">
        <v>39</v>
      </c>
      <c r="F246" s="3" t="s">
        <v>40</v>
      </c>
      <c r="G246" s="3" t="str">
        <f>"2026-05-29 07:49:49.955"</f>
        <v>2026-05-29 07:49:49.955</v>
      </c>
      <c r="H246" s="3" t="s">
        <v>21</v>
      </c>
      <c r="I246" s="3">
        <v>10.45</v>
      </c>
      <c r="J246" s="3" t="s">
        <v>37</v>
      </c>
    </row>
    <row r="247" spans="1:10" x14ac:dyDescent="0.25">
      <c r="A247" s="1">
        <v>42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"2026-05-29 07:45:31.150"</f>
        <v>2026-05-29 07:45:31.150</v>
      </c>
      <c r="H247" t="s">
        <v>21</v>
      </c>
    </row>
    <row r="248" spans="1:10" x14ac:dyDescent="0.25">
      <c r="A248" s="1">
        <v>43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"2026-05-28 12:50:00.153"</f>
        <v>2026-05-28 12:50:00.153</v>
      </c>
      <c r="H248" t="s">
        <v>21</v>
      </c>
    </row>
    <row r="249" spans="1:10" x14ac:dyDescent="0.25">
      <c r="A249" s="1">
        <v>44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"2026-05-28 08:01:36.285"</f>
        <v>2026-05-28 08:01:36.285</v>
      </c>
      <c r="H249" t="s">
        <v>21</v>
      </c>
    </row>
    <row r="250" spans="1:10" x14ac:dyDescent="0.25">
      <c r="A250" s="1">
        <v>45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"2026-05-27 12:35:49.173"</f>
        <v>2026-05-27 12:35:49.173</v>
      </c>
      <c r="H250" t="s">
        <v>21</v>
      </c>
      <c r="I250">
        <v>0</v>
      </c>
      <c r="J250" t="s">
        <v>27</v>
      </c>
    </row>
    <row r="251" spans="1:10" x14ac:dyDescent="0.25">
      <c r="A251" s="1">
        <v>46</v>
      </c>
      <c r="B251" t="s">
        <v>22</v>
      </c>
      <c r="C251">
        <v>630</v>
      </c>
      <c r="D251">
        <v>5</v>
      </c>
      <c r="E251" t="s">
        <v>28</v>
      </c>
      <c r="F251" t="s">
        <v>29</v>
      </c>
      <c r="G251" t="str">
        <f>"2026-05-27 09:15:04.623"</f>
        <v>2026-05-27 09:15:04.623</v>
      </c>
      <c r="H251" t="s">
        <v>30</v>
      </c>
    </row>
    <row r="252" spans="1:10" x14ac:dyDescent="0.25">
      <c r="A252" s="1">
        <v>47</v>
      </c>
      <c r="B252" t="s">
        <v>19</v>
      </c>
      <c r="C252">
        <v>706</v>
      </c>
      <c r="D252">
        <v>2</v>
      </c>
      <c r="E252" t="s">
        <v>31</v>
      </c>
      <c r="F252" t="s">
        <v>35</v>
      </c>
      <c r="G252" t="str">
        <f>"2026-05-27 09:14:34.605"</f>
        <v>2026-05-27 09:14:34.605</v>
      </c>
      <c r="H252" t="s">
        <v>21</v>
      </c>
      <c r="I252">
        <v>0</v>
      </c>
      <c r="J252" t="s">
        <v>33</v>
      </c>
    </row>
    <row r="253" spans="1:10" x14ac:dyDescent="0.25">
      <c r="A253" s="1">
        <v>48</v>
      </c>
      <c r="B253" t="s">
        <v>34</v>
      </c>
      <c r="C253">
        <v>630</v>
      </c>
      <c r="D253">
        <v>5</v>
      </c>
      <c r="E253" t="s">
        <v>28</v>
      </c>
      <c r="F253" t="s">
        <v>29</v>
      </c>
      <c r="G253" t="str">
        <f>"2026-05-27 09:03:29.124"</f>
        <v>2026-05-27 09:03:29.124</v>
      </c>
      <c r="H253" t="s">
        <v>30</v>
      </c>
      <c r="I253">
        <v>0</v>
      </c>
      <c r="J253" t="s">
        <v>33</v>
      </c>
    </row>
    <row r="254" spans="1:10" x14ac:dyDescent="0.25">
      <c r="A254" s="1">
        <v>49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"2026-05-27 08:15:31.125"</f>
        <v>2026-05-27 08:15:31.125</v>
      </c>
      <c r="H254" t="s">
        <v>21</v>
      </c>
    </row>
    <row r="255" spans="1:10" x14ac:dyDescent="0.25">
      <c r="A255" s="1">
        <v>51</v>
      </c>
      <c r="B255" t="s">
        <v>22</v>
      </c>
      <c r="C255">
        <v>635</v>
      </c>
      <c r="D255">
        <v>1</v>
      </c>
      <c r="E255" t="s">
        <v>23</v>
      </c>
      <c r="F255" t="s">
        <v>24</v>
      </c>
      <c r="G255" t="str">
        <f>"2026-05-26 14:17:17.850"</f>
        <v>2026-05-26 14:17:17.850</v>
      </c>
      <c r="H255" t="s">
        <v>21</v>
      </c>
    </row>
    <row r="256" spans="1:10" x14ac:dyDescent="0.25">
      <c r="A256" s="1">
        <v>52</v>
      </c>
      <c r="B256" t="s">
        <v>25</v>
      </c>
      <c r="C256">
        <v>635</v>
      </c>
      <c r="D256">
        <v>1</v>
      </c>
      <c r="E256" t="s">
        <v>23</v>
      </c>
      <c r="F256" t="s">
        <v>24</v>
      </c>
      <c r="G256" t="str">
        <f>"2026-05-26 14:13:59.850"</f>
        <v>2026-05-26 14:13:59.850</v>
      </c>
      <c r="H256" t="s">
        <v>21</v>
      </c>
      <c r="I256">
        <v>-0.27</v>
      </c>
      <c r="J256" t="s">
        <v>26</v>
      </c>
    </row>
    <row r="257" spans="1:10" x14ac:dyDescent="0.25">
      <c r="A257" s="1">
        <v>53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"2026-05-26 13:41:03.131"</f>
        <v>2026-05-26 13:41:03.131</v>
      </c>
      <c r="H257" t="s">
        <v>21</v>
      </c>
      <c r="I257">
        <v>0</v>
      </c>
      <c r="J257" t="s">
        <v>27</v>
      </c>
    </row>
    <row r="258" spans="1:10" x14ac:dyDescent="0.25">
      <c r="A258" s="1">
        <v>54</v>
      </c>
      <c r="B258" t="s">
        <v>19</v>
      </c>
      <c r="C258">
        <v>706</v>
      </c>
      <c r="D258">
        <v>4</v>
      </c>
      <c r="E258" t="s">
        <v>31</v>
      </c>
      <c r="F258" t="s">
        <v>32</v>
      </c>
      <c r="G258" t="str">
        <f>"2026-05-26 12:25:38.235"</f>
        <v>2026-05-26 12:25:38.235</v>
      </c>
      <c r="H258" t="s">
        <v>21</v>
      </c>
      <c r="I258">
        <v>0</v>
      </c>
      <c r="J258" t="s">
        <v>33</v>
      </c>
    </row>
    <row r="259" spans="1:10" x14ac:dyDescent="0.25">
      <c r="A259" s="1">
        <v>55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"2026-05-26 12:23:21.135"</f>
        <v>2026-05-26 12:23:21.135</v>
      </c>
      <c r="H259" t="s">
        <v>21</v>
      </c>
      <c r="I259">
        <v>0</v>
      </c>
      <c r="J259" t="s">
        <v>27</v>
      </c>
    </row>
    <row r="260" spans="1:10" x14ac:dyDescent="0.25">
      <c r="A260" s="1">
        <v>56</v>
      </c>
      <c r="B260" t="s">
        <v>34</v>
      </c>
      <c r="C260">
        <v>630</v>
      </c>
      <c r="D260">
        <v>5</v>
      </c>
      <c r="E260" t="s">
        <v>28</v>
      </c>
      <c r="F260" t="s">
        <v>29</v>
      </c>
      <c r="G260" t="str">
        <f>"2026-05-26 11:52:59.235"</f>
        <v>2026-05-26 11:52:59.235</v>
      </c>
      <c r="H260" t="s">
        <v>30</v>
      </c>
      <c r="I260">
        <v>0</v>
      </c>
      <c r="J260" t="s">
        <v>33</v>
      </c>
    </row>
    <row r="261" spans="1:10" x14ac:dyDescent="0.25">
      <c r="A261" s="1">
        <v>57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"2026-05-26 07:43:55.148"</f>
        <v>2026-05-26 07:43:55.148</v>
      </c>
      <c r="H261" t="s">
        <v>21</v>
      </c>
    </row>
    <row r="262" spans="1:10" x14ac:dyDescent="0.25">
      <c r="A262" s="1">
        <v>58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"2026-05-26 03:59:58.115"</f>
        <v>2026-05-26 03:59:58.115</v>
      </c>
      <c r="H262" t="s">
        <v>21</v>
      </c>
    </row>
    <row r="263" spans="1:10" x14ac:dyDescent="0.25">
      <c r="A263" s="1">
        <v>59</v>
      </c>
      <c r="B263" t="s">
        <v>19</v>
      </c>
      <c r="C263">
        <v>706</v>
      </c>
      <c r="D263">
        <v>4</v>
      </c>
      <c r="E263" t="s">
        <v>31</v>
      </c>
      <c r="F263" t="s">
        <v>32</v>
      </c>
      <c r="G263" t="str">
        <f>"2026-05-26 03:40:06.518"</f>
        <v>2026-05-26 03:40:06.518</v>
      </c>
      <c r="H263" t="s">
        <v>21</v>
      </c>
      <c r="I263">
        <v>0</v>
      </c>
      <c r="J263" t="s">
        <v>33</v>
      </c>
    </row>
    <row r="264" spans="1:10" x14ac:dyDescent="0.25">
      <c r="A264" s="1">
        <v>60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"2026-05-26 03:38:45.118"</f>
        <v>2026-05-26 03:38:45.118</v>
      </c>
      <c r="H264" t="s">
        <v>21</v>
      </c>
      <c r="I264">
        <v>0</v>
      </c>
      <c r="J264" t="s">
        <v>27</v>
      </c>
    </row>
    <row r="265" spans="1:10" x14ac:dyDescent="0.25">
      <c r="A265" s="1">
        <v>61</v>
      </c>
      <c r="B265" t="s">
        <v>34</v>
      </c>
      <c r="C265">
        <v>630</v>
      </c>
      <c r="D265">
        <v>5</v>
      </c>
      <c r="E265" t="s">
        <v>28</v>
      </c>
      <c r="F265" t="s">
        <v>29</v>
      </c>
      <c r="G265" t="str">
        <f>"2026-05-26 03:27:53.981"</f>
        <v>2026-05-26 03:27:53.981</v>
      </c>
      <c r="H265" t="s">
        <v>30</v>
      </c>
      <c r="I265">
        <v>0</v>
      </c>
      <c r="J265" t="s">
        <v>33</v>
      </c>
    </row>
    <row r="266" spans="1:10" x14ac:dyDescent="0.25">
      <c r="A266" s="1">
        <v>62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"2026-05-26 03:22:51.115"</f>
        <v>2026-05-26 03:22:51.115</v>
      </c>
      <c r="H266" t="s">
        <v>21</v>
      </c>
    </row>
    <row r="267" spans="1:10" x14ac:dyDescent="0.25">
      <c r="A267" s="1">
        <v>63</v>
      </c>
      <c r="B267" t="s">
        <v>34</v>
      </c>
      <c r="C267">
        <v>630</v>
      </c>
      <c r="D267">
        <v>5</v>
      </c>
      <c r="E267" t="s">
        <v>28</v>
      </c>
      <c r="F267" t="s">
        <v>29</v>
      </c>
      <c r="G267" t="str">
        <f>"2026-05-26 02:56:18.999"</f>
        <v>2026-05-26 02:56:18.999</v>
      </c>
      <c r="H267" t="s">
        <v>30</v>
      </c>
      <c r="I267">
        <v>0</v>
      </c>
      <c r="J267" t="s">
        <v>33</v>
      </c>
    </row>
    <row r="268" spans="1:10" x14ac:dyDescent="0.25">
      <c r="A268" s="1">
        <v>64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"2026-05-26 01:31:08.188"</f>
        <v>2026-05-26 01:31:08.188</v>
      </c>
      <c r="H268" t="s">
        <v>21</v>
      </c>
    </row>
    <row r="269" spans="1:10" x14ac:dyDescent="0.25">
      <c r="A269" s="1">
        <v>65</v>
      </c>
      <c r="B269" t="s">
        <v>22</v>
      </c>
      <c r="C269">
        <v>630</v>
      </c>
      <c r="D269">
        <v>5</v>
      </c>
      <c r="E269" t="s">
        <v>28</v>
      </c>
      <c r="F269" t="s">
        <v>29</v>
      </c>
      <c r="G269" t="str">
        <f>"2026-05-25 15:57:43.522"</f>
        <v>2026-05-25 15:57:43.522</v>
      </c>
      <c r="H269" t="s">
        <v>30</v>
      </c>
    </row>
    <row r="270" spans="1:10" x14ac:dyDescent="0.25">
      <c r="A270" s="1">
        <v>66</v>
      </c>
      <c r="B270" t="s">
        <v>19</v>
      </c>
      <c r="C270">
        <v>706</v>
      </c>
      <c r="D270">
        <v>4</v>
      </c>
      <c r="E270" t="s">
        <v>31</v>
      </c>
      <c r="F270" t="s">
        <v>32</v>
      </c>
      <c r="G270" t="str">
        <f>"2026-05-25 15:57:13.419"</f>
        <v>2026-05-25 15:57:13.419</v>
      </c>
      <c r="H270" t="s">
        <v>21</v>
      </c>
      <c r="I270">
        <v>0</v>
      </c>
      <c r="J270" t="s">
        <v>33</v>
      </c>
    </row>
    <row r="271" spans="1:10" x14ac:dyDescent="0.25">
      <c r="A271" s="1">
        <v>67</v>
      </c>
      <c r="B271" t="s">
        <v>34</v>
      </c>
      <c r="C271">
        <v>630</v>
      </c>
      <c r="D271">
        <v>5</v>
      </c>
      <c r="E271" t="s">
        <v>28</v>
      </c>
      <c r="F271" t="s">
        <v>29</v>
      </c>
      <c r="G271" t="str">
        <f>"2026-05-25 15:40:03.622"</f>
        <v>2026-05-25 15:40:03.622</v>
      </c>
      <c r="H271" t="s">
        <v>30</v>
      </c>
      <c r="I271">
        <v>0</v>
      </c>
      <c r="J271" t="s">
        <v>33</v>
      </c>
    </row>
    <row r="272" spans="1:10" x14ac:dyDescent="0.25">
      <c r="A272" s="1">
        <v>68</v>
      </c>
      <c r="B272" t="s">
        <v>19</v>
      </c>
      <c r="C272">
        <v>706</v>
      </c>
      <c r="D272">
        <v>4</v>
      </c>
      <c r="E272" t="s">
        <v>31</v>
      </c>
      <c r="F272" t="s">
        <v>32</v>
      </c>
      <c r="G272" t="str">
        <f>"2026-05-25 14:00:38.059"</f>
        <v>2026-05-25 14:00:38.059</v>
      </c>
      <c r="H272" t="s">
        <v>21</v>
      </c>
      <c r="I272">
        <v>0</v>
      </c>
      <c r="J272" t="s">
        <v>33</v>
      </c>
    </row>
    <row r="273" spans="1:10" x14ac:dyDescent="0.25">
      <c r="A273" s="1">
        <v>69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"2026-05-25 14:00:20.119"</f>
        <v>2026-05-25 14:00:20.119</v>
      </c>
      <c r="H273" t="s">
        <v>21</v>
      </c>
      <c r="I273">
        <v>0</v>
      </c>
      <c r="J273" t="s">
        <v>27</v>
      </c>
    </row>
    <row r="274" spans="1:10" x14ac:dyDescent="0.25">
      <c r="A274" s="1">
        <v>70</v>
      </c>
      <c r="B274" t="s">
        <v>34</v>
      </c>
      <c r="C274">
        <v>630</v>
      </c>
      <c r="D274">
        <v>5</v>
      </c>
      <c r="E274" t="s">
        <v>28</v>
      </c>
      <c r="F274" t="s">
        <v>29</v>
      </c>
      <c r="G274" t="str">
        <f>"2026-05-25 13:26:51.751"</f>
        <v>2026-05-25 13:26:51.751</v>
      </c>
      <c r="H274" t="s">
        <v>30</v>
      </c>
      <c r="I274">
        <v>0</v>
      </c>
      <c r="J274" t="s">
        <v>33</v>
      </c>
    </row>
    <row r="275" spans="1:10" x14ac:dyDescent="0.25">
      <c r="A275" s="1">
        <v>71</v>
      </c>
      <c r="B275" t="s">
        <v>22</v>
      </c>
      <c r="C275">
        <v>630</v>
      </c>
      <c r="D275">
        <v>5</v>
      </c>
      <c r="E275" t="s">
        <v>28</v>
      </c>
      <c r="F275" t="s">
        <v>29</v>
      </c>
      <c r="G275" t="str">
        <f>"2026-05-25 09:32:37.751"</f>
        <v>2026-05-25 09:32:37.751</v>
      </c>
      <c r="H275" t="s">
        <v>30</v>
      </c>
    </row>
    <row r="276" spans="1:10" x14ac:dyDescent="0.25">
      <c r="A276" s="1">
        <v>72</v>
      </c>
      <c r="B276" t="s">
        <v>19</v>
      </c>
      <c r="C276">
        <v>706</v>
      </c>
      <c r="D276">
        <v>4</v>
      </c>
      <c r="E276" t="s">
        <v>31</v>
      </c>
      <c r="F276" t="s">
        <v>32</v>
      </c>
      <c r="G276" t="str">
        <f>"2026-05-25 09:32:07.646"</f>
        <v>2026-05-25 09:32:07.646</v>
      </c>
      <c r="H276" t="s">
        <v>21</v>
      </c>
      <c r="I276">
        <v>0</v>
      </c>
      <c r="J276" t="s">
        <v>33</v>
      </c>
    </row>
    <row r="277" spans="1:10" x14ac:dyDescent="0.25">
      <c r="A277" s="1">
        <v>73</v>
      </c>
      <c r="B277" t="s">
        <v>34</v>
      </c>
      <c r="C277">
        <v>630</v>
      </c>
      <c r="D277">
        <v>5</v>
      </c>
      <c r="E277" t="s">
        <v>28</v>
      </c>
      <c r="F277" t="s">
        <v>29</v>
      </c>
      <c r="G277" t="str">
        <f>"2026-05-25 09:21:19.451"</f>
        <v>2026-05-25 09:21:19.451</v>
      </c>
      <c r="H277" t="s">
        <v>30</v>
      </c>
      <c r="I277">
        <v>0</v>
      </c>
      <c r="J277" t="s">
        <v>33</v>
      </c>
    </row>
    <row r="278" spans="1:10" x14ac:dyDescent="0.25">
      <c r="A278" s="1">
        <v>75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"2026-05-24 21:16:36.136"</f>
        <v>2026-05-24 21:16:36.136</v>
      </c>
      <c r="H278" t="s">
        <v>21</v>
      </c>
      <c r="I278">
        <v>0</v>
      </c>
      <c r="J278" t="s">
        <v>27</v>
      </c>
    </row>
    <row r="279" spans="1:10" x14ac:dyDescent="0.25">
      <c r="A279" s="1">
        <v>76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"2026-05-24 20:25:08.108"</f>
        <v>2026-05-24 20:25:08.108</v>
      </c>
      <c r="H279" t="s">
        <v>21</v>
      </c>
      <c r="I279">
        <v>0</v>
      </c>
      <c r="J279" t="s">
        <v>27</v>
      </c>
    </row>
    <row r="280" spans="1:10" x14ac:dyDescent="0.25">
      <c r="A280" s="1">
        <v>77</v>
      </c>
      <c r="B280" t="s">
        <v>19</v>
      </c>
      <c r="C280">
        <v>706</v>
      </c>
      <c r="D280">
        <v>4</v>
      </c>
      <c r="E280" t="s">
        <v>31</v>
      </c>
      <c r="F280" t="s">
        <v>32</v>
      </c>
      <c r="G280" t="str">
        <f>"2026-05-24 18:34:14.637"</f>
        <v>2026-05-24 18:34:14.637</v>
      </c>
      <c r="H280" t="s">
        <v>21</v>
      </c>
      <c r="I280">
        <v>0</v>
      </c>
      <c r="J280" t="s">
        <v>33</v>
      </c>
    </row>
    <row r="281" spans="1:10" x14ac:dyDescent="0.25">
      <c r="A281" s="1">
        <v>78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"2026-05-24 18:33:52.107"</f>
        <v>2026-05-24 18:33:52.107</v>
      </c>
      <c r="H281" t="s">
        <v>21</v>
      </c>
      <c r="I281">
        <v>0</v>
      </c>
      <c r="J281" t="s">
        <v>27</v>
      </c>
    </row>
    <row r="282" spans="1:10" x14ac:dyDescent="0.25">
      <c r="A282" s="1">
        <v>79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"2026-05-23 08:55:16.148"</f>
        <v>2026-05-23 08:55:16.148</v>
      </c>
      <c r="H282" t="s">
        <v>21</v>
      </c>
    </row>
    <row r="283" spans="1:10" x14ac:dyDescent="0.25">
      <c r="A283" s="1">
        <v>80</v>
      </c>
      <c r="B283" t="s">
        <v>22</v>
      </c>
      <c r="C283">
        <v>619</v>
      </c>
      <c r="D283">
        <v>1</v>
      </c>
      <c r="E283" t="s">
        <v>54</v>
      </c>
      <c r="F283" t="s">
        <v>24</v>
      </c>
      <c r="G283" t="str">
        <f>"2026-05-23 08:46:47.477"</f>
        <v>2026-05-23 08:46:47.477</v>
      </c>
      <c r="H283" t="s">
        <v>55</v>
      </c>
    </row>
    <row r="284" spans="1:10" x14ac:dyDescent="0.25">
      <c r="A284" s="1">
        <v>81</v>
      </c>
      <c r="B284" t="s">
        <v>25</v>
      </c>
      <c r="C284">
        <v>619</v>
      </c>
      <c r="D284">
        <v>1</v>
      </c>
      <c r="E284" t="s">
        <v>54</v>
      </c>
      <c r="F284" t="s">
        <v>24</v>
      </c>
      <c r="G284" t="str">
        <f>"2026-05-23 08:46:05.477"</f>
        <v>2026-05-23 08:46:05.477</v>
      </c>
      <c r="H284" t="s">
        <v>55</v>
      </c>
      <c r="I284">
        <v>0</v>
      </c>
      <c r="J284" t="s">
        <v>33</v>
      </c>
    </row>
    <row r="285" spans="1:10" x14ac:dyDescent="0.25">
      <c r="A285" s="1">
        <v>82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"2026-05-23 08:45:37.105"</f>
        <v>2026-05-23 08:45:37.105</v>
      </c>
      <c r="H285" t="s">
        <v>21</v>
      </c>
    </row>
    <row r="286" spans="1:10" x14ac:dyDescent="0.25">
      <c r="A286" s="1">
        <v>83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"2026-05-22 14:10:49.116"</f>
        <v>2026-05-22 14:10:49.116</v>
      </c>
      <c r="H286" t="s">
        <v>21</v>
      </c>
    </row>
    <row r="287" spans="1:10" x14ac:dyDescent="0.25">
      <c r="A287" s="1">
        <v>84</v>
      </c>
      <c r="B287" t="s">
        <v>22</v>
      </c>
      <c r="C287">
        <v>619</v>
      </c>
      <c r="D287">
        <v>1</v>
      </c>
      <c r="E287" t="s">
        <v>54</v>
      </c>
      <c r="F287" t="s">
        <v>24</v>
      </c>
      <c r="G287" t="str">
        <f>"2026-05-22 09:58:54.611"</f>
        <v>2026-05-22 09:58:54.611</v>
      </c>
      <c r="H287" t="s">
        <v>55</v>
      </c>
    </row>
    <row r="288" spans="1:10" x14ac:dyDescent="0.25">
      <c r="A288" s="1">
        <v>85</v>
      </c>
      <c r="B288" t="s">
        <v>25</v>
      </c>
      <c r="C288">
        <v>619</v>
      </c>
      <c r="D288">
        <v>1</v>
      </c>
      <c r="E288" t="s">
        <v>54</v>
      </c>
      <c r="F288" t="s">
        <v>24</v>
      </c>
      <c r="G288" t="str">
        <f>"2026-05-22 09:57:57.363"</f>
        <v>2026-05-22 09:57:57.363</v>
      </c>
      <c r="H288" t="s">
        <v>55</v>
      </c>
      <c r="I288">
        <v>0</v>
      </c>
      <c r="J288" t="s">
        <v>33</v>
      </c>
    </row>
    <row r="289" spans="1:10" x14ac:dyDescent="0.25">
      <c r="A289" s="1">
        <v>86</v>
      </c>
      <c r="B289" t="s">
        <v>19</v>
      </c>
      <c r="C289">
        <v>706</v>
      </c>
      <c r="D289">
        <v>4</v>
      </c>
      <c r="E289" t="s">
        <v>31</v>
      </c>
      <c r="F289" t="s">
        <v>32</v>
      </c>
      <c r="G289" t="str">
        <f>"2026-05-22 09:57:49.660"</f>
        <v>2026-05-22 09:57:49.660</v>
      </c>
      <c r="H289" t="s">
        <v>21</v>
      </c>
      <c r="I289">
        <v>0</v>
      </c>
      <c r="J289" t="s">
        <v>33</v>
      </c>
    </row>
    <row r="290" spans="1:10" x14ac:dyDescent="0.25">
      <c r="A290" s="1">
        <v>87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"2026-05-22 09:57:16.110"</f>
        <v>2026-05-22 09:57:16.110</v>
      </c>
      <c r="H290" t="s">
        <v>21</v>
      </c>
      <c r="I290">
        <v>0</v>
      </c>
      <c r="J290" t="s">
        <v>27</v>
      </c>
    </row>
    <row r="291" spans="1:10" x14ac:dyDescent="0.25">
      <c r="A291" s="1">
        <v>88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"2026-05-22 08:33:31.196"</f>
        <v>2026-05-22 08:33:31.196</v>
      </c>
      <c r="H291" t="s">
        <v>21</v>
      </c>
      <c r="I291">
        <v>0</v>
      </c>
      <c r="J291" t="s">
        <v>27</v>
      </c>
    </row>
    <row r="292" spans="1:10" x14ac:dyDescent="0.25">
      <c r="A292" s="1">
        <v>89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"2026-05-22 08:16:34.107"</f>
        <v>2026-05-22 08:16:34.107</v>
      </c>
      <c r="H292" t="s">
        <v>21</v>
      </c>
    </row>
    <row r="293" spans="1:10" x14ac:dyDescent="0.25">
      <c r="A293" s="1">
        <v>90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"2026-05-21 12:37:15.103"</f>
        <v>2026-05-21 12:37:15.103</v>
      </c>
      <c r="H293" t="s">
        <v>21</v>
      </c>
    </row>
    <row r="294" spans="1:10" x14ac:dyDescent="0.25">
      <c r="A294" s="1">
        <v>91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"2026-05-21 09:32:06.197"</f>
        <v>2026-05-21 09:32:06.197</v>
      </c>
      <c r="H294" t="s">
        <v>21</v>
      </c>
      <c r="I294">
        <v>0</v>
      </c>
      <c r="J294" t="s">
        <v>27</v>
      </c>
    </row>
    <row r="295" spans="1:10" x14ac:dyDescent="0.25">
      <c r="A295" s="1">
        <v>92</v>
      </c>
      <c r="B295" t="s">
        <v>19</v>
      </c>
      <c r="C295">
        <v>706</v>
      </c>
      <c r="D295">
        <v>2</v>
      </c>
      <c r="E295" t="s">
        <v>31</v>
      </c>
      <c r="F295" t="s">
        <v>35</v>
      </c>
      <c r="G295" t="str">
        <f>"2026-05-21 09:15:40.033"</f>
        <v>2026-05-21 09:15:40.033</v>
      </c>
      <c r="H295" t="s">
        <v>21</v>
      </c>
      <c r="I295">
        <v>0</v>
      </c>
      <c r="J295" t="s">
        <v>33</v>
      </c>
    </row>
    <row r="296" spans="1:10" x14ac:dyDescent="0.25">
      <c r="A296" s="1">
        <v>93</v>
      </c>
      <c r="B296" t="s">
        <v>19</v>
      </c>
      <c r="C296">
        <v>706</v>
      </c>
      <c r="D296">
        <v>2</v>
      </c>
      <c r="E296" t="s">
        <v>31</v>
      </c>
      <c r="F296" t="s">
        <v>35</v>
      </c>
      <c r="G296" t="str">
        <f>"2026-05-21 09:08:53.433"</f>
        <v>2026-05-21 09:08:53.433</v>
      </c>
      <c r="H296" t="s">
        <v>21</v>
      </c>
      <c r="I296">
        <v>0</v>
      </c>
      <c r="J296" t="s">
        <v>33</v>
      </c>
    </row>
    <row r="297" spans="1:10" x14ac:dyDescent="0.25">
      <c r="A297" s="1">
        <v>94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"2026-05-21 00:20:19.123"</f>
        <v>2026-05-21 00:20:19.123</v>
      </c>
      <c r="H297" t="s">
        <v>21</v>
      </c>
    </row>
    <row r="298" spans="1:10" x14ac:dyDescent="0.25">
      <c r="A298" s="1">
        <v>95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"2026-05-20 21:36:05.240"</f>
        <v>2026-05-20 21:36:05.240</v>
      </c>
      <c r="H298" t="s">
        <v>21</v>
      </c>
      <c r="I298">
        <v>0</v>
      </c>
      <c r="J298" t="s">
        <v>27</v>
      </c>
    </row>
    <row r="299" spans="1:10" x14ac:dyDescent="0.25">
      <c r="A299" s="1">
        <v>96</v>
      </c>
      <c r="B299" t="s">
        <v>22</v>
      </c>
      <c r="C299">
        <v>630</v>
      </c>
      <c r="D299">
        <v>5</v>
      </c>
      <c r="E299" t="s">
        <v>28</v>
      </c>
      <c r="F299" t="s">
        <v>29</v>
      </c>
      <c r="G299" t="str">
        <f>"2026-05-20 16:30:35.721"</f>
        <v>2026-05-20 16:30:35.721</v>
      </c>
      <c r="H299" t="s">
        <v>30</v>
      </c>
    </row>
    <row r="300" spans="1:10" x14ac:dyDescent="0.25">
      <c r="A300" s="1">
        <v>97</v>
      </c>
      <c r="B300" t="s">
        <v>19</v>
      </c>
      <c r="C300">
        <v>706</v>
      </c>
      <c r="D300">
        <v>2</v>
      </c>
      <c r="E300" t="s">
        <v>31</v>
      </c>
      <c r="F300" t="s">
        <v>35</v>
      </c>
      <c r="G300" t="str">
        <f>"2026-05-20 16:30:05.604"</f>
        <v>2026-05-20 16:30:05.604</v>
      </c>
      <c r="H300" t="s">
        <v>21</v>
      </c>
      <c r="I300">
        <v>0</v>
      </c>
      <c r="J300" t="s">
        <v>33</v>
      </c>
    </row>
    <row r="301" spans="1:10" x14ac:dyDescent="0.25">
      <c r="A301" s="1">
        <v>98</v>
      </c>
      <c r="B301" t="s">
        <v>34</v>
      </c>
      <c r="C301">
        <v>630</v>
      </c>
      <c r="D301">
        <v>5</v>
      </c>
      <c r="E301" t="s">
        <v>28</v>
      </c>
      <c r="F301" t="s">
        <v>29</v>
      </c>
      <c r="G301" t="str">
        <f>"2026-05-20 16:20:29.121"</f>
        <v>2026-05-20 16:20:29.121</v>
      </c>
      <c r="H301" t="s">
        <v>30</v>
      </c>
      <c r="I301">
        <v>0</v>
      </c>
      <c r="J301" t="s">
        <v>33</v>
      </c>
    </row>
    <row r="302" spans="1:10" x14ac:dyDescent="0.25">
      <c r="A302" s="1">
        <v>99</v>
      </c>
      <c r="B302" t="s">
        <v>22</v>
      </c>
      <c r="C302">
        <v>635</v>
      </c>
      <c r="D302">
        <v>1</v>
      </c>
      <c r="E302" t="s">
        <v>23</v>
      </c>
      <c r="F302" t="s">
        <v>24</v>
      </c>
      <c r="G302" t="str">
        <f>"2026-05-20 11:08:17.821"</f>
        <v>2026-05-20 11:08:17.821</v>
      </c>
      <c r="H302" t="s">
        <v>21</v>
      </c>
    </row>
    <row r="303" spans="1:10" x14ac:dyDescent="0.25">
      <c r="A303" s="1">
        <v>0</v>
      </c>
      <c r="B303" t="s">
        <v>25</v>
      </c>
      <c r="C303">
        <v>635</v>
      </c>
      <c r="D303">
        <v>1</v>
      </c>
      <c r="E303" t="s">
        <v>23</v>
      </c>
      <c r="F303" t="s">
        <v>24</v>
      </c>
      <c r="G303" t="str">
        <f>"2026-05-20 11:04:02.821"</f>
        <v>2026-05-20 11:04:02.821</v>
      </c>
      <c r="H303" t="s">
        <v>21</v>
      </c>
      <c r="I303">
        <v>3.58</v>
      </c>
      <c r="J303" t="s">
        <v>26</v>
      </c>
    </row>
    <row r="304" spans="1:10" x14ac:dyDescent="0.25">
      <c r="A304" s="1">
        <v>1</v>
      </c>
      <c r="B304" t="s">
        <v>22</v>
      </c>
      <c r="C304">
        <v>630</v>
      </c>
      <c r="D304">
        <v>5</v>
      </c>
      <c r="E304" t="s">
        <v>28</v>
      </c>
      <c r="F304" t="s">
        <v>29</v>
      </c>
      <c r="G304" t="str">
        <f>"2026-05-20 08:03:29.321"</f>
        <v>2026-05-20 08:03:29.321</v>
      </c>
      <c r="H304" t="s">
        <v>30</v>
      </c>
    </row>
    <row r="305" spans="1:10" x14ac:dyDescent="0.25">
      <c r="A305" s="1">
        <v>2</v>
      </c>
      <c r="B305" t="s">
        <v>19</v>
      </c>
      <c r="C305">
        <v>706</v>
      </c>
      <c r="D305">
        <v>2</v>
      </c>
      <c r="E305" t="s">
        <v>31</v>
      </c>
      <c r="F305" t="s">
        <v>35</v>
      </c>
      <c r="G305" t="str">
        <f>"2026-05-20 08:02:59.104"</f>
        <v>2026-05-20 08:02:59.104</v>
      </c>
      <c r="H305" t="s">
        <v>21</v>
      </c>
      <c r="I305">
        <v>0</v>
      </c>
      <c r="J305" t="s">
        <v>33</v>
      </c>
    </row>
    <row r="306" spans="1:10" x14ac:dyDescent="0.25">
      <c r="A306" s="1">
        <v>3</v>
      </c>
      <c r="B306" t="s">
        <v>34</v>
      </c>
      <c r="C306">
        <v>630</v>
      </c>
      <c r="D306">
        <v>5</v>
      </c>
      <c r="E306" t="s">
        <v>28</v>
      </c>
      <c r="F306" t="s">
        <v>29</v>
      </c>
      <c r="G306" t="str">
        <f>"2026-05-20 07:54:21.422"</f>
        <v>2026-05-20 07:54:21.422</v>
      </c>
      <c r="H306" t="s">
        <v>30</v>
      </c>
      <c r="I306">
        <v>0</v>
      </c>
      <c r="J306" t="s">
        <v>33</v>
      </c>
    </row>
    <row r="307" spans="1:10" x14ac:dyDescent="0.25">
      <c r="A307" s="1">
        <v>4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"2026-05-20 00:28:22.084"</f>
        <v>2026-05-20 00:28:22.084</v>
      </c>
      <c r="H307" t="s">
        <v>21</v>
      </c>
    </row>
    <row r="308" spans="1:10" x14ac:dyDescent="0.25">
      <c r="A308" s="1">
        <v>5</v>
      </c>
      <c r="B308" t="s">
        <v>22</v>
      </c>
      <c r="C308">
        <v>630</v>
      </c>
      <c r="D308">
        <v>5</v>
      </c>
      <c r="E308" t="s">
        <v>28</v>
      </c>
      <c r="F308" t="s">
        <v>29</v>
      </c>
      <c r="G308" t="str">
        <f>"2026-05-19 14:21:29.658"</f>
        <v>2026-05-19 14:21:29.658</v>
      </c>
      <c r="H308" t="s">
        <v>30</v>
      </c>
    </row>
    <row r="309" spans="1:10" x14ac:dyDescent="0.25">
      <c r="A309" s="1">
        <v>6</v>
      </c>
      <c r="B309" t="s">
        <v>19</v>
      </c>
      <c r="C309">
        <v>706</v>
      </c>
      <c r="D309">
        <v>2</v>
      </c>
      <c r="E309" t="s">
        <v>31</v>
      </c>
      <c r="F309" t="s">
        <v>35</v>
      </c>
      <c r="G309" t="str">
        <f>"2026-05-19 14:20:59.506"</f>
        <v>2026-05-19 14:20:59.506</v>
      </c>
      <c r="H309" t="s">
        <v>21</v>
      </c>
      <c r="I309">
        <v>0</v>
      </c>
      <c r="J309" t="s">
        <v>33</v>
      </c>
    </row>
    <row r="310" spans="1:10" x14ac:dyDescent="0.25">
      <c r="A310" s="1">
        <v>7</v>
      </c>
      <c r="B310" t="s">
        <v>34</v>
      </c>
      <c r="C310">
        <v>630</v>
      </c>
      <c r="D310">
        <v>5</v>
      </c>
      <c r="E310" t="s">
        <v>28</v>
      </c>
      <c r="F310" t="s">
        <v>29</v>
      </c>
      <c r="G310" t="str">
        <f>"2026-05-19 13:16:27.658"</f>
        <v>2026-05-19 13:16:27.658</v>
      </c>
      <c r="H310" t="s">
        <v>30</v>
      </c>
      <c r="I310">
        <v>0</v>
      </c>
      <c r="J310" t="s">
        <v>33</v>
      </c>
    </row>
    <row r="311" spans="1:10" x14ac:dyDescent="0.25">
      <c r="A311" s="1">
        <v>8</v>
      </c>
      <c r="B311" t="s">
        <v>19</v>
      </c>
      <c r="C311">
        <v>706</v>
      </c>
      <c r="D311">
        <v>2</v>
      </c>
      <c r="E311" t="s">
        <v>31</v>
      </c>
      <c r="F311" t="s">
        <v>35</v>
      </c>
      <c r="G311" t="str">
        <f>"2026-05-18 14:24:41.406"</f>
        <v>2026-05-18 14:24:41.406</v>
      </c>
      <c r="H311" t="s">
        <v>21</v>
      </c>
      <c r="I311">
        <v>0</v>
      </c>
      <c r="J311" t="s">
        <v>33</v>
      </c>
    </row>
    <row r="312" spans="1:10" x14ac:dyDescent="0.25">
      <c r="A312" s="1">
        <v>9</v>
      </c>
      <c r="B312" t="s">
        <v>19</v>
      </c>
      <c r="C312">
        <v>706</v>
      </c>
      <c r="D312">
        <v>4</v>
      </c>
      <c r="E312" t="s">
        <v>31</v>
      </c>
      <c r="F312" t="s">
        <v>32</v>
      </c>
      <c r="G312" t="str">
        <f>"2026-05-18 13:50:17.166"</f>
        <v>2026-05-18 13:50:17.166</v>
      </c>
      <c r="H312" t="s">
        <v>21</v>
      </c>
      <c r="I312">
        <v>0</v>
      </c>
      <c r="J312" t="s">
        <v>33</v>
      </c>
    </row>
    <row r="313" spans="1:10" x14ac:dyDescent="0.25">
      <c r="A313" s="1">
        <v>10</v>
      </c>
      <c r="B313" t="s">
        <v>22</v>
      </c>
      <c r="C313">
        <v>630</v>
      </c>
      <c r="D313">
        <v>5</v>
      </c>
      <c r="E313" t="s">
        <v>28</v>
      </c>
      <c r="F313" t="s">
        <v>29</v>
      </c>
      <c r="G313" t="str">
        <f>"2026-05-18 13:14:49.158"</f>
        <v>2026-05-18 13:14:49.158</v>
      </c>
      <c r="H313" t="s">
        <v>30</v>
      </c>
    </row>
    <row r="314" spans="1:10" x14ac:dyDescent="0.25">
      <c r="A314" s="1">
        <v>11</v>
      </c>
      <c r="B314" t="s">
        <v>34</v>
      </c>
      <c r="C314">
        <v>630</v>
      </c>
      <c r="D314">
        <v>5</v>
      </c>
      <c r="E314" t="s">
        <v>28</v>
      </c>
      <c r="F314" t="s">
        <v>29</v>
      </c>
      <c r="G314" t="str">
        <f>"2026-05-18 12:56:38.058"</f>
        <v>2026-05-18 12:56:38.058</v>
      </c>
      <c r="H314" t="s">
        <v>30</v>
      </c>
      <c r="I314">
        <v>0</v>
      </c>
      <c r="J314" t="s">
        <v>33</v>
      </c>
    </row>
    <row r="315" spans="1:10" x14ac:dyDescent="0.25">
      <c r="A315" s="1">
        <v>12</v>
      </c>
      <c r="B315" t="s">
        <v>56</v>
      </c>
      <c r="C315">
        <v>620</v>
      </c>
      <c r="D315">
        <v>1</v>
      </c>
      <c r="E315" t="s">
        <v>57</v>
      </c>
      <c r="F315" t="s">
        <v>24</v>
      </c>
      <c r="G315" t="str">
        <f>"2026-05-18 06:56:22.610"</f>
        <v>2026-05-18 06:56:22.610</v>
      </c>
      <c r="H315" t="s">
        <v>55</v>
      </c>
    </row>
    <row r="316" spans="1:10" x14ac:dyDescent="0.25">
      <c r="A316" s="1">
        <v>13</v>
      </c>
      <c r="B316" t="s">
        <v>34</v>
      </c>
      <c r="C316">
        <v>620</v>
      </c>
      <c r="D316">
        <v>1</v>
      </c>
      <c r="E316" t="s">
        <v>57</v>
      </c>
      <c r="F316" t="s">
        <v>24</v>
      </c>
      <c r="G316" t="str">
        <f>"2026-05-18 06:56:08.517"</f>
        <v>2026-05-18 06:56:08.517</v>
      </c>
      <c r="H316" t="s">
        <v>55</v>
      </c>
      <c r="I316">
        <v>7.74</v>
      </c>
      <c r="J316" t="s">
        <v>26</v>
      </c>
    </row>
    <row r="317" spans="1:10" x14ac:dyDescent="0.25">
      <c r="A317" s="1">
        <v>14</v>
      </c>
      <c r="B317" t="s">
        <v>22</v>
      </c>
      <c r="C317">
        <v>630</v>
      </c>
      <c r="D317">
        <v>5</v>
      </c>
      <c r="E317" t="s">
        <v>28</v>
      </c>
      <c r="F317" t="s">
        <v>29</v>
      </c>
      <c r="G317" t="str">
        <f>"2026-05-17 20:16:44.558"</f>
        <v>2026-05-17 20:16:44.558</v>
      </c>
      <c r="H317" t="s">
        <v>30</v>
      </c>
    </row>
    <row r="318" spans="1:10" x14ac:dyDescent="0.25">
      <c r="A318" s="1">
        <v>15</v>
      </c>
      <c r="B318" t="s">
        <v>19</v>
      </c>
      <c r="C318">
        <v>706</v>
      </c>
      <c r="D318">
        <v>4</v>
      </c>
      <c r="E318" t="s">
        <v>31</v>
      </c>
      <c r="F318" t="s">
        <v>32</v>
      </c>
      <c r="G318" t="str">
        <f>"2026-05-17 20:16:14.456"</f>
        <v>2026-05-17 20:16:14.456</v>
      </c>
      <c r="H318" t="s">
        <v>21</v>
      </c>
      <c r="I318">
        <v>0</v>
      </c>
      <c r="J318" t="s">
        <v>33</v>
      </c>
    </row>
    <row r="319" spans="1:10" x14ac:dyDescent="0.25">
      <c r="A319" s="1">
        <v>16</v>
      </c>
      <c r="B319" t="s">
        <v>34</v>
      </c>
      <c r="C319">
        <v>630</v>
      </c>
      <c r="D319">
        <v>5</v>
      </c>
      <c r="E319" t="s">
        <v>28</v>
      </c>
      <c r="F319" t="s">
        <v>29</v>
      </c>
      <c r="G319" t="str">
        <f>"2026-05-17 20:11:22.958"</f>
        <v>2026-05-17 20:11:22.958</v>
      </c>
      <c r="H319" t="s">
        <v>30</v>
      </c>
      <c r="I319">
        <v>0</v>
      </c>
      <c r="J319" t="s">
        <v>33</v>
      </c>
    </row>
    <row r="320" spans="1:10" x14ac:dyDescent="0.25">
      <c r="A320" s="1">
        <v>17</v>
      </c>
      <c r="B320" t="s">
        <v>22</v>
      </c>
      <c r="C320">
        <v>630</v>
      </c>
      <c r="D320">
        <v>5</v>
      </c>
      <c r="E320" t="s">
        <v>28</v>
      </c>
      <c r="F320" t="s">
        <v>29</v>
      </c>
      <c r="G320" t="str">
        <f>"2026-05-17 15:09:49.158"</f>
        <v>2026-05-17 15:09:49.158</v>
      </c>
      <c r="H320" t="s">
        <v>30</v>
      </c>
    </row>
    <row r="321" spans="1:10" x14ac:dyDescent="0.25">
      <c r="A321" s="1">
        <v>18</v>
      </c>
      <c r="B321" t="s">
        <v>19</v>
      </c>
      <c r="C321">
        <v>706</v>
      </c>
      <c r="D321">
        <v>4</v>
      </c>
      <c r="E321" t="s">
        <v>31</v>
      </c>
      <c r="F321" t="s">
        <v>32</v>
      </c>
      <c r="G321" t="str">
        <f>"2026-05-17 15:09:19.186"</f>
        <v>2026-05-17 15:09:19.186</v>
      </c>
      <c r="H321" t="s">
        <v>21</v>
      </c>
      <c r="I321">
        <v>0</v>
      </c>
      <c r="J321" t="s">
        <v>33</v>
      </c>
    </row>
    <row r="322" spans="1:10" x14ac:dyDescent="0.25">
      <c r="A322" s="1">
        <v>19</v>
      </c>
      <c r="B322" t="s">
        <v>34</v>
      </c>
      <c r="C322">
        <v>630</v>
      </c>
      <c r="D322">
        <v>5</v>
      </c>
      <c r="E322" t="s">
        <v>28</v>
      </c>
      <c r="F322" t="s">
        <v>29</v>
      </c>
      <c r="G322" t="str">
        <f>"2026-05-17 15:00:45.458"</f>
        <v>2026-05-17 15:00:45.458</v>
      </c>
      <c r="H322" t="s">
        <v>30</v>
      </c>
      <c r="I322">
        <v>0</v>
      </c>
      <c r="J322" t="s">
        <v>33</v>
      </c>
    </row>
    <row r="323" spans="1:10" x14ac:dyDescent="0.25">
      <c r="A323" s="1">
        <v>20</v>
      </c>
      <c r="B323" t="s">
        <v>22</v>
      </c>
      <c r="C323">
        <v>630</v>
      </c>
      <c r="D323">
        <v>5</v>
      </c>
      <c r="E323" t="s">
        <v>28</v>
      </c>
      <c r="F323" t="s">
        <v>29</v>
      </c>
      <c r="G323" t="str">
        <f>"2026-05-17 14:10:32.358"</f>
        <v>2026-05-17 14:10:32.358</v>
      </c>
      <c r="H323" t="s">
        <v>30</v>
      </c>
    </row>
    <row r="324" spans="1:10" x14ac:dyDescent="0.25">
      <c r="A324" s="1">
        <v>21</v>
      </c>
      <c r="B324" t="s">
        <v>19</v>
      </c>
      <c r="C324">
        <v>706</v>
      </c>
      <c r="D324">
        <v>4</v>
      </c>
      <c r="E324" t="s">
        <v>31</v>
      </c>
      <c r="F324" t="s">
        <v>32</v>
      </c>
      <c r="G324" t="str">
        <f>"2026-05-17 14:10:02.296"</f>
        <v>2026-05-17 14:10:02.296</v>
      </c>
      <c r="H324" t="s">
        <v>21</v>
      </c>
      <c r="I324">
        <v>0</v>
      </c>
      <c r="J324" t="s">
        <v>33</v>
      </c>
    </row>
    <row r="325" spans="1:10" x14ac:dyDescent="0.25">
      <c r="A325" s="1">
        <v>22</v>
      </c>
      <c r="B325" t="s">
        <v>34</v>
      </c>
      <c r="C325">
        <v>630</v>
      </c>
      <c r="D325">
        <v>5</v>
      </c>
      <c r="E325" t="s">
        <v>28</v>
      </c>
      <c r="F325" t="s">
        <v>29</v>
      </c>
      <c r="G325" t="str">
        <f>"2026-05-17 13:42:23.058"</f>
        <v>2026-05-17 13:42:23.058</v>
      </c>
      <c r="H325" t="s">
        <v>30</v>
      </c>
      <c r="I325">
        <v>0</v>
      </c>
      <c r="J325" t="s">
        <v>33</v>
      </c>
    </row>
    <row r="326" spans="1:10" x14ac:dyDescent="0.25">
      <c r="A326" s="1">
        <v>23</v>
      </c>
      <c r="B326" t="s">
        <v>22</v>
      </c>
      <c r="C326">
        <v>630</v>
      </c>
      <c r="D326">
        <v>5</v>
      </c>
      <c r="E326" t="s">
        <v>28</v>
      </c>
      <c r="F326" t="s">
        <v>29</v>
      </c>
      <c r="G326" t="str">
        <f>"2026-05-17 07:59:08.758"</f>
        <v>2026-05-17 07:59:08.758</v>
      </c>
      <c r="H326" t="s">
        <v>30</v>
      </c>
    </row>
    <row r="327" spans="1:10" x14ac:dyDescent="0.25">
      <c r="A327" s="1">
        <v>24</v>
      </c>
      <c r="B327" t="s">
        <v>19</v>
      </c>
      <c r="C327">
        <v>706</v>
      </c>
      <c r="D327">
        <v>2</v>
      </c>
      <c r="E327" t="s">
        <v>31</v>
      </c>
      <c r="F327" t="s">
        <v>35</v>
      </c>
      <c r="G327" t="str">
        <f>"2026-05-17 07:58:38.506"</f>
        <v>2026-05-17 07:58:38.506</v>
      </c>
      <c r="H327" t="s">
        <v>21</v>
      </c>
      <c r="I327">
        <v>0</v>
      </c>
      <c r="J327" t="s">
        <v>33</v>
      </c>
    </row>
    <row r="328" spans="1:10" x14ac:dyDescent="0.25">
      <c r="A328" s="1">
        <v>25</v>
      </c>
      <c r="B328" t="s">
        <v>34</v>
      </c>
      <c r="C328">
        <v>630</v>
      </c>
      <c r="D328">
        <v>5</v>
      </c>
      <c r="E328" t="s">
        <v>28</v>
      </c>
      <c r="F328" t="s">
        <v>29</v>
      </c>
      <c r="G328" t="str">
        <f>"2026-05-17 07:48:51.758"</f>
        <v>2026-05-17 07:48:51.758</v>
      </c>
      <c r="H328" t="s">
        <v>30</v>
      </c>
      <c r="I328">
        <v>0</v>
      </c>
      <c r="J328" t="s">
        <v>33</v>
      </c>
    </row>
    <row r="329" spans="1:10" x14ac:dyDescent="0.25">
      <c r="A329" s="1">
        <v>26</v>
      </c>
      <c r="B329" t="s">
        <v>22</v>
      </c>
      <c r="C329">
        <v>630</v>
      </c>
      <c r="D329">
        <v>5</v>
      </c>
      <c r="E329" t="s">
        <v>28</v>
      </c>
      <c r="F329" t="s">
        <v>29</v>
      </c>
      <c r="G329" t="str">
        <f>"2026-05-16 20:23:50.758"</f>
        <v>2026-05-16 20:23:50.758</v>
      </c>
      <c r="H329" t="s">
        <v>30</v>
      </c>
    </row>
    <row r="330" spans="1:10" x14ac:dyDescent="0.25">
      <c r="A330" s="1">
        <v>27</v>
      </c>
      <c r="B330" t="s">
        <v>19</v>
      </c>
      <c r="C330">
        <v>706</v>
      </c>
      <c r="D330">
        <v>4</v>
      </c>
      <c r="E330" t="s">
        <v>31</v>
      </c>
      <c r="F330" t="s">
        <v>32</v>
      </c>
      <c r="G330" t="str">
        <f>"2026-05-16 20:23:20.616"</f>
        <v>2026-05-16 20:23:20.616</v>
      </c>
      <c r="H330" t="s">
        <v>21</v>
      </c>
      <c r="I330">
        <v>0</v>
      </c>
      <c r="J330" t="s">
        <v>33</v>
      </c>
    </row>
    <row r="331" spans="1:10" x14ac:dyDescent="0.25">
      <c r="A331" s="1">
        <v>28</v>
      </c>
      <c r="B331" t="s">
        <v>34</v>
      </c>
      <c r="C331">
        <v>630</v>
      </c>
      <c r="D331">
        <v>5</v>
      </c>
      <c r="E331" t="s">
        <v>28</v>
      </c>
      <c r="F331" t="s">
        <v>29</v>
      </c>
      <c r="G331" t="str">
        <f>"2026-05-16 20:12:02.858"</f>
        <v>2026-05-16 20:12:02.858</v>
      </c>
      <c r="H331" t="s">
        <v>30</v>
      </c>
      <c r="I331">
        <v>0</v>
      </c>
      <c r="J331" t="s">
        <v>33</v>
      </c>
    </row>
    <row r="332" spans="1:10" x14ac:dyDescent="0.25">
      <c r="A332" s="1">
        <v>29</v>
      </c>
      <c r="B332" t="s">
        <v>19</v>
      </c>
      <c r="C332">
        <v>706</v>
      </c>
      <c r="D332">
        <v>4</v>
      </c>
      <c r="E332" t="s">
        <v>31</v>
      </c>
      <c r="F332" t="s">
        <v>32</v>
      </c>
      <c r="G332" t="str">
        <f>"2026-05-16 13:49:40.996"</f>
        <v>2026-05-16 13:49:40.996</v>
      </c>
      <c r="H332" t="s">
        <v>21</v>
      </c>
      <c r="I332">
        <v>0</v>
      </c>
      <c r="J332" t="s">
        <v>33</v>
      </c>
    </row>
    <row r="333" spans="1:10" x14ac:dyDescent="0.25">
      <c r="A333" s="1">
        <v>30</v>
      </c>
      <c r="B333" t="s">
        <v>22</v>
      </c>
      <c r="C333">
        <v>630</v>
      </c>
      <c r="D333">
        <v>5</v>
      </c>
      <c r="E333" t="s">
        <v>28</v>
      </c>
      <c r="F333" t="s">
        <v>29</v>
      </c>
      <c r="G333" t="str">
        <f>"2026-05-16 13:01:07.258"</f>
        <v>2026-05-16 13:01:07.258</v>
      </c>
      <c r="H333" t="s">
        <v>30</v>
      </c>
    </row>
    <row r="334" spans="1:10" x14ac:dyDescent="0.25">
      <c r="A334" s="1">
        <v>31</v>
      </c>
      <c r="B334" t="s">
        <v>19</v>
      </c>
      <c r="C334">
        <v>706</v>
      </c>
      <c r="D334">
        <v>2</v>
      </c>
      <c r="E334" t="s">
        <v>31</v>
      </c>
      <c r="F334" t="s">
        <v>35</v>
      </c>
      <c r="G334" t="str">
        <f>"2026-05-16 13:00:37.206"</f>
        <v>2026-05-16 13:00:37.206</v>
      </c>
      <c r="H334" t="s">
        <v>21</v>
      </c>
      <c r="I334">
        <v>0</v>
      </c>
      <c r="J334" t="s">
        <v>33</v>
      </c>
    </row>
    <row r="335" spans="1:10" x14ac:dyDescent="0.25">
      <c r="A335" s="1">
        <v>32</v>
      </c>
      <c r="B335" t="s">
        <v>34</v>
      </c>
      <c r="C335">
        <v>630</v>
      </c>
      <c r="D335">
        <v>5</v>
      </c>
      <c r="E335" t="s">
        <v>28</v>
      </c>
      <c r="F335" t="s">
        <v>29</v>
      </c>
      <c r="G335" t="str">
        <f>"2026-05-16 12:37:17.158"</f>
        <v>2026-05-16 12:37:17.158</v>
      </c>
      <c r="H335" t="s">
        <v>30</v>
      </c>
      <c r="I335">
        <v>0</v>
      </c>
      <c r="J335" t="s">
        <v>33</v>
      </c>
    </row>
    <row r="336" spans="1:10" x14ac:dyDescent="0.25">
      <c r="A336" s="1">
        <v>33</v>
      </c>
      <c r="B336" t="s">
        <v>19</v>
      </c>
      <c r="C336">
        <v>706</v>
      </c>
      <c r="D336">
        <v>2</v>
      </c>
      <c r="E336" t="s">
        <v>31</v>
      </c>
      <c r="F336" t="s">
        <v>35</v>
      </c>
      <c r="G336" t="str">
        <f>"2026-05-15 20:58:39.006"</f>
        <v>2026-05-15 20:58:39.006</v>
      </c>
      <c r="H336" t="s">
        <v>21</v>
      </c>
      <c r="I336">
        <v>0</v>
      </c>
      <c r="J336" t="s">
        <v>33</v>
      </c>
    </row>
    <row r="337" spans="1:10" x14ac:dyDescent="0.25">
      <c r="A337" s="1">
        <v>34</v>
      </c>
      <c r="B337" t="s">
        <v>19</v>
      </c>
      <c r="C337">
        <v>706</v>
      </c>
      <c r="D337">
        <v>2</v>
      </c>
      <c r="E337" t="s">
        <v>31</v>
      </c>
      <c r="F337" t="s">
        <v>35</v>
      </c>
      <c r="G337" t="str">
        <f>"2026-05-15 14:01:47.906"</f>
        <v>2026-05-15 14:01:47.906</v>
      </c>
      <c r="H337" t="s">
        <v>21</v>
      </c>
      <c r="I337">
        <v>0</v>
      </c>
      <c r="J337" t="s">
        <v>33</v>
      </c>
    </row>
    <row r="338" spans="1:10" x14ac:dyDescent="0.25">
      <c r="A338" s="1">
        <v>35</v>
      </c>
      <c r="B338" t="s">
        <v>22</v>
      </c>
      <c r="C338">
        <v>635</v>
      </c>
      <c r="D338">
        <v>1</v>
      </c>
      <c r="E338" t="s">
        <v>23</v>
      </c>
      <c r="F338" t="s">
        <v>24</v>
      </c>
      <c r="G338" t="str">
        <f>"2026-05-15 13:07:01.457"</f>
        <v>2026-05-15 13:07:01.457</v>
      </c>
      <c r="H338" t="s">
        <v>21</v>
      </c>
    </row>
    <row r="339" spans="1:10" x14ac:dyDescent="0.25">
      <c r="A339" s="1">
        <v>36</v>
      </c>
      <c r="B339" t="s">
        <v>25</v>
      </c>
      <c r="C339">
        <v>635</v>
      </c>
      <c r="D339">
        <v>1</v>
      </c>
      <c r="E339" t="s">
        <v>23</v>
      </c>
      <c r="F339" t="s">
        <v>24</v>
      </c>
      <c r="G339" t="str">
        <f>"2026-05-15 13:04:08.457"</f>
        <v>2026-05-15 13:04:08.457</v>
      </c>
      <c r="H339" t="s">
        <v>21</v>
      </c>
      <c r="I339">
        <v>1.1100000000000001</v>
      </c>
      <c r="J339" t="s">
        <v>37</v>
      </c>
    </row>
    <row r="340" spans="1:10" s="3" customFormat="1" x14ac:dyDescent="0.25">
      <c r="A340" s="2">
        <v>37</v>
      </c>
      <c r="B340" s="3" t="s">
        <v>22</v>
      </c>
      <c r="C340" s="3">
        <v>647</v>
      </c>
      <c r="D340" s="3">
        <v>1</v>
      </c>
      <c r="E340" s="3" t="s">
        <v>39</v>
      </c>
      <c r="F340" s="3" t="s">
        <v>40</v>
      </c>
      <c r="G340" s="3" t="str">
        <f>"2026-05-15 05:14:17.858"</f>
        <v>2026-05-15 05:14:17.858</v>
      </c>
      <c r="H340" s="3" t="s">
        <v>21</v>
      </c>
    </row>
    <row r="341" spans="1:10" s="3" customFormat="1" x14ac:dyDescent="0.25">
      <c r="A341" s="2">
        <v>38</v>
      </c>
      <c r="B341" s="3" t="s">
        <v>25</v>
      </c>
      <c r="C341" s="3">
        <v>647</v>
      </c>
      <c r="D341" s="3">
        <v>1</v>
      </c>
      <c r="E341" s="3" t="s">
        <v>39</v>
      </c>
      <c r="F341" s="3" t="s">
        <v>40</v>
      </c>
      <c r="G341" s="3" t="str">
        <f>"2026-05-15 05:14:12.358"</f>
        <v>2026-05-15 05:14:12.358</v>
      </c>
      <c r="H341" s="3" t="s">
        <v>21</v>
      </c>
      <c r="I341" s="3">
        <v>9.41</v>
      </c>
      <c r="J341" s="3" t="s">
        <v>37</v>
      </c>
    </row>
    <row r="342" spans="1:10" s="3" customFormat="1" x14ac:dyDescent="0.25">
      <c r="A342" s="2">
        <v>39</v>
      </c>
      <c r="B342" s="3" t="s">
        <v>22</v>
      </c>
      <c r="C342" s="3">
        <v>647</v>
      </c>
      <c r="D342" s="3">
        <v>1</v>
      </c>
      <c r="E342" s="3" t="s">
        <v>39</v>
      </c>
      <c r="F342" s="3" t="s">
        <v>40</v>
      </c>
      <c r="G342" s="3" t="str">
        <f>"2026-05-15 03:12:48.258"</f>
        <v>2026-05-15 03:12:48.258</v>
      </c>
      <c r="H342" s="3" t="s">
        <v>21</v>
      </c>
    </row>
    <row r="343" spans="1:10" s="3" customFormat="1" x14ac:dyDescent="0.25">
      <c r="A343" s="2">
        <v>40</v>
      </c>
      <c r="B343" s="3" t="s">
        <v>25</v>
      </c>
      <c r="C343" s="3">
        <v>647</v>
      </c>
      <c r="D343" s="3">
        <v>1</v>
      </c>
      <c r="E343" s="3" t="s">
        <v>39</v>
      </c>
      <c r="F343" s="3" t="s">
        <v>40</v>
      </c>
      <c r="G343" s="3" t="str">
        <f>"2026-05-15 03:12:46.358"</f>
        <v>2026-05-15 03:12:46.358</v>
      </c>
      <c r="H343" s="3" t="s">
        <v>21</v>
      </c>
      <c r="I343" s="3">
        <v>12.09</v>
      </c>
      <c r="J343" s="3" t="s">
        <v>37</v>
      </c>
    </row>
    <row r="344" spans="1:10" x14ac:dyDescent="0.25">
      <c r="A344" s="1">
        <v>41</v>
      </c>
      <c r="B344" t="s">
        <v>22</v>
      </c>
      <c r="C344">
        <v>630</v>
      </c>
      <c r="D344">
        <v>5</v>
      </c>
      <c r="E344" t="s">
        <v>28</v>
      </c>
      <c r="F344" t="s">
        <v>29</v>
      </c>
      <c r="G344" t="str">
        <f>"2026-05-14 15:47:26.258"</f>
        <v>2026-05-14 15:47:26.258</v>
      </c>
      <c r="H344" t="s">
        <v>30</v>
      </c>
    </row>
    <row r="345" spans="1:10" x14ac:dyDescent="0.25">
      <c r="A345" s="1">
        <v>42</v>
      </c>
      <c r="B345" t="s">
        <v>19</v>
      </c>
      <c r="C345">
        <v>706</v>
      </c>
      <c r="D345">
        <v>4</v>
      </c>
      <c r="E345" t="s">
        <v>31</v>
      </c>
      <c r="F345" t="s">
        <v>32</v>
      </c>
      <c r="G345" t="str">
        <f>"2026-05-14 15:46:56.176"</f>
        <v>2026-05-14 15:46:56.176</v>
      </c>
      <c r="H345" t="s">
        <v>21</v>
      </c>
      <c r="I345">
        <v>0</v>
      </c>
      <c r="J345" t="s">
        <v>33</v>
      </c>
    </row>
    <row r="346" spans="1:10" x14ac:dyDescent="0.25">
      <c r="A346" s="1">
        <v>43</v>
      </c>
      <c r="B346" t="s">
        <v>34</v>
      </c>
      <c r="C346">
        <v>630</v>
      </c>
      <c r="D346">
        <v>5</v>
      </c>
      <c r="E346" t="s">
        <v>28</v>
      </c>
      <c r="F346" t="s">
        <v>29</v>
      </c>
      <c r="G346" t="str">
        <f>"2026-05-14 15:37:57.758"</f>
        <v>2026-05-14 15:37:57.758</v>
      </c>
      <c r="H346" t="s">
        <v>30</v>
      </c>
      <c r="I346">
        <v>0</v>
      </c>
      <c r="J346" t="s">
        <v>33</v>
      </c>
    </row>
    <row r="347" spans="1:10" x14ac:dyDescent="0.25">
      <c r="A347" s="1">
        <v>44</v>
      </c>
      <c r="B347" t="s">
        <v>22</v>
      </c>
      <c r="C347">
        <v>630</v>
      </c>
      <c r="D347">
        <v>5</v>
      </c>
      <c r="E347" t="s">
        <v>28</v>
      </c>
      <c r="F347" t="s">
        <v>29</v>
      </c>
      <c r="G347" t="str">
        <f>"2026-05-14 13:25:15.858"</f>
        <v>2026-05-14 13:25:15.858</v>
      </c>
      <c r="H347" t="s">
        <v>30</v>
      </c>
    </row>
    <row r="348" spans="1:10" x14ac:dyDescent="0.25">
      <c r="A348" s="1">
        <v>45</v>
      </c>
      <c r="B348" t="s">
        <v>19</v>
      </c>
      <c r="C348">
        <v>706</v>
      </c>
      <c r="D348">
        <v>4</v>
      </c>
      <c r="E348" t="s">
        <v>31</v>
      </c>
      <c r="F348" t="s">
        <v>32</v>
      </c>
      <c r="G348" t="str">
        <f>"2026-05-14 13:24:45.816"</f>
        <v>2026-05-14 13:24:45.816</v>
      </c>
      <c r="H348" t="s">
        <v>21</v>
      </c>
      <c r="I348">
        <v>0</v>
      </c>
      <c r="J348" t="s">
        <v>33</v>
      </c>
    </row>
    <row r="349" spans="1:10" x14ac:dyDescent="0.25">
      <c r="A349" s="1">
        <v>46</v>
      </c>
      <c r="B349" t="s">
        <v>34</v>
      </c>
      <c r="C349">
        <v>630</v>
      </c>
      <c r="D349">
        <v>5</v>
      </c>
      <c r="E349" t="s">
        <v>28</v>
      </c>
      <c r="F349" t="s">
        <v>29</v>
      </c>
      <c r="G349" t="str">
        <f>"2026-05-14 12:59:40.058"</f>
        <v>2026-05-14 12:59:40.058</v>
      </c>
      <c r="H349" t="s">
        <v>30</v>
      </c>
      <c r="I349">
        <v>0</v>
      </c>
      <c r="J349" t="s">
        <v>33</v>
      </c>
    </row>
    <row r="350" spans="1:10" x14ac:dyDescent="0.25">
      <c r="A350" s="1">
        <v>47</v>
      </c>
      <c r="B350" t="s">
        <v>22</v>
      </c>
      <c r="C350">
        <v>630</v>
      </c>
      <c r="D350">
        <v>5</v>
      </c>
      <c r="E350" t="s">
        <v>28</v>
      </c>
      <c r="F350" t="s">
        <v>29</v>
      </c>
      <c r="G350" t="str">
        <f>"2026-05-13 21:18:55.158"</f>
        <v>2026-05-13 21:18:55.158</v>
      </c>
      <c r="H350" t="s">
        <v>30</v>
      </c>
    </row>
    <row r="351" spans="1:10" x14ac:dyDescent="0.25">
      <c r="A351" s="1">
        <v>48</v>
      </c>
      <c r="B351" t="s">
        <v>19</v>
      </c>
      <c r="C351">
        <v>706</v>
      </c>
      <c r="D351">
        <v>4</v>
      </c>
      <c r="E351" t="s">
        <v>31</v>
      </c>
      <c r="F351" t="s">
        <v>32</v>
      </c>
      <c r="G351" t="str">
        <f>"2026-05-13 21:18:25.076"</f>
        <v>2026-05-13 21:18:25.076</v>
      </c>
      <c r="H351" t="s">
        <v>21</v>
      </c>
      <c r="I351">
        <v>0</v>
      </c>
      <c r="J351" t="s">
        <v>33</v>
      </c>
    </row>
    <row r="352" spans="1:10" x14ac:dyDescent="0.25">
      <c r="A352" s="1">
        <v>49</v>
      </c>
      <c r="B352" t="s">
        <v>34</v>
      </c>
      <c r="C352">
        <v>630</v>
      </c>
      <c r="D352">
        <v>5</v>
      </c>
      <c r="E352" t="s">
        <v>28</v>
      </c>
      <c r="F352" t="s">
        <v>29</v>
      </c>
      <c r="G352" t="str">
        <f>"2026-05-13 21:11:43.757"</f>
        <v>2026-05-13 21:11:43.757</v>
      </c>
      <c r="H352" t="s">
        <v>30</v>
      </c>
      <c r="I352">
        <v>0</v>
      </c>
      <c r="J352" t="s">
        <v>33</v>
      </c>
    </row>
    <row r="353" spans="1:10" x14ac:dyDescent="0.25">
      <c r="A353" s="1">
        <v>50</v>
      </c>
      <c r="B353" t="s">
        <v>22</v>
      </c>
      <c r="C353">
        <v>630</v>
      </c>
      <c r="D353">
        <v>5</v>
      </c>
      <c r="E353" t="s">
        <v>28</v>
      </c>
      <c r="F353" t="s">
        <v>29</v>
      </c>
      <c r="G353" t="str">
        <f>"2026-05-13 14:02:35.258"</f>
        <v>2026-05-13 14:02:35.258</v>
      </c>
      <c r="H353" t="s">
        <v>30</v>
      </c>
    </row>
    <row r="354" spans="1:10" x14ac:dyDescent="0.25">
      <c r="A354" s="1">
        <v>51</v>
      </c>
      <c r="B354" t="s">
        <v>19</v>
      </c>
      <c r="C354">
        <v>706</v>
      </c>
      <c r="D354">
        <v>4</v>
      </c>
      <c r="E354" t="s">
        <v>31</v>
      </c>
      <c r="F354" t="s">
        <v>32</v>
      </c>
      <c r="G354" t="str">
        <f>"2026-05-13 14:02:05.166"</f>
        <v>2026-05-13 14:02:05.166</v>
      </c>
      <c r="H354" t="s">
        <v>21</v>
      </c>
      <c r="I354">
        <v>0</v>
      </c>
      <c r="J354" t="s">
        <v>33</v>
      </c>
    </row>
    <row r="355" spans="1:10" x14ac:dyDescent="0.25">
      <c r="A355" s="1">
        <v>52</v>
      </c>
      <c r="B355" t="s">
        <v>34</v>
      </c>
      <c r="C355">
        <v>630</v>
      </c>
      <c r="D355">
        <v>5</v>
      </c>
      <c r="E355" t="s">
        <v>28</v>
      </c>
      <c r="F355" t="s">
        <v>29</v>
      </c>
      <c r="G355" t="str">
        <f>"2026-05-13 13:03:01.258"</f>
        <v>2026-05-13 13:03:01.258</v>
      </c>
      <c r="H355" t="s">
        <v>30</v>
      </c>
      <c r="I355">
        <v>0</v>
      </c>
      <c r="J355" t="s">
        <v>33</v>
      </c>
    </row>
    <row r="356" spans="1:10" s="3" customFormat="1" x14ac:dyDescent="0.25">
      <c r="A356" s="2">
        <v>53</v>
      </c>
      <c r="B356" s="3" t="s">
        <v>22</v>
      </c>
      <c r="C356" s="3">
        <v>647</v>
      </c>
      <c r="D356" s="3">
        <v>1</v>
      </c>
      <c r="E356" s="3" t="s">
        <v>39</v>
      </c>
      <c r="F356" s="3" t="s">
        <v>40</v>
      </c>
      <c r="G356" s="3" t="str">
        <f>"2026-05-13 02:55:56.458"</f>
        <v>2026-05-13 02:55:56.458</v>
      </c>
      <c r="H356" s="3" t="s">
        <v>21</v>
      </c>
    </row>
    <row r="357" spans="1:10" s="3" customFormat="1" x14ac:dyDescent="0.25">
      <c r="A357" s="2">
        <v>54</v>
      </c>
      <c r="B357" s="3" t="s">
        <v>25</v>
      </c>
      <c r="C357" s="3">
        <v>647</v>
      </c>
      <c r="D357" s="3">
        <v>1</v>
      </c>
      <c r="E357" s="3" t="s">
        <v>39</v>
      </c>
      <c r="F357" s="3" t="s">
        <v>40</v>
      </c>
      <c r="G357" s="3" t="str">
        <f>"2026-05-13 02:55:51.358"</f>
        <v>2026-05-13 02:55:51.358</v>
      </c>
      <c r="H357" s="3" t="s">
        <v>21</v>
      </c>
      <c r="I357" s="3">
        <v>14.96</v>
      </c>
      <c r="J357" s="3" t="s">
        <v>37</v>
      </c>
    </row>
    <row r="358" spans="1:10" x14ac:dyDescent="0.25">
      <c r="A358" s="1">
        <v>55</v>
      </c>
      <c r="B358" t="s">
        <v>22</v>
      </c>
      <c r="C358">
        <v>630</v>
      </c>
      <c r="D358">
        <v>5</v>
      </c>
      <c r="E358" t="s">
        <v>28</v>
      </c>
      <c r="F358" t="s">
        <v>29</v>
      </c>
      <c r="G358" t="str">
        <f>"2026-05-12 20:17:37.458"</f>
        <v>2026-05-12 20:17:37.458</v>
      </c>
      <c r="H358" t="s">
        <v>30</v>
      </c>
    </row>
    <row r="359" spans="1:10" x14ac:dyDescent="0.25">
      <c r="A359" s="1">
        <v>56</v>
      </c>
      <c r="B359" t="s">
        <v>19</v>
      </c>
      <c r="C359">
        <v>706</v>
      </c>
      <c r="D359">
        <v>4</v>
      </c>
      <c r="E359" t="s">
        <v>31</v>
      </c>
      <c r="F359" t="s">
        <v>32</v>
      </c>
      <c r="G359" t="str">
        <f>"2026-05-12 20:17:07.316"</f>
        <v>2026-05-12 20:17:07.316</v>
      </c>
      <c r="H359" t="s">
        <v>21</v>
      </c>
      <c r="I359">
        <v>0</v>
      </c>
      <c r="J359" t="s">
        <v>33</v>
      </c>
    </row>
    <row r="360" spans="1:10" x14ac:dyDescent="0.25">
      <c r="A360" s="1">
        <v>57</v>
      </c>
      <c r="B360" t="s">
        <v>34</v>
      </c>
      <c r="C360">
        <v>630</v>
      </c>
      <c r="D360">
        <v>5</v>
      </c>
      <c r="E360" t="s">
        <v>28</v>
      </c>
      <c r="F360" t="s">
        <v>29</v>
      </c>
      <c r="G360" t="str">
        <f>"2026-05-12 20:07:28.258"</f>
        <v>2026-05-12 20:07:28.258</v>
      </c>
      <c r="H360" t="s">
        <v>30</v>
      </c>
      <c r="I360">
        <v>0</v>
      </c>
      <c r="J360" t="s">
        <v>33</v>
      </c>
    </row>
    <row r="361" spans="1:10" x14ac:dyDescent="0.25">
      <c r="A361" s="1">
        <v>58</v>
      </c>
      <c r="B361" t="s">
        <v>22</v>
      </c>
      <c r="C361">
        <v>630</v>
      </c>
      <c r="D361">
        <v>5</v>
      </c>
      <c r="E361" t="s">
        <v>28</v>
      </c>
      <c r="F361" t="s">
        <v>29</v>
      </c>
      <c r="G361" t="str">
        <f>"2026-05-12 13:50:55.158"</f>
        <v>2026-05-12 13:50:55.158</v>
      </c>
      <c r="H361" t="s">
        <v>30</v>
      </c>
    </row>
    <row r="362" spans="1:10" x14ac:dyDescent="0.25">
      <c r="A362" s="1">
        <v>59</v>
      </c>
      <c r="B362" t="s">
        <v>19</v>
      </c>
      <c r="C362">
        <v>706</v>
      </c>
      <c r="D362">
        <v>2</v>
      </c>
      <c r="E362" t="s">
        <v>31</v>
      </c>
      <c r="F362" t="s">
        <v>35</v>
      </c>
      <c r="G362" t="str">
        <f>"2026-05-12 13:50:25.106"</f>
        <v>2026-05-12 13:50:25.106</v>
      </c>
      <c r="H362" t="s">
        <v>21</v>
      </c>
      <c r="I362">
        <v>0</v>
      </c>
      <c r="J362" t="s">
        <v>33</v>
      </c>
    </row>
    <row r="363" spans="1:10" x14ac:dyDescent="0.25">
      <c r="A363" s="1">
        <v>60</v>
      </c>
      <c r="B363" t="s">
        <v>34</v>
      </c>
      <c r="C363">
        <v>630</v>
      </c>
      <c r="D363">
        <v>5</v>
      </c>
      <c r="E363" t="s">
        <v>28</v>
      </c>
      <c r="F363" t="s">
        <v>29</v>
      </c>
      <c r="G363" t="str">
        <f>"2026-05-12 13:39:41.458"</f>
        <v>2026-05-12 13:39:41.458</v>
      </c>
      <c r="H363" t="s">
        <v>30</v>
      </c>
      <c r="I363">
        <v>0</v>
      </c>
      <c r="J363" t="s">
        <v>33</v>
      </c>
    </row>
    <row r="364" spans="1:10" x14ac:dyDescent="0.25">
      <c r="A364" s="1">
        <v>61</v>
      </c>
      <c r="B364" t="s">
        <v>22</v>
      </c>
      <c r="C364">
        <v>630</v>
      </c>
      <c r="D364">
        <v>5</v>
      </c>
      <c r="E364" t="s">
        <v>28</v>
      </c>
      <c r="F364" t="s">
        <v>29</v>
      </c>
      <c r="G364" t="str">
        <f>"2026-05-12 12:37:32.058"</f>
        <v>2026-05-12 12:37:32.058</v>
      </c>
      <c r="H364" t="s">
        <v>30</v>
      </c>
    </row>
    <row r="365" spans="1:10" x14ac:dyDescent="0.25">
      <c r="A365" s="1">
        <v>62</v>
      </c>
      <c r="B365" t="s">
        <v>19</v>
      </c>
      <c r="C365">
        <v>706</v>
      </c>
      <c r="D365">
        <v>2</v>
      </c>
      <c r="E365" t="s">
        <v>31</v>
      </c>
      <c r="F365" t="s">
        <v>35</v>
      </c>
      <c r="G365" t="str">
        <f>"2026-05-12 12:37:01.906"</f>
        <v>2026-05-12 12:37:01.906</v>
      </c>
      <c r="H365" t="s">
        <v>21</v>
      </c>
      <c r="I365">
        <v>0</v>
      </c>
      <c r="J365" t="s">
        <v>33</v>
      </c>
    </row>
    <row r="366" spans="1:10" x14ac:dyDescent="0.25">
      <c r="A366" s="1">
        <v>63</v>
      </c>
      <c r="B366" t="s">
        <v>34</v>
      </c>
      <c r="C366">
        <v>630</v>
      </c>
      <c r="D366">
        <v>5</v>
      </c>
      <c r="E366" t="s">
        <v>28</v>
      </c>
      <c r="F366" t="s">
        <v>29</v>
      </c>
      <c r="G366" t="str">
        <f>"2026-05-12 12:13:34.258"</f>
        <v>2026-05-12 12:13:34.258</v>
      </c>
      <c r="H366" t="s">
        <v>30</v>
      </c>
      <c r="I366">
        <v>0</v>
      </c>
      <c r="J366" t="s">
        <v>33</v>
      </c>
    </row>
    <row r="367" spans="1:10" x14ac:dyDescent="0.25">
      <c r="A367" s="1">
        <v>64</v>
      </c>
      <c r="B367" t="s">
        <v>22</v>
      </c>
      <c r="C367">
        <v>630</v>
      </c>
      <c r="D367">
        <v>5</v>
      </c>
      <c r="E367" t="s">
        <v>28</v>
      </c>
      <c r="F367" t="s">
        <v>29</v>
      </c>
      <c r="G367" t="str">
        <f>"2026-05-12 09:40:06.758"</f>
        <v>2026-05-12 09:40:06.758</v>
      </c>
      <c r="H367" t="s">
        <v>30</v>
      </c>
    </row>
    <row r="368" spans="1:10" x14ac:dyDescent="0.25">
      <c r="A368" s="1">
        <v>65</v>
      </c>
      <c r="B368" t="s">
        <v>19</v>
      </c>
      <c r="C368">
        <v>706</v>
      </c>
      <c r="D368">
        <v>4</v>
      </c>
      <c r="E368" t="s">
        <v>31</v>
      </c>
      <c r="F368" t="s">
        <v>32</v>
      </c>
      <c r="G368" t="str">
        <f>"2026-05-12 09:39:36.716"</f>
        <v>2026-05-12 09:39:36.716</v>
      </c>
      <c r="H368" t="s">
        <v>21</v>
      </c>
      <c r="I368">
        <v>0</v>
      </c>
      <c r="J368" t="s">
        <v>33</v>
      </c>
    </row>
    <row r="369" spans="1:10" x14ac:dyDescent="0.25">
      <c r="A369" s="1">
        <v>66</v>
      </c>
      <c r="B369" t="s">
        <v>34</v>
      </c>
      <c r="C369">
        <v>630</v>
      </c>
      <c r="D369">
        <v>5</v>
      </c>
      <c r="E369" t="s">
        <v>28</v>
      </c>
      <c r="F369" t="s">
        <v>29</v>
      </c>
      <c r="G369" t="str">
        <f>"2026-05-12 09:29:53.458"</f>
        <v>2026-05-12 09:29:53.458</v>
      </c>
      <c r="H369" t="s">
        <v>30</v>
      </c>
      <c r="I369">
        <v>0</v>
      </c>
      <c r="J369" t="s">
        <v>33</v>
      </c>
    </row>
    <row r="370" spans="1:10" s="3" customFormat="1" x14ac:dyDescent="0.25">
      <c r="A370" s="2">
        <v>67</v>
      </c>
      <c r="B370" s="3" t="s">
        <v>22</v>
      </c>
      <c r="C370" s="3">
        <v>647</v>
      </c>
      <c r="D370" s="3">
        <v>1</v>
      </c>
      <c r="E370" s="3" t="s">
        <v>39</v>
      </c>
      <c r="F370" s="3" t="s">
        <v>40</v>
      </c>
      <c r="G370" s="3" t="str">
        <f>"2026-05-12 05:07:07.158"</f>
        <v>2026-05-12 05:07:07.158</v>
      </c>
      <c r="H370" s="3" t="s">
        <v>21</v>
      </c>
    </row>
    <row r="371" spans="1:10" s="3" customFormat="1" x14ac:dyDescent="0.25">
      <c r="A371" s="2">
        <v>68</v>
      </c>
      <c r="B371" s="3" t="s">
        <v>25</v>
      </c>
      <c r="C371" s="3">
        <v>647</v>
      </c>
      <c r="D371" s="3">
        <v>1</v>
      </c>
      <c r="E371" s="3" t="s">
        <v>39</v>
      </c>
      <c r="F371" s="3" t="s">
        <v>40</v>
      </c>
      <c r="G371" s="3" t="str">
        <f>"2026-05-12 05:07:06.058"</f>
        <v>2026-05-12 05:07:06.058</v>
      </c>
      <c r="H371" s="3" t="s">
        <v>21</v>
      </c>
      <c r="I371" s="3">
        <v>8.43</v>
      </c>
      <c r="J371" s="3" t="s">
        <v>37</v>
      </c>
    </row>
    <row r="372" spans="1:10" x14ac:dyDescent="0.25">
      <c r="A372" s="1">
        <v>69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"2026-05-12 04:21:46.066"</f>
        <v>2026-05-12 04:21:46.066</v>
      </c>
      <c r="H372" t="s">
        <v>21</v>
      </c>
    </row>
    <row r="373" spans="1:10" x14ac:dyDescent="0.25">
      <c r="A373" s="1">
        <v>70</v>
      </c>
      <c r="B373" t="s">
        <v>41</v>
      </c>
      <c r="C373">
        <v>215</v>
      </c>
      <c r="D373">
        <v>6</v>
      </c>
      <c r="E373" t="s">
        <v>42</v>
      </c>
      <c r="F373" t="s">
        <v>43</v>
      </c>
      <c r="G373" t="str">
        <f>"2026-05-12 03:14:44.119"</f>
        <v>2026-05-12 03:14:44.119</v>
      </c>
      <c r="H373" t="s">
        <v>21</v>
      </c>
    </row>
    <row r="374" spans="1:10" x14ac:dyDescent="0.25">
      <c r="A374" s="1">
        <v>71</v>
      </c>
      <c r="B374" t="s">
        <v>41</v>
      </c>
      <c r="C374">
        <v>115</v>
      </c>
      <c r="D374">
        <v>6</v>
      </c>
      <c r="E374" t="s">
        <v>44</v>
      </c>
      <c r="F374" t="s">
        <v>43</v>
      </c>
      <c r="G374" t="str">
        <f>"2026-05-12 03:14:44.019"</f>
        <v>2026-05-12 03:14:44.019</v>
      </c>
      <c r="H374" t="s">
        <v>21</v>
      </c>
    </row>
    <row r="375" spans="1:10" x14ac:dyDescent="0.25">
      <c r="A375" s="1">
        <v>72</v>
      </c>
      <c r="B375" t="s">
        <v>34</v>
      </c>
      <c r="C375">
        <v>215</v>
      </c>
      <c r="D375">
        <v>6</v>
      </c>
      <c r="E375" t="s">
        <v>42</v>
      </c>
      <c r="F375" t="s">
        <v>43</v>
      </c>
      <c r="G375" t="str">
        <f>"2026-05-12 03:14:39.002"</f>
        <v>2026-05-12 03:14:39.002</v>
      </c>
      <c r="H375" t="s">
        <v>21</v>
      </c>
      <c r="I375">
        <v>0</v>
      </c>
      <c r="J375" t="s">
        <v>33</v>
      </c>
    </row>
    <row r="376" spans="1:10" x14ac:dyDescent="0.25">
      <c r="A376" s="1">
        <v>73</v>
      </c>
      <c r="B376" t="s">
        <v>34</v>
      </c>
      <c r="C376">
        <v>115</v>
      </c>
      <c r="D376">
        <v>6</v>
      </c>
      <c r="E376" t="s">
        <v>44</v>
      </c>
      <c r="F376" t="s">
        <v>43</v>
      </c>
      <c r="G376" t="str">
        <f>"2026-05-12 03:14:38.997"</f>
        <v>2026-05-12 03:14:38.997</v>
      </c>
      <c r="H376" t="s">
        <v>21</v>
      </c>
      <c r="I376">
        <v>0</v>
      </c>
      <c r="J376" t="s">
        <v>33</v>
      </c>
    </row>
    <row r="377" spans="1:10" x14ac:dyDescent="0.25">
      <c r="A377" s="1">
        <v>74</v>
      </c>
      <c r="B377" t="s">
        <v>22</v>
      </c>
      <c r="C377">
        <v>6</v>
      </c>
      <c r="D377">
        <v>1</v>
      </c>
      <c r="E377" t="s">
        <v>45</v>
      </c>
      <c r="F377" t="s">
        <v>46</v>
      </c>
      <c r="G377" t="str">
        <f>"2026-05-12 03:14:38.876"</f>
        <v>2026-05-12 03:14:38.876</v>
      </c>
      <c r="H377" t="s">
        <v>47</v>
      </c>
    </row>
    <row r="378" spans="1:10" x14ac:dyDescent="0.25">
      <c r="A378" s="1">
        <v>75</v>
      </c>
      <c r="B378" t="s">
        <v>22</v>
      </c>
      <c r="C378">
        <v>75</v>
      </c>
      <c r="D378">
        <v>1</v>
      </c>
      <c r="E378" t="s">
        <v>48</v>
      </c>
      <c r="F378" t="s">
        <v>49</v>
      </c>
      <c r="G378" t="str">
        <f>"2026-05-12 03:14:38.874"</f>
        <v>2026-05-12 03:14:38.874</v>
      </c>
      <c r="H378" t="s">
        <v>50</v>
      </c>
    </row>
    <row r="379" spans="1:10" x14ac:dyDescent="0.25">
      <c r="A379" s="1">
        <v>76</v>
      </c>
      <c r="B379" t="s">
        <v>22</v>
      </c>
      <c r="C379">
        <v>74</v>
      </c>
      <c r="D379">
        <v>1</v>
      </c>
      <c r="E379" t="s">
        <v>51</v>
      </c>
      <c r="F379" t="s">
        <v>52</v>
      </c>
      <c r="G379" t="str">
        <f>"2026-05-12 03:14:38.872"</f>
        <v>2026-05-12 03:14:38.872</v>
      </c>
      <c r="H379" t="s">
        <v>53</v>
      </c>
    </row>
    <row r="380" spans="1:10" x14ac:dyDescent="0.25">
      <c r="A380" s="1">
        <v>77</v>
      </c>
      <c r="B380" t="s">
        <v>25</v>
      </c>
      <c r="C380">
        <v>75</v>
      </c>
      <c r="D380">
        <v>1</v>
      </c>
      <c r="E380" t="s">
        <v>48</v>
      </c>
      <c r="F380" t="s">
        <v>49</v>
      </c>
      <c r="G380" t="str">
        <f>"2026-05-12 03:14:27.383"</f>
        <v>2026-05-12 03:14:27.383</v>
      </c>
      <c r="H380" t="s">
        <v>50</v>
      </c>
      <c r="I380">
        <v>0</v>
      </c>
      <c r="J380" t="s">
        <v>33</v>
      </c>
    </row>
    <row r="381" spans="1:10" x14ac:dyDescent="0.25">
      <c r="A381" s="1">
        <v>78</v>
      </c>
      <c r="B381" t="s">
        <v>25</v>
      </c>
      <c r="C381">
        <v>74</v>
      </c>
      <c r="D381">
        <v>1</v>
      </c>
      <c r="E381" t="s">
        <v>51</v>
      </c>
      <c r="F381" t="s">
        <v>52</v>
      </c>
      <c r="G381" t="str">
        <f>"2026-05-12 03:14:27.378"</f>
        <v>2026-05-12 03:14:27.378</v>
      </c>
      <c r="H381" t="s">
        <v>53</v>
      </c>
      <c r="I381">
        <v>0</v>
      </c>
      <c r="J381" t="s">
        <v>33</v>
      </c>
    </row>
    <row r="382" spans="1:10" x14ac:dyDescent="0.25">
      <c r="A382" s="1">
        <v>79</v>
      </c>
      <c r="B382" t="s">
        <v>34</v>
      </c>
      <c r="C382">
        <v>6</v>
      </c>
      <c r="D382">
        <v>1</v>
      </c>
      <c r="E382" t="s">
        <v>45</v>
      </c>
      <c r="F382" t="s">
        <v>46</v>
      </c>
      <c r="G382" t="str">
        <f>"2026-05-12 03:14:27.373"</f>
        <v>2026-05-12 03:14:27.373</v>
      </c>
      <c r="H382" t="s">
        <v>47</v>
      </c>
      <c r="I382">
        <v>0</v>
      </c>
      <c r="J382" t="s">
        <v>33</v>
      </c>
    </row>
    <row r="383" spans="1:10" x14ac:dyDescent="0.25">
      <c r="A383" s="1">
        <v>84</v>
      </c>
      <c r="B383" t="s">
        <v>19</v>
      </c>
      <c r="C383">
        <v>706</v>
      </c>
      <c r="D383">
        <v>4</v>
      </c>
      <c r="E383" t="s">
        <v>31</v>
      </c>
      <c r="F383" t="s">
        <v>32</v>
      </c>
      <c r="G383" t="str">
        <f>"2026-05-11 16:48:34.515"</f>
        <v>2026-05-11 16:48:34.515</v>
      </c>
      <c r="H383" t="s">
        <v>21</v>
      </c>
      <c r="I383">
        <v>0</v>
      </c>
      <c r="J383" t="s">
        <v>33</v>
      </c>
    </row>
    <row r="384" spans="1:10" x14ac:dyDescent="0.25">
      <c r="A384" s="1">
        <v>85</v>
      </c>
      <c r="B384" t="s">
        <v>22</v>
      </c>
      <c r="C384">
        <v>630</v>
      </c>
      <c r="D384">
        <v>5</v>
      </c>
      <c r="E384" t="s">
        <v>28</v>
      </c>
      <c r="F384" t="s">
        <v>29</v>
      </c>
      <c r="G384" t="str">
        <f>"2026-05-11 16:44:39.502"</f>
        <v>2026-05-11 16:44:39.502</v>
      </c>
      <c r="H384" t="s">
        <v>30</v>
      </c>
    </row>
    <row r="385" spans="1:10" x14ac:dyDescent="0.25">
      <c r="A385" s="1">
        <v>86</v>
      </c>
      <c r="B385" t="s">
        <v>34</v>
      </c>
      <c r="C385">
        <v>630</v>
      </c>
      <c r="D385">
        <v>5</v>
      </c>
      <c r="E385" t="s">
        <v>28</v>
      </c>
      <c r="F385" t="s">
        <v>29</v>
      </c>
      <c r="G385" t="str">
        <f>"2026-05-11 16:39:31.102"</f>
        <v>2026-05-11 16:39:31.102</v>
      </c>
      <c r="H385" t="s">
        <v>30</v>
      </c>
      <c r="I385">
        <v>0</v>
      </c>
      <c r="J385" t="s">
        <v>33</v>
      </c>
    </row>
    <row r="386" spans="1:10" x14ac:dyDescent="0.25">
      <c r="A386" s="1">
        <v>87</v>
      </c>
      <c r="B386" t="s">
        <v>19</v>
      </c>
      <c r="C386">
        <v>706</v>
      </c>
      <c r="D386">
        <v>4</v>
      </c>
      <c r="E386" t="s">
        <v>31</v>
      </c>
      <c r="F386" t="s">
        <v>32</v>
      </c>
      <c r="G386" t="str">
        <f>"2026-05-11 13:56:36.615"</f>
        <v>2026-05-11 13:56:36.615</v>
      </c>
      <c r="H386" t="s">
        <v>21</v>
      </c>
      <c r="I386">
        <v>0</v>
      </c>
      <c r="J386" t="s">
        <v>33</v>
      </c>
    </row>
    <row r="387" spans="1:10" x14ac:dyDescent="0.25">
      <c r="A387" s="1">
        <v>88</v>
      </c>
      <c r="B387" t="s">
        <v>22</v>
      </c>
      <c r="C387">
        <v>630</v>
      </c>
      <c r="D387">
        <v>5</v>
      </c>
      <c r="E387" t="s">
        <v>28</v>
      </c>
      <c r="F387" t="s">
        <v>29</v>
      </c>
      <c r="G387" t="str">
        <f>"2026-05-11 13:23:48.202"</f>
        <v>2026-05-11 13:23:48.202</v>
      </c>
      <c r="H387" t="s">
        <v>30</v>
      </c>
    </row>
    <row r="388" spans="1:10" x14ac:dyDescent="0.25">
      <c r="A388" s="1">
        <v>89</v>
      </c>
      <c r="B388" t="s">
        <v>34</v>
      </c>
      <c r="C388">
        <v>630</v>
      </c>
      <c r="D388">
        <v>5</v>
      </c>
      <c r="E388" t="s">
        <v>28</v>
      </c>
      <c r="F388" t="s">
        <v>29</v>
      </c>
      <c r="G388" t="str">
        <f>"2026-05-11 13:23:02.403"</f>
        <v>2026-05-11 13:23:02.403</v>
      </c>
      <c r="H388" t="s">
        <v>30</v>
      </c>
      <c r="I388">
        <v>0</v>
      </c>
      <c r="J388" t="s">
        <v>33</v>
      </c>
    </row>
    <row r="389" spans="1:10" x14ac:dyDescent="0.25">
      <c r="A389" s="1">
        <v>90</v>
      </c>
      <c r="B389" t="s">
        <v>19</v>
      </c>
      <c r="C389">
        <v>706</v>
      </c>
      <c r="D389">
        <v>4</v>
      </c>
      <c r="E389" t="s">
        <v>31</v>
      </c>
      <c r="F389" t="s">
        <v>32</v>
      </c>
      <c r="G389" t="str">
        <f>"2026-05-11 11:17:11.665"</f>
        <v>2026-05-11 11:17:11.665</v>
      </c>
      <c r="H389" t="s">
        <v>21</v>
      </c>
      <c r="I389">
        <v>0</v>
      </c>
      <c r="J389" t="s">
        <v>33</v>
      </c>
    </row>
    <row r="390" spans="1:10" x14ac:dyDescent="0.25">
      <c r="A390" s="1">
        <v>91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"2026-05-11 05:32:00.115"</f>
        <v>2026-05-11 05:32:00.115</v>
      </c>
      <c r="H390" t="s">
        <v>21</v>
      </c>
      <c r="I390">
        <v>0</v>
      </c>
      <c r="J390" t="s">
        <v>27</v>
      </c>
    </row>
    <row r="391" spans="1:10" x14ac:dyDescent="0.25">
      <c r="A391" s="1">
        <v>92</v>
      </c>
      <c r="B391" t="s">
        <v>19</v>
      </c>
      <c r="C391">
        <v>706</v>
      </c>
      <c r="D391">
        <v>4</v>
      </c>
      <c r="E391" t="s">
        <v>31</v>
      </c>
      <c r="F391" t="s">
        <v>32</v>
      </c>
      <c r="G391" t="str">
        <f>"2026-05-11 05:16:18.753"</f>
        <v>2026-05-11 05:16:18.753</v>
      </c>
      <c r="H391" t="s">
        <v>21</v>
      </c>
      <c r="I391">
        <v>0</v>
      </c>
      <c r="J391" t="s">
        <v>33</v>
      </c>
    </row>
    <row r="392" spans="1:10" x14ac:dyDescent="0.25">
      <c r="A392" s="1">
        <v>93</v>
      </c>
      <c r="B392" t="s">
        <v>19</v>
      </c>
      <c r="C392">
        <v>706</v>
      </c>
      <c r="D392">
        <v>2</v>
      </c>
      <c r="E392" t="s">
        <v>31</v>
      </c>
      <c r="F392" t="s">
        <v>35</v>
      </c>
      <c r="G392" t="str">
        <f>"2026-05-11 04:48:27.513"</f>
        <v>2026-05-11 04:48:27.513</v>
      </c>
      <c r="H392" t="s">
        <v>21</v>
      </c>
      <c r="I392">
        <v>0</v>
      </c>
      <c r="J392" t="s">
        <v>33</v>
      </c>
    </row>
    <row r="393" spans="1:10" x14ac:dyDescent="0.25">
      <c r="A393" s="1">
        <v>94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"2026-05-11 04:30:47.403"</f>
        <v>2026-05-11 04:30:47.403</v>
      </c>
      <c r="H393" t="s">
        <v>21</v>
      </c>
      <c r="I393">
        <v>0</v>
      </c>
      <c r="J393" t="s">
        <v>27</v>
      </c>
    </row>
    <row r="394" spans="1:10" x14ac:dyDescent="0.25">
      <c r="A394" s="1">
        <v>95</v>
      </c>
      <c r="B394" t="s">
        <v>22</v>
      </c>
      <c r="C394">
        <v>635</v>
      </c>
      <c r="D394">
        <v>1</v>
      </c>
      <c r="E394" t="s">
        <v>23</v>
      </c>
      <c r="F394" t="s">
        <v>24</v>
      </c>
      <c r="G394" t="str">
        <f>"2026-05-11 00:12:20.307"</f>
        <v>2026-05-11 00:12:20.307</v>
      </c>
      <c r="H394" t="s">
        <v>21</v>
      </c>
    </row>
    <row r="395" spans="1:10" x14ac:dyDescent="0.25">
      <c r="A395" s="1">
        <v>96</v>
      </c>
      <c r="B395" t="s">
        <v>25</v>
      </c>
      <c r="C395">
        <v>635</v>
      </c>
      <c r="D395">
        <v>1</v>
      </c>
      <c r="E395" t="s">
        <v>23</v>
      </c>
      <c r="F395" t="s">
        <v>24</v>
      </c>
      <c r="G395" t="str">
        <f>"2026-05-11 00:08:20.307"</f>
        <v>2026-05-11 00:08:20.307</v>
      </c>
      <c r="H395" t="s">
        <v>21</v>
      </c>
      <c r="I395">
        <v>0.99</v>
      </c>
      <c r="J395" t="s">
        <v>26</v>
      </c>
    </row>
    <row r="396" spans="1:10" s="3" customFormat="1" x14ac:dyDescent="0.25">
      <c r="A396" s="2">
        <v>97</v>
      </c>
      <c r="B396" s="3" t="s">
        <v>22</v>
      </c>
      <c r="C396" s="3">
        <v>647</v>
      </c>
      <c r="D396" s="3">
        <v>1</v>
      </c>
      <c r="E396" s="3" t="s">
        <v>39</v>
      </c>
      <c r="F396" s="3" t="s">
        <v>40</v>
      </c>
      <c r="G396" s="3" t="str">
        <f>"2026-05-10 19:16:15.407"</f>
        <v>2026-05-10 19:16:15.407</v>
      </c>
      <c r="H396" s="3" t="s">
        <v>21</v>
      </c>
    </row>
    <row r="397" spans="1:10" s="3" customFormat="1" x14ac:dyDescent="0.25">
      <c r="A397" s="2">
        <v>98</v>
      </c>
      <c r="B397" s="3" t="s">
        <v>25</v>
      </c>
      <c r="C397" s="3">
        <v>647</v>
      </c>
      <c r="D397" s="3">
        <v>1</v>
      </c>
      <c r="E397" s="3" t="s">
        <v>39</v>
      </c>
      <c r="F397" s="3" t="s">
        <v>40</v>
      </c>
      <c r="G397" s="3" t="str">
        <f>"2026-05-10 19:16:10.507"</f>
        <v>2026-05-10 19:16:10.507</v>
      </c>
      <c r="H397" s="3" t="s">
        <v>21</v>
      </c>
      <c r="I397" s="3">
        <v>26.4</v>
      </c>
      <c r="J397" s="3" t="s">
        <v>26</v>
      </c>
    </row>
    <row r="398" spans="1:10" x14ac:dyDescent="0.25">
      <c r="A398" s="1">
        <v>99</v>
      </c>
      <c r="B398" t="s">
        <v>19</v>
      </c>
      <c r="C398">
        <v>706</v>
      </c>
      <c r="D398">
        <v>4</v>
      </c>
      <c r="E398" t="s">
        <v>31</v>
      </c>
      <c r="F398" t="s">
        <v>32</v>
      </c>
      <c r="G398" t="str">
        <f>"2026-05-10 16:00:35.060"</f>
        <v>2026-05-10 16:00:35.060</v>
      </c>
      <c r="H398" t="s">
        <v>21</v>
      </c>
      <c r="I398">
        <v>0</v>
      </c>
      <c r="J398" t="s">
        <v>33</v>
      </c>
    </row>
    <row r="399" spans="1:10" x14ac:dyDescent="0.25">
      <c r="A399" s="1">
        <v>0</v>
      </c>
      <c r="B399" t="s">
        <v>19</v>
      </c>
      <c r="C399">
        <v>706</v>
      </c>
      <c r="D399">
        <v>2</v>
      </c>
      <c r="E399" t="s">
        <v>31</v>
      </c>
      <c r="F399" t="s">
        <v>35</v>
      </c>
      <c r="G399" t="str">
        <f>"2026-05-10 14:26:35.570"</f>
        <v>2026-05-10 14:26:35.570</v>
      </c>
      <c r="H399" t="s">
        <v>21</v>
      </c>
      <c r="I399">
        <v>0</v>
      </c>
      <c r="J399" t="s">
        <v>33</v>
      </c>
    </row>
    <row r="400" spans="1:10" x14ac:dyDescent="0.25">
      <c r="A400" s="1">
        <v>1</v>
      </c>
      <c r="B400" t="s">
        <v>22</v>
      </c>
      <c r="C400">
        <v>630</v>
      </c>
      <c r="D400">
        <v>5</v>
      </c>
      <c r="E400" t="s">
        <v>28</v>
      </c>
      <c r="F400" t="s">
        <v>29</v>
      </c>
      <c r="G400" t="str">
        <f>"2026-05-10 14:12:21.807"</f>
        <v>2026-05-10 14:12:21.807</v>
      </c>
      <c r="H400" t="s">
        <v>30</v>
      </c>
    </row>
    <row r="401" spans="1:10" x14ac:dyDescent="0.25">
      <c r="A401" s="1">
        <v>2</v>
      </c>
      <c r="B401" t="s">
        <v>34</v>
      </c>
      <c r="C401">
        <v>630</v>
      </c>
      <c r="D401">
        <v>5</v>
      </c>
      <c r="E401" t="s">
        <v>28</v>
      </c>
      <c r="F401" t="s">
        <v>29</v>
      </c>
      <c r="G401" t="str">
        <f>"2026-05-10 13:59:21.807"</f>
        <v>2026-05-10 13:59:21.807</v>
      </c>
      <c r="H401" t="s">
        <v>30</v>
      </c>
      <c r="I401">
        <v>0</v>
      </c>
      <c r="J401" t="s">
        <v>33</v>
      </c>
    </row>
    <row r="402" spans="1:10" x14ac:dyDescent="0.25">
      <c r="A402" s="1">
        <v>3</v>
      </c>
      <c r="B402" t="s">
        <v>19</v>
      </c>
      <c r="C402">
        <v>706</v>
      </c>
      <c r="D402">
        <v>4</v>
      </c>
      <c r="E402" t="s">
        <v>31</v>
      </c>
      <c r="F402" t="s">
        <v>32</v>
      </c>
      <c r="G402" t="str">
        <f>"2026-05-09 21:07:51.010"</f>
        <v>2026-05-09 21:07:51.010</v>
      </c>
      <c r="H402" t="s">
        <v>21</v>
      </c>
      <c r="I402">
        <v>0</v>
      </c>
      <c r="J402" t="s">
        <v>33</v>
      </c>
    </row>
    <row r="403" spans="1:10" x14ac:dyDescent="0.25">
      <c r="A403" s="1">
        <v>4</v>
      </c>
      <c r="B403" t="s">
        <v>19</v>
      </c>
      <c r="C403">
        <v>706</v>
      </c>
      <c r="D403">
        <v>2</v>
      </c>
      <c r="E403" t="s">
        <v>31</v>
      </c>
      <c r="F403" t="s">
        <v>35</v>
      </c>
      <c r="G403" t="str">
        <f>"2026-05-09 13:29:49.270"</f>
        <v>2026-05-09 13:29:49.270</v>
      </c>
      <c r="H403" t="s">
        <v>21</v>
      </c>
      <c r="I403">
        <v>0</v>
      </c>
      <c r="J403" t="s">
        <v>33</v>
      </c>
    </row>
    <row r="404" spans="1:10" x14ac:dyDescent="0.25">
      <c r="A404" s="1">
        <v>5</v>
      </c>
      <c r="B404" t="s">
        <v>19</v>
      </c>
      <c r="C404">
        <v>706</v>
      </c>
      <c r="D404">
        <v>2</v>
      </c>
      <c r="E404" t="s">
        <v>31</v>
      </c>
      <c r="F404" t="s">
        <v>35</v>
      </c>
      <c r="G404" t="str">
        <f>"2026-05-09 12:50:53.870"</f>
        <v>2026-05-09 12:50:53.870</v>
      </c>
      <c r="H404" t="s">
        <v>21</v>
      </c>
      <c r="I404">
        <v>0</v>
      </c>
      <c r="J404" t="s">
        <v>33</v>
      </c>
    </row>
    <row r="405" spans="1:10" x14ac:dyDescent="0.25">
      <c r="A405" s="1">
        <v>6</v>
      </c>
      <c r="B405" t="s">
        <v>19</v>
      </c>
      <c r="C405">
        <v>706</v>
      </c>
      <c r="D405">
        <v>4</v>
      </c>
      <c r="E405" t="s">
        <v>31</v>
      </c>
      <c r="F405" t="s">
        <v>32</v>
      </c>
      <c r="G405" t="str">
        <f>"2026-05-09 08:20:07.090"</f>
        <v>2026-05-09 08:20:07.090</v>
      </c>
      <c r="H405" t="s">
        <v>21</v>
      </c>
      <c r="I405">
        <v>0</v>
      </c>
      <c r="J405" t="s">
        <v>33</v>
      </c>
    </row>
    <row r="406" spans="1:10" x14ac:dyDescent="0.25">
      <c r="A406" s="1">
        <v>7</v>
      </c>
      <c r="B406" t="s">
        <v>19</v>
      </c>
      <c r="C406">
        <v>706</v>
      </c>
      <c r="D406">
        <v>2</v>
      </c>
      <c r="E406" t="s">
        <v>31</v>
      </c>
      <c r="F406" t="s">
        <v>35</v>
      </c>
      <c r="G406" t="str">
        <f>"2026-05-08 22:23:13.470"</f>
        <v>2026-05-08 22:23:13.470</v>
      </c>
      <c r="H406" t="s">
        <v>21</v>
      </c>
      <c r="I406">
        <v>0</v>
      </c>
      <c r="J406" t="s">
        <v>33</v>
      </c>
    </row>
    <row r="407" spans="1:10" x14ac:dyDescent="0.25">
      <c r="A407" s="1">
        <v>8</v>
      </c>
      <c r="B407" t="s">
        <v>22</v>
      </c>
      <c r="C407">
        <v>630</v>
      </c>
      <c r="D407">
        <v>5</v>
      </c>
      <c r="E407" t="s">
        <v>28</v>
      </c>
      <c r="F407" t="s">
        <v>29</v>
      </c>
      <c r="G407" t="str">
        <f>"2026-05-08 22:17:00.407"</f>
        <v>2026-05-08 22:17:00.407</v>
      </c>
      <c r="H407" t="s">
        <v>30</v>
      </c>
    </row>
    <row r="408" spans="1:10" x14ac:dyDescent="0.25">
      <c r="A408" s="1">
        <v>9</v>
      </c>
      <c r="B408" t="s">
        <v>34</v>
      </c>
      <c r="C408">
        <v>630</v>
      </c>
      <c r="D408">
        <v>5</v>
      </c>
      <c r="E408" t="s">
        <v>28</v>
      </c>
      <c r="F408" t="s">
        <v>29</v>
      </c>
      <c r="G408" t="str">
        <f>"2026-05-08 22:16:08.907"</f>
        <v>2026-05-08 22:16:08.907</v>
      </c>
      <c r="H408" t="s">
        <v>30</v>
      </c>
      <c r="I408">
        <v>0</v>
      </c>
      <c r="J408" t="s">
        <v>33</v>
      </c>
    </row>
    <row r="409" spans="1:10" x14ac:dyDescent="0.25">
      <c r="A409" s="1">
        <v>10</v>
      </c>
      <c r="B409" t="s">
        <v>19</v>
      </c>
      <c r="C409">
        <v>706</v>
      </c>
      <c r="D409">
        <v>2</v>
      </c>
      <c r="E409" t="s">
        <v>31</v>
      </c>
      <c r="F409" t="s">
        <v>35</v>
      </c>
      <c r="G409" t="str">
        <f>"2026-05-08 14:00:05.170"</f>
        <v>2026-05-08 14:00:05.170</v>
      </c>
      <c r="H409" t="s">
        <v>21</v>
      </c>
      <c r="I409">
        <v>0</v>
      </c>
      <c r="J409" t="s">
        <v>33</v>
      </c>
    </row>
    <row r="410" spans="1:10" x14ac:dyDescent="0.25">
      <c r="A410" s="1">
        <v>11</v>
      </c>
      <c r="B410" t="s">
        <v>22</v>
      </c>
      <c r="C410">
        <v>630</v>
      </c>
      <c r="D410">
        <v>5</v>
      </c>
      <c r="E410" t="s">
        <v>28</v>
      </c>
      <c r="F410" t="s">
        <v>29</v>
      </c>
      <c r="G410" t="str">
        <f>"2026-05-08 13:13:48.007"</f>
        <v>2026-05-08 13:13:48.007</v>
      </c>
      <c r="H410" t="s">
        <v>30</v>
      </c>
    </row>
    <row r="411" spans="1:10" x14ac:dyDescent="0.25">
      <c r="A411" s="1">
        <v>12</v>
      </c>
      <c r="B411" t="s">
        <v>34</v>
      </c>
      <c r="C411">
        <v>630</v>
      </c>
      <c r="D411">
        <v>5</v>
      </c>
      <c r="E411" t="s">
        <v>28</v>
      </c>
      <c r="F411" t="s">
        <v>29</v>
      </c>
      <c r="G411" t="str">
        <f>"2026-05-08 13:01:13.408"</f>
        <v>2026-05-08 13:01:13.408</v>
      </c>
      <c r="H411" t="s">
        <v>30</v>
      </c>
      <c r="I411">
        <v>0</v>
      </c>
      <c r="J411" t="s">
        <v>33</v>
      </c>
    </row>
    <row r="412" spans="1:10" x14ac:dyDescent="0.25">
      <c r="A412" s="1">
        <v>13</v>
      </c>
      <c r="B412" t="s">
        <v>19</v>
      </c>
      <c r="C412">
        <v>706</v>
      </c>
      <c r="D412">
        <v>2</v>
      </c>
      <c r="E412" t="s">
        <v>31</v>
      </c>
      <c r="F412" t="s">
        <v>35</v>
      </c>
      <c r="G412" t="str">
        <f>"2026-05-08 10:23:49.870"</f>
        <v>2026-05-08 10:23:49.870</v>
      </c>
      <c r="H412" t="s">
        <v>21</v>
      </c>
      <c r="I412">
        <v>0</v>
      </c>
      <c r="J412" t="s">
        <v>33</v>
      </c>
    </row>
    <row r="413" spans="1:10" x14ac:dyDescent="0.25">
      <c r="A413" s="1">
        <v>14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"2026-05-08 10:23:06.040"</f>
        <v>2026-05-08 10:23:06.040</v>
      </c>
      <c r="H413" t="s">
        <v>21</v>
      </c>
      <c r="I413">
        <v>0</v>
      </c>
      <c r="J413" t="s">
        <v>27</v>
      </c>
    </row>
    <row r="414" spans="1:10" s="3" customFormat="1" x14ac:dyDescent="0.25">
      <c r="A414" s="2">
        <v>15</v>
      </c>
      <c r="B414" s="3" t="s">
        <v>22</v>
      </c>
      <c r="C414" s="3">
        <v>647</v>
      </c>
      <c r="D414" s="3">
        <v>1</v>
      </c>
      <c r="E414" s="3" t="s">
        <v>39</v>
      </c>
      <c r="F414" s="3" t="s">
        <v>40</v>
      </c>
      <c r="G414" s="3" t="str">
        <f>"2026-05-08 00:44:10.306"</f>
        <v>2026-05-08 00:44:10.306</v>
      </c>
      <c r="H414" s="3" t="s">
        <v>21</v>
      </c>
    </row>
    <row r="415" spans="1:10" s="3" customFormat="1" x14ac:dyDescent="0.25">
      <c r="A415" s="2">
        <v>16</v>
      </c>
      <c r="B415" s="3" t="s">
        <v>25</v>
      </c>
      <c r="C415" s="3">
        <v>647</v>
      </c>
      <c r="D415" s="3">
        <v>1</v>
      </c>
      <c r="E415" s="3" t="s">
        <v>39</v>
      </c>
      <c r="F415" s="3" t="s">
        <v>40</v>
      </c>
      <c r="G415" s="3" t="str">
        <f>"2026-05-08 00:44:08.806"</f>
        <v>2026-05-08 00:44:08.806</v>
      </c>
      <c r="H415" s="3" t="s">
        <v>21</v>
      </c>
      <c r="I415" s="3">
        <v>10.61</v>
      </c>
      <c r="J415" s="3" t="s">
        <v>37</v>
      </c>
    </row>
    <row r="416" spans="1:10" s="3" customFormat="1" x14ac:dyDescent="0.25">
      <c r="A416" s="2">
        <v>17</v>
      </c>
      <c r="B416" s="3" t="s">
        <v>22</v>
      </c>
      <c r="C416" s="3">
        <v>647</v>
      </c>
      <c r="D416" s="3">
        <v>1</v>
      </c>
      <c r="E416" s="3" t="s">
        <v>39</v>
      </c>
      <c r="F416" s="3" t="s">
        <v>40</v>
      </c>
      <c r="G416" s="3" t="str">
        <f>"2026-05-07 20:33:33.306"</f>
        <v>2026-05-07 20:33:33.306</v>
      </c>
      <c r="H416" s="3" t="s">
        <v>21</v>
      </c>
    </row>
    <row r="417" spans="1:10" s="3" customFormat="1" x14ac:dyDescent="0.25">
      <c r="A417" s="2">
        <v>18</v>
      </c>
      <c r="B417" s="3" t="s">
        <v>25</v>
      </c>
      <c r="C417" s="3">
        <v>647</v>
      </c>
      <c r="D417" s="3">
        <v>1</v>
      </c>
      <c r="E417" s="3" t="s">
        <v>39</v>
      </c>
      <c r="F417" s="3" t="s">
        <v>40</v>
      </c>
      <c r="G417" s="3" t="str">
        <f>"2026-05-07 20:33:27.606"</f>
        <v>2026-05-07 20:33:27.606</v>
      </c>
      <c r="H417" s="3" t="s">
        <v>21</v>
      </c>
      <c r="I417" s="3">
        <v>8.39</v>
      </c>
      <c r="J417" s="3" t="s">
        <v>37</v>
      </c>
    </row>
    <row r="418" spans="1:10" x14ac:dyDescent="0.25">
      <c r="A418" s="1">
        <v>19</v>
      </c>
      <c r="B418" t="s">
        <v>22</v>
      </c>
      <c r="C418">
        <v>630</v>
      </c>
      <c r="D418">
        <v>5</v>
      </c>
      <c r="E418" t="s">
        <v>28</v>
      </c>
      <c r="F418" t="s">
        <v>29</v>
      </c>
      <c r="G418" t="str">
        <f>"2026-05-07 16:16:14.506"</f>
        <v>2026-05-07 16:16:14.506</v>
      </c>
      <c r="H418" t="s">
        <v>30</v>
      </c>
    </row>
    <row r="419" spans="1:10" x14ac:dyDescent="0.25">
      <c r="A419" s="1">
        <v>20</v>
      </c>
      <c r="B419" t="s">
        <v>19</v>
      </c>
      <c r="C419">
        <v>706</v>
      </c>
      <c r="D419">
        <v>2</v>
      </c>
      <c r="E419" t="s">
        <v>31</v>
      </c>
      <c r="F419" t="s">
        <v>35</v>
      </c>
      <c r="G419" t="str">
        <f>"2026-05-07 16:15:44.389"</f>
        <v>2026-05-07 16:15:44.389</v>
      </c>
      <c r="H419" t="s">
        <v>21</v>
      </c>
      <c r="I419">
        <v>0</v>
      </c>
      <c r="J419" t="s">
        <v>33</v>
      </c>
    </row>
    <row r="420" spans="1:10" x14ac:dyDescent="0.25">
      <c r="A420" s="1">
        <v>21</v>
      </c>
      <c r="B420" t="s">
        <v>34</v>
      </c>
      <c r="C420">
        <v>630</v>
      </c>
      <c r="D420">
        <v>5</v>
      </c>
      <c r="E420" t="s">
        <v>28</v>
      </c>
      <c r="F420" t="s">
        <v>29</v>
      </c>
      <c r="G420" t="str">
        <f>"2026-05-07 15:52:47.106"</f>
        <v>2026-05-07 15:52:47.106</v>
      </c>
      <c r="H420" t="s">
        <v>30</v>
      </c>
      <c r="I420">
        <v>0</v>
      </c>
      <c r="J420" t="s">
        <v>33</v>
      </c>
    </row>
    <row r="421" spans="1:10" x14ac:dyDescent="0.25">
      <c r="A421" s="1">
        <v>22</v>
      </c>
      <c r="B421" t="s">
        <v>19</v>
      </c>
      <c r="C421">
        <v>706</v>
      </c>
      <c r="D421">
        <v>2</v>
      </c>
      <c r="E421" t="s">
        <v>31</v>
      </c>
      <c r="F421" t="s">
        <v>35</v>
      </c>
      <c r="G421" t="str">
        <f>"2026-05-07 12:39:22.389"</f>
        <v>2026-05-07 12:39:22.389</v>
      </c>
      <c r="H421" t="s">
        <v>21</v>
      </c>
      <c r="I421">
        <v>0</v>
      </c>
      <c r="J421" t="s">
        <v>33</v>
      </c>
    </row>
    <row r="422" spans="1:10" x14ac:dyDescent="0.25">
      <c r="A422" s="1">
        <v>23</v>
      </c>
      <c r="B422" t="s">
        <v>22</v>
      </c>
      <c r="C422">
        <v>630</v>
      </c>
      <c r="D422">
        <v>5</v>
      </c>
      <c r="E422" t="s">
        <v>28</v>
      </c>
      <c r="F422" t="s">
        <v>29</v>
      </c>
      <c r="G422" t="str">
        <f>"2026-05-07 12:10:54.406"</f>
        <v>2026-05-07 12:10:54.406</v>
      </c>
      <c r="H422" t="s">
        <v>30</v>
      </c>
    </row>
    <row r="423" spans="1:10" x14ac:dyDescent="0.25">
      <c r="A423" s="1">
        <v>24</v>
      </c>
      <c r="B423" t="s">
        <v>34</v>
      </c>
      <c r="C423">
        <v>630</v>
      </c>
      <c r="D423">
        <v>5</v>
      </c>
      <c r="E423" t="s">
        <v>28</v>
      </c>
      <c r="F423" t="s">
        <v>29</v>
      </c>
      <c r="G423" t="str">
        <f>"2026-05-07 12:09:35.806"</f>
        <v>2026-05-07 12:09:35.806</v>
      </c>
      <c r="H423" t="s">
        <v>30</v>
      </c>
      <c r="I423">
        <v>0</v>
      </c>
      <c r="J423" t="s">
        <v>33</v>
      </c>
    </row>
    <row r="424" spans="1:10" x14ac:dyDescent="0.25">
      <c r="A424" s="1">
        <v>25</v>
      </c>
      <c r="B424" t="s">
        <v>19</v>
      </c>
      <c r="C424">
        <v>706</v>
      </c>
      <c r="D424">
        <v>4</v>
      </c>
      <c r="E424" t="s">
        <v>31</v>
      </c>
      <c r="F424" t="s">
        <v>32</v>
      </c>
      <c r="G424" t="str">
        <f>"2026-05-06 13:41:35.209"</f>
        <v>2026-05-06 13:41:35.209</v>
      </c>
      <c r="H424" t="s">
        <v>21</v>
      </c>
      <c r="I424">
        <v>0</v>
      </c>
      <c r="J424" t="s">
        <v>33</v>
      </c>
    </row>
    <row r="425" spans="1:10" x14ac:dyDescent="0.25">
      <c r="A425" s="1">
        <v>26</v>
      </c>
      <c r="B425" t="s">
        <v>19</v>
      </c>
      <c r="C425">
        <v>706</v>
      </c>
      <c r="D425">
        <v>4</v>
      </c>
      <c r="E425" t="s">
        <v>31</v>
      </c>
      <c r="F425" t="s">
        <v>32</v>
      </c>
      <c r="G425" t="str">
        <f>"2026-05-06 12:26:27.949"</f>
        <v>2026-05-06 12:26:27.949</v>
      </c>
      <c r="H425" t="s">
        <v>21</v>
      </c>
      <c r="I425">
        <v>0</v>
      </c>
      <c r="J425" t="s">
        <v>33</v>
      </c>
    </row>
    <row r="426" spans="1:10" x14ac:dyDescent="0.25">
      <c r="A426" s="1">
        <v>27</v>
      </c>
      <c r="B426" t="s">
        <v>22</v>
      </c>
      <c r="C426">
        <v>630</v>
      </c>
      <c r="D426">
        <v>5</v>
      </c>
      <c r="E426" t="s">
        <v>28</v>
      </c>
      <c r="F426" t="s">
        <v>29</v>
      </c>
      <c r="G426" t="str">
        <f>"2026-05-06 12:15:38.306"</f>
        <v>2026-05-06 12:15:38.306</v>
      </c>
      <c r="H426" t="s">
        <v>30</v>
      </c>
    </row>
    <row r="427" spans="1:10" x14ac:dyDescent="0.25">
      <c r="A427" s="1">
        <v>28</v>
      </c>
      <c r="B427" t="s">
        <v>34</v>
      </c>
      <c r="C427">
        <v>630</v>
      </c>
      <c r="D427">
        <v>5</v>
      </c>
      <c r="E427" t="s">
        <v>28</v>
      </c>
      <c r="F427" t="s">
        <v>29</v>
      </c>
      <c r="G427" t="str">
        <f>"2026-05-06 12:08:45.306"</f>
        <v>2026-05-06 12:08:45.306</v>
      </c>
      <c r="H427" t="s">
        <v>30</v>
      </c>
      <c r="I427">
        <v>0</v>
      </c>
      <c r="J427" t="s">
        <v>33</v>
      </c>
    </row>
    <row r="428" spans="1:10" x14ac:dyDescent="0.25">
      <c r="A428" s="1">
        <v>30</v>
      </c>
      <c r="B428" t="s">
        <v>19</v>
      </c>
      <c r="C428">
        <v>706</v>
      </c>
      <c r="D428">
        <v>4</v>
      </c>
      <c r="E428" t="s">
        <v>31</v>
      </c>
      <c r="F428" t="s">
        <v>32</v>
      </c>
      <c r="G428" t="str">
        <f>"2026-05-05 13:28:12.449"</f>
        <v>2026-05-05 13:28:12.449</v>
      </c>
      <c r="H428" t="s">
        <v>21</v>
      </c>
      <c r="I428">
        <v>0</v>
      </c>
      <c r="J428" t="s">
        <v>33</v>
      </c>
    </row>
    <row r="429" spans="1:10" s="3" customFormat="1" x14ac:dyDescent="0.25">
      <c r="A429" s="2">
        <v>32</v>
      </c>
      <c r="B429" s="3" t="s">
        <v>22</v>
      </c>
      <c r="C429" s="3">
        <v>647</v>
      </c>
      <c r="D429" s="3">
        <v>1</v>
      </c>
      <c r="E429" s="3" t="s">
        <v>39</v>
      </c>
      <c r="F429" s="3" t="s">
        <v>40</v>
      </c>
      <c r="G429" s="3" t="str">
        <f>"2026-05-05 05:37:05.796"</f>
        <v>2026-05-05 05:37:05.796</v>
      </c>
      <c r="H429" s="3" t="s">
        <v>21</v>
      </c>
    </row>
    <row r="430" spans="1:10" s="3" customFormat="1" x14ac:dyDescent="0.25">
      <c r="A430" s="2">
        <v>34</v>
      </c>
      <c r="B430" s="3" t="s">
        <v>25</v>
      </c>
      <c r="C430" s="3">
        <v>647</v>
      </c>
      <c r="D430" s="3">
        <v>1</v>
      </c>
      <c r="E430" s="3" t="s">
        <v>39</v>
      </c>
      <c r="F430" s="3" t="s">
        <v>40</v>
      </c>
      <c r="G430" s="3" t="str">
        <f>"2026-05-05 05:37:03.296"</f>
        <v>2026-05-05 05:37:03.296</v>
      </c>
      <c r="H430" s="3" t="s">
        <v>21</v>
      </c>
      <c r="I430" s="3">
        <v>15.93</v>
      </c>
      <c r="J430" s="3" t="s">
        <v>37</v>
      </c>
    </row>
    <row r="431" spans="1:10" x14ac:dyDescent="0.25">
      <c r="A431" s="1">
        <v>35</v>
      </c>
      <c r="B431" t="s">
        <v>22</v>
      </c>
      <c r="C431">
        <v>635</v>
      </c>
      <c r="D431">
        <v>1</v>
      </c>
      <c r="E431" t="s">
        <v>23</v>
      </c>
      <c r="F431" t="s">
        <v>24</v>
      </c>
      <c r="G431" t="str">
        <f>"2026-05-04 21:59:56.196"</f>
        <v>2026-05-04 21:59:56.196</v>
      </c>
      <c r="H431" t="s">
        <v>21</v>
      </c>
    </row>
    <row r="432" spans="1:10" x14ac:dyDescent="0.25">
      <c r="A432" s="1">
        <v>36</v>
      </c>
      <c r="B432" t="s">
        <v>25</v>
      </c>
      <c r="C432">
        <v>635</v>
      </c>
      <c r="D432">
        <v>1</v>
      </c>
      <c r="E432" t="s">
        <v>23</v>
      </c>
      <c r="F432" t="s">
        <v>24</v>
      </c>
      <c r="G432" t="str">
        <f>"2026-05-04 21:53:40.196"</f>
        <v>2026-05-04 21:53:40.196</v>
      </c>
      <c r="H432" t="s">
        <v>21</v>
      </c>
      <c r="I432">
        <v>9.17</v>
      </c>
      <c r="J432" t="s">
        <v>36</v>
      </c>
    </row>
    <row r="433" spans="1:10" x14ac:dyDescent="0.25">
      <c r="A433" s="1">
        <v>37</v>
      </c>
      <c r="B433" t="s">
        <v>22</v>
      </c>
      <c r="C433">
        <v>630</v>
      </c>
      <c r="D433">
        <v>5</v>
      </c>
      <c r="E433" t="s">
        <v>28</v>
      </c>
      <c r="F433" t="s">
        <v>29</v>
      </c>
      <c r="G433" t="str">
        <f>"2026-05-04 20:16:23.196"</f>
        <v>2026-05-04 20:16:23.196</v>
      </c>
      <c r="H433" t="s">
        <v>30</v>
      </c>
    </row>
    <row r="434" spans="1:10" x14ac:dyDescent="0.25">
      <c r="A434" s="1">
        <v>38</v>
      </c>
      <c r="B434" t="s">
        <v>19</v>
      </c>
      <c r="C434">
        <v>706</v>
      </c>
      <c r="D434">
        <v>4</v>
      </c>
      <c r="E434" t="s">
        <v>31</v>
      </c>
      <c r="F434" t="s">
        <v>32</v>
      </c>
      <c r="G434" t="str">
        <f>"2026-05-04 20:15:53.219"</f>
        <v>2026-05-04 20:15:53.219</v>
      </c>
      <c r="H434" t="s">
        <v>21</v>
      </c>
      <c r="I434">
        <v>0</v>
      </c>
      <c r="J434" t="s">
        <v>33</v>
      </c>
    </row>
    <row r="435" spans="1:10" x14ac:dyDescent="0.25">
      <c r="A435" s="1">
        <v>39</v>
      </c>
      <c r="B435" t="s">
        <v>34</v>
      </c>
      <c r="C435">
        <v>630</v>
      </c>
      <c r="D435">
        <v>5</v>
      </c>
      <c r="E435" t="s">
        <v>28</v>
      </c>
      <c r="F435" t="s">
        <v>29</v>
      </c>
      <c r="G435" t="str">
        <f>"2026-05-04 20:05:37.796"</f>
        <v>2026-05-04 20:05:37.796</v>
      </c>
      <c r="H435" t="s">
        <v>30</v>
      </c>
      <c r="I435">
        <v>0</v>
      </c>
      <c r="J435" t="s">
        <v>33</v>
      </c>
    </row>
    <row r="436" spans="1:10" x14ac:dyDescent="0.25">
      <c r="A436" s="1">
        <v>40</v>
      </c>
      <c r="B436" t="s">
        <v>22</v>
      </c>
      <c r="C436">
        <v>630</v>
      </c>
      <c r="D436">
        <v>5</v>
      </c>
      <c r="E436" t="s">
        <v>28</v>
      </c>
      <c r="F436" t="s">
        <v>29</v>
      </c>
      <c r="G436" t="str">
        <f>"2026-05-04 17:28:36.296"</f>
        <v>2026-05-04 17:28:36.296</v>
      </c>
      <c r="H436" t="s">
        <v>30</v>
      </c>
    </row>
    <row r="437" spans="1:10" x14ac:dyDescent="0.25">
      <c r="A437" s="1">
        <v>41</v>
      </c>
      <c r="B437" t="s">
        <v>19</v>
      </c>
      <c r="C437">
        <v>706</v>
      </c>
      <c r="D437">
        <v>4</v>
      </c>
      <c r="E437" t="s">
        <v>31</v>
      </c>
      <c r="F437" t="s">
        <v>32</v>
      </c>
      <c r="G437" t="str">
        <f>"2026-05-04 17:28:06.129"</f>
        <v>2026-05-04 17:28:06.129</v>
      </c>
      <c r="H437" t="s">
        <v>21</v>
      </c>
      <c r="I437">
        <v>0</v>
      </c>
      <c r="J437" t="s">
        <v>33</v>
      </c>
    </row>
    <row r="438" spans="1:10" x14ac:dyDescent="0.25">
      <c r="A438" s="1">
        <v>42</v>
      </c>
      <c r="B438" t="s">
        <v>34</v>
      </c>
      <c r="C438">
        <v>630</v>
      </c>
      <c r="D438">
        <v>5</v>
      </c>
      <c r="E438" t="s">
        <v>28</v>
      </c>
      <c r="F438" t="s">
        <v>29</v>
      </c>
      <c r="G438" t="str">
        <f>"2026-05-04 17:20:09.296"</f>
        <v>2026-05-04 17:20:09.296</v>
      </c>
      <c r="H438" t="s">
        <v>30</v>
      </c>
      <c r="I438">
        <v>0</v>
      </c>
      <c r="J438" t="s">
        <v>33</v>
      </c>
    </row>
    <row r="439" spans="1:10" x14ac:dyDescent="0.25">
      <c r="A439" s="1">
        <v>44</v>
      </c>
      <c r="B439" t="s">
        <v>22</v>
      </c>
      <c r="C439">
        <v>630</v>
      </c>
      <c r="D439">
        <v>5</v>
      </c>
      <c r="E439" t="s">
        <v>28</v>
      </c>
      <c r="F439" t="s">
        <v>29</v>
      </c>
      <c r="G439" t="str">
        <f>"2026-05-04 14:09:01.696"</f>
        <v>2026-05-04 14:09:01.696</v>
      </c>
      <c r="H439" t="s">
        <v>30</v>
      </c>
    </row>
    <row r="440" spans="1:10" x14ac:dyDescent="0.25">
      <c r="A440" s="1">
        <v>45</v>
      </c>
      <c r="B440" t="s">
        <v>19</v>
      </c>
      <c r="C440">
        <v>706</v>
      </c>
      <c r="D440">
        <v>4</v>
      </c>
      <c r="E440" t="s">
        <v>31</v>
      </c>
      <c r="F440" t="s">
        <v>32</v>
      </c>
      <c r="G440" t="str">
        <f>"2026-05-04 14:08:31.579"</f>
        <v>2026-05-04 14:08:31.579</v>
      </c>
      <c r="H440" t="s">
        <v>21</v>
      </c>
      <c r="I440">
        <v>0</v>
      </c>
      <c r="J440" t="s">
        <v>33</v>
      </c>
    </row>
    <row r="441" spans="1:10" x14ac:dyDescent="0.25">
      <c r="A441" s="1">
        <v>46</v>
      </c>
      <c r="B441" t="s">
        <v>34</v>
      </c>
      <c r="C441">
        <v>630</v>
      </c>
      <c r="D441">
        <v>5</v>
      </c>
      <c r="E441" t="s">
        <v>28</v>
      </c>
      <c r="F441" t="s">
        <v>29</v>
      </c>
      <c r="G441" t="str">
        <f>"2026-05-04 13:43:55.297"</f>
        <v>2026-05-04 13:43:55.297</v>
      </c>
      <c r="H441" t="s">
        <v>30</v>
      </c>
      <c r="I441">
        <v>0</v>
      </c>
      <c r="J441" t="s">
        <v>33</v>
      </c>
    </row>
    <row r="442" spans="1:10" x14ac:dyDescent="0.25">
      <c r="A442" s="1">
        <v>47</v>
      </c>
      <c r="B442" t="s">
        <v>19</v>
      </c>
      <c r="C442">
        <v>706</v>
      </c>
      <c r="D442">
        <v>2</v>
      </c>
      <c r="E442" t="s">
        <v>31</v>
      </c>
      <c r="F442" t="s">
        <v>35</v>
      </c>
      <c r="G442" t="str">
        <f>"2026-05-04 10:35:58.089"</f>
        <v>2026-05-04 10:35:58.089</v>
      </c>
      <c r="H442" t="s">
        <v>21</v>
      </c>
      <c r="I442">
        <v>0</v>
      </c>
      <c r="J442" t="s">
        <v>33</v>
      </c>
    </row>
    <row r="443" spans="1:10" x14ac:dyDescent="0.25">
      <c r="A443" s="1">
        <v>48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"2026-05-04 10:35:27.029"</f>
        <v>2026-05-04 10:35:27.029</v>
      </c>
      <c r="H443" t="s">
        <v>21</v>
      </c>
      <c r="I443">
        <v>0</v>
      </c>
      <c r="J443" t="s">
        <v>27</v>
      </c>
    </row>
    <row r="444" spans="1:10" x14ac:dyDescent="0.25">
      <c r="A444" s="1">
        <v>49</v>
      </c>
      <c r="B444" t="s">
        <v>22</v>
      </c>
      <c r="C444">
        <v>630</v>
      </c>
      <c r="D444">
        <v>5</v>
      </c>
      <c r="E444" t="s">
        <v>28</v>
      </c>
      <c r="F444" t="s">
        <v>29</v>
      </c>
      <c r="G444" t="str">
        <f>"2026-05-04 08:52:50.281"</f>
        <v>2026-05-04 08:52:50.281</v>
      </c>
      <c r="H444" t="s">
        <v>30</v>
      </c>
    </row>
    <row r="445" spans="1:10" x14ac:dyDescent="0.25">
      <c r="A445" s="1">
        <v>50</v>
      </c>
      <c r="B445" t="s">
        <v>19</v>
      </c>
      <c r="C445">
        <v>706</v>
      </c>
      <c r="D445">
        <v>4</v>
      </c>
      <c r="E445" t="s">
        <v>31</v>
      </c>
      <c r="F445" t="s">
        <v>32</v>
      </c>
      <c r="G445" t="str">
        <f>"2026-05-04 08:52:20.190"</f>
        <v>2026-05-04 08:52:20.190</v>
      </c>
      <c r="H445" t="s">
        <v>21</v>
      </c>
      <c r="I445">
        <v>0</v>
      </c>
      <c r="J445" t="s">
        <v>33</v>
      </c>
    </row>
    <row r="446" spans="1:10" x14ac:dyDescent="0.25">
      <c r="A446" s="1">
        <v>51</v>
      </c>
      <c r="B446" t="s">
        <v>34</v>
      </c>
      <c r="C446">
        <v>630</v>
      </c>
      <c r="D446">
        <v>5</v>
      </c>
      <c r="E446" t="s">
        <v>28</v>
      </c>
      <c r="F446" t="s">
        <v>29</v>
      </c>
      <c r="G446" t="str">
        <f>"2026-05-04 08:44:37.581"</f>
        <v>2026-05-04 08:44:37.581</v>
      </c>
      <c r="H446" t="s">
        <v>30</v>
      </c>
      <c r="I446">
        <v>0</v>
      </c>
      <c r="J446" t="s">
        <v>33</v>
      </c>
    </row>
    <row r="447" spans="1:10" s="3" customFormat="1" x14ac:dyDescent="0.25">
      <c r="A447" s="2">
        <v>52</v>
      </c>
      <c r="B447" s="3" t="s">
        <v>22</v>
      </c>
      <c r="C447" s="3">
        <v>647</v>
      </c>
      <c r="D447" s="3">
        <v>1</v>
      </c>
      <c r="E447" s="3" t="s">
        <v>39</v>
      </c>
      <c r="F447" s="3" t="s">
        <v>40</v>
      </c>
      <c r="G447" s="3" t="str">
        <f>"2026-05-04 01:26:00.581"</f>
        <v>2026-05-04 01:26:00.581</v>
      </c>
      <c r="H447" s="3" t="s">
        <v>21</v>
      </c>
    </row>
    <row r="448" spans="1:10" s="3" customFormat="1" x14ac:dyDescent="0.25">
      <c r="A448" s="2">
        <v>53</v>
      </c>
      <c r="B448" s="3" t="s">
        <v>25</v>
      </c>
      <c r="C448" s="3">
        <v>647</v>
      </c>
      <c r="D448" s="3">
        <v>1</v>
      </c>
      <c r="E448" s="3" t="s">
        <v>39</v>
      </c>
      <c r="F448" s="3" t="s">
        <v>40</v>
      </c>
      <c r="G448" s="3" t="str">
        <f>"2026-05-04 01:25:58.581"</f>
        <v>2026-05-04 01:25:58.581</v>
      </c>
      <c r="H448" s="3" t="s">
        <v>21</v>
      </c>
      <c r="I448" s="3">
        <v>18.04</v>
      </c>
      <c r="J448" s="3" t="s">
        <v>37</v>
      </c>
    </row>
    <row r="449" spans="1:10" x14ac:dyDescent="0.25">
      <c r="A449" s="1">
        <v>54</v>
      </c>
      <c r="B449" t="s">
        <v>19</v>
      </c>
      <c r="C449">
        <v>706</v>
      </c>
      <c r="D449">
        <v>4</v>
      </c>
      <c r="E449" t="s">
        <v>31</v>
      </c>
      <c r="F449" t="s">
        <v>32</v>
      </c>
      <c r="G449" t="str">
        <f>"2026-05-03 14:47:44.890"</f>
        <v>2026-05-03 14:47:44.890</v>
      </c>
      <c r="H449" t="s">
        <v>21</v>
      </c>
      <c r="I449">
        <v>0</v>
      </c>
      <c r="J449" t="s">
        <v>33</v>
      </c>
    </row>
    <row r="450" spans="1:10" x14ac:dyDescent="0.25">
      <c r="A450" s="1">
        <v>55</v>
      </c>
      <c r="B450" t="s">
        <v>19</v>
      </c>
      <c r="C450">
        <v>706</v>
      </c>
      <c r="D450">
        <v>2</v>
      </c>
      <c r="E450" t="s">
        <v>31</v>
      </c>
      <c r="F450" t="s">
        <v>35</v>
      </c>
      <c r="G450" t="str">
        <f>"2026-05-03 13:50:58.690"</f>
        <v>2026-05-03 13:50:58.690</v>
      </c>
      <c r="H450" t="s">
        <v>21</v>
      </c>
      <c r="I450">
        <v>0</v>
      </c>
      <c r="J450" t="s">
        <v>33</v>
      </c>
    </row>
    <row r="451" spans="1:10" x14ac:dyDescent="0.25">
      <c r="A451" s="1">
        <v>56</v>
      </c>
      <c r="B451" t="s">
        <v>22</v>
      </c>
      <c r="C451">
        <v>630</v>
      </c>
      <c r="D451">
        <v>5</v>
      </c>
      <c r="E451" t="s">
        <v>28</v>
      </c>
      <c r="F451" t="s">
        <v>29</v>
      </c>
      <c r="G451" t="str">
        <f>"2026-05-03 13:19:17.181"</f>
        <v>2026-05-03 13:19:17.181</v>
      </c>
      <c r="H451" t="s">
        <v>30</v>
      </c>
    </row>
    <row r="452" spans="1:10" x14ac:dyDescent="0.25">
      <c r="A452" s="1">
        <v>57</v>
      </c>
      <c r="B452" t="s">
        <v>34</v>
      </c>
      <c r="C452">
        <v>630</v>
      </c>
      <c r="D452">
        <v>5</v>
      </c>
      <c r="E452" t="s">
        <v>28</v>
      </c>
      <c r="F452" t="s">
        <v>29</v>
      </c>
      <c r="G452" t="str">
        <f>"2026-05-03 12:38:35.781"</f>
        <v>2026-05-03 12:38:35.781</v>
      </c>
      <c r="H452" t="s">
        <v>30</v>
      </c>
      <c r="I452">
        <v>0</v>
      </c>
      <c r="J452" t="s">
        <v>33</v>
      </c>
    </row>
    <row r="453" spans="1:10" x14ac:dyDescent="0.25">
      <c r="A453" s="1">
        <v>58</v>
      </c>
      <c r="B453" t="s">
        <v>19</v>
      </c>
      <c r="C453">
        <v>706</v>
      </c>
      <c r="D453">
        <v>4</v>
      </c>
      <c r="E453" t="s">
        <v>31</v>
      </c>
      <c r="F453" t="s">
        <v>32</v>
      </c>
      <c r="G453" t="str">
        <f>"2026-05-03 03:22:59.240"</f>
        <v>2026-05-03 03:22:59.240</v>
      </c>
      <c r="H453" t="s">
        <v>21</v>
      </c>
      <c r="I453">
        <v>0</v>
      </c>
      <c r="J453" t="s">
        <v>33</v>
      </c>
    </row>
    <row r="454" spans="1:10" x14ac:dyDescent="0.25">
      <c r="A454" s="1">
        <v>59</v>
      </c>
      <c r="B454" t="s">
        <v>19</v>
      </c>
      <c r="C454">
        <v>706</v>
      </c>
      <c r="D454">
        <v>2</v>
      </c>
      <c r="E454" t="s">
        <v>31</v>
      </c>
      <c r="F454" t="s">
        <v>35</v>
      </c>
      <c r="G454" t="str">
        <f>"2026-05-02 23:14:55.890"</f>
        <v>2026-05-02 23:14:55.890</v>
      </c>
      <c r="H454" t="s">
        <v>21</v>
      </c>
      <c r="I454">
        <v>0</v>
      </c>
      <c r="J454" t="s">
        <v>33</v>
      </c>
    </row>
    <row r="455" spans="1:10" x14ac:dyDescent="0.25">
      <c r="A455" s="1">
        <v>60</v>
      </c>
      <c r="B455" t="s">
        <v>22</v>
      </c>
      <c r="C455">
        <v>630</v>
      </c>
      <c r="D455">
        <v>5</v>
      </c>
      <c r="E455" t="s">
        <v>28</v>
      </c>
      <c r="F455" t="s">
        <v>29</v>
      </c>
      <c r="G455" t="str">
        <f>"2026-05-02 17:33:28.381"</f>
        <v>2026-05-02 17:33:28.381</v>
      </c>
      <c r="H455" t="s">
        <v>30</v>
      </c>
    </row>
    <row r="456" spans="1:10" x14ac:dyDescent="0.25">
      <c r="A456" s="1">
        <v>61</v>
      </c>
      <c r="B456" t="s">
        <v>19</v>
      </c>
      <c r="C456">
        <v>706</v>
      </c>
      <c r="D456">
        <v>2</v>
      </c>
      <c r="E456" t="s">
        <v>31</v>
      </c>
      <c r="F456" t="s">
        <v>35</v>
      </c>
      <c r="G456" t="str">
        <f>"2026-05-02 17:32:58.290"</f>
        <v>2026-05-02 17:32:58.290</v>
      </c>
      <c r="H456" t="s">
        <v>21</v>
      </c>
      <c r="I456">
        <v>0</v>
      </c>
      <c r="J456" t="s">
        <v>33</v>
      </c>
    </row>
    <row r="457" spans="1:10" x14ac:dyDescent="0.25">
      <c r="A457" s="1">
        <v>62</v>
      </c>
      <c r="B457" t="s">
        <v>34</v>
      </c>
      <c r="C457">
        <v>630</v>
      </c>
      <c r="D457">
        <v>5</v>
      </c>
      <c r="E457" t="s">
        <v>28</v>
      </c>
      <c r="F457" t="s">
        <v>29</v>
      </c>
      <c r="G457" t="str">
        <f>"2026-05-02 17:23:58.581"</f>
        <v>2026-05-02 17:23:58.581</v>
      </c>
      <c r="H457" t="s">
        <v>30</v>
      </c>
      <c r="I457">
        <v>0</v>
      </c>
      <c r="J457" t="s">
        <v>33</v>
      </c>
    </row>
    <row r="458" spans="1:10" x14ac:dyDescent="0.25">
      <c r="A458" s="1">
        <v>63</v>
      </c>
      <c r="B458" t="s">
        <v>22</v>
      </c>
      <c r="C458">
        <v>635</v>
      </c>
      <c r="D458">
        <v>1</v>
      </c>
      <c r="E458" t="s">
        <v>23</v>
      </c>
      <c r="F458" t="s">
        <v>24</v>
      </c>
      <c r="G458" t="str">
        <f>"2026-05-02 14:08:14.227"</f>
        <v>2026-05-02 14:08:14.227</v>
      </c>
      <c r="H458" t="s">
        <v>21</v>
      </c>
    </row>
    <row r="459" spans="1:10" x14ac:dyDescent="0.25">
      <c r="A459" s="1">
        <v>64</v>
      </c>
      <c r="B459" t="s">
        <v>25</v>
      </c>
      <c r="C459">
        <v>635</v>
      </c>
      <c r="D459">
        <v>1</v>
      </c>
      <c r="E459" t="s">
        <v>23</v>
      </c>
      <c r="F459" t="s">
        <v>24</v>
      </c>
      <c r="G459" t="str">
        <f>"2026-05-02 14:05:26.227"</f>
        <v>2026-05-02 14:05:26.227</v>
      </c>
      <c r="H459" t="s">
        <v>21</v>
      </c>
      <c r="I459">
        <v>5.79</v>
      </c>
      <c r="J459" t="s">
        <v>26</v>
      </c>
    </row>
    <row r="460" spans="1:10" x14ac:dyDescent="0.25">
      <c r="A460" s="1">
        <v>65</v>
      </c>
      <c r="B460" t="s">
        <v>22</v>
      </c>
      <c r="C460">
        <v>630</v>
      </c>
      <c r="D460">
        <v>5</v>
      </c>
      <c r="E460" t="s">
        <v>28</v>
      </c>
      <c r="F460" t="s">
        <v>29</v>
      </c>
      <c r="G460" t="str">
        <f>"2026-05-02 13:18:42.881"</f>
        <v>2026-05-02 13:18:42.881</v>
      </c>
      <c r="H460" t="s">
        <v>30</v>
      </c>
    </row>
    <row r="461" spans="1:10" x14ac:dyDescent="0.25">
      <c r="A461" s="1">
        <v>66</v>
      </c>
      <c r="B461" t="s">
        <v>19</v>
      </c>
      <c r="C461">
        <v>706</v>
      </c>
      <c r="D461">
        <v>4</v>
      </c>
      <c r="E461" t="s">
        <v>31</v>
      </c>
      <c r="F461" t="s">
        <v>32</v>
      </c>
      <c r="G461" t="str">
        <f>"2026-05-02 13:18:12.780"</f>
        <v>2026-05-02 13:18:12.780</v>
      </c>
      <c r="H461" t="s">
        <v>21</v>
      </c>
      <c r="I461">
        <v>0</v>
      </c>
      <c r="J461" t="s">
        <v>33</v>
      </c>
    </row>
    <row r="462" spans="1:10" x14ac:dyDescent="0.25">
      <c r="A462" s="1">
        <v>67</v>
      </c>
      <c r="B462" t="s">
        <v>34</v>
      </c>
      <c r="C462">
        <v>630</v>
      </c>
      <c r="D462">
        <v>5</v>
      </c>
      <c r="E462" t="s">
        <v>28</v>
      </c>
      <c r="F462" t="s">
        <v>29</v>
      </c>
      <c r="G462" t="str">
        <f>"2026-05-02 12:44:11.281"</f>
        <v>2026-05-02 12:44:11.281</v>
      </c>
      <c r="H462" t="s">
        <v>30</v>
      </c>
      <c r="I462">
        <v>0</v>
      </c>
      <c r="J462" t="s">
        <v>33</v>
      </c>
    </row>
    <row r="463" spans="1:10" x14ac:dyDescent="0.25">
      <c r="A463" s="1">
        <v>68</v>
      </c>
      <c r="B463" t="s">
        <v>22</v>
      </c>
      <c r="C463">
        <v>61</v>
      </c>
      <c r="D463">
        <v>2</v>
      </c>
      <c r="E463" t="s">
        <v>58</v>
      </c>
      <c r="F463" t="s">
        <v>59</v>
      </c>
      <c r="G463" t="str">
        <f>"2026-05-02 10:35:55.481"</f>
        <v>2026-05-02 10:35:55.481</v>
      </c>
      <c r="H463" t="s">
        <v>21</v>
      </c>
    </row>
    <row r="464" spans="1:10" x14ac:dyDescent="0.25">
      <c r="A464" s="1">
        <v>69</v>
      </c>
      <c r="B464" t="s">
        <v>34</v>
      </c>
      <c r="C464">
        <v>61</v>
      </c>
      <c r="D464">
        <v>2</v>
      </c>
      <c r="E464" t="s">
        <v>58</v>
      </c>
      <c r="F464" t="s">
        <v>59</v>
      </c>
      <c r="G464" t="str">
        <f>"2026-05-02 10:35:43.481"</f>
        <v>2026-05-02 10:35:43.481</v>
      </c>
      <c r="H464" t="s">
        <v>21</v>
      </c>
      <c r="I464">
        <v>35.76</v>
      </c>
      <c r="J464" t="s">
        <v>37</v>
      </c>
    </row>
    <row r="465" spans="1:10" x14ac:dyDescent="0.25">
      <c r="A465" s="1">
        <v>70</v>
      </c>
      <c r="B465" t="s">
        <v>19</v>
      </c>
      <c r="C465">
        <v>706</v>
      </c>
      <c r="D465">
        <v>4</v>
      </c>
      <c r="E465" t="s">
        <v>31</v>
      </c>
      <c r="F465" t="s">
        <v>32</v>
      </c>
      <c r="G465" t="str">
        <f>"2026-05-02 08:23:44.570"</f>
        <v>2026-05-02 08:23:44.570</v>
      </c>
      <c r="H465" t="s">
        <v>21</v>
      </c>
      <c r="I465">
        <v>0</v>
      </c>
      <c r="J465" t="s">
        <v>33</v>
      </c>
    </row>
    <row r="466" spans="1:10" x14ac:dyDescent="0.25">
      <c r="A466" s="1">
        <v>71</v>
      </c>
      <c r="B466" t="s">
        <v>22</v>
      </c>
      <c r="C466">
        <v>630</v>
      </c>
      <c r="D466">
        <v>5</v>
      </c>
      <c r="E466" t="s">
        <v>28</v>
      </c>
      <c r="F466" t="s">
        <v>29</v>
      </c>
      <c r="G466" t="str">
        <f>"2026-05-02 08:23:14.681"</f>
        <v>2026-05-02 08:23:14.681</v>
      </c>
      <c r="H466" t="s">
        <v>30</v>
      </c>
    </row>
    <row r="467" spans="1:10" x14ac:dyDescent="0.25">
      <c r="A467" s="1">
        <v>72</v>
      </c>
      <c r="B467" t="s">
        <v>34</v>
      </c>
      <c r="C467">
        <v>630</v>
      </c>
      <c r="D467">
        <v>5</v>
      </c>
      <c r="E467" t="s">
        <v>28</v>
      </c>
      <c r="F467" t="s">
        <v>29</v>
      </c>
      <c r="G467" t="str">
        <f>"2026-05-02 08:13:57.481"</f>
        <v>2026-05-02 08:13:57.481</v>
      </c>
      <c r="H467" t="s">
        <v>30</v>
      </c>
      <c r="I467">
        <v>0</v>
      </c>
      <c r="J467" t="s">
        <v>33</v>
      </c>
    </row>
    <row r="468" spans="1:10" x14ac:dyDescent="0.25">
      <c r="A468" s="1">
        <v>73</v>
      </c>
      <c r="B468" t="s">
        <v>22</v>
      </c>
      <c r="C468">
        <v>630</v>
      </c>
      <c r="D468">
        <v>5</v>
      </c>
      <c r="E468" t="s">
        <v>28</v>
      </c>
      <c r="F468" t="s">
        <v>29</v>
      </c>
      <c r="G468" t="str">
        <f>"2026-05-01 14:41:51.381"</f>
        <v>2026-05-01 14:41:51.381</v>
      </c>
      <c r="H468" t="s">
        <v>30</v>
      </c>
    </row>
    <row r="469" spans="1:10" x14ac:dyDescent="0.25">
      <c r="A469" s="1">
        <v>74</v>
      </c>
      <c r="B469" t="s">
        <v>19</v>
      </c>
      <c r="C469">
        <v>706</v>
      </c>
      <c r="D469">
        <v>4</v>
      </c>
      <c r="E469" t="s">
        <v>31</v>
      </c>
      <c r="F469" t="s">
        <v>32</v>
      </c>
      <c r="G469" t="str">
        <f>"2026-05-01 14:41:21.410"</f>
        <v>2026-05-01 14:41:21.410</v>
      </c>
      <c r="H469" t="s">
        <v>21</v>
      </c>
      <c r="I469">
        <v>0</v>
      </c>
      <c r="J469" t="s">
        <v>33</v>
      </c>
    </row>
    <row r="470" spans="1:10" x14ac:dyDescent="0.25">
      <c r="A470" s="1">
        <v>75</v>
      </c>
      <c r="B470" t="s">
        <v>34</v>
      </c>
      <c r="C470">
        <v>630</v>
      </c>
      <c r="D470">
        <v>5</v>
      </c>
      <c r="E470" t="s">
        <v>28</v>
      </c>
      <c r="F470" t="s">
        <v>29</v>
      </c>
      <c r="G470" t="str">
        <f>"2026-05-01 14:14:31.081"</f>
        <v>2026-05-01 14:14:31.081</v>
      </c>
      <c r="H470" t="s">
        <v>30</v>
      </c>
      <c r="I470">
        <v>0</v>
      </c>
      <c r="J470" t="s">
        <v>33</v>
      </c>
    </row>
    <row r="471" spans="1:10" x14ac:dyDescent="0.25">
      <c r="A471" s="1">
        <v>76</v>
      </c>
      <c r="B471" t="s">
        <v>22</v>
      </c>
      <c r="C471">
        <v>630</v>
      </c>
      <c r="D471">
        <v>5</v>
      </c>
      <c r="E471" t="s">
        <v>28</v>
      </c>
      <c r="F471" t="s">
        <v>29</v>
      </c>
      <c r="G471" t="str">
        <f>"2026-05-01 13:48:22.281"</f>
        <v>2026-05-01 13:48:22.281</v>
      </c>
      <c r="H471" t="s">
        <v>30</v>
      </c>
    </row>
    <row r="472" spans="1:10" x14ac:dyDescent="0.25">
      <c r="A472" s="1">
        <v>77</v>
      </c>
      <c r="B472" t="s">
        <v>19</v>
      </c>
      <c r="C472">
        <v>706</v>
      </c>
      <c r="D472">
        <v>4</v>
      </c>
      <c r="E472" t="s">
        <v>31</v>
      </c>
      <c r="F472" t="s">
        <v>32</v>
      </c>
      <c r="G472" t="str">
        <f>"2026-05-01 13:47:52.300"</f>
        <v>2026-05-01 13:47:52.300</v>
      </c>
      <c r="H472" t="s">
        <v>21</v>
      </c>
      <c r="I472">
        <v>0</v>
      </c>
      <c r="J472" t="s">
        <v>33</v>
      </c>
    </row>
    <row r="473" spans="1:10" x14ac:dyDescent="0.25">
      <c r="A473" s="1">
        <v>78</v>
      </c>
      <c r="B473" t="s">
        <v>34</v>
      </c>
      <c r="C473">
        <v>630</v>
      </c>
      <c r="D473">
        <v>5</v>
      </c>
      <c r="E473" t="s">
        <v>28</v>
      </c>
      <c r="F473" t="s">
        <v>29</v>
      </c>
      <c r="G473" t="str">
        <f>"2026-05-01 12:54:42.181"</f>
        <v>2026-05-01 12:54:42.181</v>
      </c>
      <c r="H473" t="s">
        <v>30</v>
      </c>
      <c r="I473">
        <v>0</v>
      </c>
      <c r="J473" t="s">
        <v>33</v>
      </c>
    </row>
    <row r="474" spans="1:10" x14ac:dyDescent="0.25">
      <c r="A474" s="1">
        <v>79</v>
      </c>
      <c r="B474" t="s">
        <v>22</v>
      </c>
      <c r="C474">
        <v>630</v>
      </c>
      <c r="D474">
        <v>5</v>
      </c>
      <c r="E474" t="s">
        <v>28</v>
      </c>
      <c r="F474" t="s">
        <v>29</v>
      </c>
      <c r="G474" t="str">
        <f>"2026-05-01 07:59:35.581"</f>
        <v>2026-05-01 07:59:35.581</v>
      </c>
      <c r="H474" t="s">
        <v>30</v>
      </c>
    </row>
    <row r="475" spans="1:10" x14ac:dyDescent="0.25">
      <c r="A475" s="1">
        <v>80</v>
      </c>
      <c r="B475" t="s">
        <v>19</v>
      </c>
      <c r="C475">
        <v>706</v>
      </c>
      <c r="D475">
        <v>2</v>
      </c>
      <c r="E475" t="s">
        <v>31</v>
      </c>
      <c r="F475" t="s">
        <v>35</v>
      </c>
      <c r="G475" t="str">
        <f>"2026-05-01 07:59:05.590"</f>
        <v>2026-05-01 07:59:05.590</v>
      </c>
      <c r="H475" t="s">
        <v>21</v>
      </c>
      <c r="I475">
        <v>0</v>
      </c>
      <c r="J475" t="s">
        <v>33</v>
      </c>
    </row>
    <row r="476" spans="1:10" x14ac:dyDescent="0.25">
      <c r="A476" s="1">
        <v>81</v>
      </c>
      <c r="B476" t="s">
        <v>34</v>
      </c>
      <c r="C476">
        <v>630</v>
      </c>
      <c r="D476">
        <v>5</v>
      </c>
      <c r="E476" t="s">
        <v>28</v>
      </c>
      <c r="F476" t="s">
        <v>29</v>
      </c>
      <c r="G476" t="str">
        <f>"2026-05-01 07:50:43.281"</f>
        <v>2026-05-01 07:50:43.281</v>
      </c>
      <c r="H476" t="s">
        <v>30</v>
      </c>
      <c r="I476">
        <v>0</v>
      </c>
      <c r="J476" t="s">
        <v>33</v>
      </c>
    </row>
    <row r="477" spans="1:10" x14ac:dyDescent="0.25">
      <c r="A477" s="1">
        <v>82</v>
      </c>
      <c r="B477" t="s">
        <v>22</v>
      </c>
      <c r="C477">
        <v>630</v>
      </c>
      <c r="D477">
        <v>5</v>
      </c>
      <c r="E477" t="s">
        <v>28</v>
      </c>
      <c r="F477" t="s">
        <v>29</v>
      </c>
      <c r="G477" t="str">
        <f>"2026-04-30 14:21:40.181"</f>
        <v>2026-04-30 14:21:40.181</v>
      </c>
      <c r="H477" t="s">
        <v>30</v>
      </c>
    </row>
    <row r="478" spans="1:10" x14ac:dyDescent="0.25">
      <c r="A478" s="1">
        <v>83</v>
      </c>
      <c r="B478" t="s">
        <v>19</v>
      </c>
      <c r="C478">
        <v>706</v>
      </c>
      <c r="D478">
        <v>4</v>
      </c>
      <c r="E478" t="s">
        <v>31</v>
      </c>
      <c r="F478" t="s">
        <v>32</v>
      </c>
      <c r="G478" t="str">
        <f>"2026-04-30 14:21:10.050"</f>
        <v>2026-04-30 14:21:10.050</v>
      </c>
      <c r="H478" t="s">
        <v>21</v>
      </c>
      <c r="I478">
        <v>0</v>
      </c>
      <c r="J478" t="s">
        <v>33</v>
      </c>
    </row>
    <row r="479" spans="1:10" x14ac:dyDescent="0.25">
      <c r="A479" s="1">
        <v>84</v>
      </c>
      <c r="B479" t="s">
        <v>34</v>
      </c>
      <c r="C479">
        <v>630</v>
      </c>
      <c r="D479">
        <v>5</v>
      </c>
      <c r="E479" t="s">
        <v>28</v>
      </c>
      <c r="F479" t="s">
        <v>29</v>
      </c>
      <c r="G479" t="str">
        <f>"2026-04-30 13:13:11.381"</f>
        <v>2026-04-30 13:13:11.381</v>
      </c>
      <c r="H479" t="s">
        <v>30</v>
      </c>
      <c r="I479">
        <v>0</v>
      </c>
      <c r="J479" t="s">
        <v>33</v>
      </c>
    </row>
    <row r="480" spans="1:10" x14ac:dyDescent="0.25">
      <c r="A480" s="1">
        <v>85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"2026-04-30 00:30:56.090"</f>
        <v>2026-04-30 00:30:56.090</v>
      </c>
      <c r="H480" t="s">
        <v>21</v>
      </c>
    </row>
    <row r="481" spans="1:10" x14ac:dyDescent="0.25">
      <c r="A481" s="1">
        <v>86</v>
      </c>
      <c r="B481" t="s">
        <v>19</v>
      </c>
      <c r="C481">
        <v>706</v>
      </c>
      <c r="D481">
        <v>4</v>
      </c>
      <c r="E481" t="s">
        <v>31</v>
      </c>
      <c r="F481" t="s">
        <v>32</v>
      </c>
      <c r="G481" t="str">
        <f>"2026-04-30 00:12:50.632"</f>
        <v>2026-04-30 00:12:50.632</v>
      </c>
      <c r="H481" t="s">
        <v>21</v>
      </c>
      <c r="I481">
        <v>0</v>
      </c>
      <c r="J481" t="s">
        <v>33</v>
      </c>
    </row>
    <row r="482" spans="1:10" x14ac:dyDescent="0.25">
      <c r="A482" s="1">
        <v>87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"2026-04-30 00:09:52.012"</f>
        <v>2026-04-30 00:09:52.012</v>
      </c>
      <c r="H482" t="s">
        <v>21</v>
      </c>
    </row>
    <row r="483" spans="1:10" x14ac:dyDescent="0.25">
      <c r="A483" s="1">
        <v>88</v>
      </c>
      <c r="B483" t="s">
        <v>19</v>
      </c>
      <c r="C483">
        <v>706</v>
      </c>
      <c r="D483">
        <v>4</v>
      </c>
      <c r="E483" t="s">
        <v>31</v>
      </c>
      <c r="F483" t="s">
        <v>32</v>
      </c>
      <c r="G483" t="str">
        <f>"2026-04-30 00:03:20.518"</f>
        <v>2026-04-30 00:03:20.518</v>
      </c>
      <c r="H483" t="s">
        <v>21</v>
      </c>
      <c r="I483">
        <v>0</v>
      </c>
      <c r="J483" t="s">
        <v>33</v>
      </c>
    </row>
    <row r="484" spans="1:10" x14ac:dyDescent="0.25">
      <c r="A484" s="1">
        <v>89</v>
      </c>
      <c r="B484" t="s">
        <v>19</v>
      </c>
      <c r="C484">
        <v>706</v>
      </c>
      <c r="D484">
        <v>2</v>
      </c>
      <c r="E484" t="s">
        <v>31</v>
      </c>
      <c r="F484" t="s">
        <v>35</v>
      </c>
      <c r="G484" t="str">
        <f>"2026-04-29 23:52:45.328"</f>
        <v>2026-04-29 23:52:45.328</v>
      </c>
      <c r="H484" t="s">
        <v>21</v>
      </c>
      <c r="I484">
        <v>0</v>
      </c>
      <c r="J484" t="s">
        <v>33</v>
      </c>
    </row>
    <row r="485" spans="1:10" x14ac:dyDescent="0.25">
      <c r="A485" s="1">
        <v>90</v>
      </c>
      <c r="B485" t="s">
        <v>19</v>
      </c>
      <c r="C485">
        <v>706</v>
      </c>
      <c r="D485">
        <v>2</v>
      </c>
      <c r="E485" t="s">
        <v>31</v>
      </c>
      <c r="F485" t="s">
        <v>35</v>
      </c>
      <c r="G485" t="str">
        <f>"2026-04-29 23:51:41.928"</f>
        <v>2026-04-29 23:51:41.928</v>
      </c>
      <c r="H485" t="s">
        <v>21</v>
      </c>
      <c r="I485">
        <v>0</v>
      </c>
      <c r="J485" t="s">
        <v>33</v>
      </c>
    </row>
    <row r="486" spans="1:10" x14ac:dyDescent="0.25">
      <c r="A486" s="1">
        <v>91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"2026-04-29 23:46:41.018"</f>
        <v>2026-04-29 23:46:41.018</v>
      </c>
      <c r="H486" t="s">
        <v>21</v>
      </c>
    </row>
    <row r="487" spans="1:10" x14ac:dyDescent="0.25">
      <c r="A487" s="1">
        <v>92</v>
      </c>
      <c r="B487" t="s">
        <v>19</v>
      </c>
      <c r="C487">
        <v>706</v>
      </c>
      <c r="D487">
        <v>2</v>
      </c>
      <c r="E487" t="s">
        <v>31</v>
      </c>
      <c r="F487" t="s">
        <v>35</v>
      </c>
      <c r="G487" t="str">
        <f>"2026-04-29 22:00:17.059"</f>
        <v>2026-04-29 22:00:17.059</v>
      </c>
      <c r="H487" t="s">
        <v>21</v>
      </c>
      <c r="I487">
        <v>0</v>
      </c>
      <c r="J487" t="s">
        <v>33</v>
      </c>
    </row>
    <row r="488" spans="1:10" x14ac:dyDescent="0.25">
      <c r="A488" s="1">
        <v>93</v>
      </c>
      <c r="B488" t="s">
        <v>19</v>
      </c>
      <c r="C488">
        <v>706</v>
      </c>
      <c r="D488">
        <v>2</v>
      </c>
      <c r="E488" t="s">
        <v>31</v>
      </c>
      <c r="F488" t="s">
        <v>35</v>
      </c>
      <c r="G488" t="str">
        <f>"2026-04-29 14:43:06.359"</f>
        <v>2026-04-29 14:43:06.359</v>
      </c>
      <c r="H488" t="s">
        <v>21</v>
      </c>
      <c r="I488">
        <v>0</v>
      </c>
      <c r="J488" t="s">
        <v>33</v>
      </c>
    </row>
    <row r="489" spans="1:10" x14ac:dyDescent="0.25">
      <c r="A489" s="1">
        <v>94</v>
      </c>
      <c r="B489" t="s">
        <v>19</v>
      </c>
      <c r="C489">
        <v>706</v>
      </c>
      <c r="D489">
        <v>4</v>
      </c>
      <c r="E489" t="s">
        <v>31</v>
      </c>
      <c r="F489" t="s">
        <v>32</v>
      </c>
      <c r="G489" t="str">
        <f>"2026-04-29 10:23:27.549"</f>
        <v>2026-04-29 10:23:27.549</v>
      </c>
      <c r="H489" t="s">
        <v>21</v>
      </c>
      <c r="I489">
        <v>0</v>
      </c>
      <c r="J489" t="s">
        <v>33</v>
      </c>
    </row>
    <row r="490" spans="1:10" s="3" customFormat="1" x14ac:dyDescent="0.25">
      <c r="A490" s="2">
        <v>95</v>
      </c>
      <c r="B490" s="3" t="s">
        <v>22</v>
      </c>
      <c r="C490" s="3">
        <v>647</v>
      </c>
      <c r="D490" s="3">
        <v>1</v>
      </c>
      <c r="E490" s="3" t="s">
        <v>39</v>
      </c>
      <c r="F490" s="3" t="s">
        <v>40</v>
      </c>
      <c r="G490" s="3" t="str">
        <f>"2026-04-28 21:49:23.801"</f>
        <v>2026-04-28 21:49:23.801</v>
      </c>
      <c r="H490" s="3" t="s">
        <v>21</v>
      </c>
    </row>
    <row r="491" spans="1:10" s="3" customFormat="1" x14ac:dyDescent="0.25">
      <c r="A491" s="2">
        <v>96</v>
      </c>
      <c r="B491" s="3" t="s">
        <v>25</v>
      </c>
      <c r="C491" s="3">
        <v>647</v>
      </c>
      <c r="D491" s="3">
        <v>1</v>
      </c>
      <c r="E491" s="3" t="s">
        <v>39</v>
      </c>
      <c r="F491" s="3" t="s">
        <v>40</v>
      </c>
      <c r="G491" s="3" t="str">
        <f>"2026-04-28 21:49:16.901"</f>
        <v>2026-04-28 21:49:16.901</v>
      </c>
      <c r="H491" s="3" t="s">
        <v>21</v>
      </c>
      <c r="I491" s="3">
        <v>11.32</v>
      </c>
      <c r="J491" s="3" t="s">
        <v>37</v>
      </c>
    </row>
    <row r="492" spans="1:10" x14ac:dyDescent="0.25">
      <c r="A492" s="1">
        <v>97</v>
      </c>
      <c r="B492" t="s">
        <v>19</v>
      </c>
      <c r="C492">
        <v>706</v>
      </c>
      <c r="D492">
        <v>2</v>
      </c>
      <c r="E492" t="s">
        <v>31</v>
      </c>
      <c r="F492" t="s">
        <v>35</v>
      </c>
      <c r="G492" t="str">
        <f>"2026-04-28 21:14:24.859"</f>
        <v>2026-04-28 21:14:24.859</v>
      </c>
      <c r="H492" t="s">
        <v>21</v>
      </c>
      <c r="I492">
        <v>0</v>
      </c>
      <c r="J492" t="s">
        <v>33</v>
      </c>
    </row>
    <row r="493" spans="1:10" x14ac:dyDescent="0.25">
      <c r="A493" s="1">
        <v>98</v>
      </c>
      <c r="B493" t="s">
        <v>19</v>
      </c>
      <c r="C493">
        <v>706</v>
      </c>
      <c r="D493">
        <v>4</v>
      </c>
      <c r="E493" t="s">
        <v>31</v>
      </c>
      <c r="F493" t="s">
        <v>32</v>
      </c>
      <c r="G493" t="str">
        <f>"2026-04-28 12:58:20.209"</f>
        <v>2026-04-28 12:58:20.209</v>
      </c>
      <c r="H493" t="s">
        <v>21</v>
      </c>
      <c r="I493">
        <v>0</v>
      </c>
      <c r="J493" t="s">
        <v>33</v>
      </c>
    </row>
    <row r="494" spans="1:10" x14ac:dyDescent="0.25">
      <c r="A494" s="1">
        <v>99</v>
      </c>
      <c r="B494" t="s">
        <v>22</v>
      </c>
      <c r="C494">
        <v>630</v>
      </c>
      <c r="D494">
        <v>5</v>
      </c>
      <c r="E494" t="s">
        <v>28</v>
      </c>
      <c r="F494" t="s">
        <v>29</v>
      </c>
      <c r="G494" t="str">
        <f>"2026-04-28 12:31:01.801"</f>
        <v>2026-04-28 12:31:01.801</v>
      </c>
      <c r="H494" t="s">
        <v>30</v>
      </c>
    </row>
    <row r="495" spans="1:10" x14ac:dyDescent="0.25">
      <c r="A495" s="1">
        <v>0</v>
      </c>
      <c r="B495" t="s">
        <v>34</v>
      </c>
      <c r="C495">
        <v>630</v>
      </c>
      <c r="D495">
        <v>5</v>
      </c>
      <c r="E495" t="s">
        <v>28</v>
      </c>
      <c r="F495" t="s">
        <v>29</v>
      </c>
      <c r="G495" t="str">
        <f>"2026-04-28 12:26:02.801"</f>
        <v>2026-04-28 12:26:02.801</v>
      </c>
      <c r="H495" t="s">
        <v>30</v>
      </c>
      <c r="I495">
        <v>0</v>
      </c>
      <c r="J495" t="s">
        <v>33</v>
      </c>
    </row>
    <row r="496" spans="1:10" x14ac:dyDescent="0.25">
      <c r="A496" s="1">
        <v>1</v>
      </c>
      <c r="B496" t="s">
        <v>22</v>
      </c>
      <c r="C496">
        <v>630</v>
      </c>
      <c r="D496">
        <v>5</v>
      </c>
      <c r="E496" t="s">
        <v>28</v>
      </c>
      <c r="F496" t="s">
        <v>29</v>
      </c>
      <c r="G496" t="str">
        <f>"2026-04-28 11:15:35.501"</f>
        <v>2026-04-28 11:15:35.501</v>
      </c>
      <c r="H496" t="s">
        <v>30</v>
      </c>
    </row>
    <row r="497" spans="1:10" x14ac:dyDescent="0.25">
      <c r="A497" s="1">
        <v>2</v>
      </c>
      <c r="B497" t="s">
        <v>19</v>
      </c>
      <c r="C497">
        <v>706</v>
      </c>
      <c r="D497">
        <v>2</v>
      </c>
      <c r="E497" t="s">
        <v>31</v>
      </c>
      <c r="F497" t="s">
        <v>35</v>
      </c>
      <c r="G497" t="str">
        <f>"2026-04-28 11:15:05.459"</f>
        <v>2026-04-28 11:15:05.459</v>
      </c>
      <c r="H497" t="s">
        <v>21</v>
      </c>
      <c r="I497">
        <v>0</v>
      </c>
      <c r="J497" t="s">
        <v>33</v>
      </c>
    </row>
    <row r="498" spans="1:10" x14ac:dyDescent="0.25">
      <c r="A498" s="1">
        <v>3</v>
      </c>
      <c r="B498" t="s">
        <v>34</v>
      </c>
      <c r="C498">
        <v>630</v>
      </c>
      <c r="D498">
        <v>5</v>
      </c>
      <c r="E498" t="s">
        <v>28</v>
      </c>
      <c r="F498" t="s">
        <v>29</v>
      </c>
      <c r="G498" t="str">
        <f>"2026-04-28 11:04:57.101"</f>
        <v>2026-04-28 11:04:57.101</v>
      </c>
      <c r="H498" t="s">
        <v>30</v>
      </c>
      <c r="I498">
        <v>0</v>
      </c>
      <c r="J498" t="s">
        <v>33</v>
      </c>
    </row>
    <row r="499" spans="1:10" x14ac:dyDescent="0.25">
      <c r="A499" s="1">
        <v>4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"2026-04-28 04:08:06.999"</f>
        <v>2026-04-28 04:08:06.999</v>
      </c>
      <c r="H499" t="s">
        <v>21</v>
      </c>
      <c r="I499">
        <v>0</v>
      </c>
      <c r="J499" t="s">
        <v>27</v>
      </c>
    </row>
    <row r="500" spans="1:10" x14ac:dyDescent="0.25">
      <c r="A500" s="1">
        <v>5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"2026-04-28 03:54:36.107"</f>
        <v>2026-04-28 03:54:36.107</v>
      </c>
      <c r="H500" t="s">
        <v>21</v>
      </c>
      <c r="I500">
        <v>0</v>
      </c>
      <c r="J500" t="s">
        <v>27</v>
      </c>
    </row>
    <row r="501" spans="1:10" x14ac:dyDescent="0.25">
      <c r="A501" s="1">
        <v>6</v>
      </c>
      <c r="B501" t="s">
        <v>41</v>
      </c>
      <c r="C501">
        <v>215</v>
      </c>
      <c r="D501">
        <v>6</v>
      </c>
      <c r="E501" t="s">
        <v>42</v>
      </c>
      <c r="F501" t="s">
        <v>43</v>
      </c>
      <c r="G501" t="str">
        <f>"2026-04-27 18:58:34.812"</f>
        <v>2026-04-27 18:58:34.812</v>
      </c>
      <c r="H501" t="s">
        <v>21</v>
      </c>
    </row>
    <row r="502" spans="1:10" x14ac:dyDescent="0.25">
      <c r="A502" s="1">
        <v>7</v>
      </c>
      <c r="B502" t="s">
        <v>41</v>
      </c>
      <c r="C502">
        <v>115</v>
      </c>
      <c r="D502">
        <v>6</v>
      </c>
      <c r="E502" t="s">
        <v>44</v>
      </c>
      <c r="F502" t="s">
        <v>43</v>
      </c>
      <c r="G502" t="str">
        <f>"2026-04-27 18:58:34.712"</f>
        <v>2026-04-27 18:58:34.712</v>
      </c>
      <c r="H502" t="s">
        <v>21</v>
      </c>
    </row>
    <row r="503" spans="1:10" x14ac:dyDescent="0.25">
      <c r="A503" s="1">
        <v>8</v>
      </c>
      <c r="B503" t="s">
        <v>34</v>
      </c>
      <c r="C503">
        <v>215</v>
      </c>
      <c r="D503">
        <v>6</v>
      </c>
      <c r="E503" t="s">
        <v>42</v>
      </c>
      <c r="F503" t="s">
        <v>43</v>
      </c>
      <c r="G503" t="str">
        <f>"2026-04-27 18:58:29.709"</f>
        <v>2026-04-27 18:58:29.709</v>
      </c>
      <c r="H503" t="s">
        <v>21</v>
      </c>
      <c r="I503">
        <v>0</v>
      </c>
      <c r="J503" t="s">
        <v>33</v>
      </c>
    </row>
    <row r="504" spans="1:10" x14ac:dyDescent="0.25">
      <c r="A504" s="1">
        <v>9</v>
      </c>
      <c r="B504" t="s">
        <v>34</v>
      </c>
      <c r="C504">
        <v>115</v>
      </c>
      <c r="D504">
        <v>6</v>
      </c>
      <c r="E504" t="s">
        <v>44</v>
      </c>
      <c r="F504" t="s">
        <v>43</v>
      </c>
      <c r="G504" t="str">
        <f>"2026-04-27 18:58:29.707"</f>
        <v>2026-04-27 18:58:29.707</v>
      </c>
      <c r="H504" t="s">
        <v>21</v>
      </c>
      <c r="I504">
        <v>0</v>
      </c>
      <c r="J504" t="s">
        <v>33</v>
      </c>
    </row>
    <row r="505" spans="1:10" x14ac:dyDescent="0.25">
      <c r="A505" s="1">
        <v>10</v>
      </c>
      <c r="B505" t="s">
        <v>22</v>
      </c>
      <c r="C505">
        <v>6</v>
      </c>
      <c r="D505">
        <v>1</v>
      </c>
      <c r="E505" t="s">
        <v>45</v>
      </c>
      <c r="F505" t="s">
        <v>46</v>
      </c>
      <c r="G505" t="str">
        <f>"2026-04-27 18:58:29.581"</f>
        <v>2026-04-27 18:58:29.581</v>
      </c>
      <c r="H505" t="s">
        <v>47</v>
      </c>
    </row>
    <row r="506" spans="1:10" x14ac:dyDescent="0.25">
      <c r="A506" s="1">
        <v>11</v>
      </c>
      <c r="B506" t="s">
        <v>22</v>
      </c>
      <c r="C506">
        <v>75</v>
      </c>
      <c r="D506">
        <v>1</v>
      </c>
      <c r="E506" t="s">
        <v>48</v>
      </c>
      <c r="F506" t="s">
        <v>49</v>
      </c>
      <c r="G506" t="str">
        <f>"2026-04-27 18:58:29.579"</f>
        <v>2026-04-27 18:58:29.579</v>
      </c>
      <c r="H506" t="s">
        <v>50</v>
      </c>
    </row>
    <row r="507" spans="1:10" x14ac:dyDescent="0.25">
      <c r="A507" s="1">
        <v>12</v>
      </c>
      <c r="B507" t="s">
        <v>22</v>
      </c>
      <c r="C507">
        <v>74</v>
      </c>
      <c r="D507">
        <v>1</v>
      </c>
      <c r="E507" t="s">
        <v>51</v>
      </c>
      <c r="F507" t="s">
        <v>52</v>
      </c>
      <c r="G507" t="str">
        <f>"2026-04-27 18:58:29.577"</f>
        <v>2026-04-27 18:58:29.577</v>
      </c>
      <c r="H507" t="s">
        <v>53</v>
      </c>
    </row>
    <row r="508" spans="1:10" x14ac:dyDescent="0.25">
      <c r="A508" s="1">
        <v>13</v>
      </c>
      <c r="B508" t="s">
        <v>25</v>
      </c>
      <c r="C508">
        <v>75</v>
      </c>
      <c r="D508">
        <v>1</v>
      </c>
      <c r="E508" t="s">
        <v>48</v>
      </c>
      <c r="F508" t="s">
        <v>49</v>
      </c>
      <c r="G508" t="str">
        <f>"2026-04-27 18:58:18.087"</f>
        <v>2026-04-27 18:58:18.087</v>
      </c>
      <c r="H508" t="s">
        <v>50</v>
      </c>
      <c r="I508">
        <v>0</v>
      </c>
      <c r="J508" t="s">
        <v>33</v>
      </c>
    </row>
    <row r="509" spans="1:10" x14ac:dyDescent="0.25">
      <c r="A509" s="1">
        <v>14</v>
      </c>
      <c r="B509" t="s">
        <v>25</v>
      </c>
      <c r="C509">
        <v>74</v>
      </c>
      <c r="D509">
        <v>1</v>
      </c>
      <c r="E509" t="s">
        <v>51</v>
      </c>
      <c r="F509" t="s">
        <v>52</v>
      </c>
      <c r="G509" t="str">
        <f>"2026-04-27 18:58:18.082"</f>
        <v>2026-04-27 18:58:18.082</v>
      </c>
      <c r="H509" t="s">
        <v>53</v>
      </c>
      <c r="I509">
        <v>0</v>
      </c>
      <c r="J509" t="s">
        <v>33</v>
      </c>
    </row>
    <row r="510" spans="1:10" x14ac:dyDescent="0.25">
      <c r="A510" s="1">
        <v>15</v>
      </c>
      <c r="B510" t="s">
        <v>34</v>
      </c>
      <c r="C510">
        <v>6</v>
      </c>
      <c r="D510">
        <v>1</v>
      </c>
      <c r="E510" t="s">
        <v>45</v>
      </c>
      <c r="F510" t="s">
        <v>46</v>
      </c>
      <c r="G510" t="str">
        <f>"2026-04-27 18:58:18.078"</f>
        <v>2026-04-27 18:58:18.078</v>
      </c>
      <c r="H510" t="s">
        <v>47</v>
      </c>
      <c r="I510">
        <v>0</v>
      </c>
      <c r="J510" t="s">
        <v>33</v>
      </c>
    </row>
    <row r="511" spans="1:10" x14ac:dyDescent="0.25">
      <c r="A511" s="1">
        <v>19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"2026-04-27 16:19:54.040"</f>
        <v>2026-04-27 16:19:54.040</v>
      </c>
      <c r="H511" t="s">
        <v>21</v>
      </c>
    </row>
    <row r="512" spans="1:10" x14ac:dyDescent="0.25">
      <c r="A512" s="1">
        <v>20</v>
      </c>
      <c r="B512" t="s">
        <v>22</v>
      </c>
      <c r="C512">
        <v>630</v>
      </c>
      <c r="D512">
        <v>5</v>
      </c>
      <c r="E512" t="s">
        <v>28</v>
      </c>
      <c r="F512" t="s">
        <v>29</v>
      </c>
      <c r="G512" t="str">
        <f>"2026-04-27 15:25:26.502"</f>
        <v>2026-04-27 15:25:26.502</v>
      </c>
      <c r="H512" t="s">
        <v>30</v>
      </c>
    </row>
    <row r="513" spans="1:10" x14ac:dyDescent="0.25">
      <c r="A513" s="1">
        <v>21</v>
      </c>
      <c r="B513" t="s">
        <v>19</v>
      </c>
      <c r="C513">
        <v>706</v>
      </c>
      <c r="D513">
        <v>4</v>
      </c>
      <c r="E513" t="s">
        <v>31</v>
      </c>
      <c r="F513" t="s">
        <v>32</v>
      </c>
      <c r="G513" t="str">
        <f>"2026-04-27 15:24:56.511"</f>
        <v>2026-04-27 15:24:56.511</v>
      </c>
      <c r="H513" t="s">
        <v>21</v>
      </c>
      <c r="I513">
        <v>0</v>
      </c>
      <c r="J513" t="s">
        <v>33</v>
      </c>
    </row>
    <row r="514" spans="1:10" x14ac:dyDescent="0.25">
      <c r="A514" s="1">
        <v>22</v>
      </c>
      <c r="B514" t="s">
        <v>34</v>
      </c>
      <c r="C514">
        <v>630</v>
      </c>
      <c r="D514">
        <v>5</v>
      </c>
      <c r="E514" t="s">
        <v>28</v>
      </c>
      <c r="F514" t="s">
        <v>29</v>
      </c>
      <c r="G514" t="str">
        <f>"2026-04-27 15:00:24.102"</f>
        <v>2026-04-27 15:00:24.102</v>
      </c>
      <c r="H514" t="s">
        <v>30</v>
      </c>
      <c r="I514">
        <v>0</v>
      </c>
      <c r="J514" t="s">
        <v>33</v>
      </c>
    </row>
    <row r="515" spans="1:10" x14ac:dyDescent="0.25">
      <c r="A515" s="1">
        <v>23</v>
      </c>
      <c r="B515" t="s">
        <v>19</v>
      </c>
      <c r="C515">
        <v>706</v>
      </c>
      <c r="D515">
        <v>4</v>
      </c>
      <c r="E515" t="s">
        <v>31</v>
      </c>
      <c r="F515" t="s">
        <v>32</v>
      </c>
      <c r="G515" t="str">
        <f>"2026-04-27 12:52:13.061"</f>
        <v>2026-04-27 12:52:13.061</v>
      </c>
      <c r="H515" t="s">
        <v>21</v>
      </c>
      <c r="I515">
        <v>0</v>
      </c>
      <c r="J515" t="s">
        <v>33</v>
      </c>
    </row>
    <row r="516" spans="1:10" x14ac:dyDescent="0.25">
      <c r="A516" s="1">
        <v>24</v>
      </c>
      <c r="B516" t="s">
        <v>22</v>
      </c>
      <c r="C516">
        <v>630</v>
      </c>
      <c r="D516">
        <v>5</v>
      </c>
      <c r="E516" t="s">
        <v>28</v>
      </c>
      <c r="F516" t="s">
        <v>29</v>
      </c>
      <c r="G516" t="str">
        <f>"2026-04-27 12:41:12.802"</f>
        <v>2026-04-27 12:41:12.802</v>
      </c>
      <c r="H516" t="s">
        <v>30</v>
      </c>
    </row>
    <row r="517" spans="1:10" x14ac:dyDescent="0.25">
      <c r="A517" s="1">
        <v>25</v>
      </c>
      <c r="B517" t="s">
        <v>34</v>
      </c>
      <c r="C517">
        <v>630</v>
      </c>
      <c r="D517">
        <v>5</v>
      </c>
      <c r="E517" t="s">
        <v>28</v>
      </c>
      <c r="F517" t="s">
        <v>29</v>
      </c>
      <c r="G517" t="str">
        <f>"2026-04-27 12:29:02.902"</f>
        <v>2026-04-27 12:29:02.902</v>
      </c>
      <c r="H517" t="s">
        <v>30</v>
      </c>
      <c r="I517">
        <v>0</v>
      </c>
      <c r="J517" t="s">
        <v>33</v>
      </c>
    </row>
    <row r="518" spans="1:10" x14ac:dyDescent="0.25">
      <c r="A518" s="1">
        <v>26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"2026-04-27 03:20:44.011"</f>
        <v>2026-04-27 03:20:44.011</v>
      </c>
      <c r="H518" t="s">
        <v>21</v>
      </c>
      <c r="I518">
        <v>0</v>
      </c>
      <c r="J518" t="s">
        <v>27</v>
      </c>
    </row>
    <row r="519" spans="1:10" s="3" customFormat="1" x14ac:dyDescent="0.25">
      <c r="A519" s="2">
        <v>27</v>
      </c>
      <c r="B519" s="3" t="s">
        <v>22</v>
      </c>
      <c r="C519" s="3">
        <v>647</v>
      </c>
      <c r="D519" s="3">
        <v>1</v>
      </c>
      <c r="E519" s="3" t="s">
        <v>39</v>
      </c>
      <c r="F519" s="3" t="s">
        <v>40</v>
      </c>
      <c r="G519" s="3" t="str">
        <f>"2026-04-27 00:57:18.960"</f>
        <v>2026-04-27 00:57:18.960</v>
      </c>
      <c r="H519" s="3" t="s">
        <v>21</v>
      </c>
    </row>
    <row r="520" spans="1:10" s="3" customFormat="1" x14ac:dyDescent="0.25">
      <c r="A520" s="2">
        <v>28</v>
      </c>
      <c r="B520" s="3" t="s">
        <v>25</v>
      </c>
      <c r="C520" s="3">
        <v>647</v>
      </c>
      <c r="D520" s="3">
        <v>1</v>
      </c>
      <c r="E520" s="3" t="s">
        <v>39</v>
      </c>
      <c r="F520" s="3" t="s">
        <v>40</v>
      </c>
      <c r="G520" s="3" t="str">
        <f>"2026-04-27 00:57:17.860"</f>
        <v>2026-04-27 00:57:17.860</v>
      </c>
      <c r="H520" s="3" t="s">
        <v>21</v>
      </c>
      <c r="I520" s="3">
        <v>13.51</v>
      </c>
      <c r="J520" s="3" t="s">
        <v>37</v>
      </c>
    </row>
    <row r="521" spans="1:10" x14ac:dyDescent="0.25">
      <c r="A521" s="1">
        <v>29</v>
      </c>
      <c r="B521" t="s">
        <v>22</v>
      </c>
      <c r="C521">
        <v>630</v>
      </c>
      <c r="D521">
        <v>5</v>
      </c>
      <c r="E521" t="s">
        <v>28</v>
      </c>
      <c r="F521" t="s">
        <v>29</v>
      </c>
      <c r="G521" t="str">
        <f>"2026-04-26 14:10:53.960"</f>
        <v>2026-04-26 14:10:53.960</v>
      </c>
      <c r="H521" t="s">
        <v>30</v>
      </c>
    </row>
    <row r="522" spans="1:10" x14ac:dyDescent="0.25">
      <c r="A522" s="1">
        <v>30</v>
      </c>
      <c r="B522" t="s">
        <v>19</v>
      </c>
      <c r="C522">
        <v>706</v>
      </c>
      <c r="D522">
        <v>4</v>
      </c>
      <c r="E522" t="s">
        <v>31</v>
      </c>
      <c r="F522" t="s">
        <v>32</v>
      </c>
      <c r="G522" t="str">
        <f>"2026-04-26 14:10:23.866"</f>
        <v>2026-04-26 14:10:23.866</v>
      </c>
      <c r="H522" t="s">
        <v>21</v>
      </c>
      <c r="I522">
        <v>0</v>
      </c>
      <c r="J522" t="s">
        <v>33</v>
      </c>
    </row>
    <row r="523" spans="1:10" x14ac:dyDescent="0.25">
      <c r="A523" s="1">
        <v>31</v>
      </c>
      <c r="B523" t="s">
        <v>34</v>
      </c>
      <c r="C523">
        <v>630</v>
      </c>
      <c r="D523">
        <v>5</v>
      </c>
      <c r="E523" t="s">
        <v>28</v>
      </c>
      <c r="F523" t="s">
        <v>29</v>
      </c>
      <c r="G523" t="str">
        <f>"2026-04-26 13:28:34.060"</f>
        <v>2026-04-26 13:28:34.060</v>
      </c>
      <c r="H523" t="s">
        <v>30</v>
      </c>
      <c r="I523">
        <v>0</v>
      </c>
      <c r="J523" t="s">
        <v>33</v>
      </c>
    </row>
    <row r="524" spans="1:10" x14ac:dyDescent="0.25">
      <c r="A524" s="1">
        <v>32</v>
      </c>
      <c r="B524" t="s">
        <v>22</v>
      </c>
      <c r="C524">
        <v>630</v>
      </c>
      <c r="D524">
        <v>5</v>
      </c>
      <c r="E524" t="s">
        <v>28</v>
      </c>
      <c r="F524" t="s">
        <v>29</v>
      </c>
      <c r="G524" t="str">
        <f>"2026-04-26 09:34:11.160"</f>
        <v>2026-04-26 09:34:11.160</v>
      </c>
      <c r="H524" t="s">
        <v>30</v>
      </c>
    </row>
    <row r="525" spans="1:10" x14ac:dyDescent="0.25">
      <c r="A525" s="1">
        <v>33</v>
      </c>
      <c r="B525" t="s">
        <v>19</v>
      </c>
      <c r="C525">
        <v>706</v>
      </c>
      <c r="D525">
        <v>2</v>
      </c>
      <c r="E525" t="s">
        <v>31</v>
      </c>
      <c r="F525" t="s">
        <v>35</v>
      </c>
      <c r="G525" t="str">
        <f>"2026-04-26 09:33:40.946"</f>
        <v>2026-04-26 09:33:40.946</v>
      </c>
      <c r="H525" t="s">
        <v>21</v>
      </c>
      <c r="I525">
        <v>0</v>
      </c>
      <c r="J525" t="s">
        <v>33</v>
      </c>
    </row>
    <row r="526" spans="1:10" x14ac:dyDescent="0.25">
      <c r="A526" s="1">
        <v>34</v>
      </c>
      <c r="B526" t="s">
        <v>34</v>
      </c>
      <c r="C526">
        <v>630</v>
      </c>
      <c r="D526">
        <v>5</v>
      </c>
      <c r="E526" t="s">
        <v>28</v>
      </c>
      <c r="F526" t="s">
        <v>29</v>
      </c>
      <c r="G526" t="str">
        <f>"2026-04-26 09:20:20.460"</f>
        <v>2026-04-26 09:20:20.460</v>
      </c>
      <c r="H526" t="s">
        <v>30</v>
      </c>
      <c r="I526">
        <v>0</v>
      </c>
      <c r="J526" t="s">
        <v>33</v>
      </c>
    </row>
    <row r="527" spans="1:10" x14ac:dyDescent="0.25">
      <c r="A527" s="1">
        <v>35</v>
      </c>
      <c r="B527" t="s">
        <v>22</v>
      </c>
      <c r="C527">
        <v>630</v>
      </c>
      <c r="D527">
        <v>5</v>
      </c>
      <c r="E527" t="s">
        <v>28</v>
      </c>
      <c r="F527" t="s">
        <v>29</v>
      </c>
      <c r="G527" t="str">
        <f>"2026-04-26 08:02:48.160"</f>
        <v>2026-04-26 08:02:48.160</v>
      </c>
      <c r="H527" t="s">
        <v>30</v>
      </c>
    </row>
    <row r="528" spans="1:10" x14ac:dyDescent="0.25">
      <c r="A528" s="1">
        <v>36</v>
      </c>
      <c r="B528" t="s">
        <v>19</v>
      </c>
      <c r="C528">
        <v>706</v>
      </c>
      <c r="D528">
        <v>2</v>
      </c>
      <c r="E528" t="s">
        <v>31</v>
      </c>
      <c r="F528" t="s">
        <v>35</v>
      </c>
      <c r="G528" t="str">
        <f>"2026-04-26 08:02:18.146"</f>
        <v>2026-04-26 08:02:18.146</v>
      </c>
      <c r="H528" t="s">
        <v>21</v>
      </c>
      <c r="I528">
        <v>0</v>
      </c>
      <c r="J528" t="s">
        <v>33</v>
      </c>
    </row>
    <row r="529" spans="1:10" x14ac:dyDescent="0.25">
      <c r="A529" s="1">
        <v>37</v>
      </c>
      <c r="B529" t="s">
        <v>34</v>
      </c>
      <c r="C529">
        <v>630</v>
      </c>
      <c r="D529">
        <v>5</v>
      </c>
      <c r="E529" t="s">
        <v>28</v>
      </c>
      <c r="F529" t="s">
        <v>29</v>
      </c>
      <c r="G529" t="str">
        <f>"2026-04-26 07:53:23.460"</f>
        <v>2026-04-26 07:53:23.460</v>
      </c>
      <c r="H529" t="s">
        <v>30</v>
      </c>
      <c r="I529">
        <v>0</v>
      </c>
      <c r="J529" t="s">
        <v>33</v>
      </c>
    </row>
    <row r="530" spans="1:10" x14ac:dyDescent="0.25">
      <c r="A530" s="1">
        <v>38</v>
      </c>
      <c r="B530" t="s">
        <v>19</v>
      </c>
      <c r="C530">
        <v>706</v>
      </c>
      <c r="D530">
        <v>4</v>
      </c>
      <c r="E530" t="s">
        <v>31</v>
      </c>
      <c r="F530" t="s">
        <v>32</v>
      </c>
      <c r="G530" t="str">
        <f>"2026-04-25 14:32:24.796"</f>
        <v>2026-04-25 14:32:24.796</v>
      </c>
      <c r="H530" t="s">
        <v>21</v>
      </c>
      <c r="I530">
        <v>0</v>
      </c>
      <c r="J530" t="s">
        <v>33</v>
      </c>
    </row>
    <row r="531" spans="1:10" x14ac:dyDescent="0.25">
      <c r="A531" s="1">
        <v>39</v>
      </c>
      <c r="B531" t="s">
        <v>19</v>
      </c>
      <c r="C531">
        <v>706</v>
      </c>
      <c r="D531">
        <v>2</v>
      </c>
      <c r="E531" t="s">
        <v>31</v>
      </c>
      <c r="F531" t="s">
        <v>35</v>
      </c>
      <c r="G531" t="str">
        <f>"2026-04-25 11:21:12.546"</f>
        <v>2026-04-25 11:21:12.546</v>
      </c>
      <c r="H531" t="s">
        <v>21</v>
      </c>
      <c r="I531">
        <v>0</v>
      </c>
      <c r="J531" t="s">
        <v>33</v>
      </c>
    </row>
    <row r="532" spans="1:10" x14ac:dyDescent="0.25">
      <c r="A532" s="1">
        <v>40</v>
      </c>
      <c r="B532" t="s">
        <v>22</v>
      </c>
      <c r="C532">
        <v>630</v>
      </c>
      <c r="D532">
        <v>5</v>
      </c>
      <c r="E532" t="s">
        <v>28</v>
      </c>
      <c r="F532" t="s">
        <v>29</v>
      </c>
      <c r="G532" t="str">
        <f>"2026-04-25 11:17:34.860"</f>
        <v>2026-04-25 11:17:34.860</v>
      </c>
      <c r="H532" t="s">
        <v>30</v>
      </c>
    </row>
    <row r="533" spans="1:10" x14ac:dyDescent="0.25">
      <c r="A533" s="1">
        <v>41</v>
      </c>
      <c r="B533" t="s">
        <v>34</v>
      </c>
      <c r="C533">
        <v>630</v>
      </c>
      <c r="D533">
        <v>5</v>
      </c>
      <c r="E533" t="s">
        <v>28</v>
      </c>
      <c r="F533" t="s">
        <v>29</v>
      </c>
      <c r="G533" t="str">
        <f>"2026-04-25 11:02:54.360"</f>
        <v>2026-04-25 11:02:54.360</v>
      </c>
      <c r="H533" t="s">
        <v>30</v>
      </c>
      <c r="I533">
        <v>0</v>
      </c>
      <c r="J533" t="s">
        <v>33</v>
      </c>
    </row>
    <row r="534" spans="1:10" x14ac:dyDescent="0.25">
      <c r="A534" s="1">
        <v>42</v>
      </c>
      <c r="B534" t="s">
        <v>19</v>
      </c>
      <c r="C534">
        <v>706</v>
      </c>
      <c r="D534">
        <v>2</v>
      </c>
      <c r="E534" t="s">
        <v>31</v>
      </c>
      <c r="F534" t="s">
        <v>35</v>
      </c>
      <c r="G534" t="str">
        <f>"2026-04-25 05:43:43.346"</f>
        <v>2026-04-25 05:43:43.346</v>
      </c>
      <c r="H534" t="s">
        <v>21</v>
      </c>
      <c r="I534">
        <v>0</v>
      </c>
      <c r="J534" t="s">
        <v>33</v>
      </c>
    </row>
    <row r="535" spans="1:10" x14ac:dyDescent="0.25">
      <c r="A535" s="1">
        <v>43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"2026-04-25 05:42:11.156"</f>
        <v>2026-04-25 05:42:11.156</v>
      </c>
      <c r="H535" t="s">
        <v>21</v>
      </c>
    </row>
    <row r="536" spans="1:10" x14ac:dyDescent="0.25">
      <c r="A536" s="1">
        <v>44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"2026-04-25 02:41:22.026"</f>
        <v>2026-04-25 02:41:22.026</v>
      </c>
      <c r="H536" t="s">
        <v>21</v>
      </c>
      <c r="I536">
        <v>0</v>
      </c>
      <c r="J536" t="s">
        <v>27</v>
      </c>
    </row>
    <row r="537" spans="1:10" x14ac:dyDescent="0.25">
      <c r="A537" s="1">
        <v>45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"2026-04-24 20:44:02.993"</f>
        <v>2026-04-24 20:44:02.993</v>
      </c>
      <c r="H537" t="s">
        <v>21</v>
      </c>
      <c r="I537">
        <v>0</v>
      </c>
      <c r="J537" t="s">
        <v>27</v>
      </c>
    </row>
    <row r="538" spans="1:10" x14ac:dyDescent="0.25">
      <c r="A538" s="1">
        <v>46</v>
      </c>
      <c r="B538" t="s">
        <v>22</v>
      </c>
      <c r="C538">
        <v>98</v>
      </c>
      <c r="D538">
        <v>1</v>
      </c>
      <c r="E538" t="s">
        <v>60</v>
      </c>
      <c r="F538" t="s">
        <v>61</v>
      </c>
      <c r="G538" t="str">
        <f>"2026-04-24 18:41:45.932"</f>
        <v>2026-04-24 18:41:45.932</v>
      </c>
      <c r="H538" t="s">
        <v>21</v>
      </c>
    </row>
    <row r="539" spans="1:10" x14ac:dyDescent="0.25">
      <c r="A539" s="1">
        <v>47</v>
      </c>
      <c r="B539" t="s">
        <v>25</v>
      </c>
      <c r="C539">
        <v>98</v>
      </c>
      <c r="D539">
        <v>1</v>
      </c>
      <c r="E539" t="s">
        <v>60</v>
      </c>
      <c r="F539" t="s">
        <v>61</v>
      </c>
      <c r="G539" t="str">
        <f>"2026-04-24 18:41:44.933"</f>
        <v>2026-04-24 18:41:44.933</v>
      </c>
      <c r="H539" t="s">
        <v>21</v>
      </c>
      <c r="I539">
        <v>0</v>
      </c>
      <c r="J539" t="s">
        <v>26</v>
      </c>
    </row>
    <row r="540" spans="1:10" x14ac:dyDescent="0.25">
      <c r="A540" s="1">
        <v>48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"2026-04-24 18:28:30.011"</f>
        <v>2026-04-24 18:28:30.011</v>
      </c>
      <c r="H540" t="s">
        <v>21</v>
      </c>
    </row>
    <row r="541" spans="1:10" x14ac:dyDescent="0.25">
      <c r="A541" s="1">
        <v>49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"2026-04-24 18:22:27.051"</f>
        <v>2026-04-24 18:22:27.051</v>
      </c>
      <c r="H541" t="s">
        <v>21</v>
      </c>
      <c r="I541">
        <v>0</v>
      </c>
      <c r="J541" t="s">
        <v>27</v>
      </c>
    </row>
    <row r="542" spans="1:10" x14ac:dyDescent="0.25">
      <c r="A542" s="1">
        <v>50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"2026-04-24 17:38:54.004"</f>
        <v>2026-04-24 17:38:54.004</v>
      </c>
      <c r="H542" t="s">
        <v>21</v>
      </c>
      <c r="I542">
        <v>0</v>
      </c>
      <c r="J542" t="s">
        <v>27</v>
      </c>
    </row>
    <row r="543" spans="1:10" x14ac:dyDescent="0.25">
      <c r="A543" s="1">
        <v>51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"2026-04-24 17:33:22.005"</f>
        <v>2026-04-24 17:33:22.005</v>
      </c>
      <c r="H543" t="s">
        <v>21</v>
      </c>
    </row>
    <row r="544" spans="1:10" x14ac:dyDescent="0.25">
      <c r="A544" s="1">
        <v>52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"2026-04-24 17:22:20.996"</f>
        <v>2026-04-24 17:22:20.996</v>
      </c>
      <c r="H544" t="s">
        <v>21</v>
      </c>
    </row>
    <row r="545" spans="1:10" x14ac:dyDescent="0.25">
      <c r="A545" s="1">
        <v>53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"2026-04-24 17:16:40.003"</f>
        <v>2026-04-24 17:16:40.003</v>
      </c>
      <c r="H545" t="s">
        <v>21</v>
      </c>
    </row>
    <row r="546" spans="1:10" x14ac:dyDescent="0.25">
      <c r="A546" s="1">
        <v>54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"2026-04-24 17:06:45.101"</f>
        <v>2026-04-24 17:06:45.101</v>
      </c>
      <c r="H546" t="s">
        <v>21</v>
      </c>
    </row>
    <row r="547" spans="1:10" x14ac:dyDescent="0.25">
      <c r="A547" s="1">
        <v>55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"2026-04-24 15:48:23.111"</f>
        <v>2026-04-24 15:48:23.111</v>
      </c>
      <c r="H547" t="s">
        <v>21</v>
      </c>
    </row>
    <row r="548" spans="1:10" x14ac:dyDescent="0.25">
      <c r="A548" s="1">
        <v>56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"2026-04-24 15:43:54.996"</f>
        <v>2026-04-24 15:43:54.996</v>
      </c>
      <c r="H548" t="s">
        <v>21</v>
      </c>
    </row>
    <row r="549" spans="1:10" x14ac:dyDescent="0.25">
      <c r="A549" s="1">
        <v>57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"2026-04-24 11:24:34.007"</f>
        <v>2026-04-24 11:24:34.007</v>
      </c>
      <c r="H549" t="s">
        <v>21</v>
      </c>
    </row>
    <row r="550" spans="1:10" x14ac:dyDescent="0.25">
      <c r="A550" s="1">
        <v>58</v>
      </c>
      <c r="B550" t="s">
        <v>19</v>
      </c>
      <c r="C550">
        <v>706</v>
      </c>
      <c r="D550">
        <v>2</v>
      </c>
      <c r="E550" t="s">
        <v>31</v>
      </c>
      <c r="F550" t="s">
        <v>35</v>
      </c>
      <c r="G550" t="str">
        <f>"2026-04-24 10:46:29.455"</f>
        <v>2026-04-24 10:46:29.455</v>
      </c>
      <c r="H550" t="s">
        <v>21</v>
      </c>
      <c r="I550">
        <v>0</v>
      </c>
      <c r="J550" t="s">
        <v>33</v>
      </c>
    </row>
    <row r="551" spans="1:10" x14ac:dyDescent="0.25">
      <c r="A551" s="1">
        <v>59</v>
      </c>
      <c r="B551" t="s">
        <v>19</v>
      </c>
      <c r="C551">
        <v>706</v>
      </c>
      <c r="D551">
        <v>4</v>
      </c>
      <c r="E551" t="s">
        <v>31</v>
      </c>
      <c r="F551" t="s">
        <v>32</v>
      </c>
      <c r="G551" t="str">
        <f>"2026-04-24 10:43:49.645"</f>
        <v>2026-04-24 10:43:49.645</v>
      </c>
      <c r="H551" t="s">
        <v>21</v>
      </c>
      <c r="I551">
        <v>0</v>
      </c>
      <c r="J551" t="s">
        <v>33</v>
      </c>
    </row>
    <row r="552" spans="1:10" x14ac:dyDescent="0.25">
      <c r="A552" s="1">
        <v>60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"2026-04-24 10:35:54.995"</f>
        <v>2026-04-24 10:35:54.995</v>
      </c>
      <c r="H552" t="s">
        <v>21</v>
      </c>
    </row>
    <row r="553" spans="1:10" x14ac:dyDescent="0.25">
      <c r="A553" s="1">
        <v>61</v>
      </c>
      <c r="B553" t="s">
        <v>19</v>
      </c>
      <c r="C553">
        <v>706</v>
      </c>
      <c r="D553">
        <v>4</v>
      </c>
      <c r="E553" t="s">
        <v>31</v>
      </c>
      <c r="F553" t="s">
        <v>32</v>
      </c>
      <c r="G553" t="str">
        <f>"2026-04-24 10:14:53.858"</f>
        <v>2026-04-24 10:14:53.858</v>
      </c>
      <c r="H553" t="s">
        <v>21</v>
      </c>
      <c r="I553">
        <v>0</v>
      </c>
      <c r="J553" t="s">
        <v>33</v>
      </c>
    </row>
    <row r="554" spans="1:10" x14ac:dyDescent="0.25">
      <c r="A554" s="1">
        <v>62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"2026-04-24 10:13:10.128"</f>
        <v>2026-04-24 10:13:10.128</v>
      </c>
      <c r="H554" t="s">
        <v>21</v>
      </c>
    </row>
    <row r="555" spans="1:10" x14ac:dyDescent="0.25">
      <c r="A555" s="1">
        <v>63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"2026-04-24 10:01:26.038"</f>
        <v>2026-04-24 10:01:26.038</v>
      </c>
      <c r="H555" t="s">
        <v>21</v>
      </c>
      <c r="I555">
        <v>0</v>
      </c>
      <c r="J555" t="s">
        <v>27</v>
      </c>
    </row>
    <row r="556" spans="1:10" x14ac:dyDescent="0.25">
      <c r="A556" s="1">
        <v>64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"2026-04-24 09:59:21.085"</f>
        <v>2026-04-24 09:59:21.085</v>
      </c>
      <c r="H556" t="s">
        <v>21</v>
      </c>
      <c r="I556">
        <v>0</v>
      </c>
      <c r="J556" t="s">
        <v>27</v>
      </c>
    </row>
    <row r="557" spans="1:10" x14ac:dyDescent="0.25">
      <c r="A557" s="1">
        <v>65</v>
      </c>
      <c r="B557" t="s">
        <v>19</v>
      </c>
      <c r="C557">
        <v>706</v>
      </c>
      <c r="D557">
        <v>4</v>
      </c>
      <c r="E557" t="s">
        <v>31</v>
      </c>
      <c r="F557" t="s">
        <v>32</v>
      </c>
      <c r="G557" t="str">
        <f>"2026-04-24 09:56:29.638"</f>
        <v>2026-04-24 09:56:29.638</v>
      </c>
      <c r="H557" t="s">
        <v>21</v>
      </c>
      <c r="I557">
        <v>0</v>
      </c>
      <c r="J557" t="s">
        <v>33</v>
      </c>
    </row>
    <row r="558" spans="1:10" x14ac:dyDescent="0.25">
      <c r="A558" s="1">
        <v>66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"2026-04-24 09:55:42.008"</f>
        <v>2026-04-24 09:55:42.008</v>
      </c>
      <c r="H558" t="s">
        <v>21</v>
      </c>
      <c r="I558">
        <v>0</v>
      </c>
      <c r="J558" t="s">
        <v>27</v>
      </c>
    </row>
    <row r="559" spans="1:10" x14ac:dyDescent="0.25">
      <c r="A559" s="1">
        <v>67</v>
      </c>
      <c r="B559" t="s">
        <v>19</v>
      </c>
      <c r="C559">
        <v>706</v>
      </c>
      <c r="D559">
        <v>2</v>
      </c>
      <c r="E559" t="s">
        <v>31</v>
      </c>
      <c r="F559" t="s">
        <v>35</v>
      </c>
      <c r="G559" t="str">
        <f>"2026-04-23 17:14:24.714"</f>
        <v>2026-04-23 17:14:24.714</v>
      </c>
      <c r="H559" t="s">
        <v>21</v>
      </c>
      <c r="I559">
        <v>0</v>
      </c>
      <c r="J559" t="s">
        <v>33</v>
      </c>
    </row>
    <row r="560" spans="1:10" x14ac:dyDescent="0.25">
      <c r="A560" s="1">
        <v>68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"2026-04-23 17:13:52.084"</f>
        <v>2026-04-23 17:13:52.084</v>
      </c>
      <c r="H560" t="s">
        <v>21</v>
      </c>
      <c r="I560">
        <v>0</v>
      </c>
      <c r="J560" t="s">
        <v>27</v>
      </c>
    </row>
    <row r="561" spans="1:10" x14ac:dyDescent="0.25">
      <c r="A561" s="1">
        <v>69</v>
      </c>
      <c r="B561" t="s">
        <v>19</v>
      </c>
      <c r="C561">
        <v>706</v>
      </c>
      <c r="D561">
        <v>2</v>
      </c>
      <c r="E561" t="s">
        <v>31</v>
      </c>
      <c r="F561" t="s">
        <v>35</v>
      </c>
      <c r="G561" t="str">
        <f>"2026-04-23 16:25:10.568"</f>
        <v>2026-04-23 16:25:10.568</v>
      </c>
      <c r="H561" t="s">
        <v>21</v>
      </c>
      <c r="I561">
        <v>0</v>
      </c>
      <c r="J561" t="s">
        <v>33</v>
      </c>
    </row>
    <row r="562" spans="1:10" x14ac:dyDescent="0.25">
      <c r="A562" s="1">
        <v>70</v>
      </c>
      <c r="B562" t="s">
        <v>19</v>
      </c>
      <c r="C562">
        <v>706</v>
      </c>
      <c r="D562">
        <v>4</v>
      </c>
      <c r="E562" t="s">
        <v>31</v>
      </c>
      <c r="F562" t="s">
        <v>32</v>
      </c>
      <c r="G562" t="str">
        <f>"2026-04-23 16:15:10.088"</f>
        <v>2026-04-23 16:15:10.088</v>
      </c>
      <c r="H562" t="s">
        <v>21</v>
      </c>
      <c r="I562">
        <v>0</v>
      </c>
      <c r="J562" t="s">
        <v>33</v>
      </c>
    </row>
    <row r="563" spans="1:10" x14ac:dyDescent="0.25">
      <c r="A563" s="1">
        <v>71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"2026-04-23 15:00:21.998"</f>
        <v>2026-04-23 15:00:21.998</v>
      </c>
      <c r="H563" t="s">
        <v>21</v>
      </c>
      <c r="I563">
        <v>0</v>
      </c>
      <c r="J563" t="s">
        <v>27</v>
      </c>
    </row>
    <row r="564" spans="1:10" x14ac:dyDescent="0.25">
      <c r="A564" s="1">
        <v>72</v>
      </c>
      <c r="B564" t="s">
        <v>19</v>
      </c>
      <c r="C564">
        <v>706</v>
      </c>
      <c r="D564">
        <v>2</v>
      </c>
      <c r="E564" t="s">
        <v>31</v>
      </c>
      <c r="F564" t="s">
        <v>35</v>
      </c>
      <c r="G564" t="str">
        <f>"2026-04-23 14:55:24.095"</f>
        <v>2026-04-23 14:55:24.095</v>
      </c>
      <c r="H564" t="s">
        <v>21</v>
      </c>
      <c r="I564">
        <v>0</v>
      </c>
      <c r="J564" t="s">
        <v>33</v>
      </c>
    </row>
    <row r="565" spans="1:10" x14ac:dyDescent="0.25">
      <c r="A565" s="1">
        <v>73</v>
      </c>
      <c r="B565" t="s">
        <v>19</v>
      </c>
      <c r="C565">
        <v>706</v>
      </c>
      <c r="D565">
        <v>4</v>
      </c>
      <c r="E565" t="s">
        <v>31</v>
      </c>
      <c r="F565" t="s">
        <v>32</v>
      </c>
      <c r="G565" t="str">
        <f>"2026-04-23 14:54:26.445"</f>
        <v>2026-04-23 14:54:26.445</v>
      </c>
      <c r="H565" t="s">
        <v>21</v>
      </c>
      <c r="I565">
        <v>0</v>
      </c>
      <c r="J565" t="s">
        <v>33</v>
      </c>
    </row>
    <row r="566" spans="1:10" x14ac:dyDescent="0.25">
      <c r="A566" s="1">
        <v>74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"2026-04-23 14:53:22.035"</f>
        <v>2026-04-23 14:53:22.035</v>
      </c>
      <c r="H566" t="s">
        <v>21</v>
      </c>
      <c r="I566">
        <v>0</v>
      </c>
      <c r="J566" t="s">
        <v>27</v>
      </c>
    </row>
    <row r="567" spans="1:10" x14ac:dyDescent="0.25">
      <c r="A567" s="1">
        <v>75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"2026-04-16 16:15:28.018"</f>
        <v>2026-04-16 16:15:28.018</v>
      </c>
      <c r="H567" t="s">
        <v>21</v>
      </c>
    </row>
    <row r="568" spans="1:10" x14ac:dyDescent="0.25">
      <c r="A568" s="1">
        <v>76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"2026-04-16 14:43:43.015"</f>
        <v>2026-04-16 14:43:43.015</v>
      </c>
      <c r="H568" t="s">
        <v>21</v>
      </c>
    </row>
    <row r="569" spans="1:10" x14ac:dyDescent="0.25">
      <c r="A569" s="1">
        <v>77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"2026-04-16 13:24:40.999"</f>
        <v>2026-04-16 13:24:40.999</v>
      </c>
      <c r="H569" t="s">
        <v>21</v>
      </c>
    </row>
    <row r="570" spans="1:10" x14ac:dyDescent="0.25">
      <c r="A570" s="1">
        <v>78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"2026-04-16 12:48:32.012"</f>
        <v>2026-04-16 12:48:32.012</v>
      </c>
      <c r="H570" t="s">
        <v>21</v>
      </c>
      <c r="I570">
        <v>0</v>
      </c>
      <c r="J570" t="s">
        <v>27</v>
      </c>
    </row>
    <row r="571" spans="1:10" x14ac:dyDescent="0.25">
      <c r="A571" s="1">
        <v>79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"2026-04-16 10:33:48.992"</f>
        <v>2026-04-16 10:33:48.992</v>
      </c>
      <c r="H571" t="s">
        <v>21</v>
      </c>
      <c r="I571">
        <v>0</v>
      </c>
      <c r="J571" t="s">
        <v>27</v>
      </c>
    </row>
    <row r="572" spans="1:10" x14ac:dyDescent="0.25">
      <c r="A572" s="1">
        <v>80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"2026-04-16 10:17:47.010"</f>
        <v>2026-04-16 10:17:47.010</v>
      </c>
      <c r="H572" t="s">
        <v>21</v>
      </c>
      <c r="I572">
        <v>0</v>
      </c>
      <c r="J572" t="s">
        <v>27</v>
      </c>
    </row>
    <row r="573" spans="1:10" x14ac:dyDescent="0.25">
      <c r="A573" s="1">
        <v>81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"2026-04-16 08:25:45.986"</f>
        <v>2026-04-16 08:25:45.986</v>
      </c>
      <c r="H573" t="s">
        <v>21</v>
      </c>
      <c r="I573">
        <v>0</v>
      </c>
      <c r="J573" t="s">
        <v>27</v>
      </c>
    </row>
    <row r="574" spans="1:10" x14ac:dyDescent="0.25">
      <c r="A574" s="1">
        <v>82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"2026-04-16 05:51:23.030"</f>
        <v>2026-04-16 05:51:23.030</v>
      </c>
      <c r="H574" t="s">
        <v>21</v>
      </c>
    </row>
    <row r="575" spans="1:10" x14ac:dyDescent="0.25">
      <c r="A575" s="1">
        <v>83</v>
      </c>
      <c r="B575" t="s">
        <v>56</v>
      </c>
      <c r="C575">
        <v>620</v>
      </c>
      <c r="D575">
        <v>1</v>
      </c>
      <c r="E575" t="s">
        <v>57</v>
      </c>
      <c r="F575" t="s">
        <v>24</v>
      </c>
      <c r="G575" t="str">
        <f>"2026-04-16 05:38:42.295"</f>
        <v>2026-04-16 05:38:42.295</v>
      </c>
      <c r="H575" t="s">
        <v>55</v>
      </c>
    </row>
    <row r="576" spans="1:10" x14ac:dyDescent="0.25">
      <c r="A576" s="1">
        <v>84</v>
      </c>
      <c r="B576" t="s">
        <v>22</v>
      </c>
      <c r="C576">
        <v>619</v>
      </c>
      <c r="D576">
        <v>1</v>
      </c>
      <c r="E576" t="s">
        <v>54</v>
      </c>
      <c r="F576" t="s">
        <v>24</v>
      </c>
      <c r="G576" t="str">
        <f>"2026-04-16 05:38:32.694"</f>
        <v>2026-04-16 05:38:32.694</v>
      </c>
      <c r="H576" t="s">
        <v>55</v>
      </c>
    </row>
    <row r="577" spans="1:10" x14ac:dyDescent="0.25">
      <c r="A577" s="1">
        <v>85</v>
      </c>
      <c r="B577" t="s">
        <v>34</v>
      </c>
      <c r="C577">
        <v>620</v>
      </c>
      <c r="D577">
        <v>1</v>
      </c>
      <c r="E577" t="s">
        <v>57</v>
      </c>
      <c r="F577" t="s">
        <v>24</v>
      </c>
      <c r="G577" t="str">
        <f>"2026-04-16 05:38:27.714"</f>
        <v>2026-04-16 05:38:27.714</v>
      </c>
      <c r="H577" t="s">
        <v>55</v>
      </c>
      <c r="I577">
        <v>9.6</v>
      </c>
      <c r="J577" t="s">
        <v>37</v>
      </c>
    </row>
    <row r="578" spans="1:10" x14ac:dyDescent="0.25">
      <c r="A578" s="1">
        <v>86</v>
      </c>
      <c r="B578" t="s">
        <v>25</v>
      </c>
      <c r="C578">
        <v>619</v>
      </c>
      <c r="D578">
        <v>1</v>
      </c>
      <c r="E578" t="s">
        <v>54</v>
      </c>
      <c r="F578" t="s">
        <v>24</v>
      </c>
      <c r="G578" t="str">
        <f>"2026-04-16 05:38:20.747"</f>
        <v>2026-04-16 05:38:20.747</v>
      </c>
      <c r="H578" t="s">
        <v>55</v>
      </c>
      <c r="I578">
        <v>18.05</v>
      </c>
      <c r="J578" t="s">
        <v>37</v>
      </c>
    </row>
    <row r="579" spans="1:10" x14ac:dyDescent="0.25">
      <c r="A579" s="1">
        <v>87</v>
      </c>
      <c r="B579" t="s">
        <v>22</v>
      </c>
      <c r="C579">
        <v>630</v>
      </c>
      <c r="D579">
        <v>5</v>
      </c>
      <c r="E579" t="s">
        <v>28</v>
      </c>
      <c r="F579" t="s">
        <v>29</v>
      </c>
      <c r="G579" t="str">
        <f>"2026-04-16 01:06:24.995"</f>
        <v>2026-04-16 01:06:24.995</v>
      </c>
      <c r="H579" t="s">
        <v>30</v>
      </c>
    </row>
    <row r="580" spans="1:10" x14ac:dyDescent="0.25">
      <c r="A580" s="1">
        <v>88</v>
      </c>
      <c r="B580" t="s">
        <v>19</v>
      </c>
      <c r="C580">
        <v>706</v>
      </c>
      <c r="D580">
        <v>2</v>
      </c>
      <c r="E580" t="s">
        <v>31</v>
      </c>
      <c r="F580" t="s">
        <v>35</v>
      </c>
      <c r="G580" t="str">
        <f>"2026-04-16 01:05:54.805"</f>
        <v>2026-04-16 01:05:54.805</v>
      </c>
      <c r="H580" t="s">
        <v>21</v>
      </c>
      <c r="I580">
        <v>0</v>
      </c>
      <c r="J580" t="s">
        <v>33</v>
      </c>
    </row>
    <row r="581" spans="1:10" x14ac:dyDescent="0.25">
      <c r="A581" s="1">
        <v>89</v>
      </c>
      <c r="B581" t="s">
        <v>34</v>
      </c>
      <c r="C581">
        <v>630</v>
      </c>
      <c r="D581">
        <v>5</v>
      </c>
      <c r="E581" t="s">
        <v>28</v>
      </c>
      <c r="F581" t="s">
        <v>29</v>
      </c>
      <c r="G581" t="str">
        <f>"2026-04-16 00:43:39.095"</f>
        <v>2026-04-16 00:43:39.095</v>
      </c>
      <c r="H581" t="s">
        <v>30</v>
      </c>
      <c r="I581">
        <v>0</v>
      </c>
      <c r="J581" t="s">
        <v>33</v>
      </c>
    </row>
    <row r="582" spans="1:10" x14ac:dyDescent="0.25">
      <c r="A582" s="1">
        <v>90</v>
      </c>
      <c r="B582" t="s">
        <v>41</v>
      </c>
      <c r="C582">
        <v>115</v>
      </c>
      <c r="D582">
        <v>6</v>
      </c>
      <c r="E582" t="s">
        <v>44</v>
      </c>
      <c r="F582" t="s">
        <v>43</v>
      </c>
      <c r="G582" t="str">
        <f>"2026-04-15 20:02:49.406"</f>
        <v>2026-04-15 20:02:49.406</v>
      </c>
      <c r="H582" t="s">
        <v>21</v>
      </c>
    </row>
    <row r="583" spans="1:10" x14ac:dyDescent="0.25">
      <c r="A583" s="1">
        <v>91</v>
      </c>
      <c r="B583" t="s">
        <v>34</v>
      </c>
      <c r="C583">
        <v>115</v>
      </c>
      <c r="D583">
        <v>6</v>
      </c>
      <c r="E583" t="s">
        <v>44</v>
      </c>
      <c r="F583" t="s">
        <v>43</v>
      </c>
      <c r="G583" t="str">
        <f>"2026-04-15 20:02:44.402"</f>
        <v>2026-04-15 20:02:44.402</v>
      </c>
      <c r="H583" t="s">
        <v>21</v>
      </c>
      <c r="I583">
        <v>0</v>
      </c>
      <c r="J583" t="s">
        <v>33</v>
      </c>
    </row>
    <row r="584" spans="1:10" x14ac:dyDescent="0.25">
      <c r="A584" s="1">
        <v>92</v>
      </c>
      <c r="B584" t="s">
        <v>22</v>
      </c>
      <c r="C584">
        <v>6</v>
      </c>
      <c r="D584">
        <v>1</v>
      </c>
      <c r="E584" t="s">
        <v>45</v>
      </c>
      <c r="F584" t="s">
        <v>46</v>
      </c>
      <c r="G584" t="str">
        <f>"2026-04-15 20:02:44.298"</f>
        <v>2026-04-15 20:02:44.298</v>
      </c>
      <c r="H584" t="s">
        <v>47</v>
      </c>
    </row>
    <row r="585" spans="1:10" x14ac:dyDescent="0.25">
      <c r="A585" s="1">
        <v>93</v>
      </c>
      <c r="B585" t="s">
        <v>22</v>
      </c>
      <c r="C585">
        <v>75</v>
      </c>
      <c r="D585">
        <v>1</v>
      </c>
      <c r="E585" t="s">
        <v>48</v>
      </c>
      <c r="F585" t="s">
        <v>49</v>
      </c>
      <c r="G585" t="str">
        <f>"2026-04-15 20:02:44.296"</f>
        <v>2026-04-15 20:02:44.296</v>
      </c>
      <c r="H585" t="s">
        <v>50</v>
      </c>
    </row>
    <row r="586" spans="1:10" x14ac:dyDescent="0.25">
      <c r="A586" s="1">
        <v>94</v>
      </c>
      <c r="B586" t="s">
        <v>22</v>
      </c>
      <c r="C586">
        <v>74</v>
      </c>
      <c r="D586">
        <v>1</v>
      </c>
      <c r="E586" t="s">
        <v>51</v>
      </c>
      <c r="F586" t="s">
        <v>52</v>
      </c>
      <c r="G586" t="str">
        <f>"2026-04-15 20:02:44.294"</f>
        <v>2026-04-15 20:02:44.294</v>
      </c>
      <c r="H586" t="s">
        <v>53</v>
      </c>
    </row>
    <row r="587" spans="1:10" x14ac:dyDescent="0.25">
      <c r="A587" s="1">
        <v>95</v>
      </c>
      <c r="B587" t="s">
        <v>25</v>
      </c>
      <c r="C587">
        <v>75</v>
      </c>
      <c r="D587">
        <v>1</v>
      </c>
      <c r="E587" t="s">
        <v>48</v>
      </c>
      <c r="F587" t="s">
        <v>49</v>
      </c>
      <c r="G587" t="str">
        <f>"2026-04-15 20:02:32.805"</f>
        <v>2026-04-15 20:02:32.805</v>
      </c>
      <c r="H587" t="s">
        <v>50</v>
      </c>
      <c r="I587">
        <v>0</v>
      </c>
      <c r="J587" t="s">
        <v>33</v>
      </c>
    </row>
    <row r="588" spans="1:10" x14ac:dyDescent="0.25">
      <c r="A588" s="1">
        <v>96</v>
      </c>
      <c r="B588" t="s">
        <v>25</v>
      </c>
      <c r="C588">
        <v>74</v>
      </c>
      <c r="D588">
        <v>1</v>
      </c>
      <c r="E588" t="s">
        <v>51</v>
      </c>
      <c r="F588" t="s">
        <v>52</v>
      </c>
      <c r="G588" t="str">
        <f>"2026-04-15 20:02:32.800"</f>
        <v>2026-04-15 20:02:32.800</v>
      </c>
      <c r="H588" t="s">
        <v>53</v>
      </c>
      <c r="I588">
        <v>0</v>
      </c>
      <c r="J588" t="s">
        <v>33</v>
      </c>
    </row>
    <row r="589" spans="1:10" x14ac:dyDescent="0.25">
      <c r="A589" s="1">
        <v>97</v>
      </c>
      <c r="B589" t="s">
        <v>34</v>
      </c>
      <c r="C589">
        <v>6</v>
      </c>
      <c r="D589">
        <v>1</v>
      </c>
      <c r="E589" t="s">
        <v>45</v>
      </c>
      <c r="F589" t="s">
        <v>46</v>
      </c>
      <c r="G589" t="str">
        <f>"2026-04-15 20:02:32.795"</f>
        <v>2026-04-15 20:02:32.795</v>
      </c>
      <c r="H589" t="s">
        <v>47</v>
      </c>
      <c r="I589">
        <v>0</v>
      </c>
      <c r="J589" t="s">
        <v>33</v>
      </c>
    </row>
    <row r="590" spans="1:10" x14ac:dyDescent="0.25">
      <c r="A590" s="1">
        <v>1</v>
      </c>
      <c r="B590" t="s">
        <v>22</v>
      </c>
      <c r="C590">
        <v>630</v>
      </c>
      <c r="D590">
        <v>5</v>
      </c>
      <c r="E590" t="s">
        <v>28</v>
      </c>
      <c r="F590" t="s">
        <v>29</v>
      </c>
      <c r="G590" t="str">
        <f>"2026-04-15 05:03:13.014"</f>
        <v>2026-04-15 05:03:13.014</v>
      </c>
      <c r="H590" t="s">
        <v>30</v>
      </c>
    </row>
    <row r="591" spans="1:10" x14ac:dyDescent="0.25">
      <c r="A591" s="1">
        <v>2</v>
      </c>
      <c r="B591" t="s">
        <v>19</v>
      </c>
      <c r="C591">
        <v>706</v>
      </c>
      <c r="D591">
        <v>4</v>
      </c>
      <c r="E591" t="s">
        <v>31</v>
      </c>
      <c r="F591" t="s">
        <v>32</v>
      </c>
      <c r="G591" t="str">
        <f>"2026-04-15 05:02:43.065"</f>
        <v>2026-04-15 05:02:43.065</v>
      </c>
      <c r="H591" t="s">
        <v>21</v>
      </c>
      <c r="I591">
        <v>0</v>
      </c>
      <c r="J591" t="s">
        <v>33</v>
      </c>
    </row>
    <row r="592" spans="1:10" x14ac:dyDescent="0.25">
      <c r="A592" s="1">
        <v>3</v>
      </c>
      <c r="B592" t="s">
        <v>34</v>
      </c>
      <c r="C592">
        <v>630</v>
      </c>
      <c r="D592">
        <v>5</v>
      </c>
      <c r="E592" t="s">
        <v>28</v>
      </c>
      <c r="F592" t="s">
        <v>29</v>
      </c>
      <c r="G592" t="str">
        <f>"2026-04-15 04:52:30.015"</f>
        <v>2026-04-15 04:52:30.015</v>
      </c>
      <c r="H592" t="s">
        <v>30</v>
      </c>
      <c r="I592">
        <v>0</v>
      </c>
      <c r="J592" t="s">
        <v>33</v>
      </c>
    </row>
    <row r="593" spans="1:10" x14ac:dyDescent="0.25">
      <c r="A593" s="1">
        <v>4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"2026-04-14 12:25:51.025"</f>
        <v>2026-04-14 12:25:51.025</v>
      </c>
      <c r="H593" t="s">
        <v>21</v>
      </c>
      <c r="I593">
        <v>0</v>
      </c>
      <c r="J593" t="s">
        <v>27</v>
      </c>
    </row>
    <row r="594" spans="1:10" x14ac:dyDescent="0.25">
      <c r="A594" s="1">
        <v>5</v>
      </c>
      <c r="B594" t="s">
        <v>19</v>
      </c>
      <c r="C594">
        <v>706</v>
      </c>
      <c r="D594">
        <v>4</v>
      </c>
      <c r="E594" t="s">
        <v>31</v>
      </c>
      <c r="F594" t="s">
        <v>32</v>
      </c>
      <c r="G594" t="str">
        <f>"2026-04-13 12:49:27.542"</f>
        <v>2026-04-13 12:49:27.542</v>
      </c>
      <c r="H594" t="s">
        <v>21</v>
      </c>
      <c r="I594">
        <v>0</v>
      </c>
      <c r="J594" t="s">
        <v>33</v>
      </c>
    </row>
    <row r="595" spans="1:10" x14ac:dyDescent="0.25">
      <c r="A595" s="1">
        <v>6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"2026-04-13 12:46:12.022"</f>
        <v>2026-04-13 12:46:12.022</v>
      </c>
      <c r="H595" t="s">
        <v>21</v>
      </c>
    </row>
    <row r="596" spans="1:10" x14ac:dyDescent="0.25">
      <c r="A596" s="1">
        <v>7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"2026-04-13 12:44:11.977"</f>
        <v>2026-04-13 12:44:11.977</v>
      </c>
      <c r="H596" t="s">
        <v>21</v>
      </c>
      <c r="I596">
        <v>0</v>
      </c>
      <c r="J596" t="s">
        <v>27</v>
      </c>
    </row>
    <row r="597" spans="1:10" x14ac:dyDescent="0.25">
      <c r="A597" s="1">
        <v>8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"2026-04-13 12:30:48.200"</f>
        <v>2026-04-13 12:30:48.200</v>
      </c>
      <c r="H597" t="s">
        <v>21</v>
      </c>
      <c r="I597">
        <v>0</v>
      </c>
      <c r="J597" t="s">
        <v>27</v>
      </c>
    </row>
    <row r="598" spans="1:10" x14ac:dyDescent="0.25">
      <c r="A598" s="1">
        <v>9</v>
      </c>
      <c r="B598" t="s">
        <v>22</v>
      </c>
      <c r="C598">
        <v>630</v>
      </c>
      <c r="D598">
        <v>5</v>
      </c>
      <c r="E598" t="s">
        <v>28</v>
      </c>
      <c r="F598" t="s">
        <v>29</v>
      </c>
      <c r="G598" t="str">
        <f>"2026-04-13 03:28:23.292"</f>
        <v>2026-04-13 03:28:23.292</v>
      </c>
      <c r="H598" t="s">
        <v>30</v>
      </c>
    </row>
    <row r="599" spans="1:10" x14ac:dyDescent="0.25">
      <c r="A599" s="1">
        <v>10</v>
      </c>
      <c r="B599" t="s">
        <v>19</v>
      </c>
      <c r="C599">
        <v>706</v>
      </c>
      <c r="D599">
        <v>2</v>
      </c>
      <c r="E599" t="s">
        <v>31</v>
      </c>
      <c r="F599" t="s">
        <v>35</v>
      </c>
      <c r="G599" t="str">
        <f>"2026-04-13 03:27:53.166"</f>
        <v>2026-04-13 03:27:53.166</v>
      </c>
      <c r="H599" t="s">
        <v>21</v>
      </c>
      <c r="I599">
        <v>0</v>
      </c>
      <c r="J599" t="s">
        <v>33</v>
      </c>
    </row>
    <row r="600" spans="1:10" x14ac:dyDescent="0.25">
      <c r="A600" s="1">
        <v>11</v>
      </c>
      <c r="B600" t="s">
        <v>34</v>
      </c>
      <c r="C600">
        <v>630</v>
      </c>
      <c r="D600">
        <v>5</v>
      </c>
      <c r="E600" t="s">
        <v>28</v>
      </c>
      <c r="F600" t="s">
        <v>29</v>
      </c>
      <c r="G600" t="str">
        <f>"2026-04-13 03:18:18.892"</f>
        <v>2026-04-13 03:18:18.892</v>
      </c>
      <c r="H600" t="s">
        <v>30</v>
      </c>
      <c r="I600">
        <v>0</v>
      </c>
      <c r="J600" t="s">
        <v>33</v>
      </c>
    </row>
    <row r="601" spans="1:10" x14ac:dyDescent="0.25">
      <c r="A601" s="1">
        <v>12</v>
      </c>
      <c r="B601" t="s">
        <v>22</v>
      </c>
      <c r="C601">
        <v>630</v>
      </c>
      <c r="D601">
        <v>5</v>
      </c>
      <c r="E601" t="s">
        <v>28</v>
      </c>
      <c r="F601" t="s">
        <v>29</v>
      </c>
      <c r="G601" t="str">
        <f>"2026-04-13 01:23:38.192"</f>
        <v>2026-04-13 01:23:38.192</v>
      </c>
      <c r="H601" t="s">
        <v>30</v>
      </c>
    </row>
    <row r="602" spans="1:10" x14ac:dyDescent="0.25">
      <c r="A602" s="1">
        <v>13</v>
      </c>
      <c r="B602" t="s">
        <v>19</v>
      </c>
      <c r="C602">
        <v>706</v>
      </c>
      <c r="D602">
        <v>4</v>
      </c>
      <c r="E602" t="s">
        <v>31</v>
      </c>
      <c r="F602" t="s">
        <v>32</v>
      </c>
      <c r="G602" t="str">
        <f>"2026-04-13 01:23:08.136"</f>
        <v>2026-04-13 01:23:08.136</v>
      </c>
      <c r="H602" t="s">
        <v>21</v>
      </c>
      <c r="I602">
        <v>0</v>
      </c>
      <c r="J602" t="s">
        <v>33</v>
      </c>
    </row>
    <row r="603" spans="1:10" x14ac:dyDescent="0.25">
      <c r="A603" s="1">
        <v>14</v>
      </c>
      <c r="B603" t="s">
        <v>34</v>
      </c>
      <c r="C603">
        <v>630</v>
      </c>
      <c r="D603">
        <v>5</v>
      </c>
      <c r="E603" t="s">
        <v>28</v>
      </c>
      <c r="F603" t="s">
        <v>29</v>
      </c>
      <c r="G603" t="str">
        <f>"2026-04-13 00:47:45.592"</f>
        <v>2026-04-13 00:47:45.592</v>
      </c>
      <c r="H603" t="s">
        <v>30</v>
      </c>
      <c r="I603">
        <v>0</v>
      </c>
      <c r="J603" t="s">
        <v>33</v>
      </c>
    </row>
    <row r="604" spans="1:10" x14ac:dyDescent="0.25">
      <c r="A604" s="1">
        <v>15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"2026-04-11 14:01:41.066"</f>
        <v>2026-04-11 14:01:41.066</v>
      </c>
      <c r="H604" t="s">
        <v>21</v>
      </c>
    </row>
    <row r="605" spans="1:10" x14ac:dyDescent="0.25">
      <c r="A605" s="1">
        <v>16</v>
      </c>
      <c r="B605" t="s">
        <v>19</v>
      </c>
      <c r="C605">
        <v>706</v>
      </c>
      <c r="D605">
        <v>2</v>
      </c>
      <c r="E605" t="s">
        <v>31</v>
      </c>
      <c r="F605" t="s">
        <v>35</v>
      </c>
      <c r="G605" t="str">
        <f>"2026-04-11 13:57:35.332"</f>
        <v>2026-04-11 13:57:35.332</v>
      </c>
      <c r="H605" t="s">
        <v>21</v>
      </c>
      <c r="I605">
        <v>0</v>
      </c>
      <c r="J605" t="s">
        <v>33</v>
      </c>
    </row>
    <row r="606" spans="1:10" x14ac:dyDescent="0.25">
      <c r="A606" s="1">
        <v>17</v>
      </c>
      <c r="B606" t="s">
        <v>19</v>
      </c>
      <c r="C606">
        <v>706</v>
      </c>
      <c r="D606">
        <v>4</v>
      </c>
      <c r="E606" t="s">
        <v>31</v>
      </c>
      <c r="F606" t="s">
        <v>32</v>
      </c>
      <c r="G606" t="str">
        <f>"2026-04-11 13:56:25.252"</f>
        <v>2026-04-11 13:56:25.252</v>
      </c>
      <c r="H606" t="s">
        <v>21</v>
      </c>
      <c r="I606">
        <v>0</v>
      </c>
      <c r="J606" t="s">
        <v>33</v>
      </c>
    </row>
    <row r="607" spans="1:10" x14ac:dyDescent="0.25">
      <c r="A607" s="1">
        <v>18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"2026-04-11 13:55:38.992"</f>
        <v>2026-04-11 13:55:38.992</v>
      </c>
      <c r="H607" t="s">
        <v>21</v>
      </c>
      <c r="I607">
        <v>0</v>
      </c>
      <c r="J607" t="s">
        <v>27</v>
      </c>
    </row>
    <row r="608" spans="1:10" x14ac:dyDescent="0.25">
      <c r="A608" s="1">
        <v>19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"2026-04-10 18:33:24.979"</f>
        <v>2026-04-10 18:33:24.979</v>
      </c>
      <c r="H608" t="s">
        <v>21</v>
      </c>
      <c r="I608">
        <v>0</v>
      </c>
      <c r="J608" t="s">
        <v>27</v>
      </c>
    </row>
    <row r="609" spans="1:10" x14ac:dyDescent="0.25">
      <c r="A609" s="1">
        <v>20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"2026-04-10 17:47:40.991"</f>
        <v>2026-04-10 17:47:40.991</v>
      </c>
      <c r="H609" t="s">
        <v>21</v>
      </c>
      <c r="I609">
        <v>0</v>
      </c>
      <c r="J609" t="s">
        <v>27</v>
      </c>
    </row>
    <row r="610" spans="1:10" x14ac:dyDescent="0.25">
      <c r="A610" s="1">
        <v>21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"2026-04-10 17:34:49.051"</f>
        <v>2026-04-10 17:34:49.051</v>
      </c>
      <c r="H610" t="s">
        <v>21</v>
      </c>
      <c r="I610">
        <v>0</v>
      </c>
      <c r="J610" t="s">
        <v>27</v>
      </c>
    </row>
    <row r="611" spans="1:10" x14ac:dyDescent="0.25">
      <c r="A611" s="1">
        <v>22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"2026-04-10 17:30:51.994"</f>
        <v>2026-04-10 17:30:51.994</v>
      </c>
      <c r="H611" t="s">
        <v>21</v>
      </c>
      <c r="I611">
        <v>0</v>
      </c>
      <c r="J611" t="s">
        <v>27</v>
      </c>
    </row>
    <row r="612" spans="1:10" x14ac:dyDescent="0.25">
      <c r="A612" s="1">
        <v>23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"2026-04-10 17:25:17.995"</f>
        <v>2026-04-10 17:25:17.995</v>
      </c>
      <c r="H612" t="s">
        <v>21</v>
      </c>
      <c r="I612">
        <v>0</v>
      </c>
      <c r="J612" t="s">
        <v>27</v>
      </c>
    </row>
    <row r="613" spans="1:10" x14ac:dyDescent="0.25">
      <c r="A613" s="1">
        <v>24</v>
      </c>
      <c r="B613" t="s">
        <v>19</v>
      </c>
      <c r="C613">
        <v>706</v>
      </c>
      <c r="D613">
        <v>2</v>
      </c>
      <c r="E613" t="s">
        <v>31</v>
      </c>
      <c r="F613" t="s">
        <v>35</v>
      </c>
      <c r="G613" t="str">
        <f>"2026-04-10 16:30:12.720"</f>
        <v>2026-04-10 16:30:12.720</v>
      </c>
      <c r="H613" t="s">
        <v>21</v>
      </c>
      <c r="I613">
        <v>0</v>
      </c>
      <c r="J613" t="s">
        <v>33</v>
      </c>
    </row>
    <row r="614" spans="1:10" x14ac:dyDescent="0.25">
      <c r="A614" s="1">
        <v>25</v>
      </c>
      <c r="B614" t="s">
        <v>19</v>
      </c>
      <c r="C614">
        <v>706</v>
      </c>
      <c r="D614">
        <v>2</v>
      </c>
      <c r="E614" t="s">
        <v>31</v>
      </c>
      <c r="F614" t="s">
        <v>35</v>
      </c>
      <c r="G614" t="str">
        <f>"2026-04-10 16:23:22.520"</f>
        <v>2026-04-10 16:23:22.520</v>
      </c>
      <c r="H614" t="s">
        <v>21</v>
      </c>
      <c r="I614">
        <v>0</v>
      </c>
      <c r="J614" t="s">
        <v>33</v>
      </c>
    </row>
    <row r="615" spans="1:10" x14ac:dyDescent="0.25">
      <c r="A615" s="1">
        <v>26</v>
      </c>
      <c r="B615" t="s">
        <v>19</v>
      </c>
      <c r="C615">
        <v>706</v>
      </c>
      <c r="D615">
        <v>4</v>
      </c>
      <c r="E615" t="s">
        <v>31</v>
      </c>
      <c r="F615" t="s">
        <v>32</v>
      </c>
      <c r="G615" t="str">
        <f>"2026-04-10 16:19:10.670"</f>
        <v>2026-04-10 16:19:10.670</v>
      </c>
      <c r="H615" t="s">
        <v>21</v>
      </c>
      <c r="I615">
        <v>0</v>
      </c>
      <c r="J615" t="s">
        <v>33</v>
      </c>
    </row>
    <row r="616" spans="1:10" x14ac:dyDescent="0.25">
      <c r="A616" s="1">
        <v>27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"2026-04-10 16:18:56.020"</f>
        <v>2026-04-10 16:18:56.020</v>
      </c>
      <c r="H616" t="s">
        <v>21</v>
      </c>
    </row>
    <row r="617" spans="1:10" x14ac:dyDescent="0.25">
      <c r="A617" s="1">
        <v>28</v>
      </c>
      <c r="B617" t="s">
        <v>19</v>
      </c>
      <c r="C617">
        <v>706</v>
      </c>
      <c r="D617">
        <v>4</v>
      </c>
      <c r="E617" t="s">
        <v>31</v>
      </c>
      <c r="F617" t="s">
        <v>32</v>
      </c>
      <c r="G617" t="str">
        <f>"2026-04-10 06:26:43.527"</f>
        <v>2026-04-10 06:26:43.527</v>
      </c>
      <c r="H617" t="s">
        <v>21</v>
      </c>
      <c r="I617">
        <v>0</v>
      </c>
      <c r="J617" t="s">
        <v>33</v>
      </c>
    </row>
    <row r="618" spans="1:10" x14ac:dyDescent="0.25">
      <c r="A618" s="1">
        <v>29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"2026-04-10 06:24:53.977"</f>
        <v>2026-04-10 06:24:53.977</v>
      </c>
      <c r="H618" t="s">
        <v>21</v>
      </c>
      <c r="I618">
        <v>0</v>
      </c>
      <c r="J618" t="s">
        <v>27</v>
      </c>
    </row>
    <row r="619" spans="1:10" x14ac:dyDescent="0.25">
      <c r="A619" s="1">
        <v>30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"2026-04-10 06:16:57.982"</f>
        <v>2026-04-10 06:16:57.982</v>
      </c>
      <c r="H619" t="s">
        <v>21</v>
      </c>
    </row>
    <row r="620" spans="1:10" x14ac:dyDescent="0.25">
      <c r="A620" s="1">
        <v>31</v>
      </c>
      <c r="B620" t="s">
        <v>19</v>
      </c>
      <c r="C620">
        <v>706</v>
      </c>
      <c r="D620">
        <v>2</v>
      </c>
      <c r="E620" t="s">
        <v>31</v>
      </c>
      <c r="F620" t="s">
        <v>35</v>
      </c>
      <c r="G620" t="str">
        <f>"2026-04-10 05:41:26.083"</f>
        <v>2026-04-10 05:41:26.083</v>
      </c>
      <c r="H620" t="s">
        <v>21</v>
      </c>
      <c r="I620">
        <v>0</v>
      </c>
      <c r="J620" t="s">
        <v>33</v>
      </c>
    </row>
    <row r="621" spans="1:10" x14ac:dyDescent="0.25">
      <c r="A621" s="1">
        <v>32</v>
      </c>
      <c r="B621" t="s">
        <v>19</v>
      </c>
      <c r="C621">
        <v>706</v>
      </c>
      <c r="D621">
        <v>2</v>
      </c>
      <c r="E621" t="s">
        <v>31</v>
      </c>
      <c r="F621" t="s">
        <v>35</v>
      </c>
      <c r="G621" t="str">
        <f>"2026-04-10 05:40:42.283"</f>
        <v>2026-04-10 05:40:42.283</v>
      </c>
      <c r="H621" t="s">
        <v>21</v>
      </c>
      <c r="I621">
        <v>0</v>
      </c>
      <c r="J621" t="s">
        <v>33</v>
      </c>
    </row>
    <row r="622" spans="1:10" x14ac:dyDescent="0.25">
      <c r="A622" s="1">
        <v>33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"2026-04-10 05:23:34.973"</f>
        <v>2026-04-10 05:23:34.973</v>
      </c>
      <c r="H622" t="s">
        <v>21</v>
      </c>
      <c r="I622">
        <v>0</v>
      </c>
      <c r="J622" t="s">
        <v>27</v>
      </c>
    </row>
    <row r="623" spans="1:10" x14ac:dyDescent="0.25">
      <c r="A623" s="1">
        <v>34</v>
      </c>
      <c r="B623" t="s">
        <v>34</v>
      </c>
      <c r="C623">
        <v>630</v>
      </c>
      <c r="D623">
        <v>5</v>
      </c>
      <c r="E623" t="s">
        <v>28</v>
      </c>
      <c r="F623" t="s">
        <v>29</v>
      </c>
      <c r="G623" t="str">
        <f>"2026-04-09 21:30:49.966"</f>
        <v>2026-04-09 21:30:49.966</v>
      </c>
      <c r="H623" t="s">
        <v>30</v>
      </c>
      <c r="I623">
        <v>0</v>
      </c>
      <c r="J623" t="s">
        <v>33</v>
      </c>
    </row>
    <row r="624" spans="1:10" x14ac:dyDescent="0.25">
      <c r="A624" s="1">
        <v>35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"2026-04-09 21:25:47.210"</f>
        <v>2026-04-09 21:25:47.210</v>
      </c>
      <c r="H624" t="s">
        <v>21</v>
      </c>
    </row>
    <row r="625" spans="1:10" x14ac:dyDescent="0.25">
      <c r="A625" s="1">
        <v>36</v>
      </c>
      <c r="B625" t="s">
        <v>19</v>
      </c>
      <c r="C625">
        <v>706</v>
      </c>
      <c r="D625">
        <v>4</v>
      </c>
      <c r="E625" t="s">
        <v>31</v>
      </c>
      <c r="F625" t="s">
        <v>32</v>
      </c>
      <c r="G625" t="str">
        <f>"2026-04-09 13:21:29.149"</f>
        <v>2026-04-09 13:21:29.149</v>
      </c>
      <c r="H625" t="s">
        <v>21</v>
      </c>
      <c r="I625">
        <v>0</v>
      </c>
      <c r="J625" t="s">
        <v>33</v>
      </c>
    </row>
    <row r="626" spans="1:10" x14ac:dyDescent="0.25">
      <c r="A626" s="1">
        <v>37</v>
      </c>
      <c r="B626" t="s">
        <v>22</v>
      </c>
      <c r="C626">
        <v>630</v>
      </c>
      <c r="D626">
        <v>5</v>
      </c>
      <c r="E626" t="s">
        <v>28</v>
      </c>
      <c r="F626" t="s">
        <v>29</v>
      </c>
      <c r="G626" t="str">
        <f>"2026-04-09 06:04:27.390"</f>
        <v>2026-04-09 06:04:27.390</v>
      </c>
      <c r="H626" t="s">
        <v>30</v>
      </c>
    </row>
    <row r="627" spans="1:10" x14ac:dyDescent="0.25">
      <c r="A627" s="1">
        <v>38</v>
      </c>
      <c r="B627" t="s">
        <v>19</v>
      </c>
      <c r="C627">
        <v>706</v>
      </c>
      <c r="D627">
        <v>4</v>
      </c>
      <c r="E627" t="s">
        <v>31</v>
      </c>
      <c r="F627" t="s">
        <v>32</v>
      </c>
      <c r="G627" t="str">
        <f>"2026-04-09 06:03:57.349"</f>
        <v>2026-04-09 06:03:57.349</v>
      </c>
      <c r="H627" t="s">
        <v>21</v>
      </c>
      <c r="I627">
        <v>0</v>
      </c>
      <c r="J627" t="s">
        <v>33</v>
      </c>
    </row>
    <row r="628" spans="1:10" x14ac:dyDescent="0.25">
      <c r="A628" s="1">
        <v>39</v>
      </c>
      <c r="B628" t="s">
        <v>34</v>
      </c>
      <c r="C628">
        <v>630</v>
      </c>
      <c r="D628">
        <v>5</v>
      </c>
      <c r="E628" t="s">
        <v>28</v>
      </c>
      <c r="F628" t="s">
        <v>29</v>
      </c>
      <c r="G628" t="str">
        <f>"2026-04-09 05:56:39.992"</f>
        <v>2026-04-09 05:56:39.992</v>
      </c>
      <c r="H628" t="s">
        <v>30</v>
      </c>
      <c r="I628">
        <v>0</v>
      </c>
      <c r="J628" t="s">
        <v>33</v>
      </c>
    </row>
    <row r="629" spans="1:10" x14ac:dyDescent="0.25">
      <c r="A629" s="1">
        <v>40</v>
      </c>
      <c r="B629" t="s">
        <v>41</v>
      </c>
      <c r="C629">
        <v>215</v>
      </c>
      <c r="D629">
        <v>6</v>
      </c>
      <c r="E629" t="s">
        <v>42</v>
      </c>
      <c r="F629" t="s">
        <v>43</v>
      </c>
      <c r="G629" t="str">
        <f>"2026-04-08 14:04:26.294"</f>
        <v>2026-04-08 14:04:26.294</v>
      </c>
      <c r="H629" t="s">
        <v>21</v>
      </c>
    </row>
    <row r="630" spans="1:10" x14ac:dyDescent="0.25">
      <c r="A630" s="1">
        <v>41</v>
      </c>
      <c r="B630" t="s">
        <v>41</v>
      </c>
      <c r="C630">
        <v>115</v>
      </c>
      <c r="D630">
        <v>6</v>
      </c>
      <c r="E630" t="s">
        <v>44</v>
      </c>
      <c r="F630" t="s">
        <v>43</v>
      </c>
      <c r="G630" t="str">
        <f>"2026-04-08 14:04:26.195"</f>
        <v>2026-04-08 14:04:26.195</v>
      </c>
      <c r="H630" t="s">
        <v>21</v>
      </c>
    </row>
    <row r="631" spans="1:10" x14ac:dyDescent="0.25">
      <c r="A631" s="1">
        <v>42</v>
      </c>
      <c r="B631" t="s">
        <v>34</v>
      </c>
      <c r="C631">
        <v>215</v>
      </c>
      <c r="D631">
        <v>6</v>
      </c>
      <c r="E631" t="s">
        <v>42</v>
      </c>
      <c r="F631" t="s">
        <v>43</v>
      </c>
      <c r="G631" t="str">
        <f>"2026-04-08 14:04:21.175"</f>
        <v>2026-04-08 14:04:21.175</v>
      </c>
      <c r="H631" t="s">
        <v>21</v>
      </c>
      <c r="I631">
        <v>0</v>
      </c>
      <c r="J631" t="s">
        <v>33</v>
      </c>
    </row>
    <row r="632" spans="1:10" x14ac:dyDescent="0.25">
      <c r="A632" s="1">
        <v>43</v>
      </c>
      <c r="B632" t="s">
        <v>34</v>
      </c>
      <c r="C632">
        <v>115</v>
      </c>
      <c r="D632">
        <v>6</v>
      </c>
      <c r="E632" t="s">
        <v>44</v>
      </c>
      <c r="F632" t="s">
        <v>43</v>
      </c>
      <c r="G632" t="str">
        <f>"2026-04-08 14:04:21.171"</f>
        <v>2026-04-08 14:04:21.171</v>
      </c>
      <c r="H632" t="s">
        <v>21</v>
      </c>
      <c r="I632">
        <v>0</v>
      </c>
      <c r="J632" t="s">
        <v>33</v>
      </c>
    </row>
    <row r="633" spans="1:10" x14ac:dyDescent="0.25">
      <c r="A633" s="1">
        <v>44</v>
      </c>
      <c r="B633" t="s">
        <v>22</v>
      </c>
      <c r="C633">
        <v>6</v>
      </c>
      <c r="D633">
        <v>1</v>
      </c>
      <c r="E633" t="s">
        <v>45</v>
      </c>
      <c r="F633" t="s">
        <v>46</v>
      </c>
      <c r="G633" t="str">
        <f>"2026-04-08 14:04:21.036"</f>
        <v>2026-04-08 14:04:21.036</v>
      </c>
      <c r="H633" t="s">
        <v>47</v>
      </c>
    </row>
    <row r="634" spans="1:10" x14ac:dyDescent="0.25">
      <c r="A634" s="1">
        <v>45</v>
      </c>
      <c r="B634" t="s">
        <v>22</v>
      </c>
      <c r="C634">
        <v>75</v>
      </c>
      <c r="D634">
        <v>1</v>
      </c>
      <c r="E634" t="s">
        <v>48</v>
      </c>
      <c r="F634" t="s">
        <v>49</v>
      </c>
      <c r="G634" t="str">
        <f>"2026-04-08 14:04:21.033"</f>
        <v>2026-04-08 14:04:21.033</v>
      </c>
      <c r="H634" t="s">
        <v>50</v>
      </c>
    </row>
    <row r="635" spans="1:10" x14ac:dyDescent="0.25">
      <c r="A635" s="1">
        <v>46</v>
      </c>
      <c r="B635" t="s">
        <v>22</v>
      </c>
      <c r="C635">
        <v>74</v>
      </c>
      <c r="D635">
        <v>1</v>
      </c>
      <c r="E635" t="s">
        <v>51</v>
      </c>
      <c r="F635" t="s">
        <v>52</v>
      </c>
      <c r="G635" t="str">
        <f>"2026-04-08 14:04:21.030"</f>
        <v>2026-04-08 14:04:21.030</v>
      </c>
      <c r="H635" t="s">
        <v>53</v>
      </c>
    </row>
    <row r="636" spans="1:10" x14ac:dyDescent="0.25">
      <c r="A636" s="1">
        <v>47</v>
      </c>
      <c r="B636" t="s">
        <v>25</v>
      </c>
      <c r="C636">
        <v>75</v>
      </c>
      <c r="D636">
        <v>1</v>
      </c>
      <c r="E636" t="s">
        <v>48</v>
      </c>
      <c r="F636" t="s">
        <v>49</v>
      </c>
      <c r="G636" t="str">
        <f>"2026-04-08 14:04:09.588"</f>
        <v>2026-04-08 14:04:09.588</v>
      </c>
      <c r="H636" t="s">
        <v>50</v>
      </c>
      <c r="I636">
        <v>0</v>
      </c>
      <c r="J636" t="s">
        <v>33</v>
      </c>
    </row>
    <row r="637" spans="1:10" x14ac:dyDescent="0.25">
      <c r="A637" s="1">
        <v>48</v>
      </c>
      <c r="B637" t="s">
        <v>25</v>
      </c>
      <c r="C637">
        <v>74</v>
      </c>
      <c r="D637">
        <v>1</v>
      </c>
      <c r="E637" t="s">
        <v>51</v>
      </c>
      <c r="F637" t="s">
        <v>52</v>
      </c>
      <c r="G637" t="str">
        <f>"2026-04-08 14:04:09.583"</f>
        <v>2026-04-08 14:04:09.583</v>
      </c>
      <c r="H637" t="s">
        <v>53</v>
      </c>
      <c r="I637">
        <v>0</v>
      </c>
      <c r="J637" t="s">
        <v>33</v>
      </c>
    </row>
    <row r="638" spans="1:10" x14ac:dyDescent="0.25">
      <c r="A638" s="1">
        <v>49</v>
      </c>
      <c r="B638" t="s">
        <v>34</v>
      </c>
      <c r="C638">
        <v>6</v>
      </c>
      <c r="D638">
        <v>1</v>
      </c>
      <c r="E638" t="s">
        <v>45</v>
      </c>
      <c r="F638" t="s">
        <v>46</v>
      </c>
      <c r="G638" t="str">
        <f>"2026-04-08 14:04:09.578"</f>
        <v>2026-04-08 14:04:09.578</v>
      </c>
      <c r="H638" t="s">
        <v>47</v>
      </c>
      <c r="I638">
        <v>0</v>
      </c>
      <c r="J638" t="s">
        <v>33</v>
      </c>
    </row>
    <row r="639" spans="1:10" x14ac:dyDescent="0.25">
      <c r="A639" s="1">
        <v>54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"2026-04-08 10:54:28.979"</f>
        <v>2026-04-08 10:54:28.979</v>
      </c>
      <c r="H639" t="s">
        <v>21</v>
      </c>
    </row>
    <row r="640" spans="1:10" x14ac:dyDescent="0.25">
      <c r="A640" s="1">
        <v>55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"2026-04-07 10:45:34.997"</f>
        <v>2026-04-07 10:45:34.997</v>
      </c>
      <c r="H640" t="s">
        <v>21</v>
      </c>
      <c r="I640">
        <v>0</v>
      </c>
      <c r="J640" t="s">
        <v>27</v>
      </c>
    </row>
    <row r="641" spans="1:10" x14ac:dyDescent="0.25">
      <c r="A641" s="1">
        <v>56</v>
      </c>
      <c r="B641" t="s">
        <v>22</v>
      </c>
      <c r="C641">
        <v>635</v>
      </c>
      <c r="D641">
        <v>1</v>
      </c>
      <c r="E641" t="s">
        <v>23</v>
      </c>
      <c r="F641" t="s">
        <v>24</v>
      </c>
      <c r="G641" t="str">
        <f>"2026-04-07 04:06:50.195"</f>
        <v>2026-04-07 04:06:50.195</v>
      </c>
      <c r="H641" t="s">
        <v>21</v>
      </c>
    </row>
    <row r="642" spans="1:10" x14ac:dyDescent="0.25">
      <c r="A642" s="1">
        <v>57</v>
      </c>
      <c r="B642" t="s">
        <v>25</v>
      </c>
      <c r="C642">
        <v>635</v>
      </c>
      <c r="D642">
        <v>1</v>
      </c>
      <c r="E642" t="s">
        <v>23</v>
      </c>
      <c r="F642" t="s">
        <v>24</v>
      </c>
      <c r="G642" t="str">
        <f>"2026-04-07 04:02:57.795"</f>
        <v>2026-04-07 04:02:57.795</v>
      </c>
      <c r="H642" t="s">
        <v>21</v>
      </c>
      <c r="I642">
        <v>3.85</v>
      </c>
      <c r="J642" t="s">
        <v>36</v>
      </c>
    </row>
    <row r="643" spans="1:10" x14ac:dyDescent="0.25">
      <c r="A643" s="1">
        <v>58</v>
      </c>
      <c r="B643" t="s">
        <v>19</v>
      </c>
      <c r="C643">
        <v>706</v>
      </c>
      <c r="D643">
        <v>2</v>
      </c>
      <c r="E643" t="s">
        <v>31</v>
      </c>
      <c r="F643" t="s">
        <v>35</v>
      </c>
      <c r="G643" t="str">
        <f>"2026-04-07 01:47:27.544"</f>
        <v>2026-04-07 01:47:27.544</v>
      </c>
      <c r="H643" t="s">
        <v>21</v>
      </c>
      <c r="I643">
        <v>0</v>
      </c>
      <c r="J643" t="s">
        <v>33</v>
      </c>
    </row>
    <row r="644" spans="1:10" x14ac:dyDescent="0.25">
      <c r="A644" s="1">
        <v>59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"2026-04-07 01:46:44.964"</f>
        <v>2026-04-07 01:46:44.964</v>
      </c>
      <c r="H644" t="s">
        <v>21</v>
      </c>
    </row>
    <row r="645" spans="1:10" x14ac:dyDescent="0.25">
      <c r="A645" s="1">
        <v>60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"2026-04-05 09:28:23.088"</f>
        <v>2026-04-05 09:28:23.088</v>
      </c>
      <c r="H645" t="s">
        <v>21</v>
      </c>
      <c r="I645">
        <v>0</v>
      </c>
      <c r="J645" t="s">
        <v>27</v>
      </c>
    </row>
    <row r="646" spans="1:10" x14ac:dyDescent="0.25">
      <c r="A646" s="1">
        <v>61</v>
      </c>
      <c r="B646" t="s">
        <v>19</v>
      </c>
      <c r="C646">
        <v>706</v>
      </c>
      <c r="D646">
        <v>4</v>
      </c>
      <c r="E646" t="s">
        <v>31</v>
      </c>
      <c r="F646" t="s">
        <v>32</v>
      </c>
      <c r="G646" t="str">
        <f>"2026-04-04 21:48:38.648"</f>
        <v>2026-04-04 21:48:38.648</v>
      </c>
      <c r="H646" t="s">
        <v>21</v>
      </c>
      <c r="I646">
        <v>0</v>
      </c>
      <c r="J646" t="s">
        <v>33</v>
      </c>
    </row>
    <row r="647" spans="1:10" x14ac:dyDescent="0.25">
      <c r="A647" s="1">
        <v>62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"2026-04-04 21:47:20.998"</f>
        <v>2026-04-04 21:47:20.998</v>
      </c>
      <c r="H647" t="s">
        <v>21</v>
      </c>
      <c r="I647">
        <v>0</v>
      </c>
      <c r="J647" t="s">
        <v>27</v>
      </c>
    </row>
    <row r="648" spans="1:10" x14ac:dyDescent="0.25">
      <c r="A648" s="1">
        <v>63</v>
      </c>
      <c r="B648" t="s">
        <v>22</v>
      </c>
      <c r="C648">
        <v>630</v>
      </c>
      <c r="D648">
        <v>5</v>
      </c>
      <c r="E648" t="s">
        <v>28</v>
      </c>
      <c r="F648" t="s">
        <v>29</v>
      </c>
      <c r="G648" t="str">
        <f>"2026-04-02 20:05:38.615"</f>
        <v>2026-04-02 20:05:38.615</v>
      </c>
      <c r="H648" t="s">
        <v>30</v>
      </c>
    </row>
    <row r="649" spans="1:10" x14ac:dyDescent="0.25">
      <c r="A649" s="1">
        <v>64</v>
      </c>
      <c r="B649" t="s">
        <v>19</v>
      </c>
      <c r="C649">
        <v>706</v>
      </c>
      <c r="D649">
        <v>2</v>
      </c>
      <c r="E649" t="s">
        <v>31</v>
      </c>
      <c r="F649" t="s">
        <v>35</v>
      </c>
      <c r="G649" t="str">
        <f>"2026-04-02 20:05:08.460"</f>
        <v>2026-04-02 20:05:08.460</v>
      </c>
      <c r="H649" t="s">
        <v>21</v>
      </c>
      <c r="I649">
        <v>0</v>
      </c>
      <c r="J649" t="s">
        <v>33</v>
      </c>
    </row>
    <row r="650" spans="1:10" x14ac:dyDescent="0.25">
      <c r="A650" s="1">
        <v>65</v>
      </c>
      <c r="B650" t="s">
        <v>34</v>
      </c>
      <c r="C650">
        <v>630</v>
      </c>
      <c r="D650">
        <v>5</v>
      </c>
      <c r="E650" t="s">
        <v>28</v>
      </c>
      <c r="F650" t="s">
        <v>29</v>
      </c>
      <c r="G650" t="str">
        <f>"2026-04-02 19:55:16.215"</f>
        <v>2026-04-02 19:55:16.215</v>
      </c>
      <c r="H650" t="s">
        <v>30</v>
      </c>
      <c r="I650">
        <v>0</v>
      </c>
      <c r="J650" t="s">
        <v>33</v>
      </c>
    </row>
    <row r="651" spans="1:10" x14ac:dyDescent="0.25">
      <c r="A651" s="1">
        <v>66</v>
      </c>
      <c r="B651" t="s">
        <v>19</v>
      </c>
      <c r="C651">
        <v>706</v>
      </c>
      <c r="D651">
        <v>2</v>
      </c>
      <c r="E651" t="s">
        <v>31</v>
      </c>
      <c r="F651" t="s">
        <v>35</v>
      </c>
      <c r="G651" t="str">
        <f>"2026-04-02 13:38:05.160"</f>
        <v>2026-04-02 13:38:05.160</v>
      </c>
      <c r="H651" t="s">
        <v>21</v>
      </c>
      <c r="I651">
        <v>0</v>
      </c>
      <c r="J651" t="s">
        <v>33</v>
      </c>
    </row>
    <row r="652" spans="1:10" x14ac:dyDescent="0.25">
      <c r="A652" s="1">
        <v>67</v>
      </c>
      <c r="B652" t="s">
        <v>22</v>
      </c>
      <c r="C652">
        <v>635</v>
      </c>
      <c r="D652">
        <v>1</v>
      </c>
      <c r="E652" t="s">
        <v>23</v>
      </c>
      <c r="F652" t="s">
        <v>24</v>
      </c>
      <c r="G652" t="str">
        <f>"2026-04-01 10:54:25.714"</f>
        <v>2026-04-01 10:54:25.714</v>
      </c>
      <c r="H652" t="s">
        <v>21</v>
      </c>
    </row>
    <row r="653" spans="1:10" x14ac:dyDescent="0.25">
      <c r="A653" s="1">
        <v>68</v>
      </c>
      <c r="B653" t="s">
        <v>25</v>
      </c>
      <c r="C653">
        <v>635</v>
      </c>
      <c r="D653">
        <v>1</v>
      </c>
      <c r="E653" t="s">
        <v>23</v>
      </c>
      <c r="F653" t="s">
        <v>24</v>
      </c>
      <c r="G653" t="str">
        <f>"2026-04-01 10:46:52.214"</f>
        <v>2026-04-01 10:46:52.214</v>
      </c>
      <c r="H653" t="s">
        <v>21</v>
      </c>
      <c r="I653">
        <v>-0.02</v>
      </c>
      <c r="J653" t="s">
        <v>26</v>
      </c>
    </row>
    <row r="654" spans="1:10" x14ac:dyDescent="0.25">
      <c r="A654" s="1">
        <v>69</v>
      </c>
      <c r="B654" t="s">
        <v>22</v>
      </c>
      <c r="C654">
        <v>61</v>
      </c>
      <c r="D654">
        <v>2</v>
      </c>
      <c r="E654" t="s">
        <v>58</v>
      </c>
      <c r="F654" t="s">
        <v>59</v>
      </c>
      <c r="G654" t="str">
        <f>"2026-03-31 20:15:34.715"</f>
        <v>2026-03-31 20:15:34.715</v>
      </c>
      <c r="H654" t="s">
        <v>21</v>
      </c>
    </row>
    <row r="655" spans="1:10" x14ac:dyDescent="0.25">
      <c r="A655" s="1">
        <v>70</v>
      </c>
      <c r="B655" t="s">
        <v>34</v>
      </c>
      <c r="C655">
        <v>61</v>
      </c>
      <c r="D655">
        <v>2</v>
      </c>
      <c r="E655" t="s">
        <v>58</v>
      </c>
      <c r="F655" t="s">
        <v>59</v>
      </c>
      <c r="G655" t="str">
        <f>"2026-03-31 20:15:25.615"</f>
        <v>2026-03-31 20:15:25.615</v>
      </c>
      <c r="H655" t="s">
        <v>21</v>
      </c>
      <c r="I655">
        <v>35.840000000000003</v>
      </c>
      <c r="J655" t="s">
        <v>37</v>
      </c>
    </row>
    <row r="656" spans="1:10" x14ac:dyDescent="0.25">
      <c r="A656" s="1">
        <v>71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"2026-03-30 14:43:50.960"</f>
        <v>2026-03-30 14:43:50.960</v>
      </c>
      <c r="H656" t="s">
        <v>21</v>
      </c>
    </row>
    <row r="657" spans="1:10" x14ac:dyDescent="0.25">
      <c r="A657" s="1">
        <v>72</v>
      </c>
      <c r="B657" t="s">
        <v>19</v>
      </c>
      <c r="C657">
        <v>706</v>
      </c>
      <c r="D657">
        <v>4</v>
      </c>
      <c r="E657" t="s">
        <v>31</v>
      </c>
      <c r="F657" t="s">
        <v>32</v>
      </c>
      <c r="G657" t="str">
        <f>"2026-03-30 14:01:17.647"</f>
        <v>2026-03-30 14:01:17.647</v>
      </c>
      <c r="H657" t="s">
        <v>21</v>
      </c>
      <c r="I657">
        <v>0</v>
      </c>
      <c r="J657" t="s">
        <v>33</v>
      </c>
    </row>
    <row r="658" spans="1:10" x14ac:dyDescent="0.25">
      <c r="A658" s="1">
        <v>73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"2026-03-30 13:56:31.967"</f>
        <v>2026-03-30 13:56:31.967</v>
      </c>
      <c r="H658" t="s">
        <v>21</v>
      </c>
      <c r="I658">
        <v>0</v>
      </c>
      <c r="J658" t="s">
        <v>27</v>
      </c>
    </row>
    <row r="659" spans="1:10" x14ac:dyDescent="0.25">
      <c r="A659" s="1">
        <v>74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"2026-03-30 09:24:56.973"</f>
        <v>2026-03-30 09:24:56.973</v>
      </c>
      <c r="H659" t="s">
        <v>21</v>
      </c>
      <c r="I659">
        <v>0</v>
      </c>
      <c r="J659" t="s">
        <v>27</v>
      </c>
    </row>
    <row r="660" spans="1:10" x14ac:dyDescent="0.25">
      <c r="A660" s="1">
        <v>75</v>
      </c>
      <c r="B660" t="s">
        <v>22</v>
      </c>
      <c r="C660">
        <v>635</v>
      </c>
      <c r="D660">
        <v>1</v>
      </c>
      <c r="E660" t="s">
        <v>23</v>
      </c>
      <c r="F660" t="s">
        <v>24</v>
      </c>
      <c r="G660" t="str">
        <f>"2026-03-28 01:53:09.619"</f>
        <v>2026-03-28 01:53:09.619</v>
      </c>
      <c r="H660" t="s">
        <v>21</v>
      </c>
    </row>
    <row r="661" spans="1:10" x14ac:dyDescent="0.25">
      <c r="A661" s="1">
        <v>76</v>
      </c>
      <c r="B661" t="s">
        <v>25</v>
      </c>
      <c r="C661">
        <v>635</v>
      </c>
      <c r="D661">
        <v>1</v>
      </c>
      <c r="E661" t="s">
        <v>23</v>
      </c>
      <c r="F661" t="s">
        <v>24</v>
      </c>
      <c r="G661" t="str">
        <f>"2026-03-28 01:48:22.619"</f>
        <v>2026-03-28 01:48:22.619</v>
      </c>
      <c r="H661" t="s">
        <v>21</v>
      </c>
      <c r="I661">
        <v>5.96</v>
      </c>
      <c r="J661" t="s">
        <v>37</v>
      </c>
    </row>
    <row r="662" spans="1:10" x14ac:dyDescent="0.25">
      <c r="A662" s="1">
        <v>77</v>
      </c>
      <c r="B662" t="s">
        <v>22</v>
      </c>
      <c r="C662">
        <v>635</v>
      </c>
      <c r="D662">
        <v>1</v>
      </c>
      <c r="E662" t="s">
        <v>23</v>
      </c>
      <c r="F662" t="s">
        <v>24</v>
      </c>
      <c r="G662" t="str">
        <f>"2026-03-27 17:39:52.919"</f>
        <v>2026-03-27 17:39:52.919</v>
      </c>
      <c r="H662" t="s">
        <v>21</v>
      </c>
    </row>
    <row r="663" spans="1:10" x14ac:dyDescent="0.25">
      <c r="A663" s="1">
        <v>78</v>
      </c>
      <c r="B663" t="s">
        <v>25</v>
      </c>
      <c r="C663">
        <v>635</v>
      </c>
      <c r="D663">
        <v>1</v>
      </c>
      <c r="E663" t="s">
        <v>23</v>
      </c>
      <c r="F663" t="s">
        <v>24</v>
      </c>
      <c r="G663" t="str">
        <f>"2026-03-27 17:37:24.419"</f>
        <v>2026-03-27 17:37:24.419</v>
      </c>
      <c r="H663" t="s">
        <v>21</v>
      </c>
      <c r="I663">
        <v>5.14</v>
      </c>
      <c r="J663" t="s">
        <v>26</v>
      </c>
    </row>
    <row r="664" spans="1:10" x14ac:dyDescent="0.25">
      <c r="A664" s="1">
        <v>79</v>
      </c>
      <c r="B664" t="s">
        <v>19</v>
      </c>
      <c r="C664">
        <v>706</v>
      </c>
      <c r="D664">
        <v>2</v>
      </c>
      <c r="E664" t="s">
        <v>31</v>
      </c>
      <c r="F664" t="s">
        <v>35</v>
      </c>
      <c r="G664" t="str">
        <f>"2026-03-27 14:10:36.480"</f>
        <v>2026-03-27 14:10:36.480</v>
      </c>
      <c r="H664" t="s">
        <v>21</v>
      </c>
      <c r="I664">
        <v>0</v>
      </c>
      <c r="J664" t="s">
        <v>33</v>
      </c>
    </row>
    <row r="665" spans="1:10" x14ac:dyDescent="0.25">
      <c r="A665" s="1">
        <v>80</v>
      </c>
      <c r="B665" t="s">
        <v>19</v>
      </c>
      <c r="C665">
        <v>706</v>
      </c>
      <c r="D665">
        <v>4</v>
      </c>
      <c r="E665" t="s">
        <v>31</v>
      </c>
      <c r="F665" t="s">
        <v>32</v>
      </c>
      <c r="G665" t="str">
        <f>"2026-03-27 01:16:51.770"</f>
        <v>2026-03-27 01:16:51.770</v>
      </c>
      <c r="H665" t="s">
        <v>21</v>
      </c>
      <c r="I665">
        <v>0</v>
      </c>
      <c r="J665" t="s">
        <v>33</v>
      </c>
    </row>
    <row r="666" spans="1:10" x14ac:dyDescent="0.25">
      <c r="A666" s="1">
        <v>81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"2026-03-26 05:02:56.950"</f>
        <v>2026-03-26 05:02:56.950</v>
      </c>
      <c r="H666" t="s">
        <v>21</v>
      </c>
    </row>
    <row r="667" spans="1:10" x14ac:dyDescent="0.25">
      <c r="A667" s="1">
        <v>82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"2026-03-26 04:40:03.951"</f>
        <v>2026-03-26 04:40:03.951</v>
      </c>
      <c r="H667" t="s">
        <v>21</v>
      </c>
    </row>
    <row r="668" spans="1:10" x14ac:dyDescent="0.25">
      <c r="A668" s="1">
        <v>83</v>
      </c>
      <c r="B668" t="s">
        <v>19</v>
      </c>
      <c r="C668">
        <v>706</v>
      </c>
      <c r="D668">
        <v>4</v>
      </c>
      <c r="E668" t="s">
        <v>31</v>
      </c>
      <c r="F668" t="s">
        <v>32</v>
      </c>
      <c r="G668" t="str">
        <f>"2026-03-26 02:14:56.629"</f>
        <v>2026-03-26 02:14:56.629</v>
      </c>
      <c r="H668" t="s">
        <v>21</v>
      </c>
      <c r="I668">
        <v>0</v>
      </c>
      <c r="J668" t="s">
        <v>33</v>
      </c>
    </row>
    <row r="669" spans="1:10" x14ac:dyDescent="0.25">
      <c r="A669" s="1">
        <v>84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"2026-03-26 02:04:22.959"</f>
        <v>2026-03-26 02:04:22.959</v>
      </c>
      <c r="H669" t="s">
        <v>21</v>
      </c>
      <c r="I669">
        <v>0</v>
      </c>
      <c r="J669" t="s">
        <v>27</v>
      </c>
    </row>
    <row r="670" spans="1:10" x14ac:dyDescent="0.25">
      <c r="A670" s="1">
        <v>85</v>
      </c>
      <c r="B670" t="s">
        <v>19</v>
      </c>
      <c r="C670">
        <v>706</v>
      </c>
      <c r="D670">
        <v>4</v>
      </c>
      <c r="E670" t="s">
        <v>31</v>
      </c>
      <c r="F670" t="s">
        <v>32</v>
      </c>
      <c r="G670" t="str">
        <f>"2026-03-26 00:39:35.054"</f>
        <v>2026-03-26 00:39:35.054</v>
      </c>
      <c r="H670" t="s">
        <v>21</v>
      </c>
      <c r="I670">
        <v>0</v>
      </c>
      <c r="J670" t="s">
        <v>33</v>
      </c>
    </row>
    <row r="671" spans="1:10" x14ac:dyDescent="0.25">
      <c r="A671" s="1">
        <v>86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"2026-03-26 00:37:46.964"</f>
        <v>2026-03-26 00:37:46.964</v>
      </c>
      <c r="H671" t="s">
        <v>21</v>
      </c>
      <c r="I671">
        <v>0</v>
      </c>
      <c r="J671" t="s">
        <v>27</v>
      </c>
    </row>
    <row r="672" spans="1:10" x14ac:dyDescent="0.25">
      <c r="A672" s="1">
        <v>87</v>
      </c>
      <c r="B672" t="s">
        <v>19</v>
      </c>
      <c r="C672">
        <v>706</v>
      </c>
      <c r="D672">
        <v>4</v>
      </c>
      <c r="E672" t="s">
        <v>31</v>
      </c>
      <c r="F672" t="s">
        <v>32</v>
      </c>
      <c r="G672" t="str">
        <f>"2026-03-26 00:18:05.853"</f>
        <v>2026-03-26 00:18:05.853</v>
      </c>
      <c r="H672" t="s">
        <v>21</v>
      </c>
      <c r="I672">
        <v>0</v>
      </c>
      <c r="J672" t="s">
        <v>33</v>
      </c>
    </row>
    <row r="673" spans="1:10" x14ac:dyDescent="0.25">
      <c r="A673" s="1">
        <v>88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"2026-03-26 00:16:19.953"</f>
        <v>2026-03-26 00:16:19.953</v>
      </c>
      <c r="H673" t="s">
        <v>21</v>
      </c>
      <c r="I673">
        <v>0</v>
      </c>
      <c r="J673" t="s">
        <v>27</v>
      </c>
    </row>
    <row r="674" spans="1:10" x14ac:dyDescent="0.25">
      <c r="A674" s="1">
        <v>89</v>
      </c>
      <c r="B674" t="s">
        <v>19</v>
      </c>
      <c r="C674">
        <v>706</v>
      </c>
      <c r="D674">
        <v>4</v>
      </c>
      <c r="E674" t="s">
        <v>31</v>
      </c>
      <c r="F674" t="s">
        <v>32</v>
      </c>
      <c r="G674" t="str">
        <f>"2026-03-26 00:11:45.841"</f>
        <v>2026-03-26 00:11:45.841</v>
      </c>
      <c r="H674" t="s">
        <v>21</v>
      </c>
      <c r="I674">
        <v>0</v>
      </c>
      <c r="J674" t="s">
        <v>33</v>
      </c>
    </row>
    <row r="675" spans="1:10" x14ac:dyDescent="0.25">
      <c r="A675" s="1">
        <v>90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"2026-03-26 00:01:55.951"</f>
        <v>2026-03-26 00:01:55.951</v>
      </c>
      <c r="H675" t="s">
        <v>21</v>
      </c>
    </row>
    <row r="676" spans="1:10" x14ac:dyDescent="0.25">
      <c r="A676" s="1">
        <v>91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"2026-03-25 23:53:31.962"</f>
        <v>2026-03-25 23:53:31.962</v>
      </c>
      <c r="H676" t="s">
        <v>21</v>
      </c>
    </row>
    <row r="677" spans="1:10" x14ac:dyDescent="0.25">
      <c r="A677" s="1">
        <v>92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"2026-03-25 23:35:06.959"</f>
        <v>2026-03-25 23:35:06.959</v>
      </c>
      <c r="H677" t="s">
        <v>21</v>
      </c>
      <c r="I677">
        <v>0</v>
      </c>
      <c r="J677" t="s">
        <v>27</v>
      </c>
    </row>
    <row r="678" spans="1:10" x14ac:dyDescent="0.25">
      <c r="A678" s="1">
        <v>93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"2026-03-25 23:03:17.957"</f>
        <v>2026-03-25 23:03:17.957</v>
      </c>
      <c r="H678" t="s">
        <v>21</v>
      </c>
      <c r="I678">
        <v>0</v>
      </c>
      <c r="J678" t="s">
        <v>27</v>
      </c>
    </row>
    <row r="679" spans="1:10" x14ac:dyDescent="0.25">
      <c r="A679" s="1">
        <v>94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"2026-03-25 23:00:20.966"</f>
        <v>2026-03-25 23:00:20.966</v>
      </c>
      <c r="H679" t="s">
        <v>21</v>
      </c>
    </row>
    <row r="680" spans="1:10" x14ac:dyDescent="0.25">
      <c r="A680" s="1">
        <v>95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"2026-03-25 22:21:47.962"</f>
        <v>2026-03-25 22:21:47.962</v>
      </c>
      <c r="H680" t="s">
        <v>21</v>
      </c>
      <c r="I680">
        <v>0</v>
      </c>
      <c r="J680" t="s">
        <v>27</v>
      </c>
    </row>
    <row r="681" spans="1:10" x14ac:dyDescent="0.25">
      <c r="A681" s="1">
        <v>96</v>
      </c>
      <c r="B681" t="s">
        <v>19</v>
      </c>
      <c r="C681">
        <v>706</v>
      </c>
      <c r="D681">
        <v>4</v>
      </c>
      <c r="E681" t="s">
        <v>31</v>
      </c>
      <c r="F681" t="s">
        <v>32</v>
      </c>
      <c r="G681" t="str">
        <f>"2026-03-25 22:13:02.975"</f>
        <v>2026-03-25 22:13:02.975</v>
      </c>
      <c r="H681" t="s">
        <v>21</v>
      </c>
      <c r="I681">
        <v>0</v>
      </c>
      <c r="J681" t="s">
        <v>33</v>
      </c>
    </row>
    <row r="682" spans="1:10" x14ac:dyDescent="0.25">
      <c r="A682" s="1">
        <v>97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"2026-03-25 21:38:21.955"</f>
        <v>2026-03-25 21:38:21.955</v>
      </c>
      <c r="H682" t="s">
        <v>21</v>
      </c>
    </row>
    <row r="683" spans="1:10" x14ac:dyDescent="0.25">
      <c r="A683" s="1">
        <v>98</v>
      </c>
      <c r="B683" t="s">
        <v>19</v>
      </c>
      <c r="C683">
        <v>706</v>
      </c>
      <c r="D683">
        <v>2</v>
      </c>
      <c r="E683" t="s">
        <v>31</v>
      </c>
      <c r="F683" t="s">
        <v>35</v>
      </c>
      <c r="G683" t="str">
        <f>"2026-03-25 21:02:25.679"</f>
        <v>2026-03-25 21:02:25.679</v>
      </c>
      <c r="H683" t="s">
        <v>21</v>
      </c>
      <c r="I683">
        <v>0</v>
      </c>
      <c r="J683" t="s">
        <v>33</v>
      </c>
    </row>
    <row r="684" spans="1:10" x14ac:dyDescent="0.25">
      <c r="A684" s="1">
        <v>99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"2026-03-25 21:02:09.969"</f>
        <v>2026-03-25 21:02:09.969</v>
      </c>
      <c r="H684" t="s">
        <v>21</v>
      </c>
    </row>
    <row r="685" spans="1:10" x14ac:dyDescent="0.25">
      <c r="A685" s="1">
        <v>0</v>
      </c>
      <c r="B685" t="s">
        <v>19</v>
      </c>
      <c r="C685">
        <v>706</v>
      </c>
      <c r="D685">
        <v>4</v>
      </c>
      <c r="E685" t="s">
        <v>31</v>
      </c>
      <c r="F685" t="s">
        <v>32</v>
      </c>
      <c r="G685" t="str">
        <f>"2026-03-25 19:35:38.120"</f>
        <v>2026-03-25 19:35:38.120</v>
      </c>
      <c r="H685" t="s">
        <v>21</v>
      </c>
      <c r="I685">
        <v>0</v>
      </c>
      <c r="J685" t="s">
        <v>33</v>
      </c>
    </row>
    <row r="686" spans="1:10" x14ac:dyDescent="0.25">
      <c r="A686" s="1">
        <v>1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"2026-03-25 19:20:59.960"</f>
        <v>2026-03-25 19:20:59.960</v>
      </c>
      <c r="H686" t="s">
        <v>21</v>
      </c>
    </row>
    <row r="687" spans="1:10" x14ac:dyDescent="0.25">
      <c r="A687" s="1">
        <v>2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"2026-03-25 18:23:48.952"</f>
        <v>2026-03-25 18:23:48.952</v>
      </c>
      <c r="H687" t="s">
        <v>21</v>
      </c>
      <c r="I687">
        <v>0</v>
      </c>
      <c r="J687" t="s">
        <v>27</v>
      </c>
    </row>
    <row r="688" spans="1:10" x14ac:dyDescent="0.25">
      <c r="A688" s="1">
        <v>3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"2026-03-25 18:18:30.957"</f>
        <v>2026-03-25 18:18:30.957</v>
      </c>
      <c r="H688" t="s">
        <v>21</v>
      </c>
    </row>
    <row r="689" spans="1:10" x14ac:dyDescent="0.25">
      <c r="A689" s="1">
        <v>4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"2026-03-25 17:23:17.954"</f>
        <v>2026-03-25 17:23:17.954</v>
      </c>
      <c r="H689" t="s">
        <v>21</v>
      </c>
    </row>
    <row r="690" spans="1:10" x14ac:dyDescent="0.25">
      <c r="A690" s="1">
        <v>5</v>
      </c>
      <c r="B690" t="s">
        <v>19</v>
      </c>
      <c r="C690">
        <v>706</v>
      </c>
      <c r="D690">
        <v>2</v>
      </c>
      <c r="E690" t="s">
        <v>31</v>
      </c>
      <c r="F690" t="s">
        <v>35</v>
      </c>
      <c r="G690" t="str">
        <f>"2026-03-25 17:03:53.751"</f>
        <v>2026-03-25 17:03:53.751</v>
      </c>
      <c r="H690" t="s">
        <v>21</v>
      </c>
      <c r="I690">
        <v>0</v>
      </c>
      <c r="J690" t="s">
        <v>33</v>
      </c>
    </row>
    <row r="691" spans="1:10" x14ac:dyDescent="0.25">
      <c r="A691" s="1">
        <v>6</v>
      </c>
      <c r="B691" t="s">
        <v>19</v>
      </c>
      <c r="C691">
        <v>706</v>
      </c>
      <c r="D691">
        <v>2</v>
      </c>
      <c r="E691" t="s">
        <v>31</v>
      </c>
      <c r="F691" t="s">
        <v>35</v>
      </c>
      <c r="G691" t="str">
        <f>"2026-03-25 16:30:17.051"</f>
        <v>2026-03-25 16:30:17.051</v>
      </c>
      <c r="H691" t="s">
        <v>21</v>
      </c>
      <c r="I691">
        <v>0</v>
      </c>
      <c r="J691" t="s">
        <v>33</v>
      </c>
    </row>
    <row r="692" spans="1:10" x14ac:dyDescent="0.25">
      <c r="A692" s="1">
        <v>7</v>
      </c>
      <c r="B692" t="s">
        <v>19</v>
      </c>
      <c r="C692">
        <v>706</v>
      </c>
      <c r="D692">
        <v>4</v>
      </c>
      <c r="E692" t="s">
        <v>31</v>
      </c>
      <c r="F692" t="s">
        <v>32</v>
      </c>
      <c r="G692" t="str">
        <f>"2026-03-25 15:57:02.021"</f>
        <v>2026-03-25 15:57:02.021</v>
      </c>
      <c r="H692" t="s">
        <v>21</v>
      </c>
      <c r="I692">
        <v>0</v>
      </c>
      <c r="J692" t="s">
        <v>33</v>
      </c>
    </row>
    <row r="693" spans="1:10" x14ac:dyDescent="0.25">
      <c r="A693" s="1">
        <v>8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"2026-03-25 15:48:45.961"</f>
        <v>2026-03-25 15:48:45.961</v>
      </c>
      <c r="H693" t="s">
        <v>21</v>
      </c>
      <c r="I693">
        <v>0</v>
      </c>
      <c r="J693" t="s">
        <v>27</v>
      </c>
    </row>
    <row r="694" spans="1:10" x14ac:dyDescent="0.25">
      <c r="A694" s="1">
        <v>9</v>
      </c>
      <c r="B694" t="s">
        <v>19</v>
      </c>
      <c r="C694">
        <v>706</v>
      </c>
      <c r="D694">
        <v>2</v>
      </c>
      <c r="E694" t="s">
        <v>31</v>
      </c>
      <c r="F694" t="s">
        <v>35</v>
      </c>
      <c r="G694" t="str">
        <f>"2026-03-25 15:24:03.851"</f>
        <v>2026-03-25 15:24:03.851</v>
      </c>
      <c r="H694" t="s">
        <v>21</v>
      </c>
      <c r="I694">
        <v>0</v>
      </c>
      <c r="J694" t="s">
        <v>33</v>
      </c>
    </row>
    <row r="695" spans="1:10" x14ac:dyDescent="0.25">
      <c r="A695" s="1">
        <v>10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"2026-03-25 14:47:08.041"</f>
        <v>2026-03-25 14:47:08.041</v>
      </c>
      <c r="H695" t="s">
        <v>21</v>
      </c>
      <c r="I695">
        <v>0</v>
      </c>
      <c r="J695" t="s">
        <v>27</v>
      </c>
    </row>
    <row r="696" spans="1:10" x14ac:dyDescent="0.25">
      <c r="A696" s="1">
        <v>11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"2026-03-25 14:24:51.967"</f>
        <v>2026-03-25 14:24:51.967</v>
      </c>
      <c r="H696" t="s">
        <v>21</v>
      </c>
      <c r="I696">
        <v>0</v>
      </c>
      <c r="J696" t="s">
        <v>27</v>
      </c>
    </row>
    <row r="697" spans="1:10" x14ac:dyDescent="0.25">
      <c r="A697" s="1">
        <v>12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"2026-03-25 13:49:44.972"</f>
        <v>2026-03-25 13:49:44.972</v>
      </c>
      <c r="H697" t="s">
        <v>21</v>
      </c>
    </row>
    <row r="698" spans="1:10" x14ac:dyDescent="0.25">
      <c r="A698" s="1">
        <v>13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"2026-03-25 13:20:58.056"</f>
        <v>2026-03-25 13:20:58.056</v>
      </c>
      <c r="H698" t="s">
        <v>21</v>
      </c>
      <c r="I698">
        <v>0</v>
      </c>
      <c r="J698" t="s">
        <v>27</v>
      </c>
    </row>
    <row r="699" spans="1:10" x14ac:dyDescent="0.25">
      <c r="A699" s="1">
        <v>14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"2026-03-25 12:20:44.971"</f>
        <v>2026-03-25 12:20:44.971</v>
      </c>
      <c r="H699" t="s">
        <v>21</v>
      </c>
      <c r="I699">
        <v>0</v>
      </c>
      <c r="J699" t="s">
        <v>27</v>
      </c>
    </row>
    <row r="700" spans="1:10" x14ac:dyDescent="0.25">
      <c r="A700" s="1">
        <v>15</v>
      </c>
      <c r="B700" t="s">
        <v>19</v>
      </c>
      <c r="C700">
        <v>706</v>
      </c>
      <c r="D700">
        <v>4</v>
      </c>
      <c r="E700" t="s">
        <v>31</v>
      </c>
      <c r="F700" t="s">
        <v>32</v>
      </c>
      <c r="G700" t="str">
        <f>"2026-03-25 11:51:20.560"</f>
        <v>2026-03-25 11:51:20.560</v>
      </c>
      <c r="H700" t="s">
        <v>21</v>
      </c>
      <c r="I700">
        <v>0</v>
      </c>
      <c r="J700" t="s">
        <v>33</v>
      </c>
    </row>
    <row r="701" spans="1:10" x14ac:dyDescent="0.25">
      <c r="A701" s="1">
        <v>16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"2026-03-25 11:51:05.980"</f>
        <v>2026-03-25 11:51:05.980</v>
      </c>
      <c r="H701" t="s">
        <v>21</v>
      </c>
      <c r="I701">
        <v>0</v>
      </c>
      <c r="J701" t="s">
        <v>27</v>
      </c>
    </row>
    <row r="702" spans="1:10" x14ac:dyDescent="0.25">
      <c r="A702" s="1">
        <v>17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"2026-03-25 11:25:55.040"</f>
        <v>2026-03-25 11:25:55.040</v>
      </c>
      <c r="H702" t="s">
        <v>21</v>
      </c>
    </row>
    <row r="703" spans="1:10" x14ac:dyDescent="0.25">
      <c r="A703" s="1">
        <v>18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"2026-03-25 10:59:36.064"</f>
        <v>2026-03-25 10:59:36.064</v>
      </c>
      <c r="H703" t="s">
        <v>21</v>
      </c>
    </row>
    <row r="704" spans="1:10" x14ac:dyDescent="0.25">
      <c r="A704" s="1">
        <v>19</v>
      </c>
      <c r="B704" t="s">
        <v>19</v>
      </c>
      <c r="C704">
        <v>706</v>
      </c>
      <c r="D704">
        <v>2</v>
      </c>
      <c r="E704" t="s">
        <v>31</v>
      </c>
      <c r="F704" t="s">
        <v>35</v>
      </c>
      <c r="G704" t="str">
        <f>"2026-03-25 10:34:19.321"</f>
        <v>2026-03-25 10:34:19.321</v>
      </c>
      <c r="H704" t="s">
        <v>21</v>
      </c>
      <c r="I704">
        <v>0</v>
      </c>
      <c r="J704" t="s">
        <v>33</v>
      </c>
    </row>
    <row r="705" spans="1:10" x14ac:dyDescent="0.25">
      <c r="A705" s="1">
        <v>20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"2026-03-25 10:32:26.061"</f>
        <v>2026-03-25 10:32:26.061</v>
      </c>
      <c r="H705" t="s">
        <v>21</v>
      </c>
      <c r="I705">
        <v>0</v>
      </c>
      <c r="J705" t="s">
        <v>27</v>
      </c>
    </row>
    <row r="706" spans="1:10" x14ac:dyDescent="0.25">
      <c r="A706" s="1">
        <v>21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"2026-03-25 09:32:20.970"</f>
        <v>2026-03-25 09:32:20.970</v>
      </c>
      <c r="H706" t="s">
        <v>21</v>
      </c>
    </row>
    <row r="707" spans="1:10" x14ac:dyDescent="0.25">
      <c r="A707" s="1">
        <v>22</v>
      </c>
      <c r="B707" t="s">
        <v>19</v>
      </c>
      <c r="C707">
        <v>706</v>
      </c>
      <c r="D707">
        <v>4</v>
      </c>
      <c r="E707" t="s">
        <v>31</v>
      </c>
      <c r="F707" t="s">
        <v>32</v>
      </c>
      <c r="G707" t="str">
        <f>"2026-03-25 08:26:58.865"</f>
        <v>2026-03-25 08:26:58.865</v>
      </c>
      <c r="H707" t="s">
        <v>21</v>
      </c>
      <c r="I707">
        <v>0</v>
      </c>
      <c r="J707" t="s">
        <v>33</v>
      </c>
    </row>
    <row r="708" spans="1:10" x14ac:dyDescent="0.25">
      <c r="A708" s="1">
        <v>23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"2026-03-25 08:24:21.065"</f>
        <v>2026-03-25 08:24:21.065</v>
      </c>
      <c r="H708" t="s">
        <v>21</v>
      </c>
    </row>
    <row r="709" spans="1:10" x14ac:dyDescent="0.25">
      <c r="A709" s="1">
        <v>24</v>
      </c>
      <c r="B709" t="s">
        <v>19</v>
      </c>
      <c r="C709">
        <v>706</v>
      </c>
      <c r="D709">
        <v>4</v>
      </c>
      <c r="E709" t="s">
        <v>31</v>
      </c>
      <c r="F709" t="s">
        <v>32</v>
      </c>
      <c r="G709" t="str">
        <f>"2026-03-25 04:51:48.045"</f>
        <v>2026-03-25 04:51:48.045</v>
      </c>
      <c r="H709" t="s">
        <v>21</v>
      </c>
      <c r="I709">
        <v>0</v>
      </c>
      <c r="J709" t="s">
        <v>33</v>
      </c>
    </row>
    <row r="710" spans="1:10" x14ac:dyDescent="0.25">
      <c r="A710" s="1">
        <v>25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"2026-03-25 04:51:24.965"</f>
        <v>2026-03-25 04:51:24.965</v>
      </c>
      <c r="H710" t="s">
        <v>21</v>
      </c>
      <c r="I710">
        <v>0</v>
      </c>
      <c r="J710" t="s">
        <v>27</v>
      </c>
    </row>
    <row r="711" spans="1:10" x14ac:dyDescent="0.25">
      <c r="A711" s="1">
        <v>26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"2026-03-25 02:31:13.953"</f>
        <v>2026-03-25 02:31:13.953</v>
      </c>
      <c r="H711" t="s">
        <v>21</v>
      </c>
    </row>
    <row r="712" spans="1:10" x14ac:dyDescent="0.25">
      <c r="A712" s="1">
        <v>27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"2026-03-25 02:30:04.970"</f>
        <v>2026-03-25 02:30:04.970</v>
      </c>
      <c r="H712" t="s">
        <v>21</v>
      </c>
      <c r="I712">
        <v>0</v>
      </c>
      <c r="J712" t="s">
        <v>27</v>
      </c>
    </row>
    <row r="713" spans="1:10" x14ac:dyDescent="0.25">
      <c r="A713" s="1">
        <v>28</v>
      </c>
      <c r="B713" t="s">
        <v>22</v>
      </c>
      <c r="C713">
        <v>631</v>
      </c>
      <c r="D713">
        <v>2</v>
      </c>
      <c r="E713" t="s">
        <v>62</v>
      </c>
      <c r="F713" t="s">
        <v>63</v>
      </c>
      <c r="G713" t="str">
        <f>"2026-03-25 01:54:43.352"</f>
        <v>2026-03-25 01:54:43.352</v>
      </c>
      <c r="H713" t="s">
        <v>21</v>
      </c>
    </row>
    <row r="714" spans="1:10" x14ac:dyDescent="0.25">
      <c r="A714" s="1">
        <v>29</v>
      </c>
      <c r="B714" t="s">
        <v>19</v>
      </c>
      <c r="C714">
        <v>706</v>
      </c>
      <c r="D714">
        <v>4</v>
      </c>
      <c r="E714" t="s">
        <v>31</v>
      </c>
      <c r="F714" t="s">
        <v>32</v>
      </c>
      <c r="G714" t="str">
        <f>"2026-03-25 01:50:27.964"</f>
        <v>2026-03-25 01:50:27.964</v>
      </c>
      <c r="H714" t="s">
        <v>21</v>
      </c>
      <c r="I714">
        <v>0</v>
      </c>
      <c r="J714" t="s">
        <v>33</v>
      </c>
    </row>
    <row r="715" spans="1:10" x14ac:dyDescent="0.25">
      <c r="A715" s="1">
        <v>30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"2026-03-25 01:50:07.964"</f>
        <v>2026-03-25 01:50:07.964</v>
      </c>
      <c r="H715" t="s">
        <v>21</v>
      </c>
    </row>
    <row r="716" spans="1:10" x14ac:dyDescent="0.25">
      <c r="A716" s="1">
        <v>31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"2026-03-24 23:54:46.950"</f>
        <v>2026-03-24 23:54:46.950</v>
      </c>
      <c r="H716" t="s">
        <v>21</v>
      </c>
      <c r="I716">
        <v>0</v>
      </c>
      <c r="J716" t="s">
        <v>27</v>
      </c>
    </row>
    <row r="717" spans="1:10" x14ac:dyDescent="0.25">
      <c r="A717" s="1">
        <v>32</v>
      </c>
      <c r="B717" t="s">
        <v>19</v>
      </c>
      <c r="C717">
        <v>706</v>
      </c>
      <c r="D717">
        <v>4</v>
      </c>
      <c r="E717" t="s">
        <v>31</v>
      </c>
      <c r="F717" t="s">
        <v>32</v>
      </c>
      <c r="G717" t="str">
        <f>"2026-03-24 23:48:58.828"</f>
        <v>2026-03-24 23:48:58.828</v>
      </c>
      <c r="H717" t="s">
        <v>21</v>
      </c>
      <c r="I717">
        <v>0</v>
      </c>
      <c r="J717" t="s">
        <v>33</v>
      </c>
    </row>
    <row r="718" spans="1:10" x14ac:dyDescent="0.25">
      <c r="A718" s="1">
        <v>33</v>
      </c>
      <c r="B718" t="s">
        <v>19</v>
      </c>
      <c r="C718">
        <v>706</v>
      </c>
      <c r="D718">
        <v>4</v>
      </c>
      <c r="E718" t="s">
        <v>31</v>
      </c>
      <c r="F718" t="s">
        <v>32</v>
      </c>
      <c r="G718" t="str">
        <f>"2026-03-24 23:37:30.848"</f>
        <v>2026-03-24 23:37:30.848</v>
      </c>
      <c r="H718" t="s">
        <v>21</v>
      </c>
      <c r="I718">
        <v>0</v>
      </c>
      <c r="J718" t="s">
        <v>33</v>
      </c>
    </row>
    <row r="719" spans="1:10" x14ac:dyDescent="0.25">
      <c r="A719" s="1">
        <v>34</v>
      </c>
      <c r="B719" t="s">
        <v>25</v>
      </c>
      <c r="C719">
        <v>631</v>
      </c>
      <c r="D719">
        <v>2</v>
      </c>
      <c r="E719" t="s">
        <v>62</v>
      </c>
      <c r="F719" t="s">
        <v>63</v>
      </c>
      <c r="G719" t="str">
        <f>"2026-03-24 23:37:10.269"</f>
        <v>2026-03-24 23:37:10.269</v>
      </c>
      <c r="H719" t="s">
        <v>21</v>
      </c>
      <c r="I719">
        <v>0</v>
      </c>
      <c r="J719" t="s">
        <v>33</v>
      </c>
    </row>
    <row r="720" spans="1:10" x14ac:dyDescent="0.25">
      <c r="A720" s="1">
        <v>35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"2026-03-24 23:36:56.958"</f>
        <v>2026-03-24 23:36:56.958</v>
      </c>
      <c r="H720" t="s">
        <v>21</v>
      </c>
    </row>
    <row r="721" spans="1:10" x14ac:dyDescent="0.25">
      <c r="A721" s="1">
        <v>36</v>
      </c>
      <c r="B721" t="s">
        <v>22</v>
      </c>
      <c r="C721">
        <v>630</v>
      </c>
      <c r="D721">
        <v>5</v>
      </c>
      <c r="E721" t="s">
        <v>28</v>
      </c>
      <c r="F721" t="s">
        <v>29</v>
      </c>
      <c r="G721" t="str">
        <f>"2026-03-24 22:50:08.894"</f>
        <v>2026-03-24 22:50:08.894</v>
      </c>
      <c r="H721" t="s">
        <v>30</v>
      </c>
    </row>
    <row r="722" spans="1:10" x14ac:dyDescent="0.25">
      <c r="A722" s="1">
        <v>37</v>
      </c>
      <c r="B722" t="s">
        <v>34</v>
      </c>
      <c r="C722">
        <v>630</v>
      </c>
      <c r="D722">
        <v>5</v>
      </c>
      <c r="E722" t="s">
        <v>28</v>
      </c>
      <c r="F722" t="s">
        <v>29</v>
      </c>
      <c r="G722" t="str">
        <f>"2026-03-24 22:49:23.395"</f>
        <v>2026-03-24 22:49:23.395</v>
      </c>
      <c r="H722" t="s">
        <v>30</v>
      </c>
      <c r="I722">
        <v>0</v>
      </c>
      <c r="J722" t="s">
        <v>33</v>
      </c>
    </row>
    <row r="723" spans="1:10" x14ac:dyDescent="0.25">
      <c r="A723" s="1">
        <v>38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"2026-03-24 10:39:57.955"</f>
        <v>2026-03-24 10:39:57.955</v>
      </c>
      <c r="H723" t="s">
        <v>21</v>
      </c>
      <c r="I723">
        <v>0</v>
      </c>
      <c r="J723" t="s">
        <v>27</v>
      </c>
    </row>
    <row r="724" spans="1:10" x14ac:dyDescent="0.25">
      <c r="A724" s="1">
        <v>39</v>
      </c>
      <c r="B724" t="s">
        <v>22</v>
      </c>
      <c r="C724">
        <v>630</v>
      </c>
      <c r="D724">
        <v>5</v>
      </c>
      <c r="E724" t="s">
        <v>28</v>
      </c>
      <c r="F724" t="s">
        <v>29</v>
      </c>
      <c r="G724" t="str">
        <f>"2026-03-23 22:40:05.722"</f>
        <v>2026-03-23 22:40:05.722</v>
      </c>
      <c r="H724" t="s">
        <v>30</v>
      </c>
    </row>
    <row r="725" spans="1:10" x14ac:dyDescent="0.25">
      <c r="A725" s="1">
        <v>40</v>
      </c>
      <c r="B725" t="s">
        <v>19</v>
      </c>
      <c r="C725">
        <v>706</v>
      </c>
      <c r="D725">
        <v>2</v>
      </c>
      <c r="E725" t="s">
        <v>31</v>
      </c>
      <c r="F725" t="s">
        <v>35</v>
      </c>
      <c r="G725" t="str">
        <f>"2026-03-23 22:39:35.557"</f>
        <v>2026-03-23 22:39:35.557</v>
      </c>
      <c r="H725" t="s">
        <v>21</v>
      </c>
      <c r="I725">
        <v>0</v>
      </c>
      <c r="J725" t="s">
        <v>33</v>
      </c>
    </row>
    <row r="726" spans="1:10" x14ac:dyDescent="0.25">
      <c r="A726" s="1">
        <v>41</v>
      </c>
      <c r="B726" t="s">
        <v>34</v>
      </c>
      <c r="C726">
        <v>630</v>
      </c>
      <c r="D726">
        <v>5</v>
      </c>
      <c r="E726" t="s">
        <v>28</v>
      </c>
      <c r="F726" t="s">
        <v>29</v>
      </c>
      <c r="G726" t="str">
        <f>"2026-03-23 22:31:03.822"</f>
        <v>2026-03-23 22:31:03.822</v>
      </c>
      <c r="H726" t="s">
        <v>30</v>
      </c>
      <c r="I726">
        <v>0</v>
      </c>
      <c r="J726" t="s">
        <v>33</v>
      </c>
    </row>
    <row r="727" spans="1:10" x14ac:dyDescent="0.25">
      <c r="A727" s="1">
        <v>42</v>
      </c>
      <c r="B727" t="s">
        <v>22</v>
      </c>
      <c r="C727">
        <v>635</v>
      </c>
      <c r="D727">
        <v>1</v>
      </c>
      <c r="E727" t="s">
        <v>23</v>
      </c>
      <c r="F727" t="s">
        <v>24</v>
      </c>
      <c r="G727" t="str">
        <f>"2026-03-23 14:56:31.568"</f>
        <v>2026-03-23 14:56:31.568</v>
      </c>
      <c r="H727" t="s">
        <v>21</v>
      </c>
    </row>
    <row r="728" spans="1:10" x14ac:dyDescent="0.25">
      <c r="A728" s="1">
        <v>43</v>
      </c>
      <c r="B728" t="s">
        <v>25</v>
      </c>
      <c r="C728">
        <v>635</v>
      </c>
      <c r="D728">
        <v>1</v>
      </c>
      <c r="E728" t="s">
        <v>23</v>
      </c>
      <c r="F728" t="s">
        <v>24</v>
      </c>
      <c r="G728" t="str">
        <f>"2026-03-23 14:51:19.568"</f>
        <v>2026-03-23 14:51:19.568</v>
      </c>
      <c r="H728" t="s">
        <v>21</v>
      </c>
      <c r="I728">
        <v>-0.13</v>
      </c>
      <c r="J728" t="s">
        <v>26</v>
      </c>
    </row>
    <row r="729" spans="1:10" x14ac:dyDescent="0.25">
      <c r="A729" s="1">
        <v>45</v>
      </c>
      <c r="B729" t="s">
        <v>22</v>
      </c>
      <c r="C729">
        <v>630</v>
      </c>
      <c r="D729">
        <v>5</v>
      </c>
      <c r="E729" t="s">
        <v>28</v>
      </c>
      <c r="F729" t="s">
        <v>29</v>
      </c>
      <c r="G729" t="str">
        <f>"2026-03-22 00:30:36.722"</f>
        <v>2026-03-22 00:30:36.722</v>
      </c>
      <c r="H729" t="s">
        <v>30</v>
      </c>
    </row>
    <row r="730" spans="1:10" x14ac:dyDescent="0.25">
      <c r="A730" s="1">
        <v>46</v>
      </c>
      <c r="B730" t="s">
        <v>19</v>
      </c>
      <c r="C730">
        <v>706</v>
      </c>
      <c r="D730">
        <v>2</v>
      </c>
      <c r="E730" t="s">
        <v>31</v>
      </c>
      <c r="F730" t="s">
        <v>35</v>
      </c>
      <c r="G730" t="str">
        <f>"2026-03-22 00:30:06.657"</f>
        <v>2026-03-22 00:30:06.657</v>
      </c>
      <c r="H730" t="s">
        <v>21</v>
      </c>
      <c r="I730">
        <v>0</v>
      </c>
      <c r="J730" t="s">
        <v>33</v>
      </c>
    </row>
    <row r="731" spans="1:10" x14ac:dyDescent="0.25">
      <c r="A731" s="1">
        <v>47</v>
      </c>
      <c r="B731" t="s">
        <v>34</v>
      </c>
      <c r="C731">
        <v>630</v>
      </c>
      <c r="D731">
        <v>5</v>
      </c>
      <c r="E731" t="s">
        <v>28</v>
      </c>
      <c r="F731" t="s">
        <v>29</v>
      </c>
      <c r="G731" t="str">
        <f>"2026-03-22 00:11:22.422"</f>
        <v>2026-03-22 00:11:22.422</v>
      </c>
      <c r="H731" t="s">
        <v>30</v>
      </c>
      <c r="I731">
        <v>0</v>
      </c>
      <c r="J731" t="s">
        <v>33</v>
      </c>
    </row>
    <row r="732" spans="1:10" x14ac:dyDescent="0.25">
      <c r="A732" s="1">
        <v>48</v>
      </c>
      <c r="B732" t="s">
        <v>19</v>
      </c>
      <c r="C732">
        <v>706</v>
      </c>
      <c r="D732">
        <v>4</v>
      </c>
      <c r="E732" t="s">
        <v>31</v>
      </c>
      <c r="F732" t="s">
        <v>32</v>
      </c>
      <c r="G732" t="str">
        <f>"2026-03-21 13:34:24.447"</f>
        <v>2026-03-21 13:34:24.447</v>
      </c>
      <c r="H732" t="s">
        <v>21</v>
      </c>
      <c r="I732">
        <v>0</v>
      </c>
      <c r="J732" t="s">
        <v>33</v>
      </c>
    </row>
    <row r="733" spans="1:10" x14ac:dyDescent="0.25">
      <c r="A733" s="1">
        <v>49</v>
      </c>
      <c r="B733" t="s">
        <v>22</v>
      </c>
      <c r="C733">
        <v>75</v>
      </c>
      <c r="D733">
        <v>1</v>
      </c>
      <c r="E733" t="s">
        <v>48</v>
      </c>
      <c r="F733" t="s">
        <v>49</v>
      </c>
      <c r="G733" t="str">
        <f>"2026-03-21 13:33:51.768"</f>
        <v>2026-03-21 13:33:51.768</v>
      </c>
      <c r="H733" t="s">
        <v>50</v>
      </c>
    </row>
    <row r="734" spans="1:10" x14ac:dyDescent="0.25">
      <c r="A734" s="1">
        <v>50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"2026-03-21 13:33:38.957"</f>
        <v>2026-03-21 13:33:38.957</v>
      </c>
      <c r="H734" t="s">
        <v>21</v>
      </c>
    </row>
    <row r="735" spans="1:10" x14ac:dyDescent="0.25">
      <c r="A735" s="1">
        <v>51</v>
      </c>
      <c r="B735" t="s">
        <v>25</v>
      </c>
      <c r="C735">
        <v>75</v>
      </c>
      <c r="D735">
        <v>1</v>
      </c>
      <c r="E735" t="s">
        <v>48</v>
      </c>
      <c r="F735" t="s">
        <v>49</v>
      </c>
      <c r="G735" t="str">
        <f>"2026-03-21 13:19:06.452"</f>
        <v>2026-03-21 13:19:06.452</v>
      </c>
      <c r="H735" t="s">
        <v>50</v>
      </c>
      <c r="I735">
        <v>24.61</v>
      </c>
      <c r="J735" t="s">
        <v>26</v>
      </c>
    </row>
    <row r="736" spans="1:10" x14ac:dyDescent="0.25">
      <c r="A736" s="1">
        <v>52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"2026-03-19 12:34:01.964"</f>
        <v>2026-03-19 12:34:01.964</v>
      </c>
      <c r="H736" t="s">
        <v>21</v>
      </c>
      <c r="I736">
        <v>0</v>
      </c>
      <c r="J736" t="s">
        <v>27</v>
      </c>
    </row>
    <row r="737" spans="1:10" x14ac:dyDescent="0.25">
      <c r="A737" s="1">
        <v>53</v>
      </c>
      <c r="B737" t="s">
        <v>22</v>
      </c>
      <c r="C737">
        <v>630</v>
      </c>
      <c r="D737">
        <v>5</v>
      </c>
      <c r="E737" t="s">
        <v>28</v>
      </c>
      <c r="F737" t="s">
        <v>29</v>
      </c>
      <c r="G737" t="str">
        <f>"2026-03-19 02:21:38.201"</f>
        <v>2026-03-19 02:21:38.201</v>
      </c>
      <c r="H737" t="s">
        <v>30</v>
      </c>
    </row>
    <row r="738" spans="1:10" x14ac:dyDescent="0.25">
      <c r="A738" s="1">
        <v>54</v>
      </c>
      <c r="B738" t="s">
        <v>19</v>
      </c>
      <c r="C738">
        <v>706</v>
      </c>
      <c r="D738">
        <v>4</v>
      </c>
      <c r="E738" t="s">
        <v>31</v>
      </c>
      <c r="F738" t="s">
        <v>32</v>
      </c>
      <c r="G738" t="str">
        <f>"2026-03-19 02:21:08.130"</f>
        <v>2026-03-19 02:21:08.130</v>
      </c>
      <c r="H738" t="s">
        <v>21</v>
      </c>
      <c r="I738">
        <v>0</v>
      </c>
      <c r="J738" t="s">
        <v>33</v>
      </c>
    </row>
    <row r="739" spans="1:10" x14ac:dyDescent="0.25">
      <c r="A739" s="1">
        <v>55</v>
      </c>
      <c r="B739" t="s">
        <v>34</v>
      </c>
      <c r="C739">
        <v>630</v>
      </c>
      <c r="D739">
        <v>5</v>
      </c>
      <c r="E739" t="s">
        <v>28</v>
      </c>
      <c r="F739" t="s">
        <v>29</v>
      </c>
      <c r="G739" t="str">
        <f>"2026-03-19 00:28:16.701"</f>
        <v>2026-03-19 00:28:16.701</v>
      </c>
      <c r="H739" t="s">
        <v>30</v>
      </c>
      <c r="I739">
        <v>0</v>
      </c>
      <c r="J739" t="s">
        <v>33</v>
      </c>
    </row>
    <row r="740" spans="1:10" x14ac:dyDescent="0.25">
      <c r="A740" s="1">
        <v>56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"2026-03-19 00:23:13.940"</f>
        <v>2026-03-19 00:23:13.940</v>
      </c>
      <c r="H740" t="s">
        <v>21</v>
      </c>
    </row>
    <row r="741" spans="1:10" x14ac:dyDescent="0.25">
      <c r="A741" s="1">
        <v>57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"2026-03-19 00:00:35.458"</f>
        <v>2026-03-19 00:00:35.458</v>
      </c>
      <c r="H741" t="s">
        <v>21</v>
      </c>
      <c r="I741">
        <v>0</v>
      </c>
      <c r="J741" t="s">
        <v>27</v>
      </c>
    </row>
    <row r="742" spans="1:10" x14ac:dyDescent="0.25">
      <c r="A742" s="1">
        <v>58</v>
      </c>
      <c r="B742" t="s">
        <v>34</v>
      </c>
      <c r="C742">
        <v>630</v>
      </c>
      <c r="D742">
        <v>5</v>
      </c>
      <c r="E742" t="s">
        <v>28</v>
      </c>
      <c r="F742" t="s">
        <v>29</v>
      </c>
      <c r="G742" t="str">
        <f>"2026-03-18 23:34:09.612"</f>
        <v>2026-03-18 23:34:09.612</v>
      </c>
      <c r="H742" t="s">
        <v>30</v>
      </c>
      <c r="I742">
        <v>0</v>
      </c>
      <c r="J742" t="s">
        <v>33</v>
      </c>
    </row>
    <row r="743" spans="1:10" x14ac:dyDescent="0.25">
      <c r="A743" s="1">
        <v>59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"2026-03-16 12:23:16.960"</f>
        <v>2026-03-16 12:23:16.960</v>
      </c>
      <c r="H743" t="s">
        <v>21</v>
      </c>
      <c r="I743">
        <v>0</v>
      </c>
      <c r="J743" t="s">
        <v>27</v>
      </c>
    </row>
    <row r="744" spans="1:10" x14ac:dyDescent="0.25">
      <c r="A744" s="1">
        <v>60</v>
      </c>
      <c r="B744" t="s">
        <v>22</v>
      </c>
      <c r="C744">
        <v>635</v>
      </c>
      <c r="D744">
        <v>1</v>
      </c>
      <c r="E744" t="s">
        <v>23</v>
      </c>
      <c r="F744" t="s">
        <v>24</v>
      </c>
      <c r="G744" t="str">
        <f>"2026-03-15 15:42:28.787"</f>
        <v>2026-03-15 15:42:28.787</v>
      </c>
      <c r="H744" t="s">
        <v>21</v>
      </c>
    </row>
    <row r="745" spans="1:10" x14ac:dyDescent="0.25">
      <c r="A745" s="1">
        <v>61</v>
      </c>
      <c r="B745" t="s">
        <v>25</v>
      </c>
      <c r="C745">
        <v>635</v>
      </c>
      <c r="D745">
        <v>1</v>
      </c>
      <c r="E745" t="s">
        <v>23</v>
      </c>
      <c r="F745" t="s">
        <v>24</v>
      </c>
      <c r="G745" t="str">
        <f>"2026-03-15 15:39:23.287"</f>
        <v>2026-03-15 15:39:23.287</v>
      </c>
      <c r="H745" t="s">
        <v>21</v>
      </c>
      <c r="I745">
        <v>6.81</v>
      </c>
      <c r="J745" t="s">
        <v>36</v>
      </c>
    </row>
    <row r="746" spans="1:10" x14ac:dyDescent="0.25">
      <c r="A746" s="1">
        <v>62</v>
      </c>
      <c r="B746" t="s">
        <v>22</v>
      </c>
      <c r="C746">
        <v>635</v>
      </c>
      <c r="D746">
        <v>1</v>
      </c>
      <c r="E746" t="s">
        <v>23</v>
      </c>
      <c r="F746" t="s">
        <v>24</v>
      </c>
      <c r="G746" t="str">
        <f>"2026-03-14 04:24:39.087"</f>
        <v>2026-03-14 04:24:39.087</v>
      </c>
      <c r="H746" t="s">
        <v>21</v>
      </c>
    </row>
    <row r="747" spans="1:10" x14ac:dyDescent="0.25">
      <c r="A747" s="1">
        <v>63</v>
      </c>
      <c r="B747" t="s">
        <v>25</v>
      </c>
      <c r="C747">
        <v>635</v>
      </c>
      <c r="D747">
        <v>1</v>
      </c>
      <c r="E747" t="s">
        <v>23</v>
      </c>
      <c r="F747" t="s">
        <v>24</v>
      </c>
      <c r="G747" t="str">
        <f>"2026-03-14 04:21:44.087"</f>
        <v>2026-03-14 04:21:44.087</v>
      </c>
      <c r="H747" t="s">
        <v>21</v>
      </c>
      <c r="I747">
        <v>0.12</v>
      </c>
      <c r="J747" t="s">
        <v>26</v>
      </c>
    </row>
    <row r="748" spans="1:10" x14ac:dyDescent="0.25">
      <c r="A748" s="1">
        <v>64</v>
      </c>
      <c r="B748" t="s">
        <v>22</v>
      </c>
      <c r="C748">
        <v>635</v>
      </c>
      <c r="D748">
        <v>1</v>
      </c>
      <c r="E748" t="s">
        <v>23</v>
      </c>
      <c r="F748" t="s">
        <v>24</v>
      </c>
      <c r="G748" t="str">
        <f>"2026-03-14 02:31:43.287"</f>
        <v>2026-03-14 02:31:43.287</v>
      </c>
      <c r="H748" t="s">
        <v>21</v>
      </c>
    </row>
    <row r="749" spans="1:10" x14ac:dyDescent="0.25">
      <c r="A749" s="1">
        <v>65</v>
      </c>
      <c r="B749" t="s">
        <v>25</v>
      </c>
      <c r="C749">
        <v>635</v>
      </c>
      <c r="D749">
        <v>1</v>
      </c>
      <c r="E749" t="s">
        <v>23</v>
      </c>
      <c r="F749" t="s">
        <v>24</v>
      </c>
      <c r="G749" t="str">
        <f>"2026-03-14 02:26:38.287"</f>
        <v>2026-03-14 02:26:38.287</v>
      </c>
      <c r="H749" t="s">
        <v>21</v>
      </c>
      <c r="I749">
        <v>0</v>
      </c>
      <c r="J749" t="s">
        <v>26</v>
      </c>
    </row>
    <row r="750" spans="1:10" x14ac:dyDescent="0.25">
      <c r="A750" s="1">
        <v>66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"2026-03-13 13:31:01.967"</f>
        <v>2026-03-13 13:31:01.967</v>
      </c>
      <c r="H750" t="s">
        <v>21</v>
      </c>
    </row>
    <row r="751" spans="1:10" x14ac:dyDescent="0.25">
      <c r="A751" s="1">
        <v>67</v>
      </c>
      <c r="B751" t="s">
        <v>22</v>
      </c>
      <c r="C751">
        <v>635</v>
      </c>
      <c r="D751">
        <v>1</v>
      </c>
      <c r="E751" t="s">
        <v>23</v>
      </c>
      <c r="F751" t="s">
        <v>24</v>
      </c>
      <c r="G751" t="str">
        <f>"2026-03-13 04:58:13.472"</f>
        <v>2026-03-13 04:58:13.472</v>
      </c>
      <c r="H751" t="s">
        <v>21</v>
      </c>
    </row>
    <row r="752" spans="1:10" x14ac:dyDescent="0.25">
      <c r="A752" s="1">
        <v>68</v>
      </c>
      <c r="B752" t="s">
        <v>25</v>
      </c>
      <c r="C752">
        <v>635</v>
      </c>
      <c r="D752">
        <v>1</v>
      </c>
      <c r="E752" t="s">
        <v>23</v>
      </c>
      <c r="F752" t="s">
        <v>24</v>
      </c>
      <c r="G752" t="str">
        <f>"2026-03-13 04:54:23.972"</f>
        <v>2026-03-13 04:54:23.972</v>
      </c>
      <c r="H752" t="s">
        <v>21</v>
      </c>
      <c r="I752">
        <v>0.12</v>
      </c>
      <c r="J752" t="s">
        <v>26</v>
      </c>
    </row>
    <row r="753" spans="1:10" x14ac:dyDescent="0.25">
      <c r="A753" s="1">
        <v>69</v>
      </c>
      <c r="B753" t="s">
        <v>22</v>
      </c>
      <c r="C753">
        <v>635</v>
      </c>
      <c r="D753">
        <v>1</v>
      </c>
      <c r="E753" t="s">
        <v>23</v>
      </c>
      <c r="F753" t="s">
        <v>24</v>
      </c>
      <c r="G753" t="str">
        <f>"2026-03-12 03:26:04.872"</f>
        <v>2026-03-12 03:26:04.872</v>
      </c>
      <c r="H753" t="s">
        <v>21</v>
      </c>
    </row>
    <row r="754" spans="1:10" x14ac:dyDescent="0.25">
      <c r="A754" s="1">
        <v>70</v>
      </c>
      <c r="B754" t="s">
        <v>25</v>
      </c>
      <c r="C754">
        <v>635</v>
      </c>
      <c r="D754">
        <v>1</v>
      </c>
      <c r="E754" t="s">
        <v>23</v>
      </c>
      <c r="F754" t="s">
        <v>24</v>
      </c>
      <c r="G754" t="str">
        <f>"2026-03-12 03:14:39.372"</f>
        <v>2026-03-12 03:14:39.372</v>
      </c>
      <c r="H754" t="s">
        <v>21</v>
      </c>
      <c r="I754">
        <v>0.14000000000000001</v>
      </c>
      <c r="J754" t="s">
        <v>26</v>
      </c>
    </row>
    <row r="755" spans="1:10" x14ac:dyDescent="0.25">
      <c r="A755" s="1">
        <v>71</v>
      </c>
      <c r="B755" t="s">
        <v>22</v>
      </c>
      <c r="C755">
        <v>635</v>
      </c>
      <c r="D755">
        <v>1</v>
      </c>
      <c r="E755" t="s">
        <v>23</v>
      </c>
      <c r="F755" t="s">
        <v>24</v>
      </c>
      <c r="G755" t="str">
        <f>"2026-03-11 08:53:53.672"</f>
        <v>2026-03-11 08:53:53.672</v>
      </c>
      <c r="H755" t="s">
        <v>21</v>
      </c>
    </row>
    <row r="756" spans="1:10" x14ac:dyDescent="0.25">
      <c r="A756" s="1">
        <v>72</v>
      </c>
      <c r="B756" t="s">
        <v>25</v>
      </c>
      <c r="C756">
        <v>635</v>
      </c>
      <c r="D756">
        <v>1</v>
      </c>
      <c r="E756" t="s">
        <v>23</v>
      </c>
      <c r="F756" t="s">
        <v>24</v>
      </c>
      <c r="G756" t="str">
        <f>"2026-03-11 08:50:36.172"</f>
        <v>2026-03-11 08:50:36.172</v>
      </c>
      <c r="H756" t="s">
        <v>21</v>
      </c>
      <c r="I756">
        <v>7.57</v>
      </c>
      <c r="J756" t="s">
        <v>36</v>
      </c>
    </row>
    <row r="757" spans="1:10" x14ac:dyDescent="0.25">
      <c r="A757" s="1">
        <v>73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"2026-03-10 13:52:42.962"</f>
        <v>2026-03-10 13:52:42.962</v>
      </c>
      <c r="H757" t="s">
        <v>21</v>
      </c>
      <c r="I757">
        <v>0</v>
      </c>
      <c r="J757" t="s">
        <v>27</v>
      </c>
    </row>
    <row r="758" spans="1:10" x14ac:dyDescent="0.25">
      <c r="A758" s="1">
        <v>74</v>
      </c>
      <c r="B758" t="s">
        <v>22</v>
      </c>
      <c r="C758">
        <v>635</v>
      </c>
      <c r="D758">
        <v>1</v>
      </c>
      <c r="E758" t="s">
        <v>23</v>
      </c>
      <c r="F758" t="s">
        <v>24</v>
      </c>
      <c r="G758" t="str">
        <f>"2026-03-09 23:21:27.850"</f>
        <v>2026-03-09 23:21:27.850</v>
      </c>
      <c r="H758" t="s">
        <v>21</v>
      </c>
    </row>
    <row r="759" spans="1:10" x14ac:dyDescent="0.25">
      <c r="A759" s="1">
        <v>75</v>
      </c>
      <c r="B759" t="s">
        <v>25</v>
      </c>
      <c r="C759">
        <v>635</v>
      </c>
      <c r="D759">
        <v>1</v>
      </c>
      <c r="E759" t="s">
        <v>23</v>
      </c>
      <c r="F759" t="s">
        <v>24</v>
      </c>
      <c r="G759" t="str">
        <f>"2026-03-09 23:17:36.350"</f>
        <v>2026-03-09 23:17:36.350</v>
      </c>
      <c r="H759" t="s">
        <v>21</v>
      </c>
      <c r="I759">
        <v>0.61</v>
      </c>
      <c r="J759" t="s">
        <v>37</v>
      </c>
    </row>
    <row r="760" spans="1:10" x14ac:dyDescent="0.25">
      <c r="A760" s="1">
        <v>76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"2026-03-08 13:26:54.952"</f>
        <v>2026-03-08 13:26:54.952</v>
      </c>
      <c r="H760" t="s">
        <v>21</v>
      </c>
      <c r="I760">
        <v>0</v>
      </c>
      <c r="J760" t="s">
        <v>27</v>
      </c>
    </row>
    <row r="761" spans="1:10" x14ac:dyDescent="0.25">
      <c r="A761" s="1">
        <v>77</v>
      </c>
      <c r="B761" t="s">
        <v>22</v>
      </c>
      <c r="C761">
        <v>630</v>
      </c>
      <c r="D761">
        <v>5</v>
      </c>
      <c r="E761" t="s">
        <v>28</v>
      </c>
      <c r="F761" t="s">
        <v>29</v>
      </c>
      <c r="G761" t="str">
        <f>"2026-03-08 02:22:15.974"</f>
        <v>2026-03-08 02:22:15.974</v>
      </c>
      <c r="H761" t="s">
        <v>30</v>
      </c>
    </row>
    <row r="762" spans="1:10" x14ac:dyDescent="0.25">
      <c r="A762" s="1">
        <v>78</v>
      </c>
      <c r="B762" t="s">
        <v>19</v>
      </c>
      <c r="C762">
        <v>706</v>
      </c>
      <c r="D762">
        <v>4</v>
      </c>
      <c r="E762" t="s">
        <v>31</v>
      </c>
      <c r="F762" t="s">
        <v>32</v>
      </c>
      <c r="G762" t="str">
        <f>"2026-03-08 02:21:46.021"</f>
        <v>2026-03-08 02:21:46.021</v>
      </c>
      <c r="H762" t="s">
        <v>21</v>
      </c>
      <c r="I762">
        <v>0</v>
      </c>
      <c r="J762" t="s">
        <v>33</v>
      </c>
    </row>
    <row r="763" spans="1:10" x14ac:dyDescent="0.25">
      <c r="A763" s="1">
        <v>79</v>
      </c>
      <c r="B763" t="s">
        <v>19</v>
      </c>
      <c r="C763">
        <v>706</v>
      </c>
      <c r="D763">
        <v>4</v>
      </c>
      <c r="E763" t="s">
        <v>31</v>
      </c>
      <c r="F763" t="s">
        <v>32</v>
      </c>
      <c r="G763" t="str">
        <f>"2026-03-08 02:16:36.241"</f>
        <v>2026-03-08 02:16:36.241</v>
      </c>
      <c r="H763" t="s">
        <v>21</v>
      </c>
      <c r="I763">
        <v>0</v>
      </c>
      <c r="J763" t="s">
        <v>33</v>
      </c>
    </row>
    <row r="764" spans="1:10" x14ac:dyDescent="0.25">
      <c r="A764" s="1">
        <v>80</v>
      </c>
      <c r="B764" t="s">
        <v>19</v>
      </c>
      <c r="C764">
        <v>706</v>
      </c>
      <c r="D764">
        <v>4</v>
      </c>
      <c r="E764" t="s">
        <v>31</v>
      </c>
      <c r="F764" t="s">
        <v>32</v>
      </c>
      <c r="G764" t="str">
        <f>"2026-03-08 02:16:21.831"</f>
        <v>2026-03-08 02:16:21.831</v>
      </c>
      <c r="H764" t="s">
        <v>21</v>
      </c>
      <c r="I764">
        <v>0</v>
      </c>
      <c r="J764" t="s">
        <v>33</v>
      </c>
    </row>
    <row r="765" spans="1:10" x14ac:dyDescent="0.25">
      <c r="A765" s="1">
        <v>81</v>
      </c>
      <c r="B765" t="s">
        <v>34</v>
      </c>
      <c r="C765">
        <v>630</v>
      </c>
      <c r="D765">
        <v>5</v>
      </c>
      <c r="E765" t="s">
        <v>28</v>
      </c>
      <c r="F765" t="s">
        <v>29</v>
      </c>
      <c r="G765" t="str">
        <f>"2026-03-08 02:14:28.774"</f>
        <v>2026-03-08 02:14:28.774</v>
      </c>
      <c r="H765" t="s">
        <v>30</v>
      </c>
      <c r="I765">
        <v>0</v>
      </c>
      <c r="J765" t="s">
        <v>33</v>
      </c>
    </row>
    <row r="766" spans="1:10" x14ac:dyDescent="0.25">
      <c r="A766" s="1">
        <v>82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"2026-03-08 02:09:25.971"</f>
        <v>2026-03-08 02:09:25.971</v>
      </c>
      <c r="H766" t="s">
        <v>21</v>
      </c>
      <c r="I766">
        <v>0</v>
      </c>
      <c r="J766" t="s">
        <v>27</v>
      </c>
    </row>
    <row r="767" spans="1:10" x14ac:dyDescent="0.25">
      <c r="A767" s="1">
        <v>83</v>
      </c>
      <c r="B767" t="s">
        <v>22</v>
      </c>
      <c r="C767">
        <v>635</v>
      </c>
      <c r="D767">
        <v>1</v>
      </c>
      <c r="E767" t="s">
        <v>23</v>
      </c>
      <c r="F767" t="s">
        <v>24</v>
      </c>
      <c r="G767" t="str">
        <f>"2026-03-06 08:05:25.740"</f>
        <v>2026-03-06 08:05:25.740</v>
      </c>
      <c r="H767" t="s">
        <v>21</v>
      </c>
    </row>
    <row r="768" spans="1:10" x14ac:dyDescent="0.25">
      <c r="A768" s="1">
        <v>84</v>
      </c>
      <c r="B768" t="s">
        <v>25</v>
      </c>
      <c r="C768">
        <v>635</v>
      </c>
      <c r="D768">
        <v>1</v>
      </c>
      <c r="E768" t="s">
        <v>23</v>
      </c>
      <c r="F768" t="s">
        <v>24</v>
      </c>
      <c r="G768" t="str">
        <f>"2026-03-06 08:01:01.740"</f>
        <v>2026-03-06 08:01:01.740</v>
      </c>
      <c r="H768" t="s">
        <v>21</v>
      </c>
      <c r="I768">
        <v>6.75</v>
      </c>
      <c r="J768" t="s">
        <v>36</v>
      </c>
    </row>
    <row r="769" spans="1:10" x14ac:dyDescent="0.25">
      <c r="A769" s="1">
        <v>85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"2026-03-06 05:46:10.969"</f>
        <v>2026-03-06 05:46:10.969</v>
      </c>
      <c r="H769" t="s">
        <v>21</v>
      </c>
    </row>
    <row r="770" spans="1:10" x14ac:dyDescent="0.25">
      <c r="A770" s="1">
        <v>86</v>
      </c>
      <c r="B770" t="s">
        <v>41</v>
      </c>
      <c r="C770">
        <v>115</v>
      </c>
      <c r="D770">
        <v>6</v>
      </c>
      <c r="E770" t="s">
        <v>44</v>
      </c>
      <c r="F770" t="s">
        <v>43</v>
      </c>
      <c r="G770" t="str">
        <f>"2026-03-05 15:16:23.611"</f>
        <v>2026-03-05 15:16:23.611</v>
      </c>
      <c r="H770" t="s">
        <v>21</v>
      </c>
    </row>
    <row r="771" spans="1:10" x14ac:dyDescent="0.25">
      <c r="A771" s="1">
        <v>87</v>
      </c>
      <c r="B771" t="s">
        <v>41</v>
      </c>
      <c r="C771">
        <v>215</v>
      </c>
      <c r="D771">
        <v>6</v>
      </c>
      <c r="E771" t="s">
        <v>42</v>
      </c>
      <c r="F771" t="s">
        <v>43</v>
      </c>
      <c r="G771" t="str">
        <f>"2026-03-05 15:16:22.511"</f>
        <v>2026-03-05 15:16:22.511</v>
      </c>
      <c r="H771" t="s">
        <v>21</v>
      </c>
    </row>
    <row r="772" spans="1:10" x14ac:dyDescent="0.25">
      <c r="A772" s="1">
        <v>88</v>
      </c>
      <c r="B772" t="s">
        <v>34</v>
      </c>
      <c r="C772">
        <v>115</v>
      </c>
      <c r="D772">
        <v>6</v>
      </c>
      <c r="E772" t="s">
        <v>44</v>
      </c>
      <c r="F772" t="s">
        <v>43</v>
      </c>
      <c r="G772" t="str">
        <f>"2026-03-05 15:16:18.590"</f>
        <v>2026-03-05 15:16:18.590</v>
      </c>
      <c r="H772" t="s">
        <v>21</v>
      </c>
      <c r="I772">
        <v>0</v>
      </c>
      <c r="J772" t="s">
        <v>33</v>
      </c>
    </row>
    <row r="773" spans="1:10" x14ac:dyDescent="0.25">
      <c r="A773" s="1">
        <v>89</v>
      </c>
      <c r="B773" t="s">
        <v>34</v>
      </c>
      <c r="C773">
        <v>215</v>
      </c>
      <c r="D773">
        <v>6</v>
      </c>
      <c r="E773" t="s">
        <v>42</v>
      </c>
      <c r="F773" t="s">
        <v>43</v>
      </c>
      <c r="G773" t="str">
        <f>"2026-03-05 15:16:17.470"</f>
        <v>2026-03-05 15:16:17.470</v>
      </c>
      <c r="H773" t="s">
        <v>21</v>
      </c>
      <c r="I773">
        <v>0</v>
      </c>
      <c r="J773" t="s">
        <v>33</v>
      </c>
    </row>
    <row r="774" spans="1:10" x14ac:dyDescent="0.25">
      <c r="A774" s="1">
        <v>90</v>
      </c>
      <c r="B774" t="s">
        <v>22</v>
      </c>
      <c r="C774">
        <v>6</v>
      </c>
      <c r="D774">
        <v>1</v>
      </c>
      <c r="E774" t="s">
        <v>45</v>
      </c>
      <c r="F774" t="s">
        <v>46</v>
      </c>
      <c r="G774" t="str">
        <f>"2026-03-05 15:16:17.332"</f>
        <v>2026-03-05 15:16:17.332</v>
      </c>
      <c r="H774" t="s">
        <v>47</v>
      </c>
    </row>
    <row r="775" spans="1:10" x14ac:dyDescent="0.25">
      <c r="A775" s="1">
        <v>91</v>
      </c>
      <c r="B775" t="s">
        <v>22</v>
      </c>
      <c r="C775">
        <v>75</v>
      </c>
      <c r="D775">
        <v>1</v>
      </c>
      <c r="E775" t="s">
        <v>48</v>
      </c>
      <c r="F775" t="s">
        <v>49</v>
      </c>
      <c r="G775" t="str">
        <f>"2026-03-05 15:16:17.328"</f>
        <v>2026-03-05 15:16:17.328</v>
      </c>
      <c r="H775" t="s">
        <v>50</v>
      </c>
    </row>
    <row r="776" spans="1:10" x14ac:dyDescent="0.25">
      <c r="A776" s="1">
        <v>92</v>
      </c>
      <c r="B776" t="s">
        <v>22</v>
      </c>
      <c r="C776">
        <v>74</v>
      </c>
      <c r="D776">
        <v>1</v>
      </c>
      <c r="E776" t="s">
        <v>51</v>
      </c>
      <c r="F776" t="s">
        <v>52</v>
      </c>
      <c r="G776" t="str">
        <f>"2026-03-05 15:16:17.326"</f>
        <v>2026-03-05 15:16:17.326</v>
      </c>
      <c r="H776" t="s">
        <v>53</v>
      </c>
    </row>
    <row r="777" spans="1:10" x14ac:dyDescent="0.25">
      <c r="A777" s="1">
        <v>93</v>
      </c>
      <c r="B777" t="s">
        <v>25</v>
      </c>
      <c r="C777">
        <v>75</v>
      </c>
      <c r="D777">
        <v>1</v>
      </c>
      <c r="E777" t="s">
        <v>48</v>
      </c>
      <c r="F777" t="s">
        <v>49</v>
      </c>
      <c r="G777" t="str">
        <f>"2026-03-05 15:16:05.884"</f>
        <v>2026-03-05 15:16:05.884</v>
      </c>
      <c r="H777" t="s">
        <v>50</v>
      </c>
      <c r="I777">
        <v>0</v>
      </c>
      <c r="J777" t="s">
        <v>33</v>
      </c>
    </row>
    <row r="778" spans="1:10" x14ac:dyDescent="0.25">
      <c r="A778" s="1">
        <v>94</v>
      </c>
      <c r="B778" t="s">
        <v>25</v>
      </c>
      <c r="C778">
        <v>74</v>
      </c>
      <c r="D778">
        <v>1</v>
      </c>
      <c r="E778" t="s">
        <v>51</v>
      </c>
      <c r="F778" t="s">
        <v>52</v>
      </c>
      <c r="G778" t="str">
        <f>"2026-03-05 15:16:05.879"</f>
        <v>2026-03-05 15:16:05.879</v>
      </c>
      <c r="H778" t="s">
        <v>53</v>
      </c>
      <c r="I778">
        <v>0</v>
      </c>
      <c r="J778" t="s">
        <v>33</v>
      </c>
    </row>
    <row r="779" spans="1:10" x14ac:dyDescent="0.25">
      <c r="A779" s="1">
        <v>95</v>
      </c>
      <c r="B779" t="s">
        <v>34</v>
      </c>
      <c r="C779">
        <v>6</v>
      </c>
      <c r="D779">
        <v>1</v>
      </c>
      <c r="E779" t="s">
        <v>45</v>
      </c>
      <c r="F779" t="s">
        <v>46</v>
      </c>
      <c r="G779" t="str">
        <f>"2026-03-05 15:16:05.874"</f>
        <v>2026-03-05 15:16:05.874</v>
      </c>
      <c r="H779" t="s">
        <v>47</v>
      </c>
      <c r="I779">
        <v>0</v>
      </c>
      <c r="J779" t="s">
        <v>33</v>
      </c>
    </row>
    <row r="780" spans="1:10" x14ac:dyDescent="0.25">
      <c r="A780" s="1">
        <v>0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"2026-03-05 13:21:24.958"</f>
        <v>2026-03-05 13:21:24.958</v>
      </c>
      <c r="H780" t="s">
        <v>21</v>
      </c>
      <c r="I780">
        <v>0</v>
      </c>
      <c r="J780" t="s">
        <v>27</v>
      </c>
    </row>
    <row r="781" spans="1:10" x14ac:dyDescent="0.25">
      <c r="A781" s="1">
        <v>1</v>
      </c>
      <c r="B781" t="s">
        <v>22</v>
      </c>
      <c r="C781">
        <v>635</v>
      </c>
      <c r="D781">
        <v>1</v>
      </c>
      <c r="E781" t="s">
        <v>23</v>
      </c>
      <c r="F781" t="s">
        <v>24</v>
      </c>
      <c r="G781" t="str">
        <f>"2026-03-04 07:23:58.270"</f>
        <v>2026-03-04 07:23:58.270</v>
      </c>
      <c r="H781" t="s">
        <v>21</v>
      </c>
    </row>
    <row r="782" spans="1:10" x14ac:dyDescent="0.25">
      <c r="A782" s="1">
        <v>2</v>
      </c>
      <c r="B782" t="s">
        <v>25</v>
      </c>
      <c r="C782">
        <v>635</v>
      </c>
      <c r="D782">
        <v>1</v>
      </c>
      <c r="E782" t="s">
        <v>23</v>
      </c>
      <c r="F782" t="s">
        <v>24</v>
      </c>
      <c r="G782" t="str">
        <f>"2026-03-04 07:19:50.770"</f>
        <v>2026-03-04 07:19:50.770</v>
      </c>
      <c r="H782" t="s">
        <v>21</v>
      </c>
      <c r="I782">
        <v>0</v>
      </c>
      <c r="J782" t="s">
        <v>26</v>
      </c>
    </row>
    <row r="783" spans="1:10" x14ac:dyDescent="0.25">
      <c r="A783" s="1">
        <v>3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"2026-03-03 13:27:36.150"</f>
        <v>2026-03-03 13:27:36.150</v>
      </c>
      <c r="H783" t="s">
        <v>21</v>
      </c>
      <c r="I783">
        <v>0</v>
      </c>
      <c r="J783" t="s">
        <v>27</v>
      </c>
    </row>
    <row r="784" spans="1:10" x14ac:dyDescent="0.25">
      <c r="A784" s="1">
        <v>4</v>
      </c>
      <c r="B784" t="s">
        <v>22</v>
      </c>
      <c r="C784">
        <v>635</v>
      </c>
      <c r="D784">
        <v>1</v>
      </c>
      <c r="E784" t="s">
        <v>23</v>
      </c>
      <c r="F784" t="s">
        <v>24</v>
      </c>
      <c r="G784" t="str">
        <f>"2026-03-01 21:45:36.712"</f>
        <v>2026-03-01 21:45:36.712</v>
      </c>
      <c r="H784" t="s">
        <v>21</v>
      </c>
    </row>
    <row r="785" spans="1:10" x14ac:dyDescent="0.25">
      <c r="A785" s="1">
        <v>5</v>
      </c>
      <c r="B785" t="s">
        <v>25</v>
      </c>
      <c r="C785">
        <v>635</v>
      </c>
      <c r="D785">
        <v>1</v>
      </c>
      <c r="E785" t="s">
        <v>23</v>
      </c>
      <c r="F785" t="s">
        <v>24</v>
      </c>
      <c r="G785" t="str">
        <f>"2026-03-01 21:40:43.712"</f>
        <v>2026-03-01 21:40:43.712</v>
      </c>
      <c r="H785" t="s">
        <v>21</v>
      </c>
      <c r="I785">
        <v>0.69</v>
      </c>
      <c r="J785" t="s">
        <v>26</v>
      </c>
    </row>
    <row r="786" spans="1:10" x14ac:dyDescent="0.25">
      <c r="A786" s="1">
        <v>6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"2026-03-01 13:00:12.034"</f>
        <v>2026-03-01 13:00:12.034</v>
      </c>
      <c r="H786" t="s">
        <v>21</v>
      </c>
    </row>
    <row r="787" spans="1:10" x14ac:dyDescent="0.25">
      <c r="A787" s="1">
        <v>7</v>
      </c>
      <c r="B787" t="s">
        <v>22</v>
      </c>
      <c r="C787">
        <v>635</v>
      </c>
      <c r="D787">
        <v>1</v>
      </c>
      <c r="E787" t="s">
        <v>23</v>
      </c>
      <c r="F787" t="s">
        <v>24</v>
      </c>
      <c r="G787" t="str">
        <f>"2026-02-27 04:41:11.459"</f>
        <v>2026-02-27 04:41:11.459</v>
      </c>
      <c r="H787" t="s">
        <v>21</v>
      </c>
    </row>
    <row r="788" spans="1:10" x14ac:dyDescent="0.25">
      <c r="A788" s="1">
        <v>8</v>
      </c>
      <c r="B788" t="s">
        <v>25</v>
      </c>
      <c r="C788">
        <v>635</v>
      </c>
      <c r="D788">
        <v>1</v>
      </c>
      <c r="E788" t="s">
        <v>23</v>
      </c>
      <c r="F788" t="s">
        <v>24</v>
      </c>
      <c r="G788" t="str">
        <f>"2026-02-27 04:34:14.959"</f>
        <v>2026-02-27 04:34:14.959</v>
      </c>
      <c r="H788" t="s">
        <v>21</v>
      </c>
      <c r="I788">
        <v>0</v>
      </c>
      <c r="J788" t="s">
        <v>26</v>
      </c>
    </row>
    <row r="789" spans="1:10" x14ac:dyDescent="0.25">
      <c r="A789" s="1">
        <v>9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"2026-02-26 12:17:01.952"</f>
        <v>2026-02-26 12:17:01.952</v>
      </c>
      <c r="H789" t="s">
        <v>21</v>
      </c>
      <c r="I789">
        <v>0</v>
      </c>
      <c r="J789" t="s">
        <v>27</v>
      </c>
    </row>
    <row r="790" spans="1:10" x14ac:dyDescent="0.25">
      <c r="A790" s="1">
        <v>10</v>
      </c>
      <c r="B790" t="s">
        <v>19</v>
      </c>
      <c r="C790">
        <v>706</v>
      </c>
      <c r="D790">
        <v>2</v>
      </c>
      <c r="E790" t="s">
        <v>31</v>
      </c>
      <c r="F790" t="s">
        <v>35</v>
      </c>
      <c r="G790" t="str">
        <f>"2026-02-25 14:57:20.500"</f>
        <v>2026-02-25 14:57:20.500</v>
      </c>
      <c r="H790" t="s">
        <v>21</v>
      </c>
      <c r="I790">
        <v>0</v>
      </c>
      <c r="J790" t="s">
        <v>33</v>
      </c>
    </row>
    <row r="791" spans="1:10" x14ac:dyDescent="0.25">
      <c r="A791" s="1">
        <v>11</v>
      </c>
      <c r="B791" t="s">
        <v>19</v>
      </c>
      <c r="C791">
        <v>706</v>
      </c>
      <c r="D791">
        <v>2</v>
      </c>
      <c r="E791" t="s">
        <v>31</v>
      </c>
      <c r="F791" t="s">
        <v>35</v>
      </c>
      <c r="G791" t="str">
        <f>"2026-02-25 14:31:10.900"</f>
        <v>2026-02-25 14:31:10.900</v>
      </c>
      <c r="H791" t="s">
        <v>21</v>
      </c>
      <c r="I791">
        <v>0</v>
      </c>
      <c r="J791" t="s">
        <v>33</v>
      </c>
    </row>
    <row r="792" spans="1:10" x14ac:dyDescent="0.25">
      <c r="A792" s="1">
        <v>12</v>
      </c>
      <c r="B792" t="s">
        <v>19</v>
      </c>
      <c r="C792">
        <v>706</v>
      </c>
      <c r="D792">
        <v>4</v>
      </c>
      <c r="E792" t="s">
        <v>31</v>
      </c>
      <c r="F792" t="s">
        <v>32</v>
      </c>
      <c r="G792" t="str">
        <f>"2026-02-25 14:27:08.060"</f>
        <v>2026-02-25 14:27:08.060</v>
      </c>
      <c r="H792" t="s">
        <v>21</v>
      </c>
      <c r="I792">
        <v>0</v>
      </c>
      <c r="J792" t="s">
        <v>33</v>
      </c>
    </row>
    <row r="793" spans="1:10" x14ac:dyDescent="0.25">
      <c r="A793" s="1">
        <v>13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"2026-02-25 14:26:27.960"</f>
        <v>2026-02-25 14:26:27.960</v>
      </c>
      <c r="H793" t="s">
        <v>21</v>
      </c>
    </row>
    <row r="794" spans="1:10" x14ac:dyDescent="0.25">
      <c r="A794" s="1">
        <v>14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"2026-02-25 10:46:33.944"</f>
        <v>2026-02-25 10:46:33.944</v>
      </c>
      <c r="H794" t="s">
        <v>21</v>
      </c>
      <c r="I794">
        <v>0</v>
      </c>
      <c r="J794" t="s">
        <v>27</v>
      </c>
    </row>
    <row r="795" spans="1:10" x14ac:dyDescent="0.25">
      <c r="A795" s="1">
        <v>15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"2026-02-25 10:05:38.931"</f>
        <v>2026-02-25 10:05:38.931</v>
      </c>
      <c r="H795" t="s">
        <v>21</v>
      </c>
    </row>
    <row r="796" spans="1:10" x14ac:dyDescent="0.25">
      <c r="A796" s="1">
        <v>16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"2026-02-25 10:01:54.192"</f>
        <v>2026-02-25 10:01:54.192</v>
      </c>
      <c r="H796" t="s">
        <v>21</v>
      </c>
      <c r="I796">
        <v>0</v>
      </c>
      <c r="J796" t="s">
        <v>27</v>
      </c>
    </row>
    <row r="797" spans="1:10" x14ac:dyDescent="0.25">
      <c r="A797" s="1">
        <v>17</v>
      </c>
      <c r="B797" t="s">
        <v>22</v>
      </c>
      <c r="C797">
        <v>630</v>
      </c>
      <c r="D797">
        <v>5</v>
      </c>
      <c r="E797" t="s">
        <v>28</v>
      </c>
      <c r="F797" t="s">
        <v>29</v>
      </c>
      <c r="G797" t="str">
        <f>"2026-02-25 09:58:43.189"</f>
        <v>2026-02-25 09:58:43.189</v>
      </c>
      <c r="H797" t="s">
        <v>30</v>
      </c>
    </row>
    <row r="798" spans="1:10" x14ac:dyDescent="0.25">
      <c r="A798" s="1">
        <v>18</v>
      </c>
      <c r="B798" t="s">
        <v>34</v>
      </c>
      <c r="C798">
        <v>630</v>
      </c>
      <c r="D798">
        <v>5</v>
      </c>
      <c r="E798" t="s">
        <v>28</v>
      </c>
      <c r="F798" t="s">
        <v>29</v>
      </c>
      <c r="G798" t="str">
        <f>"2026-02-25 09:58:00.990"</f>
        <v>2026-02-25 09:58:00.990</v>
      </c>
      <c r="H798" t="s">
        <v>30</v>
      </c>
      <c r="I798">
        <v>0</v>
      </c>
      <c r="J798" t="s">
        <v>33</v>
      </c>
    </row>
    <row r="799" spans="1:10" x14ac:dyDescent="0.25">
      <c r="A799" s="1">
        <v>19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"2026-02-25 09:52:58.174"</f>
        <v>2026-02-25 09:52:58.174</v>
      </c>
      <c r="H799" t="s">
        <v>21</v>
      </c>
      <c r="I799">
        <v>0</v>
      </c>
      <c r="J799" t="s">
        <v>27</v>
      </c>
    </row>
    <row r="800" spans="1:10" x14ac:dyDescent="0.25">
      <c r="A800" s="1">
        <v>20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"2026-02-25 09:36:52.037"</f>
        <v>2026-02-25 09:36:52.037</v>
      </c>
      <c r="H800" t="s">
        <v>21</v>
      </c>
      <c r="I800">
        <v>0</v>
      </c>
      <c r="J800" t="s">
        <v>27</v>
      </c>
    </row>
    <row r="801" spans="1:10" x14ac:dyDescent="0.25">
      <c r="A801" s="1">
        <v>21</v>
      </c>
      <c r="B801" t="s">
        <v>22</v>
      </c>
      <c r="C801">
        <v>635</v>
      </c>
      <c r="D801">
        <v>1</v>
      </c>
      <c r="E801" t="s">
        <v>23</v>
      </c>
      <c r="F801" t="s">
        <v>24</v>
      </c>
      <c r="G801" t="str">
        <f>"2026-02-25 05:48:19.682"</f>
        <v>2026-02-25 05:48:19.682</v>
      </c>
      <c r="H801" t="s">
        <v>21</v>
      </c>
    </row>
    <row r="802" spans="1:10" x14ac:dyDescent="0.25">
      <c r="A802" s="1">
        <v>22</v>
      </c>
      <c r="B802" t="s">
        <v>25</v>
      </c>
      <c r="C802">
        <v>635</v>
      </c>
      <c r="D802">
        <v>1</v>
      </c>
      <c r="E802" t="s">
        <v>23</v>
      </c>
      <c r="F802" t="s">
        <v>24</v>
      </c>
      <c r="G802" t="str">
        <f>"2026-02-25 05:44:22.182"</f>
        <v>2026-02-25 05:44:22.182</v>
      </c>
      <c r="H802" t="s">
        <v>21</v>
      </c>
      <c r="I802">
        <v>0.81</v>
      </c>
      <c r="J802" t="s">
        <v>36</v>
      </c>
    </row>
    <row r="803" spans="1:10" x14ac:dyDescent="0.25">
      <c r="A803" s="1">
        <v>23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"2026-02-23 12:31:57.963"</f>
        <v>2026-02-23 12:31:57.963</v>
      </c>
      <c r="H803" t="s">
        <v>21</v>
      </c>
      <c r="I803">
        <v>0</v>
      </c>
      <c r="J803" t="s">
        <v>27</v>
      </c>
    </row>
    <row r="804" spans="1:10" x14ac:dyDescent="0.25">
      <c r="A804" s="1">
        <v>24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"2026-02-22 08:19:37.985"</f>
        <v>2026-02-22 08:19:37.985</v>
      </c>
      <c r="H804" t="s">
        <v>21</v>
      </c>
    </row>
    <row r="805" spans="1:10" x14ac:dyDescent="0.25">
      <c r="A805" s="1">
        <v>25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"2026-02-22 02:53:38.988"</f>
        <v>2026-02-22 02:53:38.988</v>
      </c>
      <c r="H805" t="s">
        <v>21</v>
      </c>
      <c r="I805">
        <v>0</v>
      </c>
      <c r="J805" t="s">
        <v>27</v>
      </c>
    </row>
    <row r="806" spans="1:10" x14ac:dyDescent="0.25">
      <c r="A806" s="1">
        <v>26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"2026-02-21 12:26:05.957"</f>
        <v>2026-02-21 12:26:05.957</v>
      </c>
      <c r="H806" t="s">
        <v>21</v>
      </c>
      <c r="I806">
        <v>0</v>
      </c>
      <c r="J806" t="s">
        <v>27</v>
      </c>
    </row>
    <row r="807" spans="1:10" x14ac:dyDescent="0.25">
      <c r="A807" s="1">
        <v>27</v>
      </c>
      <c r="B807" t="s">
        <v>22</v>
      </c>
      <c r="C807">
        <v>635</v>
      </c>
      <c r="D807">
        <v>1</v>
      </c>
      <c r="E807" t="s">
        <v>23</v>
      </c>
      <c r="F807" t="s">
        <v>24</v>
      </c>
      <c r="G807" t="str">
        <f>"2026-02-20 15:25:36.298"</f>
        <v>2026-02-20 15:25:36.298</v>
      </c>
      <c r="H807" t="s">
        <v>21</v>
      </c>
    </row>
    <row r="808" spans="1:10" x14ac:dyDescent="0.25">
      <c r="A808" s="1">
        <v>28</v>
      </c>
      <c r="B808" t="s">
        <v>25</v>
      </c>
      <c r="C808">
        <v>635</v>
      </c>
      <c r="D808">
        <v>1</v>
      </c>
      <c r="E808" t="s">
        <v>23</v>
      </c>
      <c r="F808" t="s">
        <v>24</v>
      </c>
      <c r="G808" t="str">
        <f>"2026-02-20 15:22:45.798"</f>
        <v>2026-02-20 15:22:45.798</v>
      </c>
      <c r="H808" t="s">
        <v>21</v>
      </c>
      <c r="I808">
        <v>8.32</v>
      </c>
      <c r="J808" t="s">
        <v>36</v>
      </c>
    </row>
    <row r="809" spans="1:10" x14ac:dyDescent="0.25">
      <c r="A809" s="1">
        <v>29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"2026-02-20 13:40:15.970"</f>
        <v>2026-02-20 13:40:15.970</v>
      </c>
      <c r="H809" t="s">
        <v>21</v>
      </c>
    </row>
    <row r="810" spans="1:10" x14ac:dyDescent="0.25">
      <c r="A810" s="1">
        <v>30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"2026-02-18 00:50:12.078"</f>
        <v>2026-02-18 00:50:12.078</v>
      </c>
      <c r="H810" t="s">
        <v>21</v>
      </c>
    </row>
    <row r="811" spans="1:10" x14ac:dyDescent="0.25">
      <c r="A811" s="1">
        <v>31</v>
      </c>
      <c r="B811" t="s">
        <v>22</v>
      </c>
      <c r="C811">
        <v>630</v>
      </c>
      <c r="D811">
        <v>5</v>
      </c>
      <c r="E811" t="s">
        <v>28</v>
      </c>
      <c r="F811" t="s">
        <v>29</v>
      </c>
      <c r="G811" t="str">
        <f>"2026-02-16 16:36:38.211"</f>
        <v>2026-02-16 16:36:38.211</v>
      </c>
      <c r="H811" t="s">
        <v>30</v>
      </c>
    </row>
    <row r="812" spans="1:10" x14ac:dyDescent="0.25">
      <c r="A812" s="1">
        <v>32</v>
      </c>
      <c r="B812" t="s">
        <v>19</v>
      </c>
      <c r="C812">
        <v>706</v>
      </c>
      <c r="D812">
        <v>4</v>
      </c>
      <c r="E812" t="s">
        <v>31</v>
      </c>
      <c r="F812" t="s">
        <v>32</v>
      </c>
      <c r="G812" t="str">
        <f>"2026-02-16 16:36:08.113"</f>
        <v>2026-02-16 16:36:08.113</v>
      </c>
      <c r="H812" t="s">
        <v>21</v>
      </c>
      <c r="I812">
        <v>0</v>
      </c>
      <c r="J812" t="s">
        <v>33</v>
      </c>
    </row>
    <row r="813" spans="1:10" x14ac:dyDescent="0.25">
      <c r="A813" s="1">
        <v>33</v>
      </c>
      <c r="B813" t="s">
        <v>34</v>
      </c>
      <c r="C813">
        <v>630</v>
      </c>
      <c r="D813">
        <v>5</v>
      </c>
      <c r="E813" t="s">
        <v>28</v>
      </c>
      <c r="F813" t="s">
        <v>29</v>
      </c>
      <c r="G813" t="str">
        <f>"2026-02-16 16:26:59.711"</f>
        <v>2026-02-16 16:26:59.711</v>
      </c>
      <c r="H813" t="s">
        <v>30</v>
      </c>
      <c r="I813">
        <v>0</v>
      </c>
      <c r="J813" t="s">
        <v>33</v>
      </c>
    </row>
    <row r="814" spans="1:10" x14ac:dyDescent="0.25">
      <c r="A814" s="1">
        <v>34</v>
      </c>
      <c r="B814" t="s">
        <v>22</v>
      </c>
      <c r="C814">
        <v>635</v>
      </c>
      <c r="D814">
        <v>1</v>
      </c>
      <c r="E814" t="s">
        <v>23</v>
      </c>
      <c r="F814" t="s">
        <v>24</v>
      </c>
      <c r="G814" t="str">
        <f>"2026-02-15 22:36:29.163"</f>
        <v>2026-02-15 22:36:29.163</v>
      </c>
      <c r="H814" t="s">
        <v>21</v>
      </c>
    </row>
    <row r="815" spans="1:10" x14ac:dyDescent="0.25">
      <c r="A815" s="1">
        <v>35</v>
      </c>
      <c r="B815" t="s">
        <v>25</v>
      </c>
      <c r="C815">
        <v>635</v>
      </c>
      <c r="D815">
        <v>1</v>
      </c>
      <c r="E815" t="s">
        <v>23</v>
      </c>
      <c r="F815" t="s">
        <v>24</v>
      </c>
      <c r="G815" t="str">
        <f>"2026-02-15 22:28:34.164"</f>
        <v>2026-02-15 22:28:34.164</v>
      </c>
      <c r="H815" t="s">
        <v>21</v>
      </c>
      <c r="I815">
        <v>8.3800000000000008</v>
      </c>
      <c r="J815" t="s">
        <v>36</v>
      </c>
    </row>
    <row r="816" spans="1:10" x14ac:dyDescent="0.25">
      <c r="A816" s="1">
        <v>36</v>
      </c>
      <c r="B816" t="s">
        <v>41</v>
      </c>
      <c r="C816">
        <v>217</v>
      </c>
      <c r="D816">
        <v>7</v>
      </c>
      <c r="E816" t="s">
        <v>64</v>
      </c>
      <c r="F816" t="s">
        <v>65</v>
      </c>
      <c r="G816" t="str">
        <f>"2026-02-15 09:44:59.394"</f>
        <v>2026-02-15 09:44:59.394</v>
      </c>
      <c r="H816" t="s">
        <v>50</v>
      </c>
    </row>
    <row r="817" spans="1:10" x14ac:dyDescent="0.25">
      <c r="A817" s="1">
        <v>37</v>
      </c>
      <c r="B817" t="s">
        <v>34</v>
      </c>
      <c r="C817">
        <v>217</v>
      </c>
      <c r="D817">
        <v>7</v>
      </c>
      <c r="E817" t="s">
        <v>64</v>
      </c>
      <c r="F817" t="s">
        <v>65</v>
      </c>
      <c r="G817" t="str">
        <f>"2026-02-15 09:44:54.337"</f>
        <v>2026-02-15 09:44:54.337</v>
      </c>
      <c r="H817" t="s">
        <v>50</v>
      </c>
      <c r="I817">
        <v>15.09</v>
      </c>
      <c r="J817" t="s">
        <v>36</v>
      </c>
    </row>
    <row r="818" spans="1:10" x14ac:dyDescent="0.25">
      <c r="A818" s="1">
        <v>38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"2026-02-14 06:08:48.943"</f>
        <v>2026-02-14 06:08:48.943</v>
      </c>
      <c r="H818" t="s">
        <v>21</v>
      </c>
      <c r="I818">
        <v>0</v>
      </c>
      <c r="J818" t="s">
        <v>27</v>
      </c>
    </row>
    <row r="819" spans="1:10" x14ac:dyDescent="0.25">
      <c r="A819" s="1">
        <v>39</v>
      </c>
      <c r="B819" t="s">
        <v>19</v>
      </c>
      <c r="C819">
        <v>706</v>
      </c>
      <c r="D819">
        <v>2</v>
      </c>
      <c r="E819" t="s">
        <v>31</v>
      </c>
      <c r="F819" t="s">
        <v>35</v>
      </c>
      <c r="G819" t="str">
        <f>"2026-02-14 05:14:34.069"</f>
        <v>2026-02-14 05:14:34.069</v>
      </c>
      <c r="H819" t="s">
        <v>21</v>
      </c>
      <c r="I819">
        <v>0</v>
      </c>
      <c r="J819" t="s">
        <v>33</v>
      </c>
    </row>
    <row r="820" spans="1:10" x14ac:dyDescent="0.25">
      <c r="A820" s="1">
        <v>40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"2026-02-14 05:01:04.119"</f>
        <v>2026-02-14 05:01:04.119</v>
      </c>
      <c r="H820" t="s">
        <v>21</v>
      </c>
      <c r="I820">
        <v>0</v>
      </c>
      <c r="J820" t="s">
        <v>27</v>
      </c>
    </row>
    <row r="821" spans="1:10" x14ac:dyDescent="0.25">
      <c r="A821" s="1">
        <v>41</v>
      </c>
      <c r="B821" t="s">
        <v>34</v>
      </c>
      <c r="C821">
        <v>630</v>
      </c>
      <c r="D821">
        <v>5</v>
      </c>
      <c r="E821" t="s">
        <v>28</v>
      </c>
      <c r="F821" t="s">
        <v>29</v>
      </c>
      <c r="G821" t="str">
        <f>"2026-02-14 04:11:17.962"</f>
        <v>2026-02-14 04:11:17.962</v>
      </c>
      <c r="H821" t="s">
        <v>30</v>
      </c>
      <c r="I821">
        <v>0</v>
      </c>
      <c r="J821" t="s">
        <v>33</v>
      </c>
    </row>
    <row r="822" spans="1:10" x14ac:dyDescent="0.25">
      <c r="A822" s="1">
        <v>42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"2026-02-14 01:33:19.090"</f>
        <v>2026-02-14 01:33:19.090</v>
      </c>
      <c r="H822" t="s">
        <v>21</v>
      </c>
      <c r="I822">
        <v>0</v>
      </c>
      <c r="J822" t="s">
        <v>27</v>
      </c>
    </row>
    <row r="823" spans="1:10" x14ac:dyDescent="0.25">
      <c r="A823" s="1">
        <v>43</v>
      </c>
      <c r="B823" t="s">
        <v>22</v>
      </c>
      <c r="C823">
        <v>635</v>
      </c>
      <c r="D823">
        <v>1</v>
      </c>
      <c r="E823" t="s">
        <v>23</v>
      </c>
      <c r="F823" t="s">
        <v>24</v>
      </c>
      <c r="G823" t="str">
        <f>"2026-02-13 22:32:14.289"</f>
        <v>2026-02-13 22:32:14.289</v>
      </c>
      <c r="H823" t="s">
        <v>21</v>
      </c>
    </row>
    <row r="824" spans="1:10" x14ac:dyDescent="0.25">
      <c r="A824" s="1">
        <v>44</v>
      </c>
      <c r="B824" t="s">
        <v>25</v>
      </c>
      <c r="C824">
        <v>635</v>
      </c>
      <c r="D824">
        <v>1</v>
      </c>
      <c r="E824" t="s">
        <v>23</v>
      </c>
      <c r="F824" t="s">
        <v>24</v>
      </c>
      <c r="G824" t="str">
        <f>"2026-02-13 22:31:28.289"</f>
        <v>2026-02-13 22:31:28.289</v>
      </c>
      <c r="H824" t="s">
        <v>21</v>
      </c>
      <c r="I824">
        <v>9.18</v>
      </c>
      <c r="J824" t="s">
        <v>37</v>
      </c>
    </row>
    <row r="825" spans="1:10" x14ac:dyDescent="0.25">
      <c r="A825" s="1">
        <v>45</v>
      </c>
      <c r="B825" t="s">
        <v>22</v>
      </c>
      <c r="C825">
        <v>630</v>
      </c>
      <c r="D825">
        <v>5</v>
      </c>
      <c r="E825" t="s">
        <v>28</v>
      </c>
      <c r="F825" t="s">
        <v>29</v>
      </c>
      <c r="G825" t="str">
        <f>"2026-02-13 14:44:06.889"</f>
        <v>2026-02-13 14:44:06.889</v>
      </c>
      <c r="H825" t="s">
        <v>30</v>
      </c>
    </row>
    <row r="826" spans="1:10" x14ac:dyDescent="0.25">
      <c r="A826" s="1">
        <v>46</v>
      </c>
      <c r="B826" t="s">
        <v>19</v>
      </c>
      <c r="C826">
        <v>706</v>
      </c>
      <c r="D826">
        <v>4</v>
      </c>
      <c r="E826" t="s">
        <v>31</v>
      </c>
      <c r="F826" t="s">
        <v>32</v>
      </c>
      <c r="G826" t="str">
        <f>"2026-02-13 14:43:36.781"</f>
        <v>2026-02-13 14:43:36.781</v>
      </c>
      <c r="H826" t="s">
        <v>21</v>
      </c>
      <c r="I826">
        <v>0</v>
      </c>
      <c r="J826" t="s">
        <v>33</v>
      </c>
    </row>
    <row r="827" spans="1:10" x14ac:dyDescent="0.25">
      <c r="A827" s="1">
        <v>47</v>
      </c>
      <c r="B827" t="s">
        <v>34</v>
      </c>
      <c r="C827">
        <v>630</v>
      </c>
      <c r="D827">
        <v>5</v>
      </c>
      <c r="E827" t="s">
        <v>28</v>
      </c>
      <c r="F827" t="s">
        <v>29</v>
      </c>
      <c r="G827" t="str">
        <f>"2026-02-13 14:34:11.090"</f>
        <v>2026-02-13 14:34:11.090</v>
      </c>
      <c r="H827" t="s">
        <v>30</v>
      </c>
      <c r="I827">
        <v>0</v>
      </c>
      <c r="J827" t="s">
        <v>33</v>
      </c>
    </row>
    <row r="828" spans="1:10" x14ac:dyDescent="0.25">
      <c r="A828" s="1">
        <v>48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"2026-02-12 00:29:50.941"</f>
        <v>2026-02-12 00:29:50.941</v>
      </c>
      <c r="H828" t="s">
        <v>21</v>
      </c>
    </row>
    <row r="829" spans="1:10" x14ac:dyDescent="0.25">
      <c r="A829" s="1">
        <v>49</v>
      </c>
      <c r="B829" t="s">
        <v>22</v>
      </c>
      <c r="C829">
        <v>630</v>
      </c>
      <c r="D829">
        <v>5</v>
      </c>
      <c r="E829" t="s">
        <v>28</v>
      </c>
      <c r="F829" t="s">
        <v>29</v>
      </c>
      <c r="G829" t="str">
        <f>"2026-02-11 11:45:02.925"</f>
        <v>2026-02-11 11:45:02.925</v>
      </c>
      <c r="H829" t="s">
        <v>30</v>
      </c>
    </row>
    <row r="830" spans="1:10" x14ac:dyDescent="0.25">
      <c r="A830" s="1">
        <v>50</v>
      </c>
      <c r="B830" t="s">
        <v>19</v>
      </c>
      <c r="C830">
        <v>706</v>
      </c>
      <c r="D830">
        <v>4</v>
      </c>
      <c r="E830" t="s">
        <v>31</v>
      </c>
      <c r="F830" t="s">
        <v>32</v>
      </c>
      <c r="G830" t="str">
        <f>"2026-02-11 11:44:32.857"</f>
        <v>2026-02-11 11:44:32.857</v>
      </c>
      <c r="H830" t="s">
        <v>21</v>
      </c>
      <c r="I830">
        <v>0</v>
      </c>
      <c r="J830" t="s">
        <v>33</v>
      </c>
    </row>
    <row r="831" spans="1:10" x14ac:dyDescent="0.25">
      <c r="A831" s="1">
        <v>51</v>
      </c>
      <c r="B831" t="s">
        <v>34</v>
      </c>
      <c r="C831">
        <v>630</v>
      </c>
      <c r="D831">
        <v>5</v>
      </c>
      <c r="E831" t="s">
        <v>28</v>
      </c>
      <c r="F831" t="s">
        <v>29</v>
      </c>
      <c r="G831" t="str">
        <f>"2026-02-11 11:37:58.125"</f>
        <v>2026-02-11 11:37:58.125</v>
      </c>
      <c r="H831" t="s">
        <v>30</v>
      </c>
      <c r="I831">
        <v>0</v>
      </c>
      <c r="J831" t="s">
        <v>33</v>
      </c>
    </row>
    <row r="832" spans="1:10" x14ac:dyDescent="0.25">
      <c r="A832" s="1">
        <v>52</v>
      </c>
      <c r="B832" t="s">
        <v>22</v>
      </c>
      <c r="C832">
        <v>635</v>
      </c>
      <c r="D832">
        <v>1</v>
      </c>
      <c r="E832" t="s">
        <v>23</v>
      </c>
      <c r="F832" t="s">
        <v>24</v>
      </c>
      <c r="G832" t="str">
        <f>"2026-02-11 08:03:24.977"</f>
        <v>2026-02-11 08:03:24.977</v>
      </c>
      <c r="H832" t="s">
        <v>21</v>
      </c>
    </row>
    <row r="833" spans="1:10" x14ac:dyDescent="0.25">
      <c r="A833" s="1">
        <v>53</v>
      </c>
      <c r="B833" t="s">
        <v>25</v>
      </c>
      <c r="C833">
        <v>635</v>
      </c>
      <c r="D833">
        <v>1</v>
      </c>
      <c r="E833" t="s">
        <v>23</v>
      </c>
      <c r="F833" t="s">
        <v>24</v>
      </c>
      <c r="G833" t="str">
        <f>"2026-02-11 08:00:23.977"</f>
        <v>2026-02-11 08:00:23.977</v>
      </c>
      <c r="H833" t="s">
        <v>21</v>
      </c>
      <c r="I833">
        <v>0</v>
      </c>
      <c r="J833" t="s">
        <v>26</v>
      </c>
    </row>
    <row r="834" spans="1:10" x14ac:dyDescent="0.25">
      <c r="A834" s="1">
        <v>54</v>
      </c>
      <c r="B834" t="s">
        <v>22</v>
      </c>
      <c r="C834">
        <v>635</v>
      </c>
      <c r="D834">
        <v>1</v>
      </c>
      <c r="E834" t="s">
        <v>23</v>
      </c>
      <c r="F834" t="s">
        <v>24</v>
      </c>
      <c r="G834" t="str">
        <f>"2026-02-10 16:53:56.877"</f>
        <v>2026-02-10 16:53:56.877</v>
      </c>
      <c r="H834" t="s">
        <v>21</v>
      </c>
    </row>
    <row r="835" spans="1:10" x14ac:dyDescent="0.25">
      <c r="A835" s="1">
        <v>55</v>
      </c>
      <c r="B835" t="s">
        <v>25</v>
      </c>
      <c r="C835">
        <v>635</v>
      </c>
      <c r="D835">
        <v>1</v>
      </c>
      <c r="E835" t="s">
        <v>23</v>
      </c>
      <c r="F835" t="s">
        <v>24</v>
      </c>
      <c r="G835" t="str">
        <f>"2026-02-10 16:47:52.877"</f>
        <v>2026-02-10 16:47:52.877</v>
      </c>
      <c r="H835" t="s">
        <v>21</v>
      </c>
      <c r="I835">
        <v>0.86</v>
      </c>
      <c r="J835" t="s">
        <v>37</v>
      </c>
    </row>
    <row r="836" spans="1:10" x14ac:dyDescent="0.25">
      <c r="A836" s="1">
        <v>56</v>
      </c>
      <c r="B836" t="s">
        <v>22</v>
      </c>
      <c r="C836">
        <v>630</v>
      </c>
      <c r="D836">
        <v>5</v>
      </c>
      <c r="E836" t="s">
        <v>28</v>
      </c>
      <c r="F836" t="s">
        <v>29</v>
      </c>
      <c r="G836" t="str">
        <f>"2026-02-10 16:25:47.125"</f>
        <v>2026-02-10 16:25:47.125</v>
      </c>
      <c r="H836" t="s">
        <v>30</v>
      </c>
    </row>
    <row r="837" spans="1:10" x14ac:dyDescent="0.25">
      <c r="A837" s="1">
        <v>57</v>
      </c>
      <c r="B837" t="s">
        <v>19</v>
      </c>
      <c r="C837">
        <v>706</v>
      </c>
      <c r="D837">
        <v>4</v>
      </c>
      <c r="E837" t="s">
        <v>31</v>
      </c>
      <c r="F837" t="s">
        <v>32</v>
      </c>
      <c r="G837" t="str">
        <f>"2026-02-10 16:25:17.097"</f>
        <v>2026-02-10 16:25:17.097</v>
      </c>
      <c r="H837" t="s">
        <v>21</v>
      </c>
      <c r="I837">
        <v>0</v>
      </c>
      <c r="J837" t="s">
        <v>33</v>
      </c>
    </row>
    <row r="838" spans="1:10" x14ac:dyDescent="0.25">
      <c r="A838" s="1">
        <v>58</v>
      </c>
      <c r="B838" t="s">
        <v>34</v>
      </c>
      <c r="C838">
        <v>630</v>
      </c>
      <c r="D838">
        <v>5</v>
      </c>
      <c r="E838" t="s">
        <v>28</v>
      </c>
      <c r="F838" t="s">
        <v>29</v>
      </c>
      <c r="G838" t="str">
        <f>"2026-02-10 16:15:42.126"</f>
        <v>2026-02-10 16:15:42.126</v>
      </c>
      <c r="H838" t="s">
        <v>30</v>
      </c>
      <c r="I838">
        <v>0</v>
      </c>
      <c r="J838" t="s">
        <v>33</v>
      </c>
    </row>
    <row r="839" spans="1:10" x14ac:dyDescent="0.25">
      <c r="A839" s="1">
        <v>59</v>
      </c>
      <c r="B839" t="s">
        <v>22</v>
      </c>
      <c r="C839">
        <v>61</v>
      </c>
      <c r="D839">
        <v>2</v>
      </c>
      <c r="E839" t="s">
        <v>58</v>
      </c>
      <c r="F839" t="s">
        <v>59</v>
      </c>
      <c r="G839" t="str">
        <f>"2026-02-10 13:17:21.738"</f>
        <v>2026-02-10 13:17:21.738</v>
      </c>
      <c r="H839" t="s">
        <v>21</v>
      </c>
    </row>
    <row r="840" spans="1:10" x14ac:dyDescent="0.25">
      <c r="A840" s="1">
        <v>60</v>
      </c>
      <c r="B840" t="s">
        <v>34</v>
      </c>
      <c r="C840">
        <v>61</v>
      </c>
      <c r="D840">
        <v>2</v>
      </c>
      <c r="E840" t="s">
        <v>58</v>
      </c>
      <c r="F840" t="s">
        <v>59</v>
      </c>
      <c r="G840" t="str">
        <f>"2026-02-10 13:17:11.038"</f>
        <v>2026-02-10 13:17:11.038</v>
      </c>
      <c r="H840" t="s">
        <v>21</v>
      </c>
      <c r="I840">
        <v>37.299999999999997</v>
      </c>
      <c r="J840" t="s">
        <v>37</v>
      </c>
    </row>
    <row r="841" spans="1:10" x14ac:dyDescent="0.25">
      <c r="A841" s="1">
        <v>61</v>
      </c>
      <c r="B841" t="s">
        <v>19</v>
      </c>
      <c r="C841">
        <v>706</v>
      </c>
      <c r="D841">
        <v>4</v>
      </c>
      <c r="E841" t="s">
        <v>31</v>
      </c>
      <c r="F841" t="s">
        <v>32</v>
      </c>
      <c r="G841" t="str">
        <f>"2026-02-10 10:48:01.037"</f>
        <v>2026-02-10 10:48:01.037</v>
      </c>
      <c r="H841" t="s">
        <v>21</v>
      </c>
      <c r="I841">
        <v>0</v>
      </c>
      <c r="J841" t="s">
        <v>33</v>
      </c>
    </row>
    <row r="842" spans="1:10" x14ac:dyDescent="0.25">
      <c r="A842" s="1">
        <v>62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"2026-02-10 10:46:41.937"</f>
        <v>2026-02-10 10:46:41.937</v>
      </c>
      <c r="H842" t="s">
        <v>21</v>
      </c>
      <c r="I842">
        <v>0</v>
      </c>
      <c r="J842" t="s">
        <v>27</v>
      </c>
    </row>
    <row r="843" spans="1:10" x14ac:dyDescent="0.25">
      <c r="A843" s="1">
        <v>63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"2026-02-10 10:44:27.968"</f>
        <v>2026-02-10 10:44:27.968</v>
      </c>
      <c r="H843" t="s">
        <v>21</v>
      </c>
    </row>
    <row r="844" spans="1:10" x14ac:dyDescent="0.25">
      <c r="A844" s="1">
        <v>64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"2026-02-10 08:00:18.939"</f>
        <v>2026-02-10 08:00:18.939</v>
      </c>
      <c r="H844" t="s">
        <v>21</v>
      </c>
      <c r="I844">
        <v>0</v>
      </c>
      <c r="J844" t="s">
        <v>27</v>
      </c>
    </row>
    <row r="845" spans="1:10" x14ac:dyDescent="0.25">
      <c r="A845" s="1">
        <v>65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"2026-02-10 07:59:25.941"</f>
        <v>2026-02-10 07:59:25.941</v>
      </c>
      <c r="H845" t="s">
        <v>21</v>
      </c>
      <c r="I845">
        <v>0</v>
      </c>
      <c r="J845" t="s">
        <v>27</v>
      </c>
    </row>
    <row r="846" spans="1:10" x14ac:dyDescent="0.25">
      <c r="A846" s="1">
        <v>66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"2026-02-10 07:55:25.960"</f>
        <v>2026-02-10 07:55:25.960</v>
      </c>
      <c r="H846" t="s">
        <v>21</v>
      </c>
      <c r="I846">
        <v>0</v>
      </c>
      <c r="J846" t="s">
        <v>27</v>
      </c>
    </row>
    <row r="847" spans="1:10" x14ac:dyDescent="0.25">
      <c r="A847" s="1">
        <v>67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"2026-02-10 01:14:17.118"</f>
        <v>2026-02-10 01:14:17.118</v>
      </c>
      <c r="H847" t="s">
        <v>21</v>
      </c>
    </row>
    <row r="848" spans="1:10" x14ac:dyDescent="0.25">
      <c r="A848" s="1">
        <v>68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"2026-02-08 09:57:22.945"</f>
        <v>2026-02-08 09:57:22.945</v>
      </c>
      <c r="H848" t="s">
        <v>21</v>
      </c>
    </row>
    <row r="849" spans="1:10" s="3" customFormat="1" x14ac:dyDescent="0.25">
      <c r="A849" s="2">
        <v>69</v>
      </c>
      <c r="B849" s="3" t="s">
        <v>22</v>
      </c>
      <c r="C849" s="3">
        <v>647</v>
      </c>
      <c r="D849" s="3">
        <v>1</v>
      </c>
      <c r="E849" s="3" t="s">
        <v>39</v>
      </c>
      <c r="F849" s="3" t="s">
        <v>40</v>
      </c>
      <c r="G849" s="3" t="str">
        <f>"2026-02-08 08:12:50.615"</f>
        <v>2026-02-08 08:12:50.615</v>
      </c>
      <c r="H849" s="3" t="s">
        <v>21</v>
      </c>
    </row>
    <row r="850" spans="1:10" s="3" customFormat="1" x14ac:dyDescent="0.25">
      <c r="A850" s="2">
        <v>70</v>
      </c>
      <c r="B850" s="3" t="s">
        <v>25</v>
      </c>
      <c r="C850" s="3">
        <v>647</v>
      </c>
      <c r="D850" s="3">
        <v>1</v>
      </c>
      <c r="E850" s="3" t="s">
        <v>39</v>
      </c>
      <c r="F850" s="3" t="s">
        <v>40</v>
      </c>
      <c r="G850" s="3" t="str">
        <f>"2026-02-08 08:12:47.115"</f>
        <v>2026-02-08 08:12:47.115</v>
      </c>
      <c r="H850" s="3" t="s">
        <v>21</v>
      </c>
      <c r="I850" s="3">
        <v>9.34</v>
      </c>
      <c r="J850" s="3" t="s">
        <v>37</v>
      </c>
    </row>
    <row r="851" spans="1:10" x14ac:dyDescent="0.25">
      <c r="A851" s="1">
        <v>71</v>
      </c>
      <c r="B851" t="s">
        <v>22</v>
      </c>
      <c r="C851">
        <v>635</v>
      </c>
      <c r="D851">
        <v>1</v>
      </c>
      <c r="E851" t="s">
        <v>23</v>
      </c>
      <c r="F851" t="s">
        <v>24</v>
      </c>
      <c r="G851" t="str">
        <f>"2026-02-08 06:36:13.766"</f>
        <v>2026-02-08 06:36:13.766</v>
      </c>
      <c r="H851" t="s">
        <v>21</v>
      </c>
    </row>
    <row r="852" spans="1:10" x14ac:dyDescent="0.25">
      <c r="A852" s="1">
        <v>72</v>
      </c>
      <c r="B852" t="s">
        <v>25</v>
      </c>
      <c r="C852">
        <v>635</v>
      </c>
      <c r="D852">
        <v>1</v>
      </c>
      <c r="E852" t="s">
        <v>23</v>
      </c>
      <c r="F852" t="s">
        <v>24</v>
      </c>
      <c r="G852" t="str">
        <f>"2026-02-08 06:34:32.766"</f>
        <v>2026-02-08 06:34:32.766</v>
      </c>
      <c r="H852" t="s">
        <v>21</v>
      </c>
      <c r="I852">
        <v>7.53</v>
      </c>
      <c r="J852" t="s">
        <v>36</v>
      </c>
    </row>
    <row r="853" spans="1:10" x14ac:dyDescent="0.25">
      <c r="A853" s="1">
        <v>73</v>
      </c>
      <c r="B853" t="s">
        <v>22</v>
      </c>
      <c r="C853">
        <v>630</v>
      </c>
      <c r="D853">
        <v>5</v>
      </c>
      <c r="E853" t="s">
        <v>28</v>
      </c>
      <c r="F853" t="s">
        <v>29</v>
      </c>
      <c r="G853" t="str">
        <f>"2026-02-07 10:00:17.215"</f>
        <v>2026-02-07 10:00:17.215</v>
      </c>
      <c r="H853" t="s">
        <v>30</v>
      </c>
    </row>
    <row r="854" spans="1:10" x14ac:dyDescent="0.25">
      <c r="A854" s="1">
        <v>74</v>
      </c>
      <c r="B854" t="s">
        <v>19</v>
      </c>
      <c r="C854">
        <v>706</v>
      </c>
      <c r="D854">
        <v>4</v>
      </c>
      <c r="E854" t="s">
        <v>31</v>
      </c>
      <c r="F854" t="s">
        <v>32</v>
      </c>
      <c r="G854" t="str">
        <f>"2026-02-07 09:59:47.234"</f>
        <v>2026-02-07 09:59:47.234</v>
      </c>
      <c r="H854" t="s">
        <v>21</v>
      </c>
      <c r="I854">
        <v>0</v>
      </c>
      <c r="J854" t="s">
        <v>33</v>
      </c>
    </row>
    <row r="855" spans="1:10" x14ac:dyDescent="0.25">
      <c r="A855" s="1">
        <v>75</v>
      </c>
      <c r="B855" t="s">
        <v>34</v>
      </c>
      <c r="C855">
        <v>630</v>
      </c>
      <c r="D855">
        <v>5</v>
      </c>
      <c r="E855" t="s">
        <v>28</v>
      </c>
      <c r="F855" t="s">
        <v>29</v>
      </c>
      <c r="G855" t="str">
        <f>"2026-02-07 09:54:49.815"</f>
        <v>2026-02-07 09:54:49.815</v>
      </c>
      <c r="H855" t="s">
        <v>30</v>
      </c>
      <c r="I855">
        <v>0</v>
      </c>
      <c r="J855" t="s">
        <v>33</v>
      </c>
    </row>
    <row r="856" spans="1:10" s="3" customFormat="1" x14ac:dyDescent="0.25">
      <c r="A856" s="2">
        <v>76</v>
      </c>
      <c r="B856" s="3" t="s">
        <v>22</v>
      </c>
      <c r="C856" s="3">
        <v>647</v>
      </c>
      <c r="D856" s="3">
        <v>1</v>
      </c>
      <c r="E856" s="3" t="s">
        <v>39</v>
      </c>
      <c r="F856" s="3" t="s">
        <v>40</v>
      </c>
      <c r="G856" s="3" t="str">
        <f>"2026-02-05 16:58:29.515"</f>
        <v>2026-02-05 16:58:29.515</v>
      </c>
      <c r="H856" s="3" t="s">
        <v>21</v>
      </c>
    </row>
    <row r="857" spans="1:10" s="3" customFormat="1" x14ac:dyDescent="0.25">
      <c r="A857" s="2">
        <v>77</v>
      </c>
      <c r="B857" s="3" t="s">
        <v>25</v>
      </c>
      <c r="C857" s="3">
        <v>647</v>
      </c>
      <c r="D857" s="3">
        <v>1</v>
      </c>
      <c r="E857" s="3" t="s">
        <v>39</v>
      </c>
      <c r="F857" s="3" t="s">
        <v>40</v>
      </c>
      <c r="G857" s="3" t="str">
        <f>"2026-02-05 16:58:24.615"</f>
        <v>2026-02-05 16:58:24.615</v>
      </c>
      <c r="H857" s="3" t="s">
        <v>21</v>
      </c>
      <c r="I857" s="3">
        <v>21.69</v>
      </c>
      <c r="J857" s="3" t="s">
        <v>37</v>
      </c>
    </row>
    <row r="858" spans="1:10" x14ac:dyDescent="0.25">
      <c r="A858" s="1">
        <v>78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"2026-02-05 01:09:10.114"</f>
        <v>2026-02-05 01:09:10.114</v>
      </c>
      <c r="H858" t="s">
        <v>21</v>
      </c>
    </row>
    <row r="859" spans="1:10" x14ac:dyDescent="0.25">
      <c r="A859" s="1">
        <v>79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"2026-02-04 01:09:23.926"</f>
        <v>2026-02-04 01:09:23.926</v>
      </c>
      <c r="H859" t="s">
        <v>21</v>
      </c>
    </row>
    <row r="860" spans="1:10" x14ac:dyDescent="0.25">
      <c r="A860" s="1">
        <v>80</v>
      </c>
      <c r="B860" t="s">
        <v>19</v>
      </c>
      <c r="C860">
        <v>706</v>
      </c>
      <c r="D860">
        <v>4</v>
      </c>
      <c r="E860" t="s">
        <v>31</v>
      </c>
      <c r="F860" t="s">
        <v>32</v>
      </c>
      <c r="G860" t="str">
        <f>"2026-02-03 18:17:54.109"</f>
        <v>2026-02-03 18:17:54.109</v>
      </c>
      <c r="H860" t="s">
        <v>21</v>
      </c>
      <c r="I860">
        <v>0</v>
      </c>
      <c r="J860" t="s">
        <v>33</v>
      </c>
    </row>
    <row r="861" spans="1:10" x14ac:dyDescent="0.25">
      <c r="A861" s="1">
        <v>81</v>
      </c>
      <c r="B861" t="s">
        <v>19</v>
      </c>
      <c r="C861">
        <v>706</v>
      </c>
      <c r="D861">
        <v>2</v>
      </c>
      <c r="E861" t="s">
        <v>31</v>
      </c>
      <c r="F861" t="s">
        <v>35</v>
      </c>
      <c r="G861" t="str">
        <f>"2026-02-03 17:26:38.679"</f>
        <v>2026-02-03 17:26:38.679</v>
      </c>
      <c r="H861" t="s">
        <v>21</v>
      </c>
      <c r="I861">
        <v>0</v>
      </c>
      <c r="J861" t="s">
        <v>33</v>
      </c>
    </row>
    <row r="862" spans="1:10" x14ac:dyDescent="0.25">
      <c r="A862" s="1">
        <v>82</v>
      </c>
      <c r="B862" t="s">
        <v>19</v>
      </c>
      <c r="C862">
        <v>706</v>
      </c>
      <c r="D862">
        <v>2</v>
      </c>
      <c r="E862" t="s">
        <v>31</v>
      </c>
      <c r="F862" t="s">
        <v>35</v>
      </c>
      <c r="G862" t="str">
        <f>"2026-02-03 17:21:33.479"</f>
        <v>2026-02-03 17:21:33.479</v>
      </c>
      <c r="H862" t="s">
        <v>21</v>
      </c>
      <c r="I862">
        <v>0</v>
      </c>
      <c r="J862" t="s">
        <v>33</v>
      </c>
    </row>
    <row r="863" spans="1:10" x14ac:dyDescent="0.25">
      <c r="A863" s="1">
        <v>83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"2026-02-03 16:55:56.939"</f>
        <v>2026-02-03 16:55:56.939</v>
      </c>
      <c r="H863" t="s">
        <v>21</v>
      </c>
      <c r="I863">
        <v>0</v>
      </c>
      <c r="J863" t="s">
        <v>27</v>
      </c>
    </row>
    <row r="864" spans="1:10" x14ac:dyDescent="0.25">
      <c r="A864" s="1">
        <v>84</v>
      </c>
      <c r="B864" t="s">
        <v>34</v>
      </c>
      <c r="C864">
        <v>630</v>
      </c>
      <c r="D864">
        <v>5</v>
      </c>
      <c r="E864" t="s">
        <v>28</v>
      </c>
      <c r="F864" t="s">
        <v>29</v>
      </c>
      <c r="G864" t="str">
        <f>"2026-02-03 15:26:02.017"</f>
        <v>2026-02-03 15:26:02.017</v>
      </c>
      <c r="H864" t="s">
        <v>30</v>
      </c>
      <c r="I864">
        <v>0</v>
      </c>
      <c r="J864" t="s">
        <v>33</v>
      </c>
    </row>
    <row r="865" spans="1:10" x14ac:dyDescent="0.25">
      <c r="A865" s="1">
        <v>85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"2026-02-03 15:20:59.167"</f>
        <v>2026-02-03 15:20:59.167</v>
      </c>
      <c r="H865" t="s">
        <v>21</v>
      </c>
    </row>
    <row r="866" spans="1:10" x14ac:dyDescent="0.25">
      <c r="A866" s="1">
        <v>86</v>
      </c>
      <c r="B866" t="s">
        <v>22</v>
      </c>
      <c r="C866">
        <v>635</v>
      </c>
      <c r="D866">
        <v>1</v>
      </c>
      <c r="E866" t="s">
        <v>23</v>
      </c>
      <c r="F866" t="s">
        <v>24</v>
      </c>
      <c r="G866" t="str">
        <f>"2026-02-02 18:42:24.358"</f>
        <v>2026-02-02 18:42:24.358</v>
      </c>
      <c r="H866" t="s">
        <v>21</v>
      </c>
    </row>
    <row r="867" spans="1:10" x14ac:dyDescent="0.25">
      <c r="A867" s="1">
        <v>87</v>
      </c>
      <c r="B867" t="s">
        <v>25</v>
      </c>
      <c r="C867">
        <v>635</v>
      </c>
      <c r="D867">
        <v>1</v>
      </c>
      <c r="E867" t="s">
        <v>23</v>
      </c>
      <c r="F867" t="s">
        <v>24</v>
      </c>
      <c r="G867" t="str">
        <f>"2026-02-02 18:37:23.858"</f>
        <v>2026-02-02 18:37:23.858</v>
      </c>
      <c r="H867" t="s">
        <v>21</v>
      </c>
      <c r="I867">
        <v>6.36</v>
      </c>
      <c r="J867" t="s">
        <v>36</v>
      </c>
    </row>
    <row r="868" spans="1:10" x14ac:dyDescent="0.25">
      <c r="A868" s="1">
        <v>88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"2026-02-02 01:25:38.919"</f>
        <v>2026-02-02 01:25:38.919</v>
      </c>
      <c r="H868" t="s">
        <v>21</v>
      </c>
      <c r="I868">
        <v>0</v>
      </c>
      <c r="J868" t="s">
        <v>27</v>
      </c>
    </row>
    <row r="869" spans="1:10" x14ac:dyDescent="0.25">
      <c r="A869" s="1">
        <v>89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"2026-02-01 10:04:11.097"</f>
        <v>2026-02-01 10:04:11.097</v>
      </c>
      <c r="H869" t="s">
        <v>21</v>
      </c>
      <c r="I869">
        <v>0</v>
      </c>
      <c r="J869" t="s">
        <v>27</v>
      </c>
    </row>
    <row r="870" spans="1:10" x14ac:dyDescent="0.25">
      <c r="A870" s="1">
        <v>90</v>
      </c>
      <c r="B870" t="s">
        <v>22</v>
      </c>
      <c r="C870">
        <v>635</v>
      </c>
      <c r="D870">
        <v>1</v>
      </c>
      <c r="E870" t="s">
        <v>23</v>
      </c>
      <c r="F870" t="s">
        <v>24</v>
      </c>
      <c r="G870" t="str">
        <f>"2026-01-30 18:41:33.872"</f>
        <v>2026-01-30 18:41:33.872</v>
      </c>
      <c r="H870" t="s">
        <v>21</v>
      </c>
    </row>
    <row r="871" spans="1:10" x14ac:dyDescent="0.25">
      <c r="A871" s="1">
        <v>91</v>
      </c>
      <c r="B871" t="s">
        <v>25</v>
      </c>
      <c r="C871">
        <v>635</v>
      </c>
      <c r="D871">
        <v>1</v>
      </c>
      <c r="E871" t="s">
        <v>23</v>
      </c>
      <c r="F871" t="s">
        <v>24</v>
      </c>
      <c r="G871" t="str">
        <f>"2026-01-30 18:32:44.872"</f>
        <v>2026-01-30 18:32:44.872</v>
      </c>
      <c r="H871" t="s">
        <v>21</v>
      </c>
      <c r="I871">
        <v>4.5</v>
      </c>
      <c r="J871" t="s">
        <v>36</v>
      </c>
    </row>
    <row r="872" spans="1:10" x14ac:dyDescent="0.25">
      <c r="A872" s="1">
        <v>92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"2026-01-30 01:15:49.934"</f>
        <v>2026-01-30 01:15:49.934</v>
      </c>
      <c r="H872" t="s">
        <v>21</v>
      </c>
      <c r="I872">
        <v>0</v>
      </c>
      <c r="J872" t="s">
        <v>27</v>
      </c>
    </row>
    <row r="873" spans="1:10" x14ac:dyDescent="0.25">
      <c r="A873" s="1">
        <v>93</v>
      </c>
      <c r="B873" t="s">
        <v>19</v>
      </c>
      <c r="C873">
        <v>706</v>
      </c>
      <c r="D873">
        <v>4</v>
      </c>
      <c r="E873" t="s">
        <v>31</v>
      </c>
      <c r="F873" t="s">
        <v>32</v>
      </c>
      <c r="G873" t="str">
        <f>"2026-01-29 11:38:33.076"</f>
        <v>2026-01-29 11:38:33.076</v>
      </c>
      <c r="H873" t="s">
        <v>21</v>
      </c>
      <c r="I873">
        <v>0</v>
      </c>
      <c r="J873" t="s">
        <v>33</v>
      </c>
    </row>
    <row r="874" spans="1:10" s="3" customFormat="1" x14ac:dyDescent="0.25">
      <c r="A874" s="2">
        <v>94</v>
      </c>
      <c r="B874" s="3" t="s">
        <v>22</v>
      </c>
      <c r="C874" s="3">
        <v>647</v>
      </c>
      <c r="D874" s="3">
        <v>1</v>
      </c>
      <c r="E874" s="3" t="s">
        <v>39</v>
      </c>
      <c r="F874" s="3" t="s">
        <v>40</v>
      </c>
      <c r="G874" s="3" t="str">
        <f>"2026-01-29 08:21:38.363"</f>
        <v>2026-01-29 08:21:38.363</v>
      </c>
      <c r="H874" s="3" t="s">
        <v>21</v>
      </c>
    </row>
    <row r="875" spans="1:10" s="3" customFormat="1" x14ac:dyDescent="0.25">
      <c r="A875" s="2">
        <v>95</v>
      </c>
      <c r="B875" s="3" t="s">
        <v>25</v>
      </c>
      <c r="C875" s="3">
        <v>647</v>
      </c>
      <c r="D875" s="3">
        <v>1</v>
      </c>
      <c r="E875" s="3" t="s">
        <v>39</v>
      </c>
      <c r="F875" s="3" t="s">
        <v>40</v>
      </c>
      <c r="G875" s="3" t="str">
        <f>"2026-01-29 08:21:36.863"</f>
        <v>2026-01-29 08:21:36.863</v>
      </c>
      <c r="H875" s="3" t="s">
        <v>21</v>
      </c>
      <c r="I875" s="3">
        <v>17.14</v>
      </c>
      <c r="J875" s="3" t="s">
        <v>37</v>
      </c>
    </row>
    <row r="876" spans="1:10" x14ac:dyDescent="0.25">
      <c r="A876" s="1">
        <v>96</v>
      </c>
      <c r="B876" t="s">
        <v>22</v>
      </c>
      <c r="C876">
        <v>635</v>
      </c>
      <c r="D876">
        <v>1</v>
      </c>
      <c r="E876" t="s">
        <v>23</v>
      </c>
      <c r="F876" t="s">
        <v>24</v>
      </c>
      <c r="G876" t="str">
        <f>"2026-01-29 08:10:42.062"</f>
        <v>2026-01-29 08:10:42.062</v>
      </c>
      <c r="H876" t="s">
        <v>21</v>
      </c>
    </row>
    <row r="877" spans="1:10" x14ac:dyDescent="0.25">
      <c r="A877" s="1">
        <v>97</v>
      </c>
      <c r="B877" t="s">
        <v>25</v>
      </c>
      <c r="C877">
        <v>635</v>
      </c>
      <c r="D877">
        <v>1</v>
      </c>
      <c r="E877" t="s">
        <v>23</v>
      </c>
      <c r="F877" t="s">
        <v>24</v>
      </c>
      <c r="G877" t="str">
        <f>"2026-01-29 08:01:27.663"</f>
        <v>2026-01-29 08:01:27.663</v>
      </c>
      <c r="H877" t="s">
        <v>21</v>
      </c>
      <c r="I877">
        <v>0.24</v>
      </c>
      <c r="J877" t="s">
        <v>36</v>
      </c>
    </row>
    <row r="878" spans="1:10" x14ac:dyDescent="0.25">
      <c r="A878" s="1">
        <v>98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"2026-01-27 01:46:19.956"</f>
        <v>2026-01-27 01:46:19.956</v>
      </c>
      <c r="H878" t="s">
        <v>21</v>
      </c>
    </row>
    <row r="879" spans="1:10" x14ac:dyDescent="0.25">
      <c r="A879" s="1">
        <v>99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"2026-01-25 17:23:22.930"</f>
        <v>2026-01-25 17:23:22.930</v>
      </c>
      <c r="H879" t="s">
        <v>21</v>
      </c>
    </row>
    <row r="880" spans="1:10" x14ac:dyDescent="0.25">
      <c r="A880" s="1">
        <v>0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"2026-01-25 17:02:52.946"</f>
        <v>2026-01-25 17:02:52.946</v>
      </c>
      <c r="H880" t="s">
        <v>21</v>
      </c>
      <c r="I880">
        <v>0</v>
      </c>
      <c r="J880" t="s">
        <v>27</v>
      </c>
    </row>
    <row r="881" spans="1:10" x14ac:dyDescent="0.25">
      <c r="A881" s="1">
        <v>1</v>
      </c>
      <c r="B881" t="s">
        <v>19</v>
      </c>
      <c r="C881">
        <v>706</v>
      </c>
      <c r="D881">
        <v>2</v>
      </c>
      <c r="E881" t="s">
        <v>31</v>
      </c>
      <c r="F881" t="s">
        <v>35</v>
      </c>
      <c r="G881" t="str">
        <f>"2026-01-25 12:53:23.688"</f>
        <v>2026-01-25 12:53:23.688</v>
      </c>
      <c r="H881" t="s">
        <v>21</v>
      </c>
      <c r="I881">
        <v>0</v>
      </c>
      <c r="J881" t="s">
        <v>33</v>
      </c>
    </row>
    <row r="882" spans="1:10" x14ac:dyDescent="0.25">
      <c r="A882" s="1">
        <v>2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"2026-01-25 12:52:59.948"</f>
        <v>2026-01-25 12:52:59.948</v>
      </c>
      <c r="H882" t="s">
        <v>21</v>
      </c>
      <c r="I882">
        <v>0</v>
      </c>
      <c r="J882" t="s">
        <v>27</v>
      </c>
    </row>
    <row r="883" spans="1:10" x14ac:dyDescent="0.25">
      <c r="A883" s="1">
        <v>3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"2026-01-25 11:39:28.930"</f>
        <v>2026-01-25 11:39:28.930</v>
      </c>
      <c r="H883" t="s">
        <v>21</v>
      </c>
    </row>
    <row r="884" spans="1:10" x14ac:dyDescent="0.25">
      <c r="A884" s="1">
        <v>4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"2026-01-25 11:22:37.937"</f>
        <v>2026-01-25 11:22:37.937</v>
      </c>
      <c r="H884" t="s">
        <v>21</v>
      </c>
      <c r="I884">
        <v>0</v>
      </c>
      <c r="J884" t="s">
        <v>27</v>
      </c>
    </row>
    <row r="885" spans="1:10" x14ac:dyDescent="0.25">
      <c r="A885" s="1">
        <v>5</v>
      </c>
      <c r="B885" t="s">
        <v>22</v>
      </c>
      <c r="C885">
        <v>635</v>
      </c>
      <c r="D885">
        <v>1</v>
      </c>
      <c r="E885" t="s">
        <v>23</v>
      </c>
      <c r="F885" t="s">
        <v>24</v>
      </c>
      <c r="G885" t="str">
        <f>"2026-01-25 08:48:12.111"</f>
        <v>2026-01-25 08:48:12.111</v>
      </c>
      <c r="H885" t="s">
        <v>21</v>
      </c>
    </row>
    <row r="886" spans="1:10" x14ac:dyDescent="0.25">
      <c r="A886" s="1">
        <v>6</v>
      </c>
      <c r="B886" t="s">
        <v>25</v>
      </c>
      <c r="C886">
        <v>635</v>
      </c>
      <c r="D886">
        <v>1</v>
      </c>
      <c r="E886" t="s">
        <v>23</v>
      </c>
      <c r="F886" t="s">
        <v>24</v>
      </c>
      <c r="G886" t="str">
        <f>"2026-01-25 08:31:49.612"</f>
        <v>2026-01-25 08:31:49.612</v>
      </c>
      <c r="H886" t="s">
        <v>21</v>
      </c>
      <c r="I886">
        <v>0.19</v>
      </c>
      <c r="J886" t="s">
        <v>36</v>
      </c>
    </row>
    <row r="887" spans="1:10" x14ac:dyDescent="0.25">
      <c r="A887" s="1">
        <v>7</v>
      </c>
      <c r="B887" t="s">
        <v>41</v>
      </c>
      <c r="C887">
        <v>215</v>
      </c>
      <c r="D887">
        <v>6</v>
      </c>
      <c r="E887" t="s">
        <v>42</v>
      </c>
      <c r="F887" t="s">
        <v>43</v>
      </c>
      <c r="G887" t="str">
        <f>"2026-01-24 13:36:40.165"</f>
        <v>2026-01-24 13:36:40.165</v>
      </c>
      <c r="H887" t="s">
        <v>21</v>
      </c>
    </row>
    <row r="888" spans="1:10" x14ac:dyDescent="0.25">
      <c r="A888" s="1">
        <v>8</v>
      </c>
      <c r="B888" t="s">
        <v>41</v>
      </c>
      <c r="C888">
        <v>115</v>
      </c>
      <c r="D888">
        <v>6</v>
      </c>
      <c r="E888" t="s">
        <v>44</v>
      </c>
      <c r="F888" t="s">
        <v>43</v>
      </c>
      <c r="G888" t="str">
        <f>"2026-01-24 13:36:40.065"</f>
        <v>2026-01-24 13:36:40.065</v>
      </c>
      <c r="H888" t="s">
        <v>21</v>
      </c>
    </row>
    <row r="889" spans="1:10" x14ac:dyDescent="0.25">
      <c r="A889" s="1">
        <v>9</v>
      </c>
      <c r="B889" t="s">
        <v>34</v>
      </c>
      <c r="C889">
        <v>215</v>
      </c>
      <c r="D889">
        <v>6</v>
      </c>
      <c r="E889" t="s">
        <v>42</v>
      </c>
      <c r="F889" t="s">
        <v>43</v>
      </c>
      <c r="G889" t="str">
        <f>"2026-01-24 13:36:35.001"</f>
        <v>2026-01-24 13:36:35.001</v>
      </c>
      <c r="H889" t="s">
        <v>21</v>
      </c>
      <c r="I889">
        <v>0</v>
      </c>
      <c r="J889" t="s">
        <v>33</v>
      </c>
    </row>
    <row r="890" spans="1:10" x14ac:dyDescent="0.25">
      <c r="A890" s="1">
        <v>10</v>
      </c>
      <c r="B890" t="s">
        <v>34</v>
      </c>
      <c r="C890">
        <v>115</v>
      </c>
      <c r="D890">
        <v>6</v>
      </c>
      <c r="E890" t="s">
        <v>44</v>
      </c>
      <c r="F890" t="s">
        <v>43</v>
      </c>
      <c r="G890" t="str">
        <f>"2026-01-24 13:36:34.996"</f>
        <v>2026-01-24 13:36:34.996</v>
      </c>
      <c r="H890" t="s">
        <v>21</v>
      </c>
      <c r="I890">
        <v>0</v>
      </c>
      <c r="J890" t="s">
        <v>33</v>
      </c>
    </row>
    <row r="891" spans="1:10" x14ac:dyDescent="0.25">
      <c r="A891" s="1">
        <v>11</v>
      </c>
      <c r="B891" t="s">
        <v>22</v>
      </c>
      <c r="C891">
        <v>6</v>
      </c>
      <c r="D891">
        <v>1</v>
      </c>
      <c r="E891" t="s">
        <v>45</v>
      </c>
      <c r="F891" t="s">
        <v>46</v>
      </c>
      <c r="G891" t="str">
        <f>"2026-01-24 13:36:34.867"</f>
        <v>2026-01-24 13:36:34.867</v>
      </c>
      <c r="H891" t="s">
        <v>47</v>
      </c>
    </row>
    <row r="892" spans="1:10" x14ac:dyDescent="0.25">
      <c r="A892" s="1">
        <v>12</v>
      </c>
      <c r="B892" t="s">
        <v>22</v>
      </c>
      <c r="C892">
        <v>75</v>
      </c>
      <c r="D892">
        <v>1</v>
      </c>
      <c r="E892" t="s">
        <v>48</v>
      </c>
      <c r="F892" t="s">
        <v>49</v>
      </c>
      <c r="G892" t="str">
        <f>"2026-01-24 13:36:34.865"</f>
        <v>2026-01-24 13:36:34.865</v>
      </c>
      <c r="H892" t="s">
        <v>50</v>
      </c>
    </row>
    <row r="893" spans="1:10" x14ac:dyDescent="0.25">
      <c r="A893" s="1">
        <v>13</v>
      </c>
      <c r="B893" t="s">
        <v>22</v>
      </c>
      <c r="C893">
        <v>74</v>
      </c>
      <c r="D893">
        <v>1</v>
      </c>
      <c r="E893" t="s">
        <v>51</v>
      </c>
      <c r="F893" t="s">
        <v>52</v>
      </c>
      <c r="G893" t="str">
        <f>"2026-01-24 13:36:34.863"</f>
        <v>2026-01-24 13:36:34.863</v>
      </c>
      <c r="H893" t="s">
        <v>53</v>
      </c>
    </row>
    <row r="894" spans="1:10" x14ac:dyDescent="0.25">
      <c r="A894" s="1">
        <v>14</v>
      </c>
      <c r="B894" t="s">
        <v>25</v>
      </c>
      <c r="C894">
        <v>75</v>
      </c>
      <c r="D894">
        <v>1</v>
      </c>
      <c r="E894" t="s">
        <v>48</v>
      </c>
      <c r="F894" t="s">
        <v>49</v>
      </c>
      <c r="G894" t="str">
        <f>"2026-01-24 13:36:23.463"</f>
        <v>2026-01-24 13:36:23.463</v>
      </c>
      <c r="H894" t="s">
        <v>50</v>
      </c>
      <c r="I894">
        <v>0</v>
      </c>
      <c r="J894" t="s">
        <v>33</v>
      </c>
    </row>
    <row r="895" spans="1:10" x14ac:dyDescent="0.25">
      <c r="A895" s="1">
        <v>15</v>
      </c>
      <c r="B895" t="s">
        <v>25</v>
      </c>
      <c r="C895">
        <v>74</v>
      </c>
      <c r="D895">
        <v>1</v>
      </c>
      <c r="E895" t="s">
        <v>51</v>
      </c>
      <c r="F895" t="s">
        <v>52</v>
      </c>
      <c r="G895" t="str">
        <f>"2026-01-24 13:36:23.458"</f>
        <v>2026-01-24 13:36:23.458</v>
      </c>
      <c r="H895" t="s">
        <v>53</v>
      </c>
      <c r="I895">
        <v>0</v>
      </c>
      <c r="J895" t="s">
        <v>33</v>
      </c>
    </row>
    <row r="896" spans="1:10" x14ac:dyDescent="0.25">
      <c r="A896" s="1">
        <v>16</v>
      </c>
      <c r="B896" t="s">
        <v>34</v>
      </c>
      <c r="C896">
        <v>6</v>
      </c>
      <c r="D896">
        <v>1</v>
      </c>
      <c r="E896" t="s">
        <v>45</v>
      </c>
      <c r="F896" t="s">
        <v>46</v>
      </c>
      <c r="G896" t="str">
        <f>"2026-01-24 13:36:23.453"</f>
        <v>2026-01-24 13:36:23.453</v>
      </c>
      <c r="H896" t="s">
        <v>47</v>
      </c>
      <c r="I896">
        <v>0</v>
      </c>
      <c r="J896" t="s">
        <v>33</v>
      </c>
    </row>
    <row r="897" spans="1:10" x14ac:dyDescent="0.25">
      <c r="A897" s="1">
        <v>20</v>
      </c>
      <c r="B897" t="s">
        <v>22</v>
      </c>
      <c r="C897">
        <v>635</v>
      </c>
      <c r="D897">
        <v>1</v>
      </c>
      <c r="E897" t="s">
        <v>23</v>
      </c>
      <c r="F897" t="s">
        <v>24</v>
      </c>
      <c r="G897" t="str">
        <f>"2026-01-24 12:14:00.931"</f>
        <v>2026-01-24 12:14:00.931</v>
      </c>
      <c r="H897" t="s">
        <v>21</v>
      </c>
    </row>
    <row r="898" spans="1:10" x14ac:dyDescent="0.25">
      <c r="A898" s="1">
        <v>21</v>
      </c>
      <c r="B898" t="s">
        <v>25</v>
      </c>
      <c r="C898">
        <v>635</v>
      </c>
      <c r="D898">
        <v>1</v>
      </c>
      <c r="E898" t="s">
        <v>23</v>
      </c>
      <c r="F898" t="s">
        <v>24</v>
      </c>
      <c r="G898" t="str">
        <f>"2026-01-24 12:10:55.431"</f>
        <v>2026-01-24 12:10:55.431</v>
      </c>
      <c r="H898" t="s">
        <v>21</v>
      </c>
      <c r="I898">
        <v>0</v>
      </c>
      <c r="J898" t="s">
        <v>26</v>
      </c>
    </row>
    <row r="899" spans="1:10" x14ac:dyDescent="0.25">
      <c r="A899" s="1">
        <v>22</v>
      </c>
      <c r="B899" t="s">
        <v>22</v>
      </c>
      <c r="C899">
        <v>635</v>
      </c>
      <c r="D899">
        <v>1</v>
      </c>
      <c r="E899" t="s">
        <v>23</v>
      </c>
      <c r="F899" t="s">
        <v>24</v>
      </c>
      <c r="G899" t="str">
        <f>"2026-01-24 04:22:18.631"</f>
        <v>2026-01-24 04:22:18.631</v>
      </c>
      <c r="H899" t="s">
        <v>21</v>
      </c>
    </row>
    <row r="900" spans="1:10" x14ac:dyDescent="0.25">
      <c r="A900" s="1">
        <v>23</v>
      </c>
      <c r="B900" t="s">
        <v>25</v>
      </c>
      <c r="C900">
        <v>635</v>
      </c>
      <c r="D900">
        <v>1</v>
      </c>
      <c r="E900" t="s">
        <v>23</v>
      </c>
      <c r="F900" t="s">
        <v>24</v>
      </c>
      <c r="G900" t="str">
        <f>"2026-01-24 04:18:45.631"</f>
        <v>2026-01-24 04:18:45.631</v>
      </c>
      <c r="H900" t="s">
        <v>21</v>
      </c>
      <c r="I900">
        <v>3.53</v>
      </c>
      <c r="J900" t="s">
        <v>37</v>
      </c>
    </row>
    <row r="901" spans="1:10" x14ac:dyDescent="0.25">
      <c r="A901" s="1">
        <v>24</v>
      </c>
      <c r="B901" t="s">
        <v>22</v>
      </c>
      <c r="C901">
        <v>635</v>
      </c>
      <c r="D901">
        <v>1</v>
      </c>
      <c r="E901" t="s">
        <v>23</v>
      </c>
      <c r="F901" t="s">
        <v>24</v>
      </c>
      <c r="G901" t="str">
        <f>"2026-01-24 03:24:34.231"</f>
        <v>2026-01-24 03:24:34.231</v>
      </c>
      <c r="H901" t="s">
        <v>21</v>
      </c>
    </row>
    <row r="902" spans="1:10" x14ac:dyDescent="0.25">
      <c r="A902" s="1">
        <v>25</v>
      </c>
      <c r="B902" t="s">
        <v>25</v>
      </c>
      <c r="C902">
        <v>635</v>
      </c>
      <c r="D902">
        <v>1</v>
      </c>
      <c r="E902" t="s">
        <v>23</v>
      </c>
      <c r="F902" t="s">
        <v>24</v>
      </c>
      <c r="G902" t="str">
        <f>"2026-01-24 03:21:09.731"</f>
        <v>2026-01-24 03:21:09.731</v>
      </c>
      <c r="H902" t="s">
        <v>21</v>
      </c>
      <c r="I902">
        <v>8.5500000000000007</v>
      </c>
      <c r="J902" t="s">
        <v>26</v>
      </c>
    </row>
    <row r="903" spans="1:10" x14ac:dyDescent="0.25">
      <c r="A903" s="1">
        <v>26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"2026-01-24 01:14:59.971"</f>
        <v>2026-01-24 01:14:59.971</v>
      </c>
      <c r="H903" t="s">
        <v>21</v>
      </c>
    </row>
    <row r="904" spans="1:10" x14ac:dyDescent="0.25">
      <c r="A904" s="1">
        <v>27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"2026-01-23 17:49:55.930"</f>
        <v>2026-01-23 17:49:55.930</v>
      </c>
      <c r="H904" t="s">
        <v>21</v>
      </c>
      <c r="I904">
        <v>0</v>
      </c>
      <c r="J904" t="s">
        <v>27</v>
      </c>
    </row>
    <row r="905" spans="1:10" x14ac:dyDescent="0.25">
      <c r="A905" s="1">
        <v>28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"2026-01-23 17:20:21.920"</f>
        <v>2026-01-23 17:20:21.920</v>
      </c>
      <c r="H905" t="s">
        <v>21</v>
      </c>
    </row>
    <row r="906" spans="1:10" x14ac:dyDescent="0.25">
      <c r="A906" s="1">
        <v>29</v>
      </c>
      <c r="B906" t="s">
        <v>19</v>
      </c>
      <c r="C906">
        <v>706</v>
      </c>
      <c r="D906">
        <v>2</v>
      </c>
      <c r="E906" t="s">
        <v>31</v>
      </c>
      <c r="F906" t="s">
        <v>35</v>
      </c>
      <c r="G906" t="str">
        <f>"2026-01-23 17:10:57.135"</f>
        <v>2026-01-23 17:10:57.135</v>
      </c>
      <c r="H906" t="s">
        <v>21</v>
      </c>
      <c r="I906">
        <v>0</v>
      </c>
      <c r="J906" t="s">
        <v>33</v>
      </c>
    </row>
    <row r="907" spans="1:10" x14ac:dyDescent="0.25">
      <c r="A907" s="1">
        <v>30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"2026-01-23 17:07:12.925"</f>
        <v>2026-01-23 17:07:12.925</v>
      </c>
      <c r="H907" t="s">
        <v>21</v>
      </c>
    </row>
    <row r="908" spans="1:10" x14ac:dyDescent="0.25">
      <c r="A908" s="1">
        <v>31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"2026-01-23 15:01:20.960"</f>
        <v>2026-01-23 15:01:20.960</v>
      </c>
      <c r="H908" t="s">
        <v>21</v>
      </c>
      <c r="I908">
        <v>0</v>
      </c>
      <c r="J908" t="s">
        <v>27</v>
      </c>
    </row>
    <row r="909" spans="1:10" x14ac:dyDescent="0.25">
      <c r="A909" s="1">
        <v>32</v>
      </c>
      <c r="B909" t="s">
        <v>34</v>
      </c>
      <c r="C909">
        <v>630</v>
      </c>
      <c r="D909">
        <v>5</v>
      </c>
      <c r="E909" t="s">
        <v>28</v>
      </c>
      <c r="F909" t="s">
        <v>29</v>
      </c>
      <c r="G909" t="str">
        <f>"2026-01-23 14:30:59.467"</f>
        <v>2026-01-23 14:30:59.467</v>
      </c>
      <c r="H909" t="s">
        <v>30</v>
      </c>
      <c r="I909">
        <v>0</v>
      </c>
      <c r="J909" t="s">
        <v>33</v>
      </c>
    </row>
    <row r="910" spans="1:10" x14ac:dyDescent="0.25">
      <c r="A910" s="1">
        <v>33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"2026-01-23 01:02:10.928"</f>
        <v>2026-01-23 01:02:10.928</v>
      </c>
      <c r="H910" t="s">
        <v>21</v>
      </c>
      <c r="I910">
        <v>0</v>
      </c>
      <c r="J910" t="s">
        <v>27</v>
      </c>
    </row>
    <row r="911" spans="1:10" x14ac:dyDescent="0.25">
      <c r="A911" s="1">
        <v>34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"2026-01-22 00:32:33.927"</f>
        <v>2026-01-22 00:32:33.927</v>
      </c>
      <c r="H911" t="s">
        <v>21</v>
      </c>
    </row>
    <row r="912" spans="1:10" x14ac:dyDescent="0.25">
      <c r="A912" s="1">
        <v>35</v>
      </c>
      <c r="B912" t="s">
        <v>22</v>
      </c>
      <c r="C912">
        <v>635</v>
      </c>
      <c r="D912">
        <v>1</v>
      </c>
      <c r="E912" t="s">
        <v>23</v>
      </c>
      <c r="F912" t="s">
        <v>24</v>
      </c>
      <c r="G912" t="str">
        <f>"2026-01-20 10:52:14.386"</f>
        <v>2026-01-20 10:52:14.386</v>
      </c>
      <c r="H912" t="s">
        <v>21</v>
      </c>
    </row>
    <row r="913" spans="1:10" x14ac:dyDescent="0.25">
      <c r="A913" s="1">
        <v>36</v>
      </c>
      <c r="B913" t="s">
        <v>25</v>
      </c>
      <c r="C913">
        <v>635</v>
      </c>
      <c r="D913">
        <v>1</v>
      </c>
      <c r="E913" t="s">
        <v>23</v>
      </c>
      <c r="F913" t="s">
        <v>24</v>
      </c>
      <c r="G913" t="str">
        <f>"2026-01-20 10:46:06.886"</f>
        <v>2026-01-20 10:46:06.886</v>
      </c>
      <c r="H913" t="s">
        <v>21</v>
      </c>
      <c r="I913">
        <v>4.8899999999999997</v>
      </c>
      <c r="J913" t="s">
        <v>36</v>
      </c>
    </row>
    <row r="914" spans="1:10" x14ac:dyDescent="0.25">
      <c r="A914" s="1">
        <v>37</v>
      </c>
      <c r="B914" t="s">
        <v>22</v>
      </c>
      <c r="C914">
        <v>635</v>
      </c>
      <c r="D914">
        <v>1</v>
      </c>
      <c r="E914" t="s">
        <v>23</v>
      </c>
      <c r="F914" t="s">
        <v>24</v>
      </c>
      <c r="G914" t="str">
        <f>"2026-01-20 07:24:39.186"</f>
        <v>2026-01-20 07:24:39.186</v>
      </c>
      <c r="H914" t="s">
        <v>21</v>
      </c>
    </row>
    <row r="915" spans="1:10" x14ac:dyDescent="0.25">
      <c r="A915" s="1">
        <v>38</v>
      </c>
      <c r="B915" t="s">
        <v>25</v>
      </c>
      <c r="C915">
        <v>635</v>
      </c>
      <c r="D915">
        <v>1</v>
      </c>
      <c r="E915" t="s">
        <v>23</v>
      </c>
      <c r="F915" t="s">
        <v>24</v>
      </c>
      <c r="G915" t="str">
        <f>"2026-01-20 07:22:31.186"</f>
        <v>2026-01-20 07:22:31.186</v>
      </c>
      <c r="H915" t="s">
        <v>21</v>
      </c>
      <c r="I915">
        <v>7.95</v>
      </c>
      <c r="J915" t="s">
        <v>36</v>
      </c>
    </row>
    <row r="916" spans="1:10" x14ac:dyDescent="0.25">
      <c r="A916" s="1">
        <v>40</v>
      </c>
      <c r="B916" t="s">
        <v>22</v>
      </c>
      <c r="C916">
        <v>635</v>
      </c>
      <c r="D916">
        <v>1</v>
      </c>
      <c r="E916" t="s">
        <v>23</v>
      </c>
      <c r="F916" t="s">
        <v>24</v>
      </c>
      <c r="G916" t="str">
        <f>"2026-01-19 18:42:40.886"</f>
        <v>2026-01-19 18:42:40.886</v>
      </c>
      <c r="H916" t="s">
        <v>21</v>
      </c>
    </row>
    <row r="917" spans="1:10" x14ac:dyDescent="0.25">
      <c r="A917" s="1">
        <v>41</v>
      </c>
      <c r="B917" t="s">
        <v>25</v>
      </c>
      <c r="C917">
        <v>635</v>
      </c>
      <c r="D917">
        <v>1</v>
      </c>
      <c r="E917" t="s">
        <v>23</v>
      </c>
      <c r="F917" t="s">
        <v>24</v>
      </c>
      <c r="G917" t="str">
        <f>"2026-01-19 18:38:50.886"</f>
        <v>2026-01-19 18:38:50.886</v>
      </c>
      <c r="H917" t="s">
        <v>21</v>
      </c>
      <c r="I917">
        <v>0.2</v>
      </c>
      <c r="J917" t="s">
        <v>26</v>
      </c>
    </row>
    <row r="918" spans="1:10" x14ac:dyDescent="0.25">
      <c r="A918" s="1">
        <v>42</v>
      </c>
      <c r="B918" t="s">
        <v>22</v>
      </c>
      <c r="C918">
        <v>61</v>
      </c>
      <c r="D918">
        <v>2</v>
      </c>
      <c r="E918" t="s">
        <v>58</v>
      </c>
      <c r="F918" t="s">
        <v>59</v>
      </c>
      <c r="G918" t="str">
        <f>"2026-01-19 15:09:06.146"</f>
        <v>2026-01-19 15:09:06.146</v>
      </c>
      <c r="H918" t="s">
        <v>21</v>
      </c>
    </row>
    <row r="919" spans="1:10" x14ac:dyDescent="0.25">
      <c r="A919" s="1">
        <v>43</v>
      </c>
      <c r="B919" t="s">
        <v>34</v>
      </c>
      <c r="C919">
        <v>61</v>
      </c>
      <c r="D919">
        <v>2</v>
      </c>
      <c r="E919" t="s">
        <v>58</v>
      </c>
      <c r="F919" t="s">
        <v>59</v>
      </c>
      <c r="G919" t="str">
        <f>"2026-01-19 15:08:55.447"</f>
        <v>2026-01-19 15:08:55.447</v>
      </c>
      <c r="H919" t="s">
        <v>21</v>
      </c>
      <c r="I919">
        <v>37.21</v>
      </c>
      <c r="J919" t="s">
        <v>37</v>
      </c>
    </row>
    <row r="920" spans="1:10" x14ac:dyDescent="0.25">
      <c r="A920" s="1">
        <v>44</v>
      </c>
      <c r="B920" t="s">
        <v>19</v>
      </c>
      <c r="C920">
        <v>706</v>
      </c>
      <c r="D920">
        <v>4</v>
      </c>
      <c r="E920" t="s">
        <v>31</v>
      </c>
      <c r="F920" t="s">
        <v>32</v>
      </c>
      <c r="G920" t="str">
        <f>"2026-01-19 09:54:59.832"</f>
        <v>2026-01-19 09:54:59.832</v>
      </c>
      <c r="H920" t="s">
        <v>21</v>
      </c>
      <c r="I920">
        <v>0</v>
      </c>
      <c r="J920" t="s">
        <v>33</v>
      </c>
    </row>
    <row r="921" spans="1:10" x14ac:dyDescent="0.25">
      <c r="A921" s="1">
        <v>48</v>
      </c>
      <c r="B921" t="s">
        <v>22</v>
      </c>
      <c r="C921">
        <v>635</v>
      </c>
      <c r="D921">
        <v>1</v>
      </c>
      <c r="E921" t="s">
        <v>23</v>
      </c>
      <c r="F921" t="s">
        <v>24</v>
      </c>
      <c r="G921" t="str">
        <f>"2026-01-18 10:53:48.786"</f>
        <v>2026-01-18 10:53:48.786</v>
      </c>
      <c r="H921" t="s">
        <v>21</v>
      </c>
    </row>
    <row r="922" spans="1:10" x14ac:dyDescent="0.25">
      <c r="A922" s="1">
        <v>49</v>
      </c>
      <c r="B922" t="s">
        <v>25</v>
      </c>
      <c r="C922">
        <v>635</v>
      </c>
      <c r="D922">
        <v>1</v>
      </c>
      <c r="E922" t="s">
        <v>23</v>
      </c>
      <c r="F922" t="s">
        <v>24</v>
      </c>
      <c r="G922" t="str">
        <f>"2026-01-18 10:49:59.786"</f>
        <v>2026-01-18 10:49:59.786</v>
      </c>
      <c r="H922" t="s">
        <v>21</v>
      </c>
      <c r="I922">
        <v>2.73</v>
      </c>
      <c r="J922" t="s">
        <v>36</v>
      </c>
    </row>
    <row r="923" spans="1:10" x14ac:dyDescent="0.25">
      <c r="A923" s="1">
        <v>50</v>
      </c>
      <c r="B923" t="s">
        <v>22</v>
      </c>
      <c r="C923">
        <v>630</v>
      </c>
      <c r="D923">
        <v>5</v>
      </c>
      <c r="E923" t="s">
        <v>28</v>
      </c>
      <c r="F923" t="s">
        <v>29</v>
      </c>
      <c r="G923" t="str">
        <f>"2026-01-18 10:12:50.234"</f>
        <v>2026-01-18 10:12:50.234</v>
      </c>
      <c r="H923" t="s">
        <v>30</v>
      </c>
    </row>
    <row r="924" spans="1:10" x14ac:dyDescent="0.25">
      <c r="A924" s="1">
        <v>51</v>
      </c>
      <c r="B924" t="s">
        <v>19</v>
      </c>
      <c r="C924">
        <v>706</v>
      </c>
      <c r="D924">
        <v>4</v>
      </c>
      <c r="E924" t="s">
        <v>31</v>
      </c>
      <c r="F924" t="s">
        <v>32</v>
      </c>
      <c r="G924" t="str">
        <f>"2026-01-18 10:12:20.182"</f>
        <v>2026-01-18 10:12:20.182</v>
      </c>
      <c r="H924" t="s">
        <v>21</v>
      </c>
      <c r="I924">
        <v>0</v>
      </c>
      <c r="J924" t="s">
        <v>33</v>
      </c>
    </row>
    <row r="925" spans="1:10" x14ac:dyDescent="0.25">
      <c r="A925" s="1">
        <v>52</v>
      </c>
      <c r="B925" t="s">
        <v>34</v>
      </c>
      <c r="C925">
        <v>630</v>
      </c>
      <c r="D925">
        <v>5</v>
      </c>
      <c r="E925" t="s">
        <v>28</v>
      </c>
      <c r="F925" t="s">
        <v>29</v>
      </c>
      <c r="G925" t="str">
        <f>"2026-01-18 10:00:08.334"</f>
        <v>2026-01-18 10:00:08.334</v>
      </c>
      <c r="H925" t="s">
        <v>30</v>
      </c>
      <c r="I925">
        <v>0</v>
      </c>
      <c r="J925" t="s">
        <v>33</v>
      </c>
    </row>
    <row r="926" spans="1:10" x14ac:dyDescent="0.25">
      <c r="A926" s="1">
        <v>54</v>
      </c>
      <c r="B926" t="s">
        <v>19</v>
      </c>
      <c r="C926">
        <v>706</v>
      </c>
      <c r="D926">
        <v>2</v>
      </c>
      <c r="E926" t="s">
        <v>31</v>
      </c>
      <c r="F926" t="s">
        <v>35</v>
      </c>
      <c r="G926" t="str">
        <f>"2026-01-15 21:15:26.252"</f>
        <v>2026-01-15 21:15:26.252</v>
      </c>
      <c r="H926" t="s">
        <v>21</v>
      </c>
      <c r="I926">
        <v>0</v>
      </c>
      <c r="J926" t="s">
        <v>33</v>
      </c>
    </row>
    <row r="927" spans="1:10" x14ac:dyDescent="0.25">
      <c r="A927" s="1">
        <v>55</v>
      </c>
      <c r="B927" t="s">
        <v>22</v>
      </c>
      <c r="C927">
        <v>635</v>
      </c>
      <c r="D927">
        <v>1</v>
      </c>
      <c r="E927" t="s">
        <v>23</v>
      </c>
      <c r="F927" t="s">
        <v>24</v>
      </c>
      <c r="G927" t="str">
        <f>"2026-01-15 20:17:26.086"</f>
        <v>2026-01-15 20:17:26.086</v>
      </c>
      <c r="H927" t="s">
        <v>21</v>
      </c>
    </row>
    <row r="928" spans="1:10" x14ac:dyDescent="0.25">
      <c r="A928" s="1">
        <v>56</v>
      </c>
      <c r="B928" t="s">
        <v>25</v>
      </c>
      <c r="C928">
        <v>635</v>
      </c>
      <c r="D928">
        <v>1</v>
      </c>
      <c r="E928" t="s">
        <v>23</v>
      </c>
      <c r="F928" t="s">
        <v>24</v>
      </c>
      <c r="G928" t="str">
        <f>"2026-01-15 20:11:55.586"</f>
        <v>2026-01-15 20:11:55.586</v>
      </c>
      <c r="H928" t="s">
        <v>21</v>
      </c>
      <c r="I928">
        <v>2.34</v>
      </c>
      <c r="J928" t="s">
        <v>37</v>
      </c>
    </row>
    <row r="929" spans="1:10" x14ac:dyDescent="0.25">
      <c r="A929" s="1">
        <v>57</v>
      </c>
      <c r="B929" t="s">
        <v>19</v>
      </c>
      <c r="C929">
        <v>706</v>
      </c>
      <c r="D929">
        <v>4</v>
      </c>
      <c r="E929" t="s">
        <v>31</v>
      </c>
      <c r="F929" t="s">
        <v>32</v>
      </c>
      <c r="G929" t="str">
        <f>"2026-01-15 13:24:10.672"</f>
        <v>2026-01-15 13:24:10.672</v>
      </c>
      <c r="H929" t="s">
        <v>21</v>
      </c>
      <c r="I929">
        <v>0</v>
      </c>
      <c r="J929" t="s">
        <v>33</v>
      </c>
    </row>
    <row r="930" spans="1:10" s="3" customFormat="1" x14ac:dyDescent="0.25">
      <c r="A930" s="2">
        <v>58</v>
      </c>
      <c r="B930" s="3" t="s">
        <v>22</v>
      </c>
      <c r="C930" s="3">
        <v>647</v>
      </c>
      <c r="D930" s="3">
        <v>1</v>
      </c>
      <c r="E930" s="3" t="s">
        <v>39</v>
      </c>
      <c r="F930" s="3" t="s">
        <v>40</v>
      </c>
      <c r="G930" s="3" t="str">
        <f>"2026-01-14 20:28:27.734"</f>
        <v>2026-01-14 20:28:27.734</v>
      </c>
      <c r="H930" s="3" t="s">
        <v>21</v>
      </c>
    </row>
    <row r="931" spans="1:10" s="3" customFormat="1" x14ac:dyDescent="0.25">
      <c r="A931" s="2">
        <v>59</v>
      </c>
      <c r="B931" s="3" t="s">
        <v>25</v>
      </c>
      <c r="C931" s="3">
        <v>647</v>
      </c>
      <c r="D931" s="3">
        <v>1</v>
      </c>
      <c r="E931" s="3" t="s">
        <v>39</v>
      </c>
      <c r="F931" s="3" t="s">
        <v>40</v>
      </c>
      <c r="G931" s="3" t="str">
        <f>"2026-01-14 20:28:24.434"</f>
        <v>2026-01-14 20:28:24.434</v>
      </c>
      <c r="H931" s="3" t="s">
        <v>21</v>
      </c>
      <c r="I931" s="3">
        <v>19.82</v>
      </c>
      <c r="J931" s="3" t="s">
        <v>37</v>
      </c>
    </row>
    <row r="932" spans="1:10" s="3" customFormat="1" x14ac:dyDescent="0.25">
      <c r="A932" s="2">
        <v>60</v>
      </c>
      <c r="B932" s="3" t="s">
        <v>22</v>
      </c>
      <c r="C932" s="3">
        <v>647</v>
      </c>
      <c r="D932" s="3">
        <v>1</v>
      </c>
      <c r="E932" s="3" t="s">
        <v>39</v>
      </c>
      <c r="F932" s="3" t="s">
        <v>40</v>
      </c>
      <c r="G932" s="3" t="str">
        <f>"2026-01-14 01:38:56.034"</f>
        <v>2026-01-14 01:38:56.034</v>
      </c>
      <c r="H932" s="3" t="s">
        <v>21</v>
      </c>
    </row>
    <row r="933" spans="1:10" s="3" customFormat="1" x14ac:dyDescent="0.25">
      <c r="A933" s="2">
        <v>61</v>
      </c>
      <c r="B933" s="3" t="s">
        <v>25</v>
      </c>
      <c r="C933" s="3">
        <v>647</v>
      </c>
      <c r="D933" s="3">
        <v>1</v>
      </c>
      <c r="E933" s="3" t="s">
        <v>39</v>
      </c>
      <c r="F933" s="3" t="s">
        <v>40</v>
      </c>
      <c r="G933" s="3" t="str">
        <f>"2026-01-14 01:38:51.734"</f>
        <v>2026-01-14 01:38:51.734</v>
      </c>
      <c r="H933" s="3" t="s">
        <v>21</v>
      </c>
      <c r="I933" s="3">
        <v>22.5</v>
      </c>
      <c r="J933" s="3" t="s">
        <v>37</v>
      </c>
    </row>
    <row r="934" spans="1:10" s="3" customFormat="1" x14ac:dyDescent="0.25">
      <c r="A934" s="2">
        <v>62</v>
      </c>
      <c r="B934" s="3" t="s">
        <v>22</v>
      </c>
      <c r="C934" s="3">
        <v>647</v>
      </c>
      <c r="D934" s="3">
        <v>1</v>
      </c>
      <c r="E934" s="3" t="s">
        <v>39</v>
      </c>
      <c r="F934" s="3" t="s">
        <v>40</v>
      </c>
      <c r="G934" s="3" t="str">
        <f>"2026-01-13 23:36:56.934"</f>
        <v>2026-01-13 23:36:56.934</v>
      </c>
      <c r="H934" s="3" t="s">
        <v>21</v>
      </c>
    </row>
    <row r="935" spans="1:10" s="3" customFormat="1" x14ac:dyDescent="0.25">
      <c r="A935" s="2">
        <v>63</v>
      </c>
      <c r="B935" s="3" t="s">
        <v>25</v>
      </c>
      <c r="C935" s="3">
        <v>647</v>
      </c>
      <c r="D935" s="3">
        <v>1</v>
      </c>
      <c r="E935" s="3" t="s">
        <v>39</v>
      </c>
      <c r="F935" s="3" t="s">
        <v>40</v>
      </c>
      <c r="G935" s="3" t="str">
        <f>"2026-01-13 23:36:52.735"</f>
        <v>2026-01-13 23:36:52.735</v>
      </c>
      <c r="H935" s="3" t="s">
        <v>21</v>
      </c>
      <c r="I935" s="3">
        <v>8.77</v>
      </c>
      <c r="J935" s="3" t="s">
        <v>37</v>
      </c>
    </row>
    <row r="936" spans="1:10" x14ac:dyDescent="0.25">
      <c r="A936" s="1">
        <v>64</v>
      </c>
      <c r="B936" t="s">
        <v>19</v>
      </c>
      <c r="C936">
        <v>706</v>
      </c>
      <c r="D936">
        <v>2</v>
      </c>
      <c r="E936" t="s">
        <v>31</v>
      </c>
      <c r="F936" t="s">
        <v>35</v>
      </c>
      <c r="G936" t="str">
        <f>"2026-01-13 12:04:12.752"</f>
        <v>2026-01-13 12:04:12.752</v>
      </c>
      <c r="H936" t="s">
        <v>21</v>
      </c>
      <c r="I936">
        <v>0</v>
      </c>
      <c r="J936" t="s">
        <v>33</v>
      </c>
    </row>
    <row r="937" spans="1:10" x14ac:dyDescent="0.25">
      <c r="A937" s="1">
        <v>65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"2026-01-13 10:39:56.912"</f>
        <v>2026-01-13 10:39:56.912</v>
      </c>
      <c r="H937" t="s">
        <v>21</v>
      </c>
    </row>
    <row r="938" spans="1:10" x14ac:dyDescent="0.25">
      <c r="A938" s="1">
        <v>66</v>
      </c>
      <c r="B938" t="s">
        <v>19</v>
      </c>
      <c r="C938">
        <v>706</v>
      </c>
      <c r="D938">
        <v>4</v>
      </c>
      <c r="E938" t="s">
        <v>31</v>
      </c>
      <c r="F938" t="s">
        <v>32</v>
      </c>
      <c r="G938" t="str">
        <f>"2026-01-13 10:32:27.647"</f>
        <v>2026-01-13 10:32:27.647</v>
      </c>
      <c r="H938" t="s">
        <v>21</v>
      </c>
      <c r="I938">
        <v>0</v>
      </c>
      <c r="J938" t="s">
        <v>33</v>
      </c>
    </row>
    <row r="939" spans="1:10" x14ac:dyDescent="0.25">
      <c r="A939" s="1">
        <v>67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"2026-01-13 09:55:32.967"</f>
        <v>2026-01-13 09:55:32.967</v>
      </c>
      <c r="H939" t="s">
        <v>21</v>
      </c>
    </row>
    <row r="940" spans="1:10" x14ac:dyDescent="0.25">
      <c r="A940" s="1">
        <v>68</v>
      </c>
      <c r="B940" t="s">
        <v>22</v>
      </c>
      <c r="C940">
        <v>630</v>
      </c>
      <c r="D940">
        <v>5</v>
      </c>
      <c r="E940" t="s">
        <v>28</v>
      </c>
      <c r="F940" t="s">
        <v>29</v>
      </c>
      <c r="G940" t="str">
        <f>"2026-01-12 12:56:39.027"</f>
        <v>2026-01-12 12:56:39.027</v>
      </c>
      <c r="H940" t="s">
        <v>30</v>
      </c>
    </row>
    <row r="941" spans="1:10" x14ac:dyDescent="0.25">
      <c r="A941" s="1">
        <v>69</v>
      </c>
      <c r="B941" t="s">
        <v>19</v>
      </c>
      <c r="C941">
        <v>706</v>
      </c>
      <c r="D941">
        <v>2</v>
      </c>
      <c r="E941" t="s">
        <v>31</v>
      </c>
      <c r="F941" t="s">
        <v>35</v>
      </c>
      <c r="G941" t="str">
        <f>"2026-01-12 12:56:08.823"</f>
        <v>2026-01-12 12:56:08.823</v>
      </c>
      <c r="H941" t="s">
        <v>21</v>
      </c>
      <c r="I941">
        <v>0</v>
      </c>
      <c r="J941" t="s">
        <v>33</v>
      </c>
    </row>
    <row r="942" spans="1:10" x14ac:dyDescent="0.25">
      <c r="A942" s="1">
        <v>70</v>
      </c>
      <c r="B942" t="s">
        <v>34</v>
      </c>
      <c r="C942">
        <v>630</v>
      </c>
      <c r="D942">
        <v>5</v>
      </c>
      <c r="E942" t="s">
        <v>28</v>
      </c>
      <c r="F942" t="s">
        <v>29</v>
      </c>
      <c r="G942" t="str">
        <f>"2026-01-12 12:33:51.127"</f>
        <v>2026-01-12 12:33:51.127</v>
      </c>
      <c r="H942" t="s">
        <v>30</v>
      </c>
      <c r="I942">
        <v>0</v>
      </c>
      <c r="J942" t="s">
        <v>33</v>
      </c>
    </row>
    <row r="943" spans="1:10" s="3" customFormat="1" x14ac:dyDescent="0.25">
      <c r="A943" s="2">
        <v>71</v>
      </c>
      <c r="B943" s="3" t="s">
        <v>22</v>
      </c>
      <c r="C943" s="3">
        <v>647</v>
      </c>
      <c r="D943" s="3">
        <v>1</v>
      </c>
      <c r="E943" s="3" t="s">
        <v>39</v>
      </c>
      <c r="F943" s="3" t="s">
        <v>40</v>
      </c>
      <c r="G943" s="3" t="str">
        <f>"2026-01-12 02:34:14.727"</f>
        <v>2026-01-12 02:34:14.727</v>
      </c>
      <c r="H943" s="3" t="s">
        <v>21</v>
      </c>
    </row>
    <row r="944" spans="1:10" s="3" customFormat="1" x14ac:dyDescent="0.25">
      <c r="A944" s="2">
        <v>72</v>
      </c>
      <c r="B944" s="3" t="s">
        <v>25</v>
      </c>
      <c r="C944" s="3">
        <v>647</v>
      </c>
      <c r="D944" s="3">
        <v>1</v>
      </c>
      <c r="E944" s="3" t="s">
        <v>39</v>
      </c>
      <c r="F944" s="3" t="s">
        <v>40</v>
      </c>
      <c r="G944" s="3" t="str">
        <f>"2026-01-12 02:34:09.827"</f>
        <v>2026-01-12 02:34:09.827</v>
      </c>
      <c r="H944" s="3" t="s">
        <v>21</v>
      </c>
      <c r="I944" s="3">
        <v>9.1199999999999992</v>
      </c>
      <c r="J944" s="3" t="s">
        <v>37</v>
      </c>
    </row>
    <row r="945" spans="1:10" x14ac:dyDescent="0.25">
      <c r="A945" s="1">
        <v>73</v>
      </c>
      <c r="B945" t="s">
        <v>22</v>
      </c>
      <c r="C945">
        <v>630</v>
      </c>
      <c r="D945">
        <v>5</v>
      </c>
      <c r="E945" t="s">
        <v>28</v>
      </c>
      <c r="F945" t="s">
        <v>29</v>
      </c>
      <c r="G945" t="str">
        <f>"2026-01-11 21:38:32.026"</f>
        <v>2026-01-11 21:38:32.026</v>
      </c>
      <c r="H945" t="s">
        <v>30</v>
      </c>
    </row>
    <row r="946" spans="1:10" x14ac:dyDescent="0.25">
      <c r="A946" s="1">
        <v>74</v>
      </c>
      <c r="B946" t="s">
        <v>19</v>
      </c>
      <c r="C946">
        <v>706</v>
      </c>
      <c r="D946">
        <v>4</v>
      </c>
      <c r="E946" t="s">
        <v>31</v>
      </c>
      <c r="F946" t="s">
        <v>32</v>
      </c>
      <c r="G946" t="str">
        <f>"2026-01-11 21:38:02.033"</f>
        <v>2026-01-11 21:38:02.033</v>
      </c>
      <c r="H946" t="s">
        <v>21</v>
      </c>
      <c r="I946">
        <v>0</v>
      </c>
      <c r="J946" t="s">
        <v>33</v>
      </c>
    </row>
    <row r="947" spans="1:10" x14ac:dyDescent="0.25">
      <c r="A947" s="1">
        <v>75</v>
      </c>
      <c r="B947" t="s">
        <v>34</v>
      </c>
      <c r="C947">
        <v>630</v>
      </c>
      <c r="D947">
        <v>5</v>
      </c>
      <c r="E947" t="s">
        <v>28</v>
      </c>
      <c r="F947" t="s">
        <v>29</v>
      </c>
      <c r="G947" t="str">
        <f>"2026-01-11 21:28:58.327"</f>
        <v>2026-01-11 21:28:58.327</v>
      </c>
      <c r="H947" t="s">
        <v>30</v>
      </c>
      <c r="I947">
        <v>0</v>
      </c>
      <c r="J947" t="s">
        <v>33</v>
      </c>
    </row>
    <row r="948" spans="1:10" x14ac:dyDescent="0.25">
      <c r="A948" s="1">
        <v>76</v>
      </c>
      <c r="B948" t="s">
        <v>22</v>
      </c>
      <c r="C948">
        <v>635</v>
      </c>
      <c r="D948">
        <v>1</v>
      </c>
      <c r="E948" t="s">
        <v>23</v>
      </c>
      <c r="F948" t="s">
        <v>24</v>
      </c>
      <c r="G948" t="str">
        <f>"2026-01-11 17:10:52.326"</f>
        <v>2026-01-11 17:10:52.326</v>
      </c>
      <c r="H948" t="s">
        <v>21</v>
      </c>
    </row>
    <row r="949" spans="1:10" x14ac:dyDescent="0.25">
      <c r="A949" s="1">
        <v>77</v>
      </c>
      <c r="B949" t="s">
        <v>25</v>
      </c>
      <c r="C949">
        <v>635</v>
      </c>
      <c r="D949">
        <v>1</v>
      </c>
      <c r="E949" t="s">
        <v>23</v>
      </c>
      <c r="F949" t="s">
        <v>24</v>
      </c>
      <c r="G949" t="str">
        <f>"2026-01-11 17:06:19.826"</f>
        <v>2026-01-11 17:06:19.826</v>
      </c>
      <c r="H949" t="s">
        <v>21</v>
      </c>
      <c r="I949">
        <v>4.99</v>
      </c>
      <c r="J949" t="s">
        <v>37</v>
      </c>
    </row>
    <row r="950" spans="1:10" s="3" customFormat="1" x14ac:dyDescent="0.25">
      <c r="A950" s="2">
        <v>79</v>
      </c>
      <c r="B950" s="3" t="s">
        <v>22</v>
      </c>
      <c r="C950" s="3">
        <v>647</v>
      </c>
      <c r="D950" s="3">
        <v>1</v>
      </c>
      <c r="E950" s="3" t="s">
        <v>39</v>
      </c>
      <c r="F950" s="3" t="s">
        <v>40</v>
      </c>
      <c r="G950" s="3" t="str">
        <f>"2026-01-11 04:04:44.627"</f>
        <v>2026-01-11 04:04:44.627</v>
      </c>
      <c r="H950" s="3" t="s">
        <v>21</v>
      </c>
    </row>
    <row r="951" spans="1:10" s="3" customFormat="1" x14ac:dyDescent="0.25">
      <c r="A951" s="2">
        <v>80</v>
      </c>
      <c r="B951" s="3" t="s">
        <v>25</v>
      </c>
      <c r="C951" s="3">
        <v>647</v>
      </c>
      <c r="D951" s="3">
        <v>1</v>
      </c>
      <c r="E951" s="3" t="s">
        <v>39</v>
      </c>
      <c r="F951" s="3" t="s">
        <v>40</v>
      </c>
      <c r="G951" s="3" t="str">
        <f>"2026-01-11 04:04:38.327"</f>
        <v>2026-01-11 04:04:38.327</v>
      </c>
      <c r="H951" s="3" t="s">
        <v>21</v>
      </c>
      <c r="I951" s="3">
        <v>9.85</v>
      </c>
      <c r="J951" s="3" t="s">
        <v>37</v>
      </c>
    </row>
    <row r="952" spans="1:10" x14ac:dyDescent="0.25">
      <c r="A952" s="1">
        <v>81</v>
      </c>
      <c r="B952" t="s">
        <v>22</v>
      </c>
      <c r="C952">
        <v>630</v>
      </c>
      <c r="D952">
        <v>5</v>
      </c>
      <c r="E952" t="s">
        <v>28</v>
      </c>
      <c r="F952" t="s">
        <v>29</v>
      </c>
      <c r="G952" t="str">
        <f>"2026-01-10 13:48:55.826"</f>
        <v>2026-01-10 13:48:55.826</v>
      </c>
      <c r="H952" t="s">
        <v>30</v>
      </c>
    </row>
    <row r="953" spans="1:10" x14ac:dyDescent="0.25">
      <c r="A953" s="1">
        <v>82</v>
      </c>
      <c r="B953" t="s">
        <v>19</v>
      </c>
      <c r="C953">
        <v>706</v>
      </c>
      <c r="D953">
        <v>2</v>
      </c>
      <c r="E953" t="s">
        <v>31</v>
      </c>
      <c r="F953" t="s">
        <v>35</v>
      </c>
      <c r="G953" t="str">
        <f>"2026-01-10 13:48:25.723"</f>
        <v>2026-01-10 13:48:25.723</v>
      </c>
      <c r="H953" t="s">
        <v>21</v>
      </c>
      <c r="I953">
        <v>0</v>
      </c>
      <c r="J953" t="s">
        <v>33</v>
      </c>
    </row>
    <row r="954" spans="1:10" x14ac:dyDescent="0.25">
      <c r="A954" s="1">
        <v>83</v>
      </c>
      <c r="B954" t="s">
        <v>34</v>
      </c>
      <c r="C954">
        <v>630</v>
      </c>
      <c r="D954">
        <v>5</v>
      </c>
      <c r="E954" t="s">
        <v>28</v>
      </c>
      <c r="F954" t="s">
        <v>29</v>
      </c>
      <c r="G954" t="str">
        <f>"2026-01-10 13:39:33.627"</f>
        <v>2026-01-10 13:39:33.627</v>
      </c>
      <c r="H954" t="s">
        <v>30</v>
      </c>
      <c r="I954">
        <v>0</v>
      </c>
      <c r="J954" t="s">
        <v>33</v>
      </c>
    </row>
    <row r="955" spans="1:10" x14ac:dyDescent="0.25">
      <c r="A955" s="1">
        <v>84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"2026-01-10 13:34:30.943"</f>
        <v>2026-01-10 13:34:30.943</v>
      </c>
      <c r="H955" t="s">
        <v>21</v>
      </c>
    </row>
    <row r="956" spans="1:10" x14ac:dyDescent="0.25">
      <c r="A956" s="1">
        <v>85</v>
      </c>
      <c r="B956" t="s">
        <v>22</v>
      </c>
      <c r="C956">
        <v>630</v>
      </c>
      <c r="D956">
        <v>5</v>
      </c>
      <c r="E956" t="s">
        <v>28</v>
      </c>
      <c r="F956" t="s">
        <v>29</v>
      </c>
      <c r="G956" t="str">
        <f>"2026-01-10 09:46:47.445"</f>
        <v>2026-01-10 09:46:47.445</v>
      </c>
      <c r="H956" t="s">
        <v>30</v>
      </c>
    </row>
    <row r="957" spans="1:10" x14ac:dyDescent="0.25">
      <c r="A957" s="1">
        <v>86</v>
      </c>
      <c r="B957" t="s">
        <v>19</v>
      </c>
      <c r="C957">
        <v>706</v>
      </c>
      <c r="D957">
        <v>4</v>
      </c>
      <c r="E957" t="s">
        <v>31</v>
      </c>
      <c r="F957" t="s">
        <v>32</v>
      </c>
      <c r="G957" t="str">
        <f>"2026-01-10 09:46:17.316"</f>
        <v>2026-01-10 09:46:17.316</v>
      </c>
      <c r="H957" t="s">
        <v>21</v>
      </c>
      <c r="I957">
        <v>0</v>
      </c>
      <c r="J957" t="s">
        <v>33</v>
      </c>
    </row>
    <row r="958" spans="1:10" x14ac:dyDescent="0.25">
      <c r="A958" s="1">
        <v>87</v>
      </c>
      <c r="B958" t="s">
        <v>34</v>
      </c>
      <c r="C958">
        <v>630</v>
      </c>
      <c r="D958">
        <v>5</v>
      </c>
      <c r="E958" t="s">
        <v>28</v>
      </c>
      <c r="F958" t="s">
        <v>29</v>
      </c>
      <c r="G958" t="str">
        <f>"2026-01-10 09:36:34.345"</f>
        <v>2026-01-10 09:36:34.345</v>
      </c>
      <c r="H958" t="s">
        <v>30</v>
      </c>
      <c r="I958">
        <v>0</v>
      </c>
      <c r="J958" t="s">
        <v>33</v>
      </c>
    </row>
    <row r="959" spans="1:10" x14ac:dyDescent="0.25">
      <c r="A959" s="1">
        <v>88</v>
      </c>
      <c r="B959" t="s">
        <v>22</v>
      </c>
      <c r="C959">
        <v>635</v>
      </c>
      <c r="D959">
        <v>1</v>
      </c>
      <c r="E959" t="s">
        <v>23</v>
      </c>
      <c r="F959" t="s">
        <v>24</v>
      </c>
      <c r="G959" t="str">
        <f>"2026-01-09 23:31:25.045"</f>
        <v>2026-01-09 23:31:25.045</v>
      </c>
      <c r="H959" t="s">
        <v>21</v>
      </c>
    </row>
    <row r="960" spans="1:10" x14ac:dyDescent="0.25">
      <c r="A960" s="1">
        <v>89</v>
      </c>
      <c r="B960" t="s">
        <v>25</v>
      </c>
      <c r="C960">
        <v>635</v>
      </c>
      <c r="D960">
        <v>1</v>
      </c>
      <c r="E960" t="s">
        <v>23</v>
      </c>
      <c r="F960" t="s">
        <v>24</v>
      </c>
      <c r="G960" t="str">
        <f>"2026-01-09 23:26:46.045"</f>
        <v>2026-01-09 23:26:46.045</v>
      </c>
      <c r="H960" t="s">
        <v>21</v>
      </c>
      <c r="I960">
        <v>1.78</v>
      </c>
      <c r="J960" t="s">
        <v>37</v>
      </c>
    </row>
    <row r="961" spans="1:10" x14ac:dyDescent="0.25">
      <c r="A961" s="1">
        <v>90</v>
      </c>
      <c r="B961" t="s">
        <v>22</v>
      </c>
      <c r="C961">
        <v>630</v>
      </c>
      <c r="D961">
        <v>5</v>
      </c>
      <c r="E961" t="s">
        <v>28</v>
      </c>
      <c r="F961" t="s">
        <v>29</v>
      </c>
      <c r="G961" t="str">
        <f>"2026-01-09 10:59:39.545"</f>
        <v>2026-01-09 10:59:39.545</v>
      </c>
      <c r="H961" t="s">
        <v>30</v>
      </c>
    </row>
    <row r="962" spans="1:10" x14ac:dyDescent="0.25">
      <c r="A962" s="1">
        <v>91</v>
      </c>
      <c r="B962" t="s">
        <v>19</v>
      </c>
      <c r="C962">
        <v>706</v>
      </c>
      <c r="D962">
        <v>2</v>
      </c>
      <c r="E962" t="s">
        <v>31</v>
      </c>
      <c r="F962" t="s">
        <v>35</v>
      </c>
      <c r="G962" t="str">
        <f>"2026-01-09 10:59:09.426"</f>
        <v>2026-01-09 10:59:09.426</v>
      </c>
      <c r="H962" t="s">
        <v>21</v>
      </c>
      <c r="I962">
        <v>0</v>
      </c>
      <c r="J962" t="s">
        <v>33</v>
      </c>
    </row>
    <row r="963" spans="1:10" x14ac:dyDescent="0.25">
      <c r="A963" s="1">
        <v>92</v>
      </c>
      <c r="B963" t="s">
        <v>34</v>
      </c>
      <c r="C963">
        <v>630</v>
      </c>
      <c r="D963">
        <v>5</v>
      </c>
      <c r="E963" t="s">
        <v>28</v>
      </c>
      <c r="F963" t="s">
        <v>29</v>
      </c>
      <c r="G963" t="str">
        <f>"2026-01-09 10:49:53.145"</f>
        <v>2026-01-09 10:49:53.145</v>
      </c>
      <c r="H963" t="s">
        <v>30</v>
      </c>
      <c r="I963">
        <v>0</v>
      </c>
      <c r="J963" t="s">
        <v>33</v>
      </c>
    </row>
    <row r="964" spans="1:10" s="3" customFormat="1" x14ac:dyDescent="0.25">
      <c r="A964" s="2">
        <v>93</v>
      </c>
      <c r="B964" s="3" t="s">
        <v>22</v>
      </c>
      <c r="C964" s="3">
        <v>647</v>
      </c>
      <c r="D964" s="3">
        <v>1</v>
      </c>
      <c r="E964" s="3" t="s">
        <v>39</v>
      </c>
      <c r="F964" s="3" t="s">
        <v>40</v>
      </c>
      <c r="G964" s="3" t="str">
        <f>"2026-01-09 05:45:10.045"</f>
        <v>2026-01-09 05:45:10.045</v>
      </c>
      <c r="H964" s="3" t="s">
        <v>21</v>
      </c>
    </row>
    <row r="965" spans="1:10" s="3" customFormat="1" x14ac:dyDescent="0.25">
      <c r="A965" s="2">
        <v>94</v>
      </c>
      <c r="B965" s="3" t="s">
        <v>25</v>
      </c>
      <c r="C965" s="3">
        <v>647</v>
      </c>
      <c r="D965" s="3">
        <v>1</v>
      </c>
      <c r="E965" s="3" t="s">
        <v>39</v>
      </c>
      <c r="F965" s="3" t="s">
        <v>40</v>
      </c>
      <c r="G965" s="3" t="str">
        <f>"2026-01-09 05:45:06.745"</f>
        <v>2026-01-09 05:45:06.745</v>
      </c>
      <c r="H965" s="3" t="s">
        <v>21</v>
      </c>
      <c r="I965" s="3">
        <v>19.29</v>
      </c>
      <c r="J965" s="3" t="s">
        <v>37</v>
      </c>
    </row>
    <row r="966" spans="1:10" x14ac:dyDescent="0.25">
      <c r="A966" s="1">
        <v>95</v>
      </c>
      <c r="B966" t="s">
        <v>22</v>
      </c>
      <c r="C966">
        <v>630</v>
      </c>
      <c r="D966">
        <v>5</v>
      </c>
      <c r="E966" t="s">
        <v>28</v>
      </c>
      <c r="F966" t="s">
        <v>29</v>
      </c>
      <c r="G966" t="str">
        <f>"2026-01-08 13:17:34.745"</f>
        <v>2026-01-08 13:17:34.745</v>
      </c>
      <c r="H966" t="s">
        <v>30</v>
      </c>
    </row>
    <row r="967" spans="1:10" x14ac:dyDescent="0.25">
      <c r="A967" s="1">
        <v>96</v>
      </c>
      <c r="B967" t="s">
        <v>19</v>
      </c>
      <c r="C967">
        <v>706</v>
      </c>
      <c r="D967">
        <v>2</v>
      </c>
      <c r="E967" t="s">
        <v>31</v>
      </c>
      <c r="F967" t="s">
        <v>35</v>
      </c>
      <c r="G967" t="str">
        <f>"2026-01-08 13:17:04.526"</f>
        <v>2026-01-08 13:17:04.526</v>
      </c>
      <c r="H967" t="s">
        <v>21</v>
      </c>
      <c r="I967">
        <v>0</v>
      </c>
      <c r="J967" t="s">
        <v>33</v>
      </c>
    </row>
    <row r="968" spans="1:10" x14ac:dyDescent="0.25">
      <c r="A968" s="1">
        <v>97</v>
      </c>
      <c r="B968" t="s">
        <v>34</v>
      </c>
      <c r="C968">
        <v>630</v>
      </c>
      <c r="D968">
        <v>5</v>
      </c>
      <c r="E968" t="s">
        <v>28</v>
      </c>
      <c r="F968" t="s">
        <v>29</v>
      </c>
      <c r="G968" t="str">
        <f>"2026-01-08 13:07:38.145"</f>
        <v>2026-01-08 13:07:38.145</v>
      </c>
      <c r="H968" t="s">
        <v>30</v>
      </c>
      <c r="I968">
        <v>0</v>
      </c>
      <c r="J968" t="s">
        <v>33</v>
      </c>
    </row>
    <row r="969" spans="1:10" x14ac:dyDescent="0.25">
      <c r="A969" s="1">
        <v>98</v>
      </c>
      <c r="B969" t="s">
        <v>22</v>
      </c>
      <c r="C969">
        <v>630</v>
      </c>
      <c r="D969">
        <v>5</v>
      </c>
      <c r="E969" t="s">
        <v>28</v>
      </c>
      <c r="F969" t="s">
        <v>29</v>
      </c>
      <c r="G969" t="str">
        <f>"2026-01-07 23:11:14.345"</f>
        <v>2026-01-07 23:11:14.345</v>
      </c>
      <c r="H969" t="s">
        <v>30</v>
      </c>
    </row>
    <row r="970" spans="1:10" x14ac:dyDescent="0.25">
      <c r="A970" s="1">
        <v>99</v>
      </c>
      <c r="B970" t="s">
        <v>19</v>
      </c>
      <c r="C970">
        <v>706</v>
      </c>
      <c r="D970">
        <v>2</v>
      </c>
      <c r="E970" t="s">
        <v>31</v>
      </c>
      <c r="F970" t="s">
        <v>35</v>
      </c>
      <c r="G970" t="str">
        <f>"2026-01-07 23:10:44.226"</f>
        <v>2026-01-07 23:10:44.226</v>
      </c>
      <c r="H970" t="s">
        <v>21</v>
      </c>
      <c r="I970">
        <v>0</v>
      </c>
      <c r="J970" t="s">
        <v>33</v>
      </c>
    </row>
    <row r="971" spans="1:10" x14ac:dyDescent="0.25">
      <c r="A971" s="1">
        <v>0</v>
      </c>
      <c r="B971" t="s">
        <v>34</v>
      </c>
      <c r="C971">
        <v>630</v>
      </c>
      <c r="D971">
        <v>5</v>
      </c>
      <c r="E971" t="s">
        <v>28</v>
      </c>
      <c r="F971" t="s">
        <v>29</v>
      </c>
      <c r="G971" t="str">
        <f>"2026-01-07 23:05:44.245"</f>
        <v>2026-01-07 23:05:44.245</v>
      </c>
      <c r="H971" t="s">
        <v>30</v>
      </c>
      <c r="I971">
        <v>0</v>
      </c>
      <c r="J971" t="s">
        <v>33</v>
      </c>
    </row>
    <row r="972" spans="1:10" x14ac:dyDescent="0.25">
      <c r="A972" s="1">
        <v>1</v>
      </c>
      <c r="B972" t="s">
        <v>22</v>
      </c>
      <c r="C972">
        <v>630</v>
      </c>
      <c r="D972">
        <v>5</v>
      </c>
      <c r="E972" t="s">
        <v>28</v>
      </c>
      <c r="F972" t="s">
        <v>29</v>
      </c>
      <c r="G972" t="str">
        <f>"2026-01-06 12:52:30.245"</f>
        <v>2026-01-06 12:52:30.245</v>
      </c>
      <c r="H972" t="s">
        <v>30</v>
      </c>
    </row>
    <row r="973" spans="1:10" x14ac:dyDescent="0.25">
      <c r="A973" s="1">
        <v>2</v>
      </c>
      <c r="B973" t="s">
        <v>19</v>
      </c>
      <c r="C973">
        <v>706</v>
      </c>
      <c r="D973">
        <v>4</v>
      </c>
      <c r="E973" t="s">
        <v>31</v>
      </c>
      <c r="F973" t="s">
        <v>32</v>
      </c>
      <c r="G973" t="str">
        <f>"2026-01-06 12:52:00.196"</f>
        <v>2026-01-06 12:52:00.196</v>
      </c>
      <c r="H973" t="s">
        <v>21</v>
      </c>
      <c r="I973">
        <v>0</v>
      </c>
      <c r="J973" t="s">
        <v>33</v>
      </c>
    </row>
    <row r="974" spans="1:10" x14ac:dyDescent="0.25">
      <c r="A974" s="1">
        <v>3</v>
      </c>
      <c r="B974" t="s">
        <v>34</v>
      </c>
      <c r="C974">
        <v>630</v>
      </c>
      <c r="D974">
        <v>5</v>
      </c>
      <c r="E974" t="s">
        <v>28</v>
      </c>
      <c r="F974" t="s">
        <v>29</v>
      </c>
      <c r="G974" t="str">
        <f>"2026-01-06 12:45:13.745"</f>
        <v>2026-01-06 12:45:13.745</v>
      </c>
      <c r="H974" t="s">
        <v>30</v>
      </c>
      <c r="I974">
        <v>0</v>
      </c>
      <c r="J974" t="s">
        <v>33</v>
      </c>
    </row>
    <row r="975" spans="1:10" x14ac:dyDescent="0.25">
      <c r="A975" s="1">
        <v>4</v>
      </c>
      <c r="B975" t="s">
        <v>22</v>
      </c>
      <c r="C975">
        <v>630</v>
      </c>
      <c r="D975">
        <v>5</v>
      </c>
      <c r="E975" t="s">
        <v>28</v>
      </c>
      <c r="F975" t="s">
        <v>29</v>
      </c>
      <c r="G975" t="str">
        <f>"2026-01-05 11:35:08.345"</f>
        <v>2026-01-05 11:35:08.345</v>
      </c>
      <c r="H975" t="s">
        <v>30</v>
      </c>
    </row>
    <row r="976" spans="1:10" x14ac:dyDescent="0.25">
      <c r="A976" s="1">
        <v>5</v>
      </c>
      <c r="B976" t="s">
        <v>19</v>
      </c>
      <c r="C976">
        <v>706</v>
      </c>
      <c r="D976">
        <v>4</v>
      </c>
      <c r="E976" t="s">
        <v>31</v>
      </c>
      <c r="F976" t="s">
        <v>32</v>
      </c>
      <c r="G976" t="str">
        <f>"2026-01-05 11:34:38.156"</f>
        <v>2026-01-05 11:34:38.156</v>
      </c>
      <c r="H976" t="s">
        <v>21</v>
      </c>
      <c r="I976">
        <v>0</v>
      </c>
      <c r="J976" t="s">
        <v>33</v>
      </c>
    </row>
    <row r="977" spans="1:10" x14ac:dyDescent="0.25">
      <c r="A977" s="1">
        <v>6</v>
      </c>
      <c r="B977" t="s">
        <v>34</v>
      </c>
      <c r="C977">
        <v>630</v>
      </c>
      <c r="D977">
        <v>5</v>
      </c>
      <c r="E977" t="s">
        <v>28</v>
      </c>
      <c r="F977" t="s">
        <v>29</v>
      </c>
      <c r="G977" t="str">
        <f>"2026-01-05 11:25:38.945"</f>
        <v>2026-01-05 11:25:38.945</v>
      </c>
      <c r="H977" t="s">
        <v>30</v>
      </c>
      <c r="I977">
        <v>0</v>
      </c>
      <c r="J977" t="s">
        <v>33</v>
      </c>
    </row>
    <row r="978" spans="1:10" x14ac:dyDescent="0.25">
      <c r="A978" s="1">
        <v>7</v>
      </c>
      <c r="B978" t="s">
        <v>22</v>
      </c>
      <c r="C978">
        <v>635</v>
      </c>
      <c r="D978">
        <v>1</v>
      </c>
      <c r="E978" t="s">
        <v>23</v>
      </c>
      <c r="F978" t="s">
        <v>24</v>
      </c>
      <c r="G978" t="str">
        <f>"2026-01-05 10:26:55.445"</f>
        <v>2026-01-05 10:26:55.445</v>
      </c>
      <c r="H978" t="s">
        <v>21</v>
      </c>
    </row>
    <row r="979" spans="1:10" x14ac:dyDescent="0.25">
      <c r="A979" s="1">
        <v>8</v>
      </c>
      <c r="B979" t="s">
        <v>25</v>
      </c>
      <c r="C979">
        <v>635</v>
      </c>
      <c r="D979">
        <v>1</v>
      </c>
      <c r="E979" t="s">
        <v>23</v>
      </c>
      <c r="F979" t="s">
        <v>24</v>
      </c>
      <c r="G979" t="str">
        <f>"2026-01-05 09:58:16.545"</f>
        <v>2026-01-05 09:58:16.545</v>
      </c>
      <c r="H979" t="s">
        <v>21</v>
      </c>
      <c r="I979">
        <v>6.72</v>
      </c>
      <c r="J979" t="s">
        <v>26</v>
      </c>
    </row>
    <row r="980" spans="1:10" x14ac:dyDescent="0.25">
      <c r="A980" s="1">
        <v>9</v>
      </c>
      <c r="B980" t="s">
        <v>22</v>
      </c>
      <c r="C980">
        <v>635</v>
      </c>
      <c r="D980">
        <v>1</v>
      </c>
      <c r="E980" t="s">
        <v>23</v>
      </c>
      <c r="F980" t="s">
        <v>24</v>
      </c>
      <c r="G980" t="str">
        <f>"2026-01-05 03:01:27.645"</f>
        <v>2026-01-05 03:01:27.645</v>
      </c>
      <c r="H980" t="s">
        <v>21</v>
      </c>
    </row>
    <row r="981" spans="1:10" x14ac:dyDescent="0.25">
      <c r="A981" s="1">
        <v>10</v>
      </c>
      <c r="B981" t="s">
        <v>25</v>
      </c>
      <c r="C981">
        <v>635</v>
      </c>
      <c r="D981">
        <v>1</v>
      </c>
      <c r="E981" t="s">
        <v>23</v>
      </c>
      <c r="F981" t="s">
        <v>24</v>
      </c>
      <c r="G981" t="str">
        <f>"2026-01-05 02:21:31.645"</f>
        <v>2026-01-05 02:21:31.645</v>
      </c>
      <c r="H981" t="s">
        <v>21</v>
      </c>
      <c r="I981">
        <v>2.25</v>
      </c>
      <c r="J981" t="s">
        <v>37</v>
      </c>
    </row>
    <row r="982" spans="1:10" x14ac:dyDescent="0.25">
      <c r="A982" s="1">
        <v>11</v>
      </c>
      <c r="B982" t="s">
        <v>22</v>
      </c>
      <c r="C982">
        <v>635</v>
      </c>
      <c r="D982">
        <v>1</v>
      </c>
      <c r="E982" t="s">
        <v>23</v>
      </c>
      <c r="F982" t="s">
        <v>24</v>
      </c>
      <c r="G982" t="str">
        <f>"2026-01-04 18:22:02.445"</f>
        <v>2026-01-04 18:22:02.445</v>
      </c>
      <c r="H982" t="s">
        <v>21</v>
      </c>
    </row>
    <row r="983" spans="1:10" x14ac:dyDescent="0.25">
      <c r="A983" s="1">
        <v>12</v>
      </c>
      <c r="B983" t="s">
        <v>25</v>
      </c>
      <c r="C983">
        <v>635</v>
      </c>
      <c r="D983">
        <v>1</v>
      </c>
      <c r="E983" t="s">
        <v>23</v>
      </c>
      <c r="F983" t="s">
        <v>24</v>
      </c>
      <c r="G983" t="str">
        <f>"2026-01-04 18:19:31.445"</f>
        <v>2026-01-04 18:19:31.445</v>
      </c>
      <c r="H983" t="s">
        <v>21</v>
      </c>
      <c r="I983">
        <v>1.07</v>
      </c>
      <c r="J983" t="s">
        <v>37</v>
      </c>
    </row>
    <row r="984" spans="1:10" s="3" customFormat="1" x14ac:dyDescent="0.25">
      <c r="A984" s="2">
        <v>13</v>
      </c>
      <c r="B984" s="3" t="s">
        <v>22</v>
      </c>
      <c r="C984" s="3">
        <v>647</v>
      </c>
      <c r="D984" s="3">
        <v>1</v>
      </c>
      <c r="E984" s="3" t="s">
        <v>39</v>
      </c>
      <c r="F984" s="3" t="s">
        <v>40</v>
      </c>
      <c r="G984" s="3" t="str">
        <f>"2026-01-04 00:02:59.344"</f>
        <v>2026-01-04 00:02:59.344</v>
      </c>
      <c r="H984" s="3" t="s">
        <v>21</v>
      </c>
    </row>
    <row r="985" spans="1:10" s="3" customFormat="1" x14ac:dyDescent="0.25">
      <c r="A985" s="2">
        <v>14</v>
      </c>
      <c r="B985" s="3" t="s">
        <v>25</v>
      </c>
      <c r="C985" s="3">
        <v>647</v>
      </c>
      <c r="D985" s="3">
        <v>1</v>
      </c>
      <c r="E985" s="3" t="s">
        <v>39</v>
      </c>
      <c r="F985" s="3" t="s">
        <v>40</v>
      </c>
      <c r="G985" s="3" t="str">
        <f>"2026-01-04 00:02:57.446"</f>
        <v>2026-01-04 00:02:57.446</v>
      </c>
      <c r="H985" s="3" t="s">
        <v>21</v>
      </c>
      <c r="I985" s="3">
        <v>18.07</v>
      </c>
      <c r="J985" s="3" t="s">
        <v>37</v>
      </c>
    </row>
    <row r="986" spans="1:10" x14ac:dyDescent="0.25">
      <c r="A986" s="1">
        <v>16</v>
      </c>
      <c r="B986" t="s">
        <v>19</v>
      </c>
      <c r="C986">
        <v>706</v>
      </c>
      <c r="D986">
        <v>4</v>
      </c>
      <c r="E986" t="s">
        <v>31</v>
      </c>
      <c r="F986" t="s">
        <v>32</v>
      </c>
      <c r="G986" t="str">
        <f>"2026-01-02 16:28:25.316"</f>
        <v>2026-01-02 16:28:25.316</v>
      </c>
      <c r="H986" t="s">
        <v>21</v>
      </c>
      <c r="I986">
        <v>0</v>
      </c>
      <c r="J986" t="s">
        <v>33</v>
      </c>
    </row>
    <row r="987" spans="1:10" x14ac:dyDescent="0.25">
      <c r="A987" s="1">
        <v>17</v>
      </c>
      <c r="B987" t="s">
        <v>19</v>
      </c>
      <c r="C987">
        <v>706</v>
      </c>
      <c r="D987">
        <v>4</v>
      </c>
      <c r="E987" t="s">
        <v>31</v>
      </c>
      <c r="F987" t="s">
        <v>32</v>
      </c>
      <c r="G987" t="str">
        <f>"2026-01-02 16:24:11.516"</f>
        <v>2026-01-02 16:24:11.516</v>
      </c>
      <c r="H987" t="s">
        <v>21</v>
      </c>
      <c r="I987">
        <v>0</v>
      </c>
      <c r="J987" t="s">
        <v>33</v>
      </c>
    </row>
    <row r="988" spans="1:10" x14ac:dyDescent="0.25">
      <c r="A988" s="1">
        <v>18</v>
      </c>
      <c r="B988" t="s">
        <v>19</v>
      </c>
      <c r="C988">
        <v>706</v>
      </c>
      <c r="D988">
        <v>4</v>
      </c>
      <c r="E988" t="s">
        <v>31</v>
      </c>
      <c r="F988" t="s">
        <v>32</v>
      </c>
      <c r="G988" t="str">
        <f>"2026-01-02 16:20:04.826"</f>
        <v>2026-01-02 16:20:04.826</v>
      </c>
      <c r="H988" t="s">
        <v>21</v>
      </c>
      <c r="I988">
        <v>0</v>
      </c>
      <c r="J988" t="s">
        <v>33</v>
      </c>
    </row>
    <row r="989" spans="1:10" x14ac:dyDescent="0.25">
      <c r="A989" s="1">
        <v>19</v>
      </c>
      <c r="B989" t="s">
        <v>19</v>
      </c>
      <c r="C989">
        <v>706</v>
      </c>
      <c r="D989">
        <v>4</v>
      </c>
      <c r="E989" t="s">
        <v>31</v>
      </c>
      <c r="F989" t="s">
        <v>32</v>
      </c>
      <c r="G989" t="str">
        <f>"2026-01-02 16:19:49.826"</f>
        <v>2026-01-02 16:19:49.826</v>
      </c>
      <c r="H989" t="s">
        <v>21</v>
      </c>
      <c r="I989">
        <v>0</v>
      </c>
      <c r="J989" t="s">
        <v>33</v>
      </c>
    </row>
    <row r="990" spans="1:10" x14ac:dyDescent="0.25">
      <c r="A990" s="1">
        <v>20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"2026-01-02 16:06:31.876"</f>
        <v>2026-01-02 16:06:31.876</v>
      </c>
      <c r="H990" t="s">
        <v>21</v>
      </c>
      <c r="I990">
        <v>0</v>
      </c>
      <c r="J990" t="s">
        <v>27</v>
      </c>
    </row>
    <row r="991" spans="1:10" x14ac:dyDescent="0.25">
      <c r="A991" s="1">
        <v>21</v>
      </c>
      <c r="B991" t="s">
        <v>34</v>
      </c>
      <c r="C991">
        <v>630</v>
      </c>
      <c r="D991">
        <v>5</v>
      </c>
      <c r="E991" t="s">
        <v>28</v>
      </c>
      <c r="F991" t="s">
        <v>29</v>
      </c>
      <c r="G991" t="str">
        <f>"2026-01-02 14:21:46.128"</f>
        <v>2026-01-02 14:21:46.128</v>
      </c>
      <c r="H991" t="s">
        <v>30</v>
      </c>
      <c r="I991">
        <v>0</v>
      </c>
      <c r="J991" t="s">
        <v>33</v>
      </c>
    </row>
    <row r="992" spans="1:10" x14ac:dyDescent="0.25">
      <c r="A992" s="1">
        <v>22</v>
      </c>
      <c r="B992" t="s">
        <v>22</v>
      </c>
      <c r="C992">
        <v>630</v>
      </c>
      <c r="D992">
        <v>5</v>
      </c>
      <c r="E992" t="s">
        <v>28</v>
      </c>
      <c r="F992" t="s">
        <v>29</v>
      </c>
      <c r="G992" t="str">
        <f>"2026-01-02 10:58:46.628"</f>
        <v>2026-01-02 10:58:46.628</v>
      </c>
      <c r="H992" t="s">
        <v>30</v>
      </c>
    </row>
    <row r="993" spans="1:10" x14ac:dyDescent="0.25">
      <c r="A993" s="1">
        <v>23</v>
      </c>
      <c r="B993" t="s">
        <v>19</v>
      </c>
      <c r="C993">
        <v>706</v>
      </c>
      <c r="D993">
        <v>4</v>
      </c>
      <c r="E993" t="s">
        <v>31</v>
      </c>
      <c r="F993" t="s">
        <v>32</v>
      </c>
      <c r="G993" t="str">
        <f>"2026-01-02 10:58:16.607"</f>
        <v>2026-01-02 10:58:16.607</v>
      </c>
      <c r="H993" t="s">
        <v>21</v>
      </c>
      <c r="I993">
        <v>0</v>
      </c>
      <c r="J993" t="s">
        <v>33</v>
      </c>
    </row>
    <row r="994" spans="1:10" x14ac:dyDescent="0.25">
      <c r="A994" s="1">
        <v>24</v>
      </c>
      <c r="B994" t="s">
        <v>34</v>
      </c>
      <c r="C994">
        <v>630</v>
      </c>
      <c r="D994">
        <v>5</v>
      </c>
      <c r="E994" t="s">
        <v>28</v>
      </c>
      <c r="F994" t="s">
        <v>29</v>
      </c>
      <c r="G994" t="str">
        <f>"2026-01-02 10:49:03.828"</f>
        <v>2026-01-02 10:49:03.828</v>
      </c>
      <c r="H994" t="s">
        <v>30</v>
      </c>
      <c r="I994">
        <v>0</v>
      </c>
      <c r="J994" t="s">
        <v>33</v>
      </c>
    </row>
    <row r="995" spans="1:10" s="3" customFormat="1" x14ac:dyDescent="0.25">
      <c r="A995" s="2">
        <v>25</v>
      </c>
      <c r="B995" s="3" t="s">
        <v>22</v>
      </c>
      <c r="C995" s="3">
        <v>647</v>
      </c>
      <c r="D995" s="3">
        <v>1</v>
      </c>
      <c r="E995" s="3" t="s">
        <v>39</v>
      </c>
      <c r="F995" s="3" t="s">
        <v>40</v>
      </c>
      <c r="G995" s="3" t="str">
        <f>"2026-01-02 03:27:06.028"</f>
        <v>2026-01-02 03:27:06.028</v>
      </c>
      <c r="H995" s="3" t="s">
        <v>21</v>
      </c>
    </row>
    <row r="996" spans="1:10" s="3" customFormat="1" x14ac:dyDescent="0.25">
      <c r="A996" s="2">
        <v>26</v>
      </c>
      <c r="B996" s="3" t="s">
        <v>25</v>
      </c>
      <c r="C996" s="3">
        <v>647</v>
      </c>
      <c r="D996" s="3">
        <v>1</v>
      </c>
      <c r="E996" s="3" t="s">
        <v>39</v>
      </c>
      <c r="F996" s="3" t="s">
        <v>40</v>
      </c>
      <c r="G996" s="3" t="str">
        <f>"2026-01-02 03:27:04.228"</f>
        <v>2026-01-02 03:27:04.228</v>
      </c>
      <c r="H996" s="3" t="s">
        <v>21</v>
      </c>
      <c r="I996" s="3">
        <v>19.43</v>
      </c>
      <c r="J996" s="3" t="s">
        <v>37</v>
      </c>
    </row>
    <row r="997" spans="1:10" x14ac:dyDescent="0.25">
      <c r="A997" s="1">
        <v>27</v>
      </c>
      <c r="B997" t="s">
        <v>22</v>
      </c>
      <c r="C997">
        <v>635</v>
      </c>
      <c r="D997">
        <v>1</v>
      </c>
      <c r="E997" t="s">
        <v>23</v>
      </c>
      <c r="F997" t="s">
        <v>24</v>
      </c>
      <c r="G997" t="str">
        <f>"2026-01-01 20:35:29.027"</f>
        <v>2026-01-01 20:35:29.027</v>
      </c>
      <c r="H997" t="s">
        <v>21</v>
      </c>
    </row>
    <row r="998" spans="1:10" x14ac:dyDescent="0.25">
      <c r="A998" s="1">
        <v>28</v>
      </c>
      <c r="B998" t="s">
        <v>25</v>
      </c>
      <c r="C998">
        <v>635</v>
      </c>
      <c r="D998">
        <v>1</v>
      </c>
      <c r="E998" t="s">
        <v>23</v>
      </c>
      <c r="F998" t="s">
        <v>24</v>
      </c>
      <c r="G998" t="str">
        <f>"2026-01-01 20:30:42.028"</f>
        <v>2026-01-01 20:30:42.028</v>
      </c>
      <c r="H998" t="s">
        <v>21</v>
      </c>
      <c r="I998">
        <v>0.51</v>
      </c>
      <c r="J998" t="s">
        <v>37</v>
      </c>
    </row>
    <row r="999" spans="1:10" x14ac:dyDescent="0.25">
      <c r="A999" s="1">
        <v>29</v>
      </c>
      <c r="B999" t="s">
        <v>22</v>
      </c>
      <c r="C999">
        <v>630</v>
      </c>
      <c r="D999">
        <v>5</v>
      </c>
      <c r="E999" t="s">
        <v>28</v>
      </c>
      <c r="F999" t="s">
        <v>29</v>
      </c>
      <c r="G999" t="str">
        <f>"2026-01-01 20:06:09.826"</f>
        <v>2026-01-01 20:06:09.826</v>
      </c>
      <c r="H999" t="s">
        <v>30</v>
      </c>
    </row>
    <row r="1000" spans="1:10" x14ac:dyDescent="0.25">
      <c r="A1000" s="1">
        <v>30</v>
      </c>
      <c r="B1000" t="s">
        <v>19</v>
      </c>
      <c r="C1000">
        <v>706</v>
      </c>
      <c r="D1000">
        <v>4</v>
      </c>
      <c r="E1000" t="s">
        <v>31</v>
      </c>
      <c r="F1000" t="s">
        <v>32</v>
      </c>
      <c r="G1000" t="str">
        <f>"2026-01-01 20:05:39.707"</f>
        <v>2026-01-01 20:05:39.707</v>
      </c>
      <c r="H1000" t="s">
        <v>21</v>
      </c>
      <c r="I1000">
        <v>0</v>
      </c>
      <c r="J1000" t="s">
        <v>33</v>
      </c>
    </row>
    <row r="1001" spans="1:10" x14ac:dyDescent="0.25">
      <c r="A1001" s="1">
        <v>31</v>
      </c>
      <c r="B1001" t="s">
        <v>34</v>
      </c>
      <c r="C1001">
        <v>630</v>
      </c>
      <c r="D1001">
        <v>5</v>
      </c>
      <c r="E1001" t="s">
        <v>28</v>
      </c>
      <c r="F1001" t="s">
        <v>29</v>
      </c>
      <c r="G1001" t="str">
        <f>"2026-01-01 20:01:25.928"</f>
        <v>2026-01-01 20:01:25.928</v>
      </c>
      <c r="H1001" t="s">
        <v>30</v>
      </c>
      <c r="I1001">
        <v>0</v>
      </c>
      <c r="J1001" t="s">
        <v>33</v>
      </c>
    </row>
    <row r="1002" spans="1:10" x14ac:dyDescent="0.25">
      <c r="A1002" s="1">
        <v>32</v>
      </c>
      <c r="B1002" t="s">
        <v>22</v>
      </c>
      <c r="C1002">
        <v>630</v>
      </c>
      <c r="D1002">
        <v>5</v>
      </c>
      <c r="E1002" t="s">
        <v>28</v>
      </c>
      <c r="F1002" t="s">
        <v>29</v>
      </c>
      <c r="G1002" t="str">
        <f>"2025-12-31 13:09:38.128"</f>
        <v>2025-12-31 13:09:38.128</v>
      </c>
      <c r="H1002" t="s">
        <v>30</v>
      </c>
    </row>
    <row r="1003" spans="1:10" x14ac:dyDescent="0.25">
      <c r="A1003" s="1">
        <v>33</v>
      </c>
      <c r="B1003" t="s">
        <v>19</v>
      </c>
      <c r="C1003">
        <v>706</v>
      </c>
      <c r="D1003">
        <v>4</v>
      </c>
      <c r="E1003" t="s">
        <v>31</v>
      </c>
      <c r="F1003" t="s">
        <v>32</v>
      </c>
      <c r="G1003" t="str">
        <f>"2025-12-31 13:09:08.077"</f>
        <v>2025-12-31 13:09:08.077</v>
      </c>
      <c r="H1003" t="s">
        <v>21</v>
      </c>
      <c r="I1003">
        <v>0</v>
      </c>
      <c r="J1003" t="s">
        <v>33</v>
      </c>
    </row>
    <row r="1004" spans="1:10" x14ac:dyDescent="0.25">
      <c r="A1004" s="1">
        <v>34</v>
      </c>
      <c r="B1004" t="s">
        <v>34</v>
      </c>
      <c r="C1004">
        <v>630</v>
      </c>
      <c r="D1004">
        <v>5</v>
      </c>
      <c r="E1004" t="s">
        <v>28</v>
      </c>
      <c r="F1004" t="s">
        <v>29</v>
      </c>
      <c r="G1004" t="str">
        <f>"2025-12-31 12:48:03.128"</f>
        <v>2025-12-31 12:48:03.128</v>
      </c>
      <c r="H1004" t="s">
        <v>30</v>
      </c>
      <c r="I1004">
        <v>0</v>
      </c>
      <c r="J1004" t="s">
        <v>33</v>
      </c>
    </row>
    <row r="1005" spans="1:10" s="3" customFormat="1" x14ac:dyDescent="0.25">
      <c r="A1005" s="2">
        <v>36</v>
      </c>
      <c r="B1005" s="3" t="s">
        <v>22</v>
      </c>
      <c r="C1005" s="3">
        <v>647</v>
      </c>
      <c r="D1005" s="3">
        <v>1</v>
      </c>
      <c r="E1005" s="3" t="s">
        <v>39</v>
      </c>
      <c r="F1005" s="3" t="s">
        <v>40</v>
      </c>
      <c r="G1005" s="3" t="str">
        <f>"2025-12-30 04:40:34.928"</f>
        <v>2025-12-30 04:40:34.928</v>
      </c>
      <c r="H1005" s="3" t="s">
        <v>21</v>
      </c>
    </row>
    <row r="1006" spans="1:10" s="3" customFormat="1" x14ac:dyDescent="0.25">
      <c r="A1006" s="2">
        <v>37</v>
      </c>
      <c r="B1006" s="3" t="s">
        <v>25</v>
      </c>
      <c r="C1006" s="3">
        <v>647</v>
      </c>
      <c r="D1006" s="3">
        <v>1</v>
      </c>
      <c r="E1006" s="3" t="s">
        <v>39</v>
      </c>
      <c r="F1006" s="3" t="s">
        <v>40</v>
      </c>
      <c r="G1006" s="3" t="str">
        <f>"2025-12-30 04:40:26.628"</f>
        <v>2025-12-30 04:40:26.628</v>
      </c>
      <c r="H1006" s="3" t="s">
        <v>21</v>
      </c>
      <c r="I1006" s="3">
        <v>14.09</v>
      </c>
      <c r="J1006" s="3" t="s">
        <v>37</v>
      </c>
    </row>
    <row r="1007" spans="1:10" s="3" customFormat="1" x14ac:dyDescent="0.25">
      <c r="A1007" s="2">
        <v>38</v>
      </c>
      <c r="B1007" s="3" t="s">
        <v>22</v>
      </c>
      <c r="C1007" s="3">
        <v>647</v>
      </c>
      <c r="D1007" s="3">
        <v>1</v>
      </c>
      <c r="E1007" s="3" t="s">
        <v>39</v>
      </c>
      <c r="F1007" s="3" t="s">
        <v>40</v>
      </c>
      <c r="G1007" s="3" t="str">
        <f>"2025-12-29 20:50:31.328"</f>
        <v>2025-12-29 20:50:31.328</v>
      </c>
      <c r="H1007" s="3" t="s">
        <v>21</v>
      </c>
    </row>
    <row r="1008" spans="1:10" s="3" customFormat="1" x14ac:dyDescent="0.25">
      <c r="A1008" s="2">
        <v>39</v>
      </c>
      <c r="B1008" s="3" t="s">
        <v>25</v>
      </c>
      <c r="C1008" s="3">
        <v>647</v>
      </c>
      <c r="D1008" s="3">
        <v>1</v>
      </c>
      <c r="E1008" s="3" t="s">
        <v>39</v>
      </c>
      <c r="F1008" s="3" t="s">
        <v>40</v>
      </c>
      <c r="G1008" s="3" t="str">
        <f>"2025-12-29 20:50:28.428"</f>
        <v>2025-12-29 20:50:28.428</v>
      </c>
      <c r="H1008" s="3" t="s">
        <v>21</v>
      </c>
      <c r="I1008" s="3">
        <v>9.98</v>
      </c>
      <c r="J1008" s="3" t="s">
        <v>37</v>
      </c>
    </row>
    <row r="1009" spans="1:10" x14ac:dyDescent="0.25">
      <c r="A1009" s="1">
        <v>40</v>
      </c>
      <c r="B1009" t="s">
        <v>22</v>
      </c>
      <c r="C1009">
        <v>630</v>
      </c>
      <c r="D1009">
        <v>5</v>
      </c>
      <c r="E1009" t="s">
        <v>28</v>
      </c>
      <c r="F1009" t="s">
        <v>29</v>
      </c>
      <c r="G1009" t="str">
        <f>"2025-12-29 13:24:09.228"</f>
        <v>2025-12-29 13:24:09.228</v>
      </c>
      <c r="H1009" t="s">
        <v>30</v>
      </c>
    </row>
    <row r="1010" spans="1:10" x14ac:dyDescent="0.25">
      <c r="A1010" s="1">
        <v>41</v>
      </c>
      <c r="B1010" t="s">
        <v>19</v>
      </c>
      <c r="C1010">
        <v>706</v>
      </c>
      <c r="D1010">
        <v>2</v>
      </c>
      <c r="E1010" t="s">
        <v>31</v>
      </c>
      <c r="F1010" t="s">
        <v>35</v>
      </c>
      <c r="G1010" t="str">
        <f>"2025-12-29 13:23:39.077"</f>
        <v>2025-12-29 13:23:39.077</v>
      </c>
      <c r="H1010" t="s">
        <v>21</v>
      </c>
      <c r="I1010">
        <v>0</v>
      </c>
      <c r="J1010" t="s">
        <v>33</v>
      </c>
    </row>
    <row r="1011" spans="1:10" x14ac:dyDescent="0.25">
      <c r="A1011" s="1">
        <v>42</v>
      </c>
      <c r="B1011" t="s">
        <v>34</v>
      </c>
      <c r="C1011">
        <v>630</v>
      </c>
      <c r="D1011">
        <v>5</v>
      </c>
      <c r="E1011" t="s">
        <v>28</v>
      </c>
      <c r="F1011" t="s">
        <v>29</v>
      </c>
      <c r="G1011" t="str">
        <f>"2025-12-29 12:53:53.028"</f>
        <v>2025-12-29 12:53:53.028</v>
      </c>
      <c r="H1011" t="s">
        <v>30</v>
      </c>
      <c r="I1011">
        <v>0</v>
      </c>
      <c r="J1011" t="s">
        <v>33</v>
      </c>
    </row>
    <row r="1012" spans="1:10" x14ac:dyDescent="0.25">
      <c r="A1012" s="1">
        <v>43</v>
      </c>
      <c r="B1012" t="s">
        <v>22</v>
      </c>
      <c r="C1012">
        <v>635</v>
      </c>
      <c r="D1012">
        <v>1</v>
      </c>
      <c r="E1012" t="s">
        <v>23</v>
      </c>
      <c r="F1012" t="s">
        <v>24</v>
      </c>
      <c r="G1012" t="str">
        <f>"2025-12-28 15:25:26.127"</f>
        <v>2025-12-28 15:25:26.127</v>
      </c>
      <c r="H1012" t="s">
        <v>21</v>
      </c>
    </row>
    <row r="1013" spans="1:10" x14ac:dyDescent="0.25">
      <c r="A1013" s="1">
        <v>44</v>
      </c>
      <c r="B1013" t="s">
        <v>25</v>
      </c>
      <c r="C1013">
        <v>635</v>
      </c>
      <c r="D1013">
        <v>1</v>
      </c>
      <c r="E1013" t="s">
        <v>23</v>
      </c>
      <c r="F1013" t="s">
        <v>24</v>
      </c>
      <c r="G1013" t="str">
        <f>"2025-12-28 15:22:13.627"</f>
        <v>2025-12-28 15:22:13.627</v>
      </c>
      <c r="H1013" t="s">
        <v>21</v>
      </c>
      <c r="I1013">
        <v>2.7</v>
      </c>
      <c r="J1013" t="s">
        <v>36</v>
      </c>
    </row>
    <row r="1014" spans="1:10" x14ac:dyDescent="0.25">
      <c r="A1014" s="1">
        <v>45</v>
      </c>
      <c r="B1014" t="s">
        <v>22</v>
      </c>
      <c r="C1014">
        <v>630</v>
      </c>
      <c r="D1014">
        <v>5</v>
      </c>
      <c r="E1014" t="s">
        <v>28</v>
      </c>
      <c r="F1014" t="s">
        <v>29</v>
      </c>
      <c r="G1014" t="str">
        <f>"2025-12-28 14:01:51.228"</f>
        <v>2025-12-28 14:01:51.228</v>
      </c>
      <c r="H1014" t="s">
        <v>30</v>
      </c>
    </row>
    <row r="1015" spans="1:10" x14ac:dyDescent="0.25">
      <c r="A1015" s="1">
        <v>46</v>
      </c>
      <c r="B1015" t="s">
        <v>19</v>
      </c>
      <c r="C1015">
        <v>706</v>
      </c>
      <c r="D1015">
        <v>2</v>
      </c>
      <c r="E1015" t="s">
        <v>31</v>
      </c>
      <c r="F1015" t="s">
        <v>35</v>
      </c>
      <c r="G1015" t="str">
        <f>"2025-12-28 14:01:21.177"</f>
        <v>2025-12-28 14:01:21.177</v>
      </c>
      <c r="H1015" t="s">
        <v>21</v>
      </c>
      <c r="I1015">
        <v>0</v>
      </c>
      <c r="J1015" t="s">
        <v>33</v>
      </c>
    </row>
    <row r="1016" spans="1:10" x14ac:dyDescent="0.25">
      <c r="A1016" s="1">
        <v>47</v>
      </c>
      <c r="B1016" t="s">
        <v>34</v>
      </c>
      <c r="C1016">
        <v>630</v>
      </c>
      <c r="D1016">
        <v>5</v>
      </c>
      <c r="E1016" t="s">
        <v>28</v>
      </c>
      <c r="F1016" t="s">
        <v>29</v>
      </c>
      <c r="G1016" t="str">
        <f>"2025-12-28 13:14:41.728"</f>
        <v>2025-12-28 13:14:41.728</v>
      </c>
      <c r="H1016" t="s">
        <v>30</v>
      </c>
      <c r="I1016">
        <v>0</v>
      </c>
      <c r="J1016" t="s">
        <v>33</v>
      </c>
    </row>
    <row r="1017" spans="1:10" x14ac:dyDescent="0.25">
      <c r="A1017" s="1">
        <v>48</v>
      </c>
      <c r="B1017" t="s">
        <v>41</v>
      </c>
      <c r="C1017">
        <v>215</v>
      </c>
      <c r="D1017">
        <v>6</v>
      </c>
      <c r="E1017" t="s">
        <v>42</v>
      </c>
      <c r="F1017" t="s">
        <v>43</v>
      </c>
      <c r="G1017" t="str">
        <f>"2025-12-28 13:09:59.696"</f>
        <v>2025-12-28 13:09:59.696</v>
      </c>
      <c r="H1017" t="s">
        <v>21</v>
      </c>
    </row>
    <row r="1018" spans="1:10" x14ac:dyDescent="0.25">
      <c r="A1018" s="1">
        <v>49</v>
      </c>
      <c r="B1018" t="s">
        <v>41</v>
      </c>
      <c r="C1018">
        <v>115</v>
      </c>
      <c r="D1018">
        <v>6</v>
      </c>
      <c r="E1018" t="s">
        <v>44</v>
      </c>
      <c r="F1018" t="s">
        <v>43</v>
      </c>
      <c r="G1018" t="str">
        <f>"2025-12-28 13:09:59.596"</f>
        <v>2025-12-28 13:09:59.596</v>
      </c>
      <c r="H1018" t="s">
        <v>21</v>
      </c>
    </row>
    <row r="1019" spans="1:10" x14ac:dyDescent="0.25">
      <c r="A1019" s="1">
        <v>50</v>
      </c>
      <c r="B1019" t="s">
        <v>34</v>
      </c>
      <c r="C1019">
        <v>215</v>
      </c>
      <c r="D1019">
        <v>6</v>
      </c>
      <c r="E1019" t="s">
        <v>42</v>
      </c>
      <c r="F1019" t="s">
        <v>43</v>
      </c>
      <c r="G1019" t="str">
        <f>"2025-12-28 13:09:54.533"</f>
        <v>2025-12-28 13:09:54.533</v>
      </c>
      <c r="H1019" t="s">
        <v>21</v>
      </c>
      <c r="I1019">
        <v>0</v>
      </c>
      <c r="J1019" t="s">
        <v>33</v>
      </c>
    </row>
    <row r="1020" spans="1:10" x14ac:dyDescent="0.25">
      <c r="A1020" s="1">
        <v>51</v>
      </c>
      <c r="B1020" t="s">
        <v>34</v>
      </c>
      <c r="C1020">
        <v>115</v>
      </c>
      <c r="D1020">
        <v>6</v>
      </c>
      <c r="E1020" t="s">
        <v>44</v>
      </c>
      <c r="F1020" t="s">
        <v>43</v>
      </c>
      <c r="G1020" t="str">
        <f>"2025-12-28 13:09:54.529"</f>
        <v>2025-12-28 13:09:54.529</v>
      </c>
      <c r="H1020" t="s">
        <v>21</v>
      </c>
      <c r="I1020">
        <v>0</v>
      </c>
      <c r="J1020" t="s">
        <v>33</v>
      </c>
    </row>
    <row r="1021" spans="1:10" x14ac:dyDescent="0.25">
      <c r="A1021" s="1">
        <v>52</v>
      </c>
      <c r="B1021" t="s">
        <v>22</v>
      </c>
      <c r="C1021">
        <v>6</v>
      </c>
      <c r="D1021">
        <v>1</v>
      </c>
      <c r="E1021" t="s">
        <v>45</v>
      </c>
      <c r="F1021" t="s">
        <v>46</v>
      </c>
      <c r="G1021" t="str">
        <f>"2025-12-28 13:09:54.419"</f>
        <v>2025-12-28 13:09:54.419</v>
      </c>
      <c r="H1021" t="s">
        <v>47</v>
      </c>
    </row>
    <row r="1022" spans="1:10" x14ac:dyDescent="0.25">
      <c r="A1022" s="1">
        <v>53</v>
      </c>
      <c r="B1022" t="s">
        <v>22</v>
      </c>
      <c r="C1022">
        <v>75</v>
      </c>
      <c r="D1022">
        <v>1</v>
      </c>
      <c r="E1022" t="s">
        <v>48</v>
      </c>
      <c r="F1022" t="s">
        <v>49</v>
      </c>
      <c r="G1022" t="str">
        <f>"2025-12-28 13:09:54.417"</f>
        <v>2025-12-28 13:09:54.417</v>
      </c>
      <c r="H1022" t="s">
        <v>50</v>
      </c>
    </row>
    <row r="1023" spans="1:10" x14ac:dyDescent="0.25">
      <c r="A1023" s="1">
        <v>54</v>
      </c>
      <c r="B1023" t="s">
        <v>22</v>
      </c>
      <c r="C1023">
        <v>74</v>
      </c>
      <c r="D1023">
        <v>1</v>
      </c>
      <c r="E1023" t="s">
        <v>51</v>
      </c>
      <c r="F1023" t="s">
        <v>52</v>
      </c>
      <c r="G1023" t="str">
        <f>"2025-12-28 13:09:54.415"</f>
        <v>2025-12-28 13:09:54.415</v>
      </c>
      <c r="H1023" t="s">
        <v>53</v>
      </c>
    </row>
    <row r="1024" spans="1:10" x14ac:dyDescent="0.25">
      <c r="A1024" s="1">
        <v>55</v>
      </c>
      <c r="B1024" t="s">
        <v>25</v>
      </c>
      <c r="C1024">
        <v>75</v>
      </c>
      <c r="D1024">
        <v>1</v>
      </c>
      <c r="E1024" t="s">
        <v>48</v>
      </c>
      <c r="F1024" t="s">
        <v>49</v>
      </c>
      <c r="G1024" t="str">
        <f>"2025-12-28 13:09:42.926"</f>
        <v>2025-12-28 13:09:42.926</v>
      </c>
      <c r="H1024" t="s">
        <v>50</v>
      </c>
      <c r="I1024">
        <v>0</v>
      </c>
      <c r="J1024" t="s">
        <v>33</v>
      </c>
    </row>
    <row r="1025" spans="1:10" x14ac:dyDescent="0.25">
      <c r="A1025" s="1">
        <v>56</v>
      </c>
      <c r="B1025" t="s">
        <v>25</v>
      </c>
      <c r="C1025">
        <v>74</v>
      </c>
      <c r="D1025">
        <v>1</v>
      </c>
      <c r="E1025" t="s">
        <v>51</v>
      </c>
      <c r="F1025" t="s">
        <v>52</v>
      </c>
      <c r="G1025" t="str">
        <f>"2025-12-28 13:09:42.920"</f>
        <v>2025-12-28 13:09:42.920</v>
      </c>
      <c r="H1025" t="s">
        <v>53</v>
      </c>
      <c r="I1025">
        <v>0</v>
      </c>
      <c r="J1025" t="s">
        <v>33</v>
      </c>
    </row>
    <row r="1026" spans="1:10" x14ac:dyDescent="0.25">
      <c r="A1026" s="1">
        <v>57</v>
      </c>
      <c r="B1026" t="s">
        <v>34</v>
      </c>
      <c r="C1026">
        <v>6</v>
      </c>
      <c r="D1026">
        <v>1</v>
      </c>
      <c r="E1026" t="s">
        <v>45</v>
      </c>
      <c r="F1026" t="s">
        <v>46</v>
      </c>
      <c r="G1026" t="str">
        <f>"2025-12-28 13:09:42.916"</f>
        <v>2025-12-28 13:09:42.916</v>
      </c>
      <c r="H1026" t="s">
        <v>47</v>
      </c>
      <c r="I1026">
        <v>0</v>
      </c>
      <c r="J1026" t="s">
        <v>33</v>
      </c>
    </row>
    <row r="1027" spans="1:10" x14ac:dyDescent="0.25">
      <c r="A1027" s="1">
        <v>62</v>
      </c>
      <c r="B1027" t="s">
        <v>41</v>
      </c>
      <c r="C1027">
        <v>115</v>
      </c>
      <c r="D1027">
        <v>6</v>
      </c>
      <c r="E1027" t="s">
        <v>44</v>
      </c>
      <c r="F1027" t="s">
        <v>43</v>
      </c>
      <c r="G1027" t="str">
        <f>"2025-12-27 20:29:10.296"</f>
        <v>2025-12-27 20:29:10.296</v>
      </c>
      <c r="H1027" t="s">
        <v>21</v>
      </c>
    </row>
    <row r="1028" spans="1:10" x14ac:dyDescent="0.25">
      <c r="A1028" s="1">
        <v>63</v>
      </c>
      <c r="B1028" t="s">
        <v>41</v>
      </c>
      <c r="C1028">
        <v>215</v>
      </c>
      <c r="D1028">
        <v>6</v>
      </c>
      <c r="E1028" t="s">
        <v>42</v>
      </c>
      <c r="F1028" t="s">
        <v>43</v>
      </c>
      <c r="G1028" t="str">
        <f>"2025-12-27 20:29:10.196"</f>
        <v>2025-12-27 20:29:10.196</v>
      </c>
      <c r="H1028" t="s">
        <v>21</v>
      </c>
    </row>
    <row r="1029" spans="1:10" x14ac:dyDescent="0.25">
      <c r="A1029" s="1">
        <v>64</v>
      </c>
      <c r="B1029" t="s">
        <v>34</v>
      </c>
      <c r="C1029">
        <v>115</v>
      </c>
      <c r="D1029">
        <v>6</v>
      </c>
      <c r="E1029" t="s">
        <v>44</v>
      </c>
      <c r="F1029" t="s">
        <v>43</v>
      </c>
      <c r="G1029" t="str">
        <f>"2025-12-27 20:29:05.268"</f>
        <v>2025-12-27 20:29:05.268</v>
      </c>
      <c r="H1029" t="s">
        <v>21</v>
      </c>
      <c r="I1029">
        <v>0</v>
      </c>
      <c r="J1029" t="s">
        <v>33</v>
      </c>
    </row>
    <row r="1030" spans="1:10" x14ac:dyDescent="0.25">
      <c r="A1030" s="1">
        <v>65</v>
      </c>
      <c r="B1030" t="s">
        <v>34</v>
      </c>
      <c r="C1030">
        <v>215</v>
      </c>
      <c r="D1030">
        <v>6</v>
      </c>
      <c r="E1030" t="s">
        <v>42</v>
      </c>
      <c r="F1030" t="s">
        <v>43</v>
      </c>
      <c r="G1030" t="str">
        <f>"2025-12-27 20:29:05.108"</f>
        <v>2025-12-27 20:29:05.108</v>
      </c>
      <c r="H1030" t="s">
        <v>21</v>
      </c>
      <c r="I1030">
        <v>0</v>
      </c>
      <c r="J1030" t="s">
        <v>33</v>
      </c>
    </row>
    <row r="1031" spans="1:10" x14ac:dyDescent="0.25">
      <c r="A1031" s="1">
        <v>66</v>
      </c>
      <c r="B1031" t="s">
        <v>22</v>
      </c>
      <c r="C1031">
        <v>6</v>
      </c>
      <c r="D1031">
        <v>1</v>
      </c>
      <c r="E1031" t="s">
        <v>45</v>
      </c>
      <c r="F1031" t="s">
        <v>46</v>
      </c>
      <c r="G1031" t="str">
        <f>"2025-12-27 20:29:04.972"</f>
        <v>2025-12-27 20:29:04.972</v>
      </c>
      <c r="H1031" t="s">
        <v>47</v>
      </c>
    </row>
    <row r="1032" spans="1:10" x14ac:dyDescent="0.25">
      <c r="A1032" s="1">
        <v>67</v>
      </c>
      <c r="B1032" t="s">
        <v>22</v>
      </c>
      <c r="C1032">
        <v>75</v>
      </c>
      <c r="D1032">
        <v>1</v>
      </c>
      <c r="E1032" t="s">
        <v>48</v>
      </c>
      <c r="F1032" t="s">
        <v>49</v>
      </c>
      <c r="G1032" t="str">
        <f>"2025-12-27 20:29:04.970"</f>
        <v>2025-12-27 20:29:04.970</v>
      </c>
      <c r="H1032" t="s">
        <v>50</v>
      </c>
    </row>
    <row r="1033" spans="1:10" x14ac:dyDescent="0.25">
      <c r="A1033" s="1">
        <v>68</v>
      </c>
      <c r="B1033" t="s">
        <v>22</v>
      </c>
      <c r="C1033">
        <v>74</v>
      </c>
      <c r="D1033">
        <v>1</v>
      </c>
      <c r="E1033" t="s">
        <v>51</v>
      </c>
      <c r="F1033" t="s">
        <v>52</v>
      </c>
      <c r="G1033" t="str">
        <f>"2025-12-27 20:29:04.967"</f>
        <v>2025-12-27 20:29:04.967</v>
      </c>
      <c r="H1033" t="s">
        <v>53</v>
      </c>
    </row>
    <row r="1034" spans="1:10" x14ac:dyDescent="0.25">
      <c r="A1034" s="1">
        <v>69</v>
      </c>
      <c r="B1034" t="s">
        <v>25</v>
      </c>
      <c r="C1034">
        <v>75</v>
      </c>
      <c r="D1034">
        <v>1</v>
      </c>
      <c r="E1034" t="s">
        <v>48</v>
      </c>
      <c r="F1034" t="s">
        <v>49</v>
      </c>
      <c r="G1034" t="str">
        <f>"2025-12-27 20:28:53.527"</f>
        <v>2025-12-27 20:28:53.527</v>
      </c>
      <c r="H1034" t="s">
        <v>50</v>
      </c>
      <c r="I1034">
        <v>0</v>
      </c>
      <c r="J1034" t="s">
        <v>33</v>
      </c>
    </row>
    <row r="1035" spans="1:10" x14ac:dyDescent="0.25">
      <c r="A1035" s="1">
        <v>70</v>
      </c>
      <c r="B1035" t="s">
        <v>25</v>
      </c>
      <c r="C1035">
        <v>74</v>
      </c>
      <c r="D1035">
        <v>1</v>
      </c>
      <c r="E1035" t="s">
        <v>51</v>
      </c>
      <c r="F1035" t="s">
        <v>52</v>
      </c>
      <c r="G1035" t="str">
        <f>"2025-12-27 20:28:53.520"</f>
        <v>2025-12-27 20:28:53.520</v>
      </c>
      <c r="H1035" t="s">
        <v>53</v>
      </c>
      <c r="I1035">
        <v>0</v>
      </c>
      <c r="J1035" t="s">
        <v>33</v>
      </c>
    </row>
    <row r="1036" spans="1:10" x14ac:dyDescent="0.25">
      <c r="A1036" s="1">
        <v>71</v>
      </c>
      <c r="B1036" t="s">
        <v>34</v>
      </c>
      <c r="C1036">
        <v>6</v>
      </c>
      <c r="D1036">
        <v>1</v>
      </c>
      <c r="E1036" t="s">
        <v>45</v>
      </c>
      <c r="F1036" t="s">
        <v>46</v>
      </c>
      <c r="G1036" t="str">
        <f>"2025-12-27 20:28:53.516"</f>
        <v>2025-12-27 20:28:53.516</v>
      </c>
      <c r="H1036" t="s">
        <v>47</v>
      </c>
      <c r="I1036">
        <v>0</v>
      </c>
      <c r="J1036" t="s">
        <v>33</v>
      </c>
    </row>
    <row r="1037" spans="1:10" x14ac:dyDescent="0.25">
      <c r="A1037" s="1">
        <v>75</v>
      </c>
      <c r="B1037" t="s">
        <v>22</v>
      </c>
      <c r="C1037">
        <v>635</v>
      </c>
      <c r="D1037">
        <v>1</v>
      </c>
      <c r="E1037" t="s">
        <v>23</v>
      </c>
      <c r="F1037" t="s">
        <v>24</v>
      </c>
      <c r="G1037" t="str">
        <f>"2025-12-27 17:10:30.227"</f>
        <v>2025-12-27 17:10:30.227</v>
      </c>
      <c r="H1037" t="s">
        <v>21</v>
      </c>
    </row>
    <row r="1038" spans="1:10" x14ac:dyDescent="0.25">
      <c r="A1038" s="1">
        <v>76</v>
      </c>
      <c r="B1038" t="s">
        <v>25</v>
      </c>
      <c r="C1038">
        <v>635</v>
      </c>
      <c r="D1038">
        <v>1</v>
      </c>
      <c r="E1038" t="s">
        <v>23</v>
      </c>
      <c r="F1038" t="s">
        <v>24</v>
      </c>
      <c r="G1038" t="str">
        <f>"2025-12-27 17:07:32.227"</f>
        <v>2025-12-27 17:07:32.227</v>
      </c>
      <c r="H1038" t="s">
        <v>21</v>
      </c>
      <c r="I1038">
        <v>4.67</v>
      </c>
      <c r="J1038" t="s">
        <v>36</v>
      </c>
    </row>
    <row r="1039" spans="1:10" x14ac:dyDescent="0.25">
      <c r="A1039" s="1">
        <v>77</v>
      </c>
      <c r="B1039" t="s">
        <v>22</v>
      </c>
      <c r="C1039">
        <v>635</v>
      </c>
      <c r="D1039">
        <v>1</v>
      </c>
      <c r="E1039" t="s">
        <v>23</v>
      </c>
      <c r="F1039" t="s">
        <v>24</v>
      </c>
      <c r="G1039" t="str">
        <f>"2025-12-27 14:30:37.527"</f>
        <v>2025-12-27 14:30:37.527</v>
      </c>
      <c r="H1039" t="s">
        <v>21</v>
      </c>
    </row>
    <row r="1040" spans="1:10" x14ac:dyDescent="0.25">
      <c r="A1040" s="1">
        <v>78</v>
      </c>
      <c r="B1040" t="s">
        <v>25</v>
      </c>
      <c r="C1040">
        <v>635</v>
      </c>
      <c r="D1040">
        <v>1</v>
      </c>
      <c r="E1040" t="s">
        <v>23</v>
      </c>
      <c r="F1040" t="s">
        <v>24</v>
      </c>
      <c r="G1040" t="str">
        <f>"2025-12-27 14:27:29.027"</f>
        <v>2025-12-27 14:27:29.027</v>
      </c>
      <c r="H1040" t="s">
        <v>21</v>
      </c>
      <c r="I1040">
        <v>2.88</v>
      </c>
      <c r="J1040" t="s">
        <v>36</v>
      </c>
    </row>
    <row r="1041" spans="1:10" x14ac:dyDescent="0.25">
      <c r="A1041" s="1">
        <v>79</v>
      </c>
      <c r="B1041" t="s">
        <v>22</v>
      </c>
      <c r="C1041">
        <v>635</v>
      </c>
      <c r="D1041">
        <v>1</v>
      </c>
      <c r="E1041" t="s">
        <v>23</v>
      </c>
      <c r="F1041" t="s">
        <v>24</v>
      </c>
      <c r="G1041" t="str">
        <f>"2025-12-27 07:23:24.128"</f>
        <v>2025-12-27 07:23:24.128</v>
      </c>
      <c r="H1041" t="s">
        <v>21</v>
      </c>
    </row>
    <row r="1042" spans="1:10" x14ac:dyDescent="0.25">
      <c r="A1042" s="1">
        <v>80</v>
      </c>
      <c r="B1042" t="s">
        <v>25</v>
      </c>
      <c r="C1042">
        <v>635</v>
      </c>
      <c r="D1042">
        <v>1</v>
      </c>
      <c r="E1042" t="s">
        <v>23</v>
      </c>
      <c r="F1042" t="s">
        <v>24</v>
      </c>
      <c r="G1042" t="str">
        <f>"2025-12-27 07:18:56.727"</f>
        <v>2025-12-27 07:18:56.727</v>
      </c>
      <c r="H1042" t="s">
        <v>21</v>
      </c>
      <c r="I1042">
        <v>0</v>
      </c>
      <c r="J1042" t="s">
        <v>26</v>
      </c>
    </row>
    <row r="1043" spans="1:10" x14ac:dyDescent="0.25">
      <c r="A1043" s="1">
        <v>81</v>
      </c>
      <c r="B1043" t="s">
        <v>22</v>
      </c>
      <c r="C1043">
        <v>630</v>
      </c>
      <c r="D1043">
        <v>5</v>
      </c>
      <c r="E1043" t="s">
        <v>28</v>
      </c>
      <c r="F1043" t="s">
        <v>29</v>
      </c>
      <c r="G1043" t="str">
        <f>"2025-12-25 11:58:35.328"</f>
        <v>2025-12-25 11:58:35.328</v>
      </c>
      <c r="H1043" t="s">
        <v>30</v>
      </c>
    </row>
    <row r="1044" spans="1:10" x14ac:dyDescent="0.25">
      <c r="A1044" s="1">
        <v>82</v>
      </c>
      <c r="B1044" t="s">
        <v>19</v>
      </c>
      <c r="C1044">
        <v>706</v>
      </c>
      <c r="D1044">
        <v>2</v>
      </c>
      <c r="E1044" t="s">
        <v>31</v>
      </c>
      <c r="F1044" t="s">
        <v>35</v>
      </c>
      <c r="G1044" t="str">
        <f>"2025-12-25 11:58:05.077"</f>
        <v>2025-12-25 11:58:05.077</v>
      </c>
      <c r="H1044" t="s">
        <v>21</v>
      </c>
      <c r="I1044">
        <v>0</v>
      </c>
      <c r="J1044" t="s">
        <v>33</v>
      </c>
    </row>
    <row r="1045" spans="1:10" x14ac:dyDescent="0.25">
      <c r="A1045" s="1">
        <v>83</v>
      </c>
      <c r="B1045" t="s">
        <v>34</v>
      </c>
      <c r="C1045">
        <v>630</v>
      </c>
      <c r="D1045">
        <v>5</v>
      </c>
      <c r="E1045" t="s">
        <v>28</v>
      </c>
      <c r="F1045" t="s">
        <v>29</v>
      </c>
      <c r="G1045" t="str">
        <f>"2025-12-25 11:49:24.728"</f>
        <v>2025-12-25 11:49:24.728</v>
      </c>
      <c r="H1045" t="s">
        <v>30</v>
      </c>
      <c r="I1045">
        <v>0</v>
      </c>
      <c r="J1045" t="s">
        <v>33</v>
      </c>
    </row>
    <row r="1046" spans="1:10" x14ac:dyDescent="0.25">
      <c r="A1046" s="1">
        <v>84</v>
      </c>
      <c r="B1046" t="s">
        <v>22</v>
      </c>
      <c r="C1046">
        <v>635</v>
      </c>
      <c r="D1046">
        <v>1</v>
      </c>
      <c r="E1046" t="s">
        <v>23</v>
      </c>
      <c r="F1046" t="s">
        <v>24</v>
      </c>
      <c r="G1046" t="str">
        <f>"2025-12-25 01:06:20.727"</f>
        <v>2025-12-25 01:06:20.727</v>
      </c>
      <c r="H1046" t="s">
        <v>21</v>
      </c>
    </row>
    <row r="1047" spans="1:10" x14ac:dyDescent="0.25">
      <c r="A1047" s="1">
        <v>85</v>
      </c>
      <c r="B1047" t="s">
        <v>25</v>
      </c>
      <c r="C1047">
        <v>635</v>
      </c>
      <c r="D1047">
        <v>1</v>
      </c>
      <c r="E1047" t="s">
        <v>23</v>
      </c>
      <c r="F1047" t="s">
        <v>24</v>
      </c>
      <c r="G1047" t="str">
        <f>"2025-12-25 01:02:21.228"</f>
        <v>2025-12-25 01:02:21.228</v>
      </c>
      <c r="H1047" t="s">
        <v>21</v>
      </c>
      <c r="I1047">
        <v>2.0099999999999998</v>
      </c>
      <c r="J1047" t="s">
        <v>37</v>
      </c>
    </row>
    <row r="1048" spans="1:10" x14ac:dyDescent="0.25">
      <c r="A1048" s="1">
        <v>86</v>
      </c>
      <c r="B1048" t="s">
        <v>22</v>
      </c>
      <c r="C1048">
        <v>635</v>
      </c>
      <c r="D1048">
        <v>1</v>
      </c>
      <c r="E1048" t="s">
        <v>23</v>
      </c>
      <c r="F1048" t="s">
        <v>24</v>
      </c>
      <c r="G1048" t="str">
        <f>"2025-12-25 00:53:05.727"</f>
        <v>2025-12-25 00:53:05.727</v>
      </c>
      <c r="H1048" t="s">
        <v>21</v>
      </c>
    </row>
    <row r="1049" spans="1:10" x14ac:dyDescent="0.25">
      <c r="A1049" s="1">
        <v>87</v>
      </c>
      <c r="B1049" t="s">
        <v>25</v>
      </c>
      <c r="C1049">
        <v>635</v>
      </c>
      <c r="D1049">
        <v>1</v>
      </c>
      <c r="E1049" t="s">
        <v>23</v>
      </c>
      <c r="F1049" t="s">
        <v>24</v>
      </c>
      <c r="G1049" t="str">
        <f>"2025-12-25 00:50:03.728"</f>
        <v>2025-12-25 00:50:03.728</v>
      </c>
      <c r="H1049" t="s">
        <v>21</v>
      </c>
      <c r="I1049">
        <v>1.67</v>
      </c>
      <c r="J1049" t="s">
        <v>37</v>
      </c>
    </row>
    <row r="1050" spans="1:10" x14ac:dyDescent="0.25">
      <c r="A1050" s="1">
        <v>88</v>
      </c>
      <c r="B1050" t="s">
        <v>22</v>
      </c>
      <c r="C1050">
        <v>635</v>
      </c>
      <c r="D1050">
        <v>1</v>
      </c>
      <c r="E1050" t="s">
        <v>23</v>
      </c>
      <c r="F1050" t="s">
        <v>24</v>
      </c>
      <c r="G1050" t="str">
        <f>"2025-12-24 15:56:23.527"</f>
        <v>2025-12-24 15:56:23.527</v>
      </c>
      <c r="H1050" t="s">
        <v>21</v>
      </c>
    </row>
    <row r="1051" spans="1:10" x14ac:dyDescent="0.25">
      <c r="A1051" s="1">
        <v>89</v>
      </c>
      <c r="B1051" t="s">
        <v>25</v>
      </c>
      <c r="C1051">
        <v>635</v>
      </c>
      <c r="D1051">
        <v>1</v>
      </c>
      <c r="E1051" t="s">
        <v>23</v>
      </c>
      <c r="F1051" t="s">
        <v>24</v>
      </c>
      <c r="G1051" t="str">
        <f>"2025-12-24 15:41:40.128"</f>
        <v>2025-12-24 15:41:40.128</v>
      </c>
      <c r="H1051" t="s">
        <v>21</v>
      </c>
      <c r="I1051">
        <v>6.29</v>
      </c>
      <c r="J1051" t="s">
        <v>36</v>
      </c>
    </row>
    <row r="1052" spans="1:10" x14ac:dyDescent="0.25">
      <c r="A1052" s="1">
        <v>90</v>
      </c>
      <c r="B1052" t="s">
        <v>56</v>
      </c>
      <c r="C1052">
        <v>215</v>
      </c>
      <c r="D1052">
        <v>6</v>
      </c>
      <c r="E1052" t="s">
        <v>42</v>
      </c>
      <c r="F1052" t="s">
        <v>43</v>
      </c>
      <c r="G1052" t="str">
        <f>"2025-12-23 05:03:37.331"</f>
        <v>2025-12-23 05:03:37.331</v>
      </c>
      <c r="H1052" t="s">
        <v>21</v>
      </c>
    </row>
    <row r="1053" spans="1:10" x14ac:dyDescent="0.25">
      <c r="A1053" s="1">
        <v>91</v>
      </c>
      <c r="B1053" t="s">
        <v>56</v>
      </c>
      <c r="C1053">
        <v>115</v>
      </c>
      <c r="D1053">
        <v>6</v>
      </c>
      <c r="E1053" t="s">
        <v>44</v>
      </c>
      <c r="F1053" t="s">
        <v>43</v>
      </c>
      <c r="G1053" t="str">
        <f>"2025-12-23 05:03:37.328"</f>
        <v>2025-12-23 05:03:37.328</v>
      </c>
      <c r="H1053" t="s">
        <v>21</v>
      </c>
    </row>
    <row r="1054" spans="1:10" x14ac:dyDescent="0.25">
      <c r="A1054" s="1">
        <v>92</v>
      </c>
      <c r="B1054" t="s">
        <v>34</v>
      </c>
      <c r="C1054">
        <v>115</v>
      </c>
      <c r="D1054">
        <v>6</v>
      </c>
      <c r="E1054" t="s">
        <v>44</v>
      </c>
      <c r="F1054" t="s">
        <v>43</v>
      </c>
      <c r="G1054" t="str">
        <f>"2025-12-23 05:03:34.330"</f>
        <v>2025-12-23 05:03:34.330</v>
      </c>
      <c r="H1054" t="s">
        <v>21</v>
      </c>
      <c r="I1054">
        <v>6.55</v>
      </c>
      <c r="J1054" t="s">
        <v>33</v>
      </c>
    </row>
    <row r="1055" spans="1:10" x14ac:dyDescent="0.25">
      <c r="A1055" s="1">
        <v>93</v>
      </c>
      <c r="B1055" t="s">
        <v>34</v>
      </c>
      <c r="C1055">
        <v>215</v>
      </c>
      <c r="D1055">
        <v>6</v>
      </c>
      <c r="E1055" t="s">
        <v>42</v>
      </c>
      <c r="F1055" t="s">
        <v>43</v>
      </c>
      <c r="G1055" t="str">
        <f>"2025-12-23 05:03:34.310"</f>
        <v>2025-12-23 05:03:34.310</v>
      </c>
      <c r="H1055" t="s">
        <v>21</v>
      </c>
      <c r="I1055">
        <v>6.59</v>
      </c>
      <c r="J1055" t="s">
        <v>33</v>
      </c>
    </row>
    <row r="1056" spans="1:10" x14ac:dyDescent="0.25">
      <c r="A1056" s="1">
        <v>94</v>
      </c>
      <c r="B1056" t="s">
        <v>22</v>
      </c>
      <c r="C1056">
        <v>6</v>
      </c>
      <c r="D1056">
        <v>1</v>
      </c>
      <c r="E1056" t="s">
        <v>45</v>
      </c>
      <c r="F1056" t="s">
        <v>46</v>
      </c>
      <c r="G1056" t="str">
        <f>"2025-12-23 05:03:34.199"</f>
        <v>2025-12-23 05:03:34.199</v>
      </c>
      <c r="H1056" t="s">
        <v>47</v>
      </c>
    </row>
    <row r="1057" spans="1:10" x14ac:dyDescent="0.25">
      <c r="A1057" s="1">
        <v>95</v>
      </c>
      <c r="B1057" t="s">
        <v>22</v>
      </c>
      <c r="C1057">
        <v>75</v>
      </c>
      <c r="D1057">
        <v>1</v>
      </c>
      <c r="E1057" t="s">
        <v>48</v>
      </c>
      <c r="F1057" t="s">
        <v>49</v>
      </c>
      <c r="G1057" t="str">
        <f>"2025-12-23 05:03:34.197"</f>
        <v>2025-12-23 05:03:34.197</v>
      </c>
      <c r="H1057" t="s">
        <v>50</v>
      </c>
    </row>
    <row r="1058" spans="1:10" x14ac:dyDescent="0.25">
      <c r="A1058" s="1">
        <v>96</v>
      </c>
      <c r="B1058" t="s">
        <v>22</v>
      </c>
      <c r="C1058">
        <v>74</v>
      </c>
      <c r="D1058">
        <v>1</v>
      </c>
      <c r="E1058" t="s">
        <v>51</v>
      </c>
      <c r="F1058" t="s">
        <v>52</v>
      </c>
      <c r="G1058" t="str">
        <f>"2025-12-23 05:03:34.195"</f>
        <v>2025-12-23 05:03:34.195</v>
      </c>
      <c r="H1058" t="s">
        <v>53</v>
      </c>
    </row>
    <row r="1059" spans="1:10" x14ac:dyDescent="0.25">
      <c r="A1059" s="1">
        <v>97</v>
      </c>
      <c r="B1059" t="s">
        <v>25</v>
      </c>
      <c r="C1059">
        <v>75</v>
      </c>
      <c r="D1059">
        <v>1</v>
      </c>
      <c r="E1059" t="s">
        <v>48</v>
      </c>
      <c r="F1059" t="s">
        <v>49</v>
      </c>
      <c r="G1059" t="str">
        <f>"2025-12-23 05:03:22.762"</f>
        <v>2025-12-23 05:03:22.762</v>
      </c>
      <c r="H1059" t="s">
        <v>50</v>
      </c>
      <c r="I1059">
        <v>21.42</v>
      </c>
      <c r="J1059" t="s">
        <v>33</v>
      </c>
    </row>
    <row r="1060" spans="1:10" x14ac:dyDescent="0.25">
      <c r="A1060" s="1">
        <v>98</v>
      </c>
      <c r="B1060" t="s">
        <v>25</v>
      </c>
      <c r="C1060">
        <v>74</v>
      </c>
      <c r="D1060">
        <v>1</v>
      </c>
      <c r="E1060" t="s">
        <v>51</v>
      </c>
      <c r="F1060" t="s">
        <v>52</v>
      </c>
      <c r="G1060" t="str">
        <f>"2025-12-23 05:03:22.758"</f>
        <v>2025-12-23 05:03:22.758</v>
      </c>
      <c r="H1060" t="s">
        <v>53</v>
      </c>
      <c r="I1060">
        <v>21.42</v>
      </c>
      <c r="J1060" t="s">
        <v>33</v>
      </c>
    </row>
    <row r="1061" spans="1:10" x14ac:dyDescent="0.25">
      <c r="A1061" s="1">
        <v>99</v>
      </c>
      <c r="B1061" t="s">
        <v>34</v>
      </c>
      <c r="C1061">
        <v>6</v>
      </c>
      <c r="D1061">
        <v>1</v>
      </c>
      <c r="E1061" t="s">
        <v>45</v>
      </c>
      <c r="F1061" t="s">
        <v>46</v>
      </c>
      <c r="G1061" t="str">
        <f>"2025-12-23 05:03:22.753"</f>
        <v>2025-12-23 05:03:22.753</v>
      </c>
      <c r="H1061" t="s">
        <v>47</v>
      </c>
      <c r="I1061">
        <v>21.42</v>
      </c>
      <c r="J1061" t="s">
        <v>33</v>
      </c>
    </row>
    <row r="1062" spans="1:10" x14ac:dyDescent="0.25">
      <c r="A1062" s="1">
        <v>104</v>
      </c>
      <c r="B1062" t="s">
        <v>22</v>
      </c>
      <c r="C1062">
        <v>630</v>
      </c>
      <c r="D1062">
        <v>5</v>
      </c>
      <c r="E1062" t="s">
        <v>28</v>
      </c>
      <c r="F1062" t="s">
        <v>29</v>
      </c>
      <c r="G1062" t="str">
        <f>"2025-12-22 21:01:26.919"</f>
        <v>2025-12-22 21:01:26.919</v>
      </c>
      <c r="H1062" t="s">
        <v>30</v>
      </c>
    </row>
    <row r="1063" spans="1:10" x14ac:dyDescent="0.25">
      <c r="A1063" s="1">
        <v>105</v>
      </c>
      <c r="B1063" t="s">
        <v>19</v>
      </c>
      <c r="C1063">
        <v>706</v>
      </c>
      <c r="D1063">
        <v>4</v>
      </c>
      <c r="E1063" t="s">
        <v>31</v>
      </c>
      <c r="F1063" t="s">
        <v>32</v>
      </c>
      <c r="G1063" t="str">
        <f>"2025-12-22 21:00:56.767"</f>
        <v>2025-12-22 21:00:56.767</v>
      </c>
      <c r="H1063" t="s">
        <v>21</v>
      </c>
      <c r="I1063">
        <v>0</v>
      </c>
      <c r="J1063" t="s">
        <v>33</v>
      </c>
    </row>
    <row r="1064" spans="1:10" x14ac:dyDescent="0.25">
      <c r="A1064" s="1">
        <v>106</v>
      </c>
      <c r="B1064" t="s">
        <v>34</v>
      </c>
      <c r="C1064">
        <v>630</v>
      </c>
      <c r="D1064">
        <v>5</v>
      </c>
      <c r="E1064" t="s">
        <v>28</v>
      </c>
      <c r="F1064" t="s">
        <v>29</v>
      </c>
      <c r="G1064" t="str">
        <f>"2025-12-22 20:54:12.819"</f>
        <v>2025-12-22 20:54:12.819</v>
      </c>
      <c r="H1064" t="s">
        <v>30</v>
      </c>
      <c r="I1064">
        <v>0</v>
      </c>
      <c r="J1064" t="s">
        <v>33</v>
      </c>
    </row>
    <row r="1065" spans="1:10" x14ac:dyDescent="0.25">
      <c r="A1065" s="1">
        <v>107</v>
      </c>
      <c r="B1065" t="s">
        <v>19</v>
      </c>
      <c r="C1065">
        <v>706</v>
      </c>
      <c r="D1065">
        <v>2</v>
      </c>
      <c r="E1065" t="s">
        <v>31</v>
      </c>
      <c r="F1065" t="s">
        <v>35</v>
      </c>
      <c r="G1065" t="str">
        <f>"2025-12-22 15:15:28.787"</f>
        <v>2025-12-22 15:15:28.787</v>
      </c>
      <c r="H1065" t="s">
        <v>21</v>
      </c>
      <c r="I1065">
        <v>0</v>
      </c>
      <c r="J1065" t="s">
        <v>33</v>
      </c>
    </row>
    <row r="1066" spans="1:10" x14ac:dyDescent="0.25">
      <c r="A1066" s="1">
        <v>108</v>
      </c>
      <c r="B1066" t="s">
        <v>19</v>
      </c>
      <c r="C1066">
        <v>706</v>
      </c>
      <c r="D1066">
        <v>2</v>
      </c>
      <c r="E1066" t="s">
        <v>31</v>
      </c>
      <c r="F1066" t="s">
        <v>35</v>
      </c>
      <c r="G1066" t="str">
        <f>"2025-12-22 15:05:13.187"</f>
        <v>2025-12-22 15:05:13.187</v>
      </c>
      <c r="H1066" t="s">
        <v>21</v>
      </c>
      <c r="I1066">
        <v>0</v>
      </c>
      <c r="J1066" t="s">
        <v>33</v>
      </c>
    </row>
    <row r="1067" spans="1:10" x14ac:dyDescent="0.25">
      <c r="A1067" s="1">
        <v>109</v>
      </c>
      <c r="B1067" t="s">
        <v>19</v>
      </c>
      <c r="C1067">
        <v>706</v>
      </c>
      <c r="D1067">
        <v>4</v>
      </c>
      <c r="E1067" t="s">
        <v>31</v>
      </c>
      <c r="F1067" t="s">
        <v>32</v>
      </c>
      <c r="G1067" t="str">
        <f>"2025-12-22 15:03:09.957"</f>
        <v>2025-12-22 15:03:09.957</v>
      </c>
      <c r="H1067" t="s">
        <v>21</v>
      </c>
      <c r="I1067">
        <v>0</v>
      </c>
      <c r="J1067" t="s">
        <v>33</v>
      </c>
    </row>
    <row r="1068" spans="1:10" x14ac:dyDescent="0.25">
      <c r="A1068" s="1">
        <v>110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"2025-12-22 12:36:13.867"</f>
        <v>2025-12-22 12:36:13.867</v>
      </c>
      <c r="H1068" t="s">
        <v>21</v>
      </c>
      <c r="I1068">
        <v>0</v>
      </c>
      <c r="J1068" t="s">
        <v>27</v>
      </c>
    </row>
    <row r="1069" spans="1:10" x14ac:dyDescent="0.25">
      <c r="A1069" s="1">
        <v>111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"2025-12-22 11:17:25.860"</f>
        <v>2025-12-22 11:17:25.860</v>
      </c>
      <c r="H1069" t="s">
        <v>21</v>
      </c>
    </row>
    <row r="1070" spans="1:10" x14ac:dyDescent="0.25">
      <c r="A1070" s="1">
        <v>112</v>
      </c>
      <c r="B1070" t="s">
        <v>34</v>
      </c>
      <c r="C1070">
        <v>630</v>
      </c>
      <c r="D1070">
        <v>5</v>
      </c>
      <c r="E1070" t="s">
        <v>28</v>
      </c>
      <c r="F1070" t="s">
        <v>29</v>
      </c>
      <c r="G1070" t="str">
        <f>"2025-12-22 09:53:09.778"</f>
        <v>2025-12-22 09:53:09.778</v>
      </c>
      <c r="H1070" t="s">
        <v>30</v>
      </c>
      <c r="I1070">
        <v>0</v>
      </c>
      <c r="J1070" t="s">
        <v>33</v>
      </c>
    </row>
    <row r="1071" spans="1:10" x14ac:dyDescent="0.25">
      <c r="A1071" s="1">
        <v>113</v>
      </c>
      <c r="B1071" t="s">
        <v>22</v>
      </c>
      <c r="C1071">
        <v>635</v>
      </c>
      <c r="D1071">
        <v>1</v>
      </c>
      <c r="E1071" t="s">
        <v>23</v>
      </c>
      <c r="F1071" t="s">
        <v>24</v>
      </c>
      <c r="G1071" t="str">
        <f>"2025-12-22 07:32:03.477"</f>
        <v>2025-12-22 07:32:03.477</v>
      </c>
      <c r="H1071" t="s">
        <v>21</v>
      </c>
    </row>
    <row r="1072" spans="1:10" x14ac:dyDescent="0.25">
      <c r="A1072" s="1">
        <v>114</v>
      </c>
      <c r="B1072" t="s">
        <v>25</v>
      </c>
      <c r="C1072">
        <v>635</v>
      </c>
      <c r="D1072">
        <v>1</v>
      </c>
      <c r="E1072" t="s">
        <v>23</v>
      </c>
      <c r="F1072" t="s">
        <v>24</v>
      </c>
      <c r="G1072" t="str">
        <f>"2025-12-22 07:27:46.477"</f>
        <v>2025-12-22 07:27:46.477</v>
      </c>
      <c r="H1072" t="s">
        <v>21</v>
      </c>
      <c r="I1072">
        <v>4.0199999999999996</v>
      </c>
      <c r="J1072" t="s">
        <v>36</v>
      </c>
    </row>
    <row r="1073" spans="1:10" x14ac:dyDescent="0.25">
      <c r="A1073" s="1">
        <v>115</v>
      </c>
      <c r="B1073" t="s">
        <v>22</v>
      </c>
      <c r="C1073">
        <v>635</v>
      </c>
      <c r="D1073">
        <v>1</v>
      </c>
      <c r="E1073" t="s">
        <v>23</v>
      </c>
      <c r="F1073" t="s">
        <v>24</v>
      </c>
      <c r="G1073" t="str">
        <f>"2025-12-21 18:39:14.177"</f>
        <v>2025-12-21 18:39:14.177</v>
      </c>
      <c r="H1073" t="s">
        <v>21</v>
      </c>
    </row>
    <row r="1074" spans="1:10" x14ac:dyDescent="0.25">
      <c r="A1074" s="1">
        <v>116</v>
      </c>
      <c r="B1074" t="s">
        <v>25</v>
      </c>
      <c r="C1074">
        <v>635</v>
      </c>
      <c r="D1074">
        <v>1</v>
      </c>
      <c r="E1074" t="s">
        <v>23</v>
      </c>
      <c r="F1074" t="s">
        <v>24</v>
      </c>
      <c r="G1074" t="str">
        <f>"2025-12-21 18:35:41.677"</f>
        <v>2025-12-21 18:35:41.677</v>
      </c>
      <c r="H1074" t="s">
        <v>21</v>
      </c>
      <c r="I1074">
        <v>4.82</v>
      </c>
      <c r="J1074" t="s">
        <v>26</v>
      </c>
    </row>
    <row r="1075" spans="1:10" x14ac:dyDescent="0.25">
      <c r="A1075" s="1">
        <v>117</v>
      </c>
      <c r="B1075" t="s">
        <v>19</v>
      </c>
      <c r="C1075">
        <v>706</v>
      </c>
      <c r="D1075">
        <v>4</v>
      </c>
      <c r="E1075" t="s">
        <v>31</v>
      </c>
      <c r="F1075" t="s">
        <v>32</v>
      </c>
      <c r="G1075" t="str">
        <f>"2025-12-21 13:34:21.336"</f>
        <v>2025-12-21 13:34:21.336</v>
      </c>
      <c r="H1075" t="s">
        <v>21</v>
      </c>
      <c r="I1075">
        <v>0</v>
      </c>
      <c r="J1075" t="s">
        <v>33</v>
      </c>
    </row>
    <row r="1076" spans="1:10" x14ac:dyDescent="0.25">
      <c r="A1076" s="1">
        <v>118</v>
      </c>
      <c r="B1076" t="s">
        <v>22</v>
      </c>
      <c r="C1076">
        <v>630</v>
      </c>
      <c r="D1076">
        <v>5</v>
      </c>
      <c r="E1076" t="s">
        <v>28</v>
      </c>
      <c r="F1076" t="s">
        <v>29</v>
      </c>
      <c r="G1076" t="str">
        <f>"2025-12-21 13:10:19.878"</f>
        <v>2025-12-21 13:10:19.878</v>
      </c>
      <c r="H1076" t="s">
        <v>30</v>
      </c>
    </row>
    <row r="1077" spans="1:10" x14ac:dyDescent="0.25">
      <c r="A1077" s="1">
        <v>119</v>
      </c>
      <c r="B1077" t="s">
        <v>34</v>
      </c>
      <c r="C1077">
        <v>630</v>
      </c>
      <c r="D1077">
        <v>5</v>
      </c>
      <c r="E1077" t="s">
        <v>28</v>
      </c>
      <c r="F1077" t="s">
        <v>29</v>
      </c>
      <c r="G1077" t="str">
        <f>"2025-12-21 12:43:50.178"</f>
        <v>2025-12-21 12:43:50.178</v>
      </c>
      <c r="H1077" t="s">
        <v>30</v>
      </c>
      <c r="I1077">
        <v>0</v>
      </c>
      <c r="J1077" t="s">
        <v>33</v>
      </c>
    </row>
    <row r="1078" spans="1:10" x14ac:dyDescent="0.25">
      <c r="A1078" s="1">
        <v>120</v>
      </c>
      <c r="B1078" t="s">
        <v>22</v>
      </c>
      <c r="C1078">
        <v>635</v>
      </c>
      <c r="D1078">
        <v>1</v>
      </c>
      <c r="E1078" t="s">
        <v>23</v>
      </c>
      <c r="F1078" t="s">
        <v>24</v>
      </c>
      <c r="G1078" t="str">
        <f>"2025-12-21 11:09:43.377"</f>
        <v>2025-12-21 11:09:43.377</v>
      </c>
      <c r="H1078" t="s">
        <v>21</v>
      </c>
    </row>
    <row r="1079" spans="1:10" x14ac:dyDescent="0.25">
      <c r="A1079" s="1">
        <v>121</v>
      </c>
      <c r="B1079" t="s">
        <v>25</v>
      </c>
      <c r="C1079">
        <v>635</v>
      </c>
      <c r="D1079">
        <v>1</v>
      </c>
      <c r="E1079" t="s">
        <v>23</v>
      </c>
      <c r="F1079" t="s">
        <v>24</v>
      </c>
      <c r="G1079" t="str">
        <f>"2025-12-21 11:05:59.877"</f>
        <v>2025-12-21 11:05:59.877</v>
      </c>
      <c r="H1079" t="s">
        <v>21</v>
      </c>
      <c r="I1079">
        <v>4.87</v>
      </c>
      <c r="J1079" t="s">
        <v>36</v>
      </c>
    </row>
    <row r="1080" spans="1:10" s="3" customFormat="1" x14ac:dyDescent="0.25">
      <c r="A1080" s="2">
        <v>122</v>
      </c>
      <c r="B1080" s="3" t="s">
        <v>22</v>
      </c>
      <c r="C1080" s="3">
        <v>647</v>
      </c>
      <c r="D1080" s="3">
        <v>1</v>
      </c>
      <c r="E1080" s="3" t="s">
        <v>39</v>
      </c>
      <c r="F1080" s="3" t="s">
        <v>40</v>
      </c>
      <c r="G1080" s="3" t="str">
        <f>"2025-12-20 22:16:46.378"</f>
        <v>2025-12-20 22:16:46.378</v>
      </c>
      <c r="H1080" s="3" t="s">
        <v>21</v>
      </c>
    </row>
    <row r="1081" spans="1:10" s="3" customFormat="1" x14ac:dyDescent="0.25">
      <c r="A1081" s="2">
        <v>123</v>
      </c>
      <c r="B1081" s="3" t="s">
        <v>25</v>
      </c>
      <c r="C1081" s="3">
        <v>647</v>
      </c>
      <c r="D1081" s="3">
        <v>1</v>
      </c>
      <c r="E1081" s="3" t="s">
        <v>39</v>
      </c>
      <c r="F1081" s="3" t="s">
        <v>40</v>
      </c>
      <c r="G1081" s="3" t="str">
        <f>"2025-12-20 22:16:44.478"</f>
        <v>2025-12-20 22:16:44.478</v>
      </c>
      <c r="H1081" s="3" t="s">
        <v>21</v>
      </c>
      <c r="I1081" s="3">
        <v>16.82</v>
      </c>
      <c r="J1081" s="3" t="s">
        <v>37</v>
      </c>
    </row>
    <row r="1082" spans="1:10" x14ac:dyDescent="0.25">
      <c r="A1082" s="1">
        <v>124</v>
      </c>
      <c r="B1082" t="s">
        <v>22</v>
      </c>
      <c r="C1082">
        <v>630</v>
      </c>
      <c r="D1082">
        <v>5</v>
      </c>
      <c r="E1082" t="s">
        <v>28</v>
      </c>
      <c r="F1082" t="s">
        <v>29</v>
      </c>
      <c r="G1082" t="str">
        <f>"2025-12-20 13:28:37.378"</f>
        <v>2025-12-20 13:28:37.378</v>
      </c>
      <c r="H1082" t="s">
        <v>30</v>
      </c>
    </row>
    <row r="1083" spans="1:10" x14ac:dyDescent="0.25">
      <c r="A1083" s="1">
        <v>125</v>
      </c>
      <c r="B1083" t="s">
        <v>19</v>
      </c>
      <c r="C1083">
        <v>706</v>
      </c>
      <c r="D1083">
        <v>2</v>
      </c>
      <c r="E1083" t="s">
        <v>31</v>
      </c>
      <c r="F1083" t="s">
        <v>35</v>
      </c>
      <c r="G1083" t="str">
        <f>"2025-12-20 13:28:07.226"</f>
        <v>2025-12-20 13:28:07.226</v>
      </c>
      <c r="H1083" t="s">
        <v>21</v>
      </c>
      <c r="I1083">
        <v>0</v>
      </c>
      <c r="J1083" t="s">
        <v>33</v>
      </c>
    </row>
    <row r="1084" spans="1:10" x14ac:dyDescent="0.25">
      <c r="A1084" s="1">
        <v>126</v>
      </c>
      <c r="B1084" t="s">
        <v>34</v>
      </c>
      <c r="C1084">
        <v>630</v>
      </c>
      <c r="D1084">
        <v>5</v>
      </c>
      <c r="E1084" t="s">
        <v>28</v>
      </c>
      <c r="F1084" t="s">
        <v>29</v>
      </c>
      <c r="G1084" t="str">
        <f>"2025-12-20 13:05:53.378"</f>
        <v>2025-12-20 13:05:53.378</v>
      </c>
      <c r="H1084" t="s">
        <v>30</v>
      </c>
      <c r="I1084">
        <v>0</v>
      </c>
      <c r="J1084" t="s">
        <v>33</v>
      </c>
    </row>
    <row r="1085" spans="1:10" x14ac:dyDescent="0.25">
      <c r="A1085" s="1">
        <v>127</v>
      </c>
      <c r="B1085" t="s">
        <v>22</v>
      </c>
      <c r="C1085">
        <v>630</v>
      </c>
      <c r="D1085">
        <v>5</v>
      </c>
      <c r="E1085" t="s">
        <v>28</v>
      </c>
      <c r="F1085" t="s">
        <v>29</v>
      </c>
      <c r="G1085" t="str">
        <f>"2025-12-19 20:42:22.778"</f>
        <v>2025-12-19 20:42:22.778</v>
      </c>
      <c r="H1085" t="s">
        <v>30</v>
      </c>
    </row>
    <row r="1086" spans="1:10" x14ac:dyDescent="0.25">
      <c r="A1086" s="1">
        <v>128</v>
      </c>
      <c r="B1086" t="s">
        <v>19</v>
      </c>
      <c r="C1086">
        <v>706</v>
      </c>
      <c r="D1086">
        <v>4</v>
      </c>
      <c r="E1086" t="s">
        <v>31</v>
      </c>
      <c r="F1086" t="s">
        <v>32</v>
      </c>
      <c r="G1086" t="str">
        <f>"2025-12-19 20:41:52.766"</f>
        <v>2025-12-19 20:41:52.766</v>
      </c>
      <c r="H1086" t="s">
        <v>21</v>
      </c>
      <c r="I1086">
        <v>0</v>
      </c>
      <c r="J1086" t="s">
        <v>33</v>
      </c>
    </row>
    <row r="1087" spans="1:10" x14ac:dyDescent="0.25">
      <c r="A1087" s="1">
        <v>129</v>
      </c>
      <c r="B1087" t="s">
        <v>34</v>
      </c>
      <c r="C1087">
        <v>630</v>
      </c>
      <c r="D1087">
        <v>5</v>
      </c>
      <c r="E1087" t="s">
        <v>28</v>
      </c>
      <c r="F1087" t="s">
        <v>29</v>
      </c>
      <c r="G1087" t="str">
        <f>"2025-12-19 20:30:48.378"</f>
        <v>2025-12-19 20:30:48.378</v>
      </c>
      <c r="H1087" t="s">
        <v>30</v>
      </c>
      <c r="I1087">
        <v>0</v>
      </c>
      <c r="J1087" t="s">
        <v>33</v>
      </c>
    </row>
    <row r="1088" spans="1:10" x14ac:dyDescent="0.25">
      <c r="A1088" s="1">
        <v>130</v>
      </c>
      <c r="B1088" t="s">
        <v>22</v>
      </c>
      <c r="C1088">
        <v>630</v>
      </c>
      <c r="D1088">
        <v>5</v>
      </c>
      <c r="E1088" t="s">
        <v>28</v>
      </c>
      <c r="F1088" t="s">
        <v>29</v>
      </c>
      <c r="G1088" t="str">
        <f>"2025-12-19 15:21:44.778"</f>
        <v>2025-12-19 15:21:44.778</v>
      </c>
      <c r="H1088" t="s">
        <v>30</v>
      </c>
    </row>
    <row r="1089" spans="1:10" x14ac:dyDescent="0.25">
      <c r="A1089" s="1">
        <v>131</v>
      </c>
      <c r="B1089" t="s">
        <v>19</v>
      </c>
      <c r="C1089">
        <v>706</v>
      </c>
      <c r="D1089">
        <v>4</v>
      </c>
      <c r="E1089" t="s">
        <v>31</v>
      </c>
      <c r="F1089" t="s">
        <v>32</v>
      </c>
      <c r="G1089" t="str">
        <f>"2025-12-19 15:21:14.666"</f>
        <v>2025-12-19 15:21:14.666</v>
      </c>
      <c r="H1089" t="s">
        <v>21</v>
      </c>
      <c r="I1089">
        <v>0</v>
      </c>
      <c r="J1089" t="s">
        <v>33</v>
      </c>
    </row>
    <row r="1090" spans="1:10" x14ac:dyDescent="0.25">
      <c r="A1090" s="1">
        <v>132</v>
      </c>
      <c r="B1090" t="s">
        <v>34</v>
      </c>
      <c r="C1090">
        <v>630</v>
      </c>
      <c r="D1090">
        <v>5</v>
      </c>
      <c r="E1090" t="s">
        <v>28</v>
      </c>
      <c r="F1090" t="s">
        <v>29</v>
      </c>
      <c r="G1090" t="str">
        <f>"2025-12-19 14:59:20.078"</f>
        <v>2025-12-19 14:59:20.078</v>
      </c>
      <c r="H1090" t="s">
        <v>30</v>
      </c>
      <c r="I1090">
        <v>0</v>
      </c>
      <c r="J1090" t="s">
        <v>33</v>
      </c>
    </row>
    <row r="1091" spans="1:10" s="3" customFormat="1" x14ac:dyDescent="0.25">
      <c r="A1091" s="2">
        <v>133</v>
      </c>
      <c r="B1091" s="3" t="s">
        <v>22</v>
      </c>
      <c r="C1091" s="3">
        <v>647</v>
      </c>
      <c r="D1091" s="3">
        <v>1</v>
      </c>
      <c r="E1091" s="3" t="s">
        <v>39</v>
      </c>
      <c r="F1091" s="3" t="s">
        <v>40</v>
      </c>
      <c r="G1091" s="3" t="str">
        <f>"2025-12-18 15:36:46.778"</f>
        <v>2025-12-18 15:36:46.778</v>
      </c>
      <c r="H1091" s="3" t="s">
        <v>21</v>
      </c>
    </row>
    <row r="1092" spans="1:10" s="3" customFormat="1" x14ac:dyDescent="0.25">
      <c r="A1092" s="2">
        <v>134</v>
      </c>
      <c r="B1092" s="3" t="s">
        <v>25</v>
      </c>
      <c r="C1092" s="3">
        <v>647</v>
      </c>
      <c r="D1092" s="3">
        <v>1</v>
      </c>
      <c r="E1092" s="3" t="s">
        <v>39</v>
      </c>
      <c r="F1092" s="3" t="s">
        <v>40</v>
      </c>
      <c r="G1092" s="3" t="str">
        <f>"2025-12-18 15:36:40.378"</f>
        <v>2025-12-18 15:36:40.378</v>
      </c>
      <c r="H1092" s="3" t="s">
        <v>21</v>
      </c>
      <c r="I1092" s="3">
        <v>8.91</v>
      </c>
      <c r="J1092" s="3" t="s">
        <v>37</v>
      </c>
    </row>
    <row r="1093" spans="1:10" x14ac:dyDescent="0.25">
      <c r="A1093" s="1">
        <v>135</v>
      </c>
      <c r="B1093" t="s">
        <v>22</v>
      </c>
      <c r="C1093">
        <v>635</v>
      </c>
      <c r="D1093">
        <v>1</v>
      </c>
      <c r="E1093" t="s">
        <v>23</v>
      </c>
      <c r="F1093" t="s">
        <v>24</v>
      </c>
      <c r="G1093" t="str">
        <f>"2025-12-18 11:20:11.577"</f>
        <v>2025-12-18 11:20:11.577</v>
      </c>
      <c r="H1093" t="s">
        <v>21</v>
      </c>
    </row>
    <row r="1094" spans="1:10" x14ac:dyDescent="0.25">
      <c r="A1094" s="1">
        <v>136</v>
      </c>
      <c r="B1094" t="s">
        <v>25</v>
      </c>
      <c r="C1094">
        <v>635</v>
      </c>
      <c r="D1094">
        <v>1</v>
      </c>
      <c r="E1094" t="s">
        <v>23</v>
      </c>
      <c r="F1094" t="s">
        <v>24</v>
      </c>
      <c r="G1094" t="str">
        <f>"2025-12-18 11:01:03.577"</f>
        <v>2025-12-18 11:01:03.577</v>
      </c>
      <c r="H1094" t="s">
        <v>21</v>
      </c>
      <c r="I1094">
        <v>1.89</v>
      </c>
      <c r="J1094" t="s">
        <v>37</v>
      </c>
    </row>
    <row r="1095" spans="1:10" x14ac:dyDescent="0.25">
      <c r="A1095" s="1">
        <v>137</v>
      </c>
      <c r="B1095" t="s">
        <v>22</v>
      </c>
      <c r="C1095">
        <v>635</v>
      </c>
      <c r="D1095">
        <v>1</v>
      </c>
      <c r="E1095" t="s">
        <v>23</v>
      </c>
      <c r="F1095" t="s">
        <v>24</v>
      </c>
      <c r="G1095" t="str">
        <f>"2025-12-17 23:59:06.077"</f>
        <v>2025-12-17 23:59:06.077</v>
      </c>
      <c r="H1095" t="s">
        <v>21</v>
      </c>
    </row>
    <row r="1096" spans="1:10" x14ac:dyDescent="0.25">
      <c r="A1096" s="1">
        <v>138</v>
      </c>
      <c r="B1096" t="s">
        <v>25</v>
      </c>
      <c r="C1096">
        <v>635</v>
      </c>
      <c r="D1096">
        <v>1</v>
      </c>
      <c r="E1096" t="s">
        <v>23</v>
      </c>
      <c r="F1096" t="s">
        <v>24</v>
      </c>
      <c r="G1096" t="str">
        <f>"2025-12-17 23:56:18.577"</f>
        <v>2025-12-17 23:56:18.577</v>
      </c>
      <c r="H1096" t="s">
        <v>21</v>
      </c>
      <c r="I1096">
        <v>2.4</v>
      </c>
      <c r="J1096" t="s">
        <v>37</v>
      </c>
    </row>
    <row r="1097" spans="1:10" x14ac:dyDescent="0.25">
      <c r="A1097" s="1">
        <v>139</v>
      </c>
      <c r="B1097" t="s">
        <v>19</v>
      </c>
      <c r="C1097">
        <v>706</v>
      </c>
      <c r="D1097">
        <v>2</v>
      </c>
      <c r="E1097" t="s">
        <v>31</v>
      </c>
      <c r="F1097" t="s">
        <v>35</v>
      </c>
      <c r="G1097" t="str">
        <f>"2025-12-17 22:54:47.626"</f>
        <v>2025-12-17 22:54:47.626</v>
      </c>
      <c r="H1097" t="s">
        <v>21</v>
      </c>
      <c r="I1097">
        <v>0</v>
      </c>
      <c r="J1097" t="s">
        <v>33</v>
      </c>
    </row>
    <row r="1098" spans="1:10" x14ac:dyDescent="0.25">
      <c r="A1098" s="1">
        <v>140</v>
      </c>
      <c r="B1098" t="s">
        <v>22</v>
      </c>
      <c r="C1098">
        <v>630</v>
      </c>
      <c r="D1098">
        <v>5</v>
      </c>
      <c r="E1098" t="s">
        <v>28</v>
      </c>
      <c r="F1098" t="s">
        <v>29</v>
      </c>
      <c r="G1098" t="str">
        <f>"2025-12-17 22:51:37.878"</f>
        <v>2025-12-17 22:51:37.878</v>
      </c>
      <c r="H1098" t="s">
        <v>30</v>
      </c>
    </row>
    <row r="1099" spans="1:10" x14ac:dyDescent="0.25">
      <c r="A1099" s="1">
        <v>141</v>
      </c>
      <c r="B1099" t="s">
        <v>34</v>
      </c>
      <c r="C1099">
        <v>630</v>
      </c>
      <c r="D1099">
        <v>5</v>
      </c>
      <c r="E1099" t="s">
        <v>28</v>
      </c>
      <c r="F1099" t="s">
        <v>29</v>
      </c>
      <c r="G1099" t="str">
        <f>"2025-12-17 22:48:06.777"</f>
        <v>2025-12-17 22:48:06.777</v>
      </c>
      <c r="H1099" t="s">
        <v>30</v>
      </c>
      <c r="I1099">
        <v>0</v>
      </c>
      <c r="J1099" t="s">
        <v>33</v>
      </c>
    </row>
    <row r="1100" spans="1:10" x14ac:dyDescent="0.25">
      <c r="A1100" s="1">
        <v>142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"2025-12-17 09:11:31.016"</f>
        <v>2025-12-17 09:11:31.016</v>
      </c>
      <c r="H1100" t="s">
        <v>21</v>
      </c>
      <c r="I1100">
        <v>0</v>
      </c>
      <c r="J1100" t="s">
        <v>27</v>
      </c>
    </row>
    <row r="1101" spans="1:10" x14ac:dyDescent="0.25">
      <c r="A1101" s="1">
        <v>143</v>
      </c>
      <c r="B1101" t="s">
        <v>22</v>
      </c>
      <c r="C1101">
        <v>630</v>
      </c>
      <c r="D1101">
        <v>5</v>
      </c>
      <c r="E1101" t="s">
        <v>28</v>
      </c>
      <c r="F1101" t="s">
        <v>29</v>
      </c>
      <c r="G1101" t="str">
        <f>"2025-12-16 21:13:14.002"</f>
        <v>2025-12-16 21:13:14.002</v>
      </c>
      <c r="H1101" t="s">
        <v>30</v>
      </c>
    </row>
    <row r="1102" spans="1:10" x14ac:dyDescent="0.25">
      <c r="A1102" s="1">
        <v>144</v>
      </c>
      <c r="B1102" t="s">
        <v>19</v>
      </c>
      <c r="C1102">
        <v>706</v>
      </c>
      <c r="D1102">
        <v>4</v>
      </c>
      <c r="E1102" t="s">
        <v>31</v>
      </c>
      <c r="F1102" t="s">
        <v>32</v>
      </c>
      <c r="G1102" t="str">
        <f>"2025-12-16 21:12:44.041"</f>
        <v>2025-12-16 21:12:44.041</v>
      </c>
      <c r="H1102" t="s">
        <v>21</v>
      </c>
      <c r="I1102">
        <v>0</v>
      </c>
      <c r="J1102" t="s">
        <v>33</v>
      </c>
    </row>
    <row r="1103" spans="1:10" x14ac:dyDescent="0.25">
      <c r="A1103" s="1">
        <v>145</v>
      </c>
      <c r="B1103" t="s">
        <v>34</v>
      </c>
      <c r="C1103">
        <v>630</v>
      </c>
      <c r="D1103">
        <v>5</v>
      </c>
      <c r="E1103" t="s">
        <v>28</v>
      </c>
      <c r="F1103" t="s">
        <v>29</v>
      </c>
      <c r="G1103" t="str">
        <f>"2025-12-16 21:03:30.202"</f>
        <v>2025-12-16 21:03:30.202</v>
      </c>
      <c r="H1103" t="s">
        <v>30</v>
      </c>
      <c r="I1103">
        <v>0</v>
      </c>
      <c r="J1103" t="s">
        <v>33</v>
      </c>
    </row>
    <row r="1104" spans="1:10" x14ac:dyDescent="0.25">
      <c r="A1104" s="1">
        <v>146</v>
      </c>
      <c r="B1104" t="s">
        <v>22</v>
      </c>
      <c r="C1104">
        <v>630</v>
      </c>
      <c r="D1104">
        <v>5</v>
      </c>
      <c r="E1104" t="s">
        <v>28</v>
      </c>
      <c r="F1104" t="s">
        <v>29</v>
      </c>
      <c r="G1104" t="str">
        <f>"2025-12-15 20:29:51.702"</f>
        <v>2025-12-15 20:29:51.702</v>
      </c>
      <c r="H1104" t="s">
        <v>30</v>
      </c>
    </row>
    <row r="1105" spans="1:10" x14ac:dyDescent="0.25">
      <c r="A1105" s="1">
        <v>147</v>
      </c>
      <c r="B1105" t="s">
        <v>19</v>
      </c>
      <c r="C1105">
        <v>706</v>
      </c>
      <c r="D1105">
        <v>2</v>
      </c>
      <c r="E1105" t="s">
        <v>31</v>
      </c>
      <c r="F1105" t="s">
        <v>35</v>
      </c>
      <c r="G1105" t="str">
        <f>"2025-12-15 20:29:21.591"</f>
        <v>2025-12-15 20:29:21.591</v>
      </c>
      <c r="H1105" t="s">
        <v>21</v>
      </c>
      <c r="I1105">
        <v>0</v>
      </c>
      <c r="J1105" t="s">
        <v>33</v>
      </c>
    </row>
    <row r="1106" spans="1:10" x14ac:dyDescent="0.25">
      <c r="A1106" s="1">
        <v>148</v>
      </c>
      <c r="B1106" t="s">
        <v>34</v>
      </c>
      <c r="C1106">
        <v>630</v>
      </c>
      <c r="D1106">
        <v>5</v>
      </c>
      <c r="E1106" t="s">
        <v>28</v>
      </c>
      <c r="F1106" t="s">
        <v>29</v>
      </c>
      <c r="G1106" t="str">
        <f>"2025-12-15 20:19:23.802"</f>
        <v>2025-12-15 20:19:23.802</v>
      </c>
      <c r="H1106" t="s">
        <v>30</v>
      </c>
      <c r="I1106">
        <v>0</v>
      </c>
      <c r="J1106" t="s">
        <v>33</v>
      </c>
    </row>
    <row r="1107" spans="1:10" x14ac:dyDescent="0.25">
      <c r="A1107" s="1">
        <v>149</v>
      </c>
      <c r="B1107" t="s">
        <v>22</v>
      </c>
      <c r="C1107">
        <v>635</v>
      </c>
      <c r="D1107">
        <v>1</v>
      </c>
      <c r="E1107" t="s">
        <v>23</v>
      </c>
      <c r="F1107" t="s">
        <v>24</v>
      </c>
      <c r="G1107" t="str">
        <f>"2025-12-15 16:52:35.601"</f>
        <v>2025-12-15 16:52:35.601</v>
      </c>
      <c r="H1107" t="s">
        <v>21</v>
      </c>
    </row>
    <row r="1108" spans="1:10" x14ac:dyDescent="0.25">
      <c r="A1108" s="1">
        <v>150</v>
      </c>
      <c r="B1108" t="s">
        <v>25</v>
      </c>
      <c r="C1108">
        <v>635</v>
      </c>
      <c r="D1108">
        <v>1</v>
      </c>
      <c r="E1108" t="s">
        <v>23</v>
      </c>
      <c r="F1108" t="s">
        <v>24</v>
      </c>
      <c r="G1108" t="str">
        <f>"2025-12-15 16:49:33.601"</f>
        <v>2025-12-15 16:49:33.601</v>
      </c>
      <c r="H1108" t="s">
        <v>21</v>
      </c>
      <c r="I1108">
        <v>7.62</v>
      </c>
      <c r="J1108" t="s">
        <v>36</v>
      </c>
    </row>
    <row r="1109" spans="1:10" x14ac:dyDescent="0.25">
      <c r="A1109" s="1">
        <v>151</v>
      </c>
      <c r="B1109" t="s">
        <v>22</v>
      </c>
      <c r="C1109">
        <v>98</v>
      </c>
      <c r="D1109">
        <v>1</v>
      </c>
      <c r="E1109" t="s">
        <v>60</v>
      </c>
      <c r="F1109" t="s">
        <v>61</v>
      </c>
      <c r="G1109" t="str">
        <f>"2025-12-15 06:27:22.502"</f>
        <v>2025-12-15 06:27:22.502</v>
      </c>
      <c r="H1109" t="s">
        <v>21</v>
      </c>
    </row>
    <row r="1110" spans="1:10" x14ac:dyDescent="0.25">
      <c r="A1110" s="1">
        <v>152</v>
      </c>
      <c r="B1110" t="s">
        <v>25</v>
      </c>
      <c r="C1110">
        <v>98</v>
      </c>
      <c r="D1110">
        <v>1</v>
      </c>
      <c r="E1110" t="s">
        <v>60</v>
      </c>
      <c r="F1110" t="s">
        <v>61</v>
      </c>
      <c r="G1110" t="str">
        <f>"2025-12-15 06:27:21.302"</f>
        <v>2025-12-15 06:27:21.302</v>
      </c>
      <c r="H1110" t="s">
        <v>21</v>
      </c>
      <c r="I1110">
        <v>7.01</v>
      </c>
      <c r="J1110" t="s">
        <v>36</v>
      </c>
    </row>
    <row r="1111" spans="1:10" x14ac:dyDescent="0.25">
      <c r="A1111" s="1">
        <v>153</v>
      </c>
      <c r="B1111" t="s">
        <v>19</v>
      </c>
      <c r="C1111">
        <v>706</v>
      </c>
      <c r="D1111">
        <v>2</v>
      </c>
      <c r="E1111" t="s">
        <v>31</v>
      </c>
      <c r="F1111" t="s">
        <v>35</v>
      </c>
      <c r="G1111" t="str">
        <f>"2025-12-12 22:51:55.191"</f>
        <v>2025-12-12 22:51:55.191</v>
      </c>
      <c r="H1111" t="s">
        <v>21</v>
      </c>
      <c r="I1111">
        <v>0</v>
      </c>
      <c r="J1111" t="s">
        <v>33</v>
      </c>
    </row>
    <row r="1112" spans="1:10" x14ac:dyDescent="0.25">
      <c r="A1112" s="1">
        <v>154</v>
      </c>
      <c r="B1112" t="s">
        <v>22</v>
      </c>
      <c r="C1112">
        <v>630</v>
      </c>
      <c r="D1112">
        <v>5</v>
      </c>
      <c r="E1112" t="s">
        <v>28</v>
      </c>
      <c r="F1112" t="s">
        <v>29</v>
      </c>
      <c r="G1112" t="str">
        <f>"2025-12-12 22:48:30.902"</f>
        <v>2025-12-12 22:48:30.902</v>
      </c>
      <c r="H1112" t="s">
        <v>30</v>
      </c>
    </row>
    <row r="1113" spans="1:10" x14ac:dyDescent="0.25">
      <c r="A1113" s="1">
        <v>155</v>
      </c>
      <c r="B1113" t="s">
        <v>34</v>
      </c>
      <c r="C1113">
        <v>630</v>
      </c>
      <c r="D1113">
        <v>5</v>
      </c>
      <c r="E1113" t="s">
        <v>28</v>
      </c>
      <c r="F1113" t="s">
        <v>29</v>
      </c>
      <c r="G1113" t="str">
        <f>"2025-12-12 22:08:03.702"</f>
        <v>2025-12-12 22:08:03.702</v>
      </c>
      <c r="H1113" t="s">
        <v>30</v>
      </c>
      <c r="I1113">
        <v>0</v>
      </c>
      <c r="J1113" t="s">
        <v>33</v>
      </c>
    </row>
    <row r="1114" spans="1:10" x14ac:dyDescent="0.25">
      <c r="A1114" s="1">
        <v>156</v>
      </c>
      <c r="B1114" t="s">
        <v>22</v>
      </c>
      <c r="C1114">
        <v>630</v>
      </c>
      <c r="D1114">
        <v>5</v>
      </c>
      <c r="E1114" t="s">
        <v>28</v>
      </c>
      <c r="F1114" t="s">
        <v>29</v>
      </c>
      <c r="G1114" t="str">
        <f>"2025-12-12 20:18:57.302"</f>
        <v>2025-12-12 20:18:57.302</v>
      </c>
      <c r="H1114" t="s">
        <v>30</v>
      </c>
    </row>
    <row r="1115" spans="1:10" x14ac:dyDescent="0.25">
      <c r="A1115" s="1">
        <v>157</v>
      </c>
      <c r="B1115" t="s">
        <v>19</v>
      </c>
      <c r="C1115">
        <v>706</v>
      </c>
      <c r="D1115">
        <v>4</v>
      </c>
      <c r="E1115" t="s">
        <v>31</v>
      </c>
      <c r="F1115" t="s">
        <v>32</v>
      </c>
      <c r="G1115" t="str">
        <f>"2025-12-12 20:18:27.351"</f>
        <v>2025-12-12 20:18:27.351</v>
      </c>
      <c r="H1115" t="s">
        <v>21</v>
      </c>
      <c r="I1115">
        <v>0</v>
      </c>
      <c r="J1115" t="s">
        <v>33</v>
      </c>
    </row>
    <row r="1116" spans="1:10" x14ac:dyDescent="0.25">
      <c r="A1116" s="1">
        <v>158</v>
      </c>
      <c r="B1116" t="s">
        <v>34</v>
      </c>
      <c r="C1116">
        <v>630</v>
      </c>
      <c r="D1116">
        <v>5</v>
      </c>
      <c r="E1116" t="s">
        <v>28</v>
      </c>
      <c r="F1116" t="s">
        <v>29</v>
      </c>
      <c r="G1116" t="str">
        <f>"2025-12-12 20:09:13.702"</f>
        <v>2025-12-12 20:09:13.702</v>
      </c>
      <c r="H1116" t="s">
        <v>30</v>
      </c>
      <c r="I1116">
        <v>0</v>
      </c>
      <c r="J1116" t="s">
        <v>33</v>
      </c>
    </row>
    <row r="1117" spans="1:10" x14ac:dyDescent="0.25">
      <c r="A1117" s="1">
        <v>159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"2025-12-12 09:12:41.821"</f>
        <v>2025-12-12 09:12:41.821</v>
      </c>
      <c r="H1117" t="s">
        <v>21</v>
      </c>
    </row>
    <row r="1118" spans="1:10" x14ac:dyDescent="0.25">
      <c r="A1118" s="1">
        <v>160</v>
      </c>
      <c r="B1118" t="s">
        <v>19</v>
      </c>
      <c r="C1118">
        <v>706</v>
      </c>
      <c r="D1118">
        <v>4</v>
      </c>
      <c r="E1118" t="s">
        <v>31</v>
      </c>
      <c r="F1118" t="s">
        <v>32</v>
      </c>
      <c r="G1118" t="str">
        <f>"2025-12-12 08:37:28.788"</f>
        <v>2025-12-12 08:37:28.788</v>
      </c>
      <c r="H1118" t="s">
        <v>21</v>
      </c>
      <c r="I1118">
        <v>0</v>
      </c>
      <c r="J1118" t="s">
        <v>33</v>
      </c>
    </row>
    <row r="1119" spans="1:10" x14ac:dyDescent="0.25">
      <c r="A1119" s="1">
        <v>161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"2025-12-12 08:14:45.818"</f>
        <v>2025-12-12 08:14:45.818</v>
      </c>
      <c r="H1119" t="s">
        <v>21</v>
      </c>
      <c r="I1119">
        <v>0</v>
      </c>
      <c r="J1119" t="s">
        <v>27</v>
      </c>
    </row>
    <row r="1120" spans="1:10" x14ac:dyDescent="0.25">
      <c r="A1120" s="1">
        <v>162</v>
      </c>
      <c r="B1120" t="s">
        <v>22</v>
      </c>
      <c r="C1120">
        <v>619</v>
      </c>
      <c r="D1120">
        <v>1</v>
      </c>
      <c r="E1120" t="s">
        <v>54</v>
      </c>
      <c r="F1120" t="s">
        <v>24</v>
      </c>
      <c r="G1120" t="str">
        <f>"2025-12-12 08:12:09.989"</f>
        <v>2025-12-12 08:12:09.989</v>
      </c>
      <c r="H1120" t="s">
        <v>55</v>
      </c>
    </row>
    <row r="1121" spans="1:10" x14ac:dyDescent="0.25">
      <c r="A1121" s="1">
        <v>163</v>
      </c>
      <c r="B1121" t="s">
        <v>25</v>
      </c>
      <c r="C1121">
        <v>619</v>
      </c>
      <c r="D1121">
        <v>1</v>
      </c>
      <c r="E1121" t="s">
        <v>54</v>
      </c>
      <c r="F1121" t="s">
        <v>24</v>
      </c>
      <c r="G1121" t="str">
        <f>"2025-12-12 08:11:48.336"</f>
        <v>2025-12-12 08:11:48.336</v>
      </c>
      <c r="H1121" t="s">
        <v>55</v>
      </c>
      <c r="I1121">
        <v>0</v>
      </c>
      <c r="J1121" t="s">
        <v>33</v>
      </c>
    </row>
    <row r="1122" spans="1:10" x14ac:dyDescent="0.25">
      <c r="A1122" s="1">
        <v>164</v>
      </c>
      <c r="B1122" t="s">
        <v>19</v>
      </c>
      <c r="C1122">
        <v>706</v>
      </c>
      <c r="D1122">
        <v>4</v>
      </c>
      <c r="E1122" t="s">
        <v>31</v>
      </c>
      <c r="F1122" t="s">
        <v>32</v>
      </c>
      <c r="G1122" t="str">
        <f>"2025-12-12 08:11:40.039"</f>
        <v>2025-12-12 08:11:40.039</v>
      </c>
      <c r="H1122" t="s">
        <v>21</v>
      </c>
      <c r="I1122">
        <v>0</v>
      </c>
      <c r="J1122" t="s">
        <v>33</v>
      </c>
    </row>
    <row r="1123" spans="1:10" x14ac:dyDescent="0.25">
      <c r="A1123" s="1">
        <v>165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"2025-12-12 08:05:50.809"</f>
        <v>2025-12-12 08:05:50.809</v>
      </c>
      <c r="H1123" t="s">
        <v>21</v>
      </c>
    </row>
    <row r="1124" spans="1:10" x14ac:dyDescent="0.25">
      <c r="A1124" s="1">
        <v>166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"2025-12-11 17:53:11.865"</f>
        <v>2025-12-11 17:53:11.865</v>
      </c>
      <c r="H1124" t="s">
        <v>21</v>
      </c>
    </row>
    <row r="1125" spans="1:10" x14ac:dyDescent="0.25">
      <c r="A1125" s="1">
        <v>167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"2025-12-11 17:23:48.811"</f>
        <v>2025-12-11 17:23:48.811</v>
      </c>
      <c r="H1125" t="s">
        <v>21</v>
      </c>
      <c r="I1125">
        <v>0</v>
      </c>
      <c r="J1125" t="s">
        <v>27</v>
      </c>
    </row>
    <row r="1126" spans="1:10" x14ac:dyDescent="0.25">
      <c r="A1126" s="1">
        <v>168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"2025-12-11 17:03:37.866"</f>
        <v>2025-12-11 17:03:37.866</v>
      </c>
      <c r="H1126" t="s">
        <v>21</v>
      </c>
    </row>
    <row r="1127" spans="1:10" x14ac:dyDescent="0.25">
      <c r="A1127" s="1">
        <v>169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"2025-12-11 17:02:16.831"</f>
        <v>2025-12-11 17:02:16.831</v>
      </c>
      <c r="H1127" t="s">
        <v>21</v>
      </c>
      <c r="I1127">
        <v>0</v>
      </c>
      <c r="J1127" t="s">
        <v>27</v>
      </c>
    </row>
    <row r="1128" spans="1:10" x14ac:dyDescent="0.25">
      <c r="A1128" s="1">
        <v>170</v>
      </c>
      <c r="B1128" t="s">
        <v>19</v>
      </c>
      <c r="C1128">
        <v>706</v>
      </c>
      <c r="D1128">
        <v>3</v>
      </c>
      <c r="E1128" t="s">
        <v>31</v>
      </c>
      <c r="F1128" t="s">
        <v>66</v>
      </c>
      <c r="G1128" t="str">
        <f>"2025-12-11 17:00:36.627"</f>
        <v>2025-12-11 17:00:36.627</v>
      </c>
      <c r="H1128" t="s">
        <v>21</v>
      </c>
      <c r="I1128">
        <v>0</v>
      </c>
      <c r="J1128" t="s">
        <v>33</v>
      </c>
    </row>
    <row r="1129" spans="1:10" x14ac:dyDescent="0.25">
      <c r="A1129" s="1">
        <v>171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"2025-12-11 16:59:26.817"</f>
        <v>2025-12-11 16:59:26.817</v>
      </c>
      <c r="H1129" t="s">
        <v>21</v>
      </c>
      <c r="I1129">
        <v>0</v>
      </c>
      <c r="J1129" t="s">
        <v>27</v>
      </c>
    </row>
    <row r="1130" spans="1:10" x14ac:dyDescent="0.25">
      <c r="A1130" s="1">
        <v>172</v>
      </c>
      <c r="B1130" t="s">
        <v>19</v>
      </c>
      <c r="C1130">
        <v>706</v>
      </c>
      <c r="D1130">
        <v>2</v>
      </c>
      <c r="E1130" t="s">
        <v>31</v>
      </c>
      <c r="F1130" t="s">
        <v>35</v>
      </c>
      <c r="G1130" t="str">
        <f>"2025-12-11 16:58:25.544"</f>
        <v>2025-12-11 16:58:25.544</v>
      </c>
      <c r="H1130" t="s">
        <v>21</v>
      </c>
      <c r="I1130">
        <v>0</v>
      </c>
      <c r="J1130" t="s">
        <v>33</v>
      </c>
    </row>
    <row r="1131" spans="1:10" x14ac:dyDescent="0.25">
      <c r="A1131" s="1">
        <v>173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"2025-12-11 16:58:09.814"</f>
        <v>2025-12-11 16:58:09.814</v>
      </c>
      <c r="H1131" t="s">
        <v>21</v>
      </c>
    </row>
    <row r="1132" spans="1:10" x14ac:dyDescent="0.25">
      <c r="A1132" s="1">
        <v>174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"2025-12-11 15:23:55.819"</f>
        <v>2025-12-11 15:23:55.819</v>
      </c>
      <c r="H1132" t="s">
        <v>21</v>
      </c>
    </row>
    <row r="1133" spans="1:10" x14ac:dyDescent="0.25">
      <c r="A1133" s="1">
        <v>175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"2025-12-11 09:13:12.805"</f>
        <v>2025-12-11 09:13:12.805</v>
      </c>
      <c r="H1133" t="s">
        <v>21</v>
      </c>
    </row>
    <row r="1134" spans="1:10" x14ac:dyDescent="0.25">
      <c r="A1134" s="1">
        <v>176</v>
      </c>
      <c r="B1134" t="s">
        <v>34</v>
      </c>
      <c r="C1134">
        <v>630</v>
      </c>
      <c r="D1134">
        <v>5</v>
      </c>
      <c r="E1134" t="s">
        <v>28</v>
      </c>
      <c r="F1134" t="s">
        <v>29</v>
      </c>
      <c r="G1134" t="str">
        <f>"2025-12-11 08:43:56.926"</f>
        <v>2025-12-11 08:43:56.926</v>
      </c>
      <c r="H1134" t="s">
        <v>30</v>
      </c>
      <c r="I1134">
        <v>0</v>
      </c>
      <c r="J1134" t="s">
        <v>33</v>
      </c>
    </row>
    <row r="1135" spans="1:10" x14ac:dyDescent="0.25">
      <c r="A1135" s="1">
        <v>177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"2025-12-11 08:38:54.158"</f>
        <v>2025-12-11 08:38:54.158</v>
      </c>
      <c r="H1135" t="s">
        <v>21</v>
      </c>
      <c r="I1135">
        <v>0</v>
      </c>
      <c r="J1135" t="s">
        <v>27</v>
      </c>
    </row>
    <row r="1136" spans="1:10" x14ac:dyDescent="0.25">
      <c r="A1136" s="1">
        <v>178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"2025-12-09 13:53:13.003"</f>
        <v>2025-12-09 13:53:13.003</v>
      </c>
      <c r="H1136" t="s">
        <v>21</v>
      </c>
    </row>
    <row r="1137" spans="1:10" x14ac:dyDescent="0.25">
      <c r="A1137" s="1">
        <v>179</v>
      </c>
      <c r="B1137" t="s">
        <v>22</v>
      </c>
      <c r="C1137">
        <v>630</v>
      </c>
      <c r="D1137">
        <v>5</v>
      </c>
      <c r="E1137" t="s">
        <v>28</v>
      </c>
      <c r="F1137" t="s">
        <v>29</v>
      </c>
      <c r="G1137" t="str">
        <f>"2025-12-08 21:52:03.395"</f>
        <v>2025-12-08 21:52:03.395</v>
      </c>
      <c r="H1137" t="s">
        <v>30</v>
      </c>
    </row>
    <row r="1138" spans="1:10" x14ac:dyDescent="0.25">
      <c r="A1138" s="1">
        <v>180</v>
      </c>
      <c r="B1138" t="s">
        <v>19</v>
      </c>
      <c r="C1138">
        <v>706</v>
      </c>
      <c r="D1138">
        <v>2</v>
      </c>
      <c r="E1138" t="s">
        <v>31</v>
      </c>
      <c r="F1138" t="s">
        <v>35</v>
      </c>
      <c r="G1138" t="str">
        <f>"2025-12-08 21:51:33.247"</f>
        <v>2025-12-08 21:51:33.247</v>
      </c>
      <c r="H1138" t="s">
        <v>21</v>
      </c>
      <c r="I1138">
        <v>0</v>
      </c>
      <c r="J1138" t="s">
        <v>33</v>
      </c>
    </row>
    <row r="1139" spans="1:10" x14ac:dyDescent="0.25">
      <c r="A1139" s="1">
        <v>181</v>
      </c>
      <c r="B1139" t="s">
        <v>34</v>
      </c>
      <c r="C1139">
        <v>630</v>
      </c>
      <c r="D1139">
        <v>5</v>
      </c>
      <c r="E1139" t="s">
        <v>28</v>
      </c>
      <c r="F1139" t="s">
        <v>29</v>
      </c>
      <c r="G1139" t="str">
        <f>"2025-12-08 21:44:03.896"</f>
        <v>2025-12-08 21:44:03.896</v>
      </c>
      <c r="H1139" t="s">
        <v>30</v>
      </c>
      <c r="I1139">
        <v>0</v>
      </c>
      <c r="J1139" t="s">
        <v>33</v>
      </c>
    </row>
    <row r="1140" spans="1:10" x14ac:dyDescent="0.25">
      <c r="A1140" s="1">
        <v>182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"2025-12-08 08:02:40.807"</f>
        <v>2025-12-08 08:02:40.807</v>
      </c>
      <c r="H1140" t="s">
        <v>21</v>
      </c>
    </row>
    <row r="1141" spans="1:10" x14ac:dyDescent="0.25">
      <c r="A1141" s="1">
        <v>183</v>
      </c>
      <c r="B1141" t="s">
        <v>22</v>
      </c>
      <c r="C1141">
        <v>630</v>
      </c>
      <c r="D1141">
        <v>5</v>
      </c>
      <c r="E1141" t="s">
        <v>28</v>
      </c>
      <c r="F1141" t="s">
        <v>29</v>
      </c>
      <c r="G1141" t="str">
        <f>"2025-12-07 20:55:17.732"</f>
        <v>2025-12-07 20:55:17.732</v>
      </c>
      <c r="H1141" t="s">
        <v>30</v>
      </c>
    </row>
    <row r="1142" spans="1:10" x14ac:dyDescent="0.25">
      <c r="A1142" s="1">
        <v>184</v>
      </c>
      <c r="B1142" t="s">
        <v>19</v>
      </c>
      <c r="C1142">
        <v>706</v>
      </c>
      <c r="D1142">
        <v>4</v>
      </c>
      <c r="E1142" t="s">
        <v>31</v>
      </c>
      <c r="F1142" t="s">
        <v>32</v>
      </c>
      <c r="G1142" t="str">
        <f>"2025-12-07 20:54:47.714"</f>
        <v>2025-12-07 20:54:47.714</v>
      </c>
      <c r="H1142" t="s">
        <v>21</v>
      </c>
      <c r="I1142">
        <v>0</v>
      </c>
      <c r="J1142" t="s">
        <v>33</v>
      </c>
    </row>
    <row r="1143" spans="1:10" x14ac:dyDescent="0.25">
      <c r="A1143" s="1">
        <v>185</v>
      </c>
      <c r="B1143" t="s">
        <v>34</v>
      </c>
      <c r="C1143">
        <v>630</v>
      </c>
      <c r="D1143">
        <v>5</v>
      </c>
      <c r="E1143" t="s">
        <v>28</v>
      </c>
      <c r="F1143" t="s">
        <v>29</v>
      </c>
      <c r="G1143" t="str">
        <f>"2025-12-07 20:44:02.333"</f>
        <v>2025-12-07 20:44:02.333</v>
      </c>
      <c r="H1143" t="s">
        <v>30</v>
      </c>
      <c r="I1143">
        <v>0</v>
      </c>
      <c r="J1143" t="s">
        <v>33</v>
      </c>
    </row>
    <row r="1144" spans="1:10" x14ac:dyDescent="0.25">
      <c r="A1144" s="1">
        <v>187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"2025-12-06 13:52:52.864"</f>
        <v>2025-12-06 13:52:52.864</v>
      </c>
      <c r="H1144" t="s">
        <v>21</v>
      </c>
      <c r="I1144">
        <v>0</v>
      </c>
      <c r="J1144" t="s">
        <v>27</v>
      </c>
    </row>
    <row r="1145" spans="1:10" x14ac:dyDescent="0.25">
      <c r="A1145" s="1">
        <v>188</v>
      </c>
      <c r="B1145" t="s">
        <v>22</v>
      </c>
      <c r="C1145">
        <v>630</v>
      </c>
      <c r="D1145">
        <v>5</v>
      </c>
      <c r="E1145" t="s">
        <v>28</v>
      </c>
      <c r="F1145" t="s">
        <v>29</v>
      </c>
      <c r="G1145" t="str">
        <f>"2025-12-06 01:56:27.806"</f>
        <v>2025-12-06 01:56:27.806</v>
      </c>
      <c r="H1145" t="s">
        <v>30</v>
      </c>
    </row>
    <row r="1146" spans="1:10" x14ac:dyDescent="0.25">
      <c r="A1146" s="1">
        <v>189</v>
      </c>
      <c r="B1146" t="s">
        <v>19</v>
      </c>
      <c r="C1146">
        <v>706</v>
      </c>
      <c r="D1146">
        <v>4</v>
      </c>
      <c r="E1146" t="s">
        <v>31</v>
      </c>
      <c r="F1146" t="s">
        <v>32</v>
      </c>
      <c r="G1146" t="str">
        <f>"2025-12-06 01:55:57.779"</f>
        <v>2025-12-06 01:55:57.779</v>
      </c>
      <c r="H1146" t="s">
        <v>21</v>
      </c>
      <c r="I1146">
        <v>0</v>
      </c>
      <c r="J1146" t="s">
        <v>33</v>
      </c>
    </row>
    <row r="1147" spans="1:10" x14ac:dyDescent="0.25">
      <c r="A1147" s="1">
        <v>190</v>
      </c>
      <c r="B1147" t="s">
        <v>34</v>
      </c>
      <c r="C1147">
        <v>630</v>
      </c>
      <c r="D1147">
        <v>5</v>
      </c>
      <c r="E1147" t="s">
        <v>28</v>
      </c>
      <c r="F1147" t="s">
        <v>29</v>
      </c>
      <c r="G1147" t="str">
        <f>"2025-12-06 01:54:42.707"</f>
        <v>2025-12-06 01:54:42.707</v>
      </c>
      <c r="H1147" t="s">
        <v>30</v>
      </c>
      <c r="I1147">
        <v>0</v>
      </c>
      <c r="J1147" t="s">
        <v>33</v>
      </c>
    </row>
    <row r="1148" spans="1:10" x14ac:dyDescent="0.25">
      <c r="A1148" s="1">
        <v>191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"2025-12-04 14:04:36.969"</f>
        <v>2025-12-04 14:04:36.969</v>
      </c>
      <c r="H1148" t="s">
        <v>21</v>
      </c>
      <c r="I1148">
        <v>0</v>
      </c>
      <c r="J1148" t="s">
        <v>27</v>
      </c>
    </row>
    <row r="1149" spans="1:10" x14ac:dyDescent="0.25">
      <c r="A1149" s="1">
        <v>192</v>
      </c>
      <c r="B1149" t="s">
        <v>22</v>
      </c>
      <c r="C1149">
        <v>630</v>
      </c>
      <c r="D1149">
        <v>5</v>
      </c>
      <c r="E1149" t="s">
        <v>28</v>
      </c>
      <c r="F1149" t="s">
        <v>29</v>
      </c>
      <c r="G1149" t="str">
        <f>"2025-12-04 04:23:16.873"</f>
        <v>2025-12-04 04:23:16.873</v>
      </c>
      <c r="H1149" t="s">
        <v>30</v>
      </c>
    </row>
    <row r="1150" spans="1:10" x14ac:dyDescent="0.25">
      <c r="A1150" s="1">
        <v>193</v>
      </c>
      <c r="B1150" t="s">
        <v>19</v>
      </c>
      <c r="C1150">
        <v>706</v>
      </c>
      <c r="D1150">
        <v>4</v>
      </c>
      <c r="E1150" t="s">
        <v>31</v>
      </c>
      <c r="F1150" t="s">
        <v>32</v>
      </c>
      <c r="G1150" t="str">
        <f>"2025-12-04 04:22:46.770"</f>
        <v>2025-12-04 04:22:46.770</v>
      </c>
      <c r="H1150" t="s">
        <v>21</v>
      </c>
      <c r="I1150">
        <v>0</v>
      </c>
      <c r="J1150" t="s">
        <v>33</v>
      </c>
    </row>
    <row r="1151" spans="1:10" x14ac:dyDescent="0.25">
      <c r="A1151" s="1">
        <v>194</v>
      </c>
      <c r="B1151" t="s">
        <v>34</v>
      </c>
      <c r="C1151">
        <v>630</v>
      </c>
      <c r="D1151">
        <v>5</v>
      </c>
      <c r="E1151" t="s">
        <v>28</v>
      </c>
      <c r="F1151" t="s">
        <v>29</v>
      </c>
      <c r="G1151" t="str">
        <f>"2025-12-04 04:10:18.873"</f>
        <v>2025-12-04 04:10:18.873</v>
      </c>
      <c r="H1151" t="s">
        <v>30</v>
      </c>
      <c r="I1151">
        <v>0</v>
      </c>
      <c r="J1151" t="s">
        <v>33</v>
      </c>
    </row>
    <row r="1152" spans="1:10" x14ac:dyDescent="0.25">
      <c r="A1152" s="1">
        <v>195</v>
      </c>
      <c r="B1152" t="s">
        <v>19</v>
      </c>
      <c r="C1152">
        <v>706</v>
      </c>
      <c r="D1152">
        <v>4</v>
      </c>
      <c r="E1152" t="s">
        <v>31</v>
      </c>
      <c r="F1152" t="s">
        <v>32</v>
      </c>
      <c r="G1152" t="str">
        <f>"2025-12-04 03:40:07.840"</f>
        <v>2025-12-04 03:40:07.840</v>
      </c>
      <c r="H1152" t="s">
        <v>21</v>
      </c>
      <c r="I1152">
        <v>0</v>
      </c>
      <c r="J1152" t="s">
        <v>33</v>
      </c>
    </row>
    <row r="1153" spans="1:10" x14ac:dyDescent="0.25">
      <c r="A1153" s="1">
        <v>196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"2025-12-04 03:39:01.810"</f>
        <v>2025-12-04 03:39:01.810</v>
      </c>
      <c r="H1153" t="s">
        <v>21</v>
      </c>
      <c r="I1153">
        <v>0</v>
      </c>
      <c r="J1153" t="s">
        <v>27</v>
      </c>
    </row>
    <row r="1154" spans="1:10" x14ac:dyDescent="0.25">
      <c r="A1154" s="1">
        <v>197</v>
      </c>
      <c r="B1154" t="s">
        <v>22</v>
      </c>
      <c r="C1154">
        <v>635</v>
      </c>
      <c r="D1154">
        <v>1</v>
      </c>
      <c r="E1154" t="s">
        <v>23</v>
      </c>
      <c r="F1154" t="s">
        <v>24</v>
      </c>
      <c r="G1154" t="str">
        <f>"2025-12-04 02:52:01.685"</f>
        <v>2025-12-04 02:52:01.685</v>
      </c>
      <c r="H1154" t="s">
        <v>21</v>
      </c>
    </row>
    <row r="1155" spans="1:10" x14ac:dyDescent="0.25">
      <c r="A1155" s="1">
        <v>198</v>
      </c>
      <c r="B1155" t="s">
        <v>25</v>
      </c>
      <c r="C1155">
        <v>635</v>
      </c>
      <c r="D1155">
        <v>1</v>
      </c>
      <c r="E1155" t="s">
        <v>23</v>
      </c>
      <c r="F1155" t="s">
        <v>24</v>
      </c>
      <c r="G1155" t="str">
        <f>"2025-12-04 02:45:53.185"</f>
        <v>2025-12-04 02:45:53.185</v>
      </c>
      <c r="H1155" t="s">
        <v>21</v>
      </c>
      <c r="I1155">
        <v>7.47</v>
      </c>
      <c r="J1155" t="s">
        <v>36</v>
      </c>
    </row>
    <row r="1156" spans="1:10" x14ac:dyDescent="0.25">
      <c r="A1156" s="1">
        <v>199</v>
      </c>
      <c r="B1156" t="s">
        <v>22</v>
      </c>
      <c r="C1156">
        <v>635</v>
      </c>
      <c r="D1156">
        <v>1</v>
      </c>
      <c r="E1156" t="s">
        <v>23</v>
      </c>
      <c r="F1156" t="s">
        <v>24</v>
      </c>
      <c r="G1156" t="str">
        <f>"2025-12-03 21:26:17.685"</f>
        <v>2025-12-03 21:26:17.685</v>
      </c>
      <c r="H1156" t="s">
        <v>21</v>
      </c>
    </row>
    <row r="1157" spans="1:10" x14ac:dyDescent="0.25">
      <c r="A1157" s="1">
        <v>200</v>
      </c>
      <c r="B1157" t="s">
        <v>25</v>
      </c>
      <c r="C1157">
        <v>635</v>
      </c>
      <c r="D1157">
        <v>1</v>
      </c>
      <c r="E1157" t="s">
        <v>23</v>
      </c>
      <c r="F1157" t="s">
        <v>24</v>
      </c>
      <c r="G1157" t="str">
        <f>"2025-12-03 21:22:36.185"</f>
        <v>2025-12-03 21:22:36.185</v>
      </c>
      <c r="H1157" t="s">
        <v>21</v>
      </c>
      <c r="I1157">
        <v>5.72</v>
      </c>
      <c r="J1157" t="s">
        <v>36</v>
      </c>
    </row>
    <row r="1158" spans="1:10" x14ac:dyDescent="0.25">
      <c r="A1158" s="1">
        <v>201</v>
      </c>
      <c r="B1158" t="s">
        <v>22</v>
      </c>
      <c r="C1158">
        <v>98</v>
      </c>
      <c r="D1158">
        <v>1</v>
      </c>
      <c r="E1158" t="s">
        <v>60</v>
      </c>
      <c r="F1158" t="s">
        <v>61</v>
      </c>
      <c r="G1158" t="str">
        <f>"2025-12-03 02:22:56.297"</f>
        <v>2025-12-03 02:22:56.297</v>
      </c>
      <c r="H1158" t="s">
        <v>21</v>
      </c>
    </row>
    <row r="1159" spans="1:10" x14ac:dyDescent="0.25">
      <c r="A1159" s="1">
        <v>202</v>
      </c>
      <c r="B1159" t="s">
        <v>25</v>
      </c>
      <c r="C1159">
        <v>98</v>
      </c>
      <c r="D1159">
        <v>1</v>
      </c>
      <c r="E1159" t="s">
        <v>60</v>
      </c>
      <c r="F1159" t="s">
        <v>61</v>
      </c>
      <c r="G1159" t="str">
        <f>"2025-12-03 02:22:55.297"</f>
        <v>2025-12-03 02:22:55.297</v>
      </c>
      <c r="H1159" t="s">
        <v>21</v>
      </c>
      <c r="I1159">
        <v>0</v>
      </c>
      <c r="J1159" t="s">
        <v>26</v>
      </c>
    </row>
    <row r="1160" spans="1:10" x14ac:dyDescent="0.25">
      <c r="A1160" s="1">
        <v>203</v>
      </c>
      <c r="B1160" t="s">
        <v>22</v>
      </c>
      <c r="C1160">
        <v>98</v>
      </c>
      <c r="D1160">
        <v>1</v>
      </c>
      <c r="E1160" t="s">
        <v>60</v>
      </c>
      <c r="F1160" t="s">
        <v>61</v>
      </c>
      <c r="G1160" t="str">
        <f>"2025-12-03 02:22:54.297"</f>
        <v>2025-12-03 02:22:54.297</v>
      </c>
      <c r="H1160" t="s">
        <v>21</v>
      </c>
    </row>
    <row r="1161" spans="1:10" x14ac:dyDescent="0.25">
      <c r="A1161" s="1">
        <v>204</v>
      </c>
      <c r="B1161" t="s">
        <v>25</v>
      </c>
      <c r="C1161">
        <v>98</v>
      </c>
      <c r="D1161">
        <v>1</v>
      </c>
      <c r="E1161" t="s">
        <v>60</v>
      </c>
      <c r="F1161" t="s">
        <v>61</v>
      </c>
      <c r="G1161" t="str">
        <f>"2025-12-03 02:22:53.298"</f>
        <v>2025-12-03 02:22:53.298</v>
      </c>
      <c r="H1161" t="s">
        <v>21</v>
      </c>
      <c r="I1161">
        <v>0</v>
      </c>
      <c r="J1161" t="s">
        <v>26</v>
      </c>
    </row>
    <row r="1162" spans="1:10" x14ac:dyDescent="0.25">
      <c r="A1162" s="1">
        <v>205</v>
      </c>
      <c r="B1162" t="s">
        <v>22</v>
      </c>
      <c r="C1162">
        <v>630</v>
      </c>
      <c r="D1162">
        <v>5</v>
      </c>
      <c r="E1162" t="s">
        <v>28</v>
      </c>
      <c r="F1162" t="s">
        <v>29</v>
      </c>
      <c r="G1162" t="str">
        <f>"2025-12-01 19:57:43.585"</f>
        <v>2025-12-01 19:57:43.585</v>
      </c>
      <c r="H1162" t="s">
        <v>30</v>
      </c>
    </row>
    <row r="1163" spans="1:10" x14ac:dyDescent="0.25">
      <c r="A1163" s="1">
        <v>206</v>
      </c>
      <c r="B1163" t="s">
        <v>19</v>
      </c>
      <c r="C1163">
        <v>706</v>
      </c>
      <c r="D1163">
        <v>2</v>
      </c>
      <c r="E1163" t="s">
        <v>31</v>
      </c>
      <c r="F1163" t="s">
        <v>35</v>
      </c>
      <c r="G1163" t="str">
        <f>"2025-12-01 19:57:13.538"</f>
        <v>2025-12-01 19:57:13.538</v>
      </c>
      <c r="H1163" t="s">
        <v>21</v>
      </c>
      <c r="I1163">
        <v>0</v>
      </c>
      <c r="J1163" t="s">
        <v>33</v>
      </c>
    </row>
    <row r="1164" spans="1:10" x14ac:dyDescent="0.25">
      <c r="A1164" s="1">
        <v>207</v>
      </c>
      <c r="B1164" t="s">
        <v>34</v>
      </c>
      <c r="C1164">
        <v>630</v>
      </c>
      <c r="D1164">
        <v>5</v>
      </c>
      <c r="E1164" t="s">
        <v>28</v>
      </c>
      <c r="F1164" t="s">
        <v>29</v>
      </c>
      <c r="G1164" t="str">
        <f>"2025-12-01 19:50:30.485"</f>
        <v>2025-12-01 19:50:30.485</v>
      </c>
      <c r="H1164" t="s">
        <v>30</v>
      </c>
      <c r="I1164">
        <v>0</v>
      </c>
      <c r="J1164" t="s">
        <v>33</v>
      </c>
    </row>
    <row r="1165" spans="1:10" x14ac:dyDescent="0.25">
      <c r="A1165" s="1">
        <v>208</v>
      </c>
      <c r="B1165" t="s">
        <v>22</v>
      </c>
      <c r="C1165">
        <v>635</v>
      </c>
      <c r="D1165">
        <v>1</v>
      </c>
      <c r="E1165" t="s">
        <v>23</v>
      </c>
      <c r="F1165" t="s">
        <v>24</v>
      </c>
      <c r="G1165" t="str">
        <f>"2025-12-01 09:04:16.585"</f>
        <v>2025-12-01 09:04:16.585</v>
      </c>
      <c r="H1165" t="s">
        <v>21</v>
      </c>
    </row>
    <row r="1166" spans="1:10" x14ac:dyDescent="0.25">
      <c r="A1166" s="1">
        <v>209</v>
      </c>
      <c r="B1166" t="s">
        <v>25</v>
      </c>
      <c r="C1166">
        <v>635</v>
      </c>
      <c r="D1166">
        <v>1</v>
      </c>
      <c r="E1166" t="s">
        <v>23</v>
      </c>
      <c r="F1166" t="s">
        <v>24</v>
      </c>
      <c r="G1166" t="str">
        <f>"2025-12-01 08:58:49.085"</f>
        <v>2025-12-01 08:58:49.085</v>
      </c>
      <c r="H1166" t="s">
        <v>21</v>
      </c>
      <c r="I1166">
        <v>7.05</v>
      </c>
      <c r="J1166" t="s">
        <v>37</v>
      </c>
    </row>
    <row r="1167" spans="1:10" x14ac:dyDescent="0.25">
      <c r="A1167" s="1">
        <v>210</v>
      </c>
      <c r="B1167" t="s">
        <v>22</v>
      </c>
      <c r="C1167">
        <v>630</v>
      </c>
      <c r="D1167">
        <v>5</v>
      </c>
      <c r="E1167" t="s">
        <v>28</v>
      </c>
      <c r="F1167" t="s">
        <v>29</v>
      </c>
      <c r="G1167" t="str">
        <f>"2025-11-30 22:24:56.185"</f>
        <v>2025-11-30 22:24:56.185</v>
      </c>
      <c r="H1167" t="s">
        <v>30</v>
      </c>
    </row>
    <row r="1168" spans="1:10" x14ac:dyDescent="0.25">
      <c r="A1168" s="1">
        <v>211</v>
      </c>
      <c r="B1168" t="s">
        <v>19</v>
      </c>
      <c r="C1168">
        <v>706</v>
      </c>
      <c r="D1168">
        <v>2</v>
      </c>
      <c r="E1168" t="s">
        <v>31</v>
      </c>
      <c r="F1168" t="s">
        <v>35</v>
      </c>
      <c r="G1168" t="str">
        <f>"2025-11-30 22:24:26.138"</f>
        <v>2025-11-30 22:24:26.138</v>
      </c>
      <c r="H1168" t="s">
        <v>21</v>
      </c>
      <c r="I1168">
        <v>0</v>
      </c>
      <c r="J1168" t="s">
        <v>33</v>
      </c>
    </row>
    <row r="1169" spans="1:10" x14ac:dyDescent="0.25">
      <c r="A1169" s="1">
        <v>212</v>
      </c>
      <c r="B1169" t="s">
        <v>34</v>
      </c>
      <c r="C1169">
        <v>630</v>
      </c>
      <c r="D1169">
        <v>5</v>
      </c>
      <c r="E1169" t="s">
        <v>28</v>
      </c>
      <c r="F1169" t="s">
        <v>29</v>
      </c>
      <c r="G1169" t="str">
        <f>"2025-11-30 22:15:45.285"</f>
        <v>2025-11-30 22:15:45.285</v>
      </c>
      <c r="H1169" t="s">
        <v>30</v>
      </c>
      <c r="I1169">
        <v>0</v>
      </c>
      <c r="J1169" t="s">
        <v>33</v>
      </c>
    </row>
    <row r="1170" spans="1:10" x14ac:dyDescent="0.25">
      <c r="A1170" s="1">
        <v>213</v>
      </c>
      <c r="B1170" t="s">
        <v>22</v>
      </c>
      <c r="C1170">
        <v>630</v>
      </c>
      <c r="D1170">
        <v>5</v>
      </c>
      <c r="E1170" t="s">
        <v>28</v>
      </c>
      <c r="F1170" t="s">
        <v>29</v>
      </c>
      <c r="G1170" t="str">
        <f>"2025-11-30 18:59:44.685"</f>
        <v>2025-11-30 18:59:44.685</v>
      </c>
      <c r="H1170" t="s">
        <v>30</v>
      </c>
    </row>
    <row r="1171" spans="1:10" x14ac:dyDescent="0.25">
      <c r="A1171" s="1">
        <v>214</v>
      </c>
      <c r="B1171" t="s">
        <v>19</v>
      </c>
      <c r="C1171">
        <v>706</v>
      </c>
      <c r="D1171">
        <v>2</v>
      </c>
      <c r="E1171" t="s">
        <v>31</v>
      </c>
      <c r="F1171" t="s">
        <v>35</v>
      </c>
      <c r="G1171" t="str">
        <f>"2025-11-30 18:59:14.538"</f>
        <v>2025-11-30 18:59:14.538</v>
      </c>
      <c r="H1171" t="s">
        <v>21</v>
      </c>
      <c r="I1171">
        <v>0</v>
      </c>
      <c r="J1171" t="s">
        <v>33</v>
      </c>
    </row>
    <row r="1172" spans="1:10" x14ac:dyDescent="0.25">
      <c r="A1172" s="1">
        <v>215</v>
      </c>
      <c r="B1172" t="s">
        <v>34</v>
      </c>
      <c r="C1172">
        <v>630</v>
      </c>
      <c r="D1172">
        <v>5</v>
      </c>
      <c r="E1172" t="s">
        <v>28</v>
      </c>
      <c r="F1172" t="s">
        <v>29</v>
      </c>
      <c r="G1172" t="str">
        <f>"2025-11-30 18:55:06.586"</f>
        <v>2025-11-30 18:55:06.586</v>
      </c>
      <c r="H1172" t="s">
        <v>30</v>
      </c>
      <c r="I1172">
        <v>0</v>
      </c>
      <c r="J1172" t="s">
        <v>33</v>
      </c>
    </row>
    <row r="1173" spans="1:10" x14ac:dyDescent="0.25">
      <c r="A1173" s="1">
        <v>216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"2025-11-30 18:50:03.808"</f>
        <v>2025-11-30 18:50:03.808</v>
      </c>
      <c r="H1173" t="s">
        <v>21</v>
      </c>
      <c r="I1173">
        <v>0</v>
      </c>
      <c r="J1173" t="s">
        <v>27</v>
      </c>
    </row>
    <row r="1174" spans="1:10" x14ac:dyDescent="0.25">
      <c r="A1174" s="1">
        <v>217</v>
      </c>
      <c r="B1174" t="s">
        <v>19</v>
      </c>
      <c r="C1174">
        <v>706</v>
      </c>
      <c r="D1174">
        <v>2</v>
      </c>
      <c r="E1174" t="s">
        <v>31</v>
      </c>
      <c r="F1174" t="s">
        <v>35</v>
      </c>
      <c r="G1174" t="str">
        <f>"2025-11-30 17:49:29.916"</f>
        <v>2025-11-30 17:49:29.916</v>
      </c>
      <c r="H1174" t="s">
        <v>21</v>
      </c>
      <c r="I1174">
        <v>0</v>
      </c>
      <c r="J1174" t="s">
        <v>33</v>
      </c>
    </row>
    <row r="1175" spans="1:10" x14ac:dyDescent="0.25">
      <c r="A1175" s="1">
        <v>218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"2025-11-30 17:47:52.796"</f>
        <v>2025-11-30 17:47:52.796</v>
      </c>
      <c r="H1175" t="s">
        <v>21</v>
      </c>
      <c r="I1175">
        <v>0</v>
      </c>
      <c r="J1175" t="s">
        <v>27</v>
      </c>
    </row>
    <row r="1176" spans="1:10" x14ac:dyDescent="0.25">
      <c r="A1176" s="1">
        <v>219</v>
      </c>
      <c r="B1176" t="s">
        <v>22</v>
      </c>
      <c r="C1176">
        <v>630</v>
      </c>
      <c r="D1176">
        <v>5</v>
      </c>
      <c r="E1176" t="s">
        <v>28</v>
      </c>
      <c r="F1176" t="s">
        <v>29</v>
      </c>
      <c r="G1176" t="str">
        <f>"2025-11-30 17:36:15.889"</f>
        <v>2025-11-30 17:36:15.889</v>
      </c>
      <c r="H1176" t="s">
        <v>30</v>
      </c>
    </row>
    <row r="1177" spans="1:10" x14ac:dyDescent="0.25">
      <c r="A1177" s="1">
        <v>220</v>
      </c>
      <c r="B1177" t="s">
        <v>19</v>
      </c>
      <c r="C1177">
        <v>706</v>
      </c>
      <c r="D1177">
        <v>4</v>
      </c>
      <c r="E1177" t="s">
        <v>31</v>
      </c>
      <c r="F1177" t="s">
        <v>32</v>
      </c>
      <c r="G1177" t="str">
        <f>"2025-11-30 17:35:45.918"</f>
        <v>2025-11-30 17:35:45.918</v>
      </c>
      <c r="H1177" t="s">
        <v>21</v>
      </c>
      <c r="I1177">
        <v>0</v>
      </c>
      <c r="J1177" t="s">
        <v>33</v>
      </c>
    </row>
    <row r="1178" spans="1:10" x14ac:dyDescent="0.25">
      <c r="A1178" s="1">
        <v>221</v>
      </c>
      <c r="B1178" t="s">
        <v>34</v>
      </c>
      <c r="C1178">
        <v>630</v>
      </c>
      <c r="D1178">
        <v>5</v>
      </c>
      <c r="E1178" t="s">
        <v>28</v>
      </c>
      <c r="F1178" t="s">
        <v>29</v>
      </c>
      <c r="G1178" t="str">
        <f>"2025-11-30 17:20:02.589"</f>
        <v>2025-11-30 17:20:02.589</v>
      </c>
      <c r="H1178" t="s">
        <v>30</v>
      </c>
      <c r="I1178">
        <v>0</v>
      </c>
      <c r="J1178" t="s">
        <v>33</v>
      </c>
    </row>
    <row r="1179" spans="1:10" x14ac:dyDescent="0.25">
      <c r="A1179" s="1">
        <v>222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"2025-11-30 17:14:59.808"</f>
        <v>2025-11-30 17:14:59.808</v>
      </c>
      <c r="H1179" t="s">
        <v>21</v>
      </c>
      <c r="I1179">
        <v>0</v>
      </c>
      <c r="J1179" t="s">
        <v>27</v>
      </c>
    </row>
    <row r="1180" spans="1:10" x14ac:dyDescent="0.25">
      <c r="A1180" s="1">
        <v>223</v>
      </c>
      <c r="B1180" t="s">
        <v>19</v>
      </c>
      <c r="C1180">
        <v>706</v>
      </c>
      <c r="D1180">
        <v>4</v>
      </c>
      <c r="E1180" t="s">
        <v>31</v>
      </c>
      <c r="F1180" t="s">
        <v>32</v>
      </c>
      <c r="G1180" t="str">
        <f>"2025-11-30 16:52:34.019"</f>
        <v>2025-11-30 16:52:34.019</v>
      </c>
      <c r="H1180" t="s">
        <v>21</v>
      </c>
      <c r="I1180">
        <v>0</v>
      </c>
      <c r="J1180" t="s">
        <v>33</v>
      </c>
    </row>
    <row r="1181" spans="1:10" x14ac:dyDescent="0.25">
      <c r="A1181" s="1">
        <v>224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"2025-11-30 16:32:56.799"</f>
        <v>2025-11-30 16:32:56.799</v>
      </c>
      <c r="H1181" t="s">
        <v>21</v>
      </c>
      <c r="I1181">
        <v>0</v>
      </c>
      <c r="J1181" t="s">
        <v>27</v>
      </c>
    </row>
    <row r="1182" spans="1:10" x14ac:dyDescent="0.25">
      <c r="A1182" s="1">
        <v>225</v>
      </c>
      <c r="B1182" t="s">
        <v>19</v>
      </c>
      <c r="C1182">
        <v>706</v>
      </c>
      <c r="D1182">
        <v>4</v>
      </c>
      <c r="E1182" t="s">
        <v>31</v>
      </c>
      <c r="F1182" t="s">
        <v>32</v>
      </c>
      <c r="G1182" t="str">
        <f>"2025-11-30 13:54:24.739"</f>
        <v>2025-11-30 13:54:24.739</v>
      </c>
      <c r="H1182" t="s">
        <v>21</v>
      </c>
      <c r="I1182">
        <v>0</v>
      </c>
      <c r="J1182" t="s">
        <v>33</v>
      </c>
    </row>
    <row r="1183" spans="1:10" x14ac:dyDescent="0.25">
      <c r="A1183" s="1">
        <v>226</v>
      </c>
      <c r="B1183" t="s">
        <v>19</v>
      </c>
      <c r="C1183">
        <v>706</v>
      </c>
      <c r="D1183">
        <v>3</v>
      </c>
      <c r="E1183" t="s">
        <v>31</v>
      </c>
      <c r="F1183" t="s">
        <v>66</v>
      </c>
      <c r="G1183" t="str">
        <f>"2025-11-30 13:54:18.729"</f>
        <v>2025-11-30 13:54:18.729</v>
      </c>
      <c r="H1183" t="s">
        <v>21</v>
      </c>
      <c r="I1183">
        <v>0</v>
      </c>
      <c r="J1183" t="s">
        <v>33</v>
      </c>
    </row>
    <row r="1184" spans="1:10" x14ac:dyDescent="0.25">
      <c r="A1184" s="1">
        <v>227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"2025-11-30 13:51:30.819"</f>
        <v>2025-11-30 13:51:30.819</v>
      </c>
      <c r="H1184" t="s">
        <v>21</v>
      </c>
    </row>
    <row r="1185" spans="1:10" x14ac:dyDescent="0.25">
      <c r="A1185" s="1">
        <v>228</v>
      </c>
      <c r="B1185" t="s">
        <v>22</v>
      </c>
      <c r="C1185">
        <v>635</v>
      </c>
      <c r="D1185">
        <v>1</v>
      </c>
      <c r="E1185" t="s">
        <v>23</v>
      </c>
      <c r="F1185" t="s">
        <v>24</v>
      </c>
      <c r="G1185" t="str">
        <f>"2025-11-30 09:07:39.224"</f>
        <v>2025-11-30 09:07:39.224</v>
      </c>
      <c r="H1185" t="s">
        <v>21</v>
      </c>
    </row>
    <row r="1186" spans="1:10" x14ac:dyDescent="0.25">
      <c r="A1186" s="1">
        <v>229</v>
      </c>
      <c r="B1186" t="s">
        <v>25</v>
      </c>
      <c r="C1186">
        <v>635</v>
      </c>
      <c r="D1186">
        <v>1</v>
      </c>
      <c r="E1186" t="s">
        <v>23</v>
      </c>
      <c r="F1186" t="s">
        <v>24</v>
      </c>
      <c r="G1186" t="str">
        <f>"2025-11-30 09:04:49.724"</f>
        <v>2025-11-30 09:04:49.724</v>
      </c>
      <c r="H1186" t="s">
        <v>21</v>
      </c>
      <c r="I1186">
        <v>0</v>
      </c>
      <c r="J1186" t="s">
        <v>26</v>
      </c>
    </row>
    <row r="1187" spans="1:10" x14ac:dyDescent="0.25">
      <c r="A1187" s="1">
        <v>230</v>
      </c>
      <c r="B1187" t="s">
        <v>22</v>
      </c>
      <c r="C1187">
        <v>635</v>
      </c>
      <c r="D1187">
        <v>1</v>
      </c>
      <c r="E1187" t="s">
        <v>23</v>
      </c>
      <c r="F1187" t="s">
        <v>24</v>
      </c>
      <c r="G1187" t="str">
        <f>"2025-11-30 05:38:27.924"</f>
        <v>2025-11-30 05:38:27.924</v>
      </c>
      <c r="H1187" t="s">
        <v>21</v>
      </c>
    </row>
    <row r="1188" spans="1:10" x14ac:dyDescent="0.25">
      <c r="A1188" s="1">
        <v>231</v>
      </c>
      <c r="B1188" t="s">
        <v>25</v>
      </c>
      <c r="C1188">
        <v>635</v>
      </c>
      <c r="D1188">
        <v>1</v>
      </c>
      <c r="E1188" t="s">
        <v>23</v>
      </c>
      <c r="F1188" t="s">
        <v>24</v>
      </c>
      <c r="G1188" t="str">
        <f>"2025-11-30 05:24:14.024"</f>
        <v>2025-11-30 05:24:14.024</v>
      </c>
      <c r="H1188" t="s">
        <v>21</v>
      </c>
      <c r="I1188">
        <v>5.39</v>
      </c>
      <c r="J1188" t="s">
        <v>36</v>
      </c>
    </row>
    <row r="1189" spans="1:10" x14ac:dyDescent="0.25">
      <c r="A1189" s="1">
        <v>232</v>
      </c>
      <c r="B1189" t="s">
        <v>22</v>
      </c>
      <c r="C1189">
        <v>630</v>
      </c>
      <c r="D1189">
        <v>5</v>
      </c>
      <c r="E1189" t="s">
        <v>28</v>
      </c>
      <c r="F1189" t="s">
        <v>29</v>
      </c>
      <c r="G1189" t="str">
        <f>"2025-11-29 21:24:05.178"</f>
        <v>2025-11-29 21:24:05.178</v>
      </c>
      <c r="H1189" t="s">
        <v>30</v>
      </c>
    </row>
    <row r="1190" spans="1:10" x14ac:dyDescent="0.25">
      <c r="A1190" s="1">
        <v>233</v>
      </c>
      <c r="B1190" t="s">
        <v>19</v>
      </c>
      <c r="C1190">
        <v>706</v>
      </c>
      <c r="D1190">
        <v>2</v>
      </c>
      <c r="E1190" t="s">
        <v>31</v>
      </c>
      <c r="F1190" t="s">
        <v>35</v>
      </c>
      <c r="G1190" t="str">
        <f>"2025-11-29 21:23:35.017"</f>
        <v>2025-11-29 21:23:35.017</v>
      </c>
      <c r="H1190" t="s">
        <v>21</v>
      </c>
      <c r="I1190">
        <v>0</v>
      </c>
      <c r="J1190" t="s">
        <v>33</v>
      </c>
    </row>
    <row r="1191" spans="1:10" x14ac:dyDescent="0.25">
      <c r="A1191" s="1">
        <v>234</v>
      </c>
      <c r="B1191" t="s">
        <v>34</v>
      </c>
      <c r="C1191">
        <v>630</v>
      </c>
      <c r="D1191">
        <v>5</v>
      </c>
      <c r="E1191" t="s">
        <v>28</v>
      </c>
      <c r="F1191" t="s">
        <v>29</v>
      </c>
      <c r="G1191" t="str">
        <f>"2025-11-29 21:14:00.078"</f>
        <v>2025-11-29 21:14:00.078</v>
      </c>
      <c r="H1191" t="s">
        <v>30</v>
      </c>
      <c r="I1191">
        <v>0</v>
      </c>
      <c r="J1191" t="s">
        <v>33</v>
      </c>
    </row>
    <row r="1192" spans="1:10" x14ac:dyDescent="0.25">
      <c r="A1192" s="1">
        <v>235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"2025-11-29 13:21:00.787"</f>
        <v>2025-11-29 13:21:00.787</v>
      </c>
      <c r="H1192" t="s">
        <v>21</v>
      </c>
      <c r="I1192">
        <v>0</v>
      </c>
      <c r="J1192" t="s">
        <v>27</v>
      </c>
    </row>
    <row r="1193" spans="1:10" x14ac:dyDescent="0.25">
      <c r="A1193" s="1">
        <v>236</v>
      </c>
      <c r="B1193" t="s">
        <v>22</v>
      </c>
      <c r="C1193">
        <v>630</v>
      </c>
      <c r="D1193">
        <v>5</v>
      </c>
      <c r="E1193" t="s">
        <v>28</v>
      </c>
      <c r="F1193" t="s">
        <v>29</v>
      </c>
      <c r="G1193" t="str">
        <f>"2025-11-28 21:25:44.790"</f>
        <v>2025-11-28 21:25:44.790</v>
      </c>
      <c r="H1193" t="s">
        <v>30</v>
      </c>
    </row>
    <row r="1194" spans="1:10" x14ac:dyDescent="0.25">
      <c r="A1194" s="1">
        <v>237</v>
      </c>
      <c r="B1194" t="s">
        <v>19</v>
      </c>
      <c r="C1194">
        <v>706</v>
      </c>
      <c r="D1194">
        <v>4</v>
      </c>
      <c r="E1194" t="s">
        <v>31</v>
      </c>
      <c r="F1194" t="s">
        <v>32</v>
      </c>
      <c r="G1194" t="str">
        <f>"2025-11-28 21:25:14.766"</f>
        <v>2025-11-28 21:25:14.766</v>
      </c>
      <c r="H1194" t="s">
        <v>21</v>
      </c>
      <c r="I1194">
        <v>0</v>
      </c>
      <c r="J1194" t="s">
        <v>33</v>
      </c>
    </row>
    <row r="1195" spans="1:10" x14ac:dyDescent="0.25">
      <c r="A1195" s="1">
        <v>238</v>
      </c>
      <c r="B1195" t="s">
        <v>34</v>
      </c>
      <c r="C1195">
        <v>630</v>
      </c>
      <c r="D1195">
        <v>5</v>
      </c>
      <c r="E1195" t="s">
        <v>28</v>
      </c>
      <c r="F1195" t="s">
        <v>29</v>
      </c>
      <c r="G1195" t="str">
        <f>"2025-11-28 21:16:37.390"</f>
        <v>2025-11-28 21:16:37.390</v>
      </c>
      <c r="H1195" t="s">
        <v>30</v>
      </c>
      <c r="I1195">
        <v>0</v>
      </c>
      <c r="J1195" t="s">
        <v>33</v>
      </c>
    </row>
    <row r="1196" spans="1:10" x14ac:dyDescent="0.25">
      <c r="A1196" s="1">
        <v>239</v>
      </c>
      <c r="B1196" t="s">
        <v>22</v>
      </c>
      <c r="C1196">
        <v>630</v>
      </c>
      <c r="D1196">
        <v>5</v>
      </c>
      <c r="E1196" t="s">
        <v>28</v>
      </c>
      <c r="F1196" t="s">
        <v>29</v>
      </c>
      <c r="G1196" t="str">
        <f>"2025-11-26 20:17:57.890"</f>
        <v>2025-11-26 20:17:57.890</v>
      </c>
      <c r="H1196" t="s">
        <v>30</v>
      </c>
    </row>
    <row r="1197" spans="1:10" x14ac:dyDescent="0.25">
      <c r="A1197" s="1">
        <v>240</v>
      </c>
      <c r="B1197" t="s">
        <v>19</v>
      </c>
      <c r="C1197">
        <v>706</v>
      </c>
      <c r="D1197">
        <v>4</v>
      </c>
      <c r="E1197" t="s">
        <v>31</v>
      </c>
      <c r="F1197" t="s">
        <v>32</v>
      </c>
      <c r="G1197" t="str">
        <f>"2025-11-26 20:17:27.926"</f>
        <v>2025-11-26 20:17:27.926</v>
      </c>
      <c r="H1197" t="s">
        <v>21</v>
      </c>
      <c r="I1197">
        <v>0</v>
      </c>
      <c r="J1197" t="s">
        <v>33</v>
      </c>
    </row>
    <row r="1198" spans="1:10" x14ac:dyDescent="0.25">
      <c r="A1198" s="1">
        <v>241</v>
      </c>
      <c r="B1198" t="s">
        <v>34</v>
      </c>
      <c r="C1198">
        <v>630</v>
      </c>
      <c r="D1198">
        <v>5</v>
      </c>
      <c r="E1198" t="s">
        <v>28</v>
      </c>
      <c r="F1198" t="s">
        <v>29</v>
      </c>
      <c r="G1198" t="str">
        <f>"2025-11-26 20:13:10.190"</f>
        <v>2025-11-26 20:13:10.190</v>
      </c>
      <c r="H1198" t="s">
        <v>30</v>
      </c>
      <c r="I1198">
        <v>0</v>
      </c>
      <c r="J1198" t="s">
        <v>33</v>
      </c>
    </row>
    <row r="1199" spans="1:10" x14ac:dyDescent="0.25">
      <c r="A1199" s="1">
        <v>242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"2025-11-26 18:52:41.776"</f>
        <v>2025-11-26 18:52:41.776</v>
      </c>
      <c r="H1199" t="s">
        <v>21</v>
      </c>
    </row>
    <row r="1200" spans="1:10" s="3" customFormat="1" x14ac:dyDescent="0.25">
      <c r="A1200" s="2">
        <v>243</v>
      </c>
      <c r="B1200" s="3" t="s">
        <v>22</v>
      </c>
      <c r="C1200" s="3">
        <v>647</v>
      </c>
      <c r="D1200" s="3">
        <v>1</v>
      </c>
      <c r="E1200" s="3" t="s">
        <v>39</v>
      </c>
      <c r="F1200" s="3" t="s">
        <v>40</v>
      </c>
      <c r="G1200" s="3" t="str">
        <f>"2025-11-26 17:49:14.393"</f>
        <v>2025-11-26 17:49:14.393</v>
      </c>
      <c r="H1200" s="3" t="s">
        <v>21</v>
      </c>
    </row>
    <row r="1201" spans="1:10" s="3" customFormat="1" x14ac:dyDescent="0.25">
      <c r="A1201" s="2">
        <v>244</v>
      </c>
      <c r="B1201" s="3" t="s">
        <v>25</v>
      </c>
      <c r="C1201" s="3">
        <v>647</v>
      </c>
      <c r="D1201" s="3">
        <v>1</v>
      </c>
      <c r="E1201" s="3" t="s">
        <v>39</v>
      </c>
      <c r="F1201" s="3" t="s">
        <v>40</v>
      </c>
      <c r="G1201" s="3" t="str">
        <f>"2025-11-26 17:49:10.493"</f>
        <v>2025-11-26 17:49:10.493</v>
      </c>
      <c r="H1201" s="3" t="s">
        <v>21</v>
      </c>
      <c r="I1201" s="3">
        <v>9.27</v>
      </c>
      <c r="J1201" s="3" t="s">
        <v>37</v>
      </c>
    </row>
    <row r="1202" spans="1:10" x14ac:dyDescent="0.25">
      <c r="A1202" s="1">
        <v>246</v>
      </c>
      <c r="B1202" t="s">
        <v>22</v>
      </c>
      <c r="C1202">
        <v>630</v>
      </c>
      <c r="D1202">
        <v>5</v>
      </c>
      <c r="E1202" t="s">
        <v>28</v>
      </c>
      <c r="F1202" t="s">
        <v>29</v>
      </c>
      <c r="G1202" t="str">
        <f>"2025-11-24 21:46:38.093"</f>
        <v>2025-11-24 21:46:38.093</v>
      </c>
      <c r="H1202" t="s">
        <v>30</v>
      </c>
    </row>
    <row r="1203" spans="1:10" x14ac:dyDescent="0.25">
      <c r="A1203" s="1">
        <v>247</v>
      </c>
      <c r="B1203" t="s">
        <v>19</v>
      </c>
      <c r="C1203">
        <v>706</v>
      </c>
      <c r="D1203">
        <v>4</v>
      </c>
      <c r="E1203" t="s">
        <v>31</v>
      </c>
      <c r="F1203" t="s">
        <v>32</v>
      </c>
      <c r="G1203" t="str">
        <f>"2025-11-24 21:46:08.108"</f>
        <v>2025-11-24 21:46:08.108</v>
      </c>
      <c r="H1203" t="s">
        <v>21</v>
      </c>
      <c r="I1203">
        <v>0</v>
      </c>
      <c r="J1203" t="s">
        <v>33</v>
      </c>
    </row>
    <row r="1204" spans="1:10" x14ac:dyDescent="0.25">
      <c r="A1204" s="1">
        <v>248</v>
      </c>
      <c r="B1204" t="s">
        <v>34</v>
      </c>
      <c r="C1204">
        <v>630</v>
      </c>
      <c r="D1204">
        <v>5</v>
      </c>
      <c r="E1204" t="s">
        <v>28</v>
      </c>
      <c r="F1204" t="s">
        <v>29</v>
      </c>
      <c r="G1204" t="str">
        <f>"2025-11-24 21:37:28.693"</f>
        <v>2025-11-24 21:37:28.693</v>
      </c>
      <c r="H1204" t="s">
        <v>30</v>
      </c>
      <c r="I1204">
        <v>0</v>
      </c>
      <c r="J1204" t="s">
        <v>33</v>
      </c>
    </row>
    <row r="1205" spans="1:10" x14ac:dyDescent="0.25">
      <c r="A1205" s="1">
        <v>249</v>
      </c>
      <c r="B1205" t="s">
        <v>22</v>
      </c>
      <c r="C1205">
        <v>635</v>
      </c>
      <c r="D1205">
        <v>1</v>
      </c>
      <c r="E1205" t="s">
        <v>23</v>
      </c>
      <c r="F1205" t="s">
        <v>24</v>
      </c>
      <c r="G1205" t="str">
        <f>"2025-11-24 12:48:24.892"</f>
        <v>2025-11-24 12:48:24.892</v>
      </c>
      <c r="H1205" t="s">
        <v>21</v>
      </c>
    </row>
    <row r="1206" spans="1:10" x14ac:dyDescent="0.25">
      <c r="A1206" s="1">
        <v>250</v>
      </c>
      <c r="B1206" t="s">
        <v>25</v>
      </c>
      <c r="C1206">
        <v>635</v>
      </c>
      <c r="D1206">
        <v>1</v>
      </c>
      <c r="E1206" t="s">
        <v>23</v>
      </c>
      <c r="F1206" t="s">
        <v>24</v>
      </c>
      <c r="G1206" t="str">
        <f>"2025-11-24 12:44:32.392"</f>
        <v>2025-11-24 12:44:32.392</v>
      </c>
      <c r="H1206" t="s">
        <v>21</v>
      </c>
      <c r="I1206">
        <v>8.09</v>
      </c>
      <c r="J1206" t="s">
        <v>36</v>
      </c>
    </row>
    <row r="1207" spans="1:10" x14ac:dyDescent="0.25">
      <c r="A1207" s="1">
        <v>251</v>
      </c>
      <c r="B1207" t="s">
        <v>22</v>
      </c>
      <c r="C1207">
        <v>635</v>
      </c>
      <c r="D1207">
        <v>1</v>
      </c>
      <c r="E1207" t="s">
        <v>23</v>
      </c>
      <c r="F1207" t="s">
        <v>24</v>
      </c>
      <c r="G1207" t="str">
        <f>"2025-11-24 04:20:30.092"</f>
        <v>2025-11-24 04:20:30.092</v>
      </c>
      <c r="H1207" t="s">
        <v>21</v>
      </c>
    </row>
    <row r="1208" spans="1:10" x14ac:dyDescent="0.25">
      <c r="A1208" s="1">
        <v>252</v>
      </c>
      <c r="B1208" t="s">
        <v>25</v>
      </c>
      <c r="C1208">
        <v>635</v>
      </c>
      <c r="D1208">
        <v>1</v>
      </c>
      <c r="E1208" t="s">
        <v>23</v>
      </c>
      <c r="F1208" t="s">
        <v>24</v>
      </c>
      <c r="G1208" t="str">
        <f>"2025-11-24 04:14:01.592"</f>
        <v>2025-11-24 04:14:01.592</v>
      </c>
      <c r="H1208" t="s">
        <v>21</v>
      </c>
      <c r="I1208">
        <v>2.23</v>
      </c>
      <c r="J1208" t="s">
        <v>36</v>
      </c>
    </row>
    <row r="1209" spans="1:10" x14ac:dyDescent="0.25">
      <c r="A1209" s="1">
        <v>253</v>
      </c>
      <c r="B1209" t="s">
        <v>22</v>
      </c>
      <c r="C1209">
        <v>635</v>
      </c>
      <c r="D1209">
        <v>1</v>
      </c>
      <c r="E1209" t="s">
        <v>23</v>
      </c>
      <c r="F1209" t="s">
        <v>24</v>
      </c>
      <c r="G1209" t="str">
        <f>"2025-11-21 23:21:57.192"</f>
        <v>2025-11-21 23:21:57.192</v>
      </c>
      <c r="H1209" t="s">
        <v>21</v>
      </c>
    </row>
    <row r="1210" spans="1:10" x14ac:dyDescent="0.25">
      <c r="A1210" s="1">
        <v>254</v>
      </c>
      <c r="B1210" t="s">
        <v>25</v>
      </c>
      <c r="C1210">
        <v>635</v>
      </c>
      <c r="D1210">
        <v>1</v>
      </c>
      <c r="E1210" t="s">
        <v>23</v>
      </c>
      <c r="F1210" t="s">
        <v>24</v>
      </c>
      <c r="G1210" t="str">
        <f>"2025-11-21 23:16:45.792"</f>
        <v>2025-11-21 23:16:45.792</v>
      </c>
      <c r="H1210" t="s">
        <v>21</v>
      </c>
      <c r="I1210">
        <v>0.22</v>
      </c>
      <c r="J1210" t="s">
        <v>36</v>
      </c>
    </row>
    <row r="1211" spans="1:10" x14ac:dyDescent="0.25">
      <c r="A1211" s="1">
        <v>255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"2025-11-20 10:55:33.778"</f>
        <v>2025-11-20 10:55:33.778</v>
      </c>
      <c r="H1211" t="s">
        <v>21</v>
      </c>
    </row>
    <row r="1212" spans="1:10" x14ac:dyDescent="0.25">
      <c r="A1212" s="1">
        <v>256</v>
      </c>
      <c r="B1212" t="s">
        <v>22</v>
      </c>
      <c r="C1212">
        <v>630</v>
      </c>
      <c r="D1212">
        <v>5</v>
      </c>
      <c r="E1212" t="s">
        <v>28</v>
      </c>
      <c r="F1212" t="s">
        <v>29</v>
      </c>
      <c r="G1212" t="str">
        <f>"2025-11-19 22:20:29.622"</f>
        <v>2025-11-19 22:20:29.622</v>
      </c>
      <c r="H1212" t="s">
        <v>30</v>
      </c>
    </row>
    <row r="1213" spans="1:10" x14ac:dyDescent="0.25">
      <c r="A1213" s="1">
        <v>257</v>
      </c>
      <c r="B1213" t="s">
        <v>19</v>
      </c>
      <c r="C1213">
        <v>706</v>
      </c>
      <c r="D1213">
        <v>4</v>
      </c>
      <c r="E1213" t="s">
        <v>31</v>
      </c>
      <c r="F1213" t="s">
        <v>32</v>
      </c>
      <c r="G1213" t="str">
        <f>"2025-11-19 22:19:59.481"</f>
        <v>2025-11-19 22:19:59.481</v>
      </c>
      <c r="H1213" t="s">
        <v>21</v>
      </c>
      <c r="I1213">
        <v>0</v>
      </c>
      <c r="J1213" t="s">
        <v>33</v>
      </c>
    </row>
    <row r="1214" spans="1:10" x14ac:dyDescent="0.25">
      <c r="A1214" s="1">
        <v>258</v>
      </c>
      <c r="B1214" t="s">
        <v>34</v>
      </c>
      <c r="C1214">
        <v>630</v>
      </c>
      <c r="D1214">
        <v>5</v>
      </c>
      <c r="E1214" t="s">
        <v>28</v>
      </c>
      <c r="F1214" t="s">
        <v>29</v>
      </c>
      <c r="G1214" t="str">
        <f>"2025-11-19 22:11:21.622"</f>
        <v>2025-11-19 22:11:21.622</v>
      </c>
      <c r="H1214" t="s">
        <v>30</v>
      </c>
      <c r="I1214">
        <v>0</v>
      </c>
      <c r="J1214" t="s">
        <v>33</v>
      </c>
    </row>
    <row r="1215" spans="1:10" x14ac:dyDescent="0.25">
      <c r="A1215" s="1">
        <v>259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"2025-11-19 19:18:42.781"</f>
        <v>2025-11-19 19:18:42.781</v>
      </c>
      <c r="H1215" t="s">
        <v>21</v>
      </c>
    </row>
    <row r="1216" spans="1:10" x14ac:dyDescent="0.25">
      <c r="A1216" s="1">
        <v>260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"2025-11-17 12:49:24.763"</f>
        <v>2025-11-17 12:49:24.763</v>
      </c>
      <c r="H1216" t="s">
        <v>21</v>
      </c>
    </row>
    <row r="1217" spans="1:10" x14ac:dyDescent="0.25">
      <c r="A1217" s="1">
        <v>261</v>
      </c>
      <c r="B1217" t="s">
        <v>22</v>
      </c>
      <c r="C1217">
        <v>635</v>
      </c>
      <c r="D1217">
        <v>1</v>
      </c>
      <c r="E1217" t="s">
        <v>23</v>
      </c>
      <c r="F1217" t="s">
        <v>24</v>
      </c>
      <c r="G1217" t="str">
        <f>"2025-11-15 10:51:41.427"</f>
        <v>2025-11-15 10:51:41.427</v>
      </c>
      <c r="H1217" t="s">
        <v>21</v>
      </c>
    </row>
    <row r="1218" spans="1:10" x14ac:dyDescent="0.25">
      <c r="A1218" s="1">
        <v>262</v>
      </c>
      <c r="B1218" t="s">
        <v>25</v>
      </c>
      <c r="C1218">
        <v>635</v>
      </c>
      <c r="D1218">
        <v>1</v>
      </c>
      <c r="E1218" t="s">
        <v>23</v>
      </c>
      <c r="F1218" t="s">
        <v>24</v>
      </c>
      <c r="G1218" t="str">
        <f>"2025-11-15 10:47:56.427"</f>
        <v>2025-11-15 10:47:56.427</v>
      </c>
      <c r="H1218" t="s">
        <v>21</v>
      </c>
      <c r="I1218">
        <v>3.58</v>
      </c>
      <c r="J1218" t="s">
        <v>36</v>
      </c>
    </row>
    <row r="1219" spans="1:10" x14ac:dyDescent="0.25">
      <c r="A1219" s="1">
        <v>263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"2025-11-13 13:38:35.774"</f>
        <v>2025-11-13 13:38:35.774</v>
      </c>
      <c r="H1219" t="s">
        <v>21</v>
      </c>
    </row>
    <row r="1220" spans="1:10" x14ac:dyDescent="0.25">
      <c r="A1220" s="1">
        <v>264</v>
      </c>
      <c r="B1220" t="s">
        <v>22</v>
      </c>
      <c r="C1220">
        <v>635</v>
      </c>
      <c r="D1220">
        <v>1</v>
      </c>
      <c r="E1220" t="s">
        <v>23</v>
      </c>
      <c r="F1220" t="s">
        <v>24</v>
      </c>
      <c r="G1220" t="str">
        <f>"2025-11-11 06:32:16.157"</f>
        <v>2025-11-11 06:32:16.157</v>
      </c>
      <c r="H1220" t="s">
        <v>21</v>
      </c>
    </row>
    <row r="1221" spans="1:10" x14ac:dyDescent="0.25">
      <c r="A1221" s="1">
        <v>265</v>
      </c>
      <c r="B1221" t="s">
        <v>25</v>
      </c>
      <c r="C1221">
        <v>635</v>
      </c>
      <c r="D1221">
        <v>1</v>
      </c>
      <c r="E1221" t="s">
        <v>23</v>
      </c>
      <c r="F1221" t="s">
        <v>24</v>
      </c>
      <c r="G1221" t="str">
        <f>"2025-11-11 06:24:23.157"</f>
        <v>2025-11-11 06:24:23.157</v>
      </c>
      <c r="H1221" t="s">
        <v>21</v>
      </c>
      <c r="I1221">
        <v>0.31</v>
      </c>
      <c r="J1221" t="s">
        <v>26</v>
      </c>
    </row>
    <row r="1222" spans="1:10" x14ac:dyDescent="0.25">
      <c r="A1222" s="1">
        <v>266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"2025-11-10 10:19:56.806"</f>
        <v>2025-11-10 10:19:56.806</v>
      </c>
      <c r="H1222" t="s">
        <v>21</v>
      </c>
    </row>
    <row r="1223" spans="1:10" x14ac:dyDescent="0.25">
      <c r="A1223" s="1">
        <v>267</v>
      </c>
      <c r="B1223" t="s">
        <v>19</v>
      </c>
      <c r="C1223">
        <v>706</v>
      </c>
      <c r="D1223">
        <v>4</v>
      </c>
      <c r="E1223" t="s">
        <v>31</v>
      </c>
      <c r="F1223" t="s">
        <v>32</v>
      </c>
      <c r="G1223" t="str">
        <f>"2025-11-10 02:19:08.636"</f>
        <v>2025-11-10 02:19:08.636</v>
      </c>
      <c r="H1223" t="s">
        <v>21</v>
      </c>
      <c r="I1223">
        <v>0</v>
      </c>
      <c r="J1223" t="s">
        <v>33</v>
      </c>
    </row>
    <row r="1224" spans="1:10" x14ac:dyDescent="0.25">
      <c r="A1224" s="1">
        <v>268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"2025-11-10 02:12:24.786"</f>
        <v>2025-11-10 02:12:24.786</v>
      </c>
      <c r="H1224" t="s">
        <v>21</v>
      </c>
      <c r="I1224">
        <v>0</v>
      </c>
      <c r="J1224" t="s">
        <v>27</v>
      </c>
    </row>
    <row r="1225" spans="1:10" x14ac:dyDescent="0.25">
      <c r="A1225" s="1">
        <v>269</v>
      </c>
      <c r="B1225" t="s">
        <v>22</v>
      </c>
      <c r="C1225">
        <v>630</v>
      </c>
      <c r="D1225">
        <v>5</v>
      </c>
      <c r="E1225" t="s">
        <v>28</v>
      </c>
      <c r="F1225" t="s">
        <v>29</v>
      </c>
      <c r="G1225" t="str">
        <f>"2025-11-09 22:36:54.670"</f>
        <v>2025-11-09 22:36:54.670</v>
      </c>
      <c r="H1225" t="s">
        <v>30</v>
      </c>
    </row>
    <row r="1226" spans="1:10" x14ac:dyDescent="0.25">
      <c r="A1226" s="1">
        <v>270</v>
      </c>
      <c r="B1226" t="s">
        <v>34</v>
      </c>
      <c r="C1226">
        <v>630</v>
      </c>
      <c r="D1226">
        <v>5</v>
      </c>
      <c r="E1226" t="s">
        <v>28</v>
      </c>
      <c r="F1226" t="s">
        <v>29</v>
      </c>
      <c r="G1226" t="str">
        <f>"2025-11-09 22:33:17.670"</f>
        <v>2025-11-09 22:33:17.670</v>
      </c>
      <c r="H1226" t="s">
        <v>30</v>
      </c>
      <c r="I1226">
        <v>0</v>
      </c>
      <c r="J1226" t="s">
        <v>33</v>
      </c>
    </row>
    <row r="1227" spans="1:10" x14ac:dyDescent="0.25">
      <c r="A1227" s="1">
        <v>271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"2025-11-09 22:28:15.011"</f>
        <v>2025-11-09 22:28:15.011</v>
      </c>
      <c r="H1227" t="s">
        <v>21</v>
      </c>
    </row>
    <row r="1228" spans="1:10" x14ac:dyDescent="0.25">
      <c r="A1228" s="1">
        <v>272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"2025-11-09 07:59:35.777"</f>
        <v>2025-11-09 07:59:35.777</v>
      </c>
      <c r="H1228" t="s">
        <v>21</v>
      </c>
      <c r="I1228">
        <v>0</v>
      </c>
      <c r="J1228" t="s">
        <v>27</v>
      </c>
    </row>
    <row r="1229" spans="1:10" x14ac:dyDescent="0.25">
      <c r="A1229" s="1">
        <v>273</v>
      </c>
      <c r="B1229" t="s">
        <v>22</v>
      </c>
      <c r="C1229">
        <v>635</v>
      </c>
      <c r="D1229">
        <v>1</v>
      </c>
      <c r="E1229" t="s">
        <v>23</v>
      </c>
      <c r="F1229" t="s">
        <v>24</v>
      </c>
      <c r="G1229" t="str">
        <f>"2025-11-07 17:19:02.392"</f>
        <v>2025-11-07 17:19:02.392</v>
      </c>
      <c r="H1229" t="s">
        <v>21</v>
      </c>
    </row>
    <row r="1230" spans="1:10" x14ac:dyDescent="0.25">
      <c r="A1230" s="1">
        <v>274</v>
      </c>
      <c r="B1230" t="s">
        <v>25</v>
      </c>
      <c r="C1230">
        <v>635</v>
      </c>
      <c r="D1230">
        <v>1</v>
      </c>
      <c r="E1230" t="s">
        <v>23</v>
      </c>
      <c r="F1230" t="s">
        <v>24</v>
      </c>
      <c r="G1230" t="str">
        <f>"2025-11-07 17:14:34.392"</f>
        <v>2025-11-07 17:14:34.392</v>
      </c>
      <c r="H1230" t="s">
        <v>21</v>
      </c>
      <c r="I1230">
        <v>6.69</v>
      </c>
      <c r="J1230" t="s">
        <v>37</v>
      </c>
    </row>
    <row r="1231" spans="1:10" x14ac:dyDescent="0.25">
      <c r="A1231" s="1">
        <v>276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"2025-11-05 14:06:28.774"</f>
        <v>2025-11-05 14:06:28.774</v>
      </c>
      <c r="H1231" t="s">
        <v>21</v>
      </c>
    </row>
    <row r="1232" spans="1:10" x14ac:dyDescent="0.25">
      <c r="A1232" s="1">
        <v>277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"2025-11-02 12:59:36.788"</f>
        <v>2025-11-02 12:59:36.788</v>
      </c>
      <c r="H1232" t="s">
        <v>21</v>
      </c>
      <c r="I1232">
        <v>0</v>
      </c>
      <c r="J1232" t="s">
        <v>27</v>
      </c>
    </row>
    <row r="1233" spans="1:10" x14ac:dyDescent="0.25">
      <c r="A1233" s="1">
        <v>278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"2025-10-30 12:21:48.811"</f>
        <v>2025-10-30 12:21:48.811</v>
      </c>
      <c r="H1233" t="s">
        <v>21</v>
      </c>
      <c r="I1233">
        <v>0</v>
      </c>
      <c r="J1233" t="s">
        <v>27</v>
      </c>
    </row>
    <row r="1234" spans="1:10" s="3" customFormat="1" x14ac:dyDescent="0.25">
      <c r="A1234" s="2">
        <v>279</v>
      </c>
      <c r="B1234" s="3" t="s">
        <v>22</v>
      </c>
      <c r="C1234" s="3">
        <v>647</v>
      </c>
      <c r="D1234" s="3">
        <v>1</v>
      </c>
      <c r="E1234" s="3" t="s">
        <v>39</v>
      </c>
      <c r="F1234" s="3" t="s">
        <v>40</v>
      </c>
      <c r="G1234" s="3" t="str">
        <f>"2025-10-30 06:51:29.102"</f>
        <v>2025-10-30 06:51:29.102</v>
      </c>
      <c r="H1234" s="3" t="s">
        <v>21</v>
      </c>
    </row>
    <row r="1235" spans="1:10" s="3" customFormat="1" x14ac:dyDescent="0.25">
      <c r="A1235" s="2">
        <v>280</v>
      </c>
      <c r="B1235" s="3" t="s">
        <v>25</v>
      </c>
      <c r="C1235" s="3">
        <v>647</v>
      </c>
      <c r="D1235" s="3">
        <v>1</v>
      </c>
      <c r="E1235" s="3" t="s">
        <v>39</v>
      </c>
      <c r="F1235" s="3" t="s">
        <v>40</v>
      </c>
      <c r="G1235" s="3" t="str">
        <f>"2025-10-30 06:51:26.602"</f>
        <v>2025-10-30 06:51:26.602</v>
      </c>
      <c r="H1235" s="3" t="s">
        <v>21</v>
      </c>
      <c r="I1235" s="3">
        <v>10.79</v>
      </c>
      <c r="J1235" s="3" t="s">
        <v>37</v>
      </c>
    </row>
    <row r="1236" spans="1:10" x14ac:dyDescent="0.25">
      <c r="A1236" s="1">
        <v>281</v>
      </c>
      <c r="B1236" t="s">
        <v>22</v>
      </c>
      <c r="C1236">
        <v>635</v>
      </c>
      <c r="D1236">
        <v>1</v>
      </c>
      <c r="E1236" t="s">
        <v>23</v>
      </c>
      <c r="F1236" t="s">
        <v>24</v>
      </c>
      <c r="G1236" t="str">
        <f>"2025-10-30 02:52:13.648"</f>
        <v>2025-10-30 02:52:13.648</v>
      </c>
      <c r="H1236" t="s">
        <v>21</v>
      </c>
    </row>
    <row r="1237" spans="1:10" x14ac:dyDescent="0.25">
      <c r="A1237" s="1">
        <v>282</v>
      </c>
      <c r="B1237" t="s">
        <v>25</v>
      </c>
      <c r="C1237">
        <v>635</v>
      </c>
      <c r="D1237">
        <v>1</v>
      </c>
      <c r="E1237" t="s">
        <v>23</v>
      </c>
      <c r="F1237" t="s">
        <v>24</v>
      </c>
      <c r="G1237" t="str">
        <f>"2025-10-30 02:40:02.648"</f>
        <v>2025-10-30 02:40:02.648</v>
      </c>
      <c r="H1237" t="s">
        <v>21</v>
      </c>
      <c r="I1237">
        <v>0</v>
      </c>
      <c r="J1237" t="s">
        <v>26</v>
      </c>
    </row>
    <row r="1238" spans="1:10" s="3" customFormat="1" x14ac:dyDescent="0.25">
      <c r="A1238" s="2">
        <v>283</v>
      </c>
      <c r="B1238" s="3" t="s">
        <v>22</v>
      </c>
      <c r="C1238" s="3">
        <v>647</v>
      </c>
      <c r="D1238" s="3">
        <v>1</v>
      </c>
      <c r="E1238" s="3" t="s">
        <v>39</v>
      </c>
      <c r="F1238" s="3" t="s">
        <v>40</v>
      </c>
      <c r="G1238" s="3" t="str">
        <f>"2025-10-30 01:43:38.002"</f>
        <v>2025-10-30 01:43:38.002</v>
      </c>
      <c r="H1238" s="3" t="s">
        <v>21</v>
      </c>
    </row>
    <row r="1239" spans="1:10" s="3" customFormat="1" x14ac:dyDescent="0.25">
      <c r="A1239" s="2">
        <v>284</v>
      </c>
      <c r="B1239" s="3" t="s">
        <v>25</v>
      </c>
      <c r="C1239" s="3">
        <v>647</v>
      </c>
      <c r="D1239" s="3">
        <v>1</v>
      </c>
      <c r="E1239" s="3" t="s">
        <v>39</v>
      </c>
      <c r="F1239" s="3" t="s">
        <v>40</v>
      </c>
      <c r="G1239" s="3" t="str">
        <f>"2025-10-30 01:43:36.602"</f>
        <v>2025-10-30 01:43:36.602</v>
      </c>
      <c r="H1239" s="3" t="s">
        <v>21</v>
      </c>
      <c r="I1239" s="3">
        <v>8.5</v>
      </c>
      <c r="J1239" s="3" t="s">
        <v>26</v>
      </c>
    </row>
    <row r="1240" spans="1:10" x14ac:dyDescent="0.25">
      <c r="A1240" s="1">
        <v>285</v>
      </c>
      <c r="B1240" t="s">
        <v>19</v>
      </c>
      <c r="C1240">
        <v>706</v>
      </c>
      <c r="D1240">
        <v>4</v>
      </c>
      <c r="E1240" t="s">
        <v>31</v>
      </c>
      <c r="F1240" t="s">
        <v>32</v>
      </c>
      <c r="G1240" t="str">
        <f>"2025-10-29 23:58:20.867"</f>
        <v>2025-10-29 23:58:20.867</v>
      </c>
      <c r="H1240" t="s">
        <v>21</v>
      </c>
      <c r="I1240">
        <v>0</v>
      </c>
      <c r="J1240" t="s">
        <v>33</v>
      </c>
    </row>
    <row r="1241" spans="1:10" x14ac:dyDescent="0.25">
      <c r="A1241" s="1">
        <v>286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"2025-10-29 23:58:05.777"</f>
        <v>2025-10-29 23:58:05.777</v>
      </c>
      <c r="H1241" t="s">
        <v>21</v>
      </c>
      <c r="I1241">
        <v>0</v>
      </c>
      <c r="J1241" t="s">
        <v>27</v>
      </c>
    </row>
    <row r="1242" spans="1:10" x14ac:dyDescent="0.25">
      <c r="A1242" s="1">
        <v>287</v>
      </c>
      <c r="B1242" t="s">
        <v>34</v>
      </c>
      <c r="C1242">
        <v>630</v>
      </c>
      <c r="D1242">
        <v>5</v>
      </c>
      <c r="E1242" t="s">
        <v>28</v>
      </c>
      <c r="F1242" t="s">
        <v>29</v>
      </c>
      <c r="G1242" t="str">
        <f>"2025-10-29 22:26:41.482"</f>
        <v>2025-10-29 22:26:41.482</v>
      </c>
      <c r="H1242" t="s">
        <v>30</v>
      </c>
      <c r="I1242">
        <v>0</v>
      </c>
      <c r="J1242" t="s">
        <v>33</v>
      </c>
    </row>
    <row r="1243" spans="1:10" x14ac:dyDescent="0.25">
      <c r="A1243" s="1">
        <v>288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"2025-10-29 22:21:38.775"</f>
        <v>2025-10-29 22:21:38.775</v>
      </c>
      <c r="H1243" t="s">
        <v>21</v>
      </c>
    </row>
    <row r="1244" spans="1:10" x14ac:dyDescent="0.25">
      <c r="A1244" s="1">
        <v>289</v>
      </c>
      <c r="B1244" t="s">
        <v>34</v>
      </c>
      <c r="C1244">
        <v>630</v>
      </c>
      <c r="D1244">
        <v>5</v>
      </c>
      <c r="E1244" t="s">
        <v>28</v>
      </c>
      <c r="F1244" t="s">
        <v>29</v>
      </c>
      <c r="G1244" t="str">
        <f>"2025-10-29 21:32:44.584"</f>
        <v>2025-10-29 21:32:44.584</v>
      </c>
      <c r="H1244" t="s">
        <v>30</v>
      </c>
      <c r="I1244">
        <v>0</v>
      </c>
      <c r="J1244" t="s">
        <v>33</v>
      </c>
    </row>
    <row r="1245" spans="1:10" x14ac:dyDescent="0.25">
      <c r="A1245" s="1">
        <v>290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"2025-10-29 21:27:41.767"</f>
        <v>2025-10-29 21:27:41.767</v>
      </c>
      <c r="H1245" t="s">
        <v>21</v>
      </c>
    </row>
    <row r="1246" spans="1:10" x14ac:dyDescent="0.25">
      <c r="A1246" s="1">
        <v>291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"2025-10-29 21:18:04.768"</f>
        <v>2025-10-29 21:18:04.768</v>
      </c>
      <c r="H1246" t="s">
        <v>21</v>
      </c>
      <c r="I1246">
        <v>0</v>
      </c>
      <c r="J1246" t="s">
        <v>27</v>
      </c>
    </row>
    <row r="1247" spans="1:10" x14ac:dyDescent="0.25">
      <c r="A1247" s="1">
        <v>292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"2025-10-29 20:46:01.021"</f>
        <v>2025-10-29 20:46:01.021</v>
      </c>
      <c r="H1247" t="s">
        <v>21</v>
      </c>
      <c r="I1247">
        <v>0</v>
      </c>
      <c r="J1247" t="s">
        <v>27</v>
      </c>
    </row>
    <row r="1248" spans="1:10" s="3" customFormat="1" x14ac:dyDescent="0.25">
      <c r="A1248" s="2">
        <v>293</v>
      </c>
      <c r="B1248" s="3" t="s">
        <v>22</v>
      </c>
      <c r="C1248" s="3">
        <v>647</v>
      </c>
      <c r="D1248" s="3">
        <v>1</v>
      </c>
      <c r="E1248" s="3" t="s">
        <v>39</v>
      </c>
      <c r="F1248" s="3" t="s">
        <v>40</v>
      </c>
      <c r="G1248" s="3" t="str">
        <f>"2025-10-29 04:37:41.742"</f>
        <v>2025-10-29 04:37:41.742</v>
      </c>
      <c r="H1248" s="3" t="s">
        <v>21</v>
      </c>
    </row>
    <row r="1249" spans="1:10" s="3" customFormat="1" x14ac:dyDescent="0.25">
      <c r="A1249" s="2">
        <v>294</v>
      </c>
      <c r="B1249" s="3" t="s">
        <v>25</v>
      </c>
      <c r="C1249" s="3">
        <v>647</v>
      </c>
      <c r="D1249" s="3">
        <v>1</v>
      </c>
      <c r="E1249" s="3" t="s">
        <v>39</v>
      </c>
      <c r="F1249" s="3" t="s">
        <v>40</v>
      </c>
      <c r="G1249" s="3" t="str">
        <f>"2025-10-29 04:37:40.042"</f>
        <v>2025-10-29 04:37:40.042</v>
      </c>
      <c r="H1249" s="3" t="s">
        <v>21</v>
      </c>
      <c r="I1249" s="3">
        <v>14.81</v>
      </c>
      <c r="J1249" s="3" t="s">
        <v>37</v>
      </c>
    </row>
    <row r="1250" spans="1:10" s="3" customFormat="1" x14ac:dyDescent="0.25">
      <c r="A1250" s="2">
        <v>295</v>
      </c>
      <c r="B1250" s="3" t="s">
        <v>22</v>
      </c>
      <c r="C1250" s="3">
        <v>647</v>
      </c>
      <c r="D1250" s="3">
        <v>1</v>
      </c>
      <c r="E1250" s="3" t="s">
        <v>39</v>
      </c>
      <c r="F1250" s="3" t="s">
        <v>40</v>
      </c>
      <c r="G1250" s="3" t="str">
        <f>"2025-10-27 20:51:02.742"</f>
        <v>2025-10-27 20:51:02.742</v>
      </c>
      <c r="H1250" s="3" t="s">
        <v>21</v>
      </c>
    </row>
    <row r="1251" spans="1:10" s="3" customFormat="1" x14ac:dyDescent="0.25">
      <c r="A1251" s="2">
        <v>296</v>
      </c>
      <c r="B1251" s="3" t="s">
        <v>25</v>
      </c>
      <c r="C1251" s="3">
        <v>647</v>
      </c>
      <c r="D1251" s="3">
        <v>1</v>
      </c>
      <c r="E1251" s="3" t="s">
        <v>39</v>
      </c>
      <c r="F1251" s="3" t="s">
        <v>40</v>
      </c>
      <c r="G1251" s="3" t="str">
        <f>"2025-10-27 20:50:56.642"</f>
        <v>2025-10-27 20:50:56.642</v>
      </c>
      <c r="H1251" s="3" t="s">
        <v>21</v>
      </c>
      <c r="I1251" s="3">
        <v>20.38</v>
      </c>
      <c r="J1251" s="3" t="s">
        <v>37</v>
      </c>
    </row>
    <row r="1252" spans="1:10" s="3" customFormat="1" x14ac:dyDescent="0.25">
      <c r="A1252" s="2">
        <v>297</v>
      </c>
      <c r="B1252" s="3" t="s">
        <v>22</v>
      </c>
      <c r="C1252" s="3">
        <v>647</v>
      </c>
      <c r="D1252" s="3">
        <v>1</v>
      </c>
      <c r="E1252" s="3" t="s">
        <v>39</v>
      </c>
      <c r="F1252" s="3" t="s">
        <v>40</v>
      </c>
      <c r="G1252" s="3" t="str">
        <f>"2025-10-27 20:20:01.442"</f>
        <v>2025-10-27 20:20:01.442</v>
      </c>
      <c r="H1252" s="3" t="s">
        <v>21</v>
      </c>
    </row>
    <row r="1253" spans="1:10" s="3" customFormat="1" x14ac:dyDescent="0.25">
      <c r="A1253" s="2">
        <v>298</v>
      </c>
      <c r="B1253" s="3" t="s">
        <v>25</v>
      </c>
      <c r="C1253" s="3">
        <v>647</v>
      </c>
      <c r="D1253" s="3">
        <v>1</v>
      </c>
      <c r="E1253" s="3" t="s">
        <v>39</v>
      </c>
      <c r="F1253" s="3" t="s">
        <v>40</v>
      </c>
      <c r="G1253" s="3" t="str">
        <f>"2025-10-27 20:19:57.142"</f>
        <v>2025-10-27 20:19:57.142</v>
      </c>
      <c r="H1253" s="3" t="s">
        <v>21</v>
      </c>
      <c r="I1253" s="3">
        <v>13.12</v>
      </c>
      <c r="J1253" s="3" t="s">
        <v>37</v>
      </c>
    </row>
    <row r="1254" spans="1:10" x14ac:dyDescent="0.25">
      <c r="A1254" s="1">
        <v>299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"2025-10-27 13:30:12.825"</f>
        <v>2025-10-27 13:30:12.825</v>
      </c>
      <c r="H1254" t="s">
        <v>21</v>
      </c>
    </row>
    <row r="1255" spans="1:10" s="3" customFormat="1" x14ac:dyDescent="0.25">
      <c r="A1255" s="2">
        <v>300</v>
      </c>
      <c r="B1255" s="3" t="s">
        <v>22</v>
      </c>
      <c r="C1255" s="3">
        <v>647</v>
      </c>
      <c r="D1255" s="3">
        <v>1</v>
      </c>
      <c r="E1255" s="3" t="s">
        <v>39</v>
      </c>
      <c r="F1255" s="3" t="s">
        <v>40</v>
      </c>
      <c r="G1255" s="3" t="str">
        <f>"2025-10-27 01:37:14.108"</f>
        <v>2025-10-27 01:37:14.108</v>
      </c>
      <c r="H1255" s="3" t="s">
        <v>21</v>
      </c>
    </row>
    <row r="1256" spans="1:10" s="3" customFormat="1" x14ac:dyDescent="0.25">
      <c r="A1256" s="2">
        <v>301</v>
      </c>
      <c r="B1256" s="3" t="s">
        <v>25</v>
      </c>
      <c r="C1256" s="3">
        <v>647</v>
      </c>
      <c r="D1256" s="3">
        <v>1</v>
      </c>
      <c r="E1256" s="3" t="s">
        <v>39</v>
      </c>
      <c r="F1256" s="3" t="s">
        <v>40</v>
      </c>
      <c r="G1256" s="3" t="str">
        <f>"2025-10-27 01:37:11.008"</f>
        <v>2025-10-27 01:37:11.008</v>
      </c>
      <c r="H1256" s="3" t="s">
        <v>21</v>
      </c>
      <c r="I1256" s="3">
        <v>18.53</v>
      </c>
      <c r="J1256" s="3" t="s">
        <v>37</v>
      </c>
    </row>
    <row r="1257" spans="1:10" s="3" customFormat="1" x14ac:dyDescent="0.25">
      <c r="A1257" s="2">
        <v>302</v>
      </c>
      <c r="B1257" s="3" t="s">
        <v>22</v>
      </c>
      <c r="C1257" s="3">
        <v>647</v>
      </c>
      <c r="D1257" s="3">
        <v>1</v>
      </c>
      <c r="E1257" s="3" t="s">
        <v>39</v>
      </c>
      <c r="F1257" s="3" t="s">
        <v>40</v>
      </c>
      <c r="G1257" s="3" t="str">
        <f>"2025-10-26 01:27:58.608"</f>
        <v>2025-10-26 01:27:58.608</v>
      </c>
      <c r="H1257" s="3" t="s">
        <v>21</v>
      </c>
    </row>
    <row r="1258" spans="1:10" s="3" customFormat="1" x14ac:dyDescent="0.25">
      <c r="A1258" s="2">
        <v>303</v>
      </c>
      <c r="B1258" s="3" t="s">
        <v>25</v>
      </c>
      <c r="C1258" s="3">
        <v>647</v>
      </c>
      <c r="D1258" s="3">
        <v>1</v>
      </c>
      <c r="E1258" s="3" t="s">
        <v>39</v>
      </c>
      <c r="F1258" s="3" t="s">
        <v>40</v>
      </c>
      <c r="G1258" s="3" t="str">
        <f>"2025-10-26 01:27:53.208"</f>
        <v>2025-10-26 01:27:53.208</v>
      </c>
      <c r="H1258" s="3" t="s">
        <v>21</v>
      </c>
      <c r="I1258" s="3">
        <v>16.09</v>
      </c>
      <c r="J1258" s="3" t="s">
        <v>37</v>
      </c>
    </row>
    <row r="1259" spans="1:10" s="3" customFormat="1" x14ac:dyDescent="0.25">
      <c r="A1259" s="2">
        <v>304</v>
      </c>
      <c r="B1259" s="3" t="s">
        <v>22</v>
      </c>
      <c r="C1259" s="3">
        <v>647</v>
      </c>
      <c r="D1259" s="3">
        <v>1</v>
      </c>
      <c r="E1259" s="3" t="s">
        <v>39</v>
      </c>
      <c r="F1259" s="3" t="s">
        <v>40</v>
      </c>
      <c r="G1259" s="3" t="str">
        <f>"2025-10-25 19:53:06.608"</f>
        <v>2025-10-25 19:53:06.608</v>
      </c>
      <c r="H1259" s="3" t="s">
        <v>21</v>
      </c>
    </row>
    <row r="1260" spans="1:10" s="3" customFormat="1" x14ac:dyDescent="0.25">
      <c r="A1260" s="2">
        <v>305</v>
      </c>
      <c r="B1260" s="3" t="s">
        <v>25</v>
      </c>
      <c r="C1260" s="3">
        <v>647</v>
      </c>
      <c r="D1260" s="3">
        <v>1</v>
      </c>
      <c r="E1260" s="3" t="s">
        <v>39</v>
      </c>
      <c r="F1260" s="3" t="s">
        <v>40</v>
      </c>
      <c r="G1260" s="3" t="str">
        <f>"2025-10-25 19:52:59.108"</f>
        <v>2025-10-25 19:52:59.108</v>
      </c>
      <c r="H1260" s="3" t="s">
        <v>21</v>
      </c>
      <c r="I1260" s="3">
        <v>8.4499999999999993</v>
      </c>
      <c r="J1260" s="3" t="s">
        <v>37</v>
      </c>
    </row>
    <row r="1261" spans="1:10" s="3" customFormat="1" x14ac:dyDescent="0.25">
      <c r="A1261" s="2">
        <v>306</v>
      </c>
      <c r="B1261" s="3" t="s">
        <v>22</v>
      </c>
      <c r="C1261" s="3">
        <v>647</v>
      </c>
      <c r="D1261" s="3">
        <v>1</v>
      </c>
      <c r="E1261" s="3" t="s">
        <v>39</v>
      </c>
      <c r="F1261" s="3" t="s">
        <v>40</v>
      </c>
      <c r="G1261" s="3" t="str">
        <f>"2025-10-25 07:39:03.408"</f>
        <v>2025-10-25 07:39:03.408</v>
      </c>
      <c r="H1261" s="3" t="s">
        <v>21</v>
      </c>
    </row>
    <row r="1262" spans="1:10" s="3" customFormat="1" x14ac:dyDescent="0.25">
      <c r="A1262" s="2">
        <v>307</v>
      </c>
      <c r="B1262" s="3" t="s">
        <v>25</v>
      </c>
      <c r="C1262" s="3">
        <v>647</v>
      </c>
      <c r="D1262" s="3">
        <v>1</v>
      </c>
      <c r="E1262" s="3" t="s">
        <v>39</v>
      </c>
      <c r="F1262" s="3" t="s">
        <v>40</v>
      </c>
      <c r="G1262" s="3" t="str">
        <f>"2025-10-25 07:39:00.708"</f>
        <v>2025-10-25 07:39:00.708</v>
      </c>
      <c r="H1262" s="3" t="s">
        <v>21</v>
      </c>
      <c r="I1262" s="3">
        <v>18.850000000000001</v>
      </c>
      <c r="J1262" s="3" t="s">
        <v>37</v>
      </c>
    </row>
    <row r="1263" spans="1:10" s="3" customFormat="1" x14ac:dyDescent="0.25">
      <c r="A1263" s="2">
        <v>308</v>
      </c>
      <c r="B1263" s="3" t="s">
        <v>22</v>
      </c>
      <c r="C1263" s="3">
        <v>647</v>
      </c>
      <c r="D1263" s="3">
        <v>1</v>
      </c>
      <c r="E1263" s="3" t="s">
        <v>39</v>
      </c>
      <c r="F1263" s="3" t="s">
        <v>40</v>
      </c>
      <c r="G1263" s="3" t="str">
        <f>"2025-10-25 03:39:42.608"</f>
        <v>2025-10-25 03:39:42.608</v>
      </c>
      <c r="H1263" s="3" t="s">
        <v>21</v>
      </c>
    </row>
    <row r="1264" spans="1:10" s="3" customFormat="1" x14ac:dyDescent="0.25">
      <c r="A1264" s="2">
        <v>309</v>
      </c>
      <c r="B1264" s="3" t="s">
        <v>25</v>
      </c>
      <c r="C1264" s="3">
        <v>647</v>
      </c>
      <c r="D1264" s="3">
        <v>1</v>
      </c>
      <c r="E1264" s="3" t="s">
        <v>39</v>
      </c>
      <c r="F1264" s="3" t="s">
        <v>40</v>
      </c>
      <c r="G1264" s="3" t="str">
        <f>"2025-10-25 03:39:41.508"</f>
        <v>2025-10-25 03:39:41.508</v>
      </c>
      <c r="H1264" s="3" t="s">
        <v>21</v>
      </c>
      <c r="I1264" s="3">
        <v>10.029999999999999</v>
      </c>
      <c r="J1264" s="3" t="s">
        <v>37</v>
      </c>
    </row>
    <row r="1265" spans="1:10" s="3" customFormat="1" x14ac:dyDescent="0.25">
      <c r="A1265" s="2">
        <v>310</v>
      </c>
      <c r="B1265" s="3" t="s">
        <v>22</v>
      </c>
      <c r="C1265" s="3">
        <v>647</v>
      </c>
      <c r="D1265" s="3">
        <v>1</v>
      </c>
      <c r="E1265" s="3" t="s">
        <v>39</v>
      </c>
      <c r="F1265" s="3" t="s">
        <v>40</v>
      </c>
      <c r="G1265" s="3" t="str">
        <f>"2025-10-25 01:28:17.808"</f>
        <v>2025-10-25 01:28:17.808</v>
      </c>
      <c r="H1265" s="3" t="s">
        <v>21</v>
      </c>
    </row>
    <row r="1266" spans="1:10" s="3" customFormat="1" x14ac:dyDescent="0.25">
      <c r="A1266" s="2">
        <v>311</v>
      </c>
      <c r="B1266" s="3" t="s">
        <v>25</v>
      </c>
      <c r="C1266" s="3">
        <v>647</v>
      </c>
      <c r="D1266" s="3">
        <v>1</v>
      </c>
      <c r="E1266" s="3" t="s">
        <v>39</v>
      </c>
      <c r="F1266" s="3" t="s">
        <v>40</v>
      </c>
      <c r="G1266" s="3" t="str">
        <f>"2025-10-25 01:28:16.108"</f>
        <v>2025-10-25 01:28:16.108</v>
      </c>
      <c r="H1266" s="3" t="s">
        <v>21</v>
      </c>
      <c r="I1266" s="3">
        <v>9.59</v>
      </c>
      <c r="J1266" s="3" t="s">
        <v>37</v>
      </c>
    </row>
    <row r="1267" spans="1:10" s="3" customFormat="1" x14ac:dyDescent="0.25">
      <c r="A1267" s="2">
        <v>312</v>
      </c>
      <c r="B1267" s="3" t="s">
        <v>22</v>
      </c>
      <c r="C1267" s="3">
        <v>647</v>
      </c>
      <c r="D1267" s="3">
        <v>1</v>
      </c>
      <c r="E1267" s="3" t="s">
        <v>39</v>
      </c>
      <c r="F1267" s="3" t="s">
        <v>40</v>
      </c>
      <c r="G1267" s="3" t="str">
        <f>"2025-10-23 20:30:30.808"</f>
        <v>2025-10-23 20:30:30.808</v>
      </c>
      <c r="H1267" s="3" t="s">
        <v>21</v>
      </c>
    </row>
    <row r="1268" spans="1:10" s="3" customFormat="1" x14ac:dyDescent="0.25">
      <c r="A1268" s="2">
        <v>313</v>
      </c>
      <c r="B1268" s="3" t="s">
        <v>25</v>
      </c>
      <c r="C1268" s="3">
        <v>647</v>
      </c>
      <c r="D1268" s="3">
        <v>1</v>
      </c>
      <c r="E1268" s="3" t="s">
        <v>39</v>
      </c>
      <c r="F1268" s="3" t="s">
        <v>40</v>
      </c>
      <c r="G1268" s="3" t="str">
        <f>"2025-10-23 20:30:25.908"</f>
        <v>2025-10-23 20:30:25.908</v>
      </c>
      <c r="H1268" s="3" t="s">
        <v>21</v>
      </c>
      <c r="I1268" s="3">
        <v>10.76</v>
      </c>
      <c r="J1268" s="3" t="s">
        <v>37</v>
      </c>
    </row>
    <row r="1269" spans="1:10" s="3" customFormat="1" x14ac:dyDescent="0.25">
      <c r="A1269" s="2">
        <v>314</v>
      </c>
      <c r="B1269" s="3" t="s">
        <v>22</v>
      </c>
      <c r="C1269" s="3">
        <v>647</v>
      </c>
      <c r="D1269" s="3">
        <v>1</v>
      </c>
      <c r="E1269" s="3" t="s">
        <v>39</v>
      </c>
      <c r="F1269" s="3" t="s">
        <v>40</v>
      </c>
      <c r="G1269" s="3" t="str">
        <f>"2025-10-23 20:20:37.407"</f>
        <v>2025-10-23 20:20:37.407</v>
      </c>
      <c r="H1269" s="3" t="s">
        <v>21</v>
      </c>
    </row>
    <row r="1270" spans="1:10" s="3" customFormat="1" x14ac:dyDescent="0.25">
      <c r="A1270" s="2">
        <v>315</v>
      </c>
      <c r="B1270" s="3" t="s">
        <v>25</v>
      </c>
      <c r="C1270" s="3">
        <v>647</v>
      </c>
      <c r="D1270" s="3">
        <v>1</v>
      </c>
      <c r="E1270" s="3" t="s">
        <v>39</v>
      </c>
      <c r="F1270" s="3" t="s">
        <v>40</v>
      </c>
      <c r="G1270" s="3" t="str">
        <f>"2025-10-23 20:20:35.707"</f>
        <v>2025-10-23 20:20:35.707</v>
      </c>
      <c r="H1270" s="3" t="s">
        <v>21</v>
      </c>
      <c r="I1270" s="3">
        <v>11.32</v>
      </c>
      <c r="J1270" s="3" t="s">
        <v>37</v>
      </c>
    </row>
    <row r="1271" spans="1:10" s="3" customFormat="1" x14ac:dyDescent="0.25">
      <c r="A1271" s="2">
        <v>316</v>
      </c>
      <c r="B1271" s="3" t="s">
        <v>22</v>
      </c>
      <c r="C1271" s="3">
        <v>647</v>
      </c>
      <c r="D1271" s="3">
        <v>1</v>
      </c>
      <c r="E1271" s="3" t="s">
        <v>39</v>
      </c>
      <c r="F1271" s="3" t="s">
        <v>40</v>
      </c>
      <c r="G1271" s="3" t="str">
        <f>"2025-10-23 02:30:15.708"</f>
        <v>2025-10-23 02:30:15.708</v>
      </c>
      <c r="H1271" s="3" t="s">
        <v>21</v>
      </c>
    </row>
    <row r="1272" spans="1:10" s="3" customFormat="1" x14ac:dyDescent="0.25">
      <c r="A1272" s="2">
        <v>317</v>
      </c>
      <c r="B1272" s="3" t="s">
        <v>25</v>
      </c>
      <c r="C1272" s="3">
        <v>647</v>
      </c>
      <c r="D1272" s="3">
        <v>1</v>
      </c>
      <c r="E1272" s="3" t="s">
        <v>39</v>
      </c>
      <c r="F1272" s="3" t="s">
        <v>40</v>
      </c>
      <c r="G1272" s="3" t="str">
        <f>"2025-10-23 02:30:13.409"</f>
        <v>2025-10-23 02:30:13.409</v>
      </c>
      <c r="H1272" s="3" t="s">
        <v>21</v>
      </c>
      <c r="I1272" s="3">
        <v>8.67</v>
      </c>
      <c r="J1272" s="3" t="s">
        <v>26</v>
      </c>
    </row>
    <row r="1273" spans="1:10" x14ac:dyDescent="0.25">
      <c r="A1273" s="1">
        <v>318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"2025-10-22 12:40:41.793"</f>
        <v>2025-10-22 12:40:41.793</v>
      </c>
      <c r="H1273" t="s">
        <v>21</v>
      </c>
      <c r="I1273">
        <v>0</v>
      </c>
      <c r="J1273" t="s">
        <v>27</v>
      </c>
    </row>
    <row r="1274" spans="1:10" s="3" customFormat="1" x14ac:dyDescent="0.25">
      <c r="A1274" s="2">
        <v>319</v>
      </c>
      <c r="B1274" s="3" t="s">
        <v>22</v>
      </c>
      <c r="C1274" s="3">
        <v>647</v>
      </c>
      <c r="D1274" s="3">
        <v>1</v>
      </c>
      <c r="E1274" s="3" t="s">
        <v>39</v>
      </c>
      <c r="F1274" s="3" t="s">
        <v>40</v>
      </c>
      <c r="G1274" s="3" t="str">
        <f>"2025-10-21 20:01:27.196"</f>
        <v>2025-10-21 20:01:27.196</v>
      </c>
      <c r="H1274" s="3" t="s">
        <v>21</v>
      </c>
    </row>
    <row r="1275" spans="1:10" s="3" customFormat="1" x14ac:dyDescent="0.25">
      <c r="A1275" s="2">
        <v>320</v>
      </c>
      <c r="B1275" s="3" t="s">
        <v>25</v>
      </c>
      <c r="C1275" s="3">
        <v>647</v>
      </c>
      <c r="D1275" s="3">
        <v>1</v>
      </c>
      <c r="E1275" s="3" t="s">
        <v>39</v>
      </c>
      <c r="F1275" s="3" t="s">
        <v>40</v>
      </c>
      <c r="G1275" s="3" t="str">
        <f>"2025-10-21 20:01:25.896"</f>
        <v>2025-10-21 20:01:25.896</v>
      </c>
      <c r="H1275" s="3" t="s">
        <v>21</v>
      </c>
      <c r="I1275" s="3">
        <v>18.52</v>
      </c>
      <c r="J1275" s="3" t="s">
        <v>37</v>
      </c>
    </row>
    <row r="1276" spans="1:10" s="3" customFormat="1" x14ac:dyDescent="0.25">
      <c r="A1276" s="2">
        <v>321</v>
      </c>
      <c r="B1276" s="3" t="s">
        <v>22</v>
      </c>
      <c r="C1276" s="3">
        <v>647</v>
      </c>
      <c r="D1276" s="3">
        <v>1</v>
      </c>
      <c r="E1276" s="3" t="s">
        <v>39</v>
      </c>
      <c r="F1276" s="3" t="s">
        <v>40</v>
      </c>
      <c r="G1276" s="3" t="str">
        <f>"2025-10-20 23:21:22.396"</f>
        <v>2025-10-20 23:21:22.396</v>
      </c>
      <c r="H1276" s="3" t="s">
        <v>21</v>
      </c>
    </row>
    <row r="1277" spans="1:10" s="3" customFormat="1" x14ac:dyDescent="0.25">
      <c r="A1277" s="2">
        <v>322</v>
      </c>
      <c r="B1277" s="3" t="s">
        <v>25</v>
      </c>
      <c r="C1277" s="3">
        <v>647</v>
      </c>
      <c r="D1277" s="3">
        <v>1</v>
      </c>
      <c r="E1277" s="3" t="s">
        <v>39</v>
      </c>
      <c r="F1277" s="3" t="s">
        <v>40</v>
      </c>
      <c r="G1277" s="3" t="str">
        <f>"2025-10-20 23:21:18.096"</f>
        <v>2025-10-20 23:21:18.096</v>
      </c>
      <c r="H1277" s="3" t="s">
        <v>21</v>
      </c>
      <c r="I1277" s="3">
        <v>23.18</v>
      </c>
      <c r="J1277" s="3" t="s">
        <v>37</v>
      </c>
    </row>
    <row r="1278" spans="1:10" x14ac:dyDescent="0.25">
      <c r="A1278" s="1">
        <v>323</v>
      </c>
      <c r="B1278" t="s">
        <v>22</v>
      </c>
      <c r="C1278">
        <v>635</v>
      </c>
      <c r="D1278">
        <v>1</v>
      </c>
      <c r="E1278" t="s">
        <v>23</v>
      </c>
      <c r="F1278" t="s">
        <v>24</v>
      </c>
      <c r="G1278" t="str">
        <f>"2025-10-20 10:01:43.942"</f>
        <v>2025-10-20 10:01:43.942</v>
      </c>
      <c r="H1278" t="s">
        <v>21</v>
      </c>
    </row>
    <row r="1279" spans="1:10" x14ac:dyDescent="0.25">
      <c r="A1279" s="1">
        <v>324</v>
      </c>
      <c r="B1279" t="s">
        <v>25</v>
      </c>
      <c r="C1279">
        <v>635</v>
      </c>
      <c r="D1279">
        <v>1</v>
      </c>
      <c r="E1279" t="s">
        <v>23</v>
      </c>
      <c r="F1279" t="s">
        <v>24</v>
      </c>
      <c r="G1279" t="str">
        <f>"2025-10-20 09:58:39.442"</f>
        <v>2025-10-20 09:58:39.442</v>
      </c>
      <c r="H1279" t="s">
        <v>21</v>
      </c>
      <c r="I1279">
        <v>7.63</v>
      </c>
      <c r="J1279" t="s">
        <v>36</v>
      </c>
    </row>
    <row r="1280" spans="1:10" x14ac:dyDescent="0.25">
      <c r="A1280" s="1">
        <v>325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"2025-10-19 13:20:33.863"</f>
        <v>2025-10-19 13:20:33.863</v>
      </c>
      <c r="H1280" t="s">
        <v>21</v>
      </c>
      <c r="I1280">
        <v>0</v>
      </c>
      <c r="J1280" t="s">
        <v>27</v>
      </c>
    </row>
    <row r="1281" spans="1:10" x14ac:dyDescent="0.25">
      <c r="A1281" s="1">
        <v>326</v>
      </c>
      <c r="B1281" t="s">
        <v>19</v>
      </c>
      <c r="C1281">
        <v>706</v>
      </c>
      <c r="D1281">
        <v>4</v>
      </c>
      <c r="E1281" t="s">
        <v>31</v>
      </c>
      <c r="F1281" t="s">
        <v>32</v>
      </c>
      <c r="G1281" t="str">
        <f>"2025-10-19 05:45:11.979"</f>
        <v>2025-10-19 05:45:11.979</v>
      </c>
      <c r="H1281" t="s">
        <v>21</v>
      </c>
      <c r="I1281">
        <v>0</v>
      </c>
      <c r="J1281" t="s">
        <v>33</v>
      </c>
    </row>
    <row r="1282" spans="1:10" x14ac:dyDescent="0.25">
      <c r="A1282" s="1">
        <v>327</v>
      </c>
      <c r="B1282" t="s">
        <v>19</v>
      </c>
      <c r="C1282">
        <v>706</v>
      </c>
      <c r="D1282">
        <v>4</v>
      </c>
      <c r="E1282" t="s">
        <v>31</v>
      </c>
      <c r="F1282" t="s">
        <v>32</v>
      </c>
      <c r="G1282" t="str">
        <f>"2025-10-19 05:35:16.399"</f>
        <v>2025-10-19 05:35:16.399</v>
      </c>
      <c r="H1282" t="s">
        <v>21</v>
      </c>
      <c r="I1282">
        <v>0</v>
      </c>
      <c r="J1282" t="s">
        <v>33</v>
      </c>
    </row>
    <row r="1283" spans="1:10" x14ac:dyDescent="0.25">
      <c r="A1283" s="1">
        <v>328</v>
      </c>
      <c r="B1283" t="s">
        <v>19</v>
      </c>
      <c r="C1283">
        <v>706</v>
      </c>
      <c r="D1283">
        <v>4</v>
      </c>
      <c r="E1283" t="s">
        <v>31</v>
      </c>
      <c r="F1283" t="s">
        <v>32</v>
      </c>
      <c r="G1283" t="str">
        <f>"2025-10-19 05:23:58.819"</f>
        <v>2025-10-19 05:23:58.819</v>
      </c>
      <c r="H1283" t="s">
        <v>21</v>
      </c>
      <c r="I1283">
        <v>0</v>
      </c>
      <c r="J1283" t="s">
        <v>33</v>
      </c>
    </row>
    <row r="1284" spans="1:10" x14ac:dyDescent="0.25">
      <c r="A1284" s="1">
        <v>329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"2025-10-19 05:15:14.769"</f>
        <v>2025-10-19 05:15:14.769</v>
      </c>
      <c r="H1284" t="s">
        <v>21</v>
      </c>
    </row>
    <row r="1285" spans="1:10" x14ac:dyDescent="0.25">
      <c r="A1285" s="1">
        <v>330</v>
      </c>
      <c r="B1285" t="s">
        <v>34</v>
      </c>
      <c r="C1285">
        <v>630</v>
      </c>
      <c r="D1285">
        <v>5</v>
      </c>
      <c r="E1285" t="s">
        <v>28</v>
      </c>
      <c r="F1285" t="s">
        <v>29</v>
      </c>
      <c r="G1285" t="str">
        <f>"2025-10-19 02:23:21.484"</f>
        <v>2025-10-19 02:23:21.484</v>
      </c>
      <c r="H1285" t="s">
        <v>30</v>
      </c>
      <c r="I1285">
        <v>0</v>
      </c>
      <c r="J1285" t="s">
        <v>33</v>
      </c>
    </row>
    <row r="1286" spans="1:10" x14ac:dyDescent="0.25">
      <c r="A1286" s="1">
        <v>331</v>
      </c>
      <c r="B1286" t="s">
        <v>22</v>
      </c>
      <c r="C1286">
        <v>635</v>
      </c>
      <c r="D1286">
        <v>1</v>
      </c>
      <c r="E1286" t="s">
        <v>23</v>
      </c>
      <c r="F1286" t="s">
        <v>24</v>
      </c>
      <c r="G1286" t="str">
        <f>"2025-10-18 01:16:03.136"</f>
        <v>2025-10-18 01:16:03.136</v>
      </c>
      <c r="H1286" t="s">
        <v>21</v>
      </c>
    </row>
    <row r="1287" spans="1:10" x14ac:dyDescent="0.25">
      <c r="A1287" s="1">
        <v>332</v>
      </c>
      <c r="B1287" t="s">
        <v>25</v>
      </c>
      <c r="C1287">
        <v>635</v>
      </c>
      <c r="D1287">
        <v>1</v>
      </c>
      <c r="E1287" t="s">
        <v>23</v>
      </c>
      <c r="F1287" t="s">
        <v>24</v>
      </c>
      <c r="G1287" t="str">
        <f>"2025-10-18 00:57:55.136"</f>
        <v>2025-10-18 00:57:55.136</v>
      </c>
      <c r="H1287" t="s">
        <v>21</v>
      </c>
      <c r="I1287">
        <v>7.2</v>
      </c>
      <c r="J1287" t="s">
        <v>36</v>
      </c>
    </row>
    <row r="1288" spans="1:10" x14ac:dyDescent="0.25">
      <c r="A1288" s="1">
        <v>333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"2025-10-17 01:24:29.762"</f>
        <v>2025-10-17 01:24:29.762</v>
      </c>
      <c r="H1288" t="s">
        <v>21</v>
      </c>
      <c r="I1288">
        <v>0</v>
      </c>
      <c r="J1288" t="s">
        <v>27</v>
      </c>
    </row>
    <row r="1289" spans="1:10" s="3" customFormat="1" x14ac:dyDescent="0.25">
      <c r="A1289" s="2">
        <v>334</v>
      </c>
      <c r="B1289" s="3" t="s">
        <v>22</v>
      </c>
      <c r="C1289" s="3">
        <v>647</v>
      </c>
      <c r="D1289" s="3">
        <v>1</v>
      </c>
      <c r="E1289" s="3" t="s">
        <v>39</v>
      </c>
      <c r="F1289" s="3" t="s">
        <v>40</v>
      </c>
      <c r="G1289" s="3" t="str">
        <f>"2025-10-16 17:23:39.540"</f>
        <v>2025-10-16 17:23:39.540</v>
      </c>
      <c r="H1289" s="3" t="s">
        <v>21</v>
      </c>
    </row>
    <row r="1290" spans="1:10" s="3" customFormat="1" x14ac:dyDescent="0.25">
      <c r="A1290" s="2">
        <v>335</v>
      </c>
      <c r="B1290" s="3" t="s">
        <v>25</v>
      </c>
      <c r="C1290" s="3">
        <v>647</v>
      </c>
      <c r="D1290" s="3">
        <v>1</v>
      </c>
      <c r="E1290" s="3" t="s">
        <v>39</v>
      </c>
      <c r="F1290" s="3" t="s">
        <v>40</v>
      </c>
      <c r="G1290" s="3" t="str">
        <f>"2025-10-16 17:23:32.640"</f>
        <v>2025-10-16 17:23:32.640</v>
      </c>
      <c r="H1290" s="3" t="s">
        <v>21</v>
      </c>
      <c r="I1290" s="3">
        <v>11.02</v>
      </c>
      <c r="J1290" s="3" t="s">
        <v>37</v>
      </c>
    </row>
    <row r="1291" spans="1:10" s="3" customFormat="1" x14ac:dyDescent="0.25">
      <c r="A1291" s="2">
        <v>336</v>
      </c>
      <c r="B1291" s="3" t="s">
        <v>22</v>
      </c>
      <c r="C1291" s="3">
        <v>647</v>
      </c>
      <c r="D1291" s="3">
        <v>1</v>
      </c>
      <c r="E1291" s="3" t="s">
        <v>39</v>
      </c>
      <c r="F1291" s="3" t="s">
        <v>40</v>
      </c>
      <c r="G1291" s="3" t="str">
        <f>"2025-10-16 17:22:22.040"</f>
        <v>2025-10-16 17:22:22.040</v>
      </c>
      <c r="H1291" s="3" t="s">
        <v>21</v>
      </c>
    </row>
    <row r="1292" spans="1:10" s="3" customFormat="1" x14ac:dyDescent="0.25">
      <c r="A1292" s="2">
        <v>337</v>
      </c>
      <c r="B1292" s="3" t="s">
        <v>25</v>
      </c>
      <c r="C1292" s="3">
        <v>647</v>
      </c>
      <c r="D1292" s="3">
        <v>1</v>
      </c>
      <c r="E1292" s="3" t="s">
        <v>39</v>
      </c>
      <c r="F1292" s="3" t="s">
        <v>40</v>
      </c>
      <c r="G1292" s="3" t="str">
        <f>"2025-10-16 17:22:20.640"</f>
        <v>2025-10-16 17:22:20.640</v>
      </c>
      <c r="H1292" s="3" t="s">
        <v>21</v>
      </c>
      <c r="I1292" s="3">
        <v>18.3</v>
      </c>
      <c r="J1292" s="3" t="s">
        <v>37</v>
      </c>
    </row>
    <row r="1293" spans="1:10" s="3" customFormat="1" x14ac:dyDescent="0.25">
      <c r="A1293" s="2">
        <v>338</v>
      </c>
      <c r="B1293" s="3" t="s">
        <v>22</v>
      </c>
      <c r="C1293" s="3">
        <v>647</v>
      </c>
      <c r="D1293" s="3">
        <v>1</v>
      </c>
      <c r="E1293" s="3" t="s">
        <v>39</v>
      </c>
      <c r="F1293" s="3" t="s">
        <v>40</v>
      </c>
      <c r="G1293" s="3" t="str">
        <f>"2025-10-14 17:23:23.540"</f>
        <v>2025-10-14 17:23:23.540</v>
      </c>
      <c r="H1293" s="3" t="s">
        <v>21</v>
      </c>
    </row>
    <row r="1294" spans="1:10" s="3" customFormat="1" x14ac:dyDescent="0.25">
      <c r="A1294" s="2">
        <v>339</v>
      </c>
      <c r="B1294" s="3" t="s">
        <v>25</v>
      </c>
      <c r="C1294" s="3">
        <v>647</v>
      </c>
      <c r="D1294" s="3">
        <v>1</v>
      </c>
      <c r="E1294" s="3" t="s">
        <v>39</v>
      </c>
      <c r="F1294" s="3" t="s">
        <v>40</v>
      </c>
      <c r="G1294" s="3" t="str">
        <f>"2025-10-14 17:23:21.440"</f>
        <v>2025-10-14 17:23:21.440</v>
      </c>
      <c r="H1294" s="3" t="s">
        <v>21</v>
      </c>
      <c r="I1294" s="3">
        <v>17.57</v>
      </c>
      <c r="J1294" s="3" t="s">
        <v>37</v>
      </c>
    </row>
    <row r="1295" spans="1:10" s="3" customFormat="1" x14ac:dyDescent="0.25">
      <c r="A1295" s="2">
        <v>340</v>
      </c>
      <c r="B1295" s="3" t="s">
        <v>22</v>
      </c>
      <c r="C1295" s="3">
        <v>647</v>
      </c>
      <c r="D1295" s="3">
        <v>1</v>
      </c>
      <c r="E1295" s="3" t="s">
        <v>39</v>
      </c>
      <c r="F1295" s="3" t="s">
        <v>40</v>
      </c>
      <c r="G1295" s="3" t="str">
        <f>"2025-10-14 17:22:50.540"</f>
        <v>2025-10-14 17:22:50.540</v>
      </c>
      <c r="H1295" s="3" t="s">
        <v>21</v>
      </c>
    </row>
    <row r="1296" spans="1:10" s="3" customFormat="1" x14ac:dyDescent="0.25">
      <c r="A1296" s="2">
        <v>341</v>
      </c>
      <c r="B1296" s="3" t="s">
        <v>25</v>
      </c>
      <c r="C1296" s="3">
        <v>647</v>
      </c>
      <c r="D1296" s="3">
        <v>1</v>
      </c>
      <c r="E1296" s="3" t="s">
        <v>39</v>
      </c>
      <c r="F1296" s="3" t="s">
        <v>40</v>
      </c>
      <c r="G1296" s="3" t="str">
        <f>"2025-10-14 17:22:49.240"</f>
        <v>2025-10-14 17:22:49.240</v>
      </c>
      <c r="H1296" s="3" t="s">
        <v>21</v>
      </c>
      <c r="I1296" s="3">
        <v>24.34</v>
      </c>
      <c r="J1296" s="3" t="s">
        <v>37</v>
      </c>
    </row>
    <row r="1297" spans="1:10" x14ac:dyDescent="0.25">
      <c r="A1297" s="1">
        <v>342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"2025-10-14 11:59:13.797"</f>
        <v>2025-10-14 11:59:13.797</v>
      </c>
      <c r="H1297" t="s">
        <v>21</v>
      </c>
    </row>
    <row r="1298" spans="1:10" x14ac:dyDescent="0.25">
      <c r="A1298" s="1">
        <v>343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"2025-10-14 10:35:25.769"</f>
        <v>2025-10-14 10:35:25.769</v>
      </c>
      <c r="H1298" t="s">
        <v>21</v>
      </c>
      <c r="I1298">
        <v>0</v>
      </c>
      <c r="J1298" t="s">
        <v>27</v>
      </c>
    </row>
    <row r="1299" spans="1:10" x14ac:dyDescent="0.25">
      <c r="A1299" s="1">
        <v>344</v>
      </c>
      <c r="B1299" t="s">
        <v>19</v>
      </c>
      <c r="C1299">
        <v>706</v>
      </c>
      <c r="D1299">
        <v>4</v>
      </c>
      <c r="E1299" t="s">
        <v>31</v>
      </c>
      <c r="F1299" t="s">
        <v>32</v>
      </c>
      <c r="G1299" t="str">
        <f>"2025-10-14 08:27:18.661"</f>
        <v>2025-10-14 08:27:18.661</v>
      </c>
      <c r="H1299" t="s">
        <v>21</v>
      </c>
      <c r="I1299">
        <v>0</v>
      </c>
      <c r="J1299" t="s">
        <v>33</v>
      </c>
    </row>
    <row r="1300" spans="1:10" x14ac:dyDescent="0.25">
      <c r="A1300" s="1">
        <v>345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"2025-10-14 08:26:54.881"</f>
        <v>2025-10-14 08:26:54.881</v>
      </c>
      <c r="H1300" t="s">
        <v>21</v>
      </c>
      <c r="I1300">
        <v>0</v>
      </c>
      <c r="J1300" t="s">
        <v>27</v>
      </c>
    </row>
    <row r="1301" spans="1:10" x14ac:dyDescent="0.25">
      <c r="A1301" s="1">
        <v>346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"2025-10-13 18:20:32.778"</f>
        <v>2025-10-13 18:20:32.778</v>
      </c>
      <c r="H1301" t="s">
        <v>21</v>
      </c>
      <c r="I1301">
        <v>0</v>
      </c>
      <c r="J1301" t="s">
        <v>27</v>
      </c>
    </row>
    <row r="1302" spans="1:10" x14ac:dyDescent="0.25">
      <c r="A1302" s="1">
        <v>347</v>
      </c>
      <c r="B1302" t="s">
        <v>22</v>
      </c>
      <c r="C1302">
        <v>635</v>
      </c>
      <c r="D1302">
        <v>1</v>
      </c>
      <c r="E1302" t="s">
        <v>23</v>
      </c>
      <c r="F1302" t="s">
        <v>24</v>
      </c>
      <c r="G1302" t="str">
        <f>"2025-10-13 10:30:23.667"</f>
        <v>2025-10-13 10:30:23.667</v>
      </c>
      <c r="H1302" t="s">
        <v>21</v>
      </c>
    </row>
    <row r="1303" spans="1:10" x14ac:dyDescent="0.25">
      <c r="A1303" s="1">
        <v>348</v>
      </c>
      <c r="B1303" t="s">
        <v>25</v>
      </c>
      <c r="C1303">
        <v>635</v>
      </c>
      <c r="D1303">
        <v>1</v>
      </c>
      <c r="E1303" t="s">
        <v>23</v>
      </c>
      <c r="F1303" t="s">
        <v>24</v>
      </c>
      <c r="G1303" t="str">
        <f>"2025-10-13 10:18:32.167"</f>
        <v>2025-10-13 10:18:32.167</v>
      </c>
      <c r="H1303" t="s">
        <v>21</v>
      </c>
      <c r="I1303">
        <v>1.1499999999999999</v>
      </c>
      <c r="J1303" t="s">
        <v>36</v>
      </c>
    </row>
    <row r="1304" spans="1:10" x14ac:dyDescent="0.25">
      <c r="A1304" s="1">
        <v>349</v>
      </c>
      <c r="B1304" t="s">
        <v>22</v>
      </c>
      <c r="C1304">
        <v>635</v>
      </c>
      <c r="D1304">
        <v>1</v>
      </c>
      <c r="E1304" t="s">
        <v>23</v>
      </c>
      <c r="F1304" t="s">
        <v>24</v>
      </c>
      <c r="G1304" t="str">
        <f>"2025-10-13 09:58:24.167"</f>
        <v>2025-10-13 09:58:24.167</v>
      </c>
      <c r="H1304" t="s">
        <v>21</v>
      </c>
    </row>
    <row r="1305" spans="1:10" x14ac:dyDescent="0.25">
      <c r="A1305" s="1">
        <v>350</v>
      </c>
      <c r="B1305" t="s">
        <v>25</v>
      </c>
      <c r="C1305">
        <v>635</v>
      </c>
      <c r="D1305">
        <v>1</v>
      </c>
      <c r="E1305" t="s">
        <v>23</v>
      </c>
      <c r="F1305" t="s">
        <v>24</v>
      </c>
      <c r="G1305" t="str">
        <f>"2025-10-13 09:29:14.267"</f>
        <v>2025-10-13 09:29:14.267</v>
      </c>
      <c r="H1305" t="s">
        <v>21</v>
      </c>
      <c r="I1305">
        <v>4.93</v>
      </c>
      <c r="J1305" t="s">
        <v>36</v>
      </c>
    </row>
    <row r="1306" spans="1:10" x14ac:dyDescent="0.25">
      <c r="A1306" s="1">
        <v>351</v>
      </c>
      <c r="B1306" t="s">
        <v>22</v>
      </c>
      <c r="C1306">
        <v>630</v>
      </c>
      <c r="D1306">
        <v>5</v>
      </c>
      <c r="E1306" t="s">
        <v>28</v>
      </c>
      <c r="F1306" t="s">
        <v>29</v>
      </c>
      <c r="G1306" t="str">
        <f>"2025-10-12 09:31:09.721"</f>
        <v>2025-10-12 09:31:09.721</v>
      </c>
      <c r="H1306" t="s">
        <v>30</v>
      </c>
    </row>
    <row r="1307" spans="1:10" x14ac:dyDescent="0.25">
      <c r="A1307" s="1">
        <v>352</v>
      </c>
      <c r="B1307" t="s">
        <v>19</v>
      </c>
      <c r="C1307">
        <v>706</v>
      </c>
      <c r="D1307">
        <v>4</v>
      </c>
      <c r="E1307" t="s">
        <v>31</v>
      </c>
      <c r="F1307" t="s">
        <v>32</v>
      </c>
      <c r="G1307" t="str">
        <f>"2025-10-12 09:30:39.657"</f>
        <v>2025-10-12 09:30:39.657</v>
      </c>
      <c r="H1307" t="s">
        <v>21</v>
      </c>
      <c r="I1307">
        <v>0</v>
      </c>
      <c r="J1307" t="s">
        <v>33</v>
      </c>
    </row>
    <row r="1308" spans="1:10" x14ac:dyDescent="0.25">
      <c r="A1308" s="1">
        <v>353</v>
      </c>
      <c r="B1308" t="s">
        <v>34</v>
      </c>
      <c r="C1308">
        <v>630</v>
      </c>
      <c r="D1308">
        <v>5</v>
      </c>
      <c r="E1308" t="s">
        <v>28</v>
      </c>
      <c r="F1308" t="s">
        <v>29</v>
      </c>
      <c r="G1308" t="str">
        <f>"2025-10-12 09:13:55.521"</f>
        <v>2025-10-12 09:13:55.521</v>
      </c>
      <c r="H1308" t="s">
        <v>30</v>
      </c>
      <c r="I1308">
        <v>0</v>
      </c>
      <c r="J1308" t="s">
        <v>33</v>
      </c>
    </row>
    <row r="1309" spans="1:10" x14ac:dyDescent="0.25">
      <c r="A1309" s="1">
        <v>354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"2025-10-12 01:28:39.877"</f>
        <v>2025-10-12 01:28:39.877</v>
      </c>
      <c r="H1309" t="s">
        <v>21</v>
      </c>
    </row>
    <row r="1310" spans="1:10" x14ac:dyDescent="0.25">
      <c r="A1310" s="1">
        <v>355</v>
      </c>
      <c r="B1310" t="s">
        <v>22</v>
      </c>
      <c r="C1310">
        <v>635</v>
      </c>
      <c r="D1310">
        <v>1</v>
      </c>
      <c r="E1310" t="s">
        <v>23</v>
      </c>
      <c r="F1310" t="s">
        <v>24</v>
      </c>
      <c r="G1310" t="str">
        <f>"2025-10-11 14:43:14.538"</f>
        <v>2025-10-11 14:43:14.538</v>
      </c>
      <c r="H1310" t="s">
        <v>21</v>
      </c>
    </row>
    <row r="1311" spans="1:10" x14ac:dyDescent="0.25">
      <c r="A1311" s="1">
        <v>356</v>
      </c>
      <c r="B1311" t="s">
        <v>25</v>
      </c>
      <c r="C1311">
        <v>635</v>
      </c>
      <c r="D1311">
        <v>1</v>
      </c>
      <c r="E1311" t="s">
        <v>23</v>
      </c>
      <c r="F1311" t="s">
        <v>24</v>
      </c>
      <c r="G1311" t="str">
        <f>"2025-10-11 14:39:23.038"</f>
        <v>2025-10-11 14:39:23.038</v>
      </c>
      <c r="H1311" t="s">
        <v>21</v>
      </c>
      <c r="I1311">
        <v>7.45</v>
      </c>
      <c r="J1311" t="s">
        <v>36</v>
      </c>
    </row>
    <row r="1312" spans="1:10" x14ac:dyDescent="0.25">
      <c r="A1312" s="1">
        <v>358</v>
      </c>
      <c r="B1312" t="s">
        <v>22</v>
      </c>
      <c r="C1312">
        <v>635</v>
      </c>
      <c r="D1312">
        <v>1</v>
      </c>
      <c r="E1312" t="s">
        <v>23</v>
      </c>
      <c r="F1312" t="s">
        <v>24</v>
      </c>
      <c r="G1312" t="str">
        <f>"2025-10-09 13:16:50.428"</f>
        <v>2025-10-09 13:16:50.428</v>
      </c>
      <c r="H1312" t="s">
        <v>21</v>
      </c>
    </row>
    <row r="1313" spans="1:10" x14ac:dyDescent="0.25">
      <c r="A1313" s="1">
        <v>359</v>
      </c>
      <c r="B1313" t="s">
        <v>25</v>
      </c>
      <c r="C1313">
        <v>635</v>
      </c>
      <c r="D1313">
        <v>1</v>
      </c>
      <c r="E1313" t="s">
        <v>23</v>
      </c>
      <c r="F1313" t="s">
        <v>24</v>
      </c>
      <c r="G1313" t="str">
        <f>"2025-10-09 12:57:44.928"</f>
        <v>2025-10-09 12:57:44.928</v>
      </c>
      <c r="H1313" t="s">
        <v>21</v>
      </c>
      <c r="I1313">
        <v>8.98</v>
      </c>
      <c r="J1313" t="s">
        <v>36</v>
      </c>
    </row>
    <row r="1314" spans="1:10" x14ac:dyDescent="0.25">
      <c r="A1314" s="1">
        <v>360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"2025-10-08 01:27:46.788"</f>
        <v>2025-10-08 01:27:46.788</v>
      </c>
      <c r="H1314" t="s">
        <v>21</v>
      </c>
      <c r="I1314">
        <v>0</v>
      </c>
      <c r="J1314" t="s">
        <v>27</v>
      </c>
    </row>
    <row r="1315" spans="1:10" x14ac:dyDescent="0.25">
      <c r="A1315" s="1">
        <v>361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"2025-10-07 21:28:58.772"</f>
        <v>2025-10-07 21:28:58.772</v>
      </c>
      <c r="H1315" t="s">
        <v>21</v>
      </c>
    </row>
    <row r="1316" spans="1:10" x14ac:dyDescent="0.25">
      <c r="A1316" s="1">
        <v>362</v>
      </c>
      <c r="B1316" t="s">
        <v>19</v>
      </c>
      <c r="C1316">
        <v>706</v>
      </c>
      <c r="D1316">
        <v>4</v>
      </c>
      <c r="E1316" t="s">
        <v>31</v>
      </c>
      <c r="F1316" t="s">
        <v>32</v>
      </c>
      <c r="G1316" t="str">
        <f>"2025-10-07 21:19:30.997"</f>
        <v>2025-10-07 21:19:30.997</v>
      </c>
      <c r="H1316" t="s">
        <v>21</v>
      </c>
      <c r="I1316">
        <v>0</v>
      </c>
      <c r="J1316" t="s">
        <v>33</v>
      </c>
    </row>
    <row r="1317" spans="1:10" x14ac:dyDescent="0.25">
      <c r="A1317" s="1">
        <v>363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"2025-10-07 21:00:02.757"</f>
        <v>2025-10-07 21:00:02.757</v>
      </c>
      <c r="H1317" t="s">
        <v>21</v>
      </c>
    </row>
    <row r="1318" spans="1:10" x14ac:dyDescent="0.25">
      <c r="A1318" s="1">
        <v>364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"2025-10-07 20:06:34.768"</f>
        <v>2025-10-07 20:06:34.768</v>
      </c>
      <c r="H1318" t="s">
        <v>21</v>
      </c>
      <c r="I1318">
        <v>0</v>
      </c>
      <c r="J1318" t="s">
        <v>27</v>
      </c>
    </row>
    <row r="1319" spans="1:10" x14ac:dyDescent="0.25">
      <c r="A1319" s="1">
        <v>365</v>
      </c>
      <c r="B1319" t="s">
        <v>34</v>
      </c>
      <c r="C1319">
        <v>630</v>
      </c>
      <c r="D1319">
        <v>5</v>
      </c>
      <c r="E1319" t="s">
        <v>28</v>
      </c>
      <c r="F1319" t="s">
        <v>29</v>
      </c>
      <c r="G1319" t="str">
        <f>"2025-10-07 19:54:23.635"</f>
        <v>2025-10-07 19:54:23.635</v>
      </c>
      <c r="H1319" t="s">
        <v>30</v>
      </c>
      <c r="I1319">
        <v>0</v>
      </c>
      <c r="J1319" t="s">
        <v>33</v>
      </c>
    </row>
    <row r="1320" spans="1:10" x14ac:dyDescent="0.25">
      <c r="A1320" s="1">
        <v>366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"2025-10-07 19:49:20.763"</f>
        <v>2025-10-07 19:49:20.763</v>
      </c>
      <c r="H1320" t="s">
        <v>21</v>
      </c>
      <c r="I1320">
        <v>0</v>
      </c>
      <c r="J1320" t="s">
        <v>27</v>
      </c>
    </row>
    <row r="1321" spans="1:10" x14ac:dyDescent="0.25">
      <c r="A1321" s="1">
        <v>367</v>
      </c>
      <c r="B1321" t="s">
        <v>34</v>
      </c>
      <c r="C1321">
        <v>630</v>
      </c>
      <c r="D1321">
        <v>5</v>
      </c>
      <c r="E1321" t="s">
        <v>28</v>
      </c>
      <c r="F1321" t="s">
        <v>29</v>
      </c>
      <c r="G1321" t="str">
        <f>"2025-10-07 18:29:54.668"</f>
        <v>2025-10-07 18:29:54.668</v>
      </c>
      <c r="H1321" t="s">
        <v>30</v>
      </c>
      <c r="I1321">
        <v>0</v>
      </c>
      <c r="J1321" t="s">
        <v>33</v>
      </c>
    </row>
    <row r="1322" spans="1:10" x14ac:dyDescent="0.25">
      <c r="A1322" s="1">
        <v>368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"2025-10-07 18:24:51.839"</f>
        <v>2025-10-07 18:24:51.839</v>
      </c>
      <c r="H1322" t="s">
        <v>21</v>
      </c>
      <c r="I1322">
        <v>0</v>
      </c>
      <c r="J1322" t="s">
        <v>27</v>
      </c>
    </row>
    <row r="1323" spans="1:10" x14ac:dyDescent="0.25">
      <c r="A1323" s="1">
        <v>369</v>
      </c>
      <c r="B1323" t="s">
        <v>22</v>
      </c>
      <c r="C1323">
        <v>635</v>
      </c>
      <c r="D1323">
        <v>1</v>
      </c>
      <c r="E1323" t="s">
        <v>23</v>
      </c>
      <c r="F1323" t="s">
        <v>24</v>
      </c>
      <c r="G1323" t="str">
        <f>"2025-10-06 22:02:23.641"</f>
        <v>2025-10-06 22:02:23.641</v>
      </c>
      <c r="H1323" t="s">
        <v>21</v>
      </c>
    </row>
    <row r="1324" spans="1:10" x14ac:dyDescent="0.25">
      <c r="A1324" s="1">
        <v>370</v>
      </c>
      <c r="B1324" t="s">
        <v>25</v>
      </c>
      <c r="C1324">
        <v>635</v>
      </c>
      <c r="D1324">
        <v>1</v>
      </c>
      <c r="E1324" t="s">
        <v>23</v>
      </c>
      <c r="F1324" t="s">
        <v>24</v>
      </c>
      <c r="G1324" t="str">
        <f>"2025-10-06 21:39:47.241"</f>
        <v>2025-10-06 21:39:47.241</v>
      </c>
      <c r="H1324" t="s">
        <v>21</v>
      </c>
      <c r="I1324">
        <v>7.81</v>
      </c>
      <c r="J1324" t="s">
        <v>36</v>
      </c>
    </row>
    <row r="1325" spans="1:10" x14ac:dyDescent="0.25">
      <c r="A1325" s="1">
        <v>371</v>
      </c>
      <c r="B1325" t="s">
        <v>22</v>
      </c>
      <c r="C1325">
        <v>635</v>
      </c>
      <c r="D1325">
        <v>1</v>
      </c>
      <c r="E1325" t="s">
        <v>23</v>
      </c>
      <c r="F1325" t="s">
        <v>24</v>
      </c>
      <c r="G1325" t="str">
        <f>"2025-10-06 21:29:55.241"</f>
        <v>2025-10-06 21:29:55.241</v>
      </c>
      <c r="H1325" t="s">
        <v>21</v>
      </c>
    </row>
    <row r="1326" spans="1:10" x14ac:dyDescent="0.25">
      <c r="A1326" s="1">
        <v>372</v>
      </c>
      <c r="B1326" t="s">
        <v>25</v>
      </c>
      <c r="C1326">
        <v>635</v>
      </c>
      <c r="D1326">
        <v>1</v>
      </c>
      <c r="E1326" t="s">
        <v>23</v>
      </c>
      <c r="F1326" t="s">
        <v>24</v>
      </c>
      <c r="G1326" t="str">
        <f>"2025-10-06 21:27:24.741"</f>
        <v>2025-10-06 21:27:24.741</v>
      </c>
      <c r="H1326" t="s">
        <v>21</v>
      </c>
      <c r="I1326">
        <v>7.04</v>
      </c>
      <c r="J1326" t="s">
        <v>36</v>
      </c>
    </row>
    <row r="1327" spans="1:10" s="3" customFormat="1" x14ac:dyDescent="0.25">
      <c r="A1327" s="2">
        <v>373</v>
      </c>
      <c r="B1327" s="3" t="s">
        <v>22</v>
      </c>
      <c r="C1327" s="3">
        <v>647</v>
      </c>
      <c r="D1327" s="3">
        <v>1</v>
      </c>
      <c r="E1327" s="3" t="s">
        <v>39</v>
      </c>
      <c r="F1327" s="3" t="s">
        <v>40</v>
      </c>
      <c r="G1327" s="3" t="str">
        <f>"2025-10-06 03:00:16.489"</f>
        <v>2025-10-06 03:00:16.489</v>
      </c>
      <c r="H1327" s="3" t="s">
        <v>21</v>
      </c>
    </row>
    <row r="1328" spans="1:10" s="3" customFormat="1" x14ac:dyDescent="0.25">
      <c r="A1328" s="2">
        <v>374</v>
      </c>
      <c r="B1328" s="3" t="s">
        <v>25</v>
      </c>
      <c r="C1328" s="3">
        <v>647</v>
      </c>
      <c r="D1328" s="3">
        <v>1</v>
      </c>
      <c r="E1328" s="3" t="s">
        <v>39</v>
      </c>
      <c r="F1328" s="3" t="s">
        <v>40</v>
      </c>
      <c r="G1328" s="3" t="str">
        <f>"2025-10-06 03:00:12.390"</f>
        <v>2025-10-06 03:00:12.390</v>
      </c>
      <c r="H1328" s="3" t="s">
        <v>21</v>
      </c>
      <c r="I1328" s="3">
        <v>10.96</v>
      </c>
      <c r="J1328" s="3" t="s">
        <v>37</v>
      </c>
    </row>
    <row r="1329" spans="1:10" x14ac:dyDescent="0.25">
      <c r="A1329" s="1">
        <v>376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"2025-10-05 01:52:45.762"</f>
        <v>2025-10-05 01:52:45.762</v>
      </c>
      <c r="H1329" t="s">
        <v>21</v>
      </c>
      <c r="I1329">
        <v>0</v>
      </c>
      <c r="J1329" t="s">
        <v>27</v>
      </c>
    </row>
    <row r="1330" spans="1:10" s="3" customFormat="1" x14ac:dyDescent="0.25">
      <c r="A1330" s="2">
        <v>377</v>
      </c>
      <c r="B1330" s="3" t="s">
        <v>22</v>
      </c>
      <c r="C1330" s="3">
        <v>647</v>
      </c>
      <c r="D1330" s="3">
        <v>1</v>
      </c>
      <c r="E1330" s="3" t="s">
        <v>39</v>
      </c>
      <c r="F1330" s="3" t="s">
        <v>40</v>
      </c>
      <c r="G1330" s="3" t="str">
        <f>"2025-10-03 17:53:48.868"</f>
        <v>2025-10-03 17:53:48.868</v>
      </c>
      <c r="H1330" s="3" t="s">
        <v>21</v>
      </c>
    </row>
    <row r="1331" spans="1:10" s="3" customFormat="1" x14ac:dyDescent="0.25">
      <c r="A1331" s="2">
        <v>378</v>
      </c>
      <c r="B1331" s="3" t="s">
        <v>25</v>
      </c>
      <c r="C1331" s="3">
        <v>647</v>
      </c>
      <c r="D1331" s="3">
        <v>1</v>
      </c>
      <c r="E1331" s="3" t="s">
        <v>39</v>
      </c>
      <c r="F1331" s="3" t="s">
        <v>40</v>
      </c>
      <c r="G1331" s="3" t="str">
        <f>"2025-10-03 17:53:47.768"</f>
        <v>2025-10-03 17:53:47.768</v>
      </c>
      <c r="H1331" s="3" t="s">
        <v>21</v>
      </c>
      <c r="I1331" s="3">
        <v>9.5</v>
      </c>
      <c r="J1331" s="3" t="s">
        <v>37</v>
      </c>
    </row>
    <row r="1332" spans="1:10" s="3" customFormat="1" x14ac:dyDescent="0.25">
      <c r="A1332" s="2">
        <v>379</v>
      </c>
      <c r="B1332" s="3" t="s">
        <v>22</v>
      </c>
      <c r="C1332" s="3">
        <v>647</v>
      </c>
      <c r="D1332" s="3">
        <v>1</v>
      </c>
      <c r="E1332" s="3" t="s">
        <v>39</v>
      </c>
      <c r="F1332" s="3" t="s">
        <v>40</v>
      </c>
      <c r="G1332" s="3" t="str">
        <f>"2025-10-03 09:23:13.168"</f>
        <v>2025-10-03 09:23:13.168</v>
      </c>
      <c r="H1332" s="3" t="s">
        <v>21</v>
      </c>
    </row>
    <row r="1333" spans="1:10" s="3" customFormat="1" x14ac:dyDescent="0.25">
      <c r="A1333" s="2">
        <v>380</v>
      </c>
      <c r="B1333" s="3" t="s">
        <v>25</v>
      </c>
      <c r="C1333" s="3">
        <v>647</v>
      </c>
      <c r="D1333" s="3">
        <v>1</v>
      </c>
      <c r="E1333" s="3" t="s">
        <v>39</v>
      </c>
      <c r="F1333" s="3" t="s">
        <v>40</v>
      </c>
      <c r="G1333" s="3" t="str">
        <f>"2025-10-03 09:23:08.668"</f>
        <v>2025-10-03 09:23:08.668</v>
      </c>
      <c r="H1333" s="3" t="s">
        <v>21</v>
      </c>
      <c r="I1333" s="3">
        <v>11.29</v>
      </c>
      <c r="J1333" s="3" t="s">
        <v>37</v>
      </c>
    </row>
    <row r="1334" spans="1:10" x14ac:dyDescent="0.25">
      <c r="A1334" s="1">
        <v>381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"2025-10-03 01:40:48.736"</f>
        <v>2025-10-03 01:40:48.736</v>
      </c>
      <c r="H1334" t="s">
        <v>21</v>
      </c>
      <c r="I1334">
        <v>0</v>
      </c>
      <c r="J1334" t="s">
        <v>27</v>
      </c>
    </row>
    <row r="1335" spans="1:10" x14ac:dyDescent="0.25">
      <c r="A1335" s="1">
        <v>382</v>
      </c>
      <c r="B1335" t="s">
        <v>22</v>
      </c>
      <c r="C1335">
        <v>635</v>
      </c>
      <c r="D1335">
        <v>1</v>
      </c>
      <c r="E1335" t="s">
        <v>23</v>
      </c>
      <c r="F1335" t="s">
        <v>24</v>
      </c>
      <c r="G1335" t="str">
        <f>"2025-10-01 13:51:48.249"</f>
        <v>2025-10-01 13:51:48.249</v>
      </c>
      <c r="H1335" t="s">
        <v>21</v>
      </c>
    </row>
    <row r="1336" spans="1:10" x14ac:dyDescent="0.25">
      <c r="A1336" s="1">
        <v>383</v>
      </c>
      <c r="B1336" t="s">
        <v>25</v>
      </c>
      <c r="C1336">
        <v>635</v>
      </c>
      <c r="D1336">
        <v>1</v>
      </c>
      <c r="E1336" t="s">
        <v>23</v>
      </c>
      <c r="F1336" t="s">
        <v>24</v>
      </c>
      <c r="G1336" t="str">
        <f>"2025-10-01 13:30:46.849"</f>
        <v>2025-10-01 13:30:46.849</v>
      </c>
      <c r="H1336" t="s">
        <v>21</v>
      </c>
      <c r="I1336">
        <v>7.12</v>
      </c>
      <c r="J1336" t="s">
        <v>36</v>
      </c>
    </row>
    <row r="1337" spans="1:10" s="3" customFormat="1" x14ac:dyDescent="0.25">
      <c r="A1337" s="2">
        <v>384</v>
      </c>
      <c r="B1337" s="3" t="s">
        <v>22</v>
      </c>
      <c r="C1337" s="3">
        <v>647</v>
      </c>
      <c r="D1337" s="3">
        <v>1</v>
      </c>
      <c r="E1337" s="3" t="s">
        <v>39</v>
      </c>
      <c r="F1337" s="3" t="s">
        <v>40</v>
      </c>
      <c r="G1337" s="3" t="str">
        <f>"2025-10-01 09:06:07.897"</f>
        <v>2025-10-01 09:06:07.897</v>
      </c>
      <c r="H1337" s="3" t="s">
        <v>21</v>
      </c>
    </row>
    <row r="1338" spans="1:10" s="3" customFormat="1" x14ac:dyDescent="0.25">
      <c r="A1338" s="2">
        <v>385</v>
      </c>
      <c r="B1338" s="3" t="s">
        <v>25</v>
      </c>
      <c r="C1338" s="3">
        <v>647</v>
      </c>
      <c r="D1338" s="3">
        <v>1</v>
      </c>
      <c r="E1338" s="3" t="s">
        <v>39</v>
      </c>
      <c r="F1338" s="3" t="s">
        <v>40</v>
      </c>
      <c r="G1338" s="3" t="str">
        <f>"2025-10-01 09:06:05.797"</f>
        <v>2025-10-01 09:06:05.797</v>
      </c>
      <c r="H1338" s="3" t="s">
        <v>21</v>
      </c>
      <c r="I1338" s="3">
        <v>17.38</v>
      </c>
      <c r="J1338" s="3" t="s">
        <v>37</v>
      </c>
    </row>
    <row r="1339" spans="1:10" x14ac:dyDescent="0.25">
      <c r="A1339" s="1">
        <v>386</v>
      </c>
      <c r="B1339" t="s">
        <v>22</v>
      </c>
      <c r="C1339">
        <v>635</v>
      </c>
      <c r="D1339">
        <v>1</v>
      </c>
      <c r="E1339" t="s">
        <v>23</v>
      </c>
      <c r="F1339" t="s">
        <v>24</v>
      </c>
      <c r="G1339" t="str">
        <f>"2025-10-01 05:30:50.149"</f>
        <v>2025-10-01 05:30:50.149</v>
      </c>
      <c r="H1339" t="s">
        <v>21</v>
      </c>
    </row>
    <row r="1340" spans="1:10" x14ac:dyDescent="0.25">
      <c r="A1340" s="1">
        <v>387</v>
      </c>
      <c r="B1340" t="s">
        <v>25</v>
      </c>
      <c r="C1340">
        <v>635</v>
      </c>
      <c r="D1340">
        <v>1</v>
      </c>
      <c r="E1340" t="s">
        <v>23</v>
      </c>
      <c r="F1340" t="s">
        <v>24</v>
      </c>
      <c r="G1340" t="str">
        <f>"2025-10-01 05:10:29.149"</f>
        <v>2025-10-01 05:10:29.149</v>
      </c>
      <c r="H1340" t="s">
        <v>21</v>
      </c>
      <c r="I1340">
        <v>5.75</v>
      </c>
      <c r="J1340" t="s">
        <v>36</v>
      </c>
    </row>
    <row r="1341" spans="1:10" x14ac:dyDescent="0.25">
      <c r="A1341" s="1">
        <v>388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"2025-09-30 01:51:05.758"</f>
        <v>2025-09-30 01:51:05.758</v>
      </c>
      <c r="H1341" t="s">
        <v>21</v>
      </c>
      <c r="I1341">
        <v>0</v>
      </c>
      <c r="J1341" t="s">
        <v>27</v>
      </c>
    </row>
    <row r="1342" spans="1:10" s="3" customFormat="1" x14ac:dyDescent="0.25">
      <c r="A1342" s="2">
        <v>389</v>
      </c>
      <c r="B1342" s="3" t="s">
        <v>22</v>
      </c>
      <c r="C1342" s="3">
        <v>647</v>
      </c>
      <c r="D1342" s="3">
        <v>1</v>
      </c>
      <c r="E1342" s="3" t="s">
        <v>39</v>
      </c>
      <c r="F1342" s="3" t="s">
        <v>40</v>
      </c>
      <c r="G1342" s="3" t="str">
        <f>"2025-09-28 11:29:09.613"</f>
        <v>2025-09-28 11:29:09.613</v>
      </c>
      <c r="H1342" s="3" t="s">
        <v>21</v>
      </c>
    </row>
    <row r="1343" spans="1:10" s="3" customFormat="1" x14ac:dyDescent="0.25">
      <c r="A1343" s="2">
        <v>390</v>
      </c>
      <c r="B1343" s="3" t="s">
        <v>25</v>
      </c>
      <c r="C1343" s="3">
        <v>647</v>
      </c>
      <c r="D1343" s="3">
        <v>1</v>
      </c>
      <c r="E1343" s="3" t="s">
        <v>39</v>
      </c>
      <c r="F1343" s="3" t="s">
        <v>40</v>
      </c>
      <c r="G1343" s="3" t="str">
        <f>"2025-09-28 11:29:07.113"</f>
        <v>2025-09-28 11:29:07.113</v>
      </c>
      <c r="H1343" s="3" t="s">
        <v>21</v>
      </c>
      <c r="I1343" s="3">
        <v>9.25</v>
      </c>
      <c r="J1343" s="3" t="s">
        <v>37</v>
      </c>
    </row>
    <row r="1344" spans="1:10" x14ac:dyDescent="0.25">
      <c r="A1344" s="1">
        <v>391</v>
      </c>
      <c r="B1344" t="s">
        <v>22</v>
      </c>
      <c r="C1344">
        <v>635</v>
      </c>
      <c r="D1344">
        <v>1</v>
      </c>
      <c r="E1344" t="s">
        <v>23</v>
      </c>
      <c r="F1344" t="s">
        <v>24</v>
      </c>
      <c r="G1344" t="str">
        <f>"2025-09-27 16:45:49.765"</f>
        <v>2025-09-27 16:45:49.765</v>
      </c>
      <c r="H1344" t="s">
        <v>21</v>
      </c>
    </row>
    <row r="1345" spans="1:10" x14ac:dyDescent="0.25">
      <c r="A1345" s="1">
        <v>392</v>
      </c>
      <c r="B1345" t="s">
        <v>25</v>
      </c>
      <c r="C1345">
        <v>635</v>
      </c>
      <c r="D1345">
        <v>1</v>
      </c>
      <c r="E1345" t="s">
        <v>23</v>
      </c>
      <c r="F1345" t="s">
        <v>24</v>
      </c>
      <c r="G1345" t="str">
        <f>"2025-09-27 16:16:48.365"</f>
        <v>2025-09-27 16:16:48.365</v>
      </c>
      <c r="H1345" t="s">
        <v>21</v>
      </c>
      <c r="I1345">
        <v>3.37</v>
      </c>
      <c r="J1345" t="s">
        <v>37</v>
      </c>
    </row>
    <row r="1346" spans="1:10" x14ac:dyDescent="0.25">
      <c r="A1346" s="1">
        <v>393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"2025-09-27 06:04:02.775"</f>
        <v>2025-09-27 06:04:02.775</v>
      </c>
      <c r="H1346" t="s">
        <v>21</v>
      </c>
      <c r="I1346">
        <v>0</v>
      </c>
      <c r="J1346" t="s">
        <v>27</v>
      </c>
    </row>
    <row r="1347" spans="1:10" x14ac:dyDescent="0.25">
      <c r="A1347" s="1">
        <v>394</v>
      </c>
      <c r="B1347" t="s">
        <v>19</v>
      </c>
      <c r="C1347">
        <v>706</v>
      </c>
      <c r="D1347">
        <v>4</v>
      </c>
      <c r="E1347" t="s">
        <v>31</v>
      </c>
      <c r="F1347" t="s">
        <v>32</v>
      </c>
      <c r="G1347" t="str">
        <f>"2025-09-27 05:22:22.236"</f>
        <v>2025-09-27 05:22:22.236</v>
      </c>
      <c r="H1347" t="s">
        <v>21</v>
      </c>
      <c r="I1347">
        <v>0</v>
      </c>
      <c r="J1347" t="s">
        <v>33</v>
      </c>
    </row>
    <row r="1348" spans="1:10" x14ac:dyDescent="0.25">
      <c r="A1348" s="1">
        <v>395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"2025-09-27 05:20:13.776"</f>
        <v>2025-09-27 05:20:13.776</v>
      </c>
      <c r="H1348" t="s">
        <v>21</v>
      </c>
      <c r="I1348">
        <v>0</v>
      </c>
      <c r="J1348" t="s">
        <v>27</v>
      </c>
    </row>
    <row r="1349" spans="1:10" x14ac:dyDescent="0.25">
      <c r="A1349" s="1">
        <v>396</v>
      </c>
      <c r="B1349" t="s">
        <v>19</v>
      </c>
      <c r="C1349">
        <v>706</v>
      </c>
      <c r="D1349">
        <v>2</v>
      </c>
      <c r="E1349" t="s">
        <v>31</v>
      </c>
      <c r="F1349" t="s">
        <v>35</v>
      </c>
      <c r="G1349" t="str">
        <f>"2025-09-27 05:15:26.715"</f>
        <v>2025-09-27 05:15:26.715</v>
      </c>
      <c r="H1349" t="s">
        <v>21</v>
      </c>
      <c r="I1349">
        <v>0</v>
      </c>
      <c r="J1349" t="s">
        <v>33</v>
      </c>
    </row>
    <row r="1350" spans="1:10" x14ac:dyDescent="0.25">
      <c r="A1350" s="1">
        <v>397</v>
      </c>
      <c r="B1350" t="s">
        <v>19</v>
      </c>
      <c r="C1350">
        <v>706</v>
      </c>
      <c r="D1350">
        <v>4</v>
      </c>
      <c r="E1350" t="s">
        <v>31</v>
      </c>
      <c r="F1350" t="s">
        <v>32</v>
      </c>
      <c r="G1350" t="str">
        <f>"2025-09-27 05:14:48.025"</f>
        <v>2025-09-27 05:14:48.025</v>
      </c>
      <c r="H1350" t="s">
        <v>21</v>
      </c>
      <c r="I1350">
        <v>0</v>
      </c>
      <c r="J1350" t="s">
        <v>33</v>
      </c>
    </row>
    <row r="1351" spans="1:10" x14ac:dyDescent="0.25">
      <c r="A1351" s="1">
        <v>398</v>
      </c>
      <c r="B1351" t="s">
        <v>19</v>
      </c>
      <c r="C1351">
        <v>706</v>
      </c>
      <c r="D1351">
        <v>4</v>
      </c>
      <c r="E1351" t="s">
        <v>31</v>
      </c>
      <c r="F1351" t="s">
        <v>32</v>
      </c>
      <c r="G1351" t="str">
        <f>"2025-09-27 05:11:01.645"</f>
        <v>2025-09-27 05:11:01.645</v>
      </c>
      <c r="H1351" t="s">
        <v>21</v>
      </c>
      <c r="I1351">
        <v>0</v>
      </c>
      <c r="J1351" t="s">
        <v>33</v>
      </c>
    </row>
    <row r="1352" spans="1:10" x14ac:dyDescent="0.25">
      <c r="A1352" s="1">
        <v>399</v>
      </c>
      <c r="B1352" t="s">
        <v>19</v>
      </c>
      <c r="C1352">
        <v>706</v>
      </c>
      <c r="D1352">
        <v>4</v>
      </c>
      <c r="E1352" t="s">
        <v>31</v>
      </c>
      <c r="F1352" t="s">
        <v>32</v>
      </c>
      <c r="G1352" t="str">
        <f>"2025-09-27 05:07:57.635"</f>
        <v>2025-09-27 05:07:57.635</v>
      </c>
      <c r="H1352" t="s">
        <v>21</v>
      </c>
      <c r="I1352">
        <v>0</v>
      </c>
      <c r="J1352" t="s">
        <v>33</v>
      </c>
    </row>
    <row r="1353" spans="1:10" x14ac:dyDescent="0.25">
      <c r="A1353" s="1">
        <v>400</v>
      </c>
      <c r="B1353" t="s">
        <v>19</v>
      </c>
      <c r="C1353">
        <v>706</v>
      </c>
      <c r="D1353">
        <v>2</v>
      </c>
      <c r="E1353" t="s">
        <v>31</v>
      </c>
      <c r="F1353" t="s">
        <v>35</v>
      </c>
      <c r="G1353" t="str">
        <f>"2025-09-27 05:07:37.715"</f>
        <v>2025-09-27 05:07:37.715</v>
      </c>
      <c r="H1353" t="s">
        <v>21</v>
      </c>
      <c r="I1353">
        <v>0</v>
      </c>
      <c r="J1353" t="s">
        <v>33</v>
      </c>
    </row>
    <row r="1354" spans="1:10" x14ac:dyDescent="0.25">
      <c r="A1354" s="1">
        <v>401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"2025-09-27 04:59:45.765"</f>
        <v>2025-09-27 04:59:45.765</v>
      </c>
      <c r="H1354" t="s">
        <v>21</v>
      </c>
      <c r="I1354">
        <v>0</v>
      </c>
      <c r="J1354" t="s">
        <v>27</v>
      </c>
    </row>
    <row r="1355" spans="1:10" x14ac:dyDescent="0.25">
      <c r="A1355" s="1">
        <v>402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"2025-09-27 02:56:30.909"</f>
        <v>2025-09-27 02:56:30.909</v>
      </c>
      <c r="H1355" t="s">
        <v>21</v>
      </c>
    </row>
    <row r="1356" spans="1:10" x14ac:dyDescent="0.25">
      <c r="A1356" s="1">
        <v>403</v>
      </c>
      <c r="B1356" t="s">
        <v>22</v>
      </c>
      <c r="C1356">
        <v>635</v>
      </c>
      <c r="D1356">
        <v>1</v>
      </c>
      <c r="E1356" t="s">
        <v>23</v>
      </c>
      <c r="F1356" t="s">
        <v>24</v>
      </c>
      <c r="G1356" t="str">
        <f>"2025-09-26 14:45:44.951"</f>
        <v>2025-09-26 14:45:44.951</v>
      </c>
      <c r="H1356" t="s">
        <v>21</v>
      </c>
    </row>
    <row r="1357" spans="1:10" x14ac:dyDescent="0.25">
      <c r="A1357" s="1">
        <v>404</v>
      </c>
      <c r="B1357" t="s">
        <v>25</v>
      </c>
      <c r="C1357">
        <v>635</v>
      </c>
      <c r="D1357">
        <v>1</v>
      </c>
      <c r="E1357" t="s">
        <v>23</v>
      </c>
      <c r="F1357" t="s">
        <v>24</v>
      </c>
      <c r="G1357" t="str">
        <f>"2025-09-26 14:37:12.551"</f>
        <v>2025-09-26 14:37:12.551</v>
      </c>
      <c r="H1357" t="s">
        <v>21</v>
      </c>
      <c r="I1357">
        <v>6</v>
      </c>
      <c r="J1357" t="s">
        <v>36</v>
      </c>
    </row>
    <row r="1358" spans="1:10" x14ac:dyDescent="0.25">
      <c r="A1358" s="1">
        <v>405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"2025-09-25 01:15:28.751"</f>
        <v>2025-09-25 01:15:28.751</v>
      </c>
      <c r="H1358" t="s">
        <v>21</v>
      </c>
    </row>
    <row r="1359" spans="1:10" x14ac:dyDescent="0.25">
      <c r="A1359" s="1">
        <v>407</v>
      </c>
      <c r="B1359" t="s">
        <v>22</v>
      </c>
      <c r="C1359">
        <v>630</v>
      </c>
      <c r="D1359">
        <v>5</v>
      </c>
      <c r="E1359" t="s">
        <v>28</v>
      </c>
      <c r="F1359" t="s">
        <v>29</v>
      </c>
      <c r="G1359" t="str">
        <f>"2025-09-24 10:17:59.320"</f>
        <v>2025-09-24 10:17:59.320</v>
      </c>
      <c r="H1359" t="s">
        <v>30</v>
      </c>
    </row>
    <row r="1360" spans="1:10" x14ac:dyDescent="0.25">
      <c r="A1360" s="1">
        <v>408</v>
      </c>
      <c r="B1360" t="s">
        <v>19</v>
      </c>
      <c r="C1360">
        <v>706</v>
      </c>
      <c r="D1360">
        <v>2</v>
      </c>
      <c r="E1360" t="s">
        <v>31</v>
      </c>
      <c r="F1360" t="s">
        <v>35</v>
      </c>
      <c r="G1360" t="str">
        <f>"2025-09-24 10:17:29.232"</f>
        <v>2025-09-24 10:17:29.232</v>
      </c>
      <c r="H1360" t="s">
        <v>21</v>
      </c>
      <c r="I1360">
        <v>0</v>
      </c>
      <c r="J1360" t="s">
        <v>33</v>
      </c>
    </row>
    <row r="1361" spans="1:10" x14ac:dyDescent="0.25">
      <c r="A1361" s="1">
        <v>409</v>
      </c>
      <c r="B1361" t="s">
        <v>34</v>
      </c>
      <c r="C1361">
        <v>630</v>
      </c>
      <c r="D1361">
        <v>5</v>
      </c>
      <c r="E1361" t="s">
        <v>28</v>
      </c>
      <c r="F1361" t="s">
        <v>29</v>
      </c>
      <c r="G1361" t="str">
        <f>"2025-09-24 10:08:26.620"</f>
        <v>2025-09-24 10:08:26.620</v>
      </c>
      <c r="H1361" t="s">
        <v>30</v>
      </c>
      <c r="I1361">
        <v>0</v>
      </c>
      <c r="J1361" t="s">
        <v>33</v>
      </c>
    </row>
    <row r="1362" spans="1:10" x14ac:dyDescent="0.25">
      <c r="A1362" s="1">
        <v>411</v>
      </c>
      <c r="B1362" t="s">
        <v>22</v>
      </c>
      <c r="C1362">
        <v>635</v>
      </c>
      <c r="D1362">
        <v>1</v>
      </c>
      <c r="E1362" t="s">
        <v>23</v>
      </c>
      <c r="F1362" t="s">
        <v>24</v>
      </c>
      <c r="G1362" t="str">
        <f>"2025-09-21 04:33:09.172"</f>
        <v>2025-09-21 04:33:09.172</v>
      </c>
      <c r="H1362" t="s">
        <v>21</v>
      </c>
    </row>
    <row r="1363" spans="1:10" x14ac:dyDescent="0.25">
      <c r="A1363" s="1">
        <v>412</v>
      </c>
      <c r="B1363" t="s">
        <v>25</v>
      </c>
      <c r="C1363">
        <v>635</v>
      </c>
      <c r="D1363">
        <v>1</v>
      </c>
      <c r="E1363" t="s">
        <v>23</v>
      </c>
      <c r="F1363" t="s">
        <v>24</v>
      </c>
      <c r="G1363" t="str">
        <f>"2025-09-21 04:28:58.672"</f>
        <v>2025-09-21 04:28:58.672</v>
      </c>
      <c r="H1363" t="s">
        <v>21</v>
      </c>
      <c r="I1363">
        <v>8.17</v>
      </c>
      <c r="J1363" t="s">
        <v>36</v>
      </c>
    </row>
    <row r="1364" spans="1:10" x14ac:dyDescent="0.25">
      <c r="A1364" s="1">
        <v>413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"2025-09-21 01:33:18.782"</f>
        <v>2025-09-21 01:33:18.782</v>
      </c>
      <c r="H1364" t="s">
        <v>21</v>
      </c>
      <c r="I1364">
        <v>0</v>
      </c>
      <c r="J1364" t="s">
        <v>27</v>
      </c>
    </row>
    <row r="1365" spans="1:10" x14ac:dyDescent="0.25">
      <c r="A1365" s="1">
        <v>414</v>
      </c>
      <c r="B1365" t="s">
        <v>22</v>
      </c>
      <c r="C1365">
        <v>635</v>
      </c>
      <c r="D1365">
        <v>1</v>
      </c>
      <c r="E1365" t="s">
        <v>23</v>
      </c>
      <c r="F1365" t="s">
        <v>24</v>
      </c>
      <c r="G1365" t="str">
        <f>"2025-09-19 05:25:28.542"</f>
        <v>2025-09-19 05:25:28.542</v>
      </c>
      <c r="H1365" t="s">
        <v>21</v>
      </c>
    </row>
    <row r="1366" spans="1:10" x14ac:dyDescent="0.25">
      <c r="A1366" s="1">
        <v>415</v>
      </c>
      <c r="B1366" t="s">
        <v>25</v>
      </c>
      <c r="C1366">
        <v>635</v>
      </c>
      <c r="D1366">
        <v>1</v>
      </c>
      <c r="E1366" t="s">
        <v>23</v>
      </c>
      <c r="F1366" t="s">
        <v>24</v>
      </c>
      <c r="G1366" t="str">
        <f>"2025-09-19 05:11:11.042"</f>
        <v>2025-09-19 05:11:11.042</v>
      </c>
      <c r="H1366" t="s">
        <v>21</v>
      </c>
      <c r="I1366">
        <v>8.48</v>
      </c>
      <c r="J1366" t="s">
        <v>36</v>
      </c>
    </row>
    <row r="1367" spans="1:10" x14ac:dyDescent="0.25">
      <c r="A1367" s="1">
        <v>416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"2025-09-19 01:25:34.943"</f>
        <v>2025-09-19 01:25:34.943</v>
      </c>
      <c r="H1367" t="s">
        <v>21</v>
      </c>
    </row>
    <row r="1368" spans="1:10" x14ac:dyDescent="0.25">
      <c r="A1368" s="1">
        <v>417</v>
      </c>
      <c r="B1368" t="s">
        <v>22</v>
      </c>
      <c r="C1368">
        <v>635</v>
      </c>
      <c r="D1368">
        <v>1</v>
      </c>
      <c r="E1368" t="s">
        <v>23</v>
      </c>
      <c r="F1368" t="s">
        <v>24</v>
      </c>
      <c r="G1368" t="str">
        <f>"2025-09-18 06:26:24.912"</f>
        <v>2025-09-18 06:26:24.912</v>
      </c>
      <c r="H1368" t="s">
        <v>21</v>
      </c>
    </row>
    <row r="1369" spans="1:10" x14ac:dyDescent="0.25">
      <c r="A1369" s="1">
        <v>418</v>
      </c>
      <c r="B1369" t="s">
        <v>25</v>
      </c>
      <c r="C1369">
        <v>635</v>
      </c>
      <c r="D1369">
        <v>1</v>
      </c>
      <c r="E1369" t="s">
        <v>23</v>
      </c>
      <c r="F1369" t="s">
        <v>24</v>
      </c>
      <c r="G1369" t="str">
        <f>"2025-09-18 06:02:24.512"</f>
        <v>2025-09-18 06:02:24.512</v>
      </c>
      <c r="H1369" t="s">
        <v>21</v>
      </c>
      <c r="I1369">
        <v>7.38</v>
      </c>
      <c r="J1369" t="s">
        <v>36</v>
      </c>
    </row>
    <row r="1370" spans="1:10" x14ac:dyDescent="0.25">
      <c r="A1370" s="1">
        <v>419</v>
      </c>
      <c r="B1370" t="s">
        <v>22</v>
      </c>
      <c r="C1370">
        <v>635</v>
      </c>
      <c r="D1370">
        <v>1</v>
      </c>
      <c r="E1370" t="s">
        <v>23</v>
      </c>
      <c r="F1370" t="s">
        <v>24</v>
      </c>
      <c r="G1370" t="str">
        <f>"2025-09-17 17:03:12.312"</f>
        <v>2025-09-17 17:03:12.312</v>
      </c>
      <c r="H1370" t="s">
        <v>21</v>
      </c>
    </row>
    <row r="1371" spans="1:10" x14ac:dyDescent="0.25">
      <c r="A1371" s="1">
        <v>420</v>
      </c>
      <c r="B1371" t="s">
        <v>25</v>
      </c>
      <c r="C1371">
        <v>635</v>
      </c>
      <c r="D1371">
        <v>1</v>
      </c>
      <c r="E1371" t="s">
        <v>23</v>
      </c>
      <c r="F1371" t="s">
        <v>24</v>
      </c>
      <c r="G1371" t="str">
        <f>"2025-09-17 16:49:20.412"</f>
        <v>2025-09-17 16:49:20.412</v>
      </c>
      <c r="H1371" t="s">
        <v>21</v>
      </c>
      <c r="I1371">
        <v>6.43</v>
      </c>
      <c r="J1371" t="s">
        <v>36</v>
      </c>
    </row>
    <row r="1372" spans="1:10" x14ac:dyDescent="0.25">
      <c r="A1372" s="1">
        <v>421</v>
      </c>
      <c r="B1372" t="s">
        <v>22</v>
      </c>
      <c r="C1372">
        <v>635</v>
      </c>
      <c r="D1372">
        <v>1</v>
      </c>
      <c r="E1372" t="s">
        <v>23</v>
      </c>
      <c r="F1372" t="s">
        <v>24</v>
      </c>
      <c r="G1372" t="str">
        <f>"2025-09-16 22:37:37.812"</f>
        <v>2025-09-16 22:37:37.812</v>
      </c>
      <c r="H1372" t="s">
        <v>21</v>
      </c>
    </row>
    <row r="1373" spans="1:10" x14ac:dyDescent="0.25">
      <c r="A1373" s="1">
        <v>422</v>
      </c>
      <c r="B1373" t="s">
        <v>25</v>
      </c>
      <c r="C1373">
        <v>635</v>
      </c>
      <c r="D1373">
        <v>1</v>
      </c>
      <c r="E1373" t="s">
        <v>23</v>
      </c>
      <c r="F1373" t="s">
        <v>24</v>
      </c>
      <c r="G1373" t="str">
        <f>"2025-09-16 22:22:52.312"</f>
        <v>2025-09-16 22:22:52.312</v>
      </c>
      <c r="H1373" t="s">
        <v>21</v>
      </c>
      <c r="I1373">
        <v>6.16</v>
      </c>
      <c r="J1373" t="s">
        <v>36</v>
      </c>
    </row>
    <row r="1374" spans="1:10" x14ac:dyDescent="0.25">
      <c r="A1374" s="1">
        <v>423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"2025-09-16 12:27:29.762"</f>
        <v>2025-09-16 12:27:29.762</v>
      </c>
      <c r="H1374" t="s">
        <v>21</v>
      </c>
    </row>
    <row r="1375" spans="1:10" x14ac:dyDescent="0.25">
      <c r="A1375" s="1">
        <v>424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"2025-09-16 11:52:01.773"</f>
        <v>2025-09-16 11:52:01.773</v>
      </c>
      <c r="H1375" t="s">
        <v>21</v>
      </c>
      <c r="I1375">
        <v>0</v>
      </c>
      <c r="J1375" t="s">
        <v>27</v>
      </c>
    </row>
    <row r="1376" spans="1:10" x14ac:dyDescent="0.25">
      <c r="A1376" s="1">
        <v>425</v>
      </c>
      <c r="B1376" t="s">
        <v>19</v>
      </c>
      <c r="C1376">
        <v>706</v>
      </c>
      <c r="D1376">
        <v>2</v>
      </c>
      <c r="E1376" t="s">
        <v>31</v>
      </c>
      <c r="F1376" t="s">
        <v>35</v>
      </c>
      <c r="G1376" t="str">
        <f>"2025-09-16 10:05:56.071"</f>
        <v>2025-09-16 10:05:56.071</v>
      </c>
      <c r="H1376" t="s">
        <v>21</v>
      </c>
      <c r="I1376">
        <v>0</v>
      </c>
      <c r="J1376" t="s">
        <v>33</v>
      </c>
    </row>
    <row r="1377" spans="1:10" x14ac:dyDescent="0.25">
      <c r="A1377" s="1">
        <v>426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"2025-09-16 09:50:22.861"</f>
        <v>2025-09-16 09:50:22.861</v>
      </c>
      <c r="H1377" t="s">
        <v>21</v>
      </c>
    </row>
    <row r="1378" spans="1:10" x14ac:dyDescent="0.25">
      <c r="A1378" s="1">
        <v>427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"2025-09-16 08:51:29.948"</f>
        <v>2025-09-16 08:51:29.948</v>
      </c>
      <c r="H1378" t="s">
        <v>21</v>
      </c>
      <c r="I1378">
        <v>0</v>
      </c>
      <c r="J1378" t="s">
        <v>27</v>
      </c>
    </row>
    <row r="1379" spans="1:10" x14ac:dyDescent="0.25">
      <c r="A1379" s="1">
        <v>428</v>
      </c>
      <c r="B1379" t="s">
        <v>22</v>
      </c>
      <c r="C1379">
        <v>630</v>
      </c>
      <c r="D1379">
        <v>5</v>
      </c>
      <c r="E1379" t="s">
        <v>28</v>
      </c>
      <c r="F1379" t="s">
        <v>29</v>
      </c>
      <c r="G1379" t="str">
        <f>"2025-09-15 19:54:36.405"</f>
        <v>2025-09-15 19:54:36.405</v>
      </c>
      <c r="H1379" t="s">
        <v>30</v>
      </c>
    </row>
    <row r="1380" spans="1:10" x14ac:dyDescent="0.25">
      <c r="A1380" s="1">
        <v>429</v>
      </c>
      <c r="B1380" t="s">
        <v>19</v>
      </c>
      <c r="C1380">
        <v>706</v>
      </c>
      <c r="D1380">
        <v>2</v>
      </c>
      <c r="E1380" t="s">
        <v>31</v>
      </c>
      <c r="F1380" t="s">
        <v>35</v>
      </c>
      <c r="G1380" t="str">
        <f>"2025-09-15 19:54:06.313"</f>
        <v>2025-09-15 19:54:06.313</v>
      </c>
      <c r="H1380" t="s">
        <v>21</v>
      </c>
      <c r="I1380">
        <v>0</v>
      </c>
      <c r="J1380" t="s">
        <v>33</v>
      </c>
    </row>
    <row r="1381" spans="1:10" x14ac:dyDescent="0.25">
      <c r="A1381" s="1">
        <v>430</v>
      </c>
      <c r="B1381" t="s">
        <v>34</v>
      </c>
      <c r="C1381">
        <v>630</v>
      </c>
      <c r="D1381">
        <v>5</v>
      </c>
      <c r="E1381" t="s">
        <v>28</v>
      </c>
      <c r="F1381" t="s">
        <v>29</v>
      </c>
      <c r="G1381" t="str">
        <f>"2025-09-15 19:46:58.905"</f>
        <v>2025-09-15 19:46:58.905</v>
      </c>
      <c r="H1381" t="s">
        <v>30</v>
      </c>
      <c r="I1381">
        <v>0</v>
      </c>
      <c r="J1381" t="s">
        <v>33</v>
      </c>
    </row>
    <row r="1382" spans="1:10" x14ac:dyDescent="0.25">
      <c r="A1382" s="1">
        <v>431</v>
      </c>
      <c r="B1382" t="s">
        <v>22</v>
      </c>
      <c r="C1382">
        <v>630</v>
      </c>
      <c r="D1382">
        <v>5</v>
      </c>
      <c r="E1382" t="s">
        <v>28</v>
      </c>
      <c r="F1382" t="s">
        <v>29</v>
      </c>
      <c r="G1382" t="str">
        <f>"2025-09-15 16:08:16.905"</f>
        <v>2025-09-15 16:08:16.905</v>
      </c>
      <c r="H1382" t="s">
        <v>30</v>
      </c>
    </row>
    <row r="1383" spans="1:10" x14ac:dyDescent="0.25">
      <c r="A1383" s="1">
        <v>432</v>
      </c>
      <c r="B1383" t="s">
        <v>19</v>
      </c>
      <c r="C1383">
        <v>706</v>
      </c>
      <c r="D1383">
        <v>4</v>
      </c>
      <c r="E1383" t="s">
        <v>31</v>
      </c>
      <c r="F1383" t="s">
        <v>32</v>
      </c>
      <c r="G1383" t="str">
        <f>"2025-09-15 16:07:46.883"</f>
        <v>2025-09-15 16:07:46.883</v>
      </c>
      <c r="H1383" t="s">
        <v>21</v>
      </c>
      <c r="I1383">
        <v>0</v>
      </c>
      <c r="J1383" t="s">
        <v>33</v>
      </c>
    </row>
    <row r="1384" spans="1:10" x14ac:dyDescent="0.25">
      <c r="A1384" s="1">
        <v>433</v>
      </c>
      <c r="B1384" t="s">
        <v>34</v>
      </c>
      <c r="C1384">
        <v>630</v>
      </c>
      <c r="D1384">
        <v>5</v>
      </c>
      <c r="E1384" t="s">
        <v>28</v>
      </c>
      <c r="F1384" t="s">
        <v>29</v>
      </c>
      <c r="G1384" t="str">
        <f>"2025-09-15 15:59:33.005"</f>
        <v>2025-09-15 15:59:33.005</v>
      </c>
      <c r="H1384" t="s">
        <v>30</v>
      </c>
      <c r="I1384">
        <v>0</v>
      </c>
      <c r="J1384" t="s">
        <v>33</v>
      </c>
    </row>
    <row r="1385" spans="1:10" x14ac:dyDescent="0.25">
      <c r="A1385" s="1">
        <v>434</v>
      </c>
      <c r="B1385" t="s">
        <v>19</v>
      </c>
      <c r="C1385">
        <v>706</v>
      </c>
      <c r="D1385">
        <v>4</v>
      </c>
      <c r="E1385" t="s">
        <v>31</v>
      </c>
      <c r="F1385" t="s">
        <v>32</v>
      </c>
      <c r="G1385" t="str">
        <f>"2025-09-15 09:43:49.573"</f>
        <v>2025-09-15 09:43:49.573</v>
      </c>
      <c r="H1385" t="s">
        <v>21</v>
      </c>
      <c r="I1385">
        <v>0</v>
      </c>
      <c r="J1385" t="s">
        <v>33</v>
      </c>
    </row>
    <row r="1386" spans="1:10" x14ac:dyDescent="0.25">
      <c r="A1386" s="1">
        <v>435</v>
      </c>
      <c r="B1386" t="s">
        <v>19</v>
      </c>
      <c r="C1386">
        <v>706</v>
      </c>
      <c r="D1386">
        <v>2</v>
      </c>
      <c r="E1386" t="s">
        <v>31</v>
      </c>
      <c r="F1386" t="s">
        <v>35</v>
      </c>
      <c r="G1386" t="str">
        <f>"2025-09-13 14:02:23.613"</f>
        <v>2025-09-13 14:02:23.613</v>
      </c>
      <c r="H1386" t="s">
        <v>21</v>
      </c>
      <c r="I1386">
        <v>0</v>
      </c>
      <c r="J1386" t="s">
        <v>33</v>
      </c>
    </row>
    <row r="1387" spans="1:10" x14ac:dyDescent="0.25">
      <c r="A1387" s="1">
        <v>436</v>
      </c>
      <c r="B1387" t="s">
        <v>19</v>
      </c>
      <c r="C1387">
        <v>706</v>
      </c>
      <c r="D1387">
        <v>4</v>
      </c>
      <c r="E1387" t="s">
        <v>31</v>
      </c>
      <c r="F1387" t="s">
        <v>32</v>
      </c>
      <c r="G1387" t="str">
        <f>"2025-09-13 12:34:53.543"</f>
        <v>2025-09-13 12:34:53.543</v>
      </c>
      <c r="H1387" t="s">
        <v>21</v>
      </c>
      <c r="I1387">
        <v>0</v>
      </c>
      <c r="J1387" t="s">
        <v>33</v>
      </c>
    </row>
    <row r="1388" spans="1:10" x14ac:dyDescent="0.25">
      <c r="A1388" s="1">
        <v>437</v>
      </c>
      <c r="B1388" t="s">
        <v>22</v>
      </c>
      <c r="C1388">
        <v>630</v>
      </c>
      <c r="D1388">
        <v>5</v>
      </c>
      <c r="E1388" t="s">
        <v>28</v>
      </c>
      <c r="F1388" t="s">
        <v>29</v>
      </c>
      <c r="G1388" t="str">
        <f>"2025-09-13 12:32:08.705"</f>
        <v>2025-09-13 12:32:08.705</v>
      </c>
      <c r="H1388" t="s">
        <v>30</v>
      </c>
    </row>
    <row r="1389" spans="1:10" x14ac:dyDescent="0.25">
      <c r="A1389" s="1">
        <v>438</v>
      </c>
      <c r="B1389" t="s">
        <v>34</v>
      </c>
      <c r="C1389">
        <v>630</v>
      </c>
      <c r="D1389">
        <v>5</v>
      </c>
      <c r="E1389" t="s">
        <v>28</v>
      </c>
      <c r="F1389" t="s">
        <v>29</v>
      </c>
      <c r="G1389" t="str">
        <f>"2025-09-13 12:07:59.905"</f>
        <v>2025-09-13 12:07:59.905</v>
      </c>
      <c r="H1389" t="s">
        <v>30</v>
      </c>
      <c r="I1389">
        <v>0</v>
      </c>
      <c r="J1389" t="s">
        <v>33</v>
      </c>
    </row>
    <row r="1390" spans="1:10" s="3" customFormat="1" x14ac:dyDescent="0.25">
      <c r="A1390" s="2">
        <v>439</v>
      </c>
      <c r="B1390" s="3" t="s">
        <v>22</v>
      </c>
      <c r="C1390" s="3">
        <v>647</v>
      </c>
      <c r="D1390" s="3">
        <v>1</v>
      </c>
      <c r="E1390" s="3" t="s">
        <v>39</v>
      </c>
      <c r="F1390" s="3" t="s">
        <v>40</v>
      </c>
      <c r="G1390" s="3" t="str">
        <f>"2025-09-13 03:54:11.005"</f>
        <v>2025-09-13 03:54:11.005</v>
      </c>
      <c r="H1390" s="3" t="s">
        <v>21</v>
      </c>
    </row>
    <row r="1391" spans="1:10" s="3" customFormat="1" x14ac:dyDescent="0.25">
      <c r="A1391" s="2">
        <v>440</v>
      </c>
      <c r="B1391" s="3" t="s">
        <v>25</v>
      </c>
      <c r="C1391" s="3">
        <v>647</v>
      </c>
      <c r="D1391" s="3">
        <v>1</v>
      </c>
      <c r="E1391" s="3" t="s">
        <v>39</v>
      </c>
      <c r="F1391" s="3" t="s">
        <v>40</v>
      </c>
      <c r="G1391" s="3" t="str">
        <f>"2025-09-13 03:54:04.505"</f>
        <v>2025-09-13 03:54:04.505</v>
      </c>
      <c r="H1391" s="3" t="s">
        <v>21</v>
      </c>
      <c r="I1391" s="3">
        <v>22.3</v>
      </c>
      <c r="J1391" s="3" t="s">
        <v>37</v>
      </c>
    </row>
    <row r="1392" spans="1:10" x14ac:dyDescent="0.25">
      <c r="A1392" s="1">
        <v>441</v>
      </c>
      <c r="B1392" t="s">
        <v>19</v>
      </c>
      <c r="C1392">
        <v>706</v>
      </c>
      <c r="D1392">
        <v>4</v>
      </c>
      <c r="E1392" t="s">
        <v>31</v>
      </c>
      <c r="F1392" t="s">
        <v>32</v>
      </c>
      <c r="G1392" t="str">
        <f>"2025-09-11 14:34:34.413"</f>
        <v>2025-09-11 14:34:34.413</v>
      </c>
      <c r="H1392" t="s">
        <v>21</v>
      </c>
      <c r="I1392">
        <v>0</v>
      </c>
      <c r="J1392" t="s">
        <v>33</v>
      </c>
    </row>
    <row r="1393" spans="1:10" x14ac:dyDescent="0.25">
      <c r="A1393" s="1">
        <v>442</v>
      </c>
      <c r="B1393" t="s">
        <v>22</v>
      </c>
      <c r="C1393">
        <v>630</v>
      </c>
      <c r="D1393">
        <v>5</v>
      </c>
      <c r="E1393" t="s">
        <v>28</v>
      </c>
      <c r="F1393" t="s">
        <v>29</v>
      </c>
      <c r="G1393" t="str">
        <f>"2025-09-11 12:48:15.505"</f>
        <v>2025-09-11 12:48:15.505</v>
      </c>
      <c r="H1393" t="s">
        <v>30</v>
      </c>
    </row>
    <row r="1394" spans="1:10" x14ac:dyDescent="0.25">
      <c r="A1394" s="1">
        <v>443</v>
      </c>
      <c r="B1394" t="s">
        <v>34</v>
      </c>
      <c r="C1394">
        <v>630</v>
      </c>
      <c r="D1394">
        <v>5</v>
      </c>
      <c r="E1394" t="s">
        <v>28</v>
      </c>
      <c r="F1394" t="s">
        <v>29</v>
      </c>
      <c r="G1394" t="str">
        <f>"2025-09-11 12:46:50.305"</f>
        <v>2025-09-11 12:46:50.305</v>
      </c>
      <c r="H1394" t="s">
        <v>30</v>
      </c>
      <c r="I1394">
        <v>0</v>
      </c>
      <c r="J1394" t="s">
        <v>33</v>
      </c>
    </row>
    <row r="1395" spans="1:10" x14ac:dyDescent="0.25">
      <c r="A1395" s="1">
        <v>444</v>
      </c>
      <c r="B1395" t="s">
        <v>22</v>
      </c>
      <c r="C1395">
        <v>635</v>
      </c>
      <c r="D1395">
        <v>1</v>
      </c>
      <c r="E1395" t="s">
        <v>23</v>
      </c>
      <c r="F1395" t="s">
        <v>24</v>
      </c>
      <c r="G1395" t="str">
        <f>"2025-09-11 01:44:04.051"</f>
        <v>2025-09-11 01:44:04.051</v>
      </c>
      <c r="H1395" t="s">
        <v>21</v>
      </c>
    </row>
    <row r="1396" spans="1:10" x14ac:dyDescent="0.25">
      <c r="A1396" s="1">
        <v>445</v>
      </c>
      <c r="B1396" t="s">
        <v>25</v>
      </c>
      <c r="C1396">
        <v>635</v>
      </c>
      <c r="D1396">
        <v>1</v>
      </c>
      <c r="E1396" t="s">
        <v>23</v>
      </c>
      <c r="F1396" t="s">
        <v>24</v>
      </c>
      <c r="G1396" t="str">
        <f>"2025-09-11 01:38:40.051"</f>
        <v>2025-09-11 01:38:40.051</v>
      </c>
      <c r="H1396" t="s">
        <v>21</v>
      </c>
      <c r="I1396">
        <v>6.39</v>
      </c>
      <c r="J1396" t="s">
        <v>36</v>
      </c>
    </row>
    <row r="1397" spans="1:10" x14ac:dyDescent="0.25">
      <c r="A1397" s="1">
        <v>446</v>
      </c>
      <c r="B1397" t="s">
        <v>19</v>
      </c>
      <c r="C1397">
        <v>706</v>
      </c>
      <c r="D1397">
        <v>4</v>
      </c>
      <c r="E1397" t="s">
        <v>31</v>
      </c>
      <c r="F1397" t="s">
        <v>32</v>
      </c>
      <c r="G1397" t="str">
        <f>"2025-09-10 09:47:16.483"</f>
        <v>2025-09-10 09:47:16.483</v>
      </c>
      <c r="H1397" t="s">
        <v>21</v>
      </c>
      <c r="I1397">
        <v>0</v>
      </c>
      <c r="J1397" t="s">
        <v>33</v>
      </c>
    </row>
    <row r="1398" spans="1:10" s="3" customFormat="1" x14ac:dyDescent="0.25">
      <c r="A1398" s="2">
        <v>447</v>
      </c>
      <c r="B1398" s="3" t="s">
        <v>22</v>
      </c>
      <c r="C1398" s="3">
        <v>647</v>
      </c>
      <c r="D1398" s="3">
        <v>1</v>
      </c>
      <c r="E1398" s="3" t="s">
        <v>39</v>
      </c>
      <c r="F1398" s="3" t="s">
        <v>40</v>
      </c>
      <c r="G1398" s="3" t="str">
        <f>"2025-09-10 01:28:13.605"</f>
        <v>2025-09-10 01:28:13.605</v>
      </c>
      <c r="H1398" s="3" t="s">
        <v>21</v>
      </c>
    </row>
    <row r="1399" spans="1:10" s="3" customFormat="1" x14ac:dyDescent="0.25">
      <c r="A1399" s="2">
        <v>448</v>
      </c>
      <c r="B1399" s="3" t="s">
        <v>25</v>
      </c>
      <c r="C1399" s="3">
        <v>647</v>
      </c>
      <c r="D1399" s="3">
        <v>1</v>
      </c>
      <c r="E1399" s="3" t="s">
        <v>39</v>
      </c>
      <c r="F1399" s="3" t="s">
        <v>40</v>
      </c>
      <c r="G1399" s="3" t="str">
        <f>"2025-09-10 01:28:12.305"</f>
        <v>2025-09-10 01:28:12.305</v>
      </c>
      <c r="H1399" s="3" t="s">
        <v>21</v>
      </c>
      <c r="I1399" s="3">
        <v>20.05</v>
      </c>
      <c r="J1399" s="3" t="s">
        <v>37</v>
      </c>
    </row>
    <row r="1400" spans="1:10" x14ac:dyDescent="0.25">
      <c r="A1400" s="1">
        <v>449</v>
      </c>
      <c r="B1400" t="s">
        <v>19</v>
      </c>
      <c r="C1400">
        <v>706</v>
      </c>
      <c r="D1400">
        <v>2</v>
      </c>
      <c r="E1400" t="s">
        <v>31</v>
      </c>
      <c r="F1400" t="s">
        <v>35</v>
      </c>
      <c r="G1400" t="str">
        <f>"2025-09-09 17:16:26.113"</f>
        <v>2025-09-09 17:16:26.113</v>
      </c>
      <c r="H1400" t="s">
        <v>21</v>
      </c>
      <c r="I1400">
        <v>0</v>
      </c>
      <c r="J1400" t="s">
        <v>33</v>
      </c>
    </row>
    <row r="1401" spans="1:10" x14ac:dyDescent="0.25">
      <c r="A1401" s="1">
        <v>450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"2025-09-09 17:14:50.743"</f>
        <v>2025-09-09 17:14:50.743</v>
      </c>
      <c r="H1401" t="s">
        <v>21</v>
      </c>
      <c r="I1401">
        <v>0</v>
      </c>
      <c r="J1401" t="s">
        <v>27</v>
      </c>
    </row>
    <row r="1402" spans="1:10" x14ac:dyDescent="0.25">
      <c r="A1402" s="1">
        <v>451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"2025-09-09 13:33:21.762"</f>
        <v>2025-09-09 13:33:21.762</v>
      </c>
      <c r="H1402" t="s">
        <v>21</v>
      </c>
      <c r="I1402">
        <v>0</v>
      </c>
      <c r="J1402" t="s">
        <v>27</v>
      </c>
    </row>
    <row r="1403" spans="1:10" x14ac:dyDescent="0.25">
      <c r="A1403" s="1">
        <v>452</v>
      </c>
      <c r="B1403" t="s">
        <v>19</v>
      </c>
      <c r="C1403">
        <v>706</v>
      </c>
      <c r="D1403">
        <v>2</v>
      </c>
      <c r="E1403" t="s">
        <v>31</v>
      </c>
      <c r="F1403" t="s">
        <v>35</v>
      </c>
      <c r="G1403" t="str">
        <f>"2025-09-09 10:15:10.291"</f>
        <v>2025-09-09 10:15:10.291</v>
      </c>
      <c r="H1403" t="s">
        <v>21</v>
      </c>
      <c r="I1403">
        <v>0</v>
      </c>
      <c r="J1403" t="s">
        <v>33</v>
      </c>
    </row>
    <row r="1404" spans="1:10" x14ac:dyDescent="0.25">
      <c r="A1404" s="1">
        <v>453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"2025-09-09 10:14:50.821"</f>
        <v>2025-09-09 10:14:50.821</v>
      </c>
      <c r="H1404" t="s">
        <v>21</v>
      </c>
    </row>
    <row r="1405" spans="1:10" x14ac:dyDescent="0.25">
      <c r="A1405" s="1">
        <v>454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"2025-09-09 09:39:33.751"</f>
        <v>2025-09-09 09:39:33.751</v>
      </c>
      <c r="H1405" t="s">
        <v>21</v>
      </c>
    </row>
    <row r="1406" spans="1:10" x14ac:dyDescent="0.25">
      <c r="A1406" s="1">
        <v>455</v>
      </c>
      <c r="B1406" t="s">
        <v>19</v>
      </c>
      <c r="C1406">
        <v>706</v>
      </c>
      <c r="D1406">
        <v>2</v>
      </c>
      <c r="E1406" t="s">
        <v>31</v>
      </c>
      <c r="F1406" t="s">
        <v>35</v>
      </c>
      <c r="G1406" t="str">
        <f>"2025-09-09 09:35:23.668"</f>
        <v>2025-09-09 09:35:23.668</v>
      </c>
      <c r="H1406" t="s">
        <v>21</v>
      </c>
      <c r="I1406">
        <v>0</v>
      </c>
      <c r="J1406" t="s">
        <v>33</v>
      </c>
    </row>
    <row r="1407" spans="1:10" x14ac:dyDescent="0.25">
      <c r="A1407" s="1">
        <v>456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"2025-09-09 09:31:26.768"</f>
        <v>2025-09-09 09:31:26.768</v>
      </c>
      <c r="H1407" t="s">
        <v>21</v>
      </c>
      <c r="I1407">
        <v>0</v>
      </c>
      <c r="J1407" t="s">
        <v>27</v>
      </c>
    </row>
    <row r="1408" spans="1:10" x14ac:dyDescent="0.25">
      <c r="A1408" s="1">
        <v>457</v>
      </c>
      <c r="B1408" t="s">
        <v>22</v>
      </c>
      <c r="C1408">
        <v>630</v>
      </c>
      <c r="D1408">
        <v>5</v>
      </c>
      <c r="E1408" t="s">
        <v>28</v>
      </c>
      <c r="F1408" t="s">
        <v>29</v>
      </c>
      <c r="G1408" t="str">
        <f>"2025-09-08 17:53:48.914"</f>
        <v>2025-09-08 17:53:48.914</v>
      </c>
      <c r="H1408" t="s">
        <v>30</v>
      </c>
    </row>
    <row r="1409" spans="1:10" x14ac:dyDescent="0.25">
      <c r="A1409" s="1">
        <v>458</v>
      </c>
      <c r="B1409" t="s">
        <v>19</v>
      </c>
      <c r="C1409">
        <v>706</v>
      </c>
      <c r="D1409">
        <v>2</v>
      </c>
      <c r="E1409" t="s">
        <v>31</v>
      </c>
      <c r="F1409" t="s">
        <v>35</v>
      </c>
      <c r="G1409" t="str">
        <f>"2025-09-08 17:53:18.816"</f>
        <v>2025-09-08 17:53:18.816</v>
      </c>
      <c r="H1409" t="s">
        <v>21</v>
      </c>
      <c r="I1409">
        <v>0</v>
      </c>
      <c r="J1409" t="s">
        <v>33</v>
      </c>
    </row>
    <row r="1410" spans="1:10" x14ac:dyDescent="0.25">
      <c r="A1410" s="1">
        <v>459</v>
      </c>
      <c r="B1410" t="s">
        <v>34</v>
      </c>
      <c r="C1410">
        <v>630</v>
      </c>
      <c r="D1410">
        <v>5</v>
      </c>
      <c r="E1410" t="s">
        <v>28</v>
      </c>
      <c r="F1410" t="s">
        <v>29</v>
      </c>
      <c r="G1410" t="str">
        <f>"2025-09-08 17:44:34.114"</f>
        <v>2025-09-08 17:44:34.114</v>
      </c>
      <c r="H1410" t="s">
        <v>30</v>
      </c>
      <c r="I1410">
        <v>0</v>
      </c>
      <c r="J1410" t="s">
        <v>33</v>
      </c>
    </row>
    <row r="1411" spans="1:10" x14ac:dyDescent="0.25">
      <c r="A1411" s="1">
        <v>460</v>
      </c>
      <c r="B1411" t="s">
        <v>19</v>
      </c>
      <c r="C1411">
        <v>706</v>
      </c>
      <c r="D1411">
        <v>2</v>
      </c>
      <c r="E1411" t="s">
        <v>31</v>
      </c>
      <c r="F1411" t="s">
        <v>35</v>
      </c>
      <c r="G1411" t="str">
        <f>"2025-09-08 14:11:30.216"</f>
        <v>2025-09-08 14:11:30.216</v>
      </c>
      <c r="H1411" t="s">
        <v>21</v>
      </c>
      <c r="I1411">
        <v>0</v>
      </c>
      <c r="J1411" t="s">
        <v>33</v>
      </c>
    </row>
    <row r="1412" spans="1:10" x14ac:dyDescent="0.25">
      <c r="A1412" s="1">
        <v>461</v>
      </c>
      <c r="B1412" t="s">
        <v>19</v>
      </c>
      <c r="C1412">
        <v>706</v>
      </c>
      <c r="D1412">
        <v>2</v>
      </c>
      <c r="E1412" t="s">
        <v>31</v>
      </c>
      <c r="F1412" t="s">
        <v>35</v>
      </c>
      <c r="G1412" t="str">
        <f>"2025-09-08 10:05:55.116"</f>
        <v>2025-09-08 10:05:55.116</v>
      </c>
      <c r="H1412" t="s">
        <v>21</v>
      </c>
      <c r="I1412">
        <v>0</v>
      </c>
      <c r="J1412" t="s">
        <v>33</v>
      </c>
    </row>
    <row r="1413" spans="1:10" s="3" customFormat="1" x14ac:dyDescent="0.25">
      <c r="A1413" s="2">
        <v>462</v>
      </c>
      <c r="B1413" s="3" t="s">
        <v>22</v>
      </c>
      <c r="C1413" s="3">
        <v>647</v>
      </c>
      <c r="D1413" s="3">
        <v>1</v>
      </c>
      <c r="E1413" s="3" t="s">
        <v>39</v>
      </c>
      <c r="F1413" s="3" t="s">
        <v>40</v>
      </c>
      <c r="G1413" s="3" t="str">
        <f>"2025-09-08 04:53:57.414"</f>
        <v>2025-09-08 04:53:57.414</v>
      </c>
      <c r="H1413" s="3" t="s">
        <v>21</v>
      </c>
    </row>
    <row r="1414" spans="1:10" s="3" customFormat="1" x14ac:dyDescent="0.25">
      <c r="A1414" s="2">
        <v>463</v>
      </c>
      <c r="B1414" s="3" t="s">
        <v>25</v>
      </c>
      <c r="C1414" s="3">
        <v>647</v>
      </c>
      <c r="D1414" s="3">
        <v>1</v>
      </c>
      <c r="E1414" s="3" t="s">
        <v>39</v>
      </c>
      <c r="F1414" s="3" t="s">
        <v>40</v>
      </c>
      <c r="G1414" s="3" t="str">
        <f>"2025-09-08 04:53:54.515"</f>
        <v>2025-09-08 04:53:54.515</v>
      </c>
      <c r="H1414" s="3" t="s">
        <v>21</v>
      </c>
      <c r="I1414" s="3">
        <v>8.73</v>
      </c>
      <c r="J1414" s="3" t="s">
        <v>37</v>
      </c>
    </row>
    <row r="1415" spans="1:10" s="3" customFormat="1" x14ac:dyDescent="0.25">
      <c r="A1415" s="2">
        <v>464</v>
      </c>
      <c r="B1415" s="3" t="s">
        <v>22</v>
      </c>
      <c r="C1415" s="3">
        <v>647</v>
      </c>
      <c r="D1415" s="3">
        <v>1</v>
      </c>
      <c r="E1415" s="3" t="s">
        <v>39</v>
      </c>
      <c r="F1415" s="3" t="s">
        <v>40</v>
      </c>
      <c r="G1415" s="3" t="str">
        <f>"2025-09-07 22:44:21.514"</f>
        <v>2025-09-07 22:44:21.514</v>
      </c>
      <c r="H1415" s="3" t="s">
        <v>21</v>
      </c>
    </row>
    <row r="1416" spans="1:10" s="3" customFormat="1" x14ac:dyDescent="0.25">
      <c r="A1416" s="2">
        <v>465</v>
      </c>
      <c r="B1416" s="3" t="s">
        <v>25</v>
      </c>
      <c r="C1416" s="3">
        <v>647</v>
      </c>
      <c r="D1416" s="3">
        <v>1</v>
      </c>
      <c r="E1416" s="3" t="s">
        <v>39</v>
      </c>
      <c r="F1416" s="3" t="s">
        <v>40</v>
      </c>
      <c r="G1416" s="3" t="str">
        <f>"2025-09-07 22:44:14.614"</f>
        <v>2025-09-07 22:44:14.614</v>
      </c>
      <c r="H1416" s="3" t="s">
        <v>21</v>
      </c>
      <c r="I1416" s="3">
        <v>13.28</v>
      </c>
      <c r="J1416" s="3" t="s">
        <v>37</v>
      </c>
    </row>
    <row r="1417" spans="1:10" x14ac:dyDescent="0.25">
      <c r="A1417" s="1">
        <v>466</v>
      </c>
      <c r="B1417" t="s">
        <v>19</v>
      </c>
      <c r="C1417">
        <v>706</v>
      </c>
      <c r="D1417">
        <v>4</v>
      </c>
      <c r="E1417" t="s">
        <v>31</v>
      </c>
      <c r="F1417" t="s">
        <v>32</v>
      </c>
      <c r="G1417" t="str">
        <f>"2025-09-07 13:40:20.596"</f>
        <v>2025-09-07 13:40:20.596</v>
      </c>
      <c r="H1417" t="s">
        <v>21</v>
      </c>
      <c r="I1417">
        <v>0</v>
      </c>
      <c r="J1417" t="s">
        <v>33</v>
      </c>
    </row>
    <row r="1418" spans="1:10" x14ac:dyDescent="0.25">
      <c r="A1418" s="1">
        <v>467</v>
      </c>
      <c r="B1418" t="s">
        <v>22</v>
      </c>
      <c r="C1418">
        <v>630</v>
      </c>
      <c r="D1418">
        <v>5</v>
      </c>
      <c r="E1418" t="s">
        <v>28</v>
      </c>
      <c r="F1418" t="s">
        <v>29</v>
      </c>
      <c r="G1418" t="str">
        <f>"2025-09-07 13:09:57.514"</f>
        <v>2025-09-07 13:09:57.514</v>
      </c>
      <c r="H1418" t="s">
        <v>30</v>
      </c>
    </row>
    <row r="1419" spans="1:10" x14ac:dyDescent="0.25">
      <c r="A1419" s="1">
        <v>468</v>
      </c>
      <c r="B1419" t="s">
        <v>34</v>
      </c>
      <c r="C1419">
        <v>630</v>
      </c>
      <c r="D1419">
        <v>5</v>
      </c>
      <c r="E1419" t="s">
        <v>28</v>
      </c>
      <c r="F1419" t="s">
        <v>29</v>
      </c>
      <c r="G1419" t="str">
        <f>"2025-09-07 12:51:50.714"</f>
        <v>2025-09-07 12:51:50.714</v>
      </c>
      <c r="H1419" t="s">
        <v>30</v>
      </c>
      <c r="I1419">
        <v>0</v>
      </c>
      <c r="J1419" t="s">
        <v>33</v>
      </c>
    </row>
    <row r="1420" spans="1:10" s="3" customFormat="1" x14ac:dyDescent="0.25">
      <c r="A1420" s="2">
        <v>469</v>
      </c>
      <c r="B1420" s="3" t="s">
        <v>22</v>
      </c>
      <c r="C1420" s="3">
        <v>647</v>
      </c>
      <c r="D1420" s="3">
        <v>1</v>
      </c>
      <c r="E1420" s="3" t="s">
        <v>39</v>
      </c>
      <c r="F1420" s="3" t="s">
        <v>40</v>
      </c>
      <c r="G1420" s="3" t="str">
        <f>"2025-09-07 06:37:22.514"</f>
        <v>2025-09-07 06:37:22.514</v>
      </c>
      <c r="H1420" s="3" t="s">
        <v>21</v>
      </c>
    </row>
    <row r="1421" spans="1:10" s="3" customFormat="1" x14ac:dyDescent="0.25">
      <c r="A1421" s="2">
        <v>470</v>
      </c>
      <c r="B1421" s="3" t="s">
        <v>25</v>
      </c>
      <c r="C1421" s="3">
        <v>647</v>
      </c>
      <c r="D1421" s="3">
        <v>1</v>
      </c>
      <c r="E1421" s="3" t="s">
        <v>39</v>
      </c>
      <c r="F1421" s="3" t="s">
        <v>40</v>
      </c>
      <c r="G1421" s="3" t="str">
        <f>"2025-09-07 06:37:21.414"</f>
        <v>2025-09-07 06:37:21.414</v>
      </c>
      <c r="H1421" s="3" t="s">
        <v>21</v>
      </c>
      <c r="I1421" s="3">
        <v>8.42</v>
      </c>
      <c r="J1421" s="3" t="s">
        <v>37</v>
      </c>
    </row>
    <row r="1422" spans="1:10" x14ac:dyDescent="0.25">
      <c r="A1422" s="1">
        <v>471</v>
      </c>
      <c r="B1422" t="s">
        <v>22</v>
      </c>
      <c r="C1422">
        <v>635</v>
      </c>
      <c r="D1422">
        <v>1</v>
      </c>
      <c r="E1422" t="s">
        <v>23</v>
      </c>
      <c r="F1422" t="s">
        <v>24</v>
      </c>
      <c r="G1422" t="str">
        <f>"2025-09-07 03:33:20.614"</f>
        <v>2025-09-07 03:33:20.614</v>
      </c>
      <c r="H1422" t="s">
        <v>21</v>
      </c>
    </row>
    <row r="1423" spans="1:10" x14ac:dyDescent="0.25">
      <c r="A1423" s="1">
        <v>472</v>
      </c>
      <c r="B1423" t="s">
        <v>25</v>
      </c>
      <c r="C1423">
        <v>635</v>
      </c>
      <c r="D1423">
        <v>1</v>
      </c>
      <c r="E1423" t="s">
        <v>23</v>
      </c>
      <c r="F1423" t="s">
        <v>24</v>
      </c>
      <c r="G1423" t="str">
        <f>"2025-09-07 03:17:52.614"</f>
        <v>2025-09-07 03:17:52.614</v>
      </c>
      <c r="H1423" t="s">
        <v>21</v>
      </c>
      <c r="I1423">
        <v>6.53</v>
      </c>
      <c r="J1423" t="s">
        <v>36</v>
      </c>
    </row>
    <row r="1424" spans="1:10" x14ac:dyDescent="0.25">
      <c r="A1424" s="1">
        <v>473</v>
      </c>
      <c r="B1424" t="s">
        <v>19</v>
      </c>
      <c r="C1424">
        <v>706</v>
      </c>
      <c r="D1424">
        <v>4</v>
      </c>
      <c r="E1424" t="s">
        <v>31</v>
      </c>
      <c r="F1424" t="s">
        <v>32</v>
      </c>
      <c r="G1424" t="str">
        <f>"2025-09-06 12:42:52.456"</f>
        <v>2025-09-06 12:42:52.456</v>
      </c>
      <c r="H1424" t="s">
        <v>21</v>
      </c>
      <c r="I1424">
        <v>0</v>
      </c>
      <c r="J1424" t="s">
        <v>33</v>
      </c>
    </row>
    <row r="1425" spans="1:10" x14ac:dyDescent="0.25">
      <c r="A1425" s="1">
        <v>474</v>
      </c>
      <c r="B1425" t="s">
        <v>19</v>
      </c>
      <c r="C1425">
        <v>706</v>
      </c>
      <c r="D1425">
        <v>2</v>
      </c>
      <c r="E1425" t="s">
        <v>31</v>
      </c>
      <c r="F1425" t="s">
        <v>35</v>
      </c>
      <c r="G1425" t="str">
        <f>"2025-09-06 10:56:32.116"</f>
        <v>2025-09-06 10:56:32.116</v>
      </c>
      <c r="H1425" t="s">
        <v>21</v>
      </c>
      <c r="I1425">
        <v>0</v>
      </c>
      <c r="J1425" t="s">
        <v>33</v>
      </c>
    </row>
    <row r="1426" spans="1:10" s="3" customFormat="1" x14ac:dyDescent="0.25">
      <c r="A1426" s="2">
        <v>475</v>
      </c>
      <c r="B1426" s="3" t="s">
        <v>22</v>
      </c>
      <c r="C1426" s="3">
        <v>647</v>
      </c>
      <c r="D1426" s="3">
        <v>1</v>
      </c>
      <c r="E1426" s="3" t="s">
        <v>39</v>
      </c>
      <c r="F1426" s="3" t="s">
        <v>40</v>
      </c>
      <c r="G1426" s="3" t="str">
        <f>"2025-09-06 00:42:52.014"</f>
        <v>2025-09-06 00:42:52.014</v>
      </c>
      <c r="H1426" s="3" t="s">
        <v>21</v>
      </c>
    </row>
    <row r="1427" spans="1:10" s="3" customFormat="1" x14ac:dyDescent="0.25">
      <c r="A1427" s="2">
        <v>476</v>
      </c>
      <c r="B1427" s="3" t="s">
        <v>25</v>
      </c>
      <c r="C1427" s="3">
        <v>647</v>
      </c>
      <c r="D1427" s="3">
        <v>1</v>
      </c>
      <c r="E1427" s="3" t="s">
        <v>39</v>
      </c>
      <c r="F1427" s="3" t="s">
        <v>40</v>
      </c>
      <c r="G1427" s="3" t="str">
        <f>"2025-09-06 00:42:47.115"</f>
        <v>2025-09-06 00:42:47.115</v>
      </c>
      <c r="H1427" s="3" t="s">
        <v>21</v>
      </c>
      <c r="I1427" s="3">
        <v>19.27</v>
      </c>
      <c r="J1427" s="3" t="s">
        <v>37</v>
      </c>
    </row>
    <row r="1428" spans="1:10" x14ac:dyDescent="0.25">
      <c r="A1428" s="1">
        <v>477</v>
      </c>
      <c r="B1428" t="s">
        <v>19</v>
      </c>
      <c r="C1428">
        <v>706</v>
      </c>
      <c r="D1428">
        <v>2</v>
      </c>
      <c r="E1428" t="s">
        <v>31</v>
      </c>
      <c r="F1428" t="s">
        <v>35</v>
      </c>
      <c r="G1428" t="str">
        <f>"2025-09-05 08:03:57.016"</f>
        <v>2025-09-05 08:03:57.016</v>
      </c>
      <c r="H1428" t="s">
        <v>21</v>
      </c>
      <c r="I1428">
        <v>0</v>
      </c>
      <c r="J1428" t="s">
        <v>33</v>
      </c>
    </row>
    <row r="1429" spans="1:10" x14ac:dyDescent="0.25">
      <c r="A1429" s="1">
        <v>478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"2025-09-04 21:48:27.746"</f>
        <v>2025-09-04 21:48:27.746</v>
      </c>
      <c r="H1429" t="s">
        <v>21</v>
      </c>
    </row>
    <row r="1430" spans="1:10" x14ac:dyDescent="0.25">
      <c r="A1430" s="1">
        <v>479</v>
      </c>
      <c r="B1430" t="s">
        <v>19</v>
      </c>
      <c r="C1430">
        <v>706</v>
      </c>
      <c r="D1430">
        <v>2</v>
      </c>
      <c r="E1430" t="s">
        <v>31</v>
      </c>
      <c r="F1430" t="s">
        <v>35</v>
      </c>
      <c r="G1430" t="str">
        <f>"2025-09-04 21:17:33.684"</f>
        <v>2025-09-04 21:17:33.684</v>
      </c>
      <c r="H1430" t="s">
        <v>21</v>
      </c>
      <c r="I1430">
        <v>0</v>
      </c>
      <c r="J1430" t="s">
        <v>33</v>
      </c>
    </row>
    <row r="1431" spans="1:10" x14ac:dyDescent="0.25">
      <c r="A1431" s="1">
        <v>480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"2025-09-04 21:17:18.724"</f>
        <v>2025-09-04 21:17:18.724</v>
      </c>
      <c r="H1431" t="s">
        <v>21</v>
      </c>
      <c r="I1431">
        <v>0</v>
      </c>
      <c r="J1431" t="s">
        <v>27</v>
      </c>
    </row>
    <row r="1432" spans="1:10" x14ac:dyDescent="0.25">
      <c r="A1432" s="1">
        <v>481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"2025-09-04 20:44:59.746"</f>
        <v>2025-09-04 20:44:59.746</v>
      </c>
      <c r="H1432" t="s">
        <v>21</v>
      </c>
      <c r="I1432">
        <v>0</v>
      </c>
      <c r="J1432" t="s">
        <v>27</v>
      </c>
    </row>
    <row r="1433" spans="1:10" x14ac:dyDescent="0.25">
      <c r="A1433" s="1">
        <v>482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"2025-09-04 20:24:58.740"</f>
        <v>2025-09-04 20:24:58.740</v>
      </c>
      <c r="H1433" t="s">
        <v>21</v>
      </c>
      <c r="I1433">
        <v>0</v>
      </c>
      <c r="J1433" t="s">
        <v>27</v>
      </c>
    </row>
    <row r="1434" spans="1:10" x14ac:dyDescent="0.25">
      <c r="A1434" s="1">
        <v>483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"2025-09-04 17:48:04.739"</f>
        <v>2025-09-04 17:48:04.739</v>
      </c>
      <c r="H1434" t="s">
        <v>21</v>
      </c>
      <c r="I1434">
        <v>0</v>
      </c>
      <c r="J1434" t="s">
        <v>27</v>
      </c>
    </row>
    <row r="1435" spans="1:10" x14ac:dyDescent="0.25">
      <c r="A1435" s="1">
        <v>484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"2025-09-04 17:01:31.744"</f>
        <v>2025-09-04 17:01:31.744</v>
      </c>
      <c r="H1435" t="s">
        <v>21</v>
      </c>
    </row>
    <row r="1436" spans="1:10" x14ac:dyDescent="0.25">
      <c r="A1436" s="1">
        <v>485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"2025-09-04 16:43:15.811"</f>
        <v>2025-09-04 16:43:15.811</v>
      </c>
      <c r="H1436" t="s">
        <v>21</v>
      </c>
      <c r="I1436">
        <v>0</v>
      </c>
      <c r="J1436" t="s">
        <v>27</v>
      </c>
    </row>
    <row r="1437" spans="1:10" x14ac:dyDescent="0.25">
      <c r="A1437" s="1">
        <v>486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"2025-09-04 16:35:41.740"</f>
        <v>2025-09-04 16:35:41.740</v>
      </c>
      <c r="H1437" t="s">
        <v>21</v>
      </c>
    </row>
    <row r="1438" spans="1:10" x14ac:dyDescent="0.25">
      <c r="A1438" s="1">
        <v>487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"2025-09-04 16:31:28.811"</f>
        <v>2025-09-04 16:31:28.811</v>
      </c>
      <c r="H1438" t="s">
        <v>21</v>
      </c>
      <c r="I1438">
        <v>0</v>
      </c>
      <c r="J1438" t="s">
        <v>27</v>
      </c>
    </row>
    <row r="1439" spans="1:10" x14ac:dyDescent="0.25">
      <c r="A1439" s="1">
        <v>488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"2025-09-04 16:27:17.746"</f>
        <v>2025-09-04 16:27:17.746</v>
      </c>
      <c r="H1439" t="s">
        <v>21</v>
      </c>
    </row>
    <row r="1440" spans="1:10" x14ac:dyDescent="0.25">
      <c r="A1440" s="1">
        <v>489</v>
      </c>
      <c r="B1440" t="s">
        <v>19</v>
      </c>
      <c r="C1440">
        <v>706</v>
      </c>
      <c r="D1440">
        <v>4</v>
      </c>
      <c r="E1440" t="s">
        <v>31</v>
      </c>
      <c r="F1440" t="s">
        <v>32</v>
      </c>
      <c r="G1440" t="str">
        <f>"2025-09-04 16:16:35.303"</f>
        <v>2025-09-04 16:16:35.303</v>
      </c>
      <c r="H1440" t="s">
        <v>21</v>
      </c>
      <c r="I1440">
        <v>0</v>
      </c>
      <c r="J1440" t="s">
        <v>33</v>
      </c>
    </row>
    <row r="1441" spans="1:10" x14ac:dyDescent="0.25">
      <c r="A1441" s="1">
        <v>490</v>
      </c>
      <c r="B1441" t="s">
        <v>19</v>
      </c>
      <c r="C1441">
        <v>706</v>
      </c>
      <c r="D1441">
        <v>4</v>
      </c>
      <c r="E1441" t="s">
        <v>31</v>
      </c>
      <c r="F1441" t="s">
        <v>32</v>
      </c>
      <c r="G1441" t="str">
        <f>"2025-09-04 15:37:33.993"</f>
        <v>2025-09-04 15:37:33.993</v>
      </c>
      <c r="H1441" t="s">
        <v>21</v>
      </c>
      <c r="I1441">
        <v>0</v>
      </c>
      <c r="J1441" t="s">
        <v>33</v>
      </c>
    </row>
    <row r="1442" spans="1:10" x14ac:dyDescent="0.25">
      <c r="A1442" s="1">
        <v>491</v>
      </c>
      <c r="B1442" t="s">
        <v>19</v>
      </c>
      <c r="C1442">
        <v>706</v>
      </c>
      <c r="D1442">
        <v>2</v>
      </c>
      <c r="E1442" t="s">
        <v>31</v>
      </c>
      <c r="F1442" t="s">
        <v>35</v>
      </c>
      <c r="G1442" t="str">
        <f>"2025-09-04 15:37:12.693"</f>
        <v>2025-09-04 15:37:12.693</v>
      </c>
      <c r="H1442" t="s">
        <v>21</v>
      </c>
      <c r="I1442">
        <v>0</v>
      </c>
      <c r="J1442" t="s">
        <v>33</v>
      </c>
    </row>
    <row r="1443" spans="1:10" x14ac:dyDescent="0.25">
      <c r="A1443" s="1">
        <v>492</v>
      </c>
      <c r="B1443" t="s">
        <v>19</v>
      </c>
      <c r="C1443">
        <v>706</v>
      </c>
      <c r="D1443">
        <v>2</v>
      </c>
      <c r="E1443" t="s">
        <v>31</v>
      </c>
      <c r="F1443" t="s">
        <v>35</v>
      </c>
      <c r="G1443" t="str">
        <f>"2025-09-04 15:25:08.493"</f>
        <v>2025-09-04 15:25:08.493</v>
      </c>
      <c r="H1443" t="s">
        <v>21</v>
      </c>
      <c r="I1443">
        <v>0</v>
      </c>
      <c r="J1443" t="s">
        <v>33</v>
      </c>
    </row>
    <row r="1444" spans="1:10" x14ac:dyDescent="0.25">
      <c r="A1444" s="1">
        <v>493</v>
      </c>
      <c r="B1444" t="s">
        <v>19</v>
      </c>
      <c r="C1444">
        <v>706</v>
      </c>
      <c r="D1444">
        <v>4</v>
      </c>
      <c r="E1444" t="s">
        <v>31</v>
      </c>
      <c r="F1444" t="s">
        <v>32</v>
      </c>
      <c r="G1444" t="str">
        <f>"2025-09-04 15:21:30.813"</f>
        <v>2025-09-04 15:21:30.813</v>
      </c>
      <c r="H1444" t="s">
        <v>21</v>
      </c>
      <c r="I1444">
        <v>0</v>
      </c>
      <c r="J1444" t="s">
        <v>33</v>
      </c>
    </row>
    <row r="1445" spans="1:10" x14ac:dyDescent="0.25">
      <c r="A1445" s="1">
        <v>494</v>
      </c>
      <c r="B1445" t="s">
        <v>19</v>
      </c>
      <c r="C1445">
        <v>706</v>
      </c>
      <c r="D1445">
        <v>4</v>
      </c>
      <c r="E1445" t="s">
        <v>31</v>
      </c>
      <c r="F1445" t="s">
        <v>32</v>
      </c>
      <c r="G1445" t="str">
        <f>"2025-09-04 15:21:19.223"</f>
        <v>2025-09-04 15:21:19.223</v>
      </c>
      <c r="H1445" t="s">
        <v>21</v>
      </c>
      <c r="I1445">
        <v>0</v>
      </c>
      <c r="J1445" t="s">
        <v>33</v>
      </c>
    </row>
    <row r="1446" spans="1:10" x14ac:dyDescent="0.25">
      <c r="A1446" s="1">
        <v>495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"2025-09-04 15:09:11.733"</f>
        <v>2025-09-04 15:09:11.733</v>
      </c>
      <c r="H1446" t="s">
        <v>21</v>
      </c>
      <c r="I1446">
        <v>0</v>
      </c>
      <c r="J1446" t="s">
        <v>27</v>
      </c>
    </row>
    <row r="1447" spans="1:10" x14ac:dyDescent="0.25">
      <c r="A1447" s="1">
        <v>496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"2025-09-04 07:07:43.790"</f>
        <v>2025-09-04 07:07:43.790</v>
      </c>
      <c r="H1447" t="s">
        <v>21</v>
      </c>
    </row>
    <row r="1448" spans="1:10" x14ac:dyDescent="0.25">
      <c r="A1448" s="1">
        <v>497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"2025-09-04 06:26:53.754"</f>
        <v>2025-09-04 06:26:53.754</v>
      </c>
      <c r="H1448" t="s">
        <v>21</v>
      </c>
    </row>
    <row r="1449" spans="1:10" x14ac:dyDescent="0.25">
      <c r="A1449" s="1">
        <v>498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"2025-09-04 05:26:24.741"</f>
        <v>2025-09-04 05:26:24.741</v>
      </c>
      <c r="H1449" t="s">
        <v>21</v>
      </c>
      <c r="I1449">
        <v>0</v>
      </c>
      <c r="J1449" t="s">
        <v>27</v>
      </c>
    </row>
    <row r="1450" spans="1:10" x14ac:dyDescent="0.25">
      <c r="A1450" s="1">
        <v>499</v>
      </c>
      <c r="B1450" t="s">
        <v>56</v>
      </c>
      <c r="C1450">
        <v>33</v>
      </c>
      <c r="D1450">
        <v>1</v>
      </c>
      <c r="E1450" t="s">
        <v>67</v>
      </c>
      <c r="F1450" t="s">
        <v>68</v>
      </c>
      <c r="G1450" t="str">
        <f>"2025-09-03 09:29:17.024"</f>
        <v>2025-09-03 09:29:17.024</v>
      </c>
      <c r="H1450" t="s">
        <v>69</v>
      </c>
    </row>
    <row r="1451" spans="1:10" x14ac:dyDescent="0.25">
      <c r="A1451" s="1">
        <v>500</v>
      </c>
      <c r="B1451" t="s">
        <v>34</v>
      </c>
      <c r="C1451">
        <v>33</v>
      </c>
      <c r="D1451">
        <v>1</v>
      </c>
      <c r="E1451" t="s">
        <v>67</v>
      </c>
      <c r="F1451" t="s">
        <v>68</v>
      </c>
      <c r="G1451" t="str">
        <f>"2025-09-03 09:28:56.921"</f>
        <v>2025-09-03 09:28:56.921</v>
      </c>
      <c r="H1451" t="s">
        <v>69</v>
      </c>
      <c r="I1451">
        <v>10.9</v>
      </c>
      <c r="J1451" t="s">
        <v>36</v>
      </c>
    </row>
    <row r="1452" spans="1:10" x14ac:dyDescent="0.25">
      <c r="A1452" s="1">
        <v>501</v>
      </c>
      <c r="B1452" t="s">
        <v>22</v>
      </c>
      <c r="C1452">
        <v>630</v>
      </c>
      <c r="D1452">
        <v>5</v>
      </c>
      <c r="E1452" t="s">
        <v>28</v>
      </c>
      <c r="F1452" t="s">
        <v>29</v>
      </c>
      <c r="G1452" t="str">
        <f>"2025-09-03 08:07:27.824"</f>
        <v>2025-09-03 08:07:27.824</v>
      </c>
      <c r="H1452" t="s">
        <v>30</v>
      </c>
    </row>
    <row r="1453" spans="1:10" x14ac:dyDescent="0.25">
      <c r="A1453" s="1">
        <v>502</v>
      </c>
      <c r="B1453" t="s">
        <v>19</v>
      </c>
      <c r="C1453">
        <v>706</v>
      </c>
      <c r="D1453">
        <v>4</v>
      </c>
      <c r="E1453" t="s">
        <v>31</v>
      </c>
      <c r="F1453" t="s">
        <v>32</v>
      </c>
      <c r="G1453" t="str">
        <f>"2025-09-03 08:06:57.772"</f>
        <v>2025-09-03 08:06:57.772</v>
      </c>
      <c r="H1453" t="s">
        <v>21</v>
      </c>
      <c r="I1453">
        <v>0</v>
      </c>
      <c r="J1453" t="s">
        <v>33</v>
      </c>
    </row>
    <row r="1454" spans="1:10" x14ac:dyDescent="0.25">
      <c r="A1454" s="1">
        <v>503</v>
      </c>
      <c r="B1454" t="s">
        <v>34</v>
      </c>
      <c r="C1454">
        <v>630</v>
      </c>
      <c r="D1454">
        <v>5</v>
      </c>
      <c r="E1454" t="s">
        <v>28</v>
      </c>
      <c r="F1454" t="s">
        <v>29</v>
      </c>
      <c r="G1454" t="str">
        <f>"2025-09-03 07:56:18.324"</f>
        <v>2025-09-03 07:56:18.324</v>
      </c>
      <c r="H1454" t="s">
        <v>30</v>
      </c>
      <c r="I1454">
        <v>0</v>
      </c>
      <c r="J1454" t="s">
        <v>33</v>
      </c>
    </row>
    <row r="1455" spans="1:10" s="3" customFormat="1" x14ac:dyDescent="0.25">
      <c r="A1455" s="2">
        <v>504</v>
      </c>
      <c r="B1455" s="3" t="s">
        <v>22</v>
      </c>
      <c r="C1455" s="3">
        <v>647</v>
      </c>
      <c r="D1455" s="3">
        <v>1</v>
      </c>
      <c r="E1455" s="3" t="s">
        <v>39</v>
      </c>
      <c r="F1455" s="3" t="s">
        <v>40</v>
      </c>
      <c r="G1455" s="3" t="str">
        <f>"2025-09-02 22:19:40.224"</f>
        <v>2025-09-02 22:19:40.224</v>
      </c>
      <c r="H1455" s="3" t="s">
        <v>21</v>
      </c>
    </row>
    <row r="1456" spans="1:10" s="3" customFormat="1" x14ac:dyDescent="0.25">
      <c r="A1456" s="2">
        <v>505</v>
      </c>
      <c r="B1456" s="3" t="s">
        <v>25</v>
      </c>
      <c r="C1456" s="3">
        <v>647</v>
      </c>
      <c r="D1456" s="3">
        <v>1</v>
      </c>
      <c r="E1456" s="3" t="s">
        <v>39</v>
      </c>
      <c r="F1456" s="3" t="s">
        <v>40</v>
      </c>
      <c r="G1456" s="3" t="str">
        <f>"2025-09-02 22:19:38.924"</f>
        <v>2025-09-02 22:19:38.924</v>
      </c>
      <c r="H1456" s="3" t="s">
        <v>21</v>
      </c>
      <c r="I1456" s="3">
        <v>9.16</v>
      </c>
      <c r="J1456" s="3" t="s">
        <v>37</v>
      </c>
    </row>
    <row r="1457" spans="1:10" x14ac:dyDescent="0.25">
      <c r="A1457" s="1">
        <v>506</v>
      </c>
      <c r="B1457" t="s">
        <v>22</v>
      </c>
      <c r="C1457">
        <v>630</v>
      </c>
      <c r="D1457">
        <v>5</v>
      </c>
      <c r="E1457" t="s">
        <v>28</v>
      </c>
      <c r="F1457" t="s">
        <v>29</v>
      </c>
      <c r="G1457" t="str">
        <f>"2025-09-02 15:36:40.524"</f>
        <v>2025-09-02 15:36:40.524</v>
      </c>
      <c r="H1457" t="s">
        <v>30</v>
      </c>
    </row>
    <row r="1458" spans="1:10" x14ac:dyDescent="0.25">
      <c r="A1458" s="1">
        <v>507</v>
      </c>
      <c r="B1458" t="s">
        <v>19</v>
      </c>
      <c r="C1458">
        <v>706</v>
      </c>
      <c r="D1458">
        <v>4</v>
      </c>
      <c r="E1458" t="s">
        <v>31</v>
      </c>
      <c r="F1458" t="s">
        <v>32</v>
      </c>
      <c r="G1458" t="str">
        <f>"2025-09-02 15:36:10.422"</f>
        <v>2025-09-02 15:36:10.422</v>
      </c>
      <c r="H1458" t="s">
        <v>21</v>
      </c>
      <c r="I1458">
        <v>0</v>
      </c>
      <c r="J1458" t="s">
        <v>33</v>
      </c>
    </row>
    <row r="1459" spans="1:10" x14ac:dyDescent="0.25">
      <c r="A1459" s="1">
        <v>508</v>
      </c>
      <c r="B1459" t="s">
        <v>34</v>
      </c>
      <c r="C1459">
        <v>630</v>
      </c>
      <c r="D1459">
        <v>5</v>
      </c>
      <c r="E1459" t="s">
        <v>28</v>
      </c>
      <c r="F1459" t="s">
        <v>29</v>
      </c>
      <c r="G1459" t="str">
        <f>"2025-09-02 15:26:56.724"</f>
        <v>2025-09-02 15:26:56.724</v>
      </c>
      <c r="H1459" t="s">
        <v>30</v>
      </c>
      <c r="I1459">
        <v>0</v>
      </c>
      <c r="J1459" t="s">
        <v>33</v>
      </c>
    </row>
    <row r="1460" spans="1:10" x14ac:dyDescent="0.25">
      <c r="A1460" s="1">
        <v>509</v>
      </c>
      <c r="B1460" t="s">
        <v>22</v>
      </c>
      <c r="C1460">
        <v>630</v>
      </c>
      <c r="D1460">
        <v>5</v>
      </c>
      <c r="E1460" t="s">
        <v>28</v>
      </c>
      <c r="F1460" t="s">
        <v>29</v>
      </c>
      <c r="G1460" t="str">
        <f>"2025-09-02 13:44:38.324"</f>
        <v>2025-09-02 13:44:38.324</v>
      </c>
      <c r="H1460" t="s">
        <v>30</v>
      </c>
    </row>
    <row r="1461" spans="1:10" x14ac:dyDescent="0.25">
      <c r="A1461" s="1">
        <v>510</v>
      </c>
      <c r="B1461" t="s">
        <v>19</v>
      </c>
      <c r="C1461">
        <v>706</v>
      </c>
      <c r="D1461">
        <v>4</v>
      </c>
      <c r="E1461" t="s">
        <v>31</v>
      </c>
      <c r="F1461" t="s">
        <v>32</v>
      </c>
      <c r="G1461" t="str">
        <f>"2025-09-02 13:44:08.242"</f>
        <v>2025-09-02 13:44:08.242</v>
      </c>
      <c r="H1461" t="s">
        <v>21</v>
      </c>
      <c r="I1461">
        <v>0</v>
      </c>
      <c r="J1461" t="s">
        <v>33</v>
      </c>
    </row>
    <row r="1462" spans="1:10" x14ac:dyDescent="0.25">
      <c r="A1462" s="1">
        <v>511</v>
      </c>
      <c r="B1462" t="s">
        <v>34</v>
      </c>
      <c r="C1462">
        <v>630</v>
      </c>
      <c r="D1462">
        <v>5</v>
      </c>
      <c r="E1462" t="s">
        <v>28</v>
      </c>
      <c r="F1462" t="s">
        <v>29</v>
      </c>
      <c r="G1462" t="str">
        <f>"2025-09-02 13:19:44.424"</f>
        <v>2025-09-02 13:19:44.424</v>
      </c>
      <c r="H1462" t="s">
        <v>30</v>
      </c>
      <c r="I1462">
        <v>0</v>
      </c>
      <c r="J1462" t="s">
        <v>33</v>
      </c>
    </row>
    <row r="1463" spans="1:10" x14ac:dyDescent="0.25">
      <c r="A1463" s="1">
        <v>512</v>
      </c>
      <c r="B1463" t="s">
        <v>22</v>
      </c>
      <c r="C1463">
        <v>630</v>
      </c>
      <c r="D1463">
        <v>5</v>
      </c>
      <c r="E1463" t="s">
        <v>28</v>
      </c>
      <c r="F1463" t="s">
        <v>29</v>
      </c>
      <c r="G1463" t="str">
        <f>"2025-09-02 09:04:08.924"</f>
        <v>2025-09-02 09:04:08.924</v>
      </c>
      <c r="H1463" t="s">
        <v>30</v>
      </c>
    </row>
    <row r="1464" spans="1:10" x14ac:dyDescent="0.25">
      <c r="A1464" s="1">
        <v>513</v>
      </c>
      <c r="B1464" t="s">
        <v>19</v>
      </c>
      <c r="C1464">
        <v>706</v>
      </c>
      <c r="D1464">
        <v>2</v>
      </c>
      <c r="E1464" t="s">
        <v>31</v>
      </c>
      <c r="F1464" t="s">
        <v>35</v>
      </c>
      <c r="G1464" t="str">
        <f>"2025-09-02 09:03:38.812"</f>
        <v>2025-09-02 09:03:38.812</v>
      </c>
      <c r="H1464" t="s">
        <v>21</v>
      </c>
      <c r="I1464">
        <v>0</v>
      </c>
      <c r="J1464" t="s">
        <v>33</v>
      </c>
    </row>
    <row r="1465" spans="1:10" x14ac:dyDescent="0.25">
      <c r="A1465" s="1">
        <v>514</v>
      </c>
      <c r="B1465" t="s">
        <v>34</v>
      </c>
      <c r="C1465">
        <v>630</v>
      </c>
      <c r="D1465">
        <v>5</v>
      </c>
      <c r="E1465" t="s">
        <v>28</v>
      </c>
      <c r="F1465" t="s">
        <v>29</v>
      </c>
      <c r="G1465" t="str">
        <f>"2025-09-02 08:55:16.524"</f>
        <v>2025-09-02 08:55:16.524</v>
      </c>
      <c r="H1465" t="s">
        <v>30</v>
      </c>
      <c r="I1465">
        <v>0</v>
      </c>
      <c r="J1465" t="s">
        <v>33</v>
      </c>
    </row>
    <row r="1466" spans="1:10" x14ac:dyDescent="0.25">
      <c r="A1466" s="1">
        <v>515</v>
      </c>
      <c r="B1466" t="s">
        <v>22</v>
      </c>
      <c r="C1466">
        <v>635</v>
      </c>
      <c r="D1466">
        <v>1</v>
      </c>
      <c r="E1466" t="s">
        <v>23</v>
      </c>
      <c r="F1466" t="s">
        <v>24</v>
      </c>
      <c r="G1466" t="str">
        <f>"2025-09-01 23:26:28.223"</f>
        <v>2025-09-01 23:26:28.223</v>
      </c>
      <c r="H1466" t="s">
        <v>21</v>
      </c>
    </row>
    <row r="1467" spans="1:10" x14ac:dyDescent="0.25">
      <c r="A1467" s="1">
        <v>516</v>
      </c>
      <c r="B1467" t="s">
        <v>25</v>
      </c>
      <c r="C1467">
        <v>635</v>
      </c>
      <c r="D1467">
        <v>1</v>
      </c>
      <c r="E1467" t="s">
        <v>23</v>
      </c>
      <c r="F1467" t="s">
        <v>24</v>
      </c>
      <c r="G1467" t="str">
        <f>"2025-09-01 23:21:44.723"</f>
        <v>2025-09-01 23:21:44.723</v>
      </c>
      <c r="H1467" t="s">
        <v>21</v>
      </c>
      <c r="I1467">
        <v>9.19</v>
      </c>
      <c r="J1467" t="s">
        <v>36</v>
      </c>
    </row>
    <row r="1468" spans="1:10" x14ac:dyDescent="0.25">
      <c r="A1468" s="1">
        <v>517</v>
      </c>
      <c r="B1468" t="s">
        <v>22</v>
      </c>
      <c r="C1468">
        <v>630</v>
      </c>
      <c r="D1468">
        <v>5</v>
      </c>
      <c r="E1468" t="s">
        <v>28</v>
      </c>
      <c r="F1468" t="s">
        <v>29</v>
      </c>
      <c r="G1468" t="str">
        <f>"2025-09-01 16:28:09.324"</f>
        <v>2025-09-01 16:28:09.324</v>
      </c>
      <c r="H1468" t="s">
        <v>30</v>
      </c>
    </row>
    <row r="1469" spans="1:10" x14ac:dyDescent="0.25">
      <c r="A1469" s="1">
        <v>518</v>
      </c>
      <c r="B1469" t="s">
        <v>19</v>
      </c>
      <c r="C1469">
        <v>706</v>
      </c>
      <c r="D1469">
        <v>4</v>
      </c>
      <c r="E1469" t="s">
        <v>31</v>
      </c>
      <c r="F1469" t="s">
        <v>32</v>
      </c>
      <c r="G1469" t="str">
        <f>"2025-09-01 16:27:39.242"</f>
        <v>2025-09-01 16:27:39.242</v>
      </c>
      <c r="H1469" t="s">
        <v>21</v>
      </c>
      <c r="I1469">
        <v>0</v>
      </c>
      <c r="J1469" t="s">
        <v>33</v>
      </c>
    </row>
    <row r="1470" spans="1:10" x14ac:dyDescent="0.25">
      <c r="A1470" s="1">
        <v>519</v>
      </c>
      <c r="B1470" t="s">
        <v>34</v>
      </c>
      <c r="C1470">
        <v>630</v>
      </c>
      <c r="D1470">
        <v>5</v>
      </c>
      <c r="E1470" t="s">
        <v>28</v>
      </c>
      <c r="F1470" t="s">
        <v>29</v>
      </c>
      <c r="G1470" t="str">
        <f>"2025-09-01 16:18:15.724"</f>
        <v>2025-09-01 16:18:15.724</v>
      </c>
      <c r="H1470" t="s">
        <v>30</v>
      </c>
      <c r="I1470">
        <v>0</v>
      </c>
      <c r="J1470" t="s">
        <v>33</v>
      </c>
    </row>
    <row r="1471" spans="1:10" x14ac:dyDescent="0.25">
      <c r="A1471" s="1">
        <v>520</v>
      </c>
      <c r="B1471" t="s">
        <v>22</v>
      </c>
      <c r="C1471">
        <v>630</v>
      </c>
      <c r="D1471">
        <v>5</v>
      </c>
      <c r="E1471" t="s">
        <v>28</v>
      </c>
      <c r="F1471" t="s">
        <v>29</v>
      </c>
      <c r="G1471" t="str">
        <f>"2025-09-01 13:17:22.724"</f>
        <v>2025-09-01 13:17:22.724</v>
      </c>
      <c r="H1471" t="s">
        <v>30</v>
      </c>
    </row>
    <row r="1472" spans="1:10" x14ac:dyDescent="0.25">
      <c r="A1472" s="1">
        <v>521</v>
      </c>
      <c r="B1472" t="s">
        <v>19</v>
      </c>
      <c r="C1472">
        <v>706</v>
      </c>
      <c r="D1472">
        <v>2</v>
      </c>
      <c r="E1472" t="s">
        <v>31</v>
      </c>
      <c r="F1472" t="s">
        <v>35</v>
      </c>
      <c r="G1472" t="str">
        <f>"2025-09-01 13:16:52.712"</f>
        <v>2025-09-01 13:16:52.712</v>
      </c>
      <c r="H1472" t="s">
        <v>21</v>
      </c>
      <c r="I1472">
        <v>0</v>
      </c>
      <c r="J1472" t="s">
        <v>33</v>
      </c>
    </row>
    <row r="1473" spans="1:10" x14ac:dyDescent="0.25">
      <c r="A1473" s="1">
        <v>522</v>
      </c>
      <c r="B1473" t="s">
        <v>34</v>
      </c>
      <c r="C1473">
        <v>630</v>
      </c>
      <c r="D1473">
        <v>5</v>
      </c>
      <c r="E1473" t="s">
        <v>28</v>
      </c>
      <c r="F1473" t="s">
        <v>29</v>
      </c>
      <c r="G1473" t="str">
        <f>"2025-09-01 12:40:16.224"</f>
        <v>2025-09-01 12:40:16.224</v>
      </c>
      <c r="H1473" t="s">
        <v>30</v>
      </c>
      <c r="I1473">
        <v>0</v>
      </c>
      <c r="J1473" t="s">
        <v>33</v>
      </c>
    </row>
    <row r="1474" spans="1:10" x14ac:dyDescent="0.25">
      <c r="A1474" s="1">
        <v>523</v>
      </c>
      <c r="B1474" t="s">
        <v>22</v>
      </c>
      <c r="C1474">
        <v>61</v>
      </c>
      <c r="D1474">
        <v>2</v>
      </c>
      <c r="E1474" t="s">
        <v>58</v>
      </c>
      <c r="F1474" t="s">
        <v>59</v>
      </c>
      <c r="G1474" t="str">
        <f>"2025-09-01 11:07:12.424"</f>
        <v>2025-09-01 11:07:12.424</v>
      </c>
      <c r="H1474" t="s">
        <v>21</v>
      </c>
    </row>
    <row r="1475" spans="1:10" x14ac:dyDescent="0.25">
      <c r="A1475" s="1">
        <v>524</v>
      </c>
      <c r="B1475" t="s">
        <v>34</v>
      </c>
      <c r="C1475">
        <v>61</v>
      </c>
      <c r="D1475">
        <v>2</v>
      </c>
      <c r="E1475" t="s">
        <v>58</v>
      </c>
      <c r="F1475" t="s">
        <v>59</v>
      </c>
      <c r="G1475" t="str">
        <f>"2025-09-01 11:06:57.424"</f>
        <v>2025-09-01 11:06:57.424</v>
      </c>
      <c r="H1475" t="s">
        <v>21</v>
      </c>
      <c r="I1475">
        <v>35.39</v>
      </c>
      <c r="J1475" t="s">
        <v>37</v>
      </c>
    </row>
    <row r="1476" spans="1:10" x14ac:dyDescent="0.25">
      <c r="A1476" s="1">
        <v>525</v>
      </c>
      <c r="B1476" t="s">
        <v>22</v>
      </c>
      <c r="C1476">
        <v>630</v>
      </c>
      <c r="D1476">
        <v>5</v>
      </c>
      <c r="E1476" t="s">
        <v>28</v>
      </c>
      <c r="F1476" t="s">
        <v>29</v>
      </c>
      <c r="G1476" t="str">
        <f>"2025-09-01 08:06:36.524"</f>
        <v>2025-09-01 08:06:36.524</v>
      </c>
      <c r="H1476" t="s">
        <v>30</v>
      </c>
    </row>
    <row r="1477" spans="1:10" x14ac:dyDescent="0.25">
      <c r="A1477" s="1">
        <v>526</v>
      </c>
      <c r="B1477" t="s">
        <v>19</v>
      </c>
      <c r="C1477">
        <v>706</v>
      </c>
      <c r="D1477">
        <v>4</v>
      </c>
      <c r="E1477" t="s">
        <v>31</v>
      </c>
      <c r="F1477" t="s">
        <v>32</v>
      </c>
      <c r="G1477" t="str">
        <f>"2025-09-01 08:06:06.402"</f>
        <v>2025-09-01 08:06:06.402</v>
      </c>
      <c r="H1477" t="s">
        <v>21</v>
      </c>
      <c r="I1477">
        <v>0</v>
      </c>
      <c r="J1477" t="s">
        <v>33</v>
      </c>
    </row>
    <row r="1478" spans="1:10" x14ac:dyDescent="0.25">
      <c r="A1478" s="1">
        <v>527</v>
      </c>
      <c r="B1478" t="s">
        <v>34</v>
      </c>
      <c r="C1478">
        <v>630</v>
      </c>
      <c r="D1478">
        <v>5</v>
      </c>
      <c r="E1478" t="s">
        <v>28</v>
      </c>
      <c r="F1478" t="s">
        <v>29</v>
      </c>
      <c r="G1478" t="str">
        <f>"2025-09-01 07:55:32.424"</f>
        <v>2025-09-01 07:55:32.424</v>
      </c>
      <c r="H1478" t="s">
        <v>30</v>
      </c>
      <c r="I1478">
        <v>0</v>
      </c>
      <c r="J1478" t="s">
        <v>33</v>
      </c>
    </row>
    <row r="1479" spans="1:10" x14ac:dyDescent="0.25">
      <c r="A1479" s="1">
        <v>528</v>
      </c>
      <c r="B1479" t="s">
        <v>22</v>
      </c>
      <c r="C1479">
        <v>630</v>
      </c>
      <c r="D1479">
        <v>5</v>
      </c>
      <c r="E1479" t="s">
        <v>28</v>
      </c>
      <c r="F1479" t="s">
        <v>29</v>
      </c>
      <c r="G1479" t="str">
        <f>"2025-08-31 14:22:59.924"</f>
        <v>2025-08-31 14:22:59.924</v>
      </c>
      <c r="H1479" t="s">
        <v>30</v>
      </c>
    </row>
    <row r="1480" spans="1:10" x14ac:dyDescent="0.25">
      <c r="A1480" s="1">
        <v>529</v>
      </c>
      <c r="B1480" t="s">
        <v>19</v>
      </c>
      <c r="C1480">
        <v>706</v>
      </c>
      <c r="D1480">
        <v>4</v>
      </c>
      <c r="E1480" t="s">
        <v>31</v>
      </c>
      <c r="F1480" t="s">
        <v>32</v>
      </c>
      <c r="G1480" t="str">
        <f>"2025-08-31 14:22:29.972"</f>
        <v>2025-08-31 14:22:29.972</v>
      </c>
      <c r="H1480" t="s">
        <v>21</v>
      </c>
      <c r="I1480">
        <v>0</v>
      </c>
      <c r="J1480" t="s">
        <v>33</v>
      </c>
    </row>
    <row r="1481" spans="1:10" x14ac:dyDescent="0.25">
      <c r="A1481" s="1">
        <v>530</v>
      </c>
      <c r="B1481" t="s">
        <v>34</v>
      </c>
      <c r="C1481">
        <v>630</v>
      </c>
      <c r="D1481">
        <v>5</v>
      </c>
      <c r="E1481" t="s">
        <v>28</v>
      </c>
      <c r="F1481" t="s">
        <v>29</v>
      </c>
      <c r="G1481" t="str">
        <f>"2025-08-31 13:19:22.224"</f>
        <v>2025-08-31 13:19:22.224</v>
      </c>
      <c r="H1481" t="s">
        <v>30</v>
      </c>
      <c r="I1481">
        <v>0</v>
      </c>
      <c r="J1481" t="s">
        <v>33</v>
      </c>
    </row>
    <row r="1482" spans="1:10" x14ac:dyDescent="0.25">
      <c r="A1482" s="1">
        <v>531</v>
      </c>
      <c r="B1482" t="s">
        <v>22</v>
      </c>
      <c r="C1482">
        <v>630</v>
      </c>
      <c r="D1482">
        <v>5</v>
      </c>
      <c r="E1482" t="s">
        <v>28</v>
      </c>
      <c r="F1482" t="s">
        <v>29</v>
      </c>
      <c r="G1482" t="str">
        <f>"2025-08-31 12:21:50.524"</f>
        <v>2025-08-31 12:21:50.524</v>
      </c>
      <c r="H1482" t="s">
        <v>30</v>
      </c>
    </row>
    <row r="1483" spans="1:10" x14ac:dyDescent="0.25">
      <c r="A1483" s="1">
        <v>532</v>
      </c>
      <c r="B1483" t="s">
        <v>19</v>
      </c>
      <c r="C1483">
        <v>706</v>
      </c>
      <c r="D1483">
        <v>4</v>
      </c>
      <c r="E1483" t="s">
        <v>31</v>
      </c>
      <c r="F1483" t="s">
        <v>32</v>
      </c>
      <c r="G1483" t="str">
        <f>"2025-08-31 12:21:20.592"</f>
        <v>2025-08-31 12:21:20.592</v>
      </c>
      <c r="H1483" t="s">
        <v>21</v>
      </c>
      <c r="I1483">
        <v>0</v>
      </c>
      <c r="J1483" t="s">
        <v>33</v>
      </c>
    </row>
    <row r="1484" spans="1:10" x14ac:dyDescent="0.25">
      <c r="A1484" s="1">
        <v>533</v>
      </c>
      <c r="B1484" t="s">
        <v>34</v>
      </c>
      <c r="C1484">
        <v>630</v>
      </c>
      <c r="D1484">
        <v>5</v>
      </c>
      <c r="E1484" t="s">
        <v>28</v>
      </c>
      <c r="F1484" t="s">
        <v>29</v>
      </c>
      <c r="G1484" t="str">
        <f>"2025-08-31 11:50:57.324"</f>
        <v>2025-08-31 11:50:57.324</v>
      </c>
      <c r="H1484" t="s">
        <v>30</v>
      </c>
      <c r="I1484">
        <v>0</v>
      </c>
      <c r="J1484" t="s">
        <v>33</v>
      </c>
    </row>
    <row r="1485" spans="1:10" x14ac:dyDescent="0.25">
      <c r="A1485" s="1">
        <v>534</v>
      </c>
      <c r="B1485" t="s">
        <v>22</v>
      </c>
      <c r="C1485">
        <v>630</v>
      </c>
      <c r="D1485">
        <v>5</v>
      </c>
      <c r="E1485" t="s">
        <v>28</v>
      </c>
      <c r="F1485" t="s">
        <v>29</v>
      </c>
      <c r="G1485" t="str">
        <f>"2025-08-31 08:07:25.124"</f>
        <v>2025-08-31 08:07:25.124</v>
      </c>
      <c r="H1485" t="s">
        <v>30</v>
      </c>
    </row>
    <row r="1486" spans="1:10" x14ac:dyDescent="0.25">
      <c r="A1486" s="1">
        <v>535</v>
      </c>
      <c r="B1486" t="s">
        <v>19</v>
      </c>
      <c r="C1486">
        <v>706</v>
      </c>
      <c r="D1486">
        <v>2</v>
      </c>
      <c r="E1486" t="s">
        <v>31</v>
      </c>
      <c r="F1486" t="s">
        <v>35</v>
      </c>
      <c r="G1486" t="str">
        <f>"2025-08-31 08:06:55.112"</f>
        <v>2025-08-31 08:06:55.112</v>
      </c>
      <c r="H1486" t="s">
        <v>21</v>
      </c>
      <c r="I1486">
        <v>0</v>
      </c>
      <c r="J1486" t="s">
        <v>33</v>
      </c>
    </row>
    <row r="1487" spans="1:10" x14ac:dyDescent="0.25">
      <c r="A1487" s="1">
        <v>536</v>
      </c>
      <c r="B1487" t="s">
        <v>34</v>
      </c>
      <c r="C1487">
        <v>630</v>
      </c>
      <c r="D1487">
        <v>5</v>
      </c>
      <c r="E1487" t="s">
        <v>28</v>
      </c>
      <c r="F1487" t="s">
        <v>29</v>
      </c>
      <c r="G1487" t="str">
        <f>"2025-08-31 07:56:00.424"</f>
        <v>2025-08-31 07:56:00.424</v>
      </c>
      <c r="H1487" t="s">
        <v>30</v>
      </c>
      <c r="I1487">
        <v>0</v>
      </c>
      <c r="J1487" t="s">
        <v>33</v>
      </c>
    </row>
    <row r="1488" spans="1:10" s="3" customFormat="1" x14ac:dyDescent="0.25">
      <c r="A1488" s="2">
        <v>537</v>
      </c>
      <c r="B1488" s="3" t="s">
        <v>22</v>
      </c>
      <c r="C1488" s="3">
        <v>647</v>
      </c>
      <c r="D1488" s="3">
        <v>1</v>
      </c>
      <c r="E1488" s="3" t="s">
        <v>39</v>
      </c>
      <c r="F1488" s="3" t="s">
        <v>40</v>
      </c>
      <c r="G1488" s="3" t="str">
        <f>"2025-08-31 07:38:49.324"</f>
        <v>2025-08-31 07:38:49.324</v>
      </c>
      <c r="H1488" s="3" t="s">
        <v>21</v>
      </c>
    </row>
    <row r="1489" spans="1:10" s="3" customFormat="1" x14ac:dyDescent="0.25">
      <c r="A1489" s="2">
        <v>538</v>
      </c>
      <c r="B1489" s="3" t="s">
        <v>25</v>
      </c>
      <c r="C1489" s="3">
        <v>647</v>
      </c>
      <c r="D1489" s="3">
        <v>1</v>
      </c>
      <c r="E1489" s="3" t="s">
        <v>39</v>
      </c>
      <c r="F1489" s="3" t="s">
        <v>40</v>
      </c>
      <c r="G1489" s="3" t="str">
        <f>"2025-08-31 07:38:41.824"</f>
        <v>2025-08-31 07:38:41.824</v>
      </c>
      <c r="H1489" s="3" t="s">
        <v>21</v>
      </c>
      <c r="I1489" s="3">
        <v>31.07</v>
      </c>
      <c r="J1489" s="3" t="s">
        <v>37</v>
      </c>
    </row>
    <row r="1490" spans="1:10" x14ac:dyDescent="0.25">
      <c r="A1490" s="1">
        <v>539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"2025-08-30 16:14:04.742"</f>
        <v>2025-08-30 16:14:04.742</v>
      </c>
      <c r="H1490" t="s">
        <v>21</v>
      </c>
      <c r="I1490">
        <v>0</v>
      </c>
      <c r="J1490" t="s">
        <v>27</v>
      </c>
    </row>
    <row r="1491" spans="1:10" x14ac:dyDescent="0.25">
      <c r="A1491" s="1">
        <v>540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"2025-08-30 16:06:57.721"</f>
        <v>2025-08-30 16:06:57.721</v>
      </c>
      <c r="H1491" t="s">
        <v>21</v>
      </c>
      <c r="I1491">
        <v>0</v>
      </c>
      <c r="J1491" t="s">
        <v>27</v>
      </c>
    </row>
    <row r="1492" spans="1:10" x14ac:dyDescent="0.25">
      <c r="A1492" s="1">
        <v>541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"2025-08-30 10:40:00.732"</f>
        <v>2025-08-30 10:40:00.732</v>
      </c>
      <c r="H1492" t="s">
        <v>21</v>
      </c>
      <c r="I1492">
        <v>0</v>
      </c>
      <c r="J1492" t="s">
        <v>27</v>
      </c>
    </row>
    <row r="1493" spans="1:10" x14ac:dyDescent="0.25">
      <c r="A1493" s="1">
        <v>542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"2025-08-30 09:32:59.697"</f>
        <v>2025-08-30 09:32:59.697</v>
      </c>
      <c r="H1493" t="s">
        <v>21</v>
      </c>
    </row>
    <row r="1494" spans="1:10" x14ac:dyDescent="0.25">
      <c r="A1494" s="1">
        <v>543</v>
      </c>
      <c r="B1494" t="s">
        <v>19</v>
      </c>
      <c r="C1494">
        <v>706</v>
      </c>
      <c r="D1494">
        <v>4</v>
      </c>
      <c r="E1494" t="s">
        <v>31</v>
      </c>
      <c r="F1494" t="s">
        <v>32</v>
      </c>
      <c r="G1494" t="str">
        <f>"2025-08-30 08:29:16.746"</f>
        <v>2025-08-30 08:29:16.746</v>
      </c>
      <c r="H1494" t="s">
        <v>21</v>
      </c>
      <c r="I1494">
        <v>0</v>
      </c>
      <c r="J1494" t="s">
        <v>33</v>
      </c>
    </row>
    <row r="1495" spans="1:10" x14ac:dyDescent="0.25">
      <c r="A1495" s="1">
        <v>544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"2025-08-30 08:28:59.726"</f>
        <v>2025-08-30 08:28:59.726</v>
      </c>
      <c r="H1495" t="s">
        <v>21</v>
      </c>
      <c r="I1495">
        <v>0</v>
      </c>
      <c r="J1495" t="s">
        <v>27</v>
      </c>
    </row>
    <row r="1496" spans="1:10" x14ac:dyDescent="0.25">
      <c r="A1496" s="1">
        <v>545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"2025-08-29 23:48:33.714"</f>
        <v>2025-08-29 23:48:33.714</v>
      </c>
      <c r="H1496" t="s">
        <v>21</v>
      </c>
      <c r="I1496">
        <v>0</v>
      </c>
      <c r="J1496" t="s">
        <v>27</v>
      </c>
    </row>
    <row r="1497" spans="1:10" s="3" customFormat="1" x14ac:dyDescent="0.25">
      <c r="A1497" s="2">
        <v>546</v>
      </c>
      <c r="B1497" s="3" t="s">
        <v>22</v>
      </c>
      <c r="C1497" s="3">
        <v>647</v>
      </c>
      <c r="D1497" s="3">
        <v>1</v>
      </c>
      <c r="E1497" s="3" t="s">
        <v>39</v>
      </c>
      <c r="F1497" s="3" t="s">
        <v>40</v>
      </c>
      <c r="G1497" s="3" t="str">
        <f>"2025-08-29 21:49:19.553"</f>
        <v>2025-08-29 21:49:19.553</v>
      </c>
      <c r="H1497" s="3" t="s">
        <v>21</v>
      </c>
    </row>
    <row r="1498" spans="1:10" s="3" customFormat="1" x14ac:dyDescent="0.25">
      <c r="A1498" s="2">
        <v>547</v>
      </c>
      <c r="B1498" s="3" t="s">
        <v>25</v>
      </c>
      <c r="C1498" s="3">
        <v>647</v>
      </c>
      <c r="D1498" s="3">
        <v>1</v>
      </c>
      <c r="E1498" s="3" t="s">
        <v>39</v>
      </c>
      <c r="F1498" s="3" t="s">
        <v>40</v>
      </c>
      <c r="G1498" s="3" t="str">
        <f>"2025-08-29 21:49:13.053"</f>
        <v>2025-08-29 21:49:13.053</v>
      </c>
      <c r="H1498" s="3" t="s">
        <v>21</v>
      </c>
      <c r="I1498" s="3">
        <v>9.07</v>
      </c>
      <c r="J1498" s="3" t="s">
        <v>37</v>
      </c>
    </row>
    <row r="1499" spans="1:10" x14ac:dyDescent="0.25">
      <c r="A1499" s="1">
        <v>548</v>
      </c>
      <c r="B1499" t="s">
        <v>22</v>
      </c>
      <c r="C1499">
        <v>630</v>
      </c>
      <c r="D1499">
        <v>5</v>
      </c>
      <c r="E1499" t="s">
        <v>28</v>
      </c>
      <c r="F1499" t="s">
        <v>29</v>
      </c>
      <c r="G1499" t="str">
        <f>"2025-08-29 14:44:30.253"</f>
        <v>2025-08-29 14:44:30.253</v>
      </c>
      <c r="H1499" t="s">
        <v>30</v>
      </c>
    </row>
    <row r="1500" spans="1:10" x14ac:dyDescent="0.25">
      <c r="A1500" s="1">
        <v>549</v>
      </c>
      <c r="B1500" t="s">
        <v>19</v>
      </c>
      <c r="C1500">
        <v>706</v>
      </c>
      <c r="D1500">
        <v>2</v>
      </c>
      <c r="E1500" t="s">
        <v>31</v>
      </c>
      <c r="F1500" t="s">
        <v>35</v>
      </c>
      <c r="G1500" t="str">
        <f>"2025-08-29 14:44:00.195"</f>
        <v>2025-08-29 14:44:00.195</v>
      </c>
      <c r="H1500" t="s">
        <v>21</v>
      </c>
      <c r="I1500">
        <v>0</v>
      </c>
      <c r="J1500" t="s">
        <v>33</v>
      </c>
    </row>
    <row r="1501" spans="1:10" x14ac:dyDescent="0.25">
      <c r="A1501" s="1">
        <v>550</v>
      </c>
      <c r="B1501" t="s">
        <v>34</v>
      </c>
      <c r="C1501">
        <v>630</v>
      </c>
      <c r="D1501">
        <v>5</v>
      </c>
      <c r="E1501" t="s">
        <v>28</v>
      </c>
      <c r="F1501" t="s">
        <v>29</v>
      </c>
      <c r="G1501" t="str">
        <f>"2025-08-29 14:35:14.554"</f>
        <v>2025-08-29 14:35:14.554</v>
      </c>
      <c r="H1501" t="s">
        <v>30</v>
      </c>
      <c r="I1501">
        <v>0</v>
      </c>
      <c r="J1501" t="s">
        <v>33</v>
      </c>
    </row>
    <row r="1502" spans="1:10" x14ac:dyDescent="0.25">
      <c r="A1502" s="1">
        <v>551</v>
      </c>
      <c r="B1502" t="s">
        <v>19</v>
      </c>
      <c r="C1502">
        <v>706</v>
      </c>
      <c r="D1502">
        <v>4</v>
      </c>
      <c r="E1502" t="s">
        <v>31</v>
      </c>
      <c r="F1502" t="s">
        <v>32</v>
      </c>
      <c r="G1502" t="str">
        <f>"2025-08-29 13:22:50.245"</f>
        <v>2025-08-29 13:22:50.245</v>
      </c>
      <c r="H1502" t="s">
        <v>21</v>
      </c>
      <c r="I1502">
        <v>0</v>
      </c>
      <c r="J1502" t="s">
        <v>33</v>
      </c>
    </row>
    <row r="1503" spans="1:10" x14ac:dyDescent="0.25">
      <c r="A1503" s="1">
        <v>552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"2025-08-29 13:18:11.925"</f>
        <v>2025-08-29 13:18:11.925</v>
      </c>
      <c r="H1503" t="s">
        <v>21</v>
      </c>
      <c r="I1503">
        <v>0</v>
      </c>
      <c r="J1503" t="s">
        <v>27</v>
      </c>
    </row>
    <row r="1504" spans="1:10" x14ac:dyDescent="0.25">
      <c r="A1504" s="1">
        <v>553</v>
      </c>
      <c r="B1504" t="s">
        <v>22</v>
      </c>
      <c r="C1504">
        <v>630</v>
      </c>
      <c r="D1504">
        <v>5</v>
      </c>
      <c r="E1504" t="s">
        <v>28</v>
      </c>
      <c r="F1504" t="s">
        <v>29</v>
      </c>
      <c r="G1504" t="str">
        <f>"2025-08-29 08:07:12.239"</f>
        <v>2025-08-29 08:07:12.239</v>
      </c>
      <c r="H1504" t="s">
        <v>30</v>
      </c>
    </row>
    <row r="1505" spans="1:10" x14ac:dyDescent="0.25">
      <c r="A1505" s="1">
        <v>554</v>
      </c>
      <c r="B1505" t="s">
        <v>19</v>
      </c>
      <c r="C1505">
        <v>706</v>
      </c>
      <c r="D1505">
        <v>4</v>
      </c>
      <c r="E1505" t="s">
        <v>31</v>
      </c>
      <c r="F1505" t="s">
        <v>32</v>
      </c>
      <c r="G1505" t="str">
        <f>"2025-08-29 08:06:42.148"</f>
        <v>2025-08-29 08:06:42.148</v>
      </c>
      <c r="H1505" t="s">
        <v>21</v>
      </c>
      <c r="I1505">
        <v>0</v>
      </c>
      <c r="J1505" t="s">
        <v>33</v>
      </c>
    </row>
    <row r="1506" spans="1:10" x14ac:dyDescent="0.25">
      <c r="A1506" s="1">
        <v>555</v>
      </c>
      <c r="B1506" t="s">
        <v>34</v>
      </c>
      <c r="C1506">
        <v>630</v>
      </c>
      <c r="D1506">
        <v>5</v>
      </c>
      <c r="E1506" t="s">
        <v>28</v>
      </c>
      <c r="F1506" t="s">
        <v>29</v>
      </c>
      <c r="G1506" t="str">
        <f>"2025-08-29 07:56:01.639"</f>
        <v>2025-08-29 07:56:01.639</v>
      </c>
      <c r="H1506" t="s">
        <v>30</v>
      </c>
      <c r="I1506">
        <v>0</v>
      </c>
      <c r="J1506" t="s">
        <v>33</v>
      </c>
    </row>
    <row r="1507" spans="1:10" x14ac:dyDescent="0.25">
      <c r="A1507" s="1">
        <v>556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"2025-08-29 01:45:34.758"</f>
        <v>2025-08-29 01:45:34.758</v>
      </c>
      <c r="H1507" t="s">
        <v>21</v>
      </c>
      <c r="I1507">
        <v>0</v>
      </c>
      <c r="J1507" t="s">
        <v>27</v>
      </c>
    </row>
    <row r="1508" spans="1:10" x14ac:dyDescent="0.25">
      <c r="A1508" s="1">
        <v>557</v>
      </c>
      <c r="B1508" t="s">
        <v>22</v>
      </c>
      <c r="C1508">
        <v>630</v>
      </c>
      <c r="D1508">
        <v>5</v>
      </c>
      <c r="E1508" t="s">
        <v>28</v>
      </c>
      <c r="F1508" t="s">
        <v>29</v>
      </c>
      <c r="G1508" t="str">
        <f>"2025-08-28 15:07:00.312"</f>
        <v>2025-08-28 15:07:00.312</v>
      </c>
      <c r="H1508" t="s">
        <v>30</v>
      </c>
    </row>
    <row r="1509" spans="1:10" x14ac:dyDescent="0.25">
      <c r="A1509" s="1">
        <v>558</v>
      </c>
      <c r="B1509" t="s">
        <v>19</v>
      </c>
      <c r="C1509">
        <v>706</v>
      </c>
      <c r="D1509">
        <v>2</v>
      </c>
      <c r="E1509" t="s">
        <v>31</v>
      </c>
      <c r="F1509" t="s">
        <v>35</v>
      </c>
      <c r="G1509" t="str">
        <f>"2025-08-28 15:06:30.311"</f>
        <v>2025-08-28 15:06:30.311</v>
      </c>
      <c r="H1509" t="s">
        <v>21</v>
      </c>
      <c r="I1509">
        <v>0</v>
      </c>
      <c r="J1509" t="s">
        <v>33</v>
      </c>
    </row>
    <row r="1510" spans="1:10" x14ac:dyDescent="0.25">
      <c r="A1510" s="1">
        <v>559</v>
      </c>
      <c r="B1510" t="s">
        <v>34</v>
      </c>
      <c r="C1510">
        <v>630</v>
      </c>
      <c r="D1510">
        <v>5</v>
      </c>
      <c r="E1510" t="s">
        <v>28</v>
      </c>
      <c r="F1510" t="s">
        <v>29</v>
      </c>
      <c r="G1510" t="str">
        <f>"2025-08-28 13:26:08.112"</f>
        <v>2025-08-28 13:26:08.112</v>
      </c>
      <c r="H1510" t="s">
        <v>30</v>
      </c>
      <c r="I1510">
        <v>0</v>
      </c>
      <c r="J1510" t="s">
        <v>33</v>
      </c>
    </row>
    <row r="1511" spans="1:10" x14ac:dyDescent="0.25">
      <c r="A1511" s="1">
        <v>560</v>
      </c>
      <c r="B1511" t="s">
        <v>22</v>
      </c>
      <c r="C1511">
        <v>630</v>
      </c>
      <c r="D1511">
        <v>5</v>
      </c>
      <c r="E1511" t="s">
        <v>28</v>
      </c>
      <c r="F1511" t="s">
        <v>29</v>
      </c>
      <c r="G1511" t="str">
        <f>"2025-08-28 09:53:04.412"</f>
        <v>2025-08-28 09:53:04.412</v>
      </c>
      <c r="H1511" t="s">
        <v>30</v>
      </c>
    </row>
    <row r="1512" spans="1:10" x14ac:dyDescent="0.25">
      <c r="A1512" s="1">
        <v>561</v>
      </c>
      <c r="B1512" t="s">
        <v>19</v>
      </c>
      <c r="C1512">
        <v>706</v>
      </c>
      <c r="D1512">
        <v>4</v>
      </c>
      <c r="E1512" t="s">
        <v>31</v>
      </c>
      <c r="F1512" t="s">
        <v>32</v>
      </c>
      <c r="G1512" t="str">
        <f>"2025-08-28 09:52:34.401"</f>
        <v>2025-08-28 09:52:34.401</v>
      </c>
      <c r="H1512" t="s">
        <v>21</v>
      </c>
      <c r="I1512">
        <v>0</v>
      </c>
      <c r="J1512" t="s">
        <v>33</v>
      </c>
    </row>
    <row r="1513" spans="1:10" x14ac:dyDescent="0.25">
      <c r="A1513" s="1">
        <v>562</v>
      </c>
      <c r="B1513" t="s">
        <v>34</v>
      </c>
      <c r="C1513">
        <v>630</v>
      </c>
      <c r="D1513">
        <v>5</v>
      </c>
      <c r="E1513" t="s">
        <v>28</v>
      </c>
      <c r="F1513" t="s">
        <v>29</v>
      </c>
      <c r="G1513" t="str">
        <f>"2025-08-28 09:42:48.612"</f>
        <v>2025-08-28 09:42:48.612</v>
      </c>
      <c r="H1513" t="s">
        <v>30</v>
      </c>
      <c r="I1513">
        <v>0</v>
      </c>
      <c r="J1513" t="s">
        <v>33</v>
      </c>
    </row>
    <row r="1514" spans="1:10" x14ac:dyDescent="0.25">
      <c r="A1514" s="1">
        <v>563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"2025-08-28 04:06:49.711"</f>
        <v>2025-08-28 04:06:49.711</v>
      </c>
      <c r="H1514" t="s">
        <v>21</v>
      </c>
      <c r="I1514">
        <v>0</v>
      </c>
      <c r="J1514" t="s">
        <v>27</v>
      </c>
    </row>
    <row r="1515" spans="1:10" x14ac:dyDescent="0.25">
      <c r="A1515" s="1">
        <v>564</v>
      </c>
      <c r="B1515" t="s">
        <v>34</v>
      </c>
      <c r="C1515">
        <v>630</v>
      </c>
      <c r="D1515">
        <v>5</v>
      </c>
      <c r="E1515" t="s">
        <v>28</v>
      </c>
      <c r="F1515" t="s">
        <v>29</v>
      </c>
      <c r="G1515" t="str">
        <f>"2025-08-28 03:55:18.338"</f>
        <v>2025-08-28 03:55:18.338</v>
      </c>
      <c r="H1515" t="s">
        <v>30</v>
      </c>
      <c r="I1515">
        <v>0</v>
      </c>
      <c r="J1515" t="s">
        <v>33</v>
      </c>
    </row>
    <row r="1516" spans="1:10" x14ac:dyDescent="0.25">
      <c r="A1516" s="1">
        <v>565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"2025-08-28 01:37:03.743"</f>
        <v>2025-08-28 01:37:03.743</v>
      </c>
      <c r="H1516" t="s">
        <v>21</v>
      </c>
      <c r="I1516">
        <v>0</v>
      </c>
      <c r="J1516" t="s">
        <v>27</v>
      </c>
    </row>
    <row r="1517" spans="1:10" x14ac:dyDescent="0.25">
      <c r="A1517" s="1">
        <v>566</v>
      </c>
      <c r="B1517" t="s">
        <v>22</v>
      </c>
      <c r="C1517">
        <v>630</v>
      </c>
      <c r="D1517">
        <v>5</v>
      </c>
      <c r="E1517" t="s">
        <v>28</v>
      </c>
      <c r="F1517" t="s">
        <v>29</v>
      </c>
      <c r="G1517" t="str">
        <f>"2025-08-27 13:29:24.411"</f>
        <v>2025-08-27 13:29:24.411</v>
      </c>
      <c r="H1517" t="s">
        <v>30</v>
      </c>
    </row>
    <row r="1518" spans="1:10" x14ac:dyDescent="0.25">
      <c r="A1518" s="1">
        <v>567</v>
      </c>
      <c r="B1518" t="s">
        <v>19</v>
      </c>
      <c r="C1518">
        <v>706</v>
      </c>
      <c r="D1518">
        <v>4</v>
      </c>
      <c r="E1518" t="s">
        <v>31</v>
      </c>
      <c r="F1518" t="s">
        <v>32</v>
      </c>
      <c r="G1518" t="str">
        <f>"2025-08-27 13:28:54.288"</f>
        <v>2025-08-27 13:28:54.288</v>
      </c>
      <c r="H1518" t="s">
        <v>21</v>
      </c>
      <c r="I1518">
        <v>0</v>
      </c>
      <c r="J1518" t="s">
        <v>33</v>
      </c>
    </row>
    <row r="1519" spans="1:10" x14ac:dyDescent="0.25">
      <c r="A1519" s="1">
        <v>568</v>
      </c>
      <c r="B1519" t="s">
        <v>34</v>
      </c>
      <c r="C1519">
        <v>630</v>
      </c>
      <c r="D1519">
        <v>5</v>
      </c>
      <c r="E1519" t="s">
        <v>28</v>
      </c>
      <c r="F1519" t="s">
        <v>29</v>
      </c>
      <c r="G1519" t="str">
        <f>"2025-08-27 12:58:54.011"</f>
        <v>2025-08-27 12:58:54.011</v>
      </c>
      <c r="H1519" t="s">
        <v>30</v>
      </c>
      <c r="I1519">
        <v>0</v>
      </c>
      <c r="J1519" t="s">
        <v>33</v>
      </c>
    </row>
    <row r="1520" spans="1:10" x14ac:dyDescent="0.25">
      <c r="A1520" s="1">
        <v>569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"2025-08-27 08:27:55.738"</f>
        <v>2025-08-27 08:27:55.738</v>
      </c>
      <c r="H1520" t="s">
        <v>21</v>
      </c>
    </row>
    <row r="1521" spans="1:10" x14ac:dyDescent="0.25">
      <c r="A1521" s="1">
        <v>570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"2025-08-27 04:12:31.743"</f>
        <v>2025-08-27 04:12:31.743</v>
      </c>
      <c r="H1521" t="s">
        <v>21</v>
      </c>
      <c r="I1521">
        <v>0</v>
      </c>
      <c r="J1521" t="s">
        <v>27</v>
      </c>
    </row>
    <row r="1522" spans="1:10" x14ac:dyDescent="0.25">
      <c r="A1522" s="1">
        <v>571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"2025-08-27 03:59:01.818"</f>
        <v>2025-08-27 03:59:01.818</v>
      </c>
      <c r="H1522" t="s">
        <v>21</v>
      </c>
      <c r="I1522">
        <v>0</v>
      </c>
      <c r="J1522" t="s">
        <v>27</v>
      </c>
    </row>
    <row r="1523" spans="1:10" x14ac:dyDescent="0.25">
      <c r="A1523" s="1">
        <v>572</v>
      </c>
      <c r="B1523" t="s">
        <v>19</v>
      </c>
      <c r="C1523">
        <v>706</v>
      </c>
      <c r="D1523">
        <v>2</v>
      </c>
      <c r="E1523" t="s">
        <v>31</v>
      </c>
      <c r="F1523" t="s">
        <v>35</v>
      </c>
      <c r="G1523" t="str">
        <f>"2025-08-27 01:15:13.524"</f>
        <v>2025-08-27 01:15:13.524</v>
      </c>
      <c r="H1523" t="s">
        <v>21</v>
      </c>
      <c r="I1523">
        <v>0</v>
      </c>
      <c r="J1523" t="s">
        <v>33</v>
      </c>
    </row>
    <row r="1524" spans="1:10" x14ac:dyDescent="0.25">
      <c r="A1524" s="1">
        <v>573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"2025-08-27 01:10:22.704"</f>
        <v>2025-08-27 01:10:22.704</v>
      </c>
      <c r="H1524" t="s">
        <v>21</v>
      </c>
    </row>
    <row r="1525" spans="1:10" x14ac:dyDescent="0.25">
      <c r="A1525" s="1">
        <v>574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"2025-08-27 00:57:41.916"</f>
        <v>2025-08-27 00:57:41.916</v>
      </c>
      <c r="H1525" t="s">
        <v>21</v>
      </c>
    </row>
    <row r="1526" spans="1:10" x14ac:dyDescent="0.25">
      <c r="A1526" s="1">
        <v>575</v>
      </c>
      <c r="B1526" t="s">
        <v>19</v>
      </c>
      <c r="C1526">
        <v>706</v>
      </c>
      <c r="D1526">
        <v>4</v>
      </c>
      <c r="E1526" t="s">
        <v>31</v>
      </c>
      <c r="F1526" t="s">
        <v>32</v>
      </c>
      <c r="G1526" t="str">
        <f>"2025-08-26 13:53:44.175"</f>
        <v>2025-08-26 13:53:44.175</v>
      </c>
      <c r="H1526" t="s">
        <v>21</v>
      </c>
      <c r="I1526">
        <v>0</v>
      </c>
      <c r="J1526" t="s">
        <v>33</v>
      </c>
    </row>
    <row r="1527" spans="1:10" x14ac:dyDescent="0.25">
      <c r="A1527" s="1">
        <v>576</v>
      </c>
      <c r="B1527" t="s">
        <v>19</v>
      </c>
      <c r="C1527">
        <v>706</v>
      </c>
      <c r="D1527">
        <v>2</v>
      </c>
      <c r="E1527" t="s">
        <v>31</v>
      </c>
      <c r="F1527" t="s">
        <v>35</v>
      </c>
      <c r="G1527" t="str">
        <f>"2025-08-26 13:14:58.395"</f>
        <v>2025-08-26 13:14:58.395</v>
      </c>
      <c r="H1527" t="s">
        <v>21</v>
      </c>
      <c r="I1527">
        <v>0</v>
      </c>
      <c r="J1527" t="s">
        <v>33</v>
      </c>
    </row>
    <row r="1528" spans="1:10" x14ac:dyDescent="0.25">
      <c r="A1528" s="1">
        <v>577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"2025-08-25 22:04:52.705"</f>
        <v>2025-08-25 22:04:52.705</v>
      </c>
      <c r="H1528" t="s">
        <v>21</v>
      </c>
    </row>
    <row r="1529" spans="1:10" x14ac:dyDescent="0.25">
      <c r="A1529" s="1">
        <v>578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"2025-08-25 21:52:25.706"</f>
        <v>2025-08-25 21:52:25.706</v>
      </c>
      <c r="H1529" t="s">
        <v>21</v>
      </c>
    </row>
    <row r="1530" spans="1:10" x14ac:dyDescent="0.25">
      <c r="A1530" s="1">
        <v>579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"2025-08-25 21:47:22.715"</f>
        <v>2025-08-25 21:47:22.715</v>
      </c>
      <c r="H1530" t="s">
        <v>21</v>
      </c>
    </row>
    <row r="1531" spans="1:10" x14ac:dyDescent="0.25">
      <c r="A1531" s="1">
        <v>580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"2025-08-25 21:44:34.716"</f>
        <v>2025-08-25 21:44:34.716</v>
      </c>
      <c r="H1531" t="s">
        <v>21</v>
      </c>
      <c r="I1531">
        <v>0</v>
      </c>
      <c r="J1531" t="s">
        <v>27</v>
      </c>
    </row>
    <row r="1532" spans="1:10" x14ac:dyDescent="0.25">
      <c r="A1532" s="1">
        <v>581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"2025-08-25 21:35:47.737"</f>
        <v>2025-08-25 21:35:47.737</v>
      </c>
      <c r="H1532" t="s">
        <v>21</v>
      </c>
      <c r="I1532">
        <v>0</v>
      </c>
      <c r="J1532" t="s">
        <v>27</v>
      </c>
    </row>
    <row r="1533" spans="1:10" x14ac:dyDescent="0.25">
      <c r="A1533" s="1">
        <v>582</v>
      </c>
      <c r="B1533" t="s">
        <v>19</v>
      </c>
      <c r="C1533">
        <v>706</v>
      </c>
      <c r="D1533">
        <v>2</v>
      </c>
      <c r="E1533" t="s">
        <v>31</v>
      </c>
      <c r="F1533" t="s">
        <v>35</v>
      </c>
      <c r="G1533" t="str">
        <f>"2025-08-25 17:40:35.831"</f>
        <v>2025-08-25 17:40:35.831</v>
      </c>
      <c r="H1533" t="s">
        <v>21</v>
      </c>
      <c r="I1533">
        <v>0</v>
      </c>
      <c r="J1533" t="s">
        <v>33</v>
      </c>
    </row>
    <row r="1534" spans="1:10" x14ac:dyDescent="0.25">
      <c r="A1534" s="1">
        <v>583</v>
      </c>
      <c r="B1534" t="s">
        <v>19</v>
      </c>
      <c r="C1534">
        <v>706</v>
      </c>
      <c r="D1534">
        <v>4</v>
      </c>
      <c r="E1534" t="s">
        <v>31</v>
      </c>
      <c r="F1534" t="s">
        <v>32</v>
      </c>
      <c r="G1534" t="str">
        <f>"2025-08-25 12:33:39.741"</f>
        <v>2025-08-25 12:33:39.741</v>
      </c>
      <c r="H1534" t="s">
        <v>21</v>
      </c>
      <c r="I1534">
        <v>0</v>
      </c>
      <c r="J1534" t="s">
        <v>33</v>
      </c>
    </row>
    <row r="1535" spans="1:10" x14ac:dyDescent="0.25">
      <c r="A1535" s="1">
        <v>584</v>
      </c>
      <c r="B1535" t="s">
        <v>19</v>
      </c>
      <c r="C1535">
        <v>706</v>
      </c>
      <c r="D1535">
        <v>2</v>
      </c>
      <c r="E1535" t="s">
        <v>31</v>
      </c>
      <c r="F1535" t="s">
        <v>35</v>
      </c>
      <c r="G1535" t="str">
        <f>"2025-08-25 08:05:50.131"</f>
        <v>2025-08-25 08:05:50.131</v>
      </c>
      <c r="H1535" t="s">
        <v>21</v>
      </c>
      <c r="I1535">
        <v>0</v>
      </c>
      <c r="J1535" t="s">
        <v>33</v>
      </c>
    </row>
    <row r="1536" spans="1:10" x14ac:dyDescent="0.25">
      <c r="A1536" s="1">
        <v>585</v>
      </c>
      <c r="B1536" t="s">
        <v>19</v>
      </c>
      <c r="C1536">
        <v>706</v>
      </c>
      <c r="D1536">
        <v>4</v>
      </c>
      <c r="E1536" t="s">
        <v>31</v>
      </c>
      <c r="F1536" t="s">
        <v>32</v>
      </c>
      <c r="G1536" t="str">
        <f>"2025-08-24 12:33:53.111"</f>
        <v>2025-08-24 12:33:53.111</v>
      </c>
      <c r="H1536" t="s">
        <v>21</v>
      </c>
      <c r="I1536">
        <v>0</v>
      </c>
      <c r="J1536" t="s">
        <v>33</v>
      </c>
    </row>
    <row r="1537" spans="1:10" x14ac:dyDescent="0.25">
      <c r="A1537" s="1">
        <v>586</v>
      </c>
      <c r="B1537" t="s">
        <v>19</v>
      </c>
      <c r="C1537">
        <v>706</v>
      </c>
      <c r="D1537">
        <v>4</v>
      </c>
      <c r="E1537" t="s">
        <v>31</v>
      </c>
      <c r="F1537" t="s">
        <v>32</v>
      </c>
      <c r="G1537" t="str">
        <f>"2025-08-24 12:32:16.921"</f>
        <v>2025-08-24 12:32:16.921</v>
      </c>
      <c r="H1537" t="s">
        <v>21</v>
      </c>
      <c r="I1537">
        <v>0</v>
      </c>
      <c r="J1537" t="s">
        <v>33</v>
      </c>
    </row>
    <row r="1538" spans="1:10" x14ac:dyDescent="0.25">
      <c r="A1538" s="1">
        <v>587</v>
      </c>
      <c r="B1538" t="s">
        <v>56</v>
      </c>
      <c r="C1538">
        <v>620</v>
      </c>
      <c r="D1538">
        <v>1</v>
      </c>
      <c r="E1538" t="s">
        <v>57</v>
      </c>
      <c r="F1538" t="s">
        <v>24</v>
      </c>
      <c r="G1538" t="str">
        <f>"2025-08-24 08:58:24.886"</f>
        <v>2025-08-24 08:58:24.886</v>
      </c>
      <c r="H1538" t="s">
        <v>55</v>
      </c>
    </row>
    <row r="1539" spans="1:10" x14ac:dyDescent="0.25">
      <c r="A1539" s="1">
        <v>588</v>
      </c>
      <c r="B1539" t="s">
        <v>34</v>
      </c>
      <c r="C1539">
        <v>620</v>
      </c>
      <c r="D1539">
        <v>1</v>
      </c>
      <c r="E1539" t="s">
        <v>57</v>
      </c>
      <c r="F1539" t="s">
        <v>24</v>
      </c>
      <c r="G1539" t="str">
        <f>"2025-08-24 08:58:21.425"</f>
        <v>2025-08-24 08:58:21.425</v>
      </c>
      <c r="H1539" t="s">
        <v>55</v>
      </c>
      <c r="I1539">
        <v>6.63</v>
      </c>
      <c r="J1539" t="s">
        <v>36</v>
      </c>
    </row>
    <row r="1540" spans="1:10" x14ac:dyDescent="0.25">
      <c r="A1540" s="1">
        <v>589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"2025-08-24 07:56:47.771"</f>
        <v>2025-08-24 07:56:47.771</v>
      </c>
      <c r="H1540" t="s">
        <v>21</v>
      </c>
    </row>
    <row r="1541" spans="1:10" x14ac:dyDescent="0.25">
      <c r="A1541" s="1">
        <v>590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"2025-08-23 23:56:42.712"</f>
        <v>2025-08-23 23:56:42.712</v>
      </c>
      <c r="H1541" t="s">
        <v>21</v>
      </c>
    </row>
    <row r="1542" spans="1:10" x14ac:dyDescent="0.25">
      <c r="A1542" s="1">
        <v>591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"2025-08-23 23:52:19.703"</f>
        <v>2025-08-23 23:52:19.703</v>
      </c>
      <c r="H1542" t="s">
        <v>21</v>
      </c>
    </row>
    <row r="1543" spans="1:10" x14ac:dyDescent="0.25">
      <c r="A1543" s="1">
        <v>592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"2025-08-23 23:49:58.703"</f>
        <v>2025-08-23 23:49:58.703</v>
      </c>
      <c r="H1543" t="s">
        <v>21</v>
      </c>
      <c r="I1543">
        <v>0</v>
      </c>
      <c r="J1543" t="s">
        <v>27</v>
      </c>
    </row>
    <row r="1544" spans="1:10" x14ac:dyDescent="0.25">
      <c r="A1544" s="1">
        <v>593</v>
      </c>
      <c r="B1544" t="s">
        <v>19</v>
      </c>
      <c r="C1544">
        <v>706</v>
      </c>
      <c r="D1544">
        <v>2</v>
      </c>
      <c r="E1544" t="s">
        <v>31</v>
      </c>
      <c r="F1544" t="s">
        <v>35</v>
      </c>
      <c r="G1544" t="str">
        <f>"2025-08-23 23:46:57.726"</f>
        <v>2025-08-23 23:46:57.726</v>
      </c>
      <c r="H1544" t="s">
        <v>21</v>
      </c>
      <c r="I1544">
        <v>0</v>
      </c>
      <c r="J1544" t="s">
        <v>33</v>
      </c>
    </row>
    <row r="1545" spans="1:10" x14ac:dyDescent="0.25">
      <c r="A1545" s="1">
        <v>594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"2025-08-23 23:46:29.706"</f>
        <v>2025-08-23 23:46:29.706</v>
      </c>
      <c r="H1545" t="s">
        <v>21</v>
      </c>
    </row>
    <row r="1546" spans="1:10" x14ac:dyDescent="0.25">
      <c r="A1546" s="1">
        <v>595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"2025-08-23 23:35:32.693"</f>
        <v>2025-08-23 23:35:32.693</v>
      </c>
      <c r="H1546" t="s">
        <v>21</v>
      </c>
    </row>
    <row r="1547" spans="1:10" x14ac:dyDescent="0.25">
      <c r="A1547" s="1">
        <v>596</v>
      </c>
      <c r="B1547" t="s">
        <v>19</v>
      </c>
      <c r="C1547">
        <v>706</v>
      </c>
      <c r="D1547">
        <v>2</v>
      </c>
      <c r="E1547" t="s">
        <v>31</v>
      </c>
      <c r="F1547" t="s">
        <v>35</v>
      </c>
      <c r="G1547" t="str">
        <f>"2025-08-23 23:26:03.896"</f>
        <v>2025-08-23 23:26:03.896</v>
      </c>
      <c r="H1547" t="s">
        <v>21</v>
      </c>
      <c r="I1547">
        <v>0</v>
      </c>
      <c r="J1547" t="s">
        <v>33</v>
      </c>
    </row>
    <row r="1548" spans="1:10" x14ac:dyDescent="0.25">
      <c r="A1548" s="1">
        <v>597</v>
      </c>
      <c r="B1548" t="s">
        <v>19</v>
      </c>
      <c r="C1548">
        <v>706</v>
      </c>
      <c r="D1548">
        <v>2</v>
      </c>
      <c r="E1548" t="s">
        <v>31</v>
      </c>
      <c r="F1548" t="s">
        <v>35</v>
      </c>
      <c r="G1548" t="str">
        <f>"2025-08-23 23:21:10.296"</f>
        <v>2025-08-23 23:21:10.296</v>
      </c>
      <c r="H1548" t="s">
        <v>21</v>
      </c>
      <c r="I1548">
        <v>0</v>
      </c>
      <c r="J1548" t="s">
        <v>33</v>
      </c>
    </row>
    <row r="1549" spans="1:10" x14ac:dyDescent="0.25">
      <c r="A1549" s="1">
        <v>598</v>
      </c>
      <c r="B1549" t="s">
        <v>19</v>
      </c>
      <c r="C1549">
        <v>706</v>
      </c>
      <c r="D1549">
        <v>2</v>
      </c>
      <c r="E1549" t="s">
        <v>31</v>
      </c>
      <c r="F1549" t="s">
        <v>35</v>
      </c>
      <c r="G1549" t="str">
        <f>"2025-08-23 23:19:39.896"</f>
        <v>2025-08-23 23:19:39.896</v>
      </c>
      <c r="H1549" t="s">
        <v>21</v>
      </c>
      <c r="I1549">
        <v>0</v>
      </c>
      <c r="J1549" t="s">
        <v>33</v>
      </c>
    </row>
    <row r="1550" spans="1:10" x14ac:dyDescent="0.25">
      <c r="A1550" s="1">
        <v>599</v>
      </c>
      <c r="B1550" t="s">
        <v>19</v>
      </c>
      <c r="C1550">
        <v>706</v>
      </c>
      <c r="D1550">
        <v>2</v>
      </c>
      <c r="E1550" t="s">
        <v>31</v>
      </c>
      <c r="F1550" t="s">
        <v>35</v>
      </c>
      <c r="G1550" t="str">
        <f>"2025-08-23 23:13:23.096"</f>
        <v>2025-08-23 23:13:23.096</v>
      </c>
      <c r="H1550" t="s">
        <v>21</v>
      </c>
      <c r="I1550">
        <v>0</v>
      </c>
      <c r="J1550" t="s">
        <v>33</v>
      </c>
    </row>
    <row r="1551" spans="1:10" x14ac:dyDescent="0.25">
      <c r="A1551" s="1">
        <v>600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"2025-08-23 23:10:54.706"</f>
        <v>2025-08-23 23:10:54.706</v>
      </c>
      <c r="H1551" t="s">
        <v>21</v>
      </c>
    </row>
    <row r="1552" spans="1:10" x14ac:dyDescent="0.25">
      <c r="A1552" s="1">
        <v>601</v>
      </c>
      <c r="B1552" t="s">
        <v>19</v>
      </c>
      <c r="C1552">
        <v>706</v>
      </c>
      <c r="D1552">
        <v>4</v>
      </c>
      <c r="E1552" t="s">
        <v>31</v>
      </c>
      <c r="F1552" t="s">
        <v>32</v>
      </c>
      <c r="G1552" t="str">
        <f>"2025-08-23 23:08:37.827"</f>
        <v>2025-08-23 23:08:37.827</v>
      </c>
      <c r="H1552" t="s">
        <v>21</v>
      </c>
      <c r="I1552">
        <v>0</v>
      </c>
      <c r="J1552" t="s">
        <v>33</v>
      </c>
    </row>
    <row r="1553" spans="1:10" x14ac:dyDescent="0.25">
      <c r="A1553" s="1">
        <v>602</v>
      </c>
      <c r="B1553" t="s">
        <v>19</v>
      </c>
      <c r="C1553">
        <v>706</v>
      </c>
      <c r="D1553">
        <v>4</v>
      </c>
      <c r="E1553" t="s">
        <v>31</v>
      </c>
      <c r="F1553" t="s">
        <v>32</v>
      </c>
      <c r="G1553" t="str">
        <f>"2025-08-23 23:02:59.237"</f>
        <v>2025-08-23 23:02:59.237</v>
      </c>
      <c r="H1553" t="s">
        <v>21</v>
      </c>
      <c r="I1553">
        <v>0</v>
      </c>
      <c r="J1553" t="s">
        <v>33</v>
      </c>
    </row>
    <row r="1554" spans="1:10" x14ac:dyDescent="0.25">
      <c r="A1554" s="1">
        <v>603</v>
      </c>
      <c r="B1554" t="s">
        <v>19</v>
      </c>
      <c r="C1554">
        <v>706</v>
      </c>
      <c r="D1554">
        <v>4</v>
      </c>
      <c r="E1554" t="s">
        <v>31</v>
      </c>
      <c r="F1554" t="s">
        <v>32</v>
      </c>
      <c r="G1554" t="str">
        <f>"2025-08-23 23:02:49.237"</f>
        <v>2025-08-23 23:02:49.237</v>
      </c>
      <c r="H1554" t="s">
        <v>21</v>
      </c>
      <c r="I1554">
        <v>0</v>
      </c>
      <c r="J1554" t="s">
        <v>33</v>
      </c>
    </row>
    <row r="1555" spans="1:10" x14ac:dyDescent="0.25">
      <c r="A1555" s="1">
        <v>604</v>
      </c>
      <c r="B1555" t="s">
        <v>22</v>
      </c>
      <c r="C1555">
        <v>630</v>
      </c>
      <c r="D1555">
        <v>5</v>
      </c>
      <c r="E1555" t="s">
        <v>28</v>
      </c>
      <c r="F1555" t="s">
        <v>29</v>
      </c>
      <c r="G1555" t="str">
        <f>"2025-08-23 23:01:42.051"</f>
        <v>2025-08-23 23:01:42.051</v>
      </c>
      <c r="H1555" t="s">
        <v>30</v>
      </c>
    </row>
    <row r="1556" spans="1:10" x14ac:dyDescent="0.25">
      <c r="A1556" s="1">
        <v>605</v>
      </c>
      <c r="B1556" t="s">
        <v>34</v>
      </c>
      <c r="C1556">
        <v>630</v>
      </c>
      <c r="D1556">
        <v>5</v>
      </c>
      <c r="E1556" t="s">
        <v>28</v>
      </c>
      <c r="F1556" t="s">
        <v>29</v>
      </c>
      <c r="G1556" t="str">
        <f>"2025-08-23 22:53:36.551"</f>
        <v>2025-08-23 22:53:36.551</v>
      </c>
      <c r="H1556" t="s">
        <v>30</v>
      </c>
      <c r="I1556">
        <v>0</v>
      </c>
      <c r="J1556" t="s">
        <v>33</v>
      </c>
    </row>
    <row r="1557" spans="1:10" x14ac:dyDescent="0.25">
      <c r="A1557" s="1">
        <v>606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"2025-08-23 22:48:33.707"</f>
        <v>2025-08-23 22:48:33.707</v>
      </c>
      <c r="H1557" t="s">
        <v>21</v>
      </c>
      <c r="I1557">
        <v>0</v>
      </c>
      <c r="J1557" t="s">
        <v>27</v>
      </c>
    </row>
    <row r="1558" spans="1:10" x14ac:dyDescent="0.25">
      <c r="A1558" s="1">
        <v>607</v>
      </c>
      <c r="B1558" t="s">
        <v>34</v>
      </c>
      <c r="C1558">
        <v>630</v>
      </c>
      <c r="D1558">
        <v>5</v>
      </c>
      <c r="E1558" t="s">
        <v>28</v>
      </c>
      <c r="F1558" t="s">
        <v>29</v>
      </c>
      <c r="G1558" t="str">
        <f>"2025-08-23 21:54:08.687"</f>
        <v>2025-08-23 21:54:08.687</v>
      </c>
      <c r="H1558" t="s">
        <v>30</v>
      </c>
      <c r="I1558">
        <v>0</v>
      </c>
      <c r="J1558" t="s">
        <v>33</v>
      </c>
    </row>
    <row r="1559" spans="1:10" x14ac:dyDescent="0.25">
      <c r="A1559" s="1">
        <v>608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"2025-08-23 21:49:05.949"</f>
        <v>2025-08-23 21:49:05.949</v>
      </c>
      <c r="H1559" t="s">
        <v>21</v>
      </c>
      <c r="I1559">
        <v>0</v>
      </c>
      <c r="J1559" t="s">
        <v>27</v>
      </c>
    </row>
    <row r="1560" spans="1:10" x14ac:dyDescent="0.25">
      <c r="A1560" s="1">
        <v>609</v>
      </c>
      <c r="B1560" t="s">
        <v>22</v>
      </c>
      <c r="C1560">
        <v>630</v>
      </c>
      <c r="D1560">
        <v>5</v>
      </c>
      <c r="E1560" t="s">
        <v>28</v>
      </c>
      <c r="F1560" t="s">
        <v>29</v>
      </c>
      <c r="G1560" t="str">
        <f>"2025-08-23 12:29:40.215"</f>
        <v>2025-08-23 12:29:40.215</v>
      </c>
      <c r="H1560" t="s">
        <v>30</v>
      </c>
    </row>
    <row r="1561" spans="1:10" x14ac:dyDescent="0.25">
      <c r="A1561" s="1">
        <v>610</v>
      </c>
      <c r="B1561" t="s">
        <v>19</v>
      </c>
      <c r="C1561">
        <v>706</v>
      </c>
      <c r="D1561">
        <v>4</v>
      </c>
      <c r="E1561" t="s">
        <v>31</v>
      </c>
      <c r="F1561" t="s">
        <v>32</v>
      </c>
      <c r="G1561" t="str">
        <f>"2025-08-23 12:29:10.152"</f>
        <v>2025-08-23 12:29:10.152</v>
      </c>
      <c r="H1561" t="s">
        <v>21</v>
      </c>
      <c r="I1561">
        <v>0</v>
      </c>
      <c r="J1561" t="s">
        <v>33</v>
      </c>
    </row>
    <row r="1562" spans="1:10" x14ac:dyDescent="0.25">
      <c r="A1562" s="1">
        <v>611</v>
      </c>
      <c r="B1562" t="s">
        <v>34</v>
      </c>
      <c r="C1562">
        <v>630</v>
      </c>
      <c r="D1562">
        <v>5</v>
      </c>
      <c r="E1562" t="s">
        <v>28</v>
      </c>
      <c r="F1562" t="s">
        <v>29</v>
      </c>
      <c r="G1562" t="str">
        <f>"2025-08-23 12:06:36.516"</f>
        <v>2025-08-23 12:06:36.516</v>
      </c>
      <c r="H1562" t="s">
        <v>30</v>
      </c>
      <c r="I1562">
        <v>0</v>
      </c>
      <c r="J1562" t="s">
        <v>33</v>
      </c>
    </row>
    <row r="1563" spans="1:10" x14ac:dyDescent="0.25">
      <c r="A1563" s="1">
        <v>612</v>
      </c>
      <c r="B1563" t="s">
        <v>22</v>
      </c>
      <c r="C1563">
        <v>630</v>
      </c>
      <c r="D1563">
        <v>5</v>
      </c>
      <c r="E1563" t="s">
        <v>28</v>
      </c>
      <c r="F1563" t="s">
        <v>29</v>
      </c>
      <c r="G1563" t="str">
        <f>"2025-08-23 09:19:38.516"</f>
        <v>2025-08-23 09:19:38.516</v>
      </c>
      <c r="H1563" t="s">
        <v>30</v>
      </c>
    </row>
    <row r="1564" spans="1:10" x14ac:dyDescent="0.25">
      <c r="A1564" s="1">
        <v>613</v>
      </c>
      <c r="B1564" t="s">
        <v>19</v>
      </c>
      <c r="C1564">
        <v>706</v>
      </c>
      <c r="D1564">
        <v>4</v>
      </c>
      <c r="E1564" t="s">
        <v>31</v>
      </c>
      <c r="F1564" t="s">
        <v>32</v>
      </c>
      <c r="G1564" t="str">
        <f>"2025-08-23 09:19:08.522"</f>
        <v>2025-08-23 09:19:08.522</v>
      </c>
      <c r="H1564" t="s">
        <v>21</v>
      </c>
      <c r="I1564">
        <v>0</v>
      </c>
      <c r="J1564" t="s">
        <v>33</v>
      </c>
    </row>
    <row r="1565" spans="1:10" x14ac:dyDescent="0.25">
      <c r="A1565" s="1">
        <v>614</v>
      </c>
      <c r="B1565" t="s">
        <v>34</v>
      </c>
      <c r="C1565">
        <v>630</v>
      </c>
      <c r="D1565">
        <v>5</v>
      </c>
      <c r="E1565" t="s">
        <v>28</v>
      </c>
      <c r="F1565" t="s">
        <v>29</v>
      </c>
      <c r="G1565" t="str">
        <f>"2025-08-23 09:14:05.916"</f>
        <v>2025-08-23 09:14:05.916</v>
      </c>
      <c r="H1565" t="s">
        <v>30</v>
      </c>
      <c r="I1565">
        <v>0</v>
      </c>
      <c r="J1565" t="s">
        <v>33</v>
      </c>
    </row>
    <row r="1566" spans="1:10" x14ac:dyDescent="0.25">
      <c r="A1566" s="1">
        <v>615</v>
      </c>
      <c r="B1566" t="s">
        <v>22</v>
      </c>
      <c r="C1566">
        <v>630</v>
      </c>
      <c r="D1566">
        <v>5</v>
      </c>
      <c r="E1566" t="s">
        <v>28</v>
      </c>
      <c r="F1566" t="s">
        <v>29</v>
      </c>
      <c r="G1566" t="str">
        <f>"2025-08-22 14:48:40.816"</f>
        <v>2025-08-22 14:48:40.816</v>
      </c>
      <c r="H1566" t="s">
        <v>30</v>
      </c>
    </row>
    <row r="1567" spans="1:10" x14ac:dyDescent="0.25">
      <c r="A1567" s="1">
        <v>616</v>
      </c>
      <c r="B1567" t="s">
        <v>19</v>
      </c>
      <c r="C1567">
        <v>706</v>
      </c>
      <c r="D1567">
        <v>4</v>
      </c>
      <c r="E1567" t="s">
        <v>31</v>
      </c>
      <c r="F1567" t="s">
        <v>32</v>
      </c>
      <c r="G1567" t="str">
        <f>"2025-08-22 14:48:10.802"</f>
        <v>2025-08-22 14:48:10.802</v>
      </c>
      <c r="H1567" t="s">
        <v>21</v>
      </c>
      <c r="I1567">
        <v>0</v>
      </c>
      <c r="J1567" t="s">
        <v>33</v>
      </c>
    </row>
    <row r="1568" spans="1:10" x14ac:dyDescent="0.25">
      <c r="A1568" s="1">
        <v>617</v>
      </c>
      <c r="B1568" t="s">
        <v>34</v>
      </c>
      <c r="C1568">
        <v>630</v>
      </c>
      <c r="D1568">
        <v>5</v>
      </c>
      <c r="E1568" t="s">
        <v>28</v>
      </c>
      <c r="F1568" t="s">
        <v>29</v>
      </c>
      <c r="G1568" t="str">
        <f>"2025-08-22 14:41:59.116"</f>
        <v>2025-08-22 14:41:59.116</v>
      </c>
      <c r="H1568" t="s">
        <v>30</v>
      </c>
      <c r="I1568">
        <v>0</v>
      </c>
      <c r="J1568" t="s">
        <v>33</v>
      </c>
    </row>
    <row r="1569" spans="1:10" x14ac:dyDescent="0.25">
      <c r="A1569" s="1">
        <v>618</v>
      </c>
      <c r="B1569" t="s">
        <v>22</v>
      </c>
      <c r="C1569">
        <v>635</v>
      </c>
      <c r="D1569">
        <v>1</v>
      </c>
      <c r="E1569" t="s">
        <v>23</v>
      </c>
      <c r="F1569" t="s">
        <v>24</v>
      </c>
      <c r="G1569" t="str">
        <f>"2025-08-22 02:17:27.715"</f>
        <v>2025-08-22 02:17:27.715</v>
      </c>
      <c r="H1569" t="s">
        <v>21</v>
      </c>
    </row>
    <row r="1570" spans="1:10" x14ac:dyDescent="0.25">
      <c r="A1570" s="1">
        <v>619</v>
      </c>
      <c r="B1570" t="s">
        <v>25</v>
      </c>
      <c r="C1570">
        <v>635</v>
      </c>
      <c r="D1570">
        <v>1</v>
      </c>
      <c r="E1570" t="s">
        <v>23</v>
      </c>
      <c r="F1570" t="s">
        <v>24</v>
      </c>
      <c r="G1570" t="str">
        <f>"2025-08-22 02:12:59.215"</f>
        <v>2025-08-22 02:12:59.215</v>
      </c>
      <c r="H1570" t="s">
        <v>21</v>
      </c>
      <c r="I1570">
        <v>0.65</v>
      </c>
      <c r="J1570" t="s">
        <v>37</v>
      </c>
    </row>
    <row r="1571" spans="1:10" s="3" customFormat="1" x14ac:dyDescent="0.25">
      <c r="A1571" s="2">
        <v>620</v>
      </c>
      <c r="B1571" s="3" t="s">
        <v>22</v>
      </c>
      <c r="C1571" s="3">
        <v>647</v>
      </c>
      <c r="D1571" s="3">
        <v>1</v>
      </c>
      <c r="E1571" s="3" t="s">
        <v>39</v>
      </c>
      <c r="F1571" s="3" t="s">
        <v>40</v>
      </c>
      <c r="G1571" s="3" t="str">
        <f>"2025-08-21 23:47:46.216"</f>
        <v>2025-08-21 23:47:46.216</v>
      </c>
      <c r="H1571" s="3" t="s">
        <v>21</v>
      </c>
    </row>
    <row r="1572" spans="1:10" s="3" customFormat="1" x14ac:dyDescent="0.25">
      <c r="A1572" s="2">
        <v>621</v>
      </c>
      <c r="B1572" s="3" t="s">
        <v>25</v>
      </c>
      <c r="C1572" s="3">
        <v>647</v>
      </c>
      <c r="D1572" s="3">
        <v>1</v>
      </c>
      <c r="E1572" s="3" t="s">
        <v>39</v>
      </c>
      <c r="F1572" s="3" t="s">
        <v>40</v>
      </c>
      <c r="G1572" s="3" t="str">
        <f>"2025-08-21 23:47:42.316"</f>
        <v>2025-08-21 23:47:42.316</v>
      </c>
      <c r="H1572" s="3" t="s">
        <v>21</v>
      </c>
      <c r="I1572" s="3">
        <v>19.39</v>
      </c>
      <c r="J1572" s="3" t="s">
        <v>37</v>
      </c>
    </row>
    <row r="1573" spans="1:10" x14ac:dyDescent="0.25">
      <c r="A1573" s="1">
        <v>623</v>
      </c>
      <c r="B1573" t="s">
        <v>22</v>
      </c>
      <c r="C1573">
        <v>630</v>
      </c>
      <c r="D1573">
        <v>5</v>
      </c>
      <c r="E1573" t="s">
        <v>28</v>
      </c>
      <c r="F1573" t="s">
        <v>29</v>
      </c>
      <c r="G1573" t="str">
        <f>"2025-08-20 14:02:02.516"</f>
        <v>2025-08-20 14:02:02.516</v>
      </c>
      <c r="H1573" t="s">
        <v>30</v>
      </c>
    </row>
    <row r="1574" spans="1:10" x14ac:dyDescent="0.25">
      <c r="A1574" s="1">
        <v>624</v>
      </c>
      <c r="B1574" t="s">
        <v>19</v>
      </c>
      <c r="C1574">
        <v>706</v>
      </c>
      <c r="D1574">
        <v>2</v>
      </c>
      <c r="E1574" t="s">
        <v>31</v>
      </c>
      <c r="F1574" t="s">
        <v>35</v>
      </c>
      <c r="G1574" t="str">
        <f>"2025-08-20 14:01:32.382"</f>
        <v>2025-08-20 14:01:32.382</v>
      </c>
      <c r="H1574" t="s">
        <v>21</v>
      </c>
      <c r="I1574">
        <v>0</v>
      </c>
      <c r="J1574" t="s">
        <v>33</v>
      </c>
    </row>
    <row r="1575" spans="1:10" x14ac:dyDescent="0.25">
      <c r="A1575" s="1">
        <v>625</v>
      </c>
      <c r="B1575" t="s">
        <v>34</v>
      </c>
      <c r="C1575">
        <v>630</v>
      </c>
      <c r="D1575">
        <v>5</v>
      </c>
      <c r="E1575" t="s">
        <v>28</v>
      </c>
      <c r="F1575" t="s">
        <v>29</v>
      </c>
      <c r="G1575" t="str">
        <f>"2025-08-20 12:40:15.916"</f>
        <v>2025-08-20 12:40:15.916</v>
      </c>
      <c r="H1575" t="s">
        <v>30</v>
      </c>
      <c r="I1575">
        <v>0</v>
      </c>
      <c r="J1575" t="s">
        <v>33</v>
      </c>
    </row>
    <row r="1576" spans="1:10" x14ac:dyDescent="0.25">
      <c r="A1576" s="1">
        <v>626</v>
      </c>
      <c r="B1576" t="s">
        <v>22</v>
      </c>
      <c r="C1576">
        <v>635</v>
      </c>
      <c r="D1576">
        <v>1</v>
      </c>
      <c r="E1576" t="s">
        <v>23</v>
      </c>
      <c r="F1576" t="s">
        <v>24</v>
      </c>
      <c r="G1576" t="str">
        <f>"2025-08-20 10:56:29.315"</f>
        <v>2025-08-20 10:56:29.315</v>
      </c>
      <c r="H1576" t="s">
        <v>21</v>
      </c>
    </row>
    <row r="1577" spans="1:10" x14ac:dyDescent="0.25">
      <c r="A1577" s="1">
        <v>627</v>
      </c>
      <c r="B1577" t="s">
        <v>25</v>
      </c>
      <c r="C1577">
        <v>635</v>
      </c>
      <c r="D1577">
        <v>1</v>
      </c>
      <c r="E1577" t="s">
        <v>23</v>
      </c>
      <c r="F1577" t="s">
        <v>24</v>
      </c>
      <c r="G1577" t="str">
        <f>"2025-08-20 10:49:20.915"</f>
        <v>2025-08-20 10:49:20.915</v>
      </c>
      <c r="H1577" t="s">
        <v>21</v>
      </c>
      <c r="I1577">
        <v>2.7</v>
      </c>
      <c r="J1577" t="s">
        <v>36</v>
      </c>
    </row>
    <row r="1578" spans="1:10" x14ac:dyDescent="0.25">
      <c r="A1578" s="1">
        <v>629</v>
      </c>
      <c r="B1578" t="s">
        <v>22</v>
      </c>
      <c r="C1578">
        <v>630</v>
      </c>
      <c r="D1578">
        <v>5</v>
      </c>
      <c r="E1578" t="s">
        <v>28</v>
      </c>
      <c r="F1578" t="s">
        <v>29</v>
      </c>
      <c r="G1578" t="str">
        <f>"2025-08-19 12:37:23.916"</f>
        <v>2025-08-19 12:37:23.916</v>
      </c>
      <c r="H1578" t="s">
        <v>30</v>
      </c>
    </row>
    <row r="1579" spans="1:10" x14ac:dyDescent="0.25">
      <c r="A1579" s="1">
        <v>630</v>
      </c>
      <c r="B1579" t="s">
        <v>19</v>
      </c>
      <c r="C1579">
        <v>706</v>
      </c>
      <c r="D1579">
        <v>2</v>
      </c>
      <c r="E1579" t="s">
        <v>31</v>
      </c>
      <c r="F1579" t="s">
        <v>35</v>
      </c>
      <c r="G1579" t="str">
        <f>"2025-08-19 12:36:53.782"</f>
        <v>2025-08-19 12:36:53.782</v>
      </c>
      <c r="H1579" t="s">
        <v>21</v>
      </c>
      <c r="I1579">
        <v>0</v>
      </c>
      <c r="J1579" t="s">
        <v>33</v>
      </c>
    </row>
    <row r="1580" spans="1:10" x14ac:dyDescent="0.25">
      <c r="A1580" s="1">
        <v>631</v>
      </c>
      <c r="B1580" t="s">
        <v>34</v>
      </c>
      <c r="C1580">
        <v>630</v>
      </c>
      <c r="D1580">
        <v>5</v>
      </c>
      <c r="E1580" t="s">
        <v>28</v>
      </c>
      <c r="F1580" t="s">
        <v>29</v>
      </c>
      <c r="G1580" t="str">
        <f>"2025-08-19 12:13:54.715"</f>
        <v>2025-08-19 12:13:54.715</v>
      </c>
      <c r="H1580" t="s">
        <v>30</v>
      </c>
      <c r="I1580">
        <v>0</v>
      </c>
      <c r="J1580" t="s">
        <v>33</v>
      </c>
    </row>
    <row r="1581" spans="1:10" x14ac:dyDescent="0.25">
      <c r="A1581" s="1">
        <v>632</v>
      </c>
      <c r="B1581" t="s">
        <v>22</v>
      </c>
      <c r="C1581">
        <v>635</v>
      </c>
      <c r="D1581">
        <v>1</v>
      </c>
      <c r="E1581" t="s">
        <v>23</v>
      </c>
      <c r="F1581" t="s">
        <v>24</v>
      </c>
      <c r="G1581" t="str">
        <f>"2025-08-19 04:19:26.015"</f>
        <v>2025-08-19 04:19:26.015</v>
      </c>
      <c r="H1581" t="s">
        <v>21</v>
      </c>
    </row>
    <row r="1582" spans="1:10" x14ac:dyDescent="0.25">
      <c r="A1582" s="1">
        <v>633</v>
      </c>
      <c r="B1582" t="s">
        <v>25</v>
      </c>
      <c r="C1582">
        <v>635</v>
      </c>
      <c r="D1582">
        <v>1</v>
      </c>
      <c r="E1582" t="s">
        <v>23</v>
      </c>
      <c r="F1582" t="s">
        <v>24</v>
      </c>
      <c r="G1582" t="str">
        <f>"2025-08-19 03:56:17.515"</f>
        <v>2025-08-19 03:56:17.515</v>
      </c>
      <c r="H1582" t="s">
        <v>21</v>
      </c>
      <c r="I1582">
        <v>6.08</v>
      </c>
      <c r="J1582" t="s">
        <v>36</v>
      </c>
    </row>
    <row r="1583" spans="1:10" s="3" customFormat="1" x14ac:dyDescent="0.25">
      <c r="A1583" s="2">
        <v>634</v>
      </c>
      <c r="B1583" s="3" t="s">
        <v>22</v>
      </c>
      <c r="C1583" s="3">
        <v>647</v>
      </c>
      <c r="D1583" s="3">
        <v>1</v>
      </c>
      <c r="E1583" s="3" t="s">
        <v>39</v>
      </c>
      <c r="F1583" s="3" t="s">
        <v>40</v>
      </c>
      <c r="G1583" s="3" t="str">
        <f>"2025-08-18 17:50:55.115"</f>
        <v>2025-08-18 17:50:55.115</v>
      </c>
      <c r="H1583" s="3" t="s">
        <v>21</v>
      </c>
    </row>
    <row r="1584" spans="1:10" s="3" customFormat="1" x14ac:dyDescent="0.25">
      <c r="A1584" s="2">
        <v>635</v>
      </c>
      <c r="B1584" s="3" t="s">
        <v>25</v>
      </c>
      <c r="C1584" s="3">
        <v>647</v>
      </c>
      <c r="D1584" s="3">
        <v>1</v>
      </c>
      <c r="E1584" s="3" t="s">
        <v>39</v>
      </c>
      <c r="F1584" s="3" t="s">
        <v>40</v>
      </c>
      <c r="G1584" s="3" t="str">
        <f>"2025-08-18 17:50:52.016"</f>
        <v>2025-08-18 17:50:52.016</v>
      </c>
      <c r="H1584" s="3" t="s">
        <v>21</v>
      </c>
      <c r="I1584" s="3">
        <v>10.38</v>
      </c>
      <c r="J1584" s="3" t="s">
        <v>26</v>
      </c>
    </row>
    <row r="1585" spans="1:10" s="3" customFormat="1" x14ac:dyDescent="0.25">
      <c r="A1585" s="2">
        <v>636</v>
      </c>
      <c r="B1585" s="3" t="s">
        <v>22</v>
      </c>
      <c r="C1585" s="3">
        <v>647</v>
      </c>
      <c r="D1585" s="3">
        <v>1</v>
      </c>
      <c r="E1585" s="3" t="s">
        <v>39</v>
      </c>
      <c r="F1585" s="3" t="s">
        <v>40</v>
      </c>
      <c r="G1585" s="3" t="str">
        <f>"2025-08-18 14:31:13.416"</f>
        <v>2025-08-18 14:31:13.416</v>
      </c>
      <c r="H1585" s="3" t="s">
        <v>21</v>
      </c>
    </row>
    <row r="1586" spans="1:10" s="3" customFormat="1" x14ac:dyDescent="0.25">
      <c r="A1586" s="2">
        <v>637</v>
      </c>
      <c r="B1586" s="3" t="s">
        <v>25</v>
      </c>
      <c r="C1586" s="3">
        <v>647</v>
      </c>
      <c r="D1586" s="3">
        <v>1</v>
      </c>
      <c r="E1586" s="3" t="s">
        <v>39</v>
      </c>
      <c r="F1586" s="3" t="s">
        <v>40</v>
      </c>
      <c r="G1586" s="3" t="str">
        <f>"2025-08-18 14:31:12.116"</f>
        <v>2025-08-18 14:31:12.116</v>
      </c>
      <c r="H1586" s="3" t="s">
        <v>21</v>
      </c>
      <c r="I1586" s="3">
        <v>9.2100000000000009</v>
      </c>
      <c r="J1586" s="3" t="s">
        <v>26</v>
      </c>
    </row>
    <row r="1587" spans="1:10" x14ac:dyDescent="0.25">
      <c r="A1587" s="1">
        <v>638</v>
      </c>
      <c r="B1587" t="s">
        <v>22</v>
      </c>
      <c r="C1587">
        <v>6</v>
      </c>
      <c r="D1587">
        <v>1</v>
      </c>
      <c r="E1587" t="s">
        <v>45</v>
      </c>
      <c r="F1587" t="s">
        <v>46</v>
      </c>
      <c r="G1587" t="str">
        <f>"2025-08-18 05:46:30.540"</f>
        <v>2025-08-18 05:46:30.540</v>
      </c>
      <c r="H1587" t="s">
        <v>47</v>
      </c>
    </row>
    <row r="1588" spans="1:10" x14ac:dyDescent="0.25">
      <c r="A1588" s="1">
        <v>639</v>
      </c>
      <c r="B1588" t="s">
        <v>22</v>
      </c>
      <c r="C1588">
        <v>75</v>
      </c>
      <c r="D1588">
        <v>1</v>
      </c>
      <c r="E1588" t="s">
        <v>48</v>
      </c>
      <c r="F1588" t="s">
        <v>49</v>
      </c>
      <c r="G1588" t="str">
        <f>"2025-08-18 05:46:30.537"</f>
        <v>2025-08-18 05:46:30.537</v>
      </c>
      <c r="H1588" t="s">
        <v>50</v>
      </c>
    </row>
    <row r="1589" spans="1:10" x14ac:dyDescent="0.25">
      <c r="A1589" s="1">
        <v>640</v>
      </c>
      <c r="B1589" t="s">
        <v>22</v>
      </c>
      <c r="C1589">
        <v>74</v>
      </c>
      <c r="D1589">
        <v>1</v>
      </c>
      <c r="E1589" t="s">
        <v>51</v>
      </c>
      <c r="F1589" t="s">
        <v>52</v>
      </c>
      <c r="G1589" t="str">
        <f>"2025-08-18 05:46:30.535"</f>
        <v>2025-08-18 05:46:30.535</v>
      </c>
      <c r="H1589" t="s">
        <v>53</v>
      </c>
    </row>
    <row r="1590" spans="1:10" x14ac:dyDescent="0.25">
      <c r="A1590" s="1">
        <v>641</v>
      </c>
      <c r="B1590" t="s">
        <v>25</v>
      </c>
      <c r="C1590">
        <v>75</v>
      </c>
      <c r="D1590">
        <v>1</v>
      </c>
      <c r="E1590" t="s">
        <v>48</v>
      </c>
      <c r="F1590" t="s">
        <v>49</v>
      </c>
      <c r="G1590" t="str">
        <f>"2025-08-18 05:46:18.992"</f>
        <v>2025-08-18 05:46:18.992</v>
      </c>
      <c r="H1590" t="s">
        <v>50</v>
      </c>
      <c r="I1590">
        <v>0</v>
      </c>
      <c r="J1590" t="s">
        <v>33</v>
      </c>
    </row>
    <row r="1591" spans="1:10" x14ac:dyDescent="0.25">
      <c r="A1591" s="1">
        <v>642</v>
      </c>
      <c r="B1591" t="s">
        <v>25</v>
      </c>
      <c r="C1591">
        <v>74</v>
      </c>
      <c r="D1591">
        <v>1</v>
      </c>
      <c r="E1591" t="s">
        <v>51</v>
      </c>
      <c r="F1591" t="s">
        <v>52</v>
      </c>
      <c r="G1591" t="str">
        <f>"2025-08-18 05:46:18.987"</f>
        <v>2025-08-18 05:46:18.987</v>
      </c>
      <c r="H1591" t="s">
        <v>53</v>
      </c>
      <c r="I1591">
        <v>0</v>
      </c>
      <c r="J1591" t="s">
        <v>33</v>
      </c>
    </row>
    <row r="1592" spans="1:10" x14ac:dyDescent="0.25">
      <c r="A1592" s="1">
        <v>643</v>
      </c>
      <c r="B1592" t="s">
        <v>34</v>
      </c>
      <c r="C1592">
        <v>6</v>
      </c>
      <c r="D1592">
        <v>1</v>
      </c>
      <c r="E1592" t="s">
        <v>45</v>
      </c>
      <c r="F1592" t="s">
        <v>46</v>
      </c>
      <c r="G1592" t="str">
        <f>"2025-08-18 05:46:18.983"</f>
        <v>2025-08-18 05:46:18.983</v>
      </c>
      <c r="H1592" t="s">
        <v>47</v>
      </c>
      <c r="I1592">
        <v>0</v>
      </c>
      <c r="J1592" t="s">
        <v>33</v>
      </c>
    </row>
    <row r="1593" spans="1:10" x14ac:dyDescent="0.25">
      <c r="A1593" s="1">
        <v>647</v>
      </c>
      <c r="B1593" t="s">
        <v>22</v>
      </c>
      <c r="C1593">
        <v>635</v>
      </c>
      <c r="D1593">
        <v>1</v>
      </c>
      <c r="E1593" t="s">
        <v>23</v>
      </c>
      <c r="F1593" t="s">
        <v>24</v>
      </c>
      <c r="G1593" t="str">
        <f>"2025-08-17 23:41:30.024"</f>
        <v>2025-08-17 23:41:30.024</v>
      </c>
      <c r="H1593" t="s">
        <v>21</v>
      </c>
    </row>
    <row r="1594" spans="1:10" x14ac:dyDescent="0.25">
      <c r="A1594" s="1">
        <v>648</v>
      </c>
      <c r="B1594" t="s">
        <v>25</v>
      </c>
      <c r="C1594">
        <v>635</v>
      </c>
      <c r="D1594">
        <v>1</v>
      </c>
      <c r="E1594" t="s">
        <v>23</v>
      </c>
      <c r="F1594" t="s">
        <v>24</v>
      </c>
      <c r="G1594" t="str">
        <f>"2025-08-17 23:36:40.524"</f>
        <v>2025-08-17 23:36:40.524</v>
      </c>
      <c r="H1594" t="s">
        <v>21</v>
      </c>
      <c r="I1594">
        <v>7.52</v>
      </c>
      <c r="J1594" t="s">
        <v>36</v>
      </c>
    </row>
    <row r="1595" spans="1:10" s="3" customFormat="1" x14ac:dyDescent="0.25">
      <c r="A1595" s="2">
        <v>649</v>
      </c>
      <c r="B1595" s="3" t="s">
        <v>22</v>
      </c>
      <c r="C1595" s="3">
        <v>647</v>
      </c>
      <c r="D1595" s="3">
        <v>1</v>
      </c>
      <c r="E1595" s="3" t="s">
        <v>39</v>
      </c>
      <c r="F1595" s="3" t="s">
        <v>40</v>
      </c>
      <c r="G1595" s="3" t="str">
        <f>"2025-08-17 18:20:07.373"</f>
        <v>2025-08-17 18:20:07.373</v>
      </c>
      <c r="H1595" s="3" t="s">
        <v>21</v>
      </c>
    </row>
    <row r="1596" spans="1:10" s="3" customFormat="1" x14ac:dyDescent="0.25">
      <c r="A1596" s="2">
        <v>650</v>
      </c>
      <c r="B1596" s="3" t="s">
        <v>25</v>
      </c>
      <c r="C1596" s="3">
        <v>647</v>
      </c>
      <c r="D1596" s="3">
        <v>1</v>
      </c>
      <c r="E1596" s="3" t="s">
        <v>39</v>
      </c>
      <c r="F1596" s="3" t="s">
        <v>40</v>
      </c>
      <c r="G1596" s="3" t="str">
        <f>"2025-08-17 18:20:02.973"</f>
        <v>2025-08-17 18:20:02.973</v>
      </c>
      <c r="H1596" s="3" t="s">
        <v>21</v>
      </c>
      <c r="I1596" s="3">
        <v>8.86</v>
      </c>
      <c r="J1596" s="3" t="s">
        <v>37</v>
      </c>
    </row>
    <row r="1597" spans="1:10" s="3" customFormat="1" x14ac:dyDescent="0.25">
      <c r="A1597" s="2">
        <v>651</v>
      </c>
      <c r="B1597" s="3" t="s">
        <v>22</v>
      </c>
      <c r="C1597" s="3">
        <v>647</v>
      </c>
      <c r="D1597" s="3">
        <v>1</v>
      </c>
      <c r="E1597" s="3" t="s">
        <v>39</v>
      </c>
      <c r="F1597" s="3" t="s">
        <v>40</v>
      </c>
      <c r="G1597" s="3" t="str">
        <f>"2025-08-17 17:29:29.973"</f>
        <v>2025-08-17 17:29:29.973</v>
      </c>
      <c r="H1597" s="3" t="s">
        <v>21</v>
      </c>
    </row>
    <row r="1598" spans="1:10" s="3" customFormat="1" x14ac:dyDescent="0.25">
      <c r="A1598" s="2">
        <v>652</v>
      </c>
      <c r="B1598" s="3" t="s">
        <v>25</v>
      </c>
      <c r="C1598" s="3">
        <v>647</v>
      </c>
      <c r="D1598" s="3">
        <v>1</v>
      </c>
      <c r="E1598" s="3" t="s">
        <v>39</v>
      </c>
      <c r="F1598" s="3" t="s">
        <v>40</v>
      </c>
      <c r="G1598" s="3" t="str">
        <f>"2025-08-17 17:29:25.873"</f>
        <v>2025-08-17 17:29:25.873</v>
      </c>
      <c r="H1598" s="3" t="s">
        <v>21</v>
      </c>
      <c r="I1598" s="3">
        <v>8.39</v>
      </c>
      <c r="J1598" s="3" t="s">
        <v>26</v>
      </c>
    </row>
    <row r="1599" spans="1:10" x14ac:dyDescent="0.25">
      <c r="A1599" s="1">
        <v>653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"2025-08-15 20:06:35.742"</f>
        <v>2025-08-15 20:06:35.742</v>
      </c>
      <c r="H1599" t="s">
        <v>21</v>
      </c>
      <c r="I1599">
        <v>0</v>
      </c>
      <c r="J1599" t="s">
        <v>27</v>
      </c>
    </row>
    <row r="1600" spans="1:10" x14ac:dyDescent="0.25">
      <c r="A1600" s="1">
        <v>654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"2025-08-15 13:34:22.715"</f>
        <v>2025-08-15 13:34:22.715</v>
      </c>
      <c r="H1600" t="s">
        <v>21</v>
      </c>
      <c r="I1600">
        <v>0</v>
      </c>
      <c r="J1600" t="s">
        <v>27</v>
      </c>
    </row>
    <row r="1601" spans="1:10" s="3" customFormat="1" x14ac:dyDescent="0.25">
      <c r="A1601" s="2">
        <v>655</v>
      </c>
      <c r="B1601" s="3" t="s">
        <v>22</v>
      </c>
      <c r="C1601" s="3">
        <v>647</v>
      </c>
      <c r="D1601" s="3">
        <v>1</v>
      </c>
      <c r="E1601" s="3" t="s">
        <v>39</v>
      </c>
      <c r="F1601" s="3" t="s">
        <v>40</v>
      </c>
      <c r="G1601" s="3" t="str">
        <f>"2025-08-15 10:32:37.706"</f>
        <v>2025-08-15 10:32:37.706</v>
      </c>
      <c r="H1601" s="3" t="s">
        <v>21</v>
      </c>
    </row>
    <row r="1602" spans="1:10" s="3" customFormat="1" x14ac:dyDescent="0.25">
      <c r="A1602" s="2">
        <v>656</v>
      </c>
      <c r="B1602" s="3" t="s">
        <v>25</v>
      </c>
      <c r="C1602" s="3">
        <v>647</v>
      </c>
      <c r="D1602" s="3">
        <v>1</v>
      </c>
      <c r="E1602" s="3" t="s">
        <v>39</v>
      </c>
      <c r="F1602" s="3" t="s">
        <v>40</v>
      </c>
      <c r="G1602" s="3" t="str">
        <f>"2025-08-15 10:32:35.806"</f>
        <v>2025-08-15 10:32:35.806</v>
      </c>
      <c r="H1602" s="3" t="s">
        <v>21</v>
      </c>
      <c r="I1602" s="3">
        <v>9.39</v>
      </c>
      <c r="J1602" s="3" t="s">
        <v>37</v>
      </c>
    </row>
    <row r="1603" spans="1:10" s="3" customFormat="1" x14ac:dyDescent="0.25">
      <c r="A1603" s="2">
        <v>657</v>
      </c>
      <c r="B1603" s="3" t="s">
        <v>22</v>
      </c>
      <c r="C1603" s="3">
        <v>647</v>
      </c>
      <c r="D1603" s="3">
        <v>1</v>
      </c>
      <c r="E1603" s="3" t="s">
        <v>39</v>
      </c>
      <c r="F1603" s="3" t="s">
        <v>40</v>
      </c>
      <c r="G1603" s="3" t="str">
        <f>"2025-08-15 10:20:42.906"</f>
        <v>2025-08-15 10:20:42.906</v>
      </c>
      <c r="H1603" s="3" t="s">
        <v>21</v>
      </c>
    </row>
    <row r="1604" spans="1:10" s="3" customFormat="1" x14ac:dyDescent="0.25">
      <c r="A1604" s="2">
        <v>658</v>
      </c>
      <c r="B1604" s="3" t="s">
        <v>25</v>
      </c>
      <c r="C1604" s="3">
        <v>647</v>
      </c>
      <c r="D1604" s="3">
        <v>1</v>
      </c>
      <c r="E1604" s="3" t="s">
        <v>39</v>
      </c>
      <c r="F1604" s="3" t="s">
        <v>40</v>
      </c>
      <c r="G1604" s="3" t="str">
        <f>"2025-08-15 10:20:32.706"</f>
        <v>2025-08-15 10:20:32.706</v>
      </c>
      <c r="H1604" s="3" t="s">
        <v>21</v>
      </c>
      <c r="I1604" s="3">
        <v>11.41</v>
      </c>
      <c r="J1604" s="3" t="s">
        <v>26</v>
      </c>
    </row>
    <row r="1605" spans="1:10" s="3" customFormat="1" x14ac:dyDescent="0.25">
      <c r="A1605" s="2">
        <v>659</v>
      </c>
      <c r="B1605" s="3" t="s">
        <v>22</v>
      </c>
      <c r="C1605" s="3">
        <v>647</v>
      </c>
      <c r="D1605" s="3">
        <v>1</v>
      </c>
      <c r="E1605" s="3" t="s">
        <v>39</v>
      </c>
      <c r="F1605" s="3" t="s">
        <v>40</v>
      </c>
      <c r="G1605" s="3" t="str">
        <f>"2025-08-15 10:19:29.406"</f>
        <v>2025-08-15 10:19:29.406</v>
      </c>
      <c r="H1605" s="3" t="s">
        <v>21</v>
      </c>
    </row>
    <row r="1606" spans="1:10" s="3" customFormat="1" x14ac:dyDescent="0.25">
      <c r="A1606" s="2">
        <v>660</v>
      </c>
      <c r="B1606" s="3" t="s">
        <v>25</v>
      </c>
      <c r="C1606" s="3">
        <v>647</v>
      </c>
      <c r="D1606" s="3">
        <v>1</v>
      </c>
      <c r="E1606" s="3" t="s">
        <v>39</v>
      </c>
      <c r="F1606" s="3" t="s">
        <v>40</v>
      </c>
      <c r="G1606" s="3" t="str">
        <f>"2025-08-15 10:19:26.706"</f>
        <v>2025-08-15 10:19:26.706</v>
      </c>
      <c r="H1606" s="3" t="s">
        <v>21</v>
      </c>
      <c r="I1606" s="3">
        <v>10.8</v>
      </c>
      <c r="J1606" s="3" t="s">
        <v>26</v>
      </c>
    </row>
    <row r="1607" spans="1:10" s="3" customFormat="1" x14ac:dyDescent="0.25">
      <c r="A1607" s="2">
        <v>661</v>
      </c>
      <c r="B1607" s="3" t="s">
        <v>22</v>
      </c>
      <c r="C1607" s="3">
        <v>647</v>
      </c>
      <c r="D1607" s="3">
        <v>1</v>
      </c>
      <c r="E1607" s="3" t="s">
        <v>39</v>
      </c>
      <c r="F1607" s="3" t="s">
        <v>40</v>
      </c>
      <c r="G1607" s="3" t="str">
        <f>"2025-08-13 08:43:00.106"</f>
        <v>2025-08-13 08:43:00.106</v>
      </c>
      <c r="H1607" s="3" t="s">
        <v>21</v>
      </c>
    </row>
    <row r="1608" spans="1:10" s="3" customFormat="1" x14ac:dyDescent="0.25">
      <c r="A1608" s="2">
        <v>662</v>
      </c>
      <c r="B1608" s="3" t="s">
        <v>25</v>
      </c>
      <c r="C1608" s="3">
        <v>647</v>
      </c>
      <c r="D1608" s="3">
        <v>1</v>
      </c>
      <c r="E1608" s="3" t="s">
        <v>39</v>
      </c>
      <c r="F1608" s="3" t="s">
        <v>40</v>
      </c>
      <c r="G1608" s="3" t="str">
        <f>"2025-08-13 08:42:56.006"</f>
        <v>2025-08-13 08:42:56.006</v>
      </c>
      <c r="H1608" s="3" t="s">
        <v>21</v>
      </c>
      <c r="I1608" s="3">
        <v>19.78</v>
      </c>
      <c r="J1608" s="3" t="s">
        <v>37</v>
      </c>
    </row>
    <row r="1609" spans="1:10" x14ac:dyDescent="0.25">
      <c r="A1609" s="1">
        <v>663</v>
      </c>
      <c r="B1609" t="s">
        <v>22</v>
      </c>
      <c r="C1609">
        <v>630</v>
      </c>
      <c r="D1609">
        <v>5</v>
      </c>
      <c r="E1609" t="s">
        <v>28</v>
      </c>
      <c r="F1609" t="s">
        <v>29</v>
      </c>
      <c r="G1609" t="str">
        <f>"2025-08-13 01:38:57.206"</f>
        <v>2025-08-13 01:38:57.206</v>
      </c>
      <c r="H1609" t="s">
        <v>30</v>
      </c>
    </row>
    <row r="1610" spans="1:10" x14ac:dyDescent="0.25">
      <c r="A1610" s="1">
        <v>664</v>
      </c>
      <c r="B1610" t="s">
        <v>19</v>
      </c>
      <c r="C1610">
        <v>706</v>
      </c>
      <c r="D1610">
        <v>2</v>
      </c>
      <c r="E1610" t="s">
        <v>31</v>
      </c>
      <c r="F1610" t="s">
        <v>35</v>
      </c>
      <c r="G1610" t="str">
        <f>"2025-08-13 01:38:26.997"</f>
        <v>2025-08-13 01:38:26.997</v>
      </c>
      <c r="H1610" t="s">
        <v>21</v>
      </c>
      <c r="I1610">
        <v>0</v>
      </c>
      <c r="J1610" t="s">
        <v>33</v>
      </c>
    </row>
    <row r="1611" spans="1:10" x14ac:dyDescent="0.25">
      <c r="A1611" s="1">
        <v>665</v>
      </c>
      <c r="B1611" t="s">
        <v>34</v>
      </c>
      <c r="C1611">
        <v>630</v>
      </c>
      <c r="D1611">
        <v>5</v>
      </c>
      <c r="E1611" t="s">
        <v>28</v>
      </c>
      <c r="F1611" t="s">
        <v>29</v>
      </c>
      <c r="G1611" t="str">
        <f>"2025-08-13 01:13:28.606"</f>
        <v>2025-08-13 01:13:28.606</v>
      </c>
      <c r="H1611" t="s">
        <v>30</v>
      </c>
      <c r="I1611">
        <v>0</v>
      </c>
      <c r="J1611" t="s">
        <v>33</v>
      </c>
    </row>
    <row r="1612" spans="1:10" x14ac:dyDescent="0.25">
      <c r="A1612" s="1">
        <v>666</v>
      </c>
      <c r="B1612" t="s">
        <v>22</v>
      </c>
      <c r="C1612">
        <v>630</v>
      </c>
      <c r="D1612">
        <v>5</v>
      </c>
      <c r="E1612" t="s">
        <v>28</v>
      </c>
      <c r="F1612" t="s">
        <v>29</v>
      </c>
      <c r="G1612" t="str">
        <f>"2025-08-12 21:33:18.906"</f>
        <v>2025-08-12 21:33:18.906</v>
      </c>
      <c r="H1612" t="s">
        <v>30</v>
      </c>
    </row>
    <row r="1613" spans="1:10" x14ac:dyDescent="0.25">
      <c r="A1613" s="1">
        <v>667</v>
      </c>
      <c r="B1613" t="s">
        <v>19</v>
      </c>
      <c r="C1613">
        <v>706</v>
      </c>
      <c r="D1613">
        <v>4</v>
      </c>
      <c r="E1613" t="s">
        <v>31</v>
      </c>
      <c r="F1613" t="s">
        <v>32</v>
      </c>
      <c r="G1613" t="str">
        <f>"2025-08-12 21:32:48.807"</f>
        <v>2025-08-12 21:32:48.807</v>
      </c>
      <c r="H1613" t="s">
        <v>21</v>
      </c>
      <c r="I1613">
        <v>0</v>
      </c>
      <c r="J1613" t="s">
        <v>33</v>
      </c>
    </row>
    <row r="1614" spans="1:10" x14ac:dyDescent="0.25">
      <c r="A1614" s="1">
        <v>668</v>
      </c>
      <c r="B1614" t="s">
        <v>34</v>
      </c>
      <c r="C1614">
        <v>630</v>
      </c>
      <c r="D1614">
        <v>5</v>
      </c>
      <c r="E1614" t="s">
        <v>28</v>
      </c>
      <c r="F1614" t="s">
        <v>29</v>
      </c>
      <c r="G1614" t="str">
        <f>"2025-08-12 21:12:21.807"</f>
        <v>2025-08-12 21:12:21.807</v>
      </c>
      <c r="H1614" t="s">
        <v>30</v>
      </c>
      <c r="I1614">
        <v>0</v>
      </c>
      <c r="J1614" t="s">
        <v>33</v>
      </c>
    </row>
    <row r="1615" spans="1:10" x14ac:dyDescent="0.25">
      <c r="A1615" s="1">
        <v>669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"2025-08-12 21:03:22.687"</f>
        <v>2025-08-12 21:03:22.687</v>
      </c>
      <c r="H1615" t="s">
        <v>21</v>
      </c>
      <c r="I1615">
        <v>0</v>
      </c>
      <c r="J1615" t="s">
        <v>27</v>
      </c>
    </row>
    <row r="1616" spans="1:10" x14ac:dyDescent="0.25">
      <c r="A1616" s="1">
        <v>670</v>
      </c>
      <c r="B1616" t="s">
        <v>22</v>
      </c>
      <c r="C1616">
        <v>635</v>
      </c>
      <c r="D1616">
        <v>1</v>
      </c>
      <c r="E1616" t="s">
        <v>23</v>
      </c>
      <c r="F1616" t="s">
        <v>24</v>
      </c>
      <c r="G1616" t="str">
        <f>"2025-08-12 20:48:15.902"</f>
        <v>2025-08-12 20:48:15.902</v>
      </c>
      <c r="H1616" t="s">
        <v>21</v>
      </c>
    </row>
    <row r="1617" spans="1:10" x14ac:dyDescent="0.25">
      <c r="A1617" s="1">
        <v>671</v>
      </c>
      <c r="B1617" t="s">
        <v>25</v>
      </c>
      <c r="C1617">
        <v>635</v>
      </c>
      <c r="D1617">
        <v>1</v>
      </c>
      <c r="E1617" t="s">
        <v>23</v>
      </c>
      <c r="F1617" t="s">
        <v>24</v>
      </c>
      <c r="G1617" t="str">
        <f>"2025-08-12 20:41:02.902"</f>
        <v>2025-08-12 20:41:02.902</v>
      </c>
      <c r="H1617" t="s">
        <v>21</v>
      </c>
      <c r="I1617">
        <v>2.21</v>
      </c>
      <c r="J1617" t="s">
        <v>36</v>
      </c>
    </row>
    <row r="1618" spans="1:10" x14ac:dyDescent="0.25">
      <c r="A1618" s="1">
        <v>672</v>
      </c>
      <c r="B1618" t="s">
        <v>22</v>
      </c>
      <c r="C1618">
        <v>630</v>
      </c>
      <c r="D1618">
        <v>5</v>
      </c>
      <c r="E1618" t="s">
        <v>28</v>
      </c>
      <c r="F1618" t="s">
        <v>29</v>
      </c>
      <c r="G1618" t="str">
        <f>"2025-08-12 20:19:07.703"</f>
        <v>2025-08-12 20:19:07.703</v>
      </c>
      <c r="H1618" t="s">
        <v>30</v>
      </c>
    </row>
    <row r="1619" spans="1:10" x14ac:dyDescent="0.25">
      <c r="A1619" s="1">
        <v>673</v>
      </c>
      <c r="B1619" t="s">
        <v>19</v>
      </c>
      <c r="C1619">
        <v>706</v>
      </c>
      <c r="D1619">
        <v>4</v>
      </c>
      <c r="E1619" t="s">
        <v>31</v>
      </c>
      <c r="F1619" t="s">
        <v>32</v>
      </c>
      <c r="G1619" t="str">
        <f>"2025-08-12 20:18:37.648"</f>
        <v>2025-08-12 20:18:37.648</v>
      </c>
      <c r="H1619" t="s">
        <v>21</v>
      </c>
      <c r="I1619">
        <v>0</v>
      </c>
      <c r="J1619" t="s">
        <v>33</v>
      </c>
    </row>
    <row r="1620" spans="1:10" x14ac:dyDescent="0.25">
      <c r="A1620" s="1">
        <v>674</v>
      </c>
      <c r="B1620" t="s">
        <v>34</v>
      </c>
      <c r="C1620">
        <v>630</v>
      </c>
      <c r="D1620">
        <v>5</v>
      </c>
      <c r="E1620" t="s">
        <v>28</v>
      </c>
      <c r="F1620" t="s">
        <v>29</v>
      </c>
      <c r="G1620" t="str">
        <f>"2025-08-12 20:14:07.503"</f>
        <v>2025-08-12 20:14:07.503</v>
      </c>
      <c r="H1620" t="s">
        <v>30</v>
      </c>
      <c r="I1620">
        <v>0</v>
      </c>
      <c r="J1620" t="s">
        <v>33</v>
      </c>
    </row>
    <row r="1621" spans="1:10" x14ac:dyDescent="0.25">
      <c r="A1621" s="1">
        <v>675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"2025-08-12 20:09:04.678"</f>
        <v>2025-08-12 20:09:04.678</v>
      </c>
      <c r="H1621" t="s">
        <v>21</v>
      </c>
    </row>
    <row r="1622" spans="1:10" x14ac:dyDescent="0.25">
      <c r="A1622" s="1">
        <v>676</v>
      </c>
      <c r="B1622" t="s">
        <v>19</v>
      </c>
      <c r="C1622">
        <v>706</v>
      </c>
      <c r="D1622">
        <v>4</v>
      </c>
      <c r="E1622" t="s">
        <v>31</v>
      </c>
      <c r="F1622" t="s">
        <v>32</v>
      </c>
      <c r="G1622" t="str">
        <f>"2025-08-12 18:24:18.816"</f>
        <v>2025-08-12 18:24:18.816</v>
      </c>
      <c r="H1622" t="s">
        <v>21</v>
      </c>
      <c r="I1622">
        <v>0</v>
      </c>
      <c r="J1622" t="s">
        <v>33</v>
      </c>
    </row>
    <row r="1623" spans="1:10" x14ac:dyDescent="0.25">
      <c r="A1623" s="1">
        <v>677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"2025-08-12 18:05:47.676"</f>
        <v>2025-08-12 18:05:47.676</v>
      </c>
      <c r="H1623" t="s">
        <v>21</v>
      </c>
    </row>
    <row r="1624" spans="1:10" x14ac:dyDescent="0.25">
      <c r="A1624" s="1">
        <v>678</v>
      </c>
      <c r="B1624" t="s">
        <v>34</v>
      </c>
      <c r="C1624">
        <v>630</v>
      </c>
      <c r="D1624">
        <v>5</v>
      </c>
      <c r="E1624" t="s">
        <v>28</v>
      </c>
      <c r="F1624" t="s">
        <v>29</v>
      </c>
      <c r="G1624" t="str">
        <f>"2025-08-12 15:10:35.403"</f>
        <v>2025-08-12 15:10:35.403</v>
      </c>
      <c r="H1624" t="s">
        <v>30</v>
      </c>
      <c r="I1624">
        <v>0</v>
      </c>
      <c r="J1624" t="s">
        <v>33</v>
      </c>
    </row>
    <row r="1625" spans="1:10" x14ac:dyDescent="0.25">
      <c r="A1625" s="1">
        <v>679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"2025-08-12 14:53:49.682"</f>
        <v>2025-08-12 14:53:49.682</v>
      </c>
      <c r="H1625" t="s">
        <v>21</v>
      </c>
      <c r="I1625">
        <v>0</v>
      </c>
      <c r="J1625" t="s">
        <v>27</v>
      </c>
    </row>
    <row r="1626" spans="1:10" x14ac:dyDescent="0.25">
      <c r="A1626" s="1">
        <v>680</v>
      </c>
      <c r="B1626" t="s">
        <v>22</v>
      </c>
      <c r="C1626">
        <v>635</v>
      </c>
      <c r="D1626">
        <v>1</v>
      </c>
      <c r="E1626" t="s">
        <v>23</v>
      </c>
      <c r="F1626" t="s">
        <v>24</v>
      </c>
      <c r="G1626" t="str">
        <f>"2025-08-12 09:59:02.655"</f>
        <v>2025-08-12 09:59:02.655</v>
      </c>
      <c r="H1626" t="s">
        <v>21</v>
      </c>
    </row>
    <row r="1627" spans="1:10" x14ac:dyDescent="0.25">
      <c r="A1627" s="1">
        <v>681</v>
      </c>
      <c r="B1627" t="s">
        <v>25</v>
      </c>
      <c r="C1627">
        <v>635</v>
      </c>
      <c r="D1627">
        <v>1</v>
      </c>
      <c r="E1627" t="s">
        <v>23</v>
      </c>
      <c r="F1627" t="s">
        <v>24</v>
      </c>
      <c r="G1627" t="str">
        <f>"2025-08-12 09:47:28.655"</f>
        <v>2025-08-12 09:47:28.655</v>
      </c>
      <c r="H1627" t="s">
        <v>21</v>
      </c>
      <c r="I1627">
        <v>0.05</v>
      </c>
      <c r="J1627" t="s">
        <v>26</v>
      </c>
    </row>
    <row r="1628" spans="1:10" x14ac:dyDescent="0.25">
      <c r="A1628" s="1">
        <v>682</v>
      </c>
      <c r="B1628" t="s">
        <v>22</v>
      </c>
      <c r="C1628">
        <v>61</v>
      </c>
      <c r="D1628">
        <v>2</v>
      </c>
      <c r="E1628" t="s">
        <v>58</v>
      </c>
      <c r="F1628" t="s">
        <v>59</v>
      </c>
      <c r="G1628" t="str">
        <f>"2025-08-12 07:02:25.716"</f>
        <v>2025-08-12 07:02:25.716</v>
      </c>
      <c r="H1628" t="s">
        <v>21</v>
      </c>
    </row>
    <row r="1629" spans="1:10" x14ac:dyDescent="0.25">
      <c r="A1629" s="1">
        <v>683</v>
      </c>
      <c r="B1629" t="s">
        <v>34</v>
      </c>
      <c r="C1629">
        <v>61</v>
      </c>
      <c r="D1629">
        <v>2</v>
      </c>
      <c r="E1629" t="s">
        <v>58</v>
      </c>
      <c r="F1629" t="s">
        <v>59</v>
      </c>
      <c r="G1629" t="str">
        <f>"2025-08-12 07:02:11.416"</f>
        <v>2025-08-12 07:02:11.416</v>
      </c>
      <c r="H1629" t="s">
        <v>21</v>
      </c>
      <c r="I1629">
        <v>35.79</v>
      </c>
      <c r="J1629" t="s">
        <v>37</v>
      </c>
    </row>
    <row r="1630" spans="1:10" x14ac:dyDescent="0.25">
      <c r="A1630" s="1">
        <v>684</v>
      </c>
      <c r="B1630" t="s">
        <v>22</v>
      </c>
      <c r="C1630">
        <v>635</v>
      </c>
      <c r="D1630">
        <v>1</v>
      </c>
      <c r="E1630" t="s">
        <v>23</v>
      </c>
      <c r="F1630" t="s">
        <v>24</v>
      </c>
      <c r="G1630" t="str">
        <f>"2025-08-11 22:58:14.355"</f>
        <v>2025-08-11 22:58:14.355</v>
      </c>
      <c r="H1630" t="s">
        <v>21</v>
      </c>
    </row>
    <row r="1631" spans="1:10" x14ac:dyDescent="0.25">
      <c r="A1631" s="1">
        <v>685</v>
      </c>
      <c r="B1631" t="s">
        <v>25</v>
      </c>
      <c r="C1631">
        <v>635</v>
      </c>
      <c r="D1631">
        <v>1</v>
      </c>
      <c r="E1631" t="s">
        <v>23</v>
      </c>
      <c r="F1631" t="s">
        <v>24</v>
      </c>
      <c r="G1631" t="str">
        <f>"2025-08-11 22:55:37.354"</f>
        <v>2025-08-11 22:55:37.354</v>
      </c>
      <c r="H1631" t="s">
        <v>21</v>
      </c>
      <c r="I1631">
        <v>0.06</v>
      </c>
      <c r="J1631" t="s">
        <v>26</v>
      </c>
    </row>
    <row r="1632" spans="1:10" s="3" customFormat="1" x14ac:dyDescent="0.25">
      <c r="A1632" s="2">
        <v>686</v>
      </c>
      <c r="B1632" s="3" t="s">
        <v>22</v>
      </c>
      <c r="C1632" s="3">
        <v>647</v>
      </c>
      <c r="D1632" s="3">
        <v>1</v>
      </c>
      <c r="E1632" s="3" t="s">
        <v>39</v>
      </c>
      <c r="F1632" s="3" t="s">
        <v>40</v>
      </c>
      <c r="G1632" s="3" t="str">
        <f>"2025-08-10 16:57:33.403"</f>
        <v>2025-08-10 16:57:33.403</v>
      </c>
      <c r="H1632" s="3" t="s">
        <v>21</v>
      </c>
    </row>
    <row r="1633" spans="1:10" s="3" customFormat="1" x14ac:dyDescent="0.25">
      <c r="A1633" s="2">
        <v>687</v>
      </c>
      <c r="B1633" s="3" t="s">
        <v>25</v>
      </c>
      <c r="C1633" s="3">
        <v>647</v>
      </c>
      <c r="D1633" s="3">
        <v>1</v>
      </c>
      <c r="E1633" s="3" t="s">
        <v>39</v>
      </c>
      <c r="F1633" s="3" t="s">
        <v>40</v>
      </c>
      <c r="G1633" s="3" t="str">
        <f>"2025-08-10 16:57:29.303"</f>
        <v>2025-08-10 16:57:29.303</v>
      </c>
      <c r="H1633" s="3" t="s">
        <v>21</v>
      </c>
      <c r="I1633" s="3">
        <v>9.23</v>
      </c>
      <c r="J1633" s="3" t="s">
        <v>37</v>
      </c>
    </row>
    <row r="1634" spans="1:10" s="3" customFormat="1" x14ac:dyDescent="0.25">
      <c r="A1634" s="2">
        <v>688</v>
      </c>
      <c r="B1634" s="3" t="s">
        <v>22</v>
      </c>
      <c r="C1634" s="3">
        <v>647</v>
      </c>
      <c r="D1634" s="3">
        <v>1</v>
      </c>
      <c r="E1634" s="3" t="s">
        <v>39</v>
      </c>
      <c r="F1634" s="3" t="s">
        <v>40</v>
      </c>
      <c r="G1634" s="3" t="str">
        <f>"2025-08-10 08:33:15.703"</f>
        <v>2025-08-10 08:33:15.703</v>
      </c>
      <c r="H1634" s="3" t="s">
        <v>21</v>
      </c>
    </row>
    <row r="1635" spans="1:10" s="3" customFormat="1" x14ac:dyDescent="0.25">
      <c r="A1635" s="2">
        <v>689</v>
      </c>
      <c r="B1635" s="3" t="s">
        <v>25</v>
      </c>
      <c r="C1635" s="3">
        <v>647</v>
      </c>
      <c r="D1635" s="3">
        <v>1</v>
      </c>
      <c r="E1635" s="3" t="s">
        <v>39</v>
      </c>
      <c r="F1635" s="3" t="s">
        <v>40</v>
      </c>
      <c r="G1635" s="3" t="str">
        <f>"2025-08-10 08:33:14.003"</f>
        <v>2025-08-10 08:33:14.003</v>
      </c>
      <c r="H1635" s="3" t="s">
        <v>21</v>
      </c>
      <c r="I1635" s="3">
        <v>23.47</v>
      </c>
      <c r="J1635" s="3" t="s">
        <v>37</v>
      </c>
    </row>
    <row r="1636" spans="1:10" x14ac:dyDescent="0.25">
      <c r="A1636" s="1">
        <v>690</v>
      </c>
      <c r="B1636" t="s">
        <v>22</v>
      </c>
      <c r="C1636">
        <v>630</v>
      </c>
      <c r="D1636">
        <v>5</v>
      </c>
      <c r="E1636" t="s">
        <v>28</v>
      </c>
      <c r="F1636" t="s">
        <v>29</v>
      </c>
      <c r="G1636" t="str">
        <f>"2025-08-09 21:54:56.903"</f>
        <v>2025-08-09 21:54:56.903</v>
      </c>
      <c r="H1636" t="s">
        <v>30</v>
      </c>
    </row>
    <row r="1637" spans="1:10" x14ac:dyDescent="0.25">
      <c r="A1637" s="1">
        <v>691</v>
      </c>
      <c r="B1637" t="s">
        <v>19</v>
      </c>
      <c r="C1637">
        <v>706</v>
      </c>
      <c r="D1637">
        <v>4</v>
      </c>
      <c r="E1637" t="s">
        <v>31</v>
      </c>
      <c r="F1637" t="s">
        <v>32</v>
      </c>
      <c r="G1637" t="str">
        <f>"2025-08-09 21:54:26.914"</f>
        <v>2025-08-09 21:54:26.914</v>
      </c>
      <c r="H1637" t="s">
        <v>21</v>
      </c>
      <c r="I1637">
        <v>0</v>
      </c>
      <c r="J1637" t="s">
        <v>33</v>
      </c>
    </row>
    <row r="1638" spans="1:10" x14ac:dyDescent="0.25">
      <c r="A1638" s="1">
        <v>692</v>
      </c>
      <c r="B1638" t="s">
        <v>34</v>
      </c>
      <c r="C1638">
        <v>630</v>
      </c>
      <c r="D1638">
        <v>5</v>
      </c>
      <c r="E1638" t="s">
        <v>28</v>
      </c>
      <c r="F1638" t="s">
        <v>29</v>
      </c>
      <c r="G1638" t="str">
        <f>"2025-08-09 21:46:01.303"</f>
        <v>2025-08-09 21:46:01.303</v>
      </c>
      <c r="H1638" t="s">
        <v>30</v>
      </c>
      <c r="I1638">
        <v>0</v>
      </c>
      <c r="J1638" t="s">
        <v>33</v>
      </c>
    </row>
    <row r="1639" spans="1:10" s="3" customFormat="1" x14ac:dyDescent="0.25">
      <c r="A1639" s="2">
        <v>693</v>
      </c>
      <c r="B1639" s="3" t="s">
        <v>22</v>
      </c>
      <c r="C1639" s="3">
        <v>647</v>
      </c>
      <c r="D1639" s="3">
        <v>1</v>
      </c>
      <c r="E1639" s="3" t="s">
        <v>39</v>
      </c>
      <c r="F1639" s="3" t="s">
        <v>40</v>
      </c>
      <c r="G1639" s="3" t="str">
        <f>"2025-08-09 18:19:50.303"</f>
        <v>2025-08-09 18:19:50.303</v>
      </c>
      <c r="H1639" s="3" t="s">
        <v>21</v>
      </c>
    </row>
    <row r="1640" spans="1:10" s="3" customFormat="1" x14ac:dyDescent="0.25">
      <c r="A1640" s="2">
        <v>694</v>
      </c>
      <c r="B1640" s="3" t="s">
        <v>25</v>
      </c>
      <c r="C1640" s="3">
        <v>647</v>
      </c>
      <c r="D1640" s="3">
        <v>1</v>
      </c>
      <c r="E1640" s="3" t="s">
        <v>39</v>
      </c>
      <c r="F1640" s="3" t="s">
        <v>40</v>
      </c>
      <c r="G1640" s="3" t="str">
        <f>"2025-08-09 18:19:48.603"</f>
        <v>2025-08-09 18:19:48.603</v>
      </c>
      <c r="H1640" s="3" t="s">
        <v>21</v>
      </c>
      <c r="I1640" s="3">
        <v>15.41</v>
      </c>
      <c r="J1640" s="3" t="s">
        <v>37</v>
      </c>
    </row>
    <row r="1641" spans="1:10" x14ac:dyDescent="0.25">
      <c r="A1641" s="1">
        <v>695</v>
      </c>
      <c r="B1641" t="s">
        <v>22</v>
      </c>
      <c r="C1641">
        <v>635</v>
      </c>
      <c r="D1641">
        <v>1</v>
      </c>
      <c r="E1641" t="s">
        <v>23</v>
      </c>
      <c r="F1641" t="s">
        <v>24</v>
      </c>
      <c r="G1641" t="str">
        <f>"2025-08-09 15:56:51.355"</f>
        <v>2025-08-09 15:56:51.355</v>
      </c>
      <c r="H1641" t="s">
        <v>21</v>
      </c>
    </row>
    <row r="1642" spans="1:10" x14ac:dyDescent="0.25">
      <c r="A1642" s="1">
        <v>696</v>
      </c>
      <c r="B1642" t="s">
        <v>25</v>
      </c>
      <c r="C1642">
        <v>635</v>
      </c>
      <c r="D1642">
        <v>1</v>
      </c>
      <c r="E1642" t="s">
        <v>23</v>
      </c>
      <c r="F1642" t="s">
        <v>24</v>
      </c>
      <c r="G1642" t="str">
        <f>"2025-08-09 15:54:04.455"</f>
        <v>2025-08-09 15:54:04.455</v>
      </c>
      <c r="H1642" t="s">
        <v>21</v>
      </c>
      <c r="I1642">
        <v>5.97</v>
      </c>
      <c r="J1642" t="s">
        <v>36</v>
      </c>
    </row>
    <row r="1643" spans="1:10" s="3" customFormat="1" x14ac:dyDescent="0.25">
      <c r="A1643" s="2">
        <v>697</v>
      </c>
      <c r="B1643" s="3" t="s">
        <v>22</v>
      </c>
      <c r="C1643" s="3">
        <v>647</v>
      </c>
      <c r="D1643" s="3">
        <v>1</v>
      </c>
      <c r="E1643" s="3" t="s">
        <v>39</v>
      </c>
      <c r="F1643" s="3" t="s">
        <v>40</v>
      </c>
      <c r="G1643" s="3" t="str">
        <f>"2025-08-09 14:10:01.703"</f>
        <v>2025-08-09 14:10:01.703</v>
      </c>
      <c r="H1643" s="3" t="s">
        <v>21</v>
      </c>
    </row>
    <row r="1644" spans="1:10" s="3" customFormat="1" x14ac:dyDescent="0.25">
      <c r="A1644" s="2">
        <v>698</v>
      </c>
      <c r="B1644" s="3" t="s">
        <v>25</v>
      </c>
      <c r="C1644" s="3">
        <v>647</v>
      </c>
      <c r="D1644" s="3">
        <v>1</v>
      </c>
      <c r="E1644" s="3" t="s">
        <v>39</v>
      </c>
      <c r="F1644" s="3" t="s">
        <v>40</v>
      </c>
      <c r="G1644" s="3" t="str">
        <f>"2025-08-09 14:09:58.803"</f>
        <v>2025-08-09 14:09:58.803</v>
      </c>
      <c r="H1644" s="3" t="s">
        <v>21</v>
      </c>
      <c r="I1644" s="3">
        <v>8.23</v>
      </c>
      <c r="J1644" s="3" t="s">
        <v>37</v>
      </c>
    </row>
    <row r="1645" spans="1:10" s="3" customFormat="1" x14ac:dyDescent="0.25">
      <c r="A1645" s="2">
        <v>699</v>
      </c>
      <c r="B1645" s="3" t="s">
        <v>22</v>
      </c>
      <c r="C1645" s="3">
        <v>647</v>
      </c>
      <c r="D1645" s="3">
        <v>1</v>
      </c>
      <c r="E1645" s="3" t="s">
        <v>39</v>
      </c>
      <c r="F1645" s="3" t="s">
        <v>40</v>
      </c>
      <c r="G1645" s="3" t="str">
        <f>"2025-08-09 11:18:19.503"</f>
        <v>2025-08-09 11:18:19.503</v>
      </c>
      <c r="H1645" s="3" t="s">
        <v>21</v>
      </c>
    </row>
    <row r="1646" spans="1:10" s="3" customFormat="1" x14ac:dyDescent="0.25">
      <c r="A1646" s="2">
        <v>700</v>
      </c>
      <c r="B1646" s="3" t="s">
        <v>25</v>
      </c>
      <c r="C1646" s="3">
        <v>647</v>
      </c>
      <c r="D1646" s="3">
        <v>1</v>
      </c>
      <c r="E1646" s="3" t="s">
        <v>39</v>
      </c>
      <c r="F1646" s="3" t="s">
        <v>40</v>
      </c>
      <c r="G1646" s="3" t="str">
        <f>"2025-08-09 11:18:17.803"</f>
        <v>2025-08-09 11:18:17.803</v>
      </c>
      <c r="H1646" s="3" t="s">
        <v>21</v>
      </c>
      <c r="I1646" s="3">
        <v>19.579999999999998</v>
      </c>
      <c r="J1646" s="3" t="s">
        <v>37</v>
      </c>
    </row>
    <row r="1647" spans="1:10" s="3" customFormat="1" x14ac:dyDescent="0.25">
      <c r="A1647" s="2">
        <v>701</v>
      </c>
      <c r="B1647" s="3" t="s">
        <v>22</v>
      </c>
      <c r="C1647" s="3">
        <v>647</v>
      </c>
      <c r="D1647" s="3">
        <v>1</v>
      </c>
      <c r="E1647" s="3" t="s">
        <v>39</v>
      </c>
      <c r="F1647" s="3" t="s">
        <v>40</v>
      </c>
      <c r="G1647" s="3" t="str">
        <f>"2025-08-09 11:17:56.703"</f>
        <v>2025-08-09 11:17:56.703</v>
      </c>
      <c r="H1647" s="3" t="s">
        <v>21</v>
      </c>
    </row>
    <row r="1648" spans="1:10" s="3" customFormat="1" x14ac:dyDescent="0.25">
      <c r="A1648" s="2">
        <v>702</v>
      </c>
      <c r="B1648" s="3" t="s">
        <v>25</v>
      </c>
      <c r="C1648" s="3">
        <v>647</v>
      </c>
      <c r="D1648" s="3">
        <v>1</v>
      </c>
      <c r="E1648" s="3" t="s">
        <v>39</v>
      </c>
      <c r="F1648" s="3" t="s">
        <v>40</v>
      </c>
      <c r="G1648" s="3" t="str">
        <f>"2025-08-09 11:17:51.204"</f>
        <v>2025-08-09 11:17:51.204</v>
      </c>
      <c r="H1648" s="3" t="s">
        <v>21</v>
      </c>
      <c r="I1648" s="3">
        <v>8.16</v>
      </c>
      <c r="J1648" s="3" t="s">
        <v>37</v>
      </c>
    </row>
    <row r="1649" spans="1:10" x14ac:dyDescent="0.25">
      <c r="A1649" s="1">
        <v>703</v>
      </c>
      <c r="B1649" t="s">
        <v>19</v>
      </c>
      <c r="C1649">
        <v>706</v>
      </c>
      <c r="D1649">
        <v>4</v>
      </c>
      <c r="E1649" t="s">
        <v>31</v>
      </c>
      <c r="F1649" t="s">
        <v>32</v>
      </c>
      <c r="G1649" t="str">
        <f>"2025-08-09 11:13:51.234"</f>
        <v>2025-08-09 11:13:51.234</v>
      </c>
      <c r="H1649" t="s">
        <v>21</v>
      </c>
      <c r="I1649">
        <v>0</v>
      </c>
      <c r="J1649" t="s">
        <v>33</v>
      </c>
    </row>
    <row r="1650" spans="1:10" x14ac:dyDescent="0.25">
      <c r="A1650" s="1">
        <v>704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"2025-08-09 11:12:24.664"</f>
        <v>2025-08-09 11:12:24.664</v>
      </c>
      <c r="H1650" t="s">
        <v>21</v>
      </c>
    </row>
    <row r="1651" spans="1:10" x14ac:dyDescent="0.25">
      <c r="A1651" s="1">
        <v>705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"2025-08-09 09:20:28.694"</f>
        <v>2025-08-09 09:20:28.694</v>
      </c>
      <c r="H1651" t="s">
        <v>21</v>
      </c>
    </row>
    <row r="1652" spans="1:10" x14ac:dyDescent="0.25">
      <c r="A1652" s="1">
        <v>706</v>
      </c>
      <c r="B1652" t="s">
        <v>19</v>
      </c>
      <c r="C1652">
        <v>706</v>
      </c>
      <c r="D1652">
        <v>2</v>
      </c>
      <c r="E1652" t="s">
        <v>31</v>
      </c>
      <c r="F1652" t="s">
        <v>35</v>
      </c>
      <c r="G1652" t="str">
        <f>"2025-08-09 09:02:37.764"</f>
        <v>2025-08-09 09:02:37.764</v>
      </c>
      <c r="H1652" t="s">
        <v>21</v>
      </c>
      <c r="I1652">
        <v>0</v>
      </c>
      <c r="J1652" t="s">
        <v>33</v>
      </c>
    </row>
    <row r="1653" spans="1:10" s="3" customFormat="1" x14ac:dyDescent="0.25">
      <c r="A1653" s="2">
        <v>707</v>
      </c>
      <c r="B1653" s="3" t="s">
        <v>22</v>
      </c>
      <c r="C1653" s="3">
        <v>647</v>
      </c>
      <c r="D1653" s="3">
        <v>1</v>
      </c>
      <c r="E1653" s="3" t="s">
        <v>39</v>
      </c>
      <c r="F1653" s="3" t="s">
        <v>40</v>
      </c>
      <c r="G1653" s="3" t="str">
        <f>"2025-08-09 08:25:18.582"</f>
        <v>2025-08-09 08:25:18.582</v>
      </c>
      <c r="H1653" s="3" t="s">
        <v>21</v>
      </c>
    </row>
    <row r="1654" spans="1:10" s="3" customFormat="1" x14ac:dyDescent="0.25">
      <c r="A1654" s="2">
        <v>708</v>
      </c>
      <c r="B1654" s="3" t="s">
        <v>25</v>
      </c>
      <c r="C1654" s="3">
        <v>647</v>
      </c>
      <c r="D1654" s="3">
        <v>1</v>
      </c>
      <c r="E1654" s="3" t="s">
        <v>39</v>
      </c>
      <c r="F1654" s="3" t="s">
        <v>40</v>
      </c>
      <c r="G1654" s="3" t="str">
        <f>"2025-08-09 08:25:17.082"</f>
        <v>2025-08-09 08:25:17.082</v>
      </c>
      <c r="H1654" s="3" t="s">
        <v>21</v>
      </c>
      <c r="I1654" s="3">
        <v>12.84</v>
      </c>
      <c r="J1654" s="3" t="s">
        <v>37</v>
      </c>
    </row>
    <row r="1655" spans="1:10" s="3" customFormat="1" x14ac:dyDescent="0.25">
      <c r="A1655" s="2">
        <v>709</v>
      </c>
      <c r="B1655" s="3" t="s">
        <v>22</v>
      </c>
      <c r="C1655" s="3">
        <v>647</v>
      </c>
      <c r="D1655" s="3">
        <v>1</v>
      </c>
      <c r="E1655" s="3" t="s">
        <v>39</v>
      </c>
      <c r="F1655" s="3" t="s">
        <v>40</v>
      </c>
      <c r="G1655" s="3" t="str">
        <f>"2025-08-08 15:21:09.882"</f>
        <v>2025-08-08 15:21:09.882</v>
      </c>
      <c r="H1655" s="3" t="s">
        <v>21</v>
      </c>
    </row>
    <row r="1656" spans="1:10" s="3" customFormat="1" x14ac:dyDescent="0.25">
      <c r="A1656" s="2">
        <v>710</v>
      </c>
      <c r="B1656" s="3" t="s">
        <v>25</v>
      </c>
      <c r="C1656" s="3">
        <v>647</v>
      </c>
      <c r="D1656" s="3">
        <v>1</v>
      </c>
      <c r="E1656" s="3" t="s">
        <v>39</v>
      </c>
      <c r="F1656" s="3" t="s">
        <v>40</v>
      </c>
      <c r="G1656" s="3" t="str">
        <f>"2025-08-08 15:21:05.982"</f>
        <v>2025-08-08 15:21:05.982</v>
      </c>
      <c r="H1656" s="3" t="s">
        <v>21</v>
      </c>
      <c r="I1656" s="3">
        <v>8.69</v>
      </c>
      <c r="J1656" s="3" t="s">
        <v>37</v>
      </c>
    </row>
    <row r="1657" spans="1:10" s="3" customFormat="1" x14ac:dyDescent="0.25">
      <c r="A1657" s="2">
        <v>711</v>
      </c>
      <c r="B1657" s="3" t="s">
        <v>22</v>
      </c>
      <c r="C1657" s="3">
        <v>647</v>
      </c>
      <c r="D1657" s="3">
        <v>1</v>
      </c>
      <c r="E1657" s="3" t="s">
        <v>39</v>
      </c>
      <c r="F1657" s="3" t="s">
        <v>40</v>
      </c>
      <c r="G1657" s="3" t="str">
        <f>"2025-08-08 12:32:22.282"</f>
        <v>2025-08-08 12:32:22.282</v>
      </c>
      <c r="H1657" s="3" t="s">
        <v>21</v>
      </c>
    </row>
    <row r="1658" spans="1:10" s="3" customFormat="1" x14ac:dyDescent="0.25">
      <c r="A1658" s="2">
        <v>712</v>
      </c>
      <c r="B1658" s="3" t="s">
        <v>25</v>
      </c>
      <c r="C1658" s="3">
        <v>647</v>
      </c>
      <c r="D1658" s="3">
        <v>1</v>
      </c>
      <c r="E1658" s="3" t="s">
        <v>39</v>
      </c>
      <c r="F1658" s="3" t="s">
        <v>40</v>
      </c>
      <c r="G1658" s="3" t="str">
        <f>"2025-08-08 12:32:18.082"</f>
        <v>2025-08-08 12:32:18.082</v>
      </c>
      <c r="H1658" s="3" t="s">
        <v>21</v>
      </c>
      <c r="I1658" s="3">
        <v>8.7100000000000009</v>
      </c>
      <c r="J1658" s="3" t="s">
        <v>37</v>
      </c>
    </row>
    <row r="1659" spans="1:10" s="3" customFormat="1" x14ac:dyDescent="0.25">
      <c r="A1659" s="2">
        <v>713</v>
      </c>
      <c r="B1659" s="3" t="s">
        <v>22</v>
      </c>
      <c r="C1659" s="3">
        <v>647</v>
      </c>
      <c r="D1659" s="3">
        <v>1</v>
      </c>
      <c r="E1659" s="3" t="s">
        <v>39</v>
      </c>
      <c r="F1659" s="3" t="s">
        <v>40</v>
      </c>
      <c r="G1659" s="3" t="str">
        <f>"2025-08-08 11:55:01.082"</f>
        <v>2025-08-08 11:55:01.082</v>
      </c>
      <c r="H1659" s="3" t="s">
        <v>21</v>
      </c>
    </row>
    <row r="1660" spans="1:10" s="3" customFormat="1" x14ac:dyDescent="0.25">
      <c r="A1660" s="2">
        <v>714</v>
      </c>
      <c r="B1660" s="3" t="s">
        <v>25</v>
      </c>
      <c r="C1660" s="3">
        <v>647</v>
      </c>
      <c r="D1660" s="3">
        <v>1</v>
      </c>
      <c r="E1660" s="3" t="s">
        <v>39</v>
      </c>
      <c r="F1660" s="3" t="s">
        <v>40</v>
      </c>
      <c r="G1660" s="3" t="str">
        <f>"2025-08-08 11:54:59.982"</f>
        <v>2025-08-08 11:54:59.982</v>
      </c>
      <c r="H1660" s="3" t="s">
        <v>21</v>
      </c>
      <c r="I1660" s="3">
        <v>14.5</v>
      </c>
      <c r="J1660" s="3" t="s">
        <v>37</v>
      </c>
    </row>
    <row r="1661" spans="1:10" s="3" customFormat="1" x14ac:dyDescent="0.25">
      <c r="A1661" s="2">
        <v>715</v>
      </c>
      <c r="B1661" s="3" t="s">
        <v>22</v>
      </c>
      <c r="C1661" s="3">
        <v>647</v>
      </c>
      <c r="D1661" s="3">
        <v>1</v>
      </c>
      <c r="E1661" s="3" t="s">
        <v>39</v>
      </c>
      <c r="F1661" s="3" t="s">
        <v>40</v>
      </c>
      <c r="G1661" s="3" t="str">
        <f>"2025-08-08 10:16:29.082"</f>
        <v>2025-08-08 10:16:29.082</v>
      </c>
      <c r="H1661" s="3" t="s">
        <v>21</v>
      </c>
    </row>
    <row r="1662" spans="1:10" s="3" customFormat="1" x14ac:dyDescent="0.25">
      <c r="A1662" s="2">
        <v>716</v>
      </c>
      <c r="B1662" s="3" t="s">
        <v>25</v>
      </c>
      <c r="C1662" s="3">
        <v>647</v>
      </c>
      <c r="D1662" s="3">
        <v>1</v>
      </c>
      <c r="E1662" s="3" t="s">
        <v>39</v>
      </c>
      <c r="F1662" s="3" t="s">
        <v>40</v>
      </c>
      <c r="G1662" s="3" t="str">
        <f>"2025-08-08 10:16:26.182"</f>
        <v>2025-08-08 10:16:26.182</v>
      </c>
      <c r="H1662" s="3" t="s">
        <v>21</v>
      </c>
      <c r="I1662" s="3">
        <v>15.82</v>
      </c>
      <c r="J1662" s="3" t="s">
        <v>37</v>
      </c>
    </row>
    <row r="1663" spans="1:10" x14ac:dyDescent="0.25">
      <c r="A1663" s="1">
        <v>717</v>
      </c>
      <c r="B1663" t="s">
        <v>22</v>
      </c>
      <c r="C1663">
        <v>630</v>
      </c>
      <c r="D1663">
        <v>5</v>
      </c>
      <c r="E1663" t="s">
        <v>28</v>
      </c>
      <c r="F1663" t="s">
        <v>29</v>
      </c>
      <c r="G1663" t="str">
        <f>"2025-08-07 01:07:49.482"</f>
        <v>2025-08-07 01:07:49.482</v>
      </c>
      <c r="H1663" t="s">
        <v>30</v>
      </c>
    </row>
    <row r="1664" spans="1:10" x14ac:dyDescent="0.25">
      <c r="A1664" s="1">
        <v>718</v>
      </c>
      <c r="B1664" t="s">
        <v>19</v>
      </c>
      <c r="C1664">
        <v>706</v>
      </c>
      <c r="D1664">
        <v>2</v>
      </c>
      <c r="E1664" t="s">
        <v>31</v>
      </c>
      <c r="F1664" t="s">
        <v>35</v>
      </c>
      <c r="G1664" t="str">
        <f>"2025-08-07 01:07:19.364"</f>
        <v>2025-08-07 01:07:19.364</v>
      </c>
      <c r="H1664" t="s">
        <v>21</v>
      </c>
      <c r="I1664">
        <v>0</v>
      </c>
      <c r="J1664" t="s">
        <v>33</v>
      </c>
    </row>
    <row r="1665" spans="1:10" x14ac:dyDescent="0.25">
      <c r="A1665" s="1">
        <v>719</v>
      </c>
      <c r="B1665" t="s">
        <v>34</v>
      </c>
      <c r="C1665">
        <v>630</v>
      </c>
      <c r="D1665">
        <v>5</v>
      </c>
      <c r="E1665" t="s">
        <v>28</v>
      </c>
      <c r="F1665" t="s">
        <v>29</v>
      </c>
      <c r="G1665" t="str">
        <f>"2025-08-07 00:45:02.683"</f>
        <v>2025-08-07 00:45:02.683</v>
      </c>
      <c r="H1665" t="s">
        <v>30</v>
      </c>
      <c r="I1665">
        <v>0</v>
      </c>
      <c r="J1665" t="s">
        <v>33</v>
      </c>
    </row>
    <row r="1666" spans="1:10" s="3" customFormat="1" x14ac:dyDescent="0.25">
      <c r="A1666" s="2">
        <v>720</v>
      </c>
      <c r="B1666" s="3" t="s">
        <v>22</v>
      </c>
      <c r="C1666" s="3">
        <v>647</v>
      </c>
      <c r="D1666" s="3">
        <v>1</v>
      </c>
      <c r="E1666" s="3" t="s">
        <v>39</v>
      </c>
      <c r="F1666" s="3" t="s">
        <v>40</v>
      </c>
      <c r="G1666" s="3" t="str">
        <f>"2025-08-06 08:43:20.082"</f>
        <v>2025-08-06 08:43:20.082</v>
      </c>
      <c r="H1666" s="3" t="s">
        <v>21</v>
      </c>
    </row>
    <row r="1667" spans="1:10" s="3" customFormat="1" x14ac:dyDescent="0.25">
      <c r="A1667" s="2">
        <v>721</v>
      </c>
      <c r="B1667" s="3" t="s">
        <v>25</v>
      </c>
      <c r="C1667" s="3">
        <v>647</v>
      </c>
      <c r="D1667" s="3">
        <v>1</v>
      </c>
      <c r="E1667" s="3" t="s">
        <v>39</v>
      </c>
      <c r="F1667" s="3" t="s">
        <v>40</v>
      </c>
      <c r="G1667" s="3" t="str">
        <f>"2025-08-06 08:43:12.282"</f>
        <v>2025-08-06 08:43:12.282</v>
      </c>
      <c r="H1667" s="3" t="s">
        <v>21</v>
      </c>
      <c r="I1667" s="3">
        <v>11.97</v>
      </c>
      <c r="J1667" s="3" t="s">
        <v>37</v>
      </c>
    </row>
    <row r="1668" spans="1:10" s="3" customFormat="1" x14ac:dyDescent="0.25">
      <c r="A1668" s="2">
        <v>722</v>
      </c>
      <c r="B1668" s="3" t="s">
        <v>22</v>
      </c>
      <c r="C1668" s="3">
        <v>647</v>
      </c>
      <c r="D1668" s="3">
        <v>1</v>
      </c>
      <c r="E1668" s="3" t="s">
        <v>39</v>
      </c>
      <c r="F1668" s="3" t="s">
        <v>40</v>
      </c>
      <c r="G1668" s="3" t="str">
        <f>"2025-08-05 18:29:26.782"</f>
        <v>2025-08-05 18:29:26.782</v>
      </c>
      <c r="H1668" s="3" t="s">
        <v>21</v>
      </c>
    </row>
    <row r="1669" spans="1:10" s="3" customFormat="1" x14ac:dyDescent="0.25">
      <c r="A1669" s="2">
        <v>723</v>
      </c>
      <c r="B1669" s="3" t="s">
        <v>25</v>
      </c>
      <c r="C1669" s="3">
        <v>647</v>
      </c>
      <c r="D1669" s="3">
        <v>1</v>
      </c>
      <c r="E1669" s="3" t="s">
        <v>39</v>
      </c>
      <c r="F1669" s="3" t="s">
        <v>40</v>
      </c>
      <c r="G1669" s="3" t="str">
        <f>"2025-08-05 18:29:25.682"</f>
        <v>2025-08-05 18:29:25.682</v>
      </c>
      <c r="H1669" s="3" t="s">
        <v>21</v>
      </c>
      <c r="I1669" s="3">
        <v>10.32</v>
      </c>
      <c r="J1669" s="3" t="s">
        <v>26</v>
      </c>
    </row>
    <row r="1670" spans="1:10" s="3" customFormat="1" x14ac:dyDescent="0.25">
      <c r="A1670" s="2">
        <v>724</v>
      </c>
      <c r="B1670" s="3" t="s">
        <v>22</v>
      </c>
      <c r="C1670" s="3">
        <v>647</v>
      </c>
      <c r="D1670" s="3">
        <v>1</v>
      </c>
      <c r="E1670" s="3" t="s">
        <v>39</v>
      </c>
      <c r="F1670" s="3" t="s">
        <v>40</v>
      </c>
      <c r="G1670" s="3" t="str">
        <f>"2025-08-04 17:55:27.282"</f>
        <v>2025-08-04 17:55:27.282</v>
      </c>
      <c r="H1670" s="3" t="s">
        <v>21</v>
      </c>
    </row>
    <row r="1671" spans="1:10" s="3" customFormat="1" x14ac:dyDescent="0.25">
      <c r="A1671" s="2">
        <v>725</v>
      </c>
      <c r="B1671" s="3" t="s">
        <v>25</v>
      </c>
      <c r="C1671" s="3">
        <v>647</v>
      </c>
      <c r="D1671" s="3">
        <v>1</v>
      </c>
      <c r="E1671" s="3" t="s">
        <v>39</v>
      </c>
      <c r="F1671" s="3" t="s">
        <v>40</v>
      </c>
      <c r="G1671" s="3" t="str">
        <f>"2025-08-04 17:55:21.383"</f>
        <v>2025-08-04 17:55:21.383</v>
      </c>
      <c r="H1671" s="3" t="s">
        <v>21</v>
      </c>
      <c r="I1671" s="3">
        <v>10.82</v>
      </c>
      <c r="J1671" s="3" t="s">
        <v>26</v>
      </c>
    </row>
    <row r="1672" spans="1:10" x14ac:dyDescent="0.25">
      <c r="A1672" s="1">
        <v>726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"2025-08-02 04:37:08.644"</f>
        <v>2025-08-02 04:37:08.644</v>
      </c>
      <c r="H1672" t="s">
        <v>21</v>
      </c>
    </row>
    <row r="1673" spans="1:10" x14ac:dyDescent="0.25">
      <c r="A1673" s="1">
        <v>727</v>
      </c>
      <c r="B1673" t="s">
        <v>19</v>
      </c>
      <c r="C1673">
        <v>706</v>
      </c>
      <c r="D1673">
        <v>4</v>
      </c>
      <c r="E1673" t="s">
        <v>31</v>
      </c>
      <c r="F1673" t="s">
        <v>32</v>
      </c>
      <c r="G1673" t="str">
        <f>"2025-08-02 02:28:22.640"</f>
        <v>2025-08-02 02:28:22.640</v>
      </c>
      <c r="H1673" t="s">
        <v>21</v>
      </c>
      <c r="I1673">
        <v>0</v>
      </c>
      <c r="J1673" t="s">
        <v>33</v>
      </c>
    </row>
    <row r="1674" spans="1:10" x14ac:dyDescent="0.25">
      <c r="A1674" s="1">
        <v>728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"2025-08-02 02:28:07.660"</f>
        <v>2025-08-02 02:28:07.660</v>
      </c>
      <c r="H1674" t="s">
        <v>21</v>
      </c>
      <c r="I1674">
        <v>0</v>
      </c>
      <c r="J1674" t="s">
        <v>27</v>
      </c>
    </row>
    <row r="1675" spans="1:10" x14ac:dyDescent="0.25">
      <c r="A1675" s="1">
        <v>729</v>
      </c>
      <c r="B1675" t="s">
        <v>19</v>
      </c>
      <c r="C1675">
        <v>706</v>
      </c>
      <c r="D1675">
        <v>2</v>
      </c>
      <c r="E1675" t="s">
        <v>31</v>
      </c>
      <c r="F1675" t="s">
        <v>35</v>
      </c>
      <c r="G1675" t="str">
        <f>"2025-08-02 02:02:22.711"</f>
        <v>2025-08-02 02:02:22.711</v>
      </c>
      <c r="H1675" t="s">
        <v>21</v>
      </c>
      <c r="I1675">
        <v>0</v>
      </c>
      <c r="J1675" t="s">
        <v>33</v>
      </c>
    </row>
    <row r="1676" spans="1:10" x14ac:dyDescent="0.25">
      <c r="A1676" s="1">
        <v>730</v>
      </c>
      <c r="B1676" t="s">
        <v>19</v>
      </c>
      <c r="C1676">
        <v>706</v>
      </c>
      <c r="D1676">
        <v>3</v>
      </c>
      <c r="E1676" t="s">
        <v>31</v>
      </c>
      <c r="F1676" t="s">
        <v>66</v>
      </c>
      <c r="G1676" t="str">
        <f>"2025-08-02 02:02:09.841"</f>
        <v>2025-08-02 02:02:09.841</v>
      </c>
      <c r="H1676" t="s">
        <v>21</v>
      </c>
      <c r="I1676">
        <v>0</v>
      </c>
      <c r="J1676" t="s">
        <v>33</v>
      </c>
    </row>
    <row r="1677" spans="1:10" x14ac:dyDescent="0.25">
      <c r="A1677" s="1">
        <v>731</v>
      </c>
      <c r="B1677" t="s">
        <v>22</v>
      </c>
      <c r="C1677">
        <v>630</v>
      </c>
      <c r="D1677">
        <v>5</v>
      </c>
      <c r="E1677" t="s">
        <v>28</v>
      </c>
      <c r="F1677" t="s">
        <v>29</v>
      </c>
      <c r="G1677" t="str">
        <f>"2025-08-02 01:28:34.468"</f>
        <v>2025-08-02 01:28:34.468</v>
      </c>
      <c r="H1677" t="s">
        <v>30</v>
      </c>
    </row>
    <row r="1678" spans="1:10" x14ac:dyDescent="0.25">
      <c r="A1678" s="1">
        <v>732</v>
      </c>
      <c r="B1678" t="s">
        <v>19</v>
      </c>
      <c r="C1678">
        <v>706</v>
      </c>
      <c r="D1678">
        <v>4</v>
      </c>
      <c r="E1678" t="s">
        <v>31</v>
      </c>
      <c r="F1678" t="s">
        <v>32</v>
      </c>
      <c r="G1678" t="str">
        <f>"2025-08-02 01:28:04.421"</f>
        <v>2025-08-02 01:28:04.421</v>
      </c>
      <c r="H1678" t="s">
        <v>21</v>
      </c>
      <c r="I1678">
        <v>0</v>
      </c>
      <c r="J1678" t="s">
        <v>33</v>
      </c>
    </row>
    <row r="1679" spans="1:10" x14ac:dyDescent="0.25">
      <c r="A1679" s="1">
        <v>733</v>
      </c>
      <c r="B1679" t="s">
        <v>34</v>
      </c>
      <c r="C1679">
        <v>630</v>
      </c>
      <c r="D1679">
        <v>5</v>
      </c>
      <c r="E1679" t="s">
        <v>28</v>
      </c>
      <c r="F1679" t="s">
        <v>29</v>
      </c>
      <c r="G1679" t="str">
        <f>"2025-08-02 01:22:23.569"</f>
        <v>2025-08-02 01:22:23.569</v>
      </c>
      <c r="H1679" t="s">
        <v>30</v>
      </c>
      <c r="I1679">
        <v>0</v>
      </c>
      <c r="J1679" t="s">
        <v>33</v>
      </c>
    </row>
    <row r="1680" spans="1:10" x14ac:dyDescent="0.25">
      <c r="A1680" s="1">
        <v>734</v>
      </c>
      <c r="B1680" t="s">
        <v>41</v>
      </c>
      <c r="C1680">
        <v>77</v>
      </c>
      <c r="D1680">
        <v>1</v>
      </c>
      <c r="E1680" t="s">
        <v>70</v>
      </c>
      <c r="F1680" t="s">
        <v>71</v>
      </c>
      <c r="G1680" t="str">
        <f>"2025-08-02 01:10:28.074"</f>
        <v>2025-08-02 01:10:28.074</v>
      </c>
      <c r="H1680" t="s">
        <v>47</v>
      </c>
    </row>
    <row r="1681" spans="1:10" x14ac:dyDescent="0.25">
      <c r="A1681" s="1">
        <v>735</v>
      </c>
      <c r="B1681" t="s">
        <v>34</v>
      </c>
      <c r="C1681">
        <v>77</v>
      </c>
      <c r="D1681">
        <v>1</v>
      </c>
      <c r="E1681" t="s">
        <v>70</v>
      </c>
      <c r="F1681" t="s">
        <v>71</v>
      </c>
      <c r="G1681" t="str">
        <f>"2025-08-02 01:10:23.019"</f>
        <v>2025-08-02 01:10:23.019</v>
      </c>
      <c r="H1681" t="s">
        <v>47</v>
      </c>
      <c r="I1681">
        <v>0</v>
      </c>
      <c r="J1681" t="s">
        <v>33</v>
      </c>
    </row>
    <row r="1682" spans="1:10" x14ac:dyDescent="0.25">
      <c r="A1682" s="1">
        <v>736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"2025-08-02 01:09:49.651"</f>
        <v>2025-08-02 01:09:49.651</v>
      </c>
      <c r="H1682" t="s">
        <v>21</v>
      </c>
    </row>
    <row r="1683" spans="1:10" x14ac:dyDescent="0.25">
      <c r="A1683" s="1">
        <v>737</v>
      </c>
      <c r="B1683" t="s">
        <v>22</v>
      </c>
      <c r="C1683">
        <v>630</v>
      </c>
      <c r="D1683">
        <v>5</v>
      </c>
      <c r="E1683" t="s">
        <v>28</v>
      </c>
      <c r="F1683" t="s">
        <v>29</v>
      </c>
      <c r="G1683" t="str">
        <f>"2025-08-01 23:50:05.244"</f>
        <v>2025-08-01 23:50:05.244</v>
      </c>
      <c r="H1683" t="s">
        <v>30</v>
      </c>
    </row>
    <row r="1684" spans="1:10" x14ac:dyDescent="0.25">
      <c r="A1684" s="1">
        <v>738</v>
      </c>
      <c r="B1684" t="s">
        <v>19</v>
      </c>
      <c r="C1684">
        <v>706</v>
      </c>
      <c r="D1684">
        <v>4</v>
      </c>
      <c r="E1684" t="s">
        <v>31</v>
      </c>
      <c r="F1684" t="s">
        <v>32</v>
      </c>
      <c r="G1684" t="str">
        <f>"2025-08-01 23:49:35.282"</f>
        <v>2025-08-01 23:49:35.282</v>
      </c>
      <c r="H1684" t="s">
        <v>21</v>
      </c>
      <c r="I1684">
        <v>0</v>
      </c>
      <c r="J1684" t="s">
        <v>33</v>
      </c>
    </row>
    <row r="1685" spans="1:10" x14ac:dyDescent="0.25">
      <c r="A1685" s="1">
        <v>739</v>
      </c>
      <c r="B1685" t="s">
        <v>19</v>
      </c>
      <c r="C1685">
        <v>706</v>
      </c>
      <c r="D1685">
        <v>3</v>
      </c>
      <c r="E1685" t="s">
        <v>31</v>
      </c>
      <c r="F1685" t="s">
        <v>66</v>
      </c>
      <c r="G1685" t="str">
        <f>"2025-08-01 23:33:32.002"</f>
        <v>2025-08-01 23:33:32.002</v>
      </c>
      <c r="H1685" t="s">
        <v>21</v>
      </c>
      <c r="I1685">
        <v>0</v>
      </c>
      <c r="J1685" t="s">
        <v>33</v>
      </c>
    </row>
    <row r="1686" spans="1:10" x14ac:dyDescent="0.25">
      <c r="A1686" s="1">
        <v>740</v>
      </c>
      <c r="B1686" t="s">
        <v>34</v>
      </c>
      <c r="C1686">
        <v>630</v>
      </c>
      <c r="D1686">
        <v>5</v>
      </c>
      <c r="E1686" t="s">
        <v>28</v>
      </c>
      <c r="F1686" t="s">
        <v>29</v>
      </c>
      <c r="G1686" t="str">
        <f>"2025-08-01 23:16:02.544"</f>
        <v>2025-08-01 23:16:02.544</v>
      </c>
      <c r="H1686" t="s">
        <v>30</v>
      </c>
      <c r="I1686">
        <v>0</v>
      </c>
      <c r="J1686" t="s">
        <v>33</v>
      </c>
    </row>
    <row r="1687" spans="1:10" x14ac:dyDescent="0.25">
      <c r="A1687" s="1">
        <v>741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"2025-08-01 23:10:59.782"</f>
        <v>2025-08-01 23:10:59.782</v>
      </c>
      <c r="H1687" t="s">
        <v>21</v>
      </c>
    </row>
    <row r="1688" spans="1:10" x14ac:dyDescent="0.25">
      <c r="A1688" s="1">
        <v>742</v>
      </c>
      <c r="B1688" t="s">
        <v>34</v>
      </c>
      <c r="C1688">
        <v>630</v>
      </c>
      <c r="D1688">
        <v>5</v>
      </c>
      <c r="E1688" t="s">
        <v>28</v>
      </c>
      <c r="F1688" t="s">
        <v>29</v>
      </c>
      <c r="G1688" t="str">
        <f>"2025-08-01 22:05:26.820"</f>
        <v>2025-08-01 22:05:26.820</v>
      </c>
      <c r="H1688" t="s">
        <v>30</v>
      </c>
      <c r="I1688">
        <v>0</v>
      </c>
      <c r="J1688" t="s">
        <v>33</v>
      </c>
    </row>
    <row r="1689" spans="1:10" x14ac:dyDescent="0.25">
      <c r="A1689" s="1">
        <v>743</v>
      </c>
      <c r="B1689" t="s">
        <v>19</v>
      </c>
      <c r="C1689">
        <v>706</v>
      </c>
      <c r="D1689">
        <v>3</v>
      </c>
      <c r="E1689" t="s">
        <v>31</v>
      </c>
      <c r="F1689" t="s">
        <v>66</v>
      </c>
      <c r="G1689" t="str">
        <f>"2025-08-01 22:00:25.513"</f>
        <v>2025-08-01 22:00:25.513</v>
      </c>
      <c r="H1689" t="s">
        <v>21</v>
      </c>
      <c r="I1689">
        <v>0</v>
      </c>
      <c r="J1689" t="s">
        <v>33</v>
      </c>
    </row>
    <row r="1690" spans="1:10" s="3" customFormat="1" x14ac:dyDescent="0.25">
      <c r="A1690" s="2">
        <v>744</v>
      </c>
      <c r="B1690" s="3" t="s">
        <v>22</v>
      </c>
      <c r="C1690" s="3">
        <v>647</v>
      </c>
      <c r="D1690" s="3">
        <v>1</v>
      </c>
      <c r="E1690" s="3" t="s">
        <v>39</v>
      </c>
      <c r="F1690" s="3" t="s">
        <v>40</v>
      </c>
      <c r="G1690" s="3" t="str">
        <f>"2025-07-31 11:53:57.920"</f>
        <v>2025-07-31 11:53:57.920</v>
      </c>
      <c r="H1690" s="3" t="s">
        <v>21</v>
      </c>
    </row>
    <row r="1691" spans="1:10" s="3" customFormat="1" x14ac:dyDescent="0.25">
      <c r="A1691" s="2">
        <v>745</v>
      </c>
      <c r="B1691" s="3" t="s">
        <v>25</v>
      </c>
      <c r="C1691" s="3">
        <v>647</v>
      </c>
      <c r="D1691" s="3">
        <v>1</v>
      </c>
      <c r="E1691" s="3" t="s">
        <v>39</v>
      </c>
      <c r="F1691" s="3" t="s">
        <v>40</v>
      </c>
      <c r="G1691" s="3" t="str">
        <f>"2025-07-31 11:53:54.020"</f>
        <v>2025-07-31 11:53:54.020</v>
      </c>
      <c r="H1691" s="3" t="s">
        <v>21</v>
      </c>
      <c r="I1691" s="3">
        <v>14.63</v>
      </c>
      <c r="J1691" s="3" t="s">
        <v>37</v>
      </c>
    </row>
    <row r="1692" spans="1:10" s="3" customFormat="1" x14ac:dyDescent="0.25">
      <c r="A1692" s="2">
        <v>746</v>
      </c>
      <c r="B1692" s="3" t="s">
        <v>22</v>
      </c>
      <c r="C1692" s="3">
        <v>647</v>
      </c>
      <c r="D1692" s="3">
        <v>1</v>
      </c>
      <c r="E1692" s="3" t="s">
        <v>39</v>
      </c>
      <c r="F1692" s="3" t="s">
        <v>40</v>
      </c>
      <c r="G1692" s="3" t="str">
        <f>"2025-07-31 10:38:44.720"</f>
        <v>2025-07-31 10:38:44.720</v>
      </c>
      <c r="H1692" s="3" t="s">
        <v>21</v>
      </c>
    </row>
    <row r="1693" spans="1:10" s="3" customFormat="1" x14ac:dyDescent="0.25">
      <c r="A1693" s="2">
        <v>747</v>
      </c>
      <c r="B1693" s="3" t="s">
        <v>25</v>
      </c>
      <c r="C1693" s="3">
        <v>647</v>
      </c>
      <c r="D1693" s="3">
        <v>1</v>
      </c>
      <c r="E1693" s="3" t="s">
        <v>39</v>
      </c>
      <c r="F1693" s="3" t="s">
        <v>40</v>
      </c>
      <c r="G1693" s="3" t="str">
        <f>"2025-07-31 10:38:40.620"</f>
        <v>2025-07-31 10:38:40.620</v>
      </c>
      <c r="H1693" s="3" t="s">
        <v>21</v>
      </c>
      <c r="I1693" s="3">
        <v>15.74</v>
      </c>
      <c r="J1693" s="3" t="s">
        <v>37</v>
      </c>
    </row>
    <row r="1694" spans="1:10" x14ac:dyDescent="0.25">
      <c r="A1694" s="1">
        <v>748</v>
      </c>
      <c r="B1694" t="s">
        <v>22</v>
      </c>
      <c r="C1694">
        <v>630</v>
      </c>
      <c r="D1694">
        <v>5</v>
      </c>
      <c r="E1694" t="s">
        <v>28</v>
      </c>
      <c r="F1694" t="s">
        <v>29</v>
      </c>
      <c r="G1694" t="str">
        <f>"2025-07-31 00:49:13.620"</f>
        <v>2025-07-31 00:49:13.620</v>
      </c>
      <c r="H1694" t="s">
        <v>30</v>
      </c>
    </row>
    <row r="1695" spans="1:10" x14ac:dyDescent="0.25">
      <c r="A1695" s="1">
        <v>749</v>
      </c>
      <c r="B1695" t="s">
        <v>19</v>
      </c>
      <c r="C1695">
        <v>706</v>
      </c>
      <c r="D1695">
        <v>2</v>
      </c>
      <c r="E1695" t="s">
        <v>31</v>
      </c>
      <c r="F1695" t="s">
        <v>35</v>
      </c>
      <c r="G1695" t="str">
        <f>"2025-07-31 00:48:43.503"</f>
        <v>2025-07-31 00:48:43.503</v>
      </c>
      <c r="H1695" t="s">
        <v>21</v>
      </c>
      <c r="I1695">
        <v>0</v>
      </c>
      <c r="J1695" t="s">
        <v>33</v>
      </c>
    </row>
    <row r="1696" spans="1:10" x14ac:dyDescent="0.25">
      <c r="A1696" s="1">
        <v>750</v>
      </c>
      <c r="B1696" t="s">
        <v>34</v>
      </c>
      <c r="C1696">
        <v>630</v>
      </c>
      <c r="D1696">
        <v>5</v>
      </c>
      <c r="E1696" t="s">
        <v>28</v>
      </c>
      <c r="F1696" t="s">
        <v>29</v>
      </c>
      <c r="G1696" t="str">
        <f>"2025-07-31 00:34:03.320"</f>
        <v>2025-07-31 00:34:03.320</v>
      </c>
      <c r="H1696" t="s">
        <v>30</v>
      </c>
      <c r="I1696">
        <v>0</v>
      </c>
      <c r="J1696" t="s">
        <v>33</v>
      </c>
    </row>
    <row r="1697" spans="1:10" x14ac:dyDescent="0.25">
      <c r="A1697" s="1">
        <v>751</v>
      </c>
      <c r="B1697" t="s">
        <v>22</v>
      </c>
      <c r="C1697">
        <v>630</v>
      </c>
      <c r="D1697">
        <v>5</v>
      </c>
      <c r="E1697" t="s">
        <v>28</v>
      </c>
      <c r="F1697" t="s">
        <v>29</v>
      </c>
      <c r="G1697" t="str">
        <f>"2025-07-31 00:28:24.720"</f>
        <v>2025-07-31 00:28:24.720</v>
      </c>
      <c r="H1697" t="s">
        <v>30</v>
      </c>
    </row>
    <row r="1698" spans="1:10" x14ac:dyDescent="0.25">
      <c r="A1698" s="1">
        <v>752</v>
      </c>
      <c r="B1698" t="s">
        <v>19</v>
      </c>
      <c r="C1698">
        <v>706</v>
      </c>
      <c r="D1698">
        <v>4</v>
      </c>
      <c r="E1698" t="s">
        <v>31</v>
      </c>
      <c r="F1698" t="s">
        <v>32</v>
      </c>
      <c r="G1698" t="str">
        <f>"2025-07-31 00:27:54.653"</f>
        <v>2025-07-31 00:27:54.653</v>
      </c>
      <c r="H1698" t="s">
        <v>21</v>
      </c>
      <c r="I1698">
        <v>0</v>
      </c>
      <c r="J1698" t="s">
        <v>33</v>
      </c>
    </row>
    <row r="1699" spans="1:10" x14ac:dyDescent="0.25">
      <c r="A1699" s="1">
        <v>753</v>
      </c>
      <c r="B1699" t="s">
        <v>34</v>
      </c>
      <c r="C1699">
        <v>630</v>
      </c>
      <c r="D1699">
        <v>5</v>
      </c>
      <c r="E1699" t="s">
        <v>28</v>
      </c>
      <c r="F1699" t="s">
        <v>29</v>
      </c>
      <c r="G1699" t="str">
        <f>"2025-07-30 23:55:26.120"</f>
        <v>2025-07-30 23:55:26.120</v>
      </c>
      <c r="H1699" t="s">
        <v>30</v>
      </c>
      <c r="I1699">
        <v>0</v>
      </c>
      <c r="J1699" t="s">
        <v>33</v>
      </c>
    </row>
    <row r="1700" spans="1:10" s="3" customFormat="1" x14ac:dyDescent="0.25">
      <c r="A1700" s="2">
        <v>754</v>
      </c>
      <c r="B1700" s="3" t="s">
        <v>22</v>
      </c>
      <c r="C1700" s="3">
        <v>647</v>
      </c>
      <c r="D1700" s="3">
        <v>1</v>
      </c>
      <c r="E1700" s="3" t="s">
        <v>39</v>
      </c>
      <c r="F1700" s="3" t="s">
        <v>40</v>
      </c>
      <c r="G1700" s="3" t="str">
        <f>"2025-07-30 17:25:10.720"</f>
        <v>2025-07-30 17:25:10.720</v>
      </c>
      <c r="H1700" s="3" t="s">
        <v>21</v>
      </c>
    </row>
    <row r="1701" spans="1:10" s="3" customFormat="1" x14ac:dyDescent="0.25">
      <c r="A1701" s="2">
        <v>755</v>
      </c>
      <c r="B1701" s="3" t="s">
        <v>25</v>
      </c>
      <c r="C1701" s="3">
        <v>647</v>
      </c>
      <c r="D1701" s="3">
        <v>1</v>
      </c>
      <c r="E1701" s="3" t="s">
        <v>39</v>
      </c>
      <c r="F1701" s="3" t="s">
        <v>40</v>
      </c>
      <c r="G1701" s="3" t="str">
        <f>"2025-07-30 17:25:03.720"</f>
        <v>2025-07-30 17:25:03.720</v>
      </c>
      <c r="H1701" s="3" t="s">
        <v>21</v>
      </c>
      <c r="I1701" s="3">
        <v>9.09</v>
      </c>
      <c r="J1701" s="3" t="s">
        <v>37</v>
      </c>
    </row>
    <row r="1702" spans="1:10" s="3" customFormat="1" x14ac:dyDescent="0.25">
      <c r="A1702" s="2">
        <v>756</v>
      </c>
      <c r="B1702" s="3" t="s">
        <v>22</v>
      </c>
      <c r="C1702" s="3">
        <v>647</v>
      </c>
      <c r="D1702" s="3">
        <v>1</v>
      </c>
      <c r="E1702" s="3" t="s">
        <v>39</v>
      </c>
      <c r="F1702" s="3" t="s">
        <v>40</v>
      </c>
      <c r="G1702" s="3" t="str">
        <f>"2025-07-30 11:42:52.920"</f>
        <v>2025-07-30 11:42:52.920</v>
      </c>
      <c r="H1702" s="3" t="s">
        <v>21</v>
      </c>
    </row>
    <row r="1703" spans="1:10" s="3" customFormat="1" x14ac:dyDescent="0.25">
      <c r="A1703" s="2">
        <v>757</v>
      </c>
      <c r="B1703" s="3" t="s">
        <v>25</v>
      </c>
      <c r="C1703" s="3">
        <v>647</v>
      </c>
      <c r="D1703" s="3">
        <v>1</v>
      </c>
      <c r="E1703" s="3" t="s">
        <v>39</v>
      </c>
      <c r="F1703" s="3" t="s">
        <v>40</v>
      </c>
      <c r="G1703" s="3" t="str">
        <f>"2025-07-30 11:42:50.420"</f>
        <v>2025-07-30 11:42:50.420</v>
      </c>
      <c r="H1703" s="3" t="s">
        <v>21</v>
      </c>
      <c r="I1703" s="3">
        <v>15.88</v>
      </c>
      <c r="J1703" s="3" t="s">
        <v>37</v>
      </c>
    </row>
    <row r="1704" spans="1:10" x14ac:dyDescent="0.25">
      <c r="A1704" s="1">
        <v>758</v>
      </c>
      <c r="B1704" t="s">
        <v>22</v>
      </c>
      <c r="C1704">
        <v>630</v>
      </c>
      <c r="D1704">
        <v>5</v>
      </c>
      <c r="E1704" t="s">
        <v>28</v>
      </c>
      <c r="F1704" t="s">
        <v>29</v>
      </c>
      <c r="G1704" t="str">
        <f>"2025-07-30 01:51:29.020"</f>
        <v>2025-07-30 01:51:29.020</v>
      </c>
      <c r="H1704" t="s">
        <v>30</v>
      </c>
    </row>
    <row r="1705" spans="1:10" x14ac:dyDescent="0.25">
      <c r="A1705" s="1">
        <v>759</v>
      </c>
      <c r="B1705" t="s">
        <v>19</v>
      </c>
      <c r="C1705">
        <v>706</v>
      </c>
      <c r="D1705">
        <v>2</v>
      </c>
      <c r="E1705" t="s">
        <v>31</v>
      </c>
      <c r="F1705" t="s">
        <v>35</v>
      </c>
      <c r="G1705" t="str">
        <f>"2025-07-30 01:50:58.903"</f>
        <v>2025-07-30 01:50:58.903</v>
      </c>
      <c r="H1705" t="s">
        <v>21</v>
      </c>
      <c r="I1705">
        <v>0</v>
      </c>
      <c r="J1705" t="s">
        <v>33</v>
      </c>
    </row>
    <row r="1706" spans="1:10" x14ac:dyDescent="0.25">
      <c r="A1706" s="1">
        <v>760</v>
      </c>
      <c r="B1706" t="s">
        <v>34</v>
      </c>
      <c r="C1706">
        <v>630</v>
      </c>
      <c r="D1706">
        <v>5</v>
      </c>
      <c r="E1706" t="s">
        <v>28</v>
      </c>
      <c r="F1706" t="s">
        <v>29</v>
      </c>
      <c r="G1706" t="str">
        <f>"2025-07-30 01:28:03.820"</f>
        <v>2025-07-30 01:28:03.820</v>
      </c>
      <c r="H1706" t="s">
        <v>30</v>
      </c>
      <c r="I1706">
        <v>0</v>
      </c>
      <c r="J1706" t="s">
        <v>33</v>
      </c>
    </row>
    <row r="1707" spans="1:10" x14ac:dyDescent="0.25">
      <c r="A1707" s="1">
        <v>761</v>
      </c>
      <c r="B1707" t="s">
        <v>22</v>
      </c>
      <c r="C1707">
        <v>630</v>
      </c>
      <c r="D1707">
        <v>5</v>
      </c>
      <c r="E1707" t="s">
        <v>28</v>
      </c>
      <c r="F1707" t="s">
        <v>29</v>
      </c>
      <c r="G1707" t="str">
        <f>"2025-07-29 23:13:45.220"</f>
        <v>2025-07-29 23:13:45.220</v>
      </c>
      <c r="H1707" t="s">
        <v>30</v>
      </c>
    </row>
    <row r="1708" spans="1:10" x14ac:dyDescent="0.25">
      <c r="A1708" s="1">
        <v>762</v>
      </c>
      <c r="B1708" t="s">
        <v>19</v>
      </c>
      <c r="C1708">
        <v>706</v>
      </c>
      <c r="D1708">
        <v>2</v>
      </c>
      <c r="E1708" t="s">
        <v>31</v>
      </c>
      <c r="F1708" t="s">
        <v>35</v>
      </c>
      <c r="G1708" t="str">
        <f>"2025-07-29 23:13:15.203"</f>
        <v>2025-07-29 23:13:15.203</v>
      </c>
      <c r="H1708" t="s">
        <v>21</v>
      </c>
      <c r="I1708">
        <v>0</v>
      </c>
      <c r="J1708" t="s">
        <v>33</v>
      </c>
    </row>
    <row r="1709" spans="1:10" x14ac:dyDescent="0.25">
      <c r="A1709" s="1">
        <v>763</v>
      </c>
      <c r="B1709" t="s">
        <v>34</v>
      </c>
      <c r="C1709">
        <v>630</v>
      </c>
      <c r="D1709">
        <v>5</v>
      </c>
      <c r="E1709" t="s">
        <v>28</v>
      </c>
      <c r="F1709" t="s">
        <v>29</v>
      </c>
      <c r="G1709" t="str">
        <f>"2025-07-29 23:06:13.720"</f>
        <v>2025-07-29 23:06:13.720</v>
      </c>
      <c r="H1709" t="s">
        <v>30</v>
      </c>
      <c r="I1709">
        <v>0</v>
      </c>
      <c r="J1709" t="s">
        <v>33</v>
      </c>
    </row>
    <row r="1710" spans="1:10" s="3" customFormat="1" x14ac:dyDescent="0.25">
      <c r="A1710" s="2">
        <v>764</v>
      </c>
      <c r="B1710" s="3" t="s">
        <v>22</v>
      </c>
      <c r="C1710" s="3">
        <v>647</v>
      </c>
      <c r="D1710" s="3">
        <v>1</v>
      </c>
      <c r="E1710" s="3" t="s">
        <v>39</v>
      </c>
      <c r="F1710" s="3" t="s">
        <v>40</v>
      </c>
      <c r="G1710" s="3" t="str">
        <f>"2025-07-29 16:58:19.620"</f>
        <v>2025-07-29 16:58:19.620</v>
      </c>
      <c r="H1710" s="3" t="s">
        <v>21</v>
      </c>
    </row>
    <row r="1711" spans="1:10" s="3" customFormat="1" x14ac:dyDescent="0.25">
      <c r="A1711" s="2">
        <v>765</v>
      </c>
      <c r="B1711" s="3" t="s">
        <v>25</v>
      </c>
      <c r="C1711" s="3">
        <v>647</v>
      </c>
      <c r="D1711" s="3">
        <v>1</v>
      </c>
      <c r="E1711" s="3" t="s">
        <v>39</v>
      </c>
      <c r="F1711" s="3" t="s">
        <v>40</v>
      </c>
      <c r="G1711" s="3" t="str">
        <f>"2025-07-29 16:58:17.320"</f>
        <v>2025-07-29 16:58:17.320</v>
      </c>
      <c r="H1711" s="3" t="s">
        <v>21</v>
      </c>
      <c r="I1711" s="3">
        <v>15.94</v>
      </c>
      <c r="J1711" s="3" t="s">
        <v>37</v>
      </c>
    </row>
    <row r="1712" spans="1:10" x14ac:dyDescent="0.25">
      <c r="A1712" s="1">
        <v>766</v>
      </c>
      <c r="B1712" t="s">
        <v>22</v>
      </c>
      <c r="C1712">
        <v>630</v>
      </c>
      <c r="D1712">
        <v>5</v>
      </c>
      <c r="E1712" t="s">
        <v>28</v>
      </c>
      <c r="F1712" t="s">
        <v>29</v>
      </c>
      <c r="G1712" t="str">
        <f>"2025-07-29 02:08:35.120"</f>
        <v>2025-07-29 02:08:35.120</v>
      </c>
      <c r="H1712" t="s">
        <v>30</v>
      </c>
    </row>
    <row r="1713" spans="1:10" x14ac:dyDescent="0.25">
      <c r="A1713" s="1">
        <v>767</v>
      </c>
      <c r="B1713" t="s">
        <v>19</v>
      </c>
      <c r="C1713">
        <v>706</v>
      </c>
      <c r="D1713">
        <v>2</v>
      </c>
      <c r="E1713" t="s">
        <v>31</v>
      </c>
      <c r="F1713" t="s">
        <v>35</v>
      </c>
      <c r="G1713" t="str">
        <f>"2025-07-29 02:08:05.003"</f>
        <v>2025-07-29 02:08:05.003</v>
      </c>
      <c r="H1713" t="s">
        <v>21</v>
      </c>
      <c r="I1713">
        <v>0</v>
      </c>
      <c r="J1713" t="s">
        <v>33</v>
      </c>
    </row>
    <row r="1714" spans="1:10" x14ac:dyDescent="0.25">
      <c r="A1714" s="1">
        <v>768</v>
      </c>
      <c r="B1714" t="s">
        <v>34</v>
      </c>
      <c r="C1714">
        <v>630</v>
      </c>
      <c r="D1714">
        <v>5</v>
      </c>
      <c r="E1714" t="s">
        <v>28</v>
      </c>
      <c r="F1714" t="s">
        <v>29</v>
      </c>
      <c r="G1714" t="str">
        <f>"2025-07-29 02:00:25.220"</f>
        <v>2025-07-29 02:00:25.220</v>
      </c>
      <c r="H1714" t="s">
        <v>30</v>
      </c>
      <c r="I1714">
        <v>0</v>
      </c>
      <c r="J1714" t="s">
        <v>33</v>
      </c>
    </row>
    <row r="1715" spans="1:10" x14ac:dyDescent="0.25">
      <c r="A1715" s="1">
        <v>769</v>
      </c>
      <c r="B1715" t="s">
        <v>22</v>
      </c>
      <c r="C1715">
        <v>630</v>
      </c>
      <c r="D1715">
        <v>5</v>
      </c>
      <c r="E1715" t="s">
        <v>28</v>
      </c>
      <c r="F1715" t="s">
        <v>29</v>
      </c>
      <c r="G1715" t="str">
        <f>"2025-07-29 01:30:03.720"</f>
        <v>2025-07-29 01:30:03.720</v>
      </c>
      <c r="H1715" t="s">
        <v>30</v>
      </c>
    </row>
    <row r="1716" spans="1:10" x14ac:dyDescent="0.25">
      <c r="A1716" s="1">
        <v>770</v>
      </c>
      <c r="B1716" t="s">
        <v>19</v>
      </c>
      <c r="C1716">
        <v>706</v>
      </c>
      <c r="D1716">
        <v>2</v>
      </c>
      <c r="E1716" t="s">
        <v>31</v>
      </c>
      <c r="F1716" t="s">
        <v>35</v>
      </c>
      <c r="G1716" t="str">
        <f>"2025-07-29 01:29:33.703"</f>
        <v>2025-07-29 01:29:33.703</v>
      </c>
      <c r="H1716" t="s">
        <v>21</v>
      </c>
      <c r="I1716">
        <v>0</v>
      </c>
      <c r="J1716" t="s">
        <v>33</v>
      </c>
    </row>
    <row r="1717" spans="1:10" x14ac:dyDescent="0.25">
      <c r="A1717" s="1">
        <v>771</v>
      </c>
      <c r="B1717" t="s">
        <v>34</v>
      </c>
      <c r="C1717">
        <v>630</v>
      </c>
      <c r="D1717">
        <v>5</v>
      </c>
      <c r="E1717" t="s">
        <v>28</v>
      </c>
      <c r="F1717" t="s">
        <v>29</v>
      </c>
      <c r="G1717" t="str">
        <f>"2025-07-29 01:07:47.420"</f>
        <v>2025-07-29 01:07:47.420</v>
      </c>
      <c r="H1717" t="s">
        <v>30</v>
      </c>
      <c r="I1717">
        <v>0</v>
      </c>
      <c r="J1717" t="s">
        <v>33</v>
      </c>
    </row>
    <row r="1718" spans="1:10" x14ac:dyDescent="0.25">
      <c r="A1718" s="1">
        <v>772</v>
      </c>
      <c r="B1718" t="s">
        <v>22</v>
      </c>
      <c r="C1718">
        <v>630</v>
      </c>
      <c r="D1718">
        <v>5</v>
      </c>
      <c r="E1718" t="s">
        <v>28</v>
      </c>
      <c r="F1718" t="s">
        <v>29</v>
      </c>
      <c r="G1718" t="str">
        <f>"2025-07-28 20:14:39.920"</f>
        <v>2025-07-28 20:14:39.920</v>
      </c>
      <c r="H1718" t="s">
        <v>30</v>
      </c>
    </row>
    <row r="1719" spans="1:10" x14ac:dyDescent="0.25">
      <c r="A1719" s="1">
        <v>773</v>
      </c>
      <c r="B1719" t="s">
        <v>19</v>
      </c>
      <c r="C1719">
        <v>706</v>
      </c>
      <c r="D1719">
        <v>4</v>
      </c>
      <c r="E1719" t="s">
        <v>31</v>
      </c>
      <c r="F1719" t="s">
        <v>32</v>
      </c>
      <c r="G1719" t="str">
        <f>"2025-07-28 20:14:09.823"</f>
        <v>2025-07-28 20:14:09.823</v>
      </c>
      <c r="H1719" t="s">
        <v>21</v>
      </c>
      <c r="I1719">
        <v>0</v>
      </c>
      <c r="J1719" t="s">
        <v>33</v>
      </c>
    </row>
    <row r="1720" spans="1:10" x14ac:dyDescent="0.25">
      <c r="A1720" s="1">
        <v>774</v>
      </c>
      <c r="B1720" t="s">
        <v>34</v>
      </c>
      <c r="C1720">
        <v>630</v>
      </c>
      <c r="D1720">
        <v>5</v>
      </c>
      <c r="E1720" t="s">
        <v>28</v>
      </c>
      <c r="F1720" t="s">
        <v>29</v>
      </c>
      <c r="G1720" t="str">
        <f>"2025-07-28 20:05:30.420"</f>
        <v>2025-07-28 20:05:30.420</v>
      </c>
      <c r="H1720" t="s">
        <v>30</v>
      </c>
      <c r="I1720">
        <v>0</v>
      </c>
      <c r="J1720" t="s">
        <v>33</v>
      </c>
    </row>
    <row r="1721" spans="1:10" x14ac:dyDescent="0.25">
      <c r="A1721" s="1">
        <v>775</v>
      </c>
      <c r="B1721" t="s">
        <v>19</v>
      </c>
      <c r="C1721">
        <v>706</v>
      </c>
      <c r="D1721">
        <v>2</v>
      </c>
      <c r="E1721" t="s">
        <v>31</v>
      </c>
      <c r="F1721" t="s">
        <v>35</v>
      </c>
      <c r="G1721" t="str">
        <f>"2025-07-28 14:09:52.603"</f>
        <v>2025-07-28 14:09:52.603</v>
      </c>
      <c r="H1721" t="s">
        <v>21</v>
      </c>
      <c r="I1721">
        <v>0</v>
      </c>
      <c r="J1721" t="s">
        <v>33</v>
      </c>
    </row>
    <row r="1722" spans="1:10" x14ac:dyDescent="0.25">
      <c r="A1722" s="1">
        <v>776</v>
      </c>
      <c r="B1722" t="s">
        <v>22</v>
      </c>
      <c r="C1722">
        <v>635</v>
      </c>
      <c r="D1722">
        <v>1</v>
      </c>
      <c r="E1722" t="s">
        <v>23</v>
      </c>
      <c r="F1722" t="s">
        <v>24</v>
      </c>
      <c r="G1722" t="str">
        <f>"2025-07-27 09:47:28.420"</f>
        <v>2025-07-27 09:47:28.420</v>
      </c>
      <c r="H1722" t="s">
        <v>21</v>
      </c>
    </row>
    <row r="1723" spans="1:10" x14ac:dyDescent="0.25">
      <c r="A1723" s="1">
        <v>777</v>
      </c>
      <c r="B1723" t="s">
        <v>25</v>
      </c>
      <c r="C1723">
        <v>635</v>
      </c>
      <c r="D1723">
        <v>1</v>
      </c>
      <c r="E1723" t="s">
        <v>23</v>
      </c>
      <c r="F1723" t="s">
        <v>24</v>
      </c>
      <c r="G1723" t="str">
        <f>"2025-07-27 09:43:02.420"</f>
        <v>2025-07-27 09:43:02.420</v>
      </c>
      <c r="H1723" t="s">
        <v>21</v>
      </c>
      <c r="I1723">
        <v>-0.25</v>
      </c>
      <c r="J1723" t="s">
        <v>36</v>
      </c>
    </row>
    <row r="1724" spans="1:10" s="3" customFormat="1" x14ac:dyDescent="0.25">
      <c r="A1724" s="2">
        <v>778</v>
      </c>
      <c r="B1724" s="3" t="s">
        <v>22</v>
      </c>
      <c r="C1724" s="3">
        <v>647</v>
      </c>
      <c r="D1724" s="3">
        <v>1</v>
      </c>
      <c r="E1724" s="3" t="s">
        <v>39</v>
      </c>
      <c r="F1724" s="3" t="s">
        <v>40</v>
      </c>
      <c r="G1724" s="3" t="str">
        <f>"2025-07-26 16:45:15.820"</f>
        <v>2025-07-26 16:45:15.820</v>
      </c>
      <c r="H1724" s="3" t="s">
        <v>21</v>
      </c>
    </row>
    <row r="1725" spans="1:10" s="3" customFormat="1" x14ac:dyDescent="0.25">
      <c r="A1725" s="2">
        <v>779</v>
      </c>
      <c r="B1725" s="3" t="s">
        <v>25</v>
      </c>
      <c r="C1725" s="3">
        <v>647</v>
      </c>
      <c r="D1725" s="3">
        <v>1</v>
      </c>
      <c r="E1725" s="3" t="s">
        <v>39</v>
      </c>
      <c r="F1725" s="3" t="s">
        <v>40</v>
      </c>
      <c r="G1725" s="3" t="str">
        <f>"2025-07-26 16:45:07.321"</f>
        <v>2025-07-26 16:45:07.321</v>
      </c>
      <c r="H1725" s="3" t="s">
        <v>21</v>
      </c>
      <c r="I1725" s="3">
        <v>17.54</v>
      </c>
      <c r="J1725" s="3" t="s">
        <v>37</v>
      </c>
    </row>
    <row r="1726" spans="1:10" x14ac:dyDescent="0.25">
      <c r="A1726" s="1">
        <v>780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"2025-07-26 02:37:45.673"</f>
        <v>2025-07-26 02:37:45.673</v>
      </c>
      <c r="H1726" t="s">
        <v>21</v>
      </c>
      <c r="I1726">
        <v>0</v>
      </c>
      <c r="J1726" t="s">
        <v>27</v>
      </c>
    </row>
    <row r="1727" spans="1:10" s="3" customFormat="1" x14ac:dyDescent="0.25">
      <c r="A1727" s="2">
        <v>781</v>
      </c>
      <c r="B1727" s="3" t="s">
        <v>22</v>
      </c>
      <c r="C1727" s="3">
        <v>647</v>
      </c>
      <c r="D1727" s="3">
        <v>1</v>
      </c>
      <c r="E1727" s="3" t="s">
        <v>39</v>
      </c>
      <c r="F1727" s="3" t="s">
        <v>40</v>
      </c>
      <c r="G1727" s="3" t="str">
        <f>"2025-07-25 16:24:12.293"</f>
        <v>2025-07-25 16:24:12.293</v>
      </c>
      <c r="H1727" s="3" t="s">
        <v>21</v>
      </c>
    </row>
    <row r="1728" spans="1:10" s="3" customFormat="1" x14ac:dyDescent="0.25">
      <c r="A1728" s="2">
        <v>782</v>
      </c>
      <c r="B1728" s="3" t="s">
        <v>25</v>
      </c>
      <c r="C1728" s="3">
        <v>647</v>
      </c>
      <c r="D1728" s="3">
        <v>1</v>
      </c>
      <c r="E1728" s="3" t="s">
        <v>39</v>
      </c>
      <c r="F1728" s="3" t="s">
        <v>40</v>
      </c>
      <c r="G1728" s="3" t="str">
        <f>"2025-07-25 16:24:08.194"</f>
        <v>2025-07-25 16:24:08.194</v>
      </c>
      <c r="H1728" s="3" t="s">
        <v>21</v>
      </c>
      <c r="I1728" s="3">
        <v>8.7100000000000009</v>
      </c>
      <c r="J1728" s="3" t="s">
        <v>37</v>
      </c>
    </row>
    <row r="1729" spans="1:10" x14ac:dyDescent="0.25">
      <c r="A1729" s="1">
        <v>783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"2025-07-25 13:30:53.645"</f>
        <v>2025-07-25 13:30:53.645</v>
      </c>
      <c r="H1729" t="s">
        <v>21</v>
      </c>
    </row>
    <row r="1730" spans="1:10" s="3" customFormat="1" x14ac:dyDescent="0.25">
      <c r="A1730" s="2">
        <v>784</v>
      </c>
      <c r="B1730" s="3" t="s">
        <v>22</v>
      </c>
      <c r="C1730" s="3">
        <v>647</v>
      </c>
      <c r="D1730" s="3">
        <v>1</v>
      </c>
      <c r="E1730" s="3" t="s">
        <v>39</v>
      </c>
      <c r="F1730" s="3" t="s">
        <v>40</v>
      </c>
      <c r="G1730" s="3" t="str">
        <f>"2025-07-25 11:25:21.417"</f>
        <v>2025-07-25 11:25:21.417</v>
      </c>
      <c r="H1730" s="3" t="s">
        <v>21</v>
      </c>
    </row>
    <row r="1731" spans="1:10" s="3" customFormat="1" x14ac:dyDescent="0.25">
      <c r="A1731" s="2">
        <v>785</v>
      </c>
      <c r="B1731" s="3" t="s">
        <v>25</v>
      </c>
      <c r="C1731" s="3">
        <v>647</v>
      </c>
      <c r="D1731" s="3">
        <v>1</v>
      </c>
      <c r="E1731" s="3" t="s">
        <v>39</v>
      </c>
      <c r="F1731" s="3" t="s">
        <v>40</v>
      </c>
      <c r="G1731" s="3" t="str">
        <f>"2025-07-25 11:25:18.317"</f>
        <v>2025-07-25 11:25:18.317</v>
      </c>
      <c r="H1731" s="3" t="s">
        <v>21</v>
      </c>
      <c r="I1731" s="3">
        <v>13.59</v>
      </c>
      <c r="J1731" s="3" t="s">
        <v>37</v>
      </c>
    </row>
    <row r="1732" spans="1:10" x14ac:dyDescent="0.25">
      <c r="A1732" s="1">
        <v>790</v>
      </c>
      <c r="B1732" t="s">
        <v>22</v>
      </c>
      <c r="C1732">
        <v>635</v>
      </c>
      <c r="D1732">
        <v>1</v>
      </c>
      <c r="E1732" t="s">
        <v>23</v>
      </c>
      <c r="F1732" t="s">
        <v>24</v>
      </c>
      <c r="G1732" t="str">
        <f>"2025-07-24 16:50:05.716"</f>
        <v>2025-07-24 16:50:05.716</v>
      </c>
      <c r="H1732" t="s">
        <v>21</v>
      </c>
    </row>
    <row r="1733" spans="1:10" x14ac:dyDescent="0.25">
      <c r="A1733" s="1">
        <v>791</v>
      </c>
      <c r="B1733" t="s">
        <v>25</v>
      </c>
      <c r="C1733">
        <v>635</v>
      </c>
      <c r="D1733">
        <v>1</v>
      </c>
      <c r="E1733" t="s">
        <v>23</v>
      </c>
      <c r="F1733" t="s">
        <v>24</v>
      </c>
      <c r="G1733" t="str">
        <f>"2025-07-24 16:46:55.716"</f>
        <v>2025-07-24 16:46:55.716</v>
      </c>
      <c r="H1733" t="s">
        <v>21</v>
      </c>
      <c r="I1733">
        <v>-0.37</v>
      </c>
      <c r="J1733" t="s">
        <v>26</v>
      </c>
    </row>
    <row r="1734" spans="1:10" s="3" customFormat="1" x14ac:dyDescent="0.25">
      <c r="A1734" s="2">
        <v>792</v>
      </c>
      <c r="B1734" s="3" t="s">
        <v>22</v>
      </c>
      <c r="C1734" s="3">
        <v>647</v>
      </c>
      <c r="D1734" s="3">
        <v>1</v>
      </c>
      <c r="E1734" s="3" t="s">
        <v>39</v>
      </c>
      <c r="F1734" s="3" t="s">
        <v>40</v>
      </c>
      <c r="G1734" s="3" t="str">
        <f>"2025-07-23 14:32:15.917"</f>
        <v>2025-07-23 14:32:15.917</v>
      </c>
      <c r="H1734" s="3" t="s">
        <v>21</v>
      </c>
    </row>
    <row r="1735" spans="1:10" s="3" customFormat="1" x14ac:dyDescent="0.25">
      <c r="A1735" s="2">
        <v>793</v>
      </c>
      <c r="B1735" s="3" t="s">
        <v>25</v>
      </c>
      <c r="C1735" s="3">
        <v>647</v>
      </c>
      <c r="D1735" s="3">
        <v>1</v>
      </c>
      <c r="E1735" s="3" t="s">
        <v>39</v>
      </c>
      <c r="F1735" s="3" t="s">
        <v>40</v>
      </c>
      <c r="G1735" s="3" t="str">
        <f>"2025-07-23 14:32:10.017"</f>
        <v>2025-07-23 14:32:10.017</v>
      </c>
      <c r="H1735" s="3" t="s">
        <v>21</v>
      </c>
      <c r="I1735" s="3">
        <v>12.54</v>
      </c>
      <c r="J1735" s="3" t="s">
        <v>37</v>
      </c>
    </row>
    <row r="1736" spans="1:10" x14ac:dyDescent="0.25">
      <c r="A1736" s="1">
        <v>794</v>
      </c>
      <c r="B1736" t="s">
        <v>22</v>
      </c>
      <c r="C1736">
        <v>630</v>
      </c>
      <c r="D1736">
        <v>5</v>
      </c>
      <c r="E1736" t="s">
        <v>28</v>
      </c>
      <c r="F1736" t="s">
        <v>29</v>
      </c>
      <c r="G1736" t="str">
        <f>"2025-07-22 09:12:02.917"</f>
        <v>2025-07-22 09:12:02.917</v>
      </c>
      <c r="H1736" t="s">
        <v>30</v>
      </c>
    </row>
    <row r="1737" spans="1:10" x14ac:dyDescent="0.25">
      <c r="A1737" s="1">
        <v>795</v>
      </c>
      <c r="B1737" t="s">
        <v>19</v>
      </c>
      <c r="C1737">
        <v>706</v>
      </c>
      <c r="D1737">
        <v>4</v>
      </c>
      <c r="E1737" t="s">
        <v>31</v>
      </c>
      <c r="F1737" t="s">
        <v>32</v>
      </c>
      <c r="G1737" t="str">
        <f>"2025-07-22 09:11:32.815"</f>
        <v>2025-07-22 09:11:32.815</v>
      </c>
      <c r="H1737" t="s">
        <v>21</v>
      </c>
      <c r="I1737">
        <v>0</v>
      </c>
      <c r="J1737" t="s">
        <v>33</v>
      </c>
    </row>
    <row r="1738" spans="1:10" x14ac:dyDescent="0.25">
      <c r="A1738" s="1">
        <v>796</v>
      </c>
      <c r="B1738" t="s">
        <v>34</v>
      </c>
      <c r="C1738">
        <v>630</v>
      </c>
      <c r="D1738">
        <v>5</v>
      </c>
      <c r="E1738" t="s">
        <v>28</v>
      </c>
      <c r="F1738" t="s">
        <v>29</v>
      </c>
      <c r="G1738" t="str">
        <f>"2025-07-22 09:06:12.617"</f>
        <v>2025-07-22 09:06:12.617</v>
      </c>
      <c r="H1738" t="s">
        <v>30</v>
      </c>
      <c r="I1738">
        <v>0</v>
      </c>
      <c r="J1738" t="s">
        <v>33</v>
      </c>
    </row>
    <row r="1739" spans="1:10" x14ac:dyDescent="0.25">
      <c r="A1739" s="1">
        <v>797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"2025-07-22 09:01:09.885"</f>
        <v>2025-07-22 09:01:09.885</v>
      </c>
      <c r="H1739" t="s">
        <v>21</v>
      </c>
      <c r="I1739">
        <v>0</v>
      </c>
      <c r="J1739" t="s">
        <v>27</v>
      </c>
    </row>
    <row r="1740" spans="1:10" x14ac:dyDescent="0.25">
      <c r="A1740" s="1">
        <v>798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"2025-07-22 06:26:09.605"</f>
        <v>2025-07-22 06:26:09.605</v>
      </c>
      <c r="H1740" t="s">
        <v>21</v>
      </c>
    </row>
    <row r="1741" spans="1:10" x14ac:dyDescent="0.25">
      <c r="A1741" s="1">
        <v>799</v>
      </c>
      <c r="B1741" t="s">
        <v>19</v>
      </c>
      <c r="C1741">
        <v>706</v>
      </c>
      <c r="D1741">
        <v>4</v>
      </c>
      <c r="E1741" t="s">
        <v>31</v>
      </c>
      <c r="F1741" t="s">
        <v>32</v>
      </c>
      <c r="G1741" t="str">
        <f>"2025-07-22 04:42:16.034"</f>
        <v>2025-07-22 04:42:16.034</v>
      </c>
      <c r="H1741" t="s">
        <v>21</v>
      </c>
      <c r="I1741">
        <v>0</v>
      </c>
      <c r="J1741" t="s">
        <v>33</v>
      </c>
    </row>
    <row r="1742" spans="1:10" x14ac:dyDescent="0.25">
      <c r="A1742" s="1">
        <v>800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"2025-07-22 04:38:45.634"</f>
        <v>2025-07-22 04:38:45.634</v>
      </c>
      <c r="H1742" t="s">
        <v>21</v>
      </c>
    </row>
    <row r="1743" spans="1:10" x14ac:dyDescent="0.25">
      <c r="A1743" s="1">
        <v>801</v>
      </c>
      <c r="B1743" t="s">
        <v>19</v>
      </c>
      <c r="C1743">
        <v>706</v>
      </c>
      <c r="D1743">
        <v>3</v>
      </c>
      <c r="E1743" t="s">
        <v>31</v>
      </c>
      <c r="F1743" t="s">
        <v>66</v>
      </c>
      <c r="G1743" t="str">
        <f>"2025-07-22 04:35:55.194"</f>
        <v>2025-07-22 04:35:55.194</v>
      </c>
      <c r="H1743" t="s">
        <v>21</v>
      </c>
      <c r="I1743">
        <v>0</v>
      </c>
      <c r="J1743" t="s">
        <v>33</v>
      </c>
    </row>
    <row r="1744" spans="1:10" x14ac:dyDescent="0.25">
      <c r="A1744" s="1">
        <v>802</v>
      </c>
      <c r="B1744" t="s">
        <v>34</v>
      </c>
      <c r="C1744">
        <v>630</v>
      </c>
      <c r="D1744">
        <v>5</v>
      </c>
      <c r="E1744" t="s">
        <v>28</v>
      </c>
      <c r="F1744" t="s">
        <v>29</v>
      </c>
      <c r="G1744" t="str">
        <f>"2025-07-22 04:13:17.386"</f>
        <v>2025-07-22 04:13:17.386</v>
      </c>
      <c r="H1744" t="s">
        <v>30</v>
      </c>
      <c r="I1744">
        <v>0</v>
      </c>
      <c r="J1744" t="s">
        <v>33</v>
      </c>
    </row>
    <row r="1745" spans="1:10" x14ac:dyDescent="0.25">
      <c r="A1745" s="1">
        <v>803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"2025-07-22 04:08:14.624"</f>
        <v>2025-07-22 04:08:14.624</v>
      </c>
      <c r="H1745" t="s">
        <v>21</v>
      </c>
    </row>
    <row r="1746" spans="1:10" x14ac:dyDescent="0.25">
      <c r="A1746" s="1">
        <v>804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"2025-07-22 02:46:15.693"</f>
        <v>2025-07-22 02:46:15.693</v>
      </c>
      <c r="H1746" t="s">
        <v>21</v>
      </c>
      <c r="I1746">
        <v>0</v>
      </c>
      <c r="J1746" t="s">
        <v>27</v>
      </c>
    </row>
    <row r="1747" spans="1:10" x14ac:dyDescent="0.25">
      <c r="A1747" s="1">
        <v>805</v>
      </c>
      <c r="B1747" t="s">
        <v>19</v>
      </c>
      <c r="C1747">
        <v>719</v>
      </c>
      <c r="D1747">
        <v>5</v>
      </c>
      <c r="E1747" t="s">
        <v>72</v>
      </c>
      <c r="F1747" t="s">
        <v>73</v>
      </c>
      <c r="G1747" t="str">
        <f>"2025-07-22 02:00:00.520"</f>
        <v>2025-07-22 02:00:00.520</v>
      </c>
      <c r="H1747" t="s">
        <v>21</v>
      </c>
      <c r="I1747">
        <v>0</v>
      </c>
      <c r="J1747" t="s">
        <v>33</v>
      </c>
    </row>
    <row r="1748" spans="1:10" x14ac:dyDescent="0.25">
      <c r="A1748" s="1">
        <v>806</v>
      </c>
      <c r="B1748" t="s">
        <v>34</v>
      </c>
      <c r="C1748">
        <v>630</v>
      </c>
      <c r="D1748">
        <v>5</v>
      </c>
      <c r="E1748" t="s">
        <v>28</v>
      </c>
      <c r="F1748" t="s">
        <v>29</v>
      </c>
      <c r="G1748" t="str">
        <f>"2025-07-22 01:52:58.687"</f>
        <v>2025-07-22 01:52:58.687</v>
      </c>
      <c r="H1748" t="s">
        <v>30</v>
      </c>
      <c r="I1748">
        <v>0</v>
      </c>
      <c r="J1748" t="s">
        <v>33</v>
      </c>
    </row>
    <row r="1749" spans="1:10" x14ac:dyDescent="0.25">
      <c r="A1749" s="1">
        <v>807</v>
      </c>
      <c r="B1749" t="s">
        <v>22</v>
      </c>
      <c r="C1749">
        <v>635</v>
      </c>
      <c r="D1749">
        <v>1</v>
      </c>
      <c r="E1749" t="s">
        <v>23</v>
      </c>
      <c r="F1749" t="s">
        <v>24</v>
      </c>
      <c r="G1749" t="str">
        <f>"2025-07-21 14:04:43.486"</f>
        <v>2025-07-21 14:04:43.486</v>
      </c>
      <c r="H1749" t="s">
        <v>21</v>
      </c>
    </row>
    <row r="1750" spans="1:10" x14ac:dyDescent="0.25">
      <c r="A1750" s="1">
        <v>808</v>
      </c>
      <c r="B1750" t="s">
        <v>25</v>
      </c>
      <c r="C1750">
        <v>635</v>
      </c>
      <c r="D1750">
        <v>1</v>
      </c>
      <c r="E1750" t="s">
        <v>23</v>
      </c>
      <c r="F1750" t="s">
        <v>24</v>
      </c>
      <c r="G1750" t="str">
        <f>"2025-07-21 13:59:13.986"</f>
        <v>2025-07-21 13:59:13.986</v>
      </c>
      <c r="H1750" t="s">
        <v>21</v>
      </c>
      <c r="I1750">
        <v>4.17</v>
      </c>
      <c r="J1750" t="s">
        <v>26</v>
      </c>
    </row>
    <row r="1751" spans="1:10" x14ac:dyDescent="0.25">
      <c r="A1751" s="1">
        <v>809</v>
      </c>
      <c r="B1751" t="s">
        <v>22</v>
      </c>
      <c r="C1751">
        <v>630</v>
      </c>
      <c r="D1751">
        <v>5</v>
      </c>
      <c r="E1751" t="s">
        <v>28</v>
      </c>
      <c r="F1751" t="s">
        <v>29</v>
      </c>
      <c r="G1751" t="str">
        <f>"2025-07-21 01:12:10.587"</f>
        <v>2025-07-21 01:12:10.587</v>
      </c>
      <c r="H1751" t="s">
        <v>30</v>
      </c>
    </row>
    <row r="1752" spans="1:10" x14ac:dyDescent="0.25">
      <c r="A1752" s="1">
        <v>810</v>
      </c>
      <c r="B1752" t="s">
        <v>19</v>
      </c>
      <c r="C1752">
        <v>706</v>
      </c>
      <c r="D1752">
        <v>4</v>
      </c>
      <c r="E1752" t="s">
        <v>31</v>
      </c>
      <c r="F1752" t="s">
        <v>32</v>
      </c>
      <c r="G1752" t="str">
        <f>"2025-07-21 01:11:40.505"</f>
        <v>2025-07-21 01:11:40.505</v>
      </c>
      <c r="H1752" t="s">
        <v>21</v>
      </c>
      <c r="I1752">
        <v>0</v>
      </c>
      <c r="J1752" t="s">
        <v>33</v>
      </c>
    </row>
    <row r="1753" spans="1:10" x14ac:dyDescent="0.25">
      <c r="A1753" s="1">
        <v>811</v>
      </c>
      <c r="B1753" t="s">
        <v>34</v>
      </c>
      <c r="C1753">
        <v>630</v>
      </c>
      <c r="D1753">
        <v>5</v>
      </c>
      <c r="E1753" t="s">
        <v>28</v>
      </c>
      <c r="F1753" t="s">
        <v>29</v>
      </c>
      <c r="G1753" t="str">
        <f>"2025-07-21 00:53:01.487"</f>
        <v>2025-07-21 00:53:01.487</v>
      </c>
      <c r="H1753" t="s">
        <v>30</v>
      </c>
      <c r="I1753">
        <v>0</v>
      </c>
      <c r="J1753" t="s">
        <v>33</v>
      </c>
    </row>
    <row r="1754" spans="1:10" s="3" customFormat="1" x14ac:dyDescent="0.25">
      <c r="A1754" s="2">
        <v>812</v>
      </c>
      <c r="B1754" s="3" t="s">
        <v>22</v>
      </c>
      <c r="C1754" s="3">
        <v>647</v>
      </c>
      <c r="D1754" s="3">
        <v>1</v>
      </c>
      <c r="E1754" s="3" t="s">
        <v>39</v>
      </c>
      <c r="F1754" s="3" t="s">
        <v>40</v>
      </c>
      <c r="G1754" s="3" t="str">
        <f>"2025-07-20 18:49:43.487"</f>
        <v>2025-07-20 18:49:43.487</v>
      </c>
      <c r="H1754" s="3" t="s">
        <v>21</v>
      </c>
    </row>
    <row r="1755" spans="1:10" s="3" customFormat="1" x14ac:dyDescent="0.25">
      <c r="A1755" s="2">
        <v>813</v>
      </c>
      <c r="B1755" s="3" t="s">
        <v>25</v>
      </c>
      <c r="C1755" s="3">
        <v>647</v>
      </c>
      <c r="D1755" s="3">
        <v>1</v>
      </c>
      <c r="E1755" s="3" t="s">
        <v>39</v>
      </c>
      <c r="F1755" s="3" t="s">
        <v>40</v>
      </c>
      <c r="G1755" s="3" t="str">
        <f>"2025-07-20 18:49:36.987"</f>
        <v>2025-07-20 18:49:36.987</v>
      </c>
      <c r="H1755" s="3" t="s">
        <v>21</v>
      </c>
      <c r="I1755" s="3">
        <v>20.85</v>
      </c>
      <c r="J1755" s="3" t="s">
        <v>37</v>
      </c>
    </row>
    <row r="1756" spans="1:10" s="3" customFormat="1" x14ac:dyDescent="0.25">
      <c r="A1756" s="2">
        <v>814</v>
      </c>
      <c r="B1756" s="3" t="s">
        <v>22</v>
      </c>
      <c r="C1756" s="3">
        <v>647</v>
      </c>
      <c r="D1756" s="3">
        <v>1</v>
      </c>
      <c r="E1756" s="3" t="s">
        <v>39</v>
      </c>
      <c r="F1756" s="3" t="s">
        <v>40</v>
      </c>
      <c r="G1756" s="3" t="str">
        <f>"2025-07-20 18:42:22.487"</f>
        <v>2025-07-20 18:42:22.487</v>
      </c>
      <c r="H1756" s="3" t="s">
        <v>21</v>
      </c>
    </row>
    <row r="1757" spans="1:10" s="3" customFormat="1" x14ac:dyDescent="0.25">
      <c r="A1757" s="2">
        <v>815</v>
      </c>
      <c r="B1757" s="3" t="s">
        <v>25</v>
      </c>
      <c r="C1757" s="3">
        <v>647</v>
      </c>
      <c r="D1757" s="3">
        <v>1</v>
      </c>
      <c r="E1757" s="3" t="s">
        <v>39</v>
      </c>
      <c r="F1757" s="3" t="s">
        <v>40</v>
      </c>
      <c r="G1757" s="3" t="str">
        <f>"2025-07-20 18:42:16.387"</f>
        <v>2025-07-20 18:42:16.387</v>
      </c>
      <c r="H1757" s="3" t="s">
        <v>21</v>
      </c>
      <c r="I1757" s="3">
        <v>31.43</v>
      </c>
      <c r="J1757" s="3" t="s">
        <v>37</v>
      </c>
    </row>
    <row r="1758" spans="1:10" s="3" customFormat="1" x14ac:dyDescent="0.25">
      <c r="A1758" s="2">
        <v>816</v>
      </c>
      <c r="B1758" s="3" t="s">
        <v>22</v>
      </c>
      <c r="C1758" s="3">
        <v>647</v>
      </c>
      <c r="D1758" s="3">
        <v>1</v>
      </c>
      <c r="E1758" s="3" t="s">
        <v>39</v>
      </c>
      <c r="F1758" s="3" t="s">
        <v>40</v>
      </c>
      <c r="G1758" s="3" t="str">
        <f>"2025-07-20 08:55:19.387"</f>
        <v>2025-07-20 08:55:19.387</v>
      </c>
      <c r="H1758" s="3" t="s">
        <v>21</v>
      </c>
    </row>
    <row r="1759" spans="1:10" s="3" customFormat="1" x14ac:dyDescent="0.25">
      <c r="A1759" s="2">
        <v>817</v>
      </c>
      <c r="B1759" s="3" t="s">
        <v>25</v>
      </c>
      <c r="C1759" s="3">
        <v>647</v>
      </c>
      <c r="D1759" s="3">
        <v>1</v>
      </c>
      <c r="E1759" s="3" t="s">
        <v>39</v>
      </c>
      <c r="F1759" s="3" t="s">
        <v>40</v>
      </c>
      <c r="G1759" s="3" t="str">
        <f>"2025-07-20 08:55:18.087"</f>
        <v>2025-07-20 08:55:18.087</v>
      </c>
      <c r="H1759" s="3" t="s">
        <v>21</v>
      </c>
      <c r="I1759" s="3">
        <v>18.489999999999998</v>
      </c>
      <c r="J1759" s="3" t="s">
        <v>37</v>
      </c>
    </row>
    <row r="1760" spans="1:10" x14ac:dyDescent="0.25">
      <c r="A1760" s="1">
        <v>818</v>
      </c>
      <c r="B1760" t="s">
        <v>22</v>
      </c>
      <c r="C1760">
        <v>630</v>
      </c>
      <c r="D1760">
        <v>5</v>
      </c>
      <c r="E1760" t="s">
        <v>28</v>
      </c>
      <c r="F1760" t="s">
        <v>29</v>
      </c>
      <c r="G1760" t="str">
        <f>"2025-07-20 01:40:56.187"</f>
        <v>2025-07-20 01:40:56.187</v>
      </c>
      <c r="H1760" t="s">
        <v>30</v>
      </c>
    </row>
    <row r="1761" spans="1:10" x14ac:dyDescent="0.25">
      <c r="A1761" s="1">
        <v>819</v>
      </c>
      <c r="B1761" t="s">
        <v>19</v>
      </c>
      <c r="C1761">
        <v>706</v>
      </c>
      <c r="D1761">
        <v>2</v>
      </c>
      <c r="E1761" t="s">
        <v>31</v>
      </c>
      <c r="F1761" t="s">
        <v>35</v>
      </c>
      <c r="G1761" t="str">
        <f>"2025-07-20 01:40:26.075"</f>
        <v>2025-07-20 01:40:26.075</v>
      </c>
      <c r="H1761" t="s">
        <v>21</v>
      </c>
      <c r="I1761">
        <v>0</v>
      </c>
      <c r="J1761" t="s">
        <v>33</v>
      </c>
    </row>
    <row r="1762" spans="1:10" x14ac:dyDescent="0.25">
      <c r="A1762" s="1">
        <v>820</v>
      </c>
      <c r="B1762" t="s">
        <v>34</v>
      </c>
      <c r="C1762">
        <v>630</v>
      </c>
      <c r="D1762">
        <v>5</v>
      </c>
      <c r="E1762" t="s">
        <v>28</v>
      </c>
      <c r="F1762" t="s">
        <v>29</v>
      </c>
      <c r="G1762" t="str">
        <f>"2025-07-20 01:17:53.987"</f>
        <v>2025-07-20 01:17:53.987</v>
      </c>
      <c r="H1762" t="s">
        <v>30</v>
      </c>
      <c r="I1762">
        <v>0</v>
      </c>
      <c r="J1762" t="s">
        <v>33</v>
      </c>
    </row>
    <row r="1763" spans="1:10" x14ac:dyDescent="0.25">
      <c r="A1763" s="1">
        <v>821</v>
      </c>
      <c r="B1763" t="s">
        <v>19</v>
      </c>
      <c r="C1763">
        <v>706</v>
      </c>
      <c r="D1763">
        <v>4</v>
      </c>
      <c r="E1763" t="s">
        <v>31</v>
      </c>
      <c r="F1763" t="s">
        <v>32</v>
      </c>
      <c r="G1763" t="str">
        <f>"2025-07-19 18:19:07.435"</f>
        <v>2025-07-19 18:19:07.435</v>
      </c>
      <c r="H1763" t="s">
        <v>21</v>
      </c>
      <c r="I1763">
        <v>0</v>
      </c>
      <c r="J1763" t="s">
        <v>33</v>
      </c>
    </row>
    <row r="1764" spans="1:10" x14ac:dyDescent="0.25">
      <c r="A1764" s="1">
        <v>822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"2025-07-19 18:16:40.625"</f>
        <v>2025-07-19 18:16:40.625</v>
      </c>
      <c r="H1764" t="s">
        <v>21</v>
      </c>
      <c r="I1764">
        <v>0</v>
      </c>
      <c r="J1764" t="s">
        <v>27</v>
      </c>
    </row>
    <row r="1765" spans="1:10" x14ac:dyDescent="0.25">
      <c r="A1765" s="1">
        <v>823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"2025-07-19 18:07:35.630"</f>
        <v>2025-07-19 18:07:35.630</v>
      </c>
      <c r="H1765" t="s">
        <v>21</v>
      </c>
      <c r="I1765">
        <v>0</v>
      </c>
      <c r="J1765" t="s">
        <v>27</v>
      </c>
    </row>
    <row r="1766" spans="1:10" x14ac:dyDescent="0.25">
      <c r="A1766" s="1">
        <v>824</v>
      </c>
      <c r="B1766" t="s">
        <v>22</v>
      </c>
      <c r="C1766">
        <v>630</v>
      </c>
      <c r="D1766">
        <v>5</v>
      </c>
      <c r="E1766" t="s">
        <v>28</v>
      </c>
      <c r="F1766" t="s">
        <v>29</v>
      </c>
      <c r="G1766" t="str">
        <f>"2025-07-19 17:18:19.883"</f>
        <v>2025-07-19 17:18:19.883</v>
      </c>
      <c r="H1766" t="s">
        <v>30</v>
      </c>
    </row>
    <row r="1767" spans="1:10" x14ac:dyDescent="0.25">
      <c r="A1767" s="1">
        <v>825</v>
      </c>
      <c r="B1767" t="s">
        <v>19</v>
      </c>
      <c r="C1767">
        <v>706</v>
      </c>
      <c r="D1767">
        <v>2</v>
      </c>
      <c r="E1767" t="s">
        <v>31</v>
      </c>
      <c r="F1767" t="s">
        <v>35</v>
      </c>
      <c r="G1767" t="str">
        <f>"2025-07-19 17:17:49.746"</f>
        <v>2025-07-19 17:17:49.746</v>
      </c>
      <c r="H1767" t="s">
        <v>21</v>
      </c>
      <c r="I1767">
        <v>0</v>
      </c>
      <c r="J1767" t="s">
        <v>33</v>
      </c>
    </row>
    <row r="1768" spans="1:10" x14ac:dyDescent="0.25">
      <c r="A1768" s="1">
        <v>826</v>
      </c>
      <c r="B1768" t="s">
        <v>34</v>
      </c>
      <c r="C1768">
        <v>630</v>
      </c>
      <c r="D1768">
        <v>5</v>
      </c>
      <c r="E1768" t="s">
        <v>28</v>
      </c>
      <c r="F1768" t="s">
        <v>29</v>
      </c>
      <c r="G1768" t="str">
        <f>"2025-07-19 17:00:05.583"</f>
        <v>2025-07-19 17:00:05.583</v>
      </c>
      <c r="H1768" t="s">
        <v>30</v>
      </c>
      <c r="I1768">
        <v>0</v>
      </c>
      <c r="J1768" t="s">
        <v>33</v>
      </c>
    </row>
    <row r="1769" spans="1:10" s="3" customFormat="1" x14ac:dyDescent="0.25">
      <c r="A1769" s="2">
        <v>827</v>
      </c>
      <c r="B1769" s="3" t="s">
        <v>22</v>
      </c>
      <c r="C1769" s="3">
        <v>647</v>
      </c>
      <c r="D1769" s="3">
        <v>1</v>
      </c>
      <c r="E1769" s="3" t="s">
        <v>39</v>
      </c>
      <c r="F1769" s="3" t="s">
        <v>40</v>
      </c>
      <c r="G1769" s="3" t="str">
        <f>"2025-07-19 10:24:12.483"</f>
        <v>2025-07-19 10:24:12.483</v>
      </c>
      <c r="H1769" s="3" t="s">
        <v>21</v>
      </c>
    </row>
    <row r="1770" spans="1:10" s="3" customFormat="1" x14ac:dyDescent="0.25">
      <c r="A1770" s="2">
        <v>828</v>
      </c>
      <c r="B1770" s="3" t="s">
        <v>25</v>
      </c>
      <c r="C1770" s="3">
        <v>647</v>
      </c>
      <c r="D1770" s="3">
        <v>1</v>
      </c>
      <c r="E1770" s="3" t="s">
        <v>39</v>
      </c>
      <c r="F1770" s="3" t="s">
        <v>40</v>
      </c>
      <c r="G1770" s="3" t="str">
        <f>"2025-07-19 10:24:07.483"</f>
        <v>2025-07-19 10:24:07.483</v>
      </c>
      <c r="H1770" s="3" t="s">
        <v>21</v>
      </c>
      <c r="I1770" s="3">
        <v>13.95</v>
      </c>
      <c r="J1770" s="3" t="s">
        <v>37</v>
      </c>
    </row>
    <row r="1771" spans="1:10" x14ac:dyDescent="0.25">
      <c r="A1771" s="1">
        <v>829</v>
      </c>
      <c r="B1771" t="s">
        <v>22</v>
      </c>
      <c r="C1771">
        <v>630</v>
      </c>
      <c r="D1771">
        <v>5</v>
      </c>
      <c r="E1771" t="s">
        <v>28</v>
      </c>
      <c r="F1771" t="s">
        <v>29</v>
      </c>
      <c r="G1771" t="str">
        <f>"2025-07-19 10:09:32.983"</f>
        <v>2025-07-19 10:09:32.983</v>
      </c>
      <c r="H1771" t="s">
        <v>30</v>
      </c>
    </row>
    <row r="1772" spans="1:10" x14ac:dyDescent="0.25">
      <c r="A1772" s="1">
        <v>830</v>
      </c>
      <c r="B1772" t="s">
        <v>19</v>
      </c>
      <c r="C1772">
        <v>706</v>
      </c>
      <c r="D1772">
        <v>2</v>
      </c>
      <c r="E1772" t="s">
        <v>31</v>
      </c>
      <c r="F1772" t="s">
        <v>35</v>
      </c>
      <c r="G1772" t="str">
        <f>"2025-07-19 10:09:02.846"</f>
        <v>2025-07-19 10:09:02.846</v>
      </c>
      <c r="H1772" t="s">
        <v>21</v>
      </c>
      <c r="I1772">
        <v>0</v>
      </c>
      <c r="J1772" t="s">
        <v>33</v>
      </c>
    </row>
    <row r="1773" spans="1:10" x14ac:dyDescent="0.25">
      <c r="A1773" s="1">
        <v>831</v>
      </c>
      <c r="B1773" t="s">
        <v>34</v>
      </c>
      <c r="C1773">
        <v>630</v>
      </c>
      <c r="D1773">
        <v>5</v>
      </c>
      <c r="E1773" t="s">
        <v>28</v>
      </c>
      <c r="F1773" t="s">
        <v>29</v>
      </c>
      <c r="G1773" t="str">
        <f>"2025-07-19 10:05:45.384"</f>
        <v>2025-07-19 10:05:45.384</v>
      </c>
      <c r="H1773" t="s">
        <v>30</v>
      </c>
      <c r="I1773">
        <v>0</v>
      </c>
      <c r="J1773" t="s">
        <v>33</v>
      </c>
    </row>
    <row r="1774" spans="1:10" x14ac:dyDescent="0.25">
      <c r="A1774" s="1">
        <v>832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"2025-07-19 10:00:42.616"</f>
        <v>2025-07-19 10:00:42.616</v>
      </c>
      <c r="H1774" t="s">
        <v>21</v>
      </c>
    </row>
    <row r="1775" spans="1:10" x14ac:dyDescent="0.25">
      <c r="A1775" s="1">
        <v>833</v>
      </c>
      <c r="B1775" t="s">
        <v>34</v>
      </c>
      <c r="C1775">
        <v>630</v>
      </c>
      <c r="D1775">
        <v>5</v>
      </c>
      <c r="E1775" t="s">
        <v>28</v>
      </c>
      <c r="F1775" t="s">
        <v>29</v>
      </c>
      <c r="G1775" t="str">
        <f>"2025-07-19 09:38:53.383"</f>
        <v>2025-07-19 09:38:53.383</v>
      </c>
      <c r="H1775" t="s">
        <v>30</v>
      </c>
      <c r="I1775">
        <v>0</v>
      </c>
      <c r="J1775" t="s">
        <v>33</v>
      </c>
    </row>
    <row r="1776" spans="1:10" x14ac:dyDescent="0.25">
      <c r="A1776" s="1">
        <v>834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"2025-07-19 09:33:50.615"</f>
        <v>2025-07-19 09:33:50.615</v>
      </c>
      <c r="H1776" t="s">
        <v>21</v>
      </c>
      <c r="I1776">
        <v>0</v>
      </c>
      <c r="J1776" t="s">
        <v>27</v>
      </c>
    </row>
    <row r="1777" spans="1:10" x14ac:dyDescent="0.25">
      <c r="A1777" s="1">
        <v>835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"2025-07-19 09:28:33.816"</f>
        <v>2025-07-19 09:28:33.816</v>
      </c>
      <c r="H1777" t="s">
        <v>21</v>
      </c>
      <c r="I1777">
        <v>0</v>
      </c>
      <c r="J1777" t="s">
        <v>27</v>
      </c>
    </row>
    <row r="1778" spans="1:10" x14ac:dyDescent="0.25">
      <c r="A1778" s="1">
        <v>836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"2025-07-18 09:37:26.618"</f>
        <v>2025-07-18 09:37:26.618</v>
      </c>
      <c r="H1778" t="s">
        <v>21</v>
      </c>
      <c r="I1778">
        <v>0</v>
      </c>
      <c r="J1778" t="s">
        <v>27</v>
      </c>
    </row>
    <row r="1779" spans="1:10" s="3" customFormat="1" x14ac:dyDescent="0.25">
      <c r="A1779" s="2">
        <v>837</v>
      </c>
      <c r="B1779" s="3" t="s">
        <v>22</v>
      </c>
      <c r="C1779" s="3">
        <v>647</v>
      </c>
      <c r="D1779" s="3">
        <v>1</v>
      </c>
      <c r="E1779" s="3" t="s">
        <v>39</v>
      </c>
      <c r="F1779" s="3" t="s">
        <v>40</v>
      </c>
      <c r="G1779" s="3" t="str">
        <f>"2025-07-18 02:55:06.093"</f>
        <v>2025-07-18 02:55:06.093</v>
      </c>
      <c r="H1779" s="3" t="s">
        <v>21</v>
      </c>
    </row>
    <row r="1780" spans="1:10" s="3" customFormat="1" x14ac:dyDescent="0.25">
      <c r="A1780" s="2">
        <v>838</v>
      </c>
      <c r="B1780" s="3" t="s">
        <v>25</v>
      </c>
      <c r="C1780" s="3">
        <v>647</v>
      </c>
      <c r="D1780" s="3">
        <v>1</v>
      </c>
      <c r="E1780" s="3" t="s">
        <v>39</v>
      </c>
      <c r="F1780" s="3" t="s">
        <v>40</v>
      </c>
      <c r="G1780" s="3" t="str">
        <f>"2025-07-18 02:55:04.193"</f>
        <v>2025-07-18 02:55:04.193</v>
      </c>
      <c r="H1780" s="3" t="s">
        <v>21</v>
      </c>
      <c r="I1780" s="3">
        <v>14.08</v>
      </c>
      <c r="J1780" s="3" t="s">
        <v>37</v>
      </c>
    </row>
    <row r="1781" spans="1:10" s="3" customFormat="1" x14ac:dyDescent="0.25">
      <c r="A1781" s="2">
        <v>839</v>
      </c>
      <c r="B1781" s="3" t="s">
        <v>22</v>
      </c>
      <c r="C1781" s="3">
        <v>647</v>
      </c>
      <c r="D1781" s="3">
        <v>1</v>
      </c>
      <c r="E1781" s="3" t="s">
        <v>39</v>
      </c>
      <c r="F1781" s="3" t="s">
        <v>40</v>
      </c>
      <c r="G1781" s="3" t="str">
        <f>"2025-07-18 02:35:16.593"</f>
        <v>2025-07-18 02:35:16.593</v>
      </c>
      <c r="H1781" s="3" t="s">
        <v>21</v>
      </c>
    </row>
    <row r="1782" spans="1:10" s="3" customFormat="1" x14ac:dyDescent="0.25">
      <c r="A1782" s="2">
        <v>840</v>
      </c>
      <c r="B1782" s="3" t="s">
        <v>25</v>
      </c>
      <c r="C1782" s="3">
        <v>647</v>
      </c>
      <c r="D1782" s="3">
        <v>1</v>
      </c>
      <c r="E1782" s="3" t="s">
        <v>39</v>
      </c>
      <c r="F1782" s="3" t="s">
        <v>40</v>
      </c>
      <c r="G1782" s="3" t="str">
        <f>"2025-07-18 02:35:13.293"</f>
        <v>2025-07-18 02:35:13.293</v>
      </c>
      <c r="H1782" s="3" t="s">
        <v>21</v>
      </c>
      <c r="I1782" s="3">
        <v>9.15</v>
      </c>
      <c r="J1782" s="3" t="s">
        <v>26</v>
      </c>
    </row>
    <row r="1783" spans="1:10" s="3" customFormat="1" x14ac:dyDescent="0.25">
      <c r="A1783" s="2">
        <v>841</v>
      </c>
      <c r="B1783" s="3" t="s">
        <v>22</v>
      </c>
      <c r="C1783" s="3">
        <v>647</v>
      </c>
      <c r="D1783" s="3">
        <v>1</v>
      </c>
      <c r="E1783" s="3" t="s">
        <v>39</v>
      </c>
      <c r="F1783" s="3" t="s">
        <v>40</v>
      </c>
      <c r="G1783" s="3" t="str">
        <f>"2025-07-18 02:31:10.193"</f>
        <v>2025-07-18 02:31:10.193</v>
      </c>
      <c r="H1783" s="3" t="s">
        <v>21</v>
      </c>
    </row>
    <row r="1784" spans="1:10" s="3" customFormat="1" x14ac:dyDescent="0.25">
      <c r="A1784" s="2">
        <v>842</v>
      </c>
      <c r="B1784" s="3" t="s">
        <v>25</v>
      </c>
      <c r="C1784" s="3">
        <v>647</v>
      </c>
      <c r="D1784" s="3">
        <v>1</v>
      </c>
      <c r="E1784" s="3" t="s">
        <v>39</v>
      </c>
      <c r="F1784" s="3" t="s">
        <v>40</v>
      </c>
      <c r="G1784" s="3" t="str">
        <f>"2025-07-18 02:31:04.892"</f>
        <v>2025-07-18 02:31:04.892</v>
      </c>
      <c r="H1784" s="3" t="s">
        <v>21</v>
      </c>
      <c r="I1784" s="3">
        <v>9.0500000000000007</v>
      </c>
      <c r="J1784" s="3" t="s">
        <v>37</v>
      </c>
    </row>
    <row r="1785" spans="1:10" s="3" customFormat="1" x14ac:dyDescent="0.25">
      <c r="A1785" s="2">
        <v>844</v>
      </c>
      <c r="B1785" s="3" t="s">
        <v>22</v>
      </c>
      <c r="C1785" s="3">
        <v>647</v>
      </c>
      <c r="D1785" s="3">
        <v>1</v>
      </c>
      <c r="E1785" s="3" t="s">
        <v>39</v>
      </c>
      <c r="F1785" s="3" t="s">
        <v>40</v>
      </c>
      <c r="G1785" s="3" t="str">
        <f>"2025-07-17 05:41:56.893"</f>
        <v>2025-07-17 05:41:56.893</v>
      </c>
      <c r="H1785" s="3" t="s">
        <v>21</v>
      </c>
    </row>
    <row r="1786" spans="1:10" s="3" customFormat="1" x14ac:dyDescent="0.25">
      <c r="A1786" s="2">
        <v>845</v>
      </c>
      <c r="B1786" s="3" t="s">
        <v>25</v>
      </c>
      <c r="C1786" s="3">
        <v>647</v>
      </c>
      <c r="D1786" s="3">
        <v>1</v>
      </c>
      <c r="E1786" s="3" t="s">
        <v>39</v>
      </c>
      <c r="F1786" s="3" t="s">
        <v>40</v>
      </c>
      <c r="G1786" s="3" t="str">
        <f>"2025-07-17 05:41:54.793"</f>
        <v>2025-07-17 05:41:54.793</v>
      </c>
      <c r="H1786" s="3" t="s">
        <v>21</v>
      </c>
      <c r="I1786" s="3">
        <v>23.31</v>
      </c>
      <c r="J1786" s="3" t="s">
        <v>37</v>
      </c>
    </row>
    <row r="1787" spans="1:10" x14ac:dyDescent="0.25">
      <c r="A1787" s="1">
        <v>847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"2025-07-15 12:34:25.612"</f>
        <v>2025-07-15 12:34:25.612</v>
      </c>
      <c r="H1787" t="s">
        <v>21</v>
      </c>
    </row>
    <row r="1788" spans="1:10" x14ac:dyDescent="0.25">
      <c r="A1788" s="1">
        <v>848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"2025-07-14 13:45:32.625"</f>
        <v>2025-07-14 13:45:32.625</v>
      </c>
      <c r="H1788" t="s">
        <v>21</v>
      </c>
      <c r="I1788">
        <v>0</v>
      </c>
      <c r="J1788" t="s">
        <v>27</v>
      </c>
    </row>
    <row r="1789" spans="1:10" s="3" customFormat="1" x14ac:dyDescent="0.25">
      <c r="A1789" s="2">
        <v>849</v>
      </c>
      <c r="B1789" s="3" t="s">
        <v>22</v>
      </c>
      <c r="C1789" s="3">
        <v>647</v>
      </c>
      <c r="D1789" s="3">
        <v>1</v>
      </c>
      <c r="E1789" s="3" t="s">
        <v>39</v>
      </c>
      <c r="F1789" s="3" t="s">
        <v>40</v>
      </c>
      <c r="G1789" s="3" t="str">
        <f>"2025-07-14 06:40:34.723"</f>
        <v>2025-07-14 06:40:34.723</v>
      </c>
      <c r="H1789" s="3" t="s">
        <v>21</v>
      </c>
    </row>
    <row r="1790" spans="1:10" s="3" customFormat="1" x14ac:dyDescent="0.25">
      <c r="A1790" s="2">
        <v>850</v>
      </c>
      <c r="B1790" s="3" t="s">
        <v>25</v>
      </c>
      <c r="C1790" s="3">
        <v>647</v>
      </c>
      <c r="D1790" s="3">
        <v>1</v>
      </c>
      <c r="E1790" s="3" t="s">
        <v>39</v>
      </c>
      <c r="F1790" s="3" t="s">
        <v>40</v>
      </c>
      <c r="G1790" s="3" t="str">
        <f>"2025-07-14 06:40:30.223"</f>
        <v>2025-07-14 06:40:30.223</v>
      </c>
      <c r="H1790" s="3" t="s">
        <v>21</v>
      </c>
      <c r="I1790" s="3">
        <v>8.15</v>
      </c>
      <c r="J1790" s="3" t="s">
        <v>37</v>
      </c>
    </row>
    <row r="1791" spans="1:10" x14ac:dyDescent="0.25">
      <c r="A1791" s="1">
        <v>851</v>
      </c>
      <c r="B1791" t="s">
        <v>22</v>
      </c>
      <c r="C1791">
        <v>635</v>
      </c>
      <c r="D1791">
        <v>1</v>
      </c>
      <c r="E1791" t="s">
        <v>23</v>
      </c>
      <c r="F1791" t="s">
        <v>24</v>
      </c>
      <c r="G1791" t="str">
        <f>"2025-07-12 19:04:24.422"</f>
        <v>2025-07-12 19:04:24.422</v>
      </c>
      <c r="H1791" t="s">
        <v>21</v>
      </c>
    </row>
    <row r="1792" spans="1:10" x14ac:dyDescent="0.25">
      <c r="A1792" s="1">
        <v>852</v>
      </c>
      <c r="B1792" t="s">
        <v>25</v>
      </c>
      <c r="C1792">
        <v>635</v>
      </c>
      <c r="D1792">
        <v>1</v>
      </c>
      <c r="E1792" t="s">
        <v>23</v>
      </c>
      <c r="F1792" t="s">
        <v>24</v>
      </c>
      <c r="G1792" t="str">
        <f>"2025-07-12 18:41:21.922"</f>
        <v>2025-07-12 18:41:21.922</v>
      </c>
      <c r="H1792" t="s">
        <v>21</v>
      </c>
      <c r="I1792">
        <v>8.15</v>
      </c>
      <c r="J1792" t="s">
        <v>36</v>
      </c>
    </row>
    <row r="1793" spans="1:10" x14ac:dyDescent="0.25">
      <c r="A1793" s="1">
        <v>853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"2025-07-12 13:15:28.642"</f>
        <v>2025-07-12 13:15:28.642</v>
      </c>
      <c r="H1793" t="s">
        <v>21</v>
      </c>
    </row>
    <row r="1794" spans="1:10" x14ac:dyDescent="0.25">
      <c r="A1794" s="1">
        <v>854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"2025-07-11 22:56:03.616"</f>
        <v>2025-07-11 22:56:03.616</v>
      </c>
      <c r="H1794" t="s">
        <v>21</v>
      </c>
      <c r="I1794">
        <v>0</v>
      </c>
      <c r="J1794" t="s">
        <v>27</v>
      </c>
    </row>
    <row r="1795" spans="1:10" x14ac:dyDescent="0.25">
      <c r="A1795" s="1">
        <v>855</v>
      </c>
      <c r="B1795" t="s">
        <v>22</v>
      </c>
      <c r="C1795">
        <v>630</v>
      </c>
      <c r="D1795">
        <v>5</v>
      </c>
      <c r="E1795" t="s">
        <v>28</v>
      </c>
      <c r="F1795" t="s">
        <v>29</v>
      </c>
      <c r="G1795" t="str">
        <f>"2025-07-11 22:53:16.821"</f>
        <v>2025-07-11 22:53:16.821</v>
      </c>
      <c r="H1795" t="s">
        <v>30</v>
      </c>
    </row>
    <row r="1796" spans="1:10" x14ac:dyDescent="0.25">
      <c r="A1796" s="1">
        <v>856</v>
      </c>
      <c r="B1796" t="s">
        <v>19</v>
      </c>
      <c r="C1796">
        <v>706</v>
      </c>
      <c r="D1796">
        <v>2</v>
      </c>
      <c r="E1796" t="s">
        <v>31</v>
      </c>
      <c r="F1796" t="s">
        <v>35</v>
      </c>
      <c r="G1796" t="str">
        <f>"2025-07-11 22:52:46.690"</f>
        <v>2025-07-11 22:52:46.690</v>
      </c>
      <c r="H1796" t="s">
        <v>21</v>
      </c>
      <c r="I1796">
        <v>0</v>
      </c>
      <c r="J1796" t="s">
        <v>33</v>
      </c>
    </row>
    <row r="1797" spans="1:10" x14ac:dyDescent="0.25">
      <c r="A1797" s="1">
        <v>857</v>
      </c>
      <c r="B1797" t="s">
        <v>19</v>
      </c>
      <c r="C1797">
        <v>706</v>
      </c>
      <c r="D1797">
        <v>2</v>
      </c>
      <c r="E1797" t="s">
        <v>31</v>
      </c>
      <c r="F1797" t="s">
        <v>35</v>
      </c>
      <c r="G1797" t="str">
        <f>"2025-07-11 22:52:29.290"</f>
        <v>2025-07-11 22:52:29.290</v>
      </c>
      <c r="H1797" t="s">
        <v>21</v>
      </c>
      <c r="I1797">
        <v>0</v>
      </c>
      <c r="J1797" t="s">
        <v>33</v>
      </c>
    </row>
    <row r="1798" spans="1:10" x14ac:dyDescent="0.25">
      <c r="A1798" s="1">
        <v>858</v>
      </c>
      <c r="B1798" t="s">
        <v>34</v>
      </c>
      <c r="C1798">
        <v>630</v>
      </c>
      <c r="D1798">
        <v>5</v>
      </c>
      <c r="E1798" t="s">
        <v>28</v>
      </c>
      <c r="F1798" t="s">
        <v>29</v>
      </c>
      <c r="G1798" t="str">
        <f>"2025-07-11 22:51:00.421"</f>
        <v>2025-07-11 22:51:00.421</v>
      </c>
      <c r="H1798" t="s">
        <v>30</v>
      </c>
      <c r="I1798">
        <v>0</v>
      </c>
      <c r="J1798" t="s">
        <v>33</v>
      </c>
    </row>
    <row r="1799" spans="1:10" x14ac:dyDescent="0.25">
      <c r="A1799" s="1">
        <v>859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"2025-07-11 22:45:57.590"</f>
        <v>2025-07-11 22:45:57.590</v>
      </c>
      <c r="H1799" t="s">
        <v>21</v>
      </c>
      <c r="I1799">
        <v>0</v>
      </c>
      <c r="J1799" t="s">
        <v>27</v>
      </c>
    </row>
    <row r="1800" spans="1:10" x14ac:dyDescent="0.25">
      <c r="A1800" s="1">
        <v>860</v>
      </c>
      <c r="B1800" t="s">
        <v>34</v>
      </c>
      <c r="C1800">
        <v>630</v>
      </c>
      <c r="D1800">
        <v>5</v>
      </c>
      <c r="E1800" t="s">
        <v>28</v>
      </c>
      <c r="F1800" t="s">
        <v>29</v>
      </c>
      <c r="G1800" t="str">
        <f>"2025-07-11 21:08:14.529"</f>
        <v>2025-07-11 21:08:14.529</v>
      </c>
      <c r="H1800" t="s">
        <v>30</v>
      </c>
      <c r="I1800">
        <v>0</v>
      </c>
      <c r="J1800" t="s">
        <v>33</v>
      </c>
    </row>
    <row r="1801" spans="1:10" x14ac:dyDescent="0.25">
      <c r="A1801" s="1">
        <v>861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"2025-07-11 21:03:11.828"</f>
        <v>2025-07-11 21:03:11.828</v>
      </c>
      <c r="H1801" t="s">
        <v>21</v>
      </c>
    </row>
    <row r="1802" spans="1:10" s="3" customFormat="1" x14ac:dyDescent="0.25">
      <c r="A1802" s="2">
        <v>862</v>
      </c>
      <c r="B1802" s="3" t="s">
        <v>22</v>
      </c>
      <c r="C1802" s="3">
        <v>647</v>
      </c>
      <c r="D1802" s="3">
        <v>1</v>
      </c>
      <c r="E1802" s="3" t="s">
        <v>39</v>
      </c>
      <c r="F1802" s="3" t="s">
        <v>40</v>
      </c>
      <c r="G1802" s="3" t="str">
        <f>"2025-07-11 20:10:35.699"</f>
        <v>2025-07-11 20:10:35.699</v>
      </c>
      <c r="H1802" s="3" t="s">
        <v>21</v>
      </c>
    </row>
    <row r="1803" spans="1:10" s="3" customFormat="1" x14ac:dyDescent="0.25">
      <c r="A1803" s="2">
        <v>863</v>
      </c>
      <c r="B1803" s="3" t="s">
        <v>25</v>
      </c>
      <c r="C1803" s="3">
        <v>647</v>
      </c>
      <c r="D1803" s="3">
        <v>1</v>
      </c>
      <c r="E1803" s="3" t="s">
        <v>39</v>
      </c>
      <c r="F1803" s="3" t="s">
        <v>40</v>
      </c>
      <c r="G1803" s="3" t="str">
        <f>"2025-07-11 20:10:32.599"</f>
        <v>2025-07-11 20:10:32.599</v>
      </c>
      <c r="H1803" s="3" t="s">
        <v>21</v>
      </c>
      <c r="I1803" s="3">
        <v>8.34</v>
      </c>
      <c r="J1803" s="3" t="s">
        <v>37</v>
      </c>
    </row>
    <row r="1804" spans="1:10" s="3" customFormat="1" x14ac:dyDescent="0.25">
      <c r="A1804" s="2">
        <v>864</v>
      </c>
      <c r="B1804" s="3" t="s">
        <v>22</v>
      </c>
      <c r="C1804" s="3">
        <v>647</v>
      </c>
      <c r="D1804" s="3">
        <v>1</v>
      </c>
      <c r="E1804" s="3" t="s">
        <v>39</v>
      </c>
      <c r="F1804" s="3" t="s">
        <v>40</v>
      </c>
      <c r="G1804" s="3" t="str">
        <f>"2025-07-11 07:30:18.499"</f>
        <v>2025-07-11 07:30:18.499</v>
      </c>
      <c r="H1804" s="3" t="s">
        <v>21</v>
      </c>
    </row>
    <row r="1805" spans="1:10" s="3" customFormat="1" x14ac:dyDescent="0.25">
      <c r="A1805" s="2">
        <v>865</v>
      </c>
      <c r="B1805" s="3" t="s">
        <v>25</v>
      </c>
      <c r="C1805" s="3">
        <v>647</v>
      </c>
      <c r="D1805" s="3">
        <v>1</v>
      </c>
      <c r="E1805" s="3" t="s">
        <v>39</v>
      </c>
      <c r="F1805" s="3" t="s">
        <v>40</v>
      </c>
      <c r="G1805" s="3" t="str">
        <f>"2025-07-11 07:30:15.999"</f>
        <v>2025-07-11 07:30:15.999</v>
      </c>
      <c r="H1805" s="3" t="s">
        <v>21</v>
      </c>
      <c r="I1805" s="3">
        <v>8.0500000000000007</v>
      </c>
      <c r="J1805" s="3" t="s">
        <v>37</v>
      </c>
    </row>
    <row r="1806" spans="1:10" s="3" customFormat="1" x14ac:dyDescent="0.25">
      <c r="A1806" s="2">
        <v>866</v>
      </c>
      <c r="B1806" s="3" t="s">
        <v>22</v>
      </c>
      <c r="C1806" s="3">
        <v>647</v>
      </c>
      <c r="D1806" s="3">
        <v>1</v>
      </c>
      <c r="E1806" s="3" t="s">
        <v>39</v>
      </c>
      <c r="F1806" s="3" t="s">
        <v>40</v>
      </c>
      <c r="G1806" s="3" t="str">
        <f>"2025-07-11 03:14:04.199"</f>
        <v>2025-07-11 03:14:04.199</v>
      </c>
      <c r="H1806" s="3" t="s">
        <v>21</v>
      </c>
    </row>
    <row r="1807" spans="1:10" s="3" customFormat="1" x14ac:dyDescent="0.25">
      <c r="A1807" s="2">
        <v>867</v>
      </c>
      <c r="B1807" s="3" t="s">
        <v>25</v>
      </c>
      <c r="C1807" s="3">
        <v>647</v>
      </c>
      <c r="D1807" s="3">
        <v>1</v>
      </c>
      <c r="E1807" s="3" t="s">
        <v>39</v>
      </c>
      <c r="F1807" s="3" t="s">
        <v>40</v>
      </c>
      <c r="G1807" s="3" t="str">
        <f>"2025-07-11 03:14:01.899"</f>
        <v>2025-07-11 03:14:01.899</v>
      </c>
      <c r="H1807" s="3" t="s">
        <v>21</v>
      </c>
      <c r="I1807" s="3">
        <v>15.35</v>
      </c>
      <c r="J1807" s="3" t="s">
        <v>37</v>
      </c>
    </row>
    <row r="1808" spans="1:10" x14ac:dyDescent="0.25">
      <c r="A1808" s="1">
        <v>868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"2025-07-10 14:05:41.617"</f>
        <v>2025-07-10 14:05:41.617</v>
      </c>
      <c r="H1808" t="s">
        <v>21</v>
      </c>
      <c r="I1808">
        <v>0</v>
      </c>
      <c r="J1808" t="s">
        <v>27</v>
      </c>
    </row>
    <row r="1809" spans="1:10" x14ac:dyDescent="0.25">
      <c r="A1809" s="1">
        <v>869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"2025-07-09 12:46:25.623"</f>
        <v>2025-07-09 12:46:25.623</v>
      </c>
      <c r="H1809" t="s">
        <v>21</v>
      </c>
      <c r="I1809">
        <v>0</v>
      </c>
      <c r="J1809" t="s">
        <v>27</v>
      </c>
    </row>
    <row r="1810" spans="1:10" x14ac:dyDescent="0.25">
      <c r="A1810" s="1">
        <v>870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"2025-07-09 08:29:46.604"</f>
        <v>2025-07-09 08:29:46.604</v>
      </c>
      <c r="H1810" t="s">
        <v>21</v>
      </c>
    </row>
    <row r="1811" spans="1:10" x14ac:dyDescent="0.25">
      <c r="A1811" s="1">
        <v>871</v>
      </c>
      <c r="B1811" t="s">
        <v>22</v>
      </c>
      <c r="C1811">
        <v>635</v>
      </c>
      <c r="D1811">
        <v>1</v>
      </c>
      <c r="E1811" t="s">
        <v>23</v>
      </c>
      <c r="F1811" t="s">
        <v>24</v>
      </c>
      <c r="G1811" t="str">
        <f>"2025-07-07 01:02:09.202"</f>
        <v>2025-07-07 01:02:09.202</v>
      </c>
      <c r="H1811" t="s">
        <v>21</v>
      </c>
    </row>
    <row r="1812" spans="1:10" x14ac:dyDescent="0.25">
      <c r="A1812" s="1">
        <v>872</v>
      </c>
      <c r="B1812" t="s">
        <v>25</v>
      </c>
      <c r="C1812">
        <v>635</v>
      </c>
      <c r="D1812">
        <v>1</v>
      </c>
      <c r="E1812" t="s">
        <v>23</v>
      </c>
      <c r="F1812" t="s">
        <v>24</v>
      </c>
      <c r="G1812" t="str">
        <f>"2025-07-07 00:46:01.202"</f>
        <v>2025-07-07 00:46:01.202</v>
      </c>
      <c r="H1812" t="s">
        <v>21</v>
      </c>
      <c r="I1812">
        <v>1.47</v>
      </c>
      <c r="J1812" t="s">
        <v>36</v>
      </c>
    </row>
    <row r="1813" spans="1:10" x14ac:dyDescent="0.25">
      <c r="A1813" s="1">
        <v>873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"2025-07-06 13:22:54.621"</f>
        <v>2025-07-06 13:22:54.621</v>
      </c>
      <c r="H1813" t="s">
        <v>21</v>
      </c>
      <c r="I1813">
        <v>0</v>
      </c>
      <c r="J1813" t="s">
        <v>27</v>
      </c>
    </row>
    <row r="1814" spans="1:10" x14ac:dyDescent="0.25">
      <c r="A1814" s="1">
        <v>874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"2025-07-04 12:42:44.753"</f>
        <v>2025-07-04 12:42:44.753</v>
      </c>
      <c r="H1814" t="s">
        <v>21</v>
      </c>
      <c r="I1814">
        <v>0</v>
      </c>
      <c r="J1814" t="s">
        <v>27</v>
      </c>
    </row>
    <row r="1815" spans="1:10" s="3" customFormat="1" x14ac:dyDescent="0.25">
      <c r="A1815" s="2">
        <v>875</v>
      </c>
      <c r="B1815" s="3" t="s">
        <v>22</v>
      </c>
      <c r="C1815" s="3">
        <v>647</v>
      </c>
      <c r="D1815" s="3">
        <v>1</v>
      </c>
      <c r="E1815" s="3" t="s">
        <v>39</v>
      </c>
      <c r="F1815" s="3" t="s">
        <v>40</v>
      </c>
      <c r="G1815" s="3" t="str">
        <f>"2025-07-02 05:13:02.183"</f>
        <v>2025-07-02 05:13:02.183</v>
      </c>
      <c r="H1815" s="3" t="s">
        <v>21</v>
      </c>
    </row>
    <row r="1816" spans="1:10" s="3" customFormat="1" x14ac:dyDescent="0.25">
      <c r="A1816" s="2">
        <v>876</v>
      </c>
      <c r="B1816" s="3" t="s">
        <v>25</v>
      </c>
      <c r="C1816" s="3">
        <v>647</v>
      </c>
      <c r="D1816" s="3">
        <v>1</v>
      </c>
      <c r="E1816" s="3" t="s">
        <v>39</v>
      </c>
      <c r="F1816" s="3" t="s">
        <v>40</v>
      </c>
      <c r="G1816" s="3" t="str">
        <f>"2025-07-02 05:13:00.084"</f>
        <v>2025-07-02 05:13:00.084</v>
      </c>
      <c r="H1816" s="3" t="s">
        <v>21</v>
      </c>
      <c r="I1816" s="3">
        <v>9.01</v>
      </c>
      <c r="J1816" s="3" t="s">
        <v>37</v>
      </c>
    </row>
    <row r="1817" spans="1:10" x14ac:dyDescent="0.25">
      <c r="A1817" s="1">
        <v>877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"2025-07-01 13:38:08.695"</f>
        <v>2025-07-01 13:38:08.695</v>
      </c>
      <c r="H1817" t="s">
        <v>21</v>
      </c>
    </row>
    <row r="1818" spans="1:10" x14ac:dyDescent="0.25">
      <c r="A1818" s="1">
        <v>878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"2025-07-01 11:03:38.633"</f>
        <v>2025-07-01 11:03:38.633</v>
      </c>
      <c r="H1818" t="s">
        <v>21</v>
      </c>
      <c r="I1818">
        <v>0</v>
      </c>
      <c r="J1818" t="s">
        <v>27</v>
      </c>
    </row>
    <row r="1819" spans="1:10" s="3" customFormat="1" x14ac:dyDescent="0.25">
      <c r="A1819" s="2">
        <v>879</v>
      </c>
      <c r="B1819" s="3" t="s">
        <v>22</v>
      </c>
      <c r="C1819" s="3">
        <v>647</v>
      </c>
      <c r="D1819" s="3">
        <v>1</v>
      </c>
      <c r="E1819" s="3" t="s">
        <v>39</v>
      </c>
      <c r="F1819" s="3" t="s">
        <v>40</v>
      </c>
      <c r="G1819" s="3" t="str">
        <f>"2025-06-30 23:19:17.080"</f>
        <v>2025-06-30 23:19:17.080</v>
      </c>
      <c r="H1819" s="3" t="s">
        <v>21</v>
      </c>
    </row>
    <row r="1820" spans="1:10" s="3" customFormat="1" x14ac:dyDescent="0.25">
      <c r="A1820" s="2">
        <v>880</v>
      </c>
      <c r="B1820" s="3" t="s">
        <v>25</v>
      </c>
      <c r="C1820" s="3">
        <v>647</v>
      </c>
      <c r="D1820" s="3">
        <v>1</v>
      </c>
      <c r="E1820" s="3" t="s">
        <v>39</v>
      </c>
      <c r="F1820" s="3" t="s">
        <v>40</v>
      </c>
      <c r="G1820" s="3" t="str">
        <f>"2025-06-30 23:19:11.380"</f>
        <v>2025-06-30 23:19:11.380</v>
      </c>
      <c r="H1820" s="3" t="s">
        <v>21</v>
      </c>
      <c r="I1820" s="3">
        <v>12.88</v>
      </c>
      <c r="J1820" s="3" t="s">
        <v>37</v>
      </c>
    </row>
    <row r="1821" spans="1:10" x14ac:dyDescent="0.25">
      <c r="A1821" s="1">
        <v>881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"2025-06-30 23:10:41.593"</f>
        <v>2025-06-30 23:10:41.593</v>
      </c>
      <c r="H1821" t="s">
        <v>21</v>
      </c>
    </row>
    <row r="1822" spans="1:10" x14ac:dyDescent="0.25">
      <c r="A1822" s="1">
        <v>882</v>
      </c>
      <c r="B1822" t="s">
        <v>22</v>
      </c>
      <c r="C1822">
        <v>630</v>
      </c>
      <c r="D1822">
        <v>5</v>
      </c>
      <c r="E1822" t="s">
        <v>28</v>
      </c>
      <c r="F1822" t="s">
        <v>29</v>
      </c>
      <c r="G1822" t="str">
        <f>"2025-06-30 22:30:02.318"</f>
        <v>2025-06-30 22:30:02.318</v>
      </c>
      <c r="H1822" t="s">
        <v>30</v>
      </c>
    </row>
    <row r="1823" spans="1:10" x14ac:dyDescent="0.25">
      <c r="A1823" s="1">
        <v>883</v>
      </c>
      <c r="B1823" t="s">
        <v>19</v>
      </c>
      <c r="C1823">
        <v>706</v>
      </c>
      <c r="D1823">
        <v>2</v>
      </c>
      <c r="E1823" t="s">
        <v>31</v>
      </c>
      <c r="F1823" t="s">
        <v>35</v>
      </c>
      <c r="G1823" t="str">
        <f>"2025-06-30 22:29:32.294"</f>
        <v>2025-06-30 22:29:32.294</v>
      </c>
      <c r="H1823" t="s">
        <v>21</v>
      </c>
      <c r="I1823">
        <v>0</v>
      </c>
      <c r="J1823" t="s">
        <v>33</v>
      </c>
    </row>
    <row r="1824" spans="1:10" x14ac:dyDescent="0.25">
      <c r="A1824" s="1">
        <v>884</v>
      </c>
      <c r="B1824" t="s">
        <v>34</v>
      </c>
      <c r="C1824">
        <v>630</v>
      </c>
      <c r="D1824">
        <v>5</v>
      </c>
      <c r="E1824" t="s">
        <v>28</v>
      </c>
      <c r="F1824" t="s">
        <v>29</v>
      </c>
      <c r="G1824" t="str">
        <f>"2025-06-30 22:26:24.418"</f>
        <v>2025-06-30 22:26:24.418</v>
      </c>
      <c r="H1824" t="s">
        <v>30</v>
      </c>
      <c r="I1824">
        <v>0</v>
      </c>
      <c r="J1824" t="s">
        <v>33</v>
      </c>
    </row>
    <row r="1825" spans="1:10" x14ac:dyDescent="0.25">
      <c r="A1825" s="1">
        <v>885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"2025-06-30 22:21:21.594"</f>
        <v>2025-06-30 22:21:21.594</v>
      </c>
      <c r="H1825" t="s">
        <v>21</v>
      </c>
    </row>
    <row r="1826" spans="1:10" x14ac:dyDescent="0.25">
      <c r="A1826" s="1">
        <v>886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"2025-06-30 21:10:47.640"</f>
        <v>2025-06-30 21:10:47.640</v>
      </c>
      <c r="H1826" t="s">
        <v>21</v>
      </c>
      <c r="I1826">
        <v>0</v>
      </c>
      <c r="J1826" t="s">
        <v>27</v>
      </c>
    </row>
    <row r="1827" spans="1:10" x14ac:dyDescent="0.25">
      <c r="A1827" s="1">
        <v>887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"2025-06-30 13:39:35.617"</f>
        <v>2025-06-30 13:39:35.617</v>
      </c>
      <c r="H1827" t="s">
        <v>21</v>
      </c>
      <c r="I1827">
        <v>0</v>
      </c>
      <c r="J1827" t="s">
        <v>27</v>
      </c>
    </row>
    <row r="1828" spans="1:10" x14ac:dyDescent="0.25">
      <c r="A1828" s="1">
        <v>888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"2025-06-29 13:44:33.634"</f>
        <v>2025-06-29 13:44:33.634</v>
      </c>
      <c r="H1828" t="s">
        <v>21</v>
      </c>
      <c r="I1828">
        <v>0</v>
      </c>
      <c r="J1828" t="s">
        <v>27</v>
      </c>
    </row>
    <row r="1829" spans="1:10" x14ac:dyDescent="0.25">
      <c r="A1829" s="1">
        <v>889</v>
      </c>
      <c r="B1829" t="s">
        <v>22</v>
      </c>
      <c r="C1829">
        <v>61</v>
      </c>
      <c r="D1829">
        <v>2</v>
      </c>
      <c r="E1829" t="s">
        <v>58</v>
      </c>
      <c r="F1829" t="s">
        <v>59</v>
      </c>
      <c r="G1829" t="str">
        <f>"2025-06-29 07:33:12.267"</f>
        <v>2025-06-29 07:33:12.267</v>
      </c>
      <c r="H1829" t="s">
        <v>21</v>
      </c>
    </row>
    <row r="1830" spans="1:10" x14ac:dyDescent="0.25">
      <c r="A1830" s="1">
        <v>890</v>
      </c>
      <c r="B1830" t="s">
        <v>34</v>
      </c>
      <c r="C1830">
        <v>61</v>
      </c>
      <c r="D1830">
        <v>2</v>
      </c>
      <c r="E1830" t="s">
        <v>58</v>
      </c>
      <c r="F1830" t="s">
        <v>59</v>
      </c>
      <c r="G1830" t="str">
        <f>"2025-06-29 07:33:04.667"</f>
        <v>2025-06-29 07:33:04.667</v>
      </c>
      <c r="H1830" t="s">
        <v>21</v>
      </c>
      <c r="I1830">
        <v>35.29</v>
      </c>
      <c r="J1830" t="s">
        <v>37</v>
      </c>
    </row>
    <row r="1831" spans="1:10" x14ac:dyDescent="0.25">
      <c r="A1831" s="1">
        <v>891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"2025-06-28 12:27:35.637"</f>
        <v>2025-06-28 12:27:35.637</v>
      </c>
      <c r="H1831" t="s">
        <v>21</v>
      </c>
      <c r="I1831">
        <v>0</v>
      </c>
      <c r="J1831" t="s">
        <v>27</v>
      </c>
    </row>
    <row r="1832" spans="1:10" x14ac:dyDescent="0.25">
      <c r="A1832" s="1">
        <v>892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"2025-06-27 13:33:14.594"</f>
        <v>2025-06-27 13:33:14.594</v>
      </c>
      <c r="H1832" t="s">
        <v>21</v>
      </c>
    </row>
    <row r="1833" spans="1:10" x14ac:dyDescent="0.25">
      <c r="A1833" s="1">
        <v>893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"2025-06-25 13:13:35.617"</f>
        <v>2025-06-25 13:13:35.617</v>
      </c>
      <c r="H1833" t="s">
        <v>21</v>
      </c>
    </row>
    <row r="1834" spans="1:10" x14ac:dyDescent="0.25">
      <c r="A1834" s="1">
        <v>894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"2025-06-25 09:56:32.748"</f>
        <v>2025-06-25 09:56:32.748</v>
      </c>
      <c r="H1834" t="s">
        <v>21</v>
      </c>
      <c r="I1834">
        <v>0</v>
      </c>
      <c r="J1834" t="s">
        <v>27</v>
      </c>
    </row>
    <row r="1835" spans="1:10" x14ac:dyDescent="0.25">
      <c r="A1835" s="1">
        <v>895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"2025-06-24 12:30:14.593"</f>
        <v>2025-06-24 12:30:14.593</v>
      </c>
      <c r="H1835" t="s">
        <v>21</v>
      </c>
      <c r="I1835">
        <v>0</v>
      </c>
      <c r="J1835" t="s">
        <v>27</v>
      </c>
    </row>
    <row r="1836" spans="1:10" x14ac:dyDescent="0.25">
      <c r="A1836" s="1">
        <v>896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"2025-06-22 07:57:24.736"</f>
        <v>2025-06-22 07:57:24.736</v>
      </c>
      <c r="H1836" t="s">
        <v>21</v>
      </c>
      <c r="I1836">
        <v>0</v>
      </c>
      <c r="J1836" t="s">
        <v>27</v>
      </c>
    </row>
    <row r="1837" spans="1:10" x14ac:dyDescent="0.25">
      <c r="A1837" s="1">
        <v>897</v>
      </c>
      <c r="B1837" t="s">
        <v>22</v>
      </c>
      <c r="C1837">
        <v>635</v>
      </c>
      <c r="D1837">
        <v>1</v>
      </c>
      <c r="E1837" t="s">
        <v>23</v>
      </c>
      <c r="F1837" t="s">
        <v>24</v>
      </c>
      <c r="G1837" t="str">
        <f>"2025-06-21 10:47:54.295"</f>
        <v>2025-06-21 10:47:54.295</v>
      </c>
      <c r="H1837" t="s">
        <v>21</v>
      </c>
    </row>
    <row r="1838" spans="1:10" x14ac:dyDescent="0.25">
      <c r="A1838" s="1">
        <v>898</v>
      </c>
      <c r="B1838" t="s">
        <v>25</v>
      </c>
      <c r="C1838">
        <v>635</v>
      </c>
      <c r="D1838">
        <v>1</v>
      </c>
      <c r="E1838" t="s">
        <v>23</v>
      </c>
      <c r="F1838" t="s">
        <v>24</v>
      </c>
      <c r="G1838" t="str">
        <f>"2025-06-21 10:11:30.295"</f>
        <v>2025-06-21 10:11:30.295</v>
      </c>
      <c r="H1838" t="s">
        <v>21</v>
      </c>
      <c r="I1838">
        <v>5.28</v>
      </c>
      <c r="J1838" t="s">
        <v>36</v>
      </c>
    </row>
    <row r="1839" spans="1:10" x14ac:dyDescent="0.25">
      <c r="A1839" s="1">
        <v>899</v>
      </c>
      <c r="B1839" t="s">
        <v>22</v>
      </c>
      <c r="C1839">
        <v>635</v>
      </c>
      <c r="D1839">
        <v>1</v>
      </c>
      <c r="E1839" t="s">
        <v>23</v>
      </c>
      <c r="F1839" t="s">
        <v>24</v>
      </c>
      <c r="G1839" t="str">
        <f>"2025-06-21 04:32:32.995"</f>
        <v>2025-06-21 04:32:32.995</v>
      </c>
      <c r="H1839" t="s">
        <v>21</v>
      </c>
    </row>
    <row r="1840" spans="1:10" x14ac:dyDescent="0.25">
      <c r="A1840" s="1">
        <v>900</v>
      </c>
      <c r="B1840" t="s">
        <v>25</v>
      </c>
      <c r="C1840">
        <v>635</v>
      </c>
      <c r="D1840">
        <v>1</v>
      </c>
      <c r="E1840" t="s">
        <v>23</v>
      </c>
      <c r="F1840" t="s">
        <v>24</v>
      </c>
      <c r="G1840" t="str">
        <f>"2025-06-21 04:29:22.495"</f>
        <v>2025-06-21 04:29:22.495</v>
      </c>
      <c r="H1840" t="s">
        <v>21</v>
      </c>
      <c r="I1840">
        <v>3.55</v>
      </c>
      <c r="J1840" t="s">
        <v>26</v>
      </c>
    </row>
    <row r="1841" spans="1:10" x14ac:dyDescent="0.25">
      <c r="A1841" s="1">
        <v>901</v>
      </c>
      <c r="B1841" t="s">
        <v>22</v>
      </c>
      <c r="C1841">
        <v>98</v>
      </c>
      <c r="D1841">
        <v>1</v>
      </c>
      <c r="E1841" t="s">
        <v>60</v>
      </c>
      <c r="F1841" t="s">
        <v>61</v>
      </c>
      <c r="G1841" t="str">
        <f>"2025-06-20 14:46:01.495"</f>
        <v>2025-06-20 14:46:01.495</v>
      </c>
      <c r="H1841" t="s">
        <v>21</v>
      </c>
    </row>
    <row r="1842" spans="1:10" x14ac:dyDescent="0.25">
      <c r="A1842" s="1">
        <v>902</v>
      </c>
      <c r="B1842" t="s">
        <v>25</v>
      </c>
      <c r="C1842">
        <v>98</v>
      </c>
      <c r="D1842">
        <v>1</v>
      </c>
      <c r="E1842" t="s">
        <v>60</v>
      </c>
      <c r="F1842" t="s">
        <v>61</v>
      </c>
      <c r="G1842" t="str">
        <f>"2025-06-20 14:45:57.095"</f>
        <v>2025-06-20 14:45:57.095</v>
      </c>
      <c r="H1842" t="s">
        <v>21</v>
      </c>
      <c r="I1842">
        <v>0</v>
      </c>
      <c r="J1842" t="s">
        <v>26</v>
      </c>
    </row>
    <row r="1843" spans="1:10" x14ac:dyDescent="0.25">
      <c r="A1843" s="1">
        <v>903</v>
      </c>
      <c r="B1843" t="s">
        <v>22</v>
      </c>
      <c r="C1843">
        <v>98</v>
      </c>
      <c r="D1843">
        <v>1</v>
      </c>
      <c r="E1843" t="s">
        <v>60</v>
      </c>
      <c r="F1843" t="s">
        <v>61</v>
      </c>
      <c r="G1843" t="str">
        <f>"2025-06-20 14:45:50.495"</f>
        <v>2025-06-20 14:45:50.495</v>
      </c>
      <c r="H1843" t="s">
        <v>21</v>
      </c>
    </row>
    <row r="1844" spans="1:10" x14ac:dyDescent="0.25">
      <c r="A1844" s="1">
        <v>904</v>
      </c>
      <c r="B1844" t="s">
        <v>25</v>
      </c>
      <c r="C1844">
        <v>98</v>
      </c>
      <c r="D1844">
        <v>1</v>
      </c>
      <c r="E1844" t="s">
        <v>60</v>
      </c>
      <c r="F1844" t="s">
        <v>61</v>
      </c>
      <c r="G1844" t="str">
        <f>"2025-06-20 14:45:47.496"</f>
        <v>2025-06-20 14:45:47.496</v>
      </c>
      <c r="H1844" t="s">
        <v>21</v>
      </c>
      <c r="I1844">
        <v>0</v>
      </c>
      <c r="J1844" t="s">
        <v>26</v>
      </c>
    </row>
    <row r="1845" spans="1:10" x14ac:dyDescent="0.25">
      <c r="A1845" s="1">
        <v>905</v>
      </c>
      <c r="B1845" t="s">
        <v>22</v>
      </c>
      <c r="C1845">
        <v>630</v>
      </c>
      <c r="D1845">
        <v>5</v>
      </c>
      <c r="E1845" t="s">
        <v>28</v>
      </c>
      <c r="F1845" t="s">
        <v>29</v>
      </c>
      <c r="G1845" t="str">
        <f>"2025-06-20 11:34:29.396"</f>
        <v>2025-06-20 11:34:29.396</v>
      </c>
      <c r="H1845" t="s">
        <v>30</v>
      </c>
    </row>
    <row r="1846" spans="1:10" x14ac:dyDescent="0.25">
      <c r="A1846" s="1">
        <v>906</v>
      </c>
      <c r="B1846" t="s">
        <v>19</v>
      </c>
      <c r="C1846">
        <v>706</v>
      </c>
      <c r="D1846">
        <v>2</v>
      </c>
      <c r="E1846" t="s">
        <v>31</v>
      </c>
      <c r="F1846" t="s">
        <v>35</v>
      </c>
      <c r="G1846" t="str">
        <f>"2025-06-20 11:33:59.284"</f>
        <v>2025-06-20 11:33:59.284</v>
      </c>
      <c r="H1846" t="s">
        <v>21</v>
      </c>
      <c r="I1846">
        <v>0</v>
      </c>
      <c r="J1846" t="s">
        <v>33</v>
      </c>
    </row>
    <row r="1847" spans="1:10" x14ac:dyDescent="0.25">
      <c r="A1847" s="1">
        <v>907</v>
      </c>
      <c r="B1847" t="s">
        <v>19</v>
      </c>
      <c r="C1847">
        <v>706</v>
      </c>
      <c r="D1847">
        <v>2</v>
      </c>
      <c r="E1847" t="s">
        <v>31</v>
      </c>
      <c r="F1847" t="s">
        <v>35</v>
      </c>
      <c r="G1847" t="str">
        <f>"2025-06-20 11:30:00.484"</f>
        <v>2025-06-20 11:30:00.484</v>
      </c>
      <c r="H1847" t="s">
        <v>21</v>
      </c>
      <c r="I1847">
        <v>0</v>
      </c>
      <c r="J1847" t="s">
        <v>33</v>
      </c>
    </row>
    <row r="1848" spans="1:10" x14ac:dyDescent="0.25">
      <c r="A1848" s="1">
        <v>908</v>
      </c>
      <c r="B1848" t="s">
        <v>19</v>
      </c>
      <c r="C1848">
        <v>706</v>
      </c>
      <c r="D1848">
        <v>4</v>
      </c>
      <c r="E1848" t="s">
        <v>31</v>
      </c>
      <c r="F1848" t="s">
        <v>32</v>
      </c>
      <c r="G1848" t="str">
        <f>"2025-06-20 11:29:46.824"</f>
        <v>2025-06-20 11:29:46.824</v>
      </c>
      <c r="H1848" t="s">
        <v>21</v>
      </c>
      <c r="I1848">
        <v>0</v>
      </c>
      <c r="J1848" t="s">
        <v>33</v>
      </c>
    </row>
    <row r="1849" spans="1:10" x14ac:dyDescent="0.25">
      <c r="A1849" s="1">
        <v>909</v>
      </c>
      <c r="B1849" t="s">
        <v>34</v>
      </c>
      <c r="C1849">
        <v>630</v>
      </c>
      <c r="D1849">
        <v>5</v>
      </c>
      <c r="E1849" t="s">
        <v>28</v>
      </c>
      <c r="F1849" t="s">
        <v>29</v>
      </c>
      <c r="G1849" t="str">
        <f>"2025-06-20 11:23:44.396"</f>
        <v>2025-06-20 11:23:44.396</v>
      </c>
      <c r="H1849" t="s">
        <v>30</v>
      </c>
      <c r="I1849">
        <v>0</v>
      </c>
      <c r="J1849" t="s">
        <v>33</v>
      </c>
    </row>
    <row r="1850" spans="1:10" x14ac:dyDescent="0.25">
      <c r="A1850" s="1">
        <v>910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"2025-06-20 11:18:41.594"</f>
        <v>2025-06-20 11:18:41.594</v>
      </c>
      <c r="H1850" t="s">
        <v>21</v>
      </c>
    </row>
    <row r="1851" spans="1:10" x14ac:dyDescent="0.25">
      <c r="A1851" s="1">
        <v>911</v>
      </c>
      <c r="B1851" t="s">
        <v>34</v>
      </c>
      <c r="C1851">
        <v>630</v>
      </c>
      <c r="D1851">
        <v>5</v>
      </c>
      <c r="E1851" t="s">
        <v>28</v>
      </c>
      <c r="F1851" t="s">
        <v>29</v>
      </c>
      <c r="G1851" t="str">
        <f>"2025-06-20 10:10:15.545"</f>
        <v>2025-06-20 10:10:15.545</v>
      </c>
      <c r="H1851" t="s">
        <v>30</v>
      </c>
      <c r="I1851">
        <v>0</v>
      </c>
      <c r="J1851" t="s">
        <v>33</v>
      </c>
    </row>
    <row r="1852" spans="1:10" x14ac:dyDescent="0.25">
      <c r="A1852" s="1">
        <v>912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"2025-06-20 10:05:12.835"</f>
        <v>2025-06-20 10:05:12.835</v>
      </c>
      <c r="H1852" t="s">
        <v>21</v>
      </c>
      <c r="I1852">
        <v>0</v>
      </c>
      <c r="J1852" t="s">
        <v>27</v>
      </c>
    </row>
    <row r="1853" spans="1:10" x14ac:dyDescent="0.25">
      <c r="A1853" s="1">
        <v>913</v>
      </c>
      <c r="B1853" t="s">
        <v>34</v>
      </c>
      <c r="C1853">
        <v>630</v>
      </c>
      <c r="D1853">
        <v>5</v>
      </c>
      <c r="E1853" t="s">
        <v>28</v>
      </c>
      <c r="F1853" t="s">
        <v>29</v>
      </c>
      <c r="G1853" t="str">
        <f>"2025-06-20 09:41:20.318"</f>
        <v>2025-06-20 09:41:20.318</v>
      </c>
      <c r="H1853" t="s">
        <v>30</v>
      </c>
      <c r="I1853">
        <v>0</v>
      </c>
      <c r="J1853" t="s">
        <v>33</v>
      </c>
    </row>
    <row r="1854" spans="1:10" x14ac:dyDescent="0.25">
      <c r="A1854" s="1">
        <v>914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"2025-06-20 09:36:17.614"</f>
        <v>2025-06-20 09:36:17.614</v>
      </c>
      <c r="H1854" t="s">
        <v>21</v>
      </c>
    </row>
    <row r="1855" spans="1:10" x14ac:dyDescent="0.25">
      <c r="A1855" s="1">
        <v>915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"2025-06-19 13:29:16.766"</f>
        <v>2025-06-19 13:29:16.766</v>
      </c>
      <c r="H1855" t="s">
        <v>21</v>
      </c>
    </row>
    <row r="1856" spans="1:10" x14ac:dyDescent="0.25">
      <c r="A1856" s="1">
        <v>916</v>
      </c>
      <c r="B1856" t="s">
        <v>22</v>
      </c>
      <c r="C1856">
        <v>635</v>
      </c>
      <c r="D1856">
        <v>1</v>
      </c>
      <c r="E1856" t="s">
        <v>23</v>
      </c>
      <c r="F1856" t="s">
        <v>24</v>
      </c>
      <c r="G1856" t="str">
        <f>"2025-06-18 03:10:10.754"</f>
        <v>2025-06-18 03:10:10.754</v>
      </c>
      <c r="H1856" t="s">
        <v>21</v>
      </c>
    </row>
    <row r="1857" spans="1:10" x14ac:dyDescent="0.25">
      <c r="A1857" s="1">
        <v>917</v>
      </c>
      <c r="B1857" t="s">
        <v>25</v>
      </c>
      <c r="C1857">
        <v>635</v>
      </c>
      <c r="D1857">
        <v>1</v>
      </c>
      <c r="E1857" t="s">
        <v>23</v>
      </c>
      <c r="F1857" t="s">
        <v>24</v>
      </c>
      <c r="G1857" t="str">
        <f>"2025-06-18 03:00:00.753"</f>
        <v>2025-06-18 03:00:00.753</v>
      </c>
      <c r="H1857" t="s">
        <v>21</v>
      </c>
      <c r="I1857">
        <v>4</v>
      </c>
      <c r="J1857" t="s">
        <v>26</v>
      </c>
    </row>
    <row r="1858" spans="1:10" x14ac:dyDescent="0.25">
      <c r="A1858" s="1">
        <v>918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"2025-06-18 01:03:26.763"</f>
        <v>2025-06-18 01:03:26.763</v>
      </c>
      <c r="H1858" t="s">
        <v>21</v>
      </c>
      <c r="I1858">
        <v>0</v>
      </c>
      <c r="J1858" t="s">
        <v>27</v>
      </c>
    </row>
    <row r="1859" spans="1:10" x14ac:dyDescent="0.25">
      <c r="A1859" s="1">
        <v>919</v>
      </c>
      <c r="B1859" t="s">
        <v>22</v>
      </c>
      <c r="C1859">
        <v>635</v>
      </c>
      <c r="D1859">
        <v>1</v>
      </c>
      <c r="E1859" t="s">
        <v>23</v>
      </c>
      <c r="F1859" t="s">
        <v>24</v>
      </c>
      <c r="G1859" t="str">
        <f>"2025-06-17 11:47:40.180"</f>
        <v>2025-06-17 11:47:40.180</v>
      </c>
      <c r="H1859" t="s">
        <v>21</v>
      </c>
    </row>
    <row r="1860" spans="1:10" x14ac:dyDescent="0.25">
      <c r="A1860" s="1">
        <v>920</v>
      </c>
      <c r="B1860" t="s">
        <v>25</v>
      </c>
      <c r="C1860">
        <v>635</v>
      </c>
      <c r="D1860">
        <v>1</v>
      </c>
      <c r="E1860" t="s">
        <v>23</v>
      </c>
      <c r="F1860" t="s">
        <v>24</v>
      </c>
      <c r="G1860" t="str">
        <f>"2025-06-17 11:44:32.180"</f>
        <v>2025-06-17 11:44:32.180</v>
      </c>
      <c r="H1860" t="s">
        <v>21</v>
      </c>
      <c r="I1860">
        <v>8.31</v>
      </c>
      <c r="J1860" t="s">
        <v>36</v>
      </c>
    </row>
    <row r="1861" spans="1:10" x14ac:dyDescent="0.25">
      <c r="A1861" s="1">
        <v>921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"2025-06-16 15:25:48.589"</f>
        <v>2025-06-16 15:25:48.589</v>
      </c>
      <c r="H1861" t="s">
        <v>21</v>
      </c>
      <c r="I1861">
        <v>0</v>
      </c>
      <c r="J1861" t="s">
        <v>27</v>
      </c>
    </row>
    <row r="1862" spans="1:10" s="3" customFormat="1" x14ac:dyDescent="0.25">
      <c r="A1862" s="2">
        <v>922</v>
      </c>
      <c r="B1862" s="3" t="s">
        <v>22</v>
      </c>
      <c r="C1862" s="3">
        <v>647</v>
      </c>
      <c r="D1862" s="3">
        <v>1</v>
      </c>
      <c r="E1862" s="3" t="s">
        <v>39</v>
      </c>
      <c r="F1862" s="3" t="s">
        <v>40</v>
      </c>
      <c r="G1862" s="3" t="str">
        <f>"2025-06-16 12:26:58.939"</f>
        <v>2025-06-16 12:26:58.939</v>
      </c>
      <c r="H1862" s="3" t="s">
        <v>21</v>
      </c>
    </row>
    <row r="1863" spans="1:10" s="3" customFormat="1" x14ac:dyDescent="0.25">
      <c r="A1863" s="2">
        <v>923</v>
      </c>
      <c r="B1863" s="3" t="s">
        <v>25</v>
      </c>
      <c r="C1863" s="3">
        <v>647</v>
      </c>
      <c r="D1863" s="3">
        <v>1</v>
      </c>
      <c r="E1863" s="3" t="s">
        <v>39</v>
      </c>
      <c r="F1863" s="3" t="s">
        <v>40</v>
      </c>
      <c r="G1863" s="3" t="str">
        <f>"2025-06-16 12:26:55.239"</f>
        <v>2025-06-16 12:26:55.239</v>
      </c>
      <c r="H1863" s="3" t="s">
        <v>21</v>
      </c>
      <c r="I1863" s="3">
        <v>28.67</v>
      </c>
      <c r="J1863" s="3" t="s">
        <v>37</v>
      </c>
    </row>
    <row r="1864" spans="1:10" x14ac:dyDescent="0.25">
      <c r="A1864" s="1">
        <v>924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"2025-06-14 16:55:15.635"</f>
        <v>2025-06-14 16:55:15.635</v>
      </c>
      <c r="H1864" t="s">
        <v>21</v>
      </c>
    </row>
    <row r="1865" spans="1:10" s="3" customFormat="1" x14ac:dyDescent="0.25">
      <c r="A1865" s="2">
        <v>926</v>
      </c>
      <c r="B1865" s="3" t="s">
        <v>22</v>
      </c>
      <c r="C1865" s="3">
        <v>647</v>
      </c>
      <c r="D1865" s="3">
        <v>1</v>
      </c>
      <c r="E1865" s="3" t="s">
        <v>39</v>
      </c>
      <c r="F1865" s="3" t="s">
        <v>40</v>
      </c>
      <c r="G1865" s="3" t="str">
        <f>"2025-06-14 08:49:49.278"</f>
        <v>2025-06-14 08:49:49.278</v>
      </c>
      <c r="H1865" s="3" t="s">
        <v>21</v>
      </c>
    </row>
    <row r="1866" spans="1:10" s="3" customFormat="1" x14ac:dyDescent="0.25">
      <c r="A1866" s="2">
        <v>927</v>
      </c>
      <c r="B1866" s="3" t="s">
        <v>25</v>
      </c>
      <c r="C1866" s="3">
        <v>647</v>
      </c>
      <c r="D1866" s="3">
        <v>1</v>
      </c>
      <c r="E1866" s="3" t="s">
        <v>39</v>
      </c>
      <c r="F1866" s="3" t="s">
        <v>40</v>
      </c>
      <c r="G1866" s="3" t="str">
        <f>"2025-06-14 08:49:45.979"</f>
        <v>2025-06-14 08:49:45.979</v>
      </c>
      <c r="H1866" s="3" t="s">
        <v>21</v>
      </c>
      <c r="I1866" s="3">
        <v>18.25</v>
      </c>
      <c r="J1866" s="3" t="s">
        <v>37</v>
      </c>
    </row>
    <row r="1867" spans="1:10" x14ac:dyDescent="0.25">
      <c r="A1867" s="1">
        <v>928</v>
      </c>
      <c r="B1867" t="s">
        <v>19</v>
      </c>
      <c r="C1867">
        <v>706</v>
      </c>
      <c r="D1867">
        <v>4</v>
      </c>
      <c r="E1867" t="s">
        <v>31</v>
      </c>
      <c r="F1867" t="s">
        <v>32</v>
      </c>
      <c r="G1867" t="str">
        <f>"2025-06-14 08:15:55.858"</f>
        <v>2025-06-14 08:15:55.858</v>
      </c>
      <c r="H1867" t="s">
        <v>21</v>
      </c>
      <c r="I1867">
        <v>0</v>
      </c>
      <c r="J1867" t="s">
        <v>33</v>
      </c>
    </row>
    <row r="1868" spans="1:10" x14ac:dyDescent="0.25">
      <c r="A1868" s="1">
        <v>929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"2025-06-14 08:15:39.618"</f>
        <v>2025-06-14 08:15:39.618</v>
      </c>
      <c r="H1868" t="s">
        <v>21</v>
      </c>
    </row>
    <row r="1869" spans="1:10" x14ac:dyDescent="0.25">
      <c r="A1869" s="1">
        <v>930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"2025-06-14 01:32:44.619"</f>
        <v>2025-06-14 01:32:44.619</v>
      </c>
      <c r="H1869" t="s">
        <v>21</v>
      </c>
      <c r="I1869">
        <v>0</v>
      </c>
      <c r="J1869" t="s">
        <v>27</v>
      </c>
    </row>
    <row r="1870" spans="1:10" x14ac:dyDescent="0.25">
      <c r="A1870" s="1">
        <v>931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"2025-06-13 02:12:42.762"</f>
        <v>2025-06-13 02:12:42.762</v>
      </c>
      <c r="H1870" t="s">
        <v>21</v>
      </c>
      <c r="I1870">
        <v>0</v>
      </c>
      <c r="J1870" t="s">
        <v>27</v>
      </c>
    </row>
    <row r="1871" spans="1:10" x14ac:dyDescent="0.25">
      <c r="A1871" s="1">
        <v>932</v>
      </c>
      <c r="B1871" t="s">
        <v>22</v>
      </c>
      <c r="C1871">
        <v>635</v>
      </c>
      <c r="D1871">
        <v>1</v>
      </c>
      <c r="E1871" t="s">
        <v>23</v>
      </c>
      <c r="F1871" t="s">
        <v>24</v>
      </c>
      <c r="G1871" t="str">
        <f>"2025-06-12 15:27:41.120"</f>
        <v>2025-06-12 15:27:41.120</v>
      </c>
      <c r="H1871" t="s">
        <v>21</v>
      </c>
    </row>
    <row r="1872" spans="1:10" x14ac:dyDescent="0.25">
      <c r="A1872" s="1">
        <v>933</v>
      </c>
      <c r="B1872" t="s">
        <v>25</v>
      </c>
      <c r="C1872">
        <v>635</v>
      </c>
      <c r="D1872">
        <v>1</v>
      </c>
      <c r="E1872" t="s">
        <v>23</v>
      </c>
      <c r="F1872" t="s">
        <v>24</v>
      </c>
      <c r="G1872" t="str">
        <f>"2025-06-12 15:25:31.620"</f>
        <v>2025-06-12 15:25:31.620</v>
      </c>
      <c r="H1872" t="s">
        <v>21</v>
      </c>
      <c r="I1872">
        <v>8.0500000000000007</v>
      </c>
      <c r="J1872" t="s">
        <v>37</v>
      </c>
    </row>
    <row r="1873" spans="1:10" x14ac:dyDescent="0.25">
      <c r="A1873" s="1">
        <v>934</v>
      </c>
      <c r="B1873" t="s">
        <v>22</v>
      </c>
      <c r="C1873">
        <v>635</v>
      </c>
      <c r="D1873">
        <v>1</v>
      </c>
      <c r="E1873" t="s">
        <v>23</v>
      </c>
      <c r="F1873" t="s">
        <v>24</v>
      </c>
      <c r="G1873" t="str">
        <f>"2025-06-12 07:26:28.520"</f>
        <v>2025-06-12 07:26:28.520</v>
      </c>
      <c r="H1873" t="s">
        <v>21</v>
      </c>
    </row>
    <row r="1874" spans="1:10" x14ac:dyDescent="0.25">
      <c r="A1874" s="1">
        <v>935</v>
      </c>
      <c r="B1874" t="s">
        <v>25</v>
      </c>
      <c r="C1874">
        <v>635</v>
      </c>
      <c r="D1874">
        <v>1</v>
      </c>
      <c r="E1874" t="s">
        <v>23</v>
      </c>
      <c r="F1874" t="s">
        <v>24</v>
      </c>
      <c r="G1874" t="str">
        <f>"2025-06-12 07:23:51.020"</f>
        <v>2025-06-12 07:23:51.020</v>
      </c>
      <c r="H1874" t="s">
        <v>21</v>
      </c>
      <c r="I1874">
        <v>0.82</v>
      </c>
      <c r="J1874" t="s">
        <v>26</v>
      </c>
    </row>
    <row r="1875" spans="1:10" x14ac:dyDescent="0.25">
      <c r="A1875" s="1">
        <v>936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"2025-06-11 09:49:44.578"</f>
        <v>2025-06-11 09:49:44.578</v>
      </c>
      <c r="H1875" t="s">
        <v>21</v>
      </c>
      <c r="I1875">
        <v>0</v>
      </c>
      <c r="J1875" t="s">
        <v>27</v>
      </c>
    </row>
    <row r="1876" spans="1:10" x14ac:dyDescent="0.25">
      <c r="A1876" s="1">
        <v>937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"2025-06-11 08:45:54.601"</f>
        <v>2025-06-11 08:45:54.601</v>
      </c>
      <c r="H1876" t="s">
        <v>21</v>
      </c>
      <c r="I1876">
        <v>0</v>
      </c>
      <c r="J1876" t="s">
        <v>27</v>
      </c>
    </row>
    <row r="1877" spans="1:10" x14ac:dyDescent="0.25">
      <c r="A1877" s="1">
        <v>938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"2025-06-11 08:44:34.588"</f>
        <v>2025-06-11 08:44:34.588</v>
      </c>
      <c r="H1877" t="s">
        <v>21</v>
      </c>
    </row>
    <row r="1878" spans="1:10" x14ac:dyDescent="0.25">
      <c r="A1878" s="1">
        <v>939</v>
      </c>
      <c r="B1878" t="s">
        <v>19</v>
      </c>
      <c r="C1878">
        <v>706</v>
      </c>
      <c r="D1878">
        <v>2</v>
      </c>
      <c r="E1878" t="s">
        <v>31</v>
      </c>
      <c r="F1878" t="s">
        <v>35</v>
      </c>
      <c r="G1878" t="str">
        <f>"2025-06-10 20:12:58.318"</f>
        <v>2025-06-10 20:12:58.318</v>
      </c>
      <c r="H1878" t="s">
        <v>21</v>
      </c>
      <c r="I1878">
        <v>0</v>
      </c>
      <c r="J1878" t="s">
        <v>33</v>
      </c>
    </row>
    <row r="1879" spans="1:10" x14ac:dyDescent="0.25">
      <c r="A1879" s="1">
        <v>940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"2025-06-10 20:12:40.588"</f>
        <v>2025-06-10 20:12:40.588</v>
      </c>
      <c r="H1879" t="s">
        <v>21</v>
      </c>
      <c r="I1879">
        <v>0</v>
      </c>
      <c r="J1879" t="s">
        <v>27</v>
      </c>
    </row>
    <row r="1880" spans="1:10" x14ac:dyDescent="0.25">
      <c r="A1880" s="1">
        <v>941</v>
      </c>
      <c r="B1880" t="s">
        <v>22</v>
      </c>
      <c r="C1880">
        <v>630</v>
      </c>
      <c r="D1880">
        <v>5</v>
      </c>
      <c r="E1880" t="s">
        <v>28</v>
      </c>
      <c r="F1880" t="s">
        <v>29</v>
      </c>
      <c r="G1880" t="str">
        <f>"2025-06-10 18:19:22.106"</f>
        <v>2025-06-10 18:19:22.106</v>
      </c>
      <c r="H1880" t="s">
        <v>30</v>
      </c>
    </row>
    <row r="1881" spans="1:10" x14ac:dyDescent="0.25">
      <c r="A1881" s="1">
        <v>942</v>
      </c>
      <c r="B1881" t="s">
        <v>19</v>
      </c>
      <c r="C1881">
        <v>706</v>
      </c>
      <c r="D1881">
        <v>4</v>
      </c>
      <c r="E1881" t="s">
        <v>31</v>
      </c>
      <c r="F1881" t="s">
        <v>32</v>
      </c>
      <c r="G1881" t="str">
        <f>"2025-06-10 18:18:52.030"</f>
        <v>2025-06-10 18:18:52.030</v>
      </c>
      <c r="H1881" t="s">
        <v>21</v>
      </c>
      <c r="I1881">
        <v>0</v>
      </c>
      <c r="J1881" t="s">
        <v>33</v>
      </c>
    </row>
    <row r="1882" spans="1:10" x14ac:dyDescent="0.25">
      <c r="A1882" s="1">
        <v>943</v>
      </c>
      <c r="B1882" t="s">
        <v>34</v>
      </c>
      <c r="C1882">
        <v>630</v>
      </c>
      <c r="D1882">
        <v>5</v>
      </c>
      <c r="E1882" t="s">
        <v>28</v>
      </c>
      <c r="F1882" t="s">
        <v>29</v>
      </c>
      <c r="G1882" t="str">
        <f>"2025-06-10 18:12:44.406"</f>
        <v>2025-06-10 18:12:44.406</v>
      </c>
      <c r="H1882" t="s">
        <v>30</v>
      </c>
      <c r="I1882">
        <v>0</v>
      </c>
      <c r="J1882" t="s">
        <v>33</v>
      </c>
    </row>
    <row r="1883" spans="1:10" x14ac:dyDescent="0.25">
      <c r="A1883" s="1">
        <v>944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"2025-06-10 18:07:41.590"</f>
        <v>2025-06-10 18:07:41.590</v>
      </c>
      <c r="H1883" t="s">
        <v>21</v>
      </c>
    </row>
    <row r="1884" spans="1:10" x14ac:dyDescent="0.25">
      <c r="A1884" s="1">
        <v>945</v>
      </c>
      <c r="B1884" t="s">
        <v>22</v>
      </c>
      <c r="C1884">
        <v>630</v>
      </c>
      <c r="D1884">
        <v>5</v>
      </c>
      <c r="E1884" t="s">
        <v>28</v>
      </c>
      <c r="F1884" t="s">
        <v>29</v>
      </c>
      <c r="G1884" t="str">
        <f>"2025-06-10 17:48:01.128"</f>
        <v>2025-06-10 17:48:01.128</v>
      </c>
      <c r="H1884" t="s">
        <v>30</v>
      </c>
    </row>
    <row r="1885" spans="1:10" x14ac:dyDescent="0.25">
      <c r="A1885" s="1">
        <v>946</v>
      </c>
      <c r="B1885" t="s">
        <v>19</v>
      </c>
      <c r="C1885">
        <v>706</v>
      </c>
      <c r="D1885">
        <v>4</v>
      </c>
      <c r="E1885" t="s">
        <v>31</v>
      </c>
      <c r="F1885" t="s">
        <v>32</v>
      </c>
      <c r="G1885" t="str">
        <f>"2025-06-10 17:47:31.065"</f>
        <v>2025-06-10 17:47:31.065</v>
      </c>
      <c r="H1885" t="s">
        <v>21</v>
      </c>
      <c r="I1885">
        <v>0</v>
      </c>
      <c r="J1885" t="s">
        <v>33</v>
      </c>
    </row>
    <row r="1886" spans="1:10" x14ac:dyDescent="0.25">
      <c r="A1886" s="1">
        <v>947</v>
      </c>
      <c r="B1886" t="s">
        <v>19</v>
      </c>
      <c r="C1886">
        <v>706</v>
      </c>
      <c r="D1886">
        <v>4</v>
      </c>
      <c r="E1886" t="s">
        <v>31</v>
      </c>
      <c r="F1886" t="s">
        <v>32</v>
      </c>
      <c r="G1886" t="str">
        <f>"2025-06-10 17:47:15.255"</f>
        <v>2025-06-10 17:47:15.255</v>
      </c>
      <c r="H1886" t="s">
        <v>21</v>
      </c>
      <c r="I1886">
        <v>0</v>
      </c>
      <c r="J1886" t="s">
        <v>33</v>
      </c>
    </row>
    <row r="1887" spans="1:10" x14ac:dyDescent="0.25">
      <c r="A1887" s="1">
        <v>948</v>
      </c>
      <c r="B1887" t="s">
        <v>34</v>
      </c>
      <c r="C1887">
        <v>630</v>
      </c>
      <c r="D1887">
        <v>5</v>
      </c>
      <c r="E1887" t="s">
        <v>28</v>
      </c>
      <c r="F1887" t="s">
        <v>29</v>
      </c>
      <c r="G1887" t="str">
        <f>"2025-06-10 16:13:23.229"</f>
        <v>2025-06-10 16:13:23.229</v>
      </c>
      <c r="H1887" t="s">
        <v>30</v>
      </c>
      <c r="I1887">
        <v>0</v>
      </c>
      <c r="J1887" t="s">
        <v>33</v>
      </c>
    </row>
    <row r="1888" spans="1:10" x14ac:dyDescent="0.25">
      <c r="A1888" s="1">
        <v>949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"2025-06-10 16:07:02.615"</f>
        <v>2025-06-10 16:07:02.615</v>
      </c>
      <c r="H1888" t="s">
        <v>21</v>
      </c>
      <c r="I1888">
        <v>0</v>
      </c>
      <c r="J1888" t="s">
        <v>27</v>
      </c>
    </row>
    <row r="1889" spans="1:10" x14ac:dyDescent="0.25">
      <c r="A1889" s="1">
        <v>950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"2025-06-09 23:48:30.571"</f>
        <v>2025-06-09 23:48:30.571</v>
      </c>
      <c r="H1889" t="s">
        <v>21</v>
      </c>
      <c r="I1889">
        <v>0</v>
      </c>
      <c r="J1889" t="s">
        <v>27</v>
      </c>
    </row>
    <row r="1890" spans="1:10" x14ac:dyDescent="0.25">
      <c r="A1890" s="1">
        <v>951</v>
      </c>
      <c r="B1890" t="s">
        <v>22</v>
      </c>
      <c r="C1890">
        <v>630</v>
      </c>
      <c r="D1890">
        <v>5</v>
      </c>
      <c r="E1890" t="s">
        <v>28</v>
      </c>
      <c r="F1890" t="s">
        <v>29</v>
      </c>
      <c r="G1890" t="str">
        <f>"2025-06-09 22:51:20.193"</f>
        <v>2025-06-09 22:51:20.193</v>
      </c>
      <c r="H1890" t="s">
        <v>30</v>
      </c>
    </row>
    <row r="1891" spans="1:10" x14ac:dyDescent="0.25">
      <c r="A1891" s="1">
        <v>952</v>
      </c>
      <c r="B1891" t="s">
        <v>19</v>
      </c>
      <c r="C1891">
        <v>706</v>
      </c>
      <c r="D1891">
        <v>2</v>
      </c>
      <c r="E1891" t="s">
        <v>31</v>
      </c>
      <c r="F1891" t="s">
        <v>35</v>
      </c>
      <c r="G1891" t="str">
        <f>"2025-06-09 22:50:50.060"</f>
        <v>2025-06-09 22:50:50.060</v>
      </c>
      <c r="H1891" t="s">
        <v>21</v>
      </c>
      <c r="I1891">
        <v>0</v>
      </c>
      <c r="J1891" t="s">
        <v>33</v>
      </c>
    </row>
    <row r="1892" spans="1:10" x14ac:dyDescent="0.25">
      <c r="A1892" s="1">
        <v>953</v>
      </c>
      <c r="B1892" t="s">
        <v>34</v>
      </c>
      <c r="C1892">
        <v>630</v>
      </c>
      <c r="D1892">
        <v>5</v>
      </c>
      <c r="E1892" t="s">
        <v>28</v>
      </c>
      <c r="F1892" t="s">
        <v>29</v>
      </c>
      <c r="G1892" t="str">
        <f>"2025-06-09 22:48:54.393"</f>
        <v>2025-06-09 22:48:54.393</v>
      </c>
      <c r="H1892" t="s">
        <v>30</v>
      </c>
      <c r="I1892">
        <v>0</v>
      </c>
      <c r="J1892" t="s">
        <v>33</v>
      </c>
    </row>
    <row r="1893" spans="1:10" x14ac:dyDescent="0.25">
      <c r="A1893" s="1">
        <v>954</v>
      </c>
      <c r="B1893" t="s">
        <v>19</v>
      </c>
      <c r="C1893">
        <v>706</v>
      </c>
      <c r="D1893">
        <v>2</v>
      </c>
      <c r="E1893" t="s">
        <v>31</v>
      </c>
      <c r="F1893" t="s">
        <v>35</v>
      </c>
      <c r="G1893" t="str">
        <f>"2025-06-09 22:32:37.460"</f>
        <v>2025-06-09 22:32:37.460</v>
      </c>
      <c r="H1893" t="s">
        <v>21</v>
      </c>
      <c r="I1893">
        <v>0</v>
      </c>
      <c r="J1893" t="s">
        <v>33</v>
      </c>
    </row>
    <row r="1894" spans="1:10" x14ac:dyDescent="0.25">
      <c r="A1894" s="1">
        <v>955</v>
      </c>
      <c r="B1894" t="s">
        <v>22</v>
      </c>
      <c r="C1894">
        <v>630</v>
      </c>
      <c r="D1894">
        <v>5</v>
      </c>
      <c r="E1894" t="s">
        <v>28</v>
      </c>
      <c r="F1894" t="s">
        <v>29</v>
      </c>
      <c r="G1894" t="str">
        <f>"2025-06-09 22:23:57.593"</f>
        <v>2025-06-09 22:23:57.593</v>
      </c>
      <c r="H1894" t="s">
        <v>30</v>
      </c>
    </row>
    <row r="1895" spans="1:10" x14ac:dyDescent="0.25">
      <c r="A1895" s="1">
        <v>956</v>
      </c>
      <c r="B1895" t="s">
        <v>19</v>
      </c>
      <c r="C1895">
        <v>706</v>
      </c>
      <c r="D1895">
        <v>2</v>
      </c>
      <c r="E1895" t="s">
        <v>31</v>
      </c>
      <c r="F1895" t="s">
        <v>35</v>
      </c>
      <c r="G1895" t="str">
        <f>"2025-06-09 22:23:27.460"</f>
        <v>2025-06-09 22:23:27.460</v>
      </c>
      <c r="H1895" t="s">
        <v>21</v>
      </c>
      <c r="I1895">
        <v>0</v>
      </c>
      <c r="J1895" t="s">
        <v>33</v>
      </c>
    </row>
    <row r="1896" spans="1:10" x14ac:dyDescent="0.25">
      <c r="A1896" s="1">
        <v>957</v>
      </c>
      <c r="B1896" t="s">
        <v>34</v>
      </c>
      <c r="C1896">
        <v>630</v>
      </c>
      <c r="D1896">
        <v>5</v>
      </c>
      <c r="E1896" t="s">
        <v>28</v>
      </c>
      <c r="F1896" t="s">
        <v>29</v>
      </c>
      <c r="G1896" t="str">
        <f>"2025-06-09 22:14:47.393"</f>
        <v>2025-06-09 22:14:47.393</v>
      </c>
      <c r="H1896" t="s">
        <v>30</v>
      </c>
      <c r="I1896">
        <v>0</v>
      </c>
      <c r="J1896" t="s">
        <v>33</v>
      </c>
    </row>
    <row r="1897" spans="1:10" x14ac:dyDescent="0.25">
      <c r="A1897" s="1">
        <v>958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"2025-06-09 22:09:44.570"</f>
        <v>2025-06-09 22:09:44.570</v>
      </c>
      <c r="H1897" t="s">
        <v>21</v>
      </c>
    </row>
    <row r="1898" spans="1:10" x14ac:dyDescent="0.25">
      <c r="A1898" s="1">
        <v>959</v>
      </c>
      <c r="B1898" t="s">
        <v>19</v>
      </c>
      <c r="C1898">
        <v>706</v>
      </c>
      <c r="D1898">
        <v>2</v>
      </c>
      <c r="E1898" t="s">
        <v>31</v>
      </c>
      <c r="F1898" t="s">
        <v>35</v>
      </c>
      <c r="G1898" t="str">
        <f>"2025-06-09 22:01:51.741"</f>
        <v>2025-06-09 22:01:51.741</v>
      </c>
      <c r="H1898" t="s">
        <v>21</v>
      </c>
      <c r="I1898">
        <v>0</v>
      </c>
      <c r="J1898" t="s">
        <v>33</v>
      </c>
    </row>
    <row r="1899" spans="1:10" x14ac:dyDescent="0.25">
      <c r="A1899" s="1">
        <v>960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"2025-06-09 21:59:55.581"</f>
        <v>2025-06-09 21:59:55.581</v>
      </c>
      <c r="H1899" t="s">
        <v>21</v>
      </c>
      <c r="I1899">
        <v>0</v>
      </c>
      <c r="J1899" t="s">
        <v>27</v>
      </c>
    </row>
    <row r="1900" spans="1:10" x14ac:dyDescent="0.25">
      <c r="A1900" s="1">
        <v>961</v>
      </c>
      <c r="B1900" t="s">
        <v>19</v>
      </c>
      <c r="C1900">
        <v>706</v>
      </c>
      <c r="D1900">
        <v>4</v>
      </c>
      <c r="E1900" t="s">
        <v>31</v>
      </c>
      <c r="F1900" t="s">
        <v>32</v>
      </c>
      <c r="G1900" t="str">
        <f>"2025-06-09 20:53:19.822"</f>
        <v>2025-06-09 20:53:19.822</v>
      </c>
      <c r="H1900" t="s">
        <v>21</v>
      </c>
      <c r="I1900">
        <v>0</v>
      </c>
      <c r="J1900" t="s">
        <v>33</v>
      </c>
    </row>
    <row r="1901" spans="1:10" x14ac:dyDescent="0.25">
      <c r="A1901" s="1">
        <v>962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"2025-06-09 20:43:33.582"</f>
        <v>2025-06-09 20:43:33.582</v>
      </c>
      <c r="H1901" t="s">
        <v>21</v>
      </c>
      <c r="I1901">
        <v>0</v>
      </c>
      <c r="J1901" t="s">
        <v>27</v>
      </c>
    </row>
    <row r="1902" spans="1:10" x14ac:dyDescent="0.25">
      <c r="A1902" s="1">
        <v>963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"2025-06-09 19:28:09.637"</f>
        <v>2025-06-09 19:28:09.637</v>
      </c>
      <c r="H1902" t="s">
        <v>21</v>
      </c>
      <c r="I1902">
        <v>0</v>
      </c>
      <c r="J1902" t="s">
        <v>27</v>
      </c>
    </row>
    <row r="1903" spans="1:10" x14ac:dyDescent="0.25">
      <c r="A1903" s="1">
        <v>964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"2025-06-09 18:57:14.577"</f>
        <v>2025-06-09 18:57:14.577</v>
      </c>
      <c r="H1903" t="s">
        <v>21</v>
      </c>
      <c r="I1903">
        <v>0</v>
      </c>
      <c r="J1903" t="s">
        <v>27</v>
      </c>
    </row>
    <row r="1904" spans="1:10" x14ac:dyDescent="0.25">
      <c r="A1904" s="1">
        <v>965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"2025-06-09 16:20:48.584"</f>
        <v>2025-06-09 16:20:48.584</v>
      </c>
      <c r="H1904" t="s">
        <v>21</v>
      </c>
      <c r="I1904">
        <v>0</v>
      </c>
      <c r="J1904" t="s">
        <v>27</v>
      </c>
    </row>
    <row r="1905" spans="1:10" x14ac:dyDescent="0.25">
      <c r="A1905" s="1">
        <v>966</v>
      </c>
      <c r="B1905" t="s">
        <v>19</v>
      </c>
      <c r="C1905">
        <v>706</v>
      </c>
      <c r="D1905">
        <v>2</v>
      </c>
      <c r="E1905" t="s">
        <v>31</v>
      </c>
      <c r="F1905" t="s">
        <v>35</v>
      </c>
      <c r="G1905" t="str">
        <f>"2025-06-09 16:05:42.507"</f>
        <v>2025-06-09 16:05:42.507</v>
      </c>
      <c r="H1905" t="s">
        <v>21</v>
      </c>
      <c r="I1905">
        <v>0</v>
      </c>
      <c r="J1905" t="s">
        <v>33</v>
      </c>
    </row>
    <row r="1906" spans="1:10" x14ac:dyDescent="0.25">
      <c r="A1906" s="1">
        <v>967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"2025-06-09 16:05:26.587"</f>
        <v>2025-06-09 16:05:26.587</v>
      </c>
      <c r="H1906" t="s">
        <v>21</v>
      </c>
      <c r="I1906">
        <v>0</v>
      </c>
      <c r="J1906" t="s">
        <v>27</v>
      </c>
    </row>
    <row r="1907" spans="1:10" x14ac:dyDescent="0.25">
      <c r="A1907" s="1">
        <v>968</v>
      </c>
      <c r="B1907" t="s">
        <v>34</v>
      </c>
      <c r="C1907">
        <v>630</v>
      </c>
      <c r="D1907">
        <v>5</v>
      </c>
      <c r="E1907" t="s">
        <v>28</v>
      </c>
      <c r="F1907" t="s">
        <v>29</v>
      </c>
      <c r="G1907" t="str">
        <f>"2025-06-09 11:42:28.587"</f>
        <v>2025-06-09 11:42:28.587</v>
      </c>
      <c r="H1907" t="s">
        <v>30</v>
      </c>
      <c r="I1907">
        <v>0</v>
      </c>
      <c r="J1907" t="s">
        <v>33</v>
      </c>
    </row>
    <row r="1908" spans="1:10" x14ac:dyDescent="0.25">
      <c r="A1908" s="1">
        <v>969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"2025-06-09 11:32:21.580"</f>
        <v>2025-06-09 11:32:21.580</v>
      </c>
      <c r="H1908" t="s">
        <v>21</v>
      </c>
      <c r="I1908">
        <v>0</v>
      </c>
      <c r="J1908" t="s">
        <v>27</v>
      </c>
    </row>
    <row r="1909" spans="1:10" x14ac:dyDescent="0.25">
      <c r="A1909" s="1">
        <v>970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"2025-06-09 10:44:48.700"</f>
        <v>2025-06-09 10:44:48.700</v>
      </c>
      <c r="H1909" t="s">
        <v>21</v>
      </c>
      <c r="I1909">
        <v>0</v>
      </c>
      <c r="J1909" t="s">
        <v>27</v>
      </c>
    </row>
    <row r="1910" spans="1:10" x14ac:dyDescent="0.25">
      <c r="A1910" s="1">
        <v>971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"2025-06-09 10:09:19.557"</f>
        <v>2025-06-09 10:09:19.557</v>
      </c>
      <c r="H1910" t="s">
        <v>21</v>
      </c>
    </row>
    <row r="1911" spans="1:10" x14ac:dyDescent="0.25">
      <c r="A1911" s="1">
        <v>972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"2025-06-09 09:52:59.570"</f>
        <v>2025-06-09 09:52:59.570</v>
      </c>
      <c r="H1911" t="s">
        <v>21</v>
      </c>
      <c r="I1911">
        <v>0</v>
      </c>
      <c r="J1911" t="s">
        <v>27</v>
      </c>
    </row>
    <row r="1912" spans="1:10" x14ac:dyDescent="0.25">
      <c r="A1912" s="1">
        <v>973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"2025-06-09 09:43:35.577"</f>
        <v>2025-06-09 09:43:35.577</v>
      </c>
      <c r="H1912" t="s">
        <v>21</v>
      </c>
      <c r="I1912">
        <v>0</v>
      </c>
      <c r="J1912" t="s">
        <v>27</v>
      </c>
    </row>
    <row r="1913" spans="1:10" x14ac:dyDescent="0.25">
      <c r="A1913" s="1">
        <v>974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"2025-06-09 08:21:14.717"</f>
        <v>2025-06-09 08:21:14.717</v>
      </c>
      <c r="H1913" t="s">
        <v>21</v>
      </c>
      <c r="I1913">
        <v>0</v>
      </c>
      <c r="J1913" t="s">
        <v>27</v>
      </c>
    </row>
    <row r="1914" spans="1:10" x14ac:dyDescent="0.25">
      <c r="A1914" s="1">
        <v>975</v>
      </c>
      <c r="B1914" t="s">
        <v>41</v>
      </c>
      <c r="C1914">
        <v>215</v>
      </c>
      <c r="D1914">
        <v>6</v>
      </c>
      <c r="E1914" t="s">
        <v>42</v>
      </c>
      <c r="F1914" t="s">
        <v>43</v>
      </c>
      <c r="G1914" t="str">
        <f>"2025-06-09 06:08:46.466"</f>
        <v>2025-06-09 06:08:46.466</v>
      </c>
      <c r="H1914" t="s">
        <v>21</v>
      </c>
    </row>
    <row r="1915" spans="1:10" x14ac:dyDescent="0.25">
      <c r="A1915" s="1">
        <v>976</v>
      </c>
      <c r="B1915" t="s">
        <v>41</v>
      </c>
      <c r="C1915">
        <v>115</v>
      </c>
      <c r="D1915">
        <v>6</v>
      </c>
      <c r="E1915" t="s">
        <v>44</v>
      </c>
      <c r="F1915" t="s">
        <v>43</v>
      </c>
      <c r="G1915" t="str">
        <f>"2025-06-09 06:08:45.566"</f>
        <v>2025-06-09 06:08:45.566</v>
      </c>
      <c r="H1915" t="s">
        <v>21</v>
      </c>
    </row>
    <row r="1916" spans="1:10" x14ac:dyDescent="0.25">
      <c r="A1916" s="1">
        <v>977</v>
      </c>
      <c r="B1916" t="s">
        <v>34</v>
      </c>
      <c r="C1916">
        <v>215</v>
      </c>
      <c r="D1916">
        <v>6</v>
      </c>
      <c r="E1916" t="s">
        <v>42</v>
      </c>
      <c r="F1916" t="s">
        <v>43</v>
      </c>
      <c r="G1916" t="str">
        <f>"2025-06-09 06:08:41.380"</f>
        <v>2025-06-09 06:08:41.380</v>
      </c>
      <c r="H1916" t="s">
        <v>21</v>
      </c>
      <c r="I1916">
        <v>0</v>
      </c>
      <c r="J1916" t="s">
        <v>33</v>
      </c>
    </row>
    <row r="1917" spans="1:10" x14ac:dyDescent="0.25">
      <c r="A1917" s="1">
        <v>978</v>
      </c>
      <c r="B1917" t="s">
        <v>34</v>
      </c>
      <c r="C1917">
        <v>115</v>
      </c>
      <c r="D1917">
        <v>6</v>
      </c>
      <c r="E1917" t="s">
        <v>44</v>
      </c>
      <c r="F1917" t="s">
        <v>43</v>
      </c>
      <c r="G1917" t="str">
        <f>"2025-06-09 06:08:40.520"</f>
        <v>2025-06-09 06:08:40.520</v>
      </c>
      <c r="H1917" t="s">
        <v>21</v>
      </c>
      <c r="I1917">
        <v>0</v>
      </c>
      <c r="J1917" t="s">
        <v>33</v>
      </c>
    </row>
    <row r="1918" spans="1:10" x14ac:dyDescent="0.25">
      <c r="A1918" s="1">
        <v>979</v>
      </c>
      <c r="B1918" t="s">
        <v>22</v>
      </c>
      <c r="C1918">
        <v>6</v>
      </c>
      <c r="D1918">
        <v>1</v>
      </c>
      <c r="E1918" t="s">
        <v>45</v>
      </c>
      <c r="F1918" t="s">
        <v>46</v>
      </c>
      <c r="G1918" t="str">
        <f>"2025-06-09 06:08:40.377"</f>
        <v>2025-06-09 06:08:40.377</v>
      </c>
      <c r="H1918" t="s">
        <v>47</v>
      </c>
    </row>
    <row r="1919" spans="1:10" x14ac:dyDescent="0.25">
      <c r="A1919" s="1">
        <v>980</v>
      </c>
      <c r="B1919" t="s">
        <v>22</v>
      </c>
      <c r="C1919">
        <v>75</v>
      </c>
      <c r="D1919">
        <v>1</v>
      </c>
      <c r="E1919" t="s">
        <v>48</v>
      </c>
      <c r="F1919" t="s">
        <v>49</v>
      </c>
      <c r="G1919" t="str">
        <f>"2025-06-09 06:08:40.375"</f>
        <v>2025-06-09 06:08:40.375</v>
      </c>
      <c r="H1919" t="s">
        <v>50</v>
      </c>
    </row>
    <row r="1920" spans="1:10" x14ac:dyDescent="0.25">
      <c r="A1920" s="1">
        <v>981</v>
      </c>
      <c r="B1920" t="s">
        <v>22</v>
      </c>
      <c r="C1920">
        <v>74</v>
      </c>
      <c r="D1920">
        <v>1</v>
      </c>
      <c r="E1920" t="s">
        <v>51</v>
      </c>
      <c r="F1920" t="s">
        <v>52</v>
      </c>
      <c r="G1920" t="str">
        <f>"2025-06-09 06:08:40.374"</f>
        <v>2025-06-09 06:08:40.374</v>
      </c>
      <c r="H1920" t="s">
        <v>53</v>
      </c>
    </row>
    <row r="1921" spans="1:10" x14ac:dyDescent="0.25">
      <c r="A1921" s="1">
        <v>982</v>
      </c>
      <c r="B1921" t="s">
        <v>25</v>
      </c>
      <c r="C1921">
        <v>75</v>
      </c>
      <c r="D1921">
        <v>1</v>
      </c>
      <c r="E1921" t="s">
        <v>48</v>
      </c>
      <c r="F1921" t="s">
        <v>49</v>
      </c>
      <c r="G1921" t="str">
        <f>"2025-06-09 06:08:28.885"</f>
        <v>2025-06-09 06:08:28.885</v>
      </c>
      <c r="H1921" t="s">
        <v>50</v>
      </c>
      <c r="I1921">
        <v>0</v>
      </c>
      <c r="J1921" t="s">
        <v>33</v>
      </c>
    </row>
    <row r="1922" spans="1:10" x14ac:dyDescent="0.25">
      <c r="A1922" s="1">
        <v>983</v>
      </c>
      <c r="B1922" t="s">
        <v>25</v>
      </c>
      <c r="C1922">
        <v>74</v>
      </c>
      <c r="D1922">
        <v>1</v>
      </c>
      <c r="E1922" t="s">
        <v>51</v>
      </c>
      <c r="F1922" t="s">
        <v>52</v>
      </c>
      <c r="G1922" t="str">
        <f>"2025-06-09 06:08:28.879"</f>
        <v>2025-06-09 06:08:28.879</v>
      </c>
      <c r="H1922" t="s">
        <v>53</v>
      </c>
      <c r="I1922">
        <v>0</v>
      </c>
      <c r="J1922" t="s">
        <v>33</v>
      </c>
    </row>
    <row r="1923" spans="1:10" x14ac:dyDescent="0.25">
      <c r="A1923" s="1">
        <v>984</v>
      </c>
      <c r="B1923" t="s">
        <v>34</v>
      </c>
      <c r="C1923">
        <v>6</v>
      </c>
      <c r="D1923">
        <v>1</v>
      </c>
      <c r="E1923" t="s">
        <v>45</v>
      </c>
      <c r="F1923" t="s">
        <v>46</v>
      </c>
      <c r="G1923" t="str">
        <f>"2025-06-09 06:08:28.875"</f>
        <v>2025-06-09 06:08:28.875</v>
      </c>
      <c r="H1923" t="s">
        <v>47</v>
      </c>
      <c r="I1923">
        <v>0</v>
      </c>
      <c r="J1923" t="s">
        <v>33</v>
      </c>
    </row>
    <row r="1924" spans="1:10" x14ac:dyDescent="0.25">
      <c r="A1924" s="1">
        <v>988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"2025-06-08 23:48:25.566"</f>
        <v>2025-06-08 23:48:25.566</v>
      </c>
      <c r="H1924" t="s">
        <v>21</v>
      </c>
    </row>
    <row r="1925" spans="1:10" x14ac:dyDescent="0.25">
      <c r="A1925" s="1">
        <v>989</v>
      </c>
      <c r="B1925" t="s">
        <v>22</v>
      </c>
      <c r="C1925">
        <v>630</v>
      </c>
      <c r="D1925">
        <v>5</v>
      </c>
      <c r="E1925" t="s">
        <v>28</v>
      </c>
      <c r="F1925" t="s">
        <v>29</v>
      </c>
      <c r="G1925" t="str">
        <f>"2025-06-08 23:15:01.513"</f>
        <v>2025-06-08 23:15:01.513</v>
      </c>
      <c r="H1925" t="s">
        <v>30</v>
      </c>
    </row>
    <row r="1926" spans="1:10" x14ac:dyDescent="0.25">
      <c r="A1926" s="1">
        <v>990</v>
      </c>
      <c r="B1926" t="s">
        <v>19</v>
      </c>
      <c r="C1926">
        <v>706</v>
      </c>
      <c r="D1926">
        <v>4</v>
      </c>
      <c r="E1926" t="s">
        <v>31</v>
      </c>
      <c r="F1926" t="s">
        <v>32</v>
      </c>
      <c r="G1926" t="str">
        <f>"2025-06-08 23:14:31.444"</f>
        <v>2025-06-08 23:14:31.444</v>
      </c>
      <c r="H1926" t="s">
        <v>21</v>
      </c>
      <c r="I1926">
        <v>0</v>
      </c>
      <c r="J1926" t="s">
        <v>33</v>
      </c>
    </row>
    <row r="1927" spans="1:10" x14ac:dyDescent="0.25">
      <c r="A1927" s="1">
        <v>991</v>
      </c>
      <c r="B1927" t="s">
        <v>34</v>
      </c>
      <c r="C1927">
        <v>630</v>
      </c>
      <c r="D1927">
        <v>5</v>
      </c>
      <c r="E1927" t="s">
        <v>28</v>
      </c>
      <c r="F1927" t="s">
        <v>29</v>
      </c>
      <c r="G1927" t="str">
        <f>"2025-06-08 23:09:58.414"</f>
        <v>2025-06-08 23:09:58.414</v>
      </c>
      <c r="H1927" t="s">
        <v>30</v>
      </c>
      <c r="I1927">
        <v>0</v>
      </c>
      <c r="J1927" t="s">
        <v>33</v>
      </c>
    </row>
    <row r="1928" spans="1:10" x14ac:dyDescent="0.25">
      <c r="A1928" s="1">
        <v>992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"2025-06-08 23:04:55.564"</f>
        <v>2025-06-08 23:04:55.564</v>
      </c>
      <c r="H1928" t="s">
        <v>21</v>
      </c>
    </row>
    <row r="1929" spans="1:10" x14ac:dyDescent="0.25">
      <c r="A1929" s="1">
        <v>993</v>
      </c>
      <c r="B1929" t="s">
        <v>34</v>
      </c>
      <c r="C1929">
        <v>630</v>
      </c>
      <c r="D1929">
        <v>5</v>
      </c>
      <c r="E1929" t="s">
        <v>28</v>
      </c>
      <c r="F1929" t="s">
        <v>29</v>
      </c>
      <c r="G1929" t="str">
        <f>"2025-06-08 20:51:44.658"</f>
        <v>2025-06-08 20:51:44.658</v>
      </c>
      <c r="H1929" t="s">
        <v>30</v>
      </c>
      <c r="I1929">
        <v>0</v>
      </c>
      <c r="J1929" t="s">
        <v>33</v>
      </c>
    </row>
    <row r="1930" spans="1:10" x14ac:dyDescent="0.25">
      <c r="A1930" s="1">
        <v>994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"2025-06-08 20:46:41.999"</f>
        <v>2025-06-08 20:46:41.999</v>
      </c>
      <c r="H1930" t="s">
        <v>21</v>
      </c>
    </row>
    <row r="1931" spans="1:10" x14ac:dyDescent="0.25">
      <c r="A1931" s="1">
        <v>995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"2025-06-08 01:45:18.589"</f>
        <v>2025-06-08 01:45:18.589</v>
      </c>
      <c r="H1931" t="s">
        <v>21</v>
      </c>
    </row>
    <row r="1932" spans="1:10" x14ac:dyDescent="0.25">
      <c r="A1932" s="1">
        <v>997</v>
      </c>
      <c r="B1932" t="s">
        <v>22</v>
      </c>
      <c r="C1932">
        <v>635</v>
      </c>
      <c r="D1932">
        <v>1</v>
      </c>
      <c r="E1932" t="s">
        <v>23</v>
      </c>
      <c r="F1932" t="s">
        <v>24</v>
      </c>
      <c r="G1932" t="str">
        <f>"2025-06-06 12:38:01.014"</f>
        <v>2025-06-06 12:38:01.014</v>
      </c>
      <c r="H1932" t="s">
        <v>21</v>
      </c>
    </row>
    <row r="1933" spans="1:10" x14ac:dyDescent="0.25">
      <c r="A1933" s="1">
        <v>998</v>
      </c>
      <c r="B1933" t="s">
        <v>25</v>
      </c>
      <c r="C1933">
        <v>635</v>
      </c>
      <c r="D1933">
        <v>1</v>
      </c>
      <c r="E1933" t="s">
        <v>23</v>
      </c>
      <c r="F1933" t="s">
        <v>24</v>
      </c>
      <c r="G1933" t="str">
        <f>"2025-06-06 12:29:30.514"</f>
        <v>2025-06-06 12:29:30.514</v>
      </c>
      <c r="H1933" t="s">
        <v>21</v>
      </c>
      <c r="I1933">
        <v>7.87</v>
      </c>
      <c r="J1933" t="s">
        <v>26</v>
      </c>
    </row>
    <row r="1934" spans="1:10" x14ac:dyDescent="0.25">
      <c r="A1934" s="1">
        <v>999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"2025-06-06 08:25:45.598"</f>
        <v>2025-06-06 08:25:45.598</v>
      </c>
      <c r="H1934" t="s">
        <v>21</v>
      </c>
      <c r="I1934">
        <v>0</v>
      </c>
      <c r="J1934" t="s">
        <v>27</v>
      </c>
    </row>
    <row r="1935" spans="1:10" x14ac:dyDescent="0.25">
      <c r="A1935" s="1">
        <v>0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"2025-06-06 02:05:23.708"</f>
        <v>2025-06-06 02:05:23.708</v>
      </c>
      <c r="H1935" t="s">
        <v>21</v>
      </c>
    </row>
    <row r="1936" spans="1:10" x14ac:dyDescent="0.25">
      <c r="A1936" s="1">
        <v>1</v>
      </c>
      <c r="B1936" t="s">
        <v>22</v>
      </c>
      <c r="C1936">
        <v>630</v>
      </c>
      <c r="D1936">
        <v>5</v>
      </c>
      <c r="E1936" t="s">
        <v>28</v>
      </c>
      <c r="F1936" t="s">
        <v>29</v>
      </c>
      <c r="G1936" t="str">
        <f>"2025-06-04 15:03:04.145"</f>
        <v>2025-06-04 15:03:04.145</v>
      </c>
      <c r="H1936" t="s">
        <v>30</v>
      </c>
    </row>
    <row r="1937" spans="1:10" x14ac:dyDescent="0.25">
      <c r="A1937" s="1">
        <v>2</v>
      </c>
      <c r="B1937" t="s">
        <v>19</v>
      </c>
      <c r="C1937">
        <v>706</v>
      </c>
      <c r="D1937">
        <v>4</v>
      </c>
      <c r="E1937" t="s">
        <v>31</v>
      </c>
      <c r="F1937" t="s">
        <v>32</v>
      </c>
      <c r="G1937" t="str">
        <f>"2025-06-04 15:02:34.049"</f>
        <v>2025-06-04 15:02:34.049</v>
      </c>
      <c r="H1937" t="s">
        <v>21</v>
      </c>
      <c r="I1937">
        <v>0</v>
      </c>
      <c r="J1937" t="s">
        <v>33</v>
      </c>
    </row>
    <row r="1938" spans="1:10" x14ac:dyDescent="0.25">
      <c r="A1938" s="1">
        <v>3</v>
      </c>
      <c r="B1938" t="s">
        <v>34</v>
      </c>
      <c r="C1938">
        <v>630</v>
      </c>
      <c r="D1938">
        <v>5</v>
      </c>
      <c r="E1938" t="s">
        <v>28</v>
      </c>
      <c r="F1938" t="s">
        <v>29</v>
      </c>
      <c r="G1938" t="str">
        <f>"2025-06-04 14:52:25.446"</f>
        <v>2025-06-04 14:52:25.446</v>
      </c>
      <c r="H1938" t="s">
        <v>30</v>
      </c>
      <c r="I1938">
        <v>0</v>
      </c>
      <c r="J1938" t="s">
        <v>33</v>
      </c>
    </row>
    <row r="1939" spans="1:10" x14ac:dyDescent="0.25">
      <c r="A1939" s="1">
        <v>4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"2025-06-04 14:47:22.739"</f>
        <v>2025-06-04 14:47:22.739</v>
      </c>
      <c r="H1939" t="s">
        <v>21</v>
      </c>
      <c r="I1939">
        <v>0</v>
      </c>
      <c r="J1939" t="s">
        <v>27</v>
      </c>
    </row>
    <row r="1940" spans="1:10" x14ac:dyDescent="0.25">
      <c r="A1940" s="1">
        <v>5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"2025-06-04 01:43:09.617"</f>
        <v>2025-06-04 01:43:09.617</v>
      </c>
      <c r="H1940" t="s">
        <v>21</v>
      </c>
    </row>
    <row r="1941" spans="1:10" x14ac:dyDescent="0.25">
      <c r="A1941" s="1">
        <v>6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"2025-06-03 08:17:35.590"</f>
        <v>2025-06-03 08:17:35.590</v>
      </c>
      <c r="H1941" t="s">
        <v>21</v>
      </c>
    </row>
    <row r="1942" spans="1:10" x14ac:dyDescent="0.25">
      <c r="A1942" s="1">
        <v>7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"2025-06-03 01:34:06.565"</f>
        <v>2025-06-03 01:34:06.565</v>
      </c>
      <c r="H1942" t="s">
        <v>21</v>
      </c>
      <c r="I1942">
        <v>0</v>
      </c>
      <c r="J1942" t="s">
        <v>27</v>
      </c>
    </row>
    <row r="1943" spans="1:10" s="3" customFormat="1" x14ac:dyDescent="0.25">
      <c r="A1943" s="2">
        <v>8</v>
      </c>
      <c r="B1943" s="3" t="s">
        <v>22</v>
      </c>
      <c r="C1943" s="3">
        <v>647</v>
      </c>
      <c r="D1943" s="3">
        <v>1</v>
      </c>
      <c r="E1943" s="3" t="s">
        <v>39</v>
      </c>
      <c r="F1943" s="3" t="s">
        <v>40</v>
      </c>
      <c r="G1943" s="3" t="str">
        <f>"2025-06-02 18:44:09.414"</f>
        <v>2025-06-02 18:44:09.414</v>
      </c>
      <c r="H1943" s="3" t="s">
        <v>21</v>
      </c>
    </row>
    <row r="1944" spans="1:10" s="3" customFormat="1" x14ac:dyDescent="0.25">
      <c r="A1944" s="2">
        <v>9</v>
      </c>
      <c r="B1944" s="3" t="s">
        <v>25</v>
      </c>
      <c r="C1944" s="3">
        <v>647</v>
      </c>
      <c r="D1944" s="3">
        <v>1</v>
      </c>
      <c r="E1944" s="3" t="s">
        <v>39</v>
      </c>
      <c r="F1944" s="3" t="s">
        <v>40</v>
      </c>
      <c r="G1944" s="3" t="str">
        <f>"2025-06-02 18:44:07.314"</f>
        <v>2025-06-02 18:44:07.314</v>
      </c>
      <c r="H1944" s="3" t="s">
        <v>21</v>
      </c>
      <c r="I1944" s="3">
        <v>27.92</v>
      </c>
      <c r="J1944" s="3" t="s">
        <v>37</v>
      </c>
    </row>
    <row r="1945" spans="1:10" x14ac:dyDescent="0.25">
      <c r="A1945" s="1">
        <v>10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"2025-06-02 00:30:27.593"</f>
        <v>2025-06-02 00:30:27.593</v>
      </c>
      <c r="H1945" t="s">
        <v>21</v>
      </c>
      <c r="I1945">
        <v>0</v>
      </c>
      <c r="J1945" t="s">
        <v>27</v>
      </c>
    </row>
    <row r="1946" spans="1:10" x14ac:dyDescent="0.25">
      <c r="A1946" s="1">
        <v>11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"2025-06-01 00:33:47.594"</f>
        <v>2025-06-01 00:33:47.594</v>
      </c>
      <c r="H1946" t="s">
        <v>21</v>
      </c>
      <c r="I1946">
        <v>0</v>
      </c>
      <c r="J1946" t="s">
        <v>27</v>
      </c>
    </row>
    <row r="1947" spans="1:10" x14ac:dyDescent="0.25">
      <c r="A1947" s="1">
        <v>12</v>
      </c>
      <c r="B1947" t="s">
        <v>22</v>
      </c>
      <c r="C1947">
        <v>635</v>
      </c>
      <c r="D1947">
        <v>1</v>
      </c>
      <c r="E1947" t="s">
        <v>23</v>
      </c>
      <c r="F1947" t="s">
        <v>24</v>
      </c>
      <c r="G1947" t="str">
        <f>"2025-05-31 11:18:10.326"</f>
        <v>2025-05-31 11:18:10.326</v>
      </c>
      <c r="H1947" t="s">
        <v>21</v>
      </c>
    </row>
    <row r="1948" spans="1:10" x14ac:dyDescent="0.25">
      <c r="A1948" s="1">
        <v>13</v>
      </c>
      <c r="B1948" t="s">
        <v>25</v>
      </c>
      <c r="C1948">
        <v>635</v>
      </c>
      <c r="D1948">
        <v>1</v>
      </c>
      <c r="E1948" t="s">
        <v>23</v>
      </c>
      <c r="F1948" t="s">
        <v>24</v>
      </c>
      <c r="G1948" t="str">
        <f>"2025-05-31 11:11:46.326"</f>
        <v>2025-05-31 11:11:46.326</v>
      </c>
      <c r="H1948" t="s">
        <v>21</v>
      </c>
      <c r="I1948">
        <v>9.44</v>
      </c>
      <c r="J1948" t="s">
        <v>26</v>
      </c>
    </row>
    <row r="1949" spans="1:10" x14ac:dyDescent="0.25">
      <c r="A1949" s="1">
        <v>14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"2025-05-31 01:26:33.566"</f>
        <v>2025-05-31 01:26:33.566</v>
      </c>
      <c r="H1949" t="s">
        <v>21</v>
      </c>
      <c r="I1949">
        <v>0</v>
      </c>
      <c r="J1949" t="s">
        <v>27</v>
      </c>
    </row>
    <row r="1950" spans="1:10" s="3" customFormat="1" x14ac:dyDescent="0.25">
      <c r="A1950" s="2">
        <v>15</v>
      </c>
      <c r="B1950" s="3" t="s">
        <v>22</v>
      </c>
      <c r="C1950" s="3">
        <v>647</v>
      </c>
      <c r="D1950" s="3">
        <v>1</v>
      </c>
      <c r="E1950" s="3" t="s">
        <v>39</v>
      </c>
      <c r="F1950" s="3" t="s">
        <v>40</v>
      </c>
      <c r="G1950" s="3" t="str">
        <f>"2025-05-30 10:22:07.861"</f>
        <v>2025-05-30 10:22:07.861</v>
      </c>
      <c r="H1950" s="3" t="s">
        <v>21</v>
      </c>
    </row>
    <row r="1951" spans="1:10" s="3" customFormat="1" x14ac:dyDescent="0.25">
      <c r="A1951" s="2">
        <v>16</v>
      </c>
      <c r="B1951" s="3" t="s">
        <v>25</v>
      </c>
      <c r="C1951" s="3">
        <v>647</v>
      </c>
      <c r="D1951" s="3">
        <v>1</v>
      </c>
      <c r="E1951" s="3" t="s">
        <v>39</v>
      </c>
      <c r="F1951" s="3" t="s">
        <v>40</v>
      </c>
      <c r="G1951" s="3" t="str">
        <f>"2025-05-30 10:22:05.362"</f>
        <v>2025-05-30 10:22:05.362</v>
      </c>
      <c r="H1951" s="3" t="s">
        <v>21</v>
      </c>
      <c r="I1951" s="3">
        <v>15.49</v>
      </c>
      <c r="J1951" s="3" t="s">
        <v>37</v>
      </c>
    </row>
    <row r="1952" spans="1:10" x14ac:dyDescent="0.25">
      <c r="A1952" s="1">
        <v>17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"2025-05-30 10:18:32.743"</f>
        <v>2025-05-30 10:18:32.743</v>
      </c>
      <c r="H1952" t="s">
        <v>21</v>
      </c>
    </row>
    <row r="1953" spans="1:10" x14ac:dyDescent="0.25">
      <c r="A1953" s="1">
        <v>18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"2025-05-30 01:53:57.591"</f>
        <v>2025-05-30 01:53:57.591</v>
      </c>
      <c r="H1953" t="s">
        <v>21</v>
      </c>
      <c r="I1953">
        <v>0</v>
      </c>
      <c r="J1953" t="s">
        <v>27</v>
      </c>
    </row>
    <row r="1954" spans="1:10" x14ac:dyDescent="0.25">
      <c r="A1954" s="1">
        <v>19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"2025-05-29 17:07:57.554"</f>
        <v>2025-05-29 17:07:57.554</v>
      </c>
      <c r="H1954" t="s">
        <v>21</v>
      </c>
    </row>
    <row r="1955" spans="1:10" x14ac:dyDescent="0.25">
      <c r="A1955" s="1">
        <v>20</v>
      </c>
      <c r="B1955" t="s">
        <v>22</v>
      </c>
      <c r="C1955">
        <v>630</v>
      </c>
      <c r="D1955">
        <v>5</v>
      </c>
      <c r="E1955" t="s">
        <v>28</v>
      </c>
      <c r="F1955" t="s">
        <v>29</v>
      </c>
      <c r="G1955" t="str">
        <f>"2025-05-29 16:46:15.778"</f>
        <v>2025-05-29 16:46:15.778</v>
      </c>
      <c r="H1955" t="s">
        <v>30</v>
      </c>
    </row>
    <row r="1956" spans="1:10" x14ac:dyDescent="0.25">
      <c r="A1956" s="1">
        <v>21</v>
      </c>
      <c r="B1956" t="s">
        <v>19</v>
      </c>
      <c r="C1956">
        <v>706</v>
      </c>
      <c r="D1956">
        <v>4</v>
      </c>
      <c r="E1956" t="s">
        <v>31</v>
      </c>
      <c r="F1956" t="s">
        <v>32</v>
      </c>
      <c r="G1956" t="str">
        <f>"2025-05-29 16:45:45.726"</f>
        <v>2025-05-29 16:45:45.726</v>
      </c>
      <c r="H1956" t="s">
        <v>21</v>
      </c>
      <c r="I1956">
        <v>0</v>
      </c>
      <c r="J1956" t="s">
        <v>33</v>
      </c>
    </row>
    <row r="1957" spans="1:10" x14ac:dyDescent="0.25">
      <c r="A1957" s="1">
        <v>22</v>
      </c>
      <c r="B1957" t="s">
        <v>34</v>
      </c>
      <c r="C1957">
        <v>630</v>
      </c>
      <c r="D1957">
        <v>5</v>
      </c>
      <c r="E1957" t="s">
        <v>28</v>
      </c>
      <c r="F1957" t="s">
        <v>29</v>
      </c>
      <c r="G1957" t="str">
        <f>"2025-05-29 16:41:07.278"</f>
        <v>2025-05-29 16:41:07.278</v>
      </c>
      <c r="H1957" t="s">
        <v>30</v>
      </c>
      <c r="I1957">
        <v>0</v>
      </c>
      <c r="J1957" t="s">
        <v>33</v>
      </c>
    </row>
    <row r="1958" spans="1:10" x14ac:dyDescent="0.25">
      <c r="A1958" s="1">
        <v>23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"2025-05-29 16:36:04.556"</f>
        <v>2025-05-29 16:36:04.556</v>
      </c>
      <c r="H1958" t="s">
        <v>21</v>
      </c>
    </row>
    <row r="1959" spans="1:10" x14ac:dyDescent="0.25">
      <c r="A1959" s="1">
        <v>24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"2025-05-29 14:38:38.559"</f>
        <v>2025-05-29 14:38:38.559</v>
      </c>
      <c r="H1959" t="s">
        <v>21</v>
      </c>
      <c r="I1959">
        <v>0</v>
      </c>
      <c r="J1959" t="s">
        <v>27</v>
      </c>
    </row>
    <row r="1960" spans="1:10" x14ac:dyDescent="0.25">
      <c r="A1960" s="1">
        <v>25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"2025-05-29 09:54:22.565"</f>
        <v>2025-05-29 09:54:22.565</v>
      </c>
      <c r="H1960" t="s">
        <v>21</v>
      </c>
    </row>
    <row r="1961" spans="1:10" x14ac:dyDescent="0.25">
      <c r="A1961" s="1">
        <v>26</v>
      </c>
      <c r="B1961" t="s">
        <v>19</v>
      </c>
      <c r="C1961">
        <v>706</v>
      </c>
      <c r="D1961">
        <v>2</v>
      </c>
      <c r="E1961" t="s">
        <v>31</v>
      </c>
      <c r="F1961" t="s">
        <v>35</v>
      </c>
      <c r="G1961" t="str">
        <f>"2025-05-29 09:12:47.945"</f>
        <v>2025-05-29 09:12:47.945</v>
      </c>
      <c r="H1961" t="s">
        <v>21</v>
      </c>
      <c r="I1961">
        <v>0</v>
      </c>
      <c r="J1961" t="s">
        <v>33</v>
      </c>
    </row>
    <row r="1962" spans="1:10" x14ac:dyDescent="0.25">
      <c r="A1962" s="1">
        <v>27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"2025-05-29 09:12:32.755"</f>
        <v>2025-05-29 09:12:32.755</v>
      </c>
      <c r="H1962" t="s">
        <v>21</v>
      </c>
    </row>
    <row r="1963" spans="1:10" x14ac:dyDescent="0.25">
      <c r="A1963" s="1">
        <v>28</v>
      </c>
      <c r="B1963" t="s">
        <v>22</v>
      </c>
      <c r="C1963">
        <v>630</v>
      </c>
      <c r="D1963">
        <v>5</v>
      </c>
      <c r="E1963" t="s">
        <v>28</v>
      </c>
      <c r="F1963" t="s">
        <v>29</v>
      </c>
      <c r="G1963" t="str">
        <f>"2025-05-29 02:58:53.187"</f>
        <v>2025-05-29 02:58:53.187</v>
      </c>
      <c r="H1963" t="s">
        <v>30</v>
      </c>
    </row>
    <row r="1964" spans="1:10" x14ac:dyDescent="0.25">
      <c r="A1964" s="1">
        <v>29</v>
      </c>
      <c r="B1964" t="s">
        <v>19</v>
      </c>
      <c r="C1964">
        <v>706</v>
      </c>
      <c r="D1964">
        <v>2</v>
      </c>
      <c r="E1964" t="s">
        <v>31</v>
      </c>
      <c r="F1964" t="s">
        <v>35</v>
      </c>
      <c r="G1964" t="str">
        <f>"2025-05-29 02:58:23.069"</f>
        <v>2025-05-29 02:58:23.069</v>
      </c>
      <c r="H1964" t="s">
        <v>21</v>
      </c>
      <c r="I1964">
        <v>0</v>
      </c>
      <c r="J1964" t="s">
        <v>33</v>
      </c>
    </row>
    <row r="1965" spans="1:10" x14ac:dyDescent="0.25">
      <c r="A1965" s="1">
        <v>30</v>
      </c>
      <c r="B1965" t="s">
        <v>34</v>
      </c>
      <c r="C1965">
        <v>630</v>
      </c>
      <c r="D1965">
        <v>5</v>
      </c>
      <c r="E1965" t="s">
        <v>28</v>
      </c>
      <c r="F1965" t="s">
        <v>29</v>
      </c>
      <c r="G1965" t="str">
        <f>"2025-05-29 02:37:18.688"</f>
        <v>2025-05-29 02:37:18.688</v>
      </c>
      <c r="H1965" t="s">
        <v>30</v>
      </c>
      <c r="I1965">
        <v>0</v>
      </c>
      <c r="J1965" t="s">
        <v>33</v>
      </c>
    </row>
    <row r="1966" spans="1:10" x14ac:dyDescent="0.25">
      <c r="A1966" s="1">
        <v>31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"2025-05-29 02:23:10.569"</f>
        <v>2025-05-29 02:23:10.569</v>
      </c>
      <c r="H1966" t="s">
        <v>21</v>
      </c>
    </row>
    <row r="1967" spans="1:10" x14ac:dyDescent="0.25">
      <c r="A1967" s="1">
        <v>32</v>
      </c>
      <c r="B1967" t="s">
        <v>34</v>
      </c>
      <c r="C1967">
        <v>630</v>
      </c>
      <c r="D1967">
        <v>5</v>
      </c>
      <c r="E1967" t="s">
        <v>28</v>
      </c>
      <c r="F1967" t="s">
        <v>29</v>
      </c>
      <c r="G1967" t="str">
        <f>"2025-05-29 02:16:24.466"</f>
        <v>2025-05-29 02:16:24.466</v>
      </c>
      <c r="H1967" t="s">
        <v>30</v>
      </c>
      <c r="I1967">
        <v>0</v>
      </c>
      <c r="J1967" t="s">
        <v>33</v>
      </c>
    </row>
    <row r="1968" spans="1:10" x14ac:dyDescent="0.25">
      <c r="A1968" s="1">
        <v>33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"2025-05-29 02:11:21.596"</f>
        <v>2025-05-29 02:11:21.596</v>
      </c>
      <c r="H1968" t="s">
        <v>21</v>
      </c>
      <c r="I1968">
        <v>0</v>
      </c>
      <c r="J1968" t="s">
        <v>27</v>
      </c>
    </row>
    <row r="1969" spans="1:10" x14ac:dyDescent="0.25">
      <c r="A1969" s="1">
        <v>34</v>
      </c>
      <c r="B1969" t="s">
        <v>34</v>
      </c>
      <c r="C1969">
        <v>630</v>
      </c>
      <c r="D1969">
        <v>5</v>
      </c>
      <c r="E1969" t="s">
        <v>28</v>
      </c>
      <c r="F1969" t="s">
        <v>29</v>
      </c>
      <c r="G1969" t="str">
        <f>"2025-05-29 01:53:24.518"</f>
        <v>2025-05-29 01:53:24.518</v>
      </c>
      <c r="H1969" t="s">
        <v>30</v>
      </c>
      <c r="I1969">
        <v>0</v>
      </c>
      <c r="J1969" t="s">
        <v>33</v>
      </c>
    </row>
    <row r="1970" spans="1:10" x14ac:dyDescent="0.25">
      <c r="A1970" s="1">
        <v>35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"2025-05-29 01:48:21.782"</f>
        <v>2025-05-29 01:48:21.782</v>
      </c>
      <c r="H1970" t="s">
        <v>21</v>
      </c>
    </row>
    <row r="1971" spans="1:10" x14ac:dyDescent="0.25">
      <c r="A1971" s="1">
        <v>36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"2025-05-29 00:31:53.676"</f>
        <v>2025-05-29 00:31:53.676</v>
      </c>
      <c r="H1971" t="s">
        <v>21</v>
      </c>
      <c r="I1971">
        <v>0</v>
      </c>
      <c r="J1971" t="s">
        <v>27</v>
      </c>
    </row>
    <row r="1972" spans="1:10" x14ac:dyDescent="0.25">
      <c r="A1972" s="1">
        <v>38</v>
      </c>
      <c r="B1972" t="s">
        <v>41</v>
      </c>
      <c r="C1972">
        <v>215</v>
      </c>
      <c r="D1972">
        <v>6</v>
      </c>
      <c r="E1972" t="s">
        <v>42</v>
      </c>
      <c r="F1972" t="s">
        <v>43</v>
      </c>
      <c r="G1972" t="str">
        <f>"2025-05-28 13:53:04.286"</f>
        <v>2025-05-28 13:53:04.286</v>
      </c>
      <c r="H1972" t="s">
        <v>21</v>
      </c>
    </row>
    <row r="1973" spans="1:10" x14ac:dyDescent="0.25">
      <c r="A1973" s="1">
        <v>39</v>
      </c>
      <c r="B1973" t="s">
        <v>41</v>
      </c>
      <c r="C1973">
        <v>115</v>
      </c>
      <c r="D1973">
        <v>6</v>
      </c>
      <c r="E1973" t="s">
        <v>44</v>
      </c>
      <c r="F1973" t="s">
        <v>43</v>
      </c>
      <c r="G1973" t="str">
        <f>"2025-05-28 13:53:04.186"</f>
        <v>2025-05-28 13:53:04.186</v>
      </c>
      <c r="H1973" t="s">
        <v>21</v>
      </c>
    </row>
    <row r="1974" spans="1:10" x14ac:dyDescent="0.25">
      <c r="A1974" s="1">
        <v>40</v>
      </c>
      <c r="B1974" t="s">
        <v>34</v>
      </c>
      <c r="C1974">
        <v>215</v>
      </c>
      <c r="D1974">
        <v>6</v>
      </c>
      <c r="E1974" t="s">
        <v>42</v>
      </c>
      <c r="F1974" t="s">
        <v>43</v>
      </c>
      <c r="G1974" t="str">
        <f>"2025-05-28 13:52:59.149"</f>
        <v>2025-05-28 13:52:59.149</v>
      </c>
      <c r="H1974" t="s">
        <v>21</v>
      </c>
      <c r="I1974">
        <v>0</v>
      </c>
      <c r="J1974" t="s">
        <v>33</v>
      </c>
    </row>
    <row r="1975" spans="1:10" x14ac:dyDescent="0.25">
      <c r="A1975" s="1">
        <v>41</v>
      </c>
      <c r="B1975" t="s">
        <v>34</v>
      </c>
      <c r="C1975">
        <v>115</v>
      </c>
      <c r="D1975">
        <v>6</v>
      </c>
      <c r="E1975" t="s">
        <v>44</v>
      </c>
      <c r="F1975" t="s">
        <v>43</v>
      </c>
      <c r="G1975" t="str">
        <f>"2025-05-28 13:52:59.145"</f>
        <v>2025-05-28 13:52:59.145</v>
      </c>
      <c r="H1975" t="s">
        <v>21</v>
      </c>
      <c r="I1975">
        <v>0</v>
      </c>
      <c r="J1975" t="s">
        <v>33</v>
      </c>
    </row>
    <row r="1976" spans="1:10" x14ac:dyDescent="0.25">
      <c r="A1976" s="1">
        <v>42</v>
      </c>
      <c r="B1976" t="s">
        <v>22</v>
      </c>
      <c r="C1976">
        <v>6</v>
      </c>
      <c r="D1976">
        <v>1</v>
      </c>
      <c r="E1976" t="s">
        <v>45</v>
      </c>
      <c r="F1976" t="s">
        <v>46</v>
      </c>
      <c r="G1976" t="str">
        <f>"2025-05-28 13:52:59.018"</f>
        <v>2025-05-28 13:52:59.018</v>
      </c>
      <c r="H1976" t="s">
        <v>47</v>
      </c>
    </row>
    <row r="1977" spans="1:10" x14ac:dyDescent="0.25">
      <c r="A1977" s="1">
        <v>43</v>
      </c>
      <c r="B1977" t="s">
        <v>22</v>
      </c>
      <c r="C1977">
        <v>75</v>
      </c>
      <c r="D1977">
        <v>1</v>
      </c>
      <c r="E1977" t="s">
        <v>48</v>
      </c>
      <c r="F1977" t="s">
        <v>49</v>
      </c>
      <c r="G1977" t="str">
        <f>"2025-05-28 13:52:59.017"</f>
        <v>2025-05-28 13:52:59.017</v>
      </c>
      <c r="H1977" t="s">
        <v>50</v>
      </c>
    </row>
    <row r="1978" spans="1:10" x14ac:dyDescent="0.25">
      <c r="A1978" s="1">
        <v>44</v>
      </c>
      <c r="B1978" t="s">
        <v>22</v>
      </c>
      <c r="C1978">
        <v>74</v>
      </c>
      <c r="D1978">
        <v>1</v>
      </c>
      <c r="E1978" t="s">
        <v>51</v>
      </c>
      <c r="F1978" t="s">
        <v>52</v>
      </c>
      <c r="G1978" t="str">
        <f>"2025-05-28 13:52:59.015"</f>
        <v>2025-05-28 13:52:59.015</v>
      </c>
      <c r="H1978" t="s">
        <v>53</v>
      </c>
    </row>
    <row r="1979" spans="1:10" x14ac:dyDescent="0.25">
      <c r="A1979" s="1">
        <v>45</v>
      </c>
      <c r="B1979" t="s">
        <v>25</v>
      </c>
      <c r="C1979">
        <v>75</v>
      </c>
      <c r="D1979">
        <v>1</v>
      </c>
      <c r="E1979" t="s">
        <v>48</v>
      </c>
      <c r="F1979" t="s">
        <v>49</v>
      </c>
      <c r="G1979" t="str">
        <f>"2025-05-28 13:52:47.526"</f>
        <v>2025-05-28 13:52:47.526</v>
      </c>
      <c r="H1979" t="s">
        <v>50</v>
      </c>
      <c r="I1979">
        <v>0</v>
      </c>
      <c r="J1979" t="s">
        <v>33</v>
      </c>
    </row>
    <row r="1980" spans="1:10" x14ac:dyDescent="0.25">
      <c r="A1980" s="1">
        <v>46</v>
      </c>
      <c r="B1980" t="s">
        <v>25</v>
      </c>
      <c r="C1980">
        <v>74</v>
      </c>
      <c r="D1980">
        <v>1</v>
      </c>
      <c r="E1980" t="s">
        <v>51</v>
      </c>
      <c r="F1980" t="s">
        <v>52</v>
      </c>
      <c r="G1980" t="str">
        <f>"2025-05-28 13:52:47.520"</f>
        <v>2025-05-28 13:52:47.520</v>
      </c>
      <c r="H1980" t="s">
        <v>53</v>
      </c>
      <c r="I1980">
        <v>0</v>
      </c>
      <c r="J1980" t="s">
        <v>33</v>
      </c>
    </row>
    <row r="1981" spans="1:10" x14ac:dyDescent="0.25">
      <c r="A1981" s="1">
        <v>47</v>
      </c>
      <c r="B1981" t="s">
        <v>34</v>
      </c>
      <c r="C1981">
        <v>6</v>
      </c>
      <c r="D1981">
        <v>1</v>
      </c>
      <c r="E1981" t="s">
        <v>45</v>
      </c>
      <c r="F1981" t="s">
        <v>46</v>
      </c>
      <c r="G1981" t="str">
        <f>"2025-05-28 13:52:47.516"</f>
        <v>2025-05-28 13:52:47.516</v>
      </c>
      <c r="H1981" t="s">
        <v>47</v>
      </c>
      <c r="I1981">
        <v>0</v>
      </c>
      <c r="J1981" t="s">
        <v>33</v>
      </c>
    </row>
    <row r="1982" spans="1:10" x14ac:dyDescent="0.25">
      <c r="A1982" s="1">
        <v>52</v>
      </c>
      <c r="B1982" t="s">
        <v>22</v>
      </c>
      <c r="C1982">
        <v>635</v>
      </c>
      <c r="D1982">
        <v>1</v>
      </c>
      <c r="E1982" t="s">
        <v>23</v>
      </c>
      <c r="F1982" t="s">
        <v>24</v>
      </c>
      <c r="G1982" t="str">
        <f>"2025-05-27 20:16:09.455"</f>
        <v>2025-05-27 20:16:09.455</v>
      </c>
      <c r="H1982" t="s">
        <v>21</v>
      </c>
    </row>
    <row r="1983" spans="1:10" x14ac:dyDescent="0.25">
      <c r="A1983" s="1">
        <v>53</v>
      </c>
      <c r="B1983" t="s">
        <v>25</v>
      </c>
      <c r="C1983">
        <v>635</v>
      </c>
      <c r="D1983">
        <v>1</v>
      </c>
      <c r="E1983" t="s">
        <v>23</v>
      </c>
      <c r="F1983" t="s">
        <v>24</v>
      </c>
      <c r="G1983" t="str">
        <f>"2025-05-27 20:09:55.955"</f>
        <v>2025-05-27 20:09:55.955</v>
      </c>
      <c r="H1983" t="s">
        <v>21</v>
      </c>
      <c r="I1983">
        <v>1.79</v>
      </c>
      <c r="J1983" t="s">
        <v>36</v>
      </c>
    </row>
    <row r="1984" spans="1:10" x14ac:dyDescent="0.25">
      <c r="A1984" s="1">
        <v>54</v>
      </c>
      <c r="B1984" t="s">
        <v>22</v>
      </c>
      <c r="C1984">
        <v>635</v>
      </c>
      <c r="D1984">
        <v>1</v>
      </c>
      <c r="E1984" t="s">
        <v>23</v>
      </c>
      <c r="F1984" t="s">
        <v>24</v>
      </c>
      <c r="G1984" t="str">
        <f>"2025-05-27 14:01:14.655"</f>
        <v>2025-05-27 14:01:14.655</v>
      </c>
      <c r="H1984" t="s">
        <v>21</v>
      </c>
    </row>
    <row r="1985" spans="1:10" x14ac:dyDescent="0.25">
      <c r="A1985" s="1">
        <v>55</v>
      </c>
      <c r="B1985" t="s">
        <v>25</v>
      </c>
      <c r="C1985">
        <v>635</v>
      </c>
      <c r="D1985">
        <v>1</v>
      </c>
      <c r="E1985" t="s">
        <v>23</v>
      </c>
      <c r="F1985" t="s">
        <v>24</v>
      </c>
      <c r="G1985" t="str">
        <f>"2025-05-27 13:57:16.155"</f>
        <v>2025-05-27 13:57:16.155</v>
      </c>
      <c r="H1985" t="s">
        <v>21</v>
      </c>
      <c r="I1985">
        <v>1.34</v>
      </c>
      <c r="J1985" t="s">
        <v>37</v>
      </c>
    </row>
    <row r="1986" spans="1:10" x14ac:dyDescent="0.25">
      <c r="A1986" s="1">
        <v>56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"2025-05-27 01:58:30.576"</f>
        <v>2025-05-27 01:58:30.576</v>
      </c>
      <c r="H1986" t="s">
        <v>21</v>
      </c>
    </row>
    <row r="1987" spans="1:10" x14ac:dyDescent="0.25">
      <c r="A1987" s="1">
        <v>57</v>
      </c>
      <c r="B1987" t="s">
        <v>41</v>
      </c>
      <c r="C1987">
        <v>77</v>
      </c>
      <c r="D1987">
        <v>1</v>
      </c>
      <c r="E1987" t="s">
        <v>70</v>
      </c>
      <c r="F1987" t="s">
        <v>71</v>
      </c>
      <c r="G1987" t="str">
        <f>"2025-05-26 17:21:23.966"</f>
        <v>2025-05-26 17:21:23.966</v>
      </c>
      <c r="H1987" t="s">
        <v>47</v>
      </c>
    </row>
    <row r="1988" spans="1:10" x14ac:dyDescent="0.25">
      <c r="A1988" s="1">
        <v>58</v>
      </c>
      <c r="B1988" t="s">
        <v>34</v>
      </c>
      <c r="C1988">
        <v>77</v>
      </c>
      <c r="D1988">
        <v>1</v>
      </c>
      <c r="E1988" t="s">
        <v>70</v>
      </c>
      <c r="F1988" t="s">
        <v>71</v>
      </c>
      <c r="G1988" t="str">
        <f>"2025-05-26 17:21:18.873"</f>
        <v>2025-05-26 17:21:18.873</v>
      </c>
      <c r="H1988" t="s">
        <v>47</v>
      </c>
      <c r="I1988">
        <v>0</v>
      </c>
      <c r="J1988" t="s">
        <v>33</v>
      </c>
    </row>
    <row r="1989" spans="1:10" x14ac:dyDescent="0.25">
      <c r="A1989" s="1">
        <v>59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"2025-05-26 17:20:38.555"</f>
        <v>2025-05-26 17:20:38.555</v>
      </c>
      <c r="H1989" t="s">
        <v>21</v>
      </c>
      <c r="I1989">
        <v>0</v>
      </c>
      <c r="J1989" t="s">
        <v>27</v>
      </c>
    </row>
    <row r="1990" spans="1:10" x14ac:dyDescent="0.25">
      <c r="A1990" s="1">
        <v>61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"2025-05-26 00:52:30.631"</f>
        <v>2025-05-26 00:52:30.631</v>
      </c>
      <c r="H1990" t="s">
        <v>21</v>
      </c>
    </row>
    <row r="1991" spans="1:10" x14ac:dyDescent="0.25">
      <c r="A1991" s="1">
        <v>62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"2025-05-25 10:06:22.534"</f>
        <v>2025-05-25 10:06:22.534</v>
      </c>
      <c r="H1991" t="s">
        <v>21</v>
      </c>
    </row>
    <row r="1992" spans="1:10" s="3" customFormat="1" x14ac:dyDescent="0.25">
      <c r="A1992" s="2">
        <v>64</v>
      </c>
      <c r="B1992" s="3" t="s">
        <v>22</v>
      </c>
      <c r="C1992" s="3">
        <v>647</v>
      </c>
      <c r="D1992" s="3">
        <v>1</v>
      </c>
      <c r="E1992" s="3" t="s">
        <v>39</v>
      </c>
      <c r="F1992" s="3" t="s">
        <v>40</v>
      </c>
      <c r="G1992" s="3" t="str">
        <f>"2025-05-23 08:39:47.890"</f>
        <v>2025-05-23 08:39:47.890</v>
      </c>
      <c r="H1992" s="3" t="s">
        <v>21</v>
      </c>
    </row>
    <row r="1993" spans="1:10" s="3" customFormat="1" x14ac:dyDescent="0.25">
      <c r="A1993" s="2">
        <v>65</v>
      </c>
      <c r="B1993" s="3" t="s">
        <v>25</v>
      </c>
      <c r="C1993" s="3">
        <v>647</v>
      </c>
      <c r="D1993" s="3">
        <v>1</v>
      </c>
      <c r="E1993" s="3" t="s">
        <v>39</v>
      </c>
      <c r="F1993" s="3" t="s">
        <v>40</v>
      </c>
      <c r="G1993" s="3" t="str">
        <f>"2025-05-23 08:39:46.191"</f>
        <v>2025-05-23 08:39:46.191</v>
      </c>
      <c r="H1993" s="3" t="s">
        <v>21</v>
      </c>
      <c r="I1993" s="3">
        <v>24.09</v>
      </c>
      <c r="J1993" s="3" t="s">
        <v>37</v>
      </c>
    </row>
    <row r="1994" spans="1:10" x14ac:dyDescent="0.25">
      <c r="A1994" s="1">
        <v>66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"2025-05-23 01:40:20.564"</f>
        <v>2025-05-23 01:40:20.564</v>
      </c>
      <c r="H1994" t="s">
        <v>21</v>
      </c>
      <c r="I1994">
        <v>0</v>
      </c>
      <c r="J1994" t="s">
        <v>27</v>
      </c>
    </row>
    <row r="1995" spans="1:10" x14ac:dyDescent="0.25">
      <c r="A1995" s="1">
        <v>67</v>
      </c>
      <c r="B1995" t="s">
        <v>22</v>
      </c>
      <c r="C1995">
        <v>635</v>
      </c>
      <c r="D1995">
        <v>1</v>
      </c>
      <c r="E1995" t="s">
        <v>23</v>
      </c>
      <c r="F1995" t="s">
        <v>24</v>
      </c>
      <c r="G1995" t="str">
        <f>"2025-05-21 04:07:46.377"</f>
        <v>2025-05-21 04:07:46.377</v>
      </c>
      <c r="H1995" t="s">
        <v>21</v>
      </c>
    </row>
    <row r="1996" spans="1:10" x14ac:dyDescent="0.25">
      <c r="A1996" s="1">
        <v>68</v>
      </c>
      <c r="B1996" t="s">
        <v>25</v>
      </c>
      <c r="C1996">
        <v>635</v>
      </c>
      <c r="D1996">
        <v>1</v>
      </c>
      <c r="E1996" t="s">
        <v>23</v>
      </c>
      <c r="F1996" t="s">
        <v>24</v>
      </c>
      <c r="G1996" t="str">
        <f>"2025-05-21 03:55:59.377"</f>
        <v>2025-05-21 03:55:59.377</v>
      </c>
      <c r="H1996" t="s">
        <v>21</v>
      </c>
      <c r="I1996">
        <v>0</v>
      </c>
      <c r="J1996" t="s">
        <v>26</v>
      </c>
    </row>
    <row r="1997" spans="1:10" x14ac:dyDescent="0.25">
      <c r="A1997" s="1">
        <v>69</v>
      </c>
      <c r="B1997" t="s">
        <v>22</v>
      </c>
      <c r="C1997">
        <v>635</v>
      </c>
      <c r="D1997">
        <v>1</v>
      </c>
      <c r="E1997" t="s">
        <v>23</v>
      </c>
      <c r="F1997" t="s">
        <v>24</v>
      </c>
      <c r="G1997" t="str">
        <f>"2025-05-20 10:02:40.377"</f>
        <v>2025-05-20 10:02:40.377</v>
      </c>
      <c r="H1997" t="s">
        <v>21</v>
      </c>
    </row>
    <row r="1998" spans="1:10" x14ac:dyDescent="0.25">
      <c r="A1998" s="1">
        <v>70</v>
      </c>
      <c r="B1998" t="s">
        <v>25</v>
      </c>
      <c r="C1998">
        <v>635</v>
      </c>
      <c r="D1998">
        <v>1</v>
      </c>
      <c r="E1998" t="s">
        <v>23</v>
      </c>
      <c r="F1998" t="s">
        <v>24</v>
      </c>
      <c r="G1998" t="str">
        <f>"2025-05-20 09:58:34.878"</f>
        <v>2025-05-20 09:58:34.878</v>
      </c>
      <c r="H1998" t="s">
        <v>21</v>
      </c>
      <c r="I1998">
        <v>6.67</v>
      </c>
      <c r="J1998" t="s">
        <v>36</v>
      </c>
    </row>
    <row r="1999" spans="1:10" x14ac:dyDescent="0.25">
      <c r="A1999" s="1">
        <v>71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"2025-05-19 14:06:19.539"</f>
        <v>2025-05-19 14:06:19.539</v>
      </c>
      <c r="H1999" t="s">
        <v>21</v>
      </c>
    </row>
    <row r="2000" spans="1:10" x14ac:dyDescent="0.25">
      <c r="A2000" s="1">
        <v>72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"2025-05-19 02:16:41.531"</f>
        <v>2025-05-19 02:16:41.531</v>
      </c>
      <c r="H2000" t="s">
        <v>21</v>
      </c>
      <c r="I2000">
        <v>0</v>
      </c>
      <c r="J2000" t="s">
        <v>27</v>
      </c>
    </row>
    <row r="2001" spans="1:10" x14ac:dyDescent="0.25">
      <c r="A2001" s="1">
        <v>73</v>
      </c>
      <c r="B2001" t="s">
        <v>19</v>
      </c>
      <c r="C2001">
        <v>706</v>
      </c>
      <c r="D2001">
        <v>3</v>
      </c>
      <c r="E2001" t="s">
        <v>31</v>
      </c>
      <c r="F2001" t="s">
        <v>66</v>
      </c>
      <c r="G2001" t="str">
        <f>"2025-05-19 01:05:37.316"</f>
        <v>2025-05-19 01:05:37.316</v>
      </c>
      <c r="H2001" t="s">
        <v>21</v>
      </c>
      <c r="I2001">
        <v>0</v>
      </c>
      <c r="J2001" t="s">
        <v>33</v>
      </c>
    </row>
    <row r="2002" spans="1:10" x14ac:dyDescent="0.25">
      <c r="A2002" s="1">
        <v>74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"2025-05-19 01:04:50.546"</f>
        <v>2025-05-19 01:04:50.546</v>
      </c>
      <c r="H2002" t="s">
        <v>21</v>
      </c>
    </row>
    <row r="2003" spans="1:10" x14ac:dyDescent="0.25">
      <c r="A2003" s="1">
        <v>75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"2025-05-19 01:01:11.611"</f>
        <v>2025-05-19 01:01:11.611</v>
      </c>
      <c r="H2003" t="s">
        <v>21</v>
      </c>
    </row>
    <row r="2004" spans="1:10" x14ac:dyDescent="0.25">
      <c r="A2004" s="1">
        <v>76</v>
      </c>
      <c r="B2004" t="s">
        <v>19</v>
      </c>
      <c r="C2004">
        <v>706</v>
      </c>
      <c r="D2004">
        <v>3</v>
      </c>
      <c r="E2004" t="s">
        <v>31</v>
      </c>
      <c r="F2004" t="s">
        <v>66</v>
      </c>
      <c r="G2004" t="str">
        <f>"2025-05-19 00:59:11.024"</f>
        <v>2025-05-19 00:59:11.024</v>
      </c>
      <c r="H2004" t="s">
        <v>21</v>
      </c>
      <c r="I2004">
        <v>0</v>
      </c>
      <c r="J2004" t="s">
        <v>33</v>
      </c>
    </row>
    <row r="2005" spans="1:10" x14ac:dyDescent="0.25">
      <c r="A2005" s="1">
        <v>77</v>
      </c>
      <c r="B2005" t="s">
        <v>19</v>
      </c>
      <c r="C2005">
        <v>706</v>
      </c>
      <c r="D2005">
        <v>3</v>
      </c>
      <c r="E2005" t="s">
        <v>31</v>
      </c>
      <c r="F2005" t="s">
        <v>66</v>
      </c>
      <c r="G2005" t="str">
        <f>"2025-05-19 00:56:42.664"</f>
        <v>2025-05-19 00:56:42.664</v>
      </c>
      <c r="H2005" t="s">
        <v>21</v>
      </c>
      <c r="I2005">
        <v>0</v>
      </c>
      <c r="J2005" t="s">
        <v>33</v>
      </c>
    </row>
    <row r="2006" spans="1:10" x14ac:dyDescent="0.25">
      <c r="A2006" s="1">
        <v>78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"2025-05-19 00:55:07.564"</f>
        <v>2025-05-19 00:55:07.564</v>
      </c>
      <c r="H2006" t="s">
        <v>21</v>
      </c>
    </row>
    <row r="2007" spans="1:10" x14ac:dyDescent="0.25">
      <c r="A2007" s="1">
        <v>79</v>
      </c>
      <c r="B2007" t="s">
        <v>41</v>
      </c>
      <c r="C2007">
        <v>77</v>
      </c>
      <c r="D2007">
        <v>1</v>
      </c>
      <c r="E2007" t="s">
        <v>70</v>
      </c>
      <c r="F2007" t="s">
        <v>71</v>
      </c>
      <c r="G2007" t="str">
        <f>"2025-05-18 19:39:15.103"</f>
        <v>2025-05-18 19:39:15.103</v>
      </c>
      <c r="H2007" t="s">
        <v>47</v>
      </c>
    </row>
    <row r="2008" spans="1:10" x14ac:dyDescent="0.25">
      <c r="A2008" s="1">
        <v>80</v>
      </c>
      <c r="B2008" t="s">
        <v>34</v>
      </c>
      <c r="C2008">
        <v>77</v>
      </c>
      <c r="D2008">
        <v>1</v>
      </c>
      <c r="E2008" t="s">
        <v>70</v>
      </c>
      <c r="F2008" t="s">
        <v>71</v>
      </c>
      <c r="G2008" t="str">
        <f>"2025-05-18 19:39:10.070"</f>
        <v>2025-05-18 19:39:10.070</v>
      </c>
      <c r="H2008" t="s">
        <v>47</v>
      </c>
      <c r="I2008">
        <v>0</v>
      </c>
      <c r="J2008" t="s">
        <v>33</v>
      </c>
    </row>
    <row r="2009" spans="1:10" x14ac:dyDescent="0.25">
      <c r="A2009" s="1">
        <v>81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"2025-05-18 19:38:32.572"</f>
        <v>2025-05-18 19:38:32.572</v>
      </c>
      <c r="H2009" t="s">
        <v>21</v>
      </c>
    </row>
    <row r="2010" spans="1:10" x14ac:dyDescent="0.25">
      <c r="A2010" s="1">
        <v>82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"2025-05-17 20:28:42.539"</f>
        <v>2025-05-17 20:28:42.539</v>
      </c>
      <c r="H2010" t="s">
        <v>21</v>
      </c>
    </row>
    <row r="2011" spans="1:10" x14ac:dyDescent="0.25">
      <c r="A2011" s="1">
        <v>83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"2025-05-17 13:44:40.565"</f>
        <v>2025-05-17 13:44:40.565</v>
      </c>
      <c r="H2011" t="s">
        <v>21</v>
      </c>
      <c r="I2011">
        <v>0</v>
      </c>
      <c r="J2011" t="s">
        <v>27</v>
      </c>
    </row>
    <row r="2012" spans="1:10" x14ac:dyDescent="0.25">
      <c r="A2012" s="1">
        <v>84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"2025-05-16 18:13:18.540"</f>
        <v>2025-05-16 18:13:18.540</v>
      </c>
      <c r="H2012" t="s">
        <v>21</v>
      </c>
      <c r="I2012">
        <v>0</v>
      </c>
      <c r="J2012" t="s">
        <v>27</v>
      </c>
    </row>
    <row r="2013" spans="1:10" x14ac:dyDescent="0.25">
      <c r="A2013" s="1">
        <v>85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"2025-05-15 08:55:01.582"</f>
        <v>2025-05-15 08:55:01.582</v>
      </c>
      <c r="H2013" t="s">
        <v>21</v>
      </c>
      <c r="I2013">
        <v>0</v>
      </c>
      <c r="J2013" t="s">
        <v>27</v>
      </c>
    </row>
    <row r="2014" spans="1:10" x14ac:dyDescent="0.25">
      <c r="A2014" s="1">
        <v>86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"2025-05-14 09:11:36.520"</f>
        <v>2025-05-14 09:11:36.520</v>
      </c>
      <c r="H2014" t="s">
        <v>21</v>
      </c>
    </row>
    <row r="2015" spans="1:10" x14ac:dyDescent="0.25">
      <c r="A2015" s="1">
        <v>87</v>
      </c>
      <c r="B2015" t="s">
        <v>19</v>
      </c>
      <c r="C2015">
        <v>706</v>
      </c>
      <c r="D2015">
        <v>2</v>
      </c>
      <c r="E2015" t="s">
        <v>31</v>
      </c>
      <c r="F2015" t="s">
        <v>35</v>
      </c>
      <c r="G2015" t="str">
        <f>"2025-05-14 08:43:58.944"</f>
        <v>2025-05-14 08:43:58.944</v>
      </c>
      <c r="H2015" t="s">
        <v>21</v>
      </c>
      <c r="I2015">
        <v>0</v>
      </c>
      <c r="J2015" t="s">
        <v>33</v>
      </c>
    </row>
    <row r="2016" spans="1:10" x14ac:dyDescent="0.25">
      <c r="A2016" s="1">
        <v>88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"2025-05-14 08:43:38.534"</f>
        <v>2025-05-14 08:43:38.534</v>
      </c>
      <c r="H2016" t="s">
        <v>21</v>
      </c>
      <c r="I2016">
        <v>0</v>
      </c>
      <c r="J2016" t="s">
        <v>27</v>
      </c>
    </row>
    <row r="2017" spans="1:10" x14ac:dyDescent="0.25">
      <c r="A2017" s="1">
        <v>89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"2025-05-14 04:36:19.523"</f>
        <v>2025-05-14 04:36:19.523</v>
      </c>
      <c r="H2017" t="s">
        <v>21</v>
      </c>
    </row>
    <row r="2018" spans="1:10" x14ac:dyDescent="0.25">
      <c r="A2018" s="1">
        <v>90</v>
      </c>
      <c r="B2018" t="s">
        <v>19</v>
      </c>
      <c r="C2018">
        <v>706</v>
      </c>
      <c r="D2018">
        <v>4</v>
      </c>
      <c r="E2018" t="s">
        <v>31</v>
      </c>
      <c r="F2018" t="s">
        <v>32</v>
      </c>
      <c r="G2018" t="str">
        <f>"2025-05-14 02:33:31.448"</f>
        <v>2025-05-14 02:33:31.448</v>
      </c>
      <c r="H2018" t="s">
        <v>21</v>
      </c>
      <c r="I2018">
        <v>0</v>
      </c>
      <c r="J2018" t="s">
        <v>33</v>
      </c>
    </row>
    <row r="2019" spans="1:10" x14ac:dyDescent="0.25">
      <c r="A2019" s="1">
        <v>91</v>
      </c>
      <c r="B2019" t="s">
        <v>19</v>
      </c>
      <c r="C2019">
        <v>706</v>
      </c>
      <c r="D2019">
        <v>2</v>
      </c>
      <c r="E2019" t="s">
        <v>31</v>
      </c>
      <c r="F2019" t="s">
        <v>35</v>
      </c>
      <c r="G2019" t="str">
        <f>"2025-05-14 02:32:36.918"</f>
        <v>2025-05-14 02:32:36.918</v>
      </c>
      <c r="H2019" t="s">
        <v>21</v>
      </c>
      <c r="I2019">
        <v>0</v>
      </c>
      <c r="J2019" t="s">
        <v>33</v>
      </c>
    </row>
    <row r="2020" spans="1:10" x14ac:dyDescent="0.25">
      <c r="A2020" s="1">
        <v>92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"2025-05-14 02:29:23.538"</f>
        <v>2025-05-14 02:29:23.538</v>
      </c>
      <c r="H2020" t="s">
        <v>21</v>
      </c>
      <c r="I2020">
        <v>0</v>
      </c>
      <c r="J2020" t="s">
        <v>27</v>
      </c>
    </row>
    <row r="2021" spans="1:10" x14ac:dyDescent="0.25">
      <c r="A2021" s="1">
        <v>93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"2025-05-13 23:47:30.803"</f>
        <v>2025-05-13 23:47:30.803</v>
      </c>
      <c r="H2021" t="s">
        <v>21</v>
      </c>
      <c r="I2021">
        <v>0</v>
      </c>
      <c r="J2021" t="s">
        <v>27</v>
      </c>
    </row>
    <row r="2022" spans="1:10" x14ac:dyDescent="0.25">
      <c r="A2022" s="1">
        <v>94</v>
      </c>
      <c r="B2022" t="s">
        <v>19</v>
      </c>
      <c r="C2022">
        <v>706</v>
      </c>
      <c r="D2022">
        <v>2</v>
      </c>
      <c r="E2022" t="s">
        <v>31</v>
      </c>
      <c r="F2022" t="s">
        <v>35</v>
      </c>
      <c r="G2022" t="str">
        <f>"2025-05-13 13:05:13.733"</f>
        <v>2025-05-13 13:05:13.733</v>
      </c>
      <c r="H2022" t="s">
        <v>21</v>
      </c>
      <c r="I2022">
        <v>0</v>
      </c>
      <c r="J2022" t="s">
        <v>33</v>
      </c>
    </row>
    <row r="2023" spans="1:10" x14ac:dyDescent="0.25">
      <c r="A2023" s="1">
        <v>95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"2025-05-13 13:04:59.553"</f>
        <v>2025-05-13 13:04:59.553</v>
      </c>
      <c r="H2023" t="s">
        <v>21</v>
      </c>
      <c r="I2023">
        <v>0</v>
      </c>
      <c r="J2023" t="s">
        <v>27</v>
      </c>
    </row>
    <row r="2024" spans="1:10" x14ac:dyDescent="0.25">
      <c r="A2024" s="1">
        <v>96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"2025-05-12 07:38:47.558"</f>
        <v>2025-05-12 07:38:47.558</v>
      </c>
      <c r="H2024" t="s">
        <v>21</v>
      </c>
      <c r="I2024">
        <v>0</v>
      </c>
      <c r="J2024" t="s">
        <v>27</v>
      </c>
    </row>
    <row r="2025" spans="1:10" x14ac:dyDescent="0.25">
      <c r="A2025" s="1">
        <v>97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"2025-05-11 22:10:08.558"</f>
        <v>2025-05-11 22:10:08.558</v>
      </c>
      <c r="H2025" t="s">
        <v>21</v>
      </c>
      <c r="I2025">
        <v>0</v>
      </c>
      <c r="J2025" t="s">
        <v>27</v>
      </c>
    </row>
    <row r="2026" spans="1:10" x14ac:dyDescent="0.25">
      <c r="A2026" s="1">
        <v>98</v>
      </c>
      <c r="B2026" t="s">
        <v>19</v>
      </c>
      <c r="C2026">
        <v>706</v>
      </c>
      <c r="D2026">
        <v>2</v>
      </c>
      <c r="E2026" t="s">
        <v>31</v>
      </c>
      <c r="F2026" t="s">
        <v>35</v>
      </c>
      <c r="G2026" t="str">
        <f>"2025-05-10 20:55:42.331"</f>
        <v>2025-05-10 20:55:42.331</v>
      </c>
      <c r="H2026" t="s">
        <v>21</v>
      </c>
      <c r="I2026">
        <v>0</v>
      </c>
      <c r="J2026" t="s">
        <v>33</v>
      </c>
    </row>
    <row r="2027" spans="1:10" x14ac:dyDescent="0.25">
      <c r="A2027" s="1">
        <v>99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"2025-05-10 20:55:04.531"</f>
        <v>2025-05-10 20:55:04.531</v>
      </c>
      <c r="H2027" t="s">
        <v>21</v>
      </c>
    </row>
    <row r="2028" spans="1:10" x14ac:dyDescent="0.25">
      <c r="A2028" s="1">
        <v>100</v>
      </c>
      <c r="B2028" t="s">
        <v>34</v>
      </c>
      <c r="C2028">
        <v>630</v>
      </c>
      <c r="D2028">
        <v>5</v>
      </c>
      <c r="E2028" t="s">
        <v>28</v>
      </c>
      <c r="F2028" t="s">
        <v>29</v>
      </c>
      <c r="G2028" t="str">
        <f>"2025-05-10 20:44:53.962"</f>
        <v>2025-05-10 20:44:53.962</v>
      </c>
      <c r="H2028" t="s">
        <v>30</v>
      </c>
      <c r="I2028">
        <v>0</v>
      </c>
      <c r="J2028" t="s">
        <v>33</v>
      </c>
    </row>
    <row r="2029" spans="1:10" x14ac:dyDescent="0.25">
      <c r="A2029" s="1">
        <v>101</v>
      </c>
      <c r="B2029" t="s">
        <v>22</v>
      </c>
      <c r="C2029">
        <v>61</v>
      </c>
      <c r="D2029">
        <v>2</v>
      </c>
      <c r="E2029" t="s">
        <v>58</v>
      </c>
      <c r="F2029" t="s">
        <v>59</v>
      </c>
      <c r="G2029" t="str">
        <f>"2025-05-10 09:55:15.761"</f>
        <v>2025-05-10 09:55:15.761</v>
      </c>
      <c r="H2029" t="s">
        <v>21</v>
      </c>
    </row>
    <row r="2030" spans="1:10" x14ac:dyDescent="0.25">
      <c r="A2030" s="1">
        <v>102</v>
      </c>
      <c r="B2030" t="s">
        <v>34</v>
      </c>
      <c r="C2030">
        <v>61</v>
      </c>
      <c r="D2030">
        <v>2</v>
      </c>
      <c r="E2030" t="s">
        <v>58</v>
      </c>
      <c r="F2030" t="s">
        <v>59</v>
      </c>
      <c r="G2030" t="str">
        <f>"2025-05-10 09:55:07.261"</f>
        <v>2025-05-10 09:55:07.261</v>
      </c>
      <c r="H2030" t="s">
        <v>21</v>
      </c>
      <c r="I2030">
        <v>36.04</v>
      </c>
      <c r="J2030" t="s">
        <v>37</v>
      </c>
    </row>
    <row r="2031" spans="1:10" x14ac:dyDescent="0.25">
      <c r="A2031" s="1">
        <v>103</v>
      </c>
      <c r="B2031" t="s">
        <v>22</v>
      </c>
      <c r="C2031">
        <v>630</v>
      </c>
      <c r="D2031">
        <v>5</v>
      </c>
      <c r="E2031" t="s">
        <v>28</v>
      </c>
      <c r="F2031" t="s">
        <v>29</v>
      </c>
      <c r="G2031" t="str">
        <f>"2025-05-08 13:36:32.462"</f>
        <v>2025-05-08 13:36:32.462</v>
      </c>
      <c r="H2031" t="s">
        <v>30</v>
      </c>
    </row>
    <row r="2032" spans="1:10" x14ac:dyDescent="0.25">
      <c r="A2032" s="1">
        <v>104</v>
      </c>
      <c r="B2032" t="s">
        <v>19</v>
      </c>
      <c r="C2032">
        <v>706</v>
      </c>
      <c r="D2032">
        <v>2</v>
      </c>
      <c r="E2032" t="s">
        <v>31</v>
      </c>
      <c r="F2032" t="s">
        <v>35</v>
      </c>
      <c r="G2032" t="str">
        <f>"2025-05-08 13:36:02.391"</f>
        <v>2025-05-08 13:36:02.391</v>
      </c>
      <c r="H2032" t="s">
        <v>21</v>
      </c>
      <c r="I2032">
        <v>0</v>
      </c>
      <c r="J2032" t="s">
        <v>33</v>
      </c>
    </row>
    <row r="2033" spans="1:10" x14ac:dyDescent="0.25">
      <c r="A2033" s="1">
        <v>105</v>
      </c>
      <c r="B2033" t="s">
        <v>34</v>
      </c>
      <c r="C2033">
        <v>630</v>
      </c>
      <c r="D2033">
        <v>5</v>
      </c>
      <c r="E2033" t="s">
        <v>28</v>
      </c>
      <c r="F2033" t="s">
        <v>29</v>
      </c>
      <c r="G2033" t="str">
        <f>"2025-05-08 12:37:08.262"</f>
        <v>2025-05-08 12:37:08.262</v>
      </c>
      <c r="H2033" t="s">
        <v>30</v>
      </c>
      <c r="I2033">
        <v>0</v>
      </c>
      <c r="J2033" t="s">
        <v>33</v>
      </c>
    </row>
    <row r="2034" spans="1:10" x14ac:dyDescent="0.25">
      <c r="A2034" s="1">
        <v>106</v>
      </c>
      <c r="B2034" t="s">
        <v>22</v>
      </c>
      <c r="C2034">
        <v>630</v>
      </c>
      <c r="D2034">
        <v>5</v>
      </c>
      <c r="E2034" t="s">
        <v>28</v>
      </c>
      <c r="F2034" t="s">
        <v>29</v>
      </c>
      <c r="G2034" t="str">
        <f>"2025-05-08 03:12:00.062"</f>
        <v>2025-05-08 03:12:00.062</v>
      </c>
      <c r="H2034" t="s">
        <v>30</v>
      </c>
    </row>
    <row r="2035" spans="1:10" x14ac:dyDescent="0.25">
      <c r="A2035" s="1">
        <v>107</v>
      </c>
      <c r="B2035" t="s">
        <v>19</v>
      </c>
      <c r="C2035">
        <v>706</v>
      </c>
      <c r="D2035">
        <v>4</v>
      </c>
      <c r="E2035" t="s">
        <v>31</v>
      </c>
      <c r="F2035" t="s">
        <v>32</v>
      </c>
      <c r="G2035" t="str">
        <f>"2025-05-08 03:11:29.931"</f>
        <v>2025-05-08 03:11:29.931</v>
      </c>
      <c r="H2035" t="s">
        <v>21</v>
      </c>
      <c r="I2035">
        <v>0</v>
      </c>
      <c r="J2035" t="s">
        <v>33</v>
      </c>
    </row>
    <row r="2036" spans="1:10" x14ac:dyDescent="0.25">
      <c r="A2036" s="1">
        <v>108</v>
      </c>
      <c r="B2036" t="s">
        <v>34</v>
      </c>
      <c r="C2036">
        <v>630</v>
      </c>
      <c r="D2036">
        <v>5</v>
      </c>
      <c r="E2036" t="s">
        <v>28</v>
      </c>
      <c r="F2036" t="s">
        <v>29</v>
      </c>
      <c r="G2036" t="str">
        <f>"2025-05-08 03:01:54.962"</f>
        <v>2025-05-08 03:01:54.962</v>
      </c>
      <c r="H2036" t="s">
        <v>30</v>
      </c>
      <c r="I2036">
        <v>0</v>
      </c>
      <c r="J2036" t="s">
        <v>33</v>
      </c>
    </row>
    <row r="2037" spans="1:10" x14ac:dyDescent="0.25">
      <c r="A2037" s="1">
        <v>109</v>
      </c>
      <c r="B2037" t="s">
        <v>22</v>
      </c>
      <c r="C2037">
        <v>630</v>
      </c>
      <c r="D2037">
        <v>5</v>
      </c>
      <c r="E2037" t="s">
        <v>28</v>
      </c>
      <c r="F2037" t="s">
        <v>29</v>
      </c>
      <c r="G2037" t="str">
        <f>"2025-05-07 13:30:19.762"</f>
        <v>2025-05-07 13:30:19.762</v>
      </c>
      <c r="H2037" t="s">
        <v>30</v>
      </c>
    </row>
    <row r="2038" spans="1:10" x14ac:dyDescent="0.25">
      <c r="A2038" s="1">
        <v>110</v>
      </c>
      <c r="B2038" t="s">
        <v>19</v>
      </c>
      <c r="C2038">
        <v>706</v>
      </c>
      <c r="D2038">
        <v>2</v>
      </c>
      <c r="E2038" t="s">
        <v>31</v>
      </c>
      <c r="F2038" t="s">
        <v>35</v>
      </c>
      <c r="G2038" t="str">
        <f>"2025-05-07 13:29:49.791"</f>
        <v>2025-05-07 13:29:49.791</v>
      </c>
      <c r="H2038" t="s">
        <v>21</v>
      </c>
      <c r="I2038">
        <v>0</v>
      </c>
      <c r="J2038" t="s">
        <v>33</v>
      </c>
    </row>
    <row r="2039" spans="1:10" x14ac:dyDescent="0.25">
      <c r="A2039" s="1">
        <v>111</v>
      </c>
      <c r="B2039" t="s">
        <v>34</v>
      </c>
      <c r="C2039">
        <v>630</v>
      </c>
      <c r="D2039">
        <v>5</v>
      </c>
      <c r="E2039" t="s">
        <v>28</v>
      </c>
      <c r="F2039" t="s">
        <v>29</v>
      </c>
      <c r="G2039" t="str">
        <f>"2025-05-07 13:04:36.662"</f>
        <v>2025-05-07 13:04:36.662</v>
      </c>
      <c r="H2039" t="s">
        <v>30</v>
      </c>
      <c r="I2039">
        <v>0</v>
      </c>
      <c r="J2039" t="s">
        <v>33</v>
      </c>
    </row>
    <row r="2040" spans="1:10" x14ac:dyDescent="0.25">
      <c r="A2040" s="1">
        <v>112</v>
      </c>
      <c r="B2040" t="s">
        <v>22</v>
      </c>
      <c r="C2040">
        <v>630</v>
      </c>
      <c r="D2040">
        <v>5</v>
      </c>
      <c r="E2040" t="s">
        <v>28</v>
      </c>
      <c r="F2040" t="s">
        <v>29</v>
      </c>
      <c r="G2040" t="str">
        <f>"2025-05-07 12:43:32.562"</f>
        <v>2025-05-07 12:43:32.562</v>
      </c>
      <c r="H2040" t="s">
        <v>30</v>
      </c>
    </row>
    <row r="2041" spans="1:10" x14ac:dyDescent="0.25">
      <c r="A2041" s="1">
        <v>113</v>
      </c>
      <c r="B2041" t="s">
        <v>19</v>
      </c>
      <c r="C2041">
        <v>706</v>
      </c>
      <c r="D2041">
        <v>4</v>
      </c>
      <c r="E2041" t="s">
        <v>31</v>
      </c>
      <c r="F2041" t="s">
        <v>32</v>
      </c>
      <c r="G2041" t="str">
        <f>"2025-05-07 12:43:02.481"</f>
        <v>2025-05-07 12:43:02.481</v>
      </c>
      <c r="H2041" t="s">
        <v>21</v>
      </c>
      <c r="I2041">
        <v>0</v>
      </c>
      <c r="J2041" t="s">
        <v>33</v>
      </c>
    </row>
    <row r="2042" spans="1:10" x14ac:dyDescent="0.25">
      <c r="A2042" s="1">
        <v>114</v>
      </c>
      <c r="B2042" t="s">
        <v>34</v>
      </c>
      <c r="C2042">
        <v>630</v>
      </c>
      <c r="D2042">
        <v>5</v>
      </c>
      <c r="E2042" t="s">
        <v>28</v>
      </c>
      <c r="F2042" t="s">
        <v>29</v>
      </c>
      <c r="G2042" t="str">
        <f>"2025-05-07 12:22:18.962"</f>
        <v>2025-05-07 12:22:18.962</v>
      </c>
      <c r="H2042" t="s">
        <v>30</v>
      </c>
      <c r="I2042">
        <v>0</v>
      </c>
      <c r="J2042" t="s">
        <v>33</v>
      </c>
    </row>
    <row r="2043" spans="1:10" x14ac:dyDescent="0.25">
      <c r="A2043" s="1">
        <v>115</v>
      </c>
      <c r="B2043" t="s">
        <v>22</v>
      </c>
      <c r="C2043">
        <v>61</v>
      </c>
      <c r="D2043">
        <v>2</v>
      </c>
      <c r="E2043" t="s">
        <v>58</v>
      </c>
      <c r="F2043" t="s">
        <v>59</v>
      </c>
      <c r="G2043" t="str">
        <f>"2025-05-06 19:22:18.861"</f>
        <v>2025-05-06 19:22:18.861</v>
      </c>
      <c r="H2043" t="s">
        <v>21</v>
      </c>
    </row>
    <row r="2044" spans="1:10" x14ac:dyDescent="0.25">
      <c r="A2044" s="1">
        <v>116</v>
      </c>
      <c r="B2044" t="s">
        <v>34</v>
      </c>
      <c r="C2044">
        <v>61</v>
      </c>
      <c r="D2044">
        <v>2</v>
      </c>
      <c r="E2044" t="s">
        <v>58</v>
      </c>
      <c r="F2044" t="s">
        <v>59</v>
      </c>
      <c r="G2044" t="str">
        <f>"2025-05-06 19:22:11.662"</f>
        <v>2025-05-06 19:22:11.662</v>
      </c>
      <c r="H2044" t="s">
        <v>21</v>
      </c>
      <c r="I2044">
        <v>35.119999999999997</v>
      </c>
      <c r="J2044" t="s">
        <v>37</v>
      </c>
    </row>
    <row r="2045" spans="1:10" x14ac:dyDescent="0.25">
      <c r="A2045" s="1">
        <v>117</v>
      </c>
      <c r="B2045" t="s">
        <v>22</v>
      </c>
      <c r="C2045">
        <v>635</v>
      </c>
      <c r="D2045">
        <v>1</v>
      </c>
      <c r="E2045" t="s">
        <v>23</v>
      </c>
      <c r="F2045" t="s">
        <v>24</v>
      </c>
      <c r="G2045" t="str">
        <f>"2025-05-06 17:27:21.308"</f>
        <v>2025-05-06 17:27:21.308</v>
      </c>
      <c r="H2045" t="s">
        <v>21</v>
      </c>
    </row>
    <row r="2046" spans="1:10" x14ac:dyDescent="0.25">
      <c r="A2046" s="1">
        <v>118</v>
      </c>
      <c r="B2046" t="s">
        <v>25</v>
      </c>
      <c r="C2046">
        <v>635</v>
      </c>
      <c r="D2046">
        <v>1</v>
      </c>
      <c r="E2046" t="s">
        <v>23</v>
      </c>
      <c r="F2046" t="s">
        <v>24</v>
      </c>
      <c r="G2046" t="str">
        <f>"2025-05-06 17:23:46.308"</f>
        <v>2025-05-06 17:23:46.308</v>
      </c>
      <c r="H2046" t="s">
        <v>21</v>
      </c>
      <c r="I2046">
        <v>3.93</v>
      </c>
      <c r="J2046" t="s">
        <v>36</v>
      </c>
    </row>
    <row r="2047" spans="1:10" x14ac:dyDescent="0.25">
      <c r="A2047" s="1">
        <v>119</v>
      </c>
      <c r="B2047" t="s">
        <v>19</v>
      </c>
      <c r="C2047">
        <v>706</v>
      </c>
      <c r="D2047">
        <v>2</v>
      </c>
      <c r="E2047" t="s">
        <v>31</v>
      </c>
      <c r="F2047" t="s">
        <v>35</v>
      </c>
      <c r="G2047" t="str">
        <f>"2025-05-06 16:30:47.891"</f>
        <v>2025-05-06 16:30:47.891</v>
      </c>
      <c r="H2047" t="s">
        <v>21</v>
      </c>
      <c r="I2047">
        <v>0</v>
      </c>
      <c r="J2047" t="s">
        <v>33</v>
      </c>
    </row>
    <row r="2048" spans="1:10" x14ac:dyDescent="0.25">
      <c r="A2048" s="1">
        <v>120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"2025-05-06 16:26:35.531"</f>
        <v>2025-05-06 16:26:35.531</v>
      </c>
      <c r="H2048" t="s">
        <v>21</v>
      </c>
    </row>
    <row r="2049" spans="1:10" x14ac:dyDescent="0.25">
      <c r="A2049" s="1">
        <v>121</v>
      </c>
      <c r="B2049" t="s">
        <v>22</v>
      </c>
      <c r="C2049">
        <v>630</v>
      </c>
      <c r="D2049">
        <v>5</v>
      </c>
      <c r="E2049" t="s">
        <v>28</v>
      </c>
      <c r="F2049" t="s">
        <v>29</v>
      </c>
      <c r="G2049" t="str">
        <f>"2025-05-06 15:45:49.042"</f>
        <v>2025-05-06 15:45:49.042</v>
      </c>
      <c r="H2049" t="s">
        <v>30</v>
      </c>
    </row>
    <row r="2050" spans="1:10" x14ac:dyDescent="0.25">
      <c r="A2050" s="1">
        <v>122</v>
      </c>
      <c r="B2050" t="s">
        <v>19</v>
      </c>
      <c r="C2050">
        <v>706</v>
      </c>
      <c r="D2050">
        <v>2</v>
      </c>
      <c r="E2050" t="s">
        <v>31</v>
      </c>
      <c r="F2050" t="s">
        <v>35</v>
      </c>
      <c r="G2050" t="str">
        <f>"2025-05-06 15:45:18.885"</f>
        <v>2025-05-06 15:45:18.885</v>
      </c>
      <c r="H2050" t="s">
        <v>21</v>
      </c>
      <c r="I2050">
        <v>0</v>
      </c>
      <c r="J2050" t="s">
        <v>33</v>
      </c>
    </row>
    <row r="2051" spans="1:10" x14ac:dyDescent="0.25">
      <c r="A2051" s="1">
        <v>123</v>
      </c>
      <c r="B2051" t="s">
        <v>34</v>
      </c>
      <c r="C2051">
        <v>630</v>
      </c>
      <c r="D2051">
        <v>5</v>
      </c>
      <c r="E2051" t="s">
        <v>28</v>
      </c>
      <c r="F2051" t="s">
        <v>29</v>
      </c>
      <c r="G2051" t="str">
        <f>"2025-05-06 15:44:51.343"</f>
        <v>2025-05-06 15:44:51.343</v>
      </c>
      <c r="H2051" t="s">
        <v>30</v>
      </c>
      <c r="I2051">
        <v>0</v>
      </c>
      <c r="J2051" t="s">
        <v>33</v>
      </c>
    </row>
    <row r="2052" spans="1:10" x14ac:dyDescent="0.25">
      <c r="A2052" s="1">
        <v>124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"2025-05-06 15:39:48.595"</f>
        <v>2025-05-06 15:39:48.595</v>
      </c>
      <c r="H2052" t="s">
        <v>21</v>
      </c>
      <c r="I2052">
        <v>0</v>
      </c>
      <c r="J2052" t="s">
        <v>27</v>
      </c>
    </row>
    <row r="2053" spans="1:10" x14ac:dyDescent="0.25">
      <c r="A2053" s="1">
        <v>125</v>
      </c>
      <c r="B2053" t="s">
        <v>34</v>
      </c>
      <c r="C2053">
        <v>630</v>
      </c>
      <c r="D2053">
        <v>5</v>
      </c>
      <c r="E2053" t="s">
        <v>28</v>
      </c>
      <c r="F2053" t="s">
        <v>29</v>
      </c>
      <c r="G2053" t="str">
        <f>"2025-05-06 15:32:28.613"</f>
        <v>2025-05-06 15:32:28.613</v>
      </c>
      <c r="H2053" t="s">
        <v>30</v>
      </c>
      <c r="I2053">
        <v>0</v>
      </c>
      <c r="J2053" t="s">
        <v>33</v>
      </c>
    </row>
    <row r="2054" spans="1:10" x14ac:dyDescent="0.25">
      <c r="A2054" s="1">
        <v>126</v>
      </c>
      <c r="B2054" t="s">
        <v>19</v>
      </c>
      <c r="C2054">
        <v>706</v>
      </c>
      <c r="D2054">
        <v>3</v>
      </c>
      <c r="E2054" t="s">
        <v>31</v>
      </c>
      <c r="F2054" t="s">
        <v>66</v>
      </c>
      <c r="G2054" t="str">
        <f>"2025-05-06 15:27:26.924"</f>
        <v>2025-05-06 15:27:26.924</v>
      </c>
      <c r="H2054" t="s">
        <v>21</v>
      </c>
      <c r="I2054">
        <v>0</v>
      </c>
      <c r="J2054" t="s">
        <v>33</v>
      </c>
    </row>
    <row r="2055" spans="1:10" x14ac:dyDescent="0.25">
      <c r="A2055" s="1">
        <v>127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"2025-05-06 15:26:48.554"</f>
        <v>2025-05-06 15:26:48.554</v>
      </c>
      <c r="H2055" t="s">
        <v>21</v>
      </c>
      <c r="I2055">
        <v>0</v>
      </c>
      <c r="J2055" t="s">
        <v>27</v>
      </c>
    </row>
    <row r="2056" spans="1:10" x14ac:dyDescent="0.25">
      <c r="A2056" s="1">
        <v>128</v>
      </c>
      <c r="B2056" t="s">
        <v>34</v>
      </c>
      <c r="C2056">
        <v>630</v>
      </c>
      <c r="D2056">
        <v>5</v>
      </c>
      <c r="E2056" t="s">
        <v>28</v>
      </c>
      <c r="F2056" t="s">
        <v>29</v>
      </c>
      <c r="G2056" t="str">
        <f>"2025-05-06 15:14:02.476"</f>
        <v>2025-05-06 15:14:02.476</v>
      </c>
      <c r="H2056" t="s">
        <v>30</v>
      </c>
      <c r="I2056">
        <v>0</v>
      </c>
      <c r="J2056" t="s">
        <v>33</v>
      </c>
    </row>
    <row r="2057" spans="1:10" x14ac:dyDescent="0.25">
      <c r="A2057" s="1">
        <v>129</v>
      </c>
      <c r="B2057" t="s">
        <v>22</v>
      </c>
      <c r="C2057">
        <v>630</v>
      </c>
      <c r="D2057">
        <v>5</v>
      </c>
      <c r="E2057" t="s">
        <v>28</v>
      </c>
      <c r="F2057" t="s">
        <v>29</v>
      </c>
      <c r="G2057" t="str">
        <f>"2025-05-05 13:46:43.376"</f>
        <v>2025-05-05 13:46:43.376</v>
      </c>
      <c r="H2057" t="s">
        <v>30</v>
      </c>
    </row>
    <row r="2058" spans="1:10" x14ac:dyDescent="0.25">
      <c r="A2058" s="1">
        <v>130</v>
      </c>
      <c r="B2058" t="s">
        <v>19</v>
      </c>
      <c r="C2058">
        <v>706</v>
      </c>
      <c r="D2058">
        <v>4</v>
      </c>
      <c r="E2058" t="s">
        <v>31</v>
      </c>
      <c r="F2058" t="s">
        <v>32</v>
      </c>
      <c r="G2058" t="str">
        <f>"2025-05-05 13:46:13.360"</f>
        <v>2025-05-05 13:46:13.360</v>
      </c>
      <c r="H2058" t="s">
        <v>21</v>
      </c>
      <c r="I2058">
        <v>0</v>
      </c>
      <c r="J2058" t="s">
        <v>33</v>
      </c>
    </row>
    <row r="2059" spans="1:10" x14ac:dyDescent="0.25">
      <c r="A2059" s="1">
        <v>131</v>
      </c>
      <c r="B2059" t="s">
        <v>34</v>
      </c>
      <c r="C2059">
        <v>630</v>
      </c>
      <c r="D2059">
        <v>5</v>
      </c>
      <c r="E2059" t="s">
        <v>28</v>
      </c>
      <c r="F2059" t="s">
        <v>29</v>
      </c>
      <c r="G2059" t="str">
        <f>"2025-05-05 12:58:52.976"</f>
        <v>2025-05-05 12:58:52.976</v>
      </c>
      <c r="H2059" t="s">
        <v>30</v>
      </c>
      <c r="I2059">
        <v>0</v>
      </c>
      <c r="J2059" t="s">
        <v>33</v>
      </c>
    </row>
    <row r="2060" spans="1:10" x14ac:dyDescent="0.25">
      <c r="A2060" s="1">
        <v>132</v>
      </c>
      <c r="B2060" t="s">
        <v>22</v>
      </c>
      <c r="C2060">
        <v>635</v>
      </c>
      <c r="D2060">
        <v>1</v>
      </c>
      <c r="E2060" t="s">
        <v>23</v>
      </c>
      <c r="F2060" t="s">
        <v>24</v>
      </c>
      <c r="G2060" t="str">
        <f>"2025-05-04 10:11:57.176"</f>
        <v>2025-05-04 10:11:57.176</v>
      </c>
      <c r="H2060" t="s">
        <v>21</v>
      </c>
    </row>
    <row r="2061" spans="1:10" x14ac:dyDescent="0.25">
      <c r="A2061" s="1">
        <v>133</v>
      </c>
      <c r="B2061" t="s">
        <v>25</v>
      </c>
      <c r="C2061">
        <v>635</v>
      </c>
      <c r="D2061">
        <v>1</v>
      </c>
      <c r="E2061" t="s">
        <v>23</v>
      </c>
      <c r="F2061" t="s">
        <v>24</v>
      </c>
      <c r="G2061" t="str">
        <f>"2025-05-04 10:06:00.176"</f>
        <v>2025-05-04 10:06:00.176</v>
      </c>
      <c r="H2061" t="s">
        <v>21</v>
      </c>
      <c r="I2061">
        <v>7.91</v>
      </c>
      <c r="J2061" t="s">
        <v>36</v>
      </c>
    </row>
    <row r="2062" spans="1:10" x14ac:dyDescent="0.25">
      <c r="A2062" s="1">
        <v>134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"2025-05-03 20:44:47.530"</f>
        <v>2025-05-03 20:44:47.530</v>
      </c>
      <c r="H2062" t="s">
        <v>21</v>
      </c>
      <c r="I2062">
        <v>0</v>
      </c>
      <c r="J2062" t="s">
        <v>27</v>
      </c>
    </row>
    <row r="2063" spans="1:10" x14ac:dyDescent="0.25">
      <c r="A2063" s="1">
        <v>135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"2025-05-03 12:07:24.539"</f>
        <v>2025-05-03 12:07:24.539</v>
      </c>
      <c r="H2063" t="s">
        <v>21</v>
      </c>
      <c r="I2063">
        <v>0</v>
      </c>
      <c r="J2063" t="s">
        <v>27</v>
      </c>
    </row>
    <row r="2064" spans="1:10" x14ac:dyDescent="0.25">
      <c r="A2064" s="1">
        <v>136</v>
      </c>
      <c r="B2064" t="s">
        <v>19</v>
      </c>
      <c r="C2064">
        <v>706</v>
      </c>
      <c r="D2064">
        <v>2</v>
      </c>
      <c r="E2064" t="s">
        <v>31</v>
      </c>
      <c r="F2064" t="s">
        <v>35</v>
      </c>
      <c r="G2064" t="str">
        <f>"2025-05-03 10:44:18.231"</f>
        <v>2025-05-03 10:44:18.231</v>
      </c>
      <c r="H2064" t="s">
        <v>21</v>
      </c>
      <c r="I2064">
        <v>0</v>
      </c>
      <c r="J2064" t="s">
        <v>33</v>
      </c>
    </row>
    <row r="2065" spans="1:10" x14ac:dyDescent="0.25">
      <c r="A2065" s="1">
        <v>137</v>
      </c>
      <c r="B2065" t="s">
        <v>22</v>
      </c>
      <c r="C2065">
        <v>630</v>
      </c>
      <c r="D2065">
        <v>5</v>
      </c>
      <c r="E2065" t="s">
        <v>28</v>
      </c>
      <c r="F2065" t="s">
        <v>29</v>
      </c>
      <c r="G2065" t="str">
        <f>"2025-05-03 10:31:07.699"</f>
        <v>2025-05-03 10:31:07.699</v>
      </c>
      <c r="H2065" t="s">
        <v>30</v>
      </c>
    </row>
    <row r="2066" spans="1:10" x14ac:dyDescent="0.25">
      <c r="A2066" s="1">
        <v>138</v>
      </c>
      <c r="B2066" t="s">
        <v>19</v>
      </c>
      <c r="C2066">
        <v>706</v>
      </c>
      <c r="D2066">
        <v>4</v>
      </c>
      <c r="E2066" t="s">
        <v>31</v>
      </c>
      <c r="F2066" t="s">
        <v>32</v>
      </c>
      <c r="G2066" t="str">
        <f>"2025-05-03 10:30:37.621"</f>
        <v>2025-05-03 10:30:37.621</v>
      </c>
      <c r="H2066" t="s">
        <v>21</v>
      </c>
      <c r="I2066">
        <v>0</v>
      </c>
      <c r="J2066" t="s">
        <v>33</v>
      </c>
    </row>
    <row r="2067" spans="1:10" x14ac:dyDescent="0.25">
      <c r="A2067" s="1">
        <v>139</v>
      </c>
      <c r="B2067" t="s">
        <v>19</v>
      </c>
      <c r="C2067">
        <v>706</v>
      </c>
      <c r="D2067">
        <v>4</v>
      </c>
      <c r="E2067" t="s">
        <v>31</v>
      </c>
      <c r="F2067" t="s">
        <v>32</v>
      </c>
      <c r="G2067" t="str">
        <f>"2025-05-03 10:30:24.321"</f>
        <v>2025-05-03 10:30:24.321</v>
      </c>
      <c r="H2067" t="s">
        <v>21</v>
      </c>
      <c r="I2067">
        <v>0</v>
      </c>
      <c r="J2067" t="s">
        <v>33</v>
      </c>
    </row>
    <row r="2068" spans="1:10" x14ac:dyDescent="0.25">
      <c r="A2068" s="1">
        <v>140</v>
      </c>
      <c r="B2068" t="s">
        <v>34</v>
      </c>
      <c r="C2068">
        <v>630</v>
      </c>
      <c r="D2068">
        <v>5</v>
      </c>
      <c r="E2068" t="s">
        <v>28</v>
      </c>
      <c r="F2068" t="s">
        <v>29</v>
      </c>
      <c r="G2068" t="str">
        <f>"2025-05-03 10:24:21.300"</f>
        <v>2025-05-03 10:24:21.300</v>
      </c>
      <c r="H2068" t="s">
        <v>30</v>
      </c>
      <c r="I2068">
        <v>0</v>
      </c>
      <c r="J2068" t="s">
        <v>33</v>
      </c>
    </row>
    <row r="2069" spans="1:10" x14ac:dyDescent="0.25">
      <c r="A2069" s="1">
        <v>141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"2025-05-03 10:19:18.531"</f>
        <v>2025-05-03 10:19:18.531</v>
      </c>
      <c r="H2069" t="s">
        <v>21</v>
      </c>
      <c r="I2069">
        <v>0</v>
      </c>
      <c r="J2069" t="s">
        <v>27</v>
      </c>
    </row>
    <row r="2070" spans="1:10" x14ac:dyDescent="0.25">
      <c r="A2070" s="1">
        <v>142</v>
      </c>
      <c r="B2070" t="s">
        <v>34</v>
      </c>
      <c r="C2070">
        <v>630</v>
      </c>
      <c r="D2070">
        <v>5</v>
      </c>
      <c r="E2070" t="s">
        <v>28</v>
      </c>
      <c r="F2070" t="s">
        <v>29</v>
      </c>
      <c r="G2070" t="str">
        <f>"2025-05-03 09:38:28.328"</f>
        <v>2025-05-03 09:38:28.328</v>
      </c>
      <c r="H2070" t="s">
        <v>30</v>
      </c>
      <c r="I2070">
        <v>0</v>
      </c>
      <c r="J2070" t="s">
        <v>33</v>
      </c>
    </row>
    <row r="2071" spans="1:10" x14ac:dyDescent="0.25">
      <c r="A2071" s="1">
        <v>143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"2025-05-03 09:33:25.559"</f>
        <v>2025-05-03 09:33:25.559</v>
      </c>
      <c r="H2071" t="s">
        <v>21</v>
      </c>
    </row>
    <row r="2072" spans="1:10" x14ac:dyDescent="0.25">
      <c r="A2072" s="1">
        <v>144</v>
      </c>
      <c r="B2072" t="s">
        <v>34</v>
      </c>
      <c r="C2072">
        <v>630</v>
      </c>
      <c r="D2072">
        <v>5</v>
      </c>
      <c r="E2072" t="s">
        <v>28</v>
      </c>
      <c r="F2072" t="s">
        <v>29</v>
      </c>
      <c r="G2072" t="str">
        <f>"2025-05-03 09:23:41.133"</f>
        <v>2025-05-03 09:23:41.133</v>
      </c>
      <c r="H2072" t="s">
        <v>30</v>
      </c>
      <c r="I2072">
        <v>0</v>
      </c>
      <c r="J2072" t="s">
        <v>33</v>
      </c>
    </row>
    <row r="2073" spans="1:10" x14ac:dyDescent="0.25">
      <c r="A2073" s="1">
        <v>145</v>
      </c>
      <c r="B2073" t="s">
        <v>22</v>
      </c>
      <c r="C2073">
        <v>635</v>
      </c>
      <c r="D2073">
        <v>1</v>
      </c>
      <c r="E2073" t="s">
        <v>23</v>
      </c>
      <c r="F2073" t="s">
        <v>24</v>
      </c>
      <c r="G2073" t="str">
        <f>"2025-05-03 03:34:19.885"</f>
        <v>2025-05-03 03:34:19.885</v>
      </c>
      <c r="H2073" t="s">
        <v>21</v>
      </c>
    </row>
    <row r="2074" spans="1:10" x14ac:dyDescent="0.25">
      <c r="A2074" s="1">
        <v>146</v>
      </c>
      <c r="B2074" t="s">
        <v>25</v>
      </c>
      <c r="C2074">
        <v>635</v>
      </c>
      <c r="D2074">
        <v>1</v>
      </c>
      <c r="E2074" t="s">
        <v>23</v>
      </c>
      <c r="F2074" t="s">
        <v>24</v>
      </c>
      <c r="G2074" t="str">
        <f>"2025-05-03 03:09:25.385"</f>
        <v>2025-05-03 03:09:25.385</v>
      </c>
      <c r="H2074" t="s">
        <v>21</v>
      </c>
      <c r="I2074">
        <v>0.82</v>
      </c>
      <c r="J2074" t="s">
        <v>37</v>
      </c>
    </row>
    <row r="2075" spans="1:10" x14ac:dyDescent="0.25">
      <c r="A2075" s="1">
        <v>147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"2025-05-03 02:53:13.666"</f>
        <v>2025-05-03 02:53:13.666</v>
      </c>
      <c r="H2075" t="s">
        <v>21</v>
      </c>
    </row>
    <row r="2076" spans="1:10" x14ac:dyDescent="0.25">
      <c r="A2076" s="1">
        <v>148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"2025-05-02 06:39:09.515"</f>
        <v>2025-05-02 06:39:09.515</v>
      </c>
      <c r="H2076" t="s">
        <v>21</v>
      </c>
      <c r="I2076">
        <v>0</v>
      </c>
      <c r="J2076" t="s">
        <v>27</v>
      </c>
    </row>
    <row r="2077" spans="1:10" x14ac:dyDescent="0.25">
      <c r="A2077" s="1">
        <v>149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"2025-05-02 06:24:58.529"</f>
        <v>2025-05-02 06:24:58.529</v>
      </c>
      <c r="H2077" t="s">
        <v>21</v>
      </c>
    </row>
    <row r="2078" spans="1:10" x14ac:dyDescent="0.25">
      <c r="A2078" s="1">
        <v>150</v>
      </c>
      <c r="B2078" t="s">
        <v>34</v>
      </c>
      <c r="C2078">
        <v>630</v>
      </c>
      <c r="D2078">
        <v>5</v>
      </c>
      <c r="E2078" t="s">
        <v>28</v>
      </c>
      <c r="F2078" t="s">
        <v>29</v>
      </c>
      <c r="G2078" t="str">
        <f>"2025-05-02 06:00:41.399"</f>
        <v>2025-05-02 06:00:41.399</v>
      </c>
      <c r="H2078" t="s">
        <v>30</v>
      </c>
      <c r="I2078">
        <v>0</v>
      </c>
      <c r="J2078" t="s">
        <v>33</v>
      </c>
    </row>
    <row r="2079" spans="1:10" x14ac:dyDescent="0.25">
      <c r="A2079" s="1">
        <v>151</v>
      </c>
      <c r="B2079" t="s">
        <v>22</v>
      </c>
      <c r="C2079">
        <v>635</v>
      </c>
      <c r="D2079">
        <v>1</v>
      </c>
      <c r="E2079" t="s">
        <v>23</v>
      </c>
      <c r="F2079" t="s">
        <v>24</v>
      </c>
      <c r="G2079" t="str">
        <f>"2025-05-02 02:30:27.545"</f>
        <v>2025-05-02 02:30:27.545</v>
      </c>
      <c r="H2079" t="s">
        <v>21</v>
      </c>
    </row>
    <row r="2080" spans="1:10" x14ac:dyDescent="0.25">
      <c r="A2080" s="1">
        <v>152</v>
      </c>
      <c r="B2080" t="s">
        <v>25</v>
      </c>
      <c r="C2080">
        <v>635</v>
      </c>
      <c r="D2080">
        <v>1</v>
      </c>
      <c r="E2080" t="s">
        <v>23</v>
      </c>
      <c r="F2080" t="s">
        <v>24</v>
      </c>
      <c r="G2080" t="str">
        <f>"2025-05-02 02:25:12.545"</f>
        <v>2025-05-02 02:25:12.545</v>
      </c>
      <c r="H2080" t="s">
        <v>21</v>
      </c>
      <c r="I2080">
        <v>9.19</v>
      </c>
      <c r="J2080" t="s">
        <v>37</v>
      </c>
    </row>
    <row r="2081" spans="1:10" x14ac:dyDescent="0.25">
      <c r="A2081" s="1">
        <v>153</v>
      </c>
      <c r="B2081" t="s">
        <v>22</v>
      </c>
      <c r="C2081">
        <v>635</v>
      </c>
      <c r="D2081">
        <v>1</v>
      </c>
      <c r="E2081" t="s">
        <v>23</v>
      </c>
      <c r="F2081" t="s">
        <v>24</v>
      </c>
      <c r="G2081" t="str">
        <f>"2025-04-30 13:40:00.545"</f>
        <v>2025-04-30 13:40:00.545</v>
      </c>
      <c r="H2081" t="s">
        <v>21</v>
      </c>
    </row>
    <row r="2082" spans="1:10" x14ac:dyDescent="0.25">
      <c r="A2082" s="1">
        <v>154</v>
      </c>
      <c r="B2082" t="s">
        <v>25</v>
      </c>
      <c r="C2082">
        <v>635</v>
      </c>
      <c r="D2082">
        <v>1</v>
      </c>
      <c r="E2082" t="s">
        <v>23</v>
      </c>
      <c r="F2082" t="s">
        <v>24</v>
      </c>
      <c r="G2082" t="str">
        <f>"2025-04-30 13:33:10.545"</f>
        <v>2025-04-30 13:33:10.545</v>
      </c>
      <c r="H2082" t="s">
        <v>21</v>
      </c>
      <c r="I2082">
        <v>4.68</v>
      </c>
      <c r="J2082" t="s">
        <v>26</v>
      </c>
    </row>
    <row r="2083" spans="1:10" x14ac:dyDescent="0.25">
      <c r="A2083" s="1">
        <v>155</v>
      </c>
      <c r="B2083" t="s">
        <v>22</v>
      </c>
      <c r="C2083">
        <v>630</v>
      </c>
      <c r="D2083">
        <v>5</v>
      </c>
      <c r="E2083" t="s">
        <v>28</v>
      </c>
      <c r="F2083" t="s">
        <v>29</v>
      </c>
      <c r="G2083" t="str">
        <f>"2025-04-30 12:30:44.799"</f>
        <v>2025-04-30 12:30:44.799</v>
      </c>
      <c r="H2083" t="s">
        <v>30</v>
      </c>
    </row>
    <row r="2084" spans="1:10" x14ac:dyDescent="0.25">
      <c r="A2084" s="1">
        <v>156</v>
      </c>
      <c r="B2084" t="s">
        <v>19</v>
      </c>
      <c r="C2084">
        <v>706</v>
      </c>
      <c r="D2084">
        <v>2</v>
      </c>
      <c r="E2084" t="s">
        <v>31</v>
      </c>
      <c r="F2084" t="s">
        <v>35</v>
      </c>
      <c r="G2084" t="str">
        <f>"2025-04-30 12:30:14.718"</f>
        <v>2025-04-30 12:30:14.718</v>
      </c>
      <c r="H2084" t="s">
        <v>21</v>
      </c>
      <c r="I2084">
        <v>0</v>
      </c>
      <c r="J2084" t="s">
        <v>33</v>
      </c>
    </row>
    <row r="2085" spans="1:10" x14ac:dyDescent="0.25">
      <c r="A2085" s="1">
        <v>157</v>
      </c>
      <c r="B2085" t="s">
        <v>34</v>
      </c>
      <c r="C2085">
        <v>630</v>
      </c>
      <c r="D2085">
        <v>5</v>
      </c>
      <c r="E2085" t="s">
        <v>28</v>
      </c>
      <c r="F2085" t="s">
        <v>29</v>
      </c>
      <c r="G2085" t="str">
        <f>"2025-04-30 12:03:23.899"</f>
        <v>2025-04-30 12:03:23.899</v>
      </c>
      <c r="H2085" t="s">
        <v>30</v>
      </c>
      <c r="I2085">
        <v>0</v>
      </c>
      <c r="J2085" t="s">
        <v>33</v>
      </c>
    </row>
    <row r="2086" spans="1:10" x14ac:dyDescent="0.25">
      <c r="A2086" s="1">
        <v>158</v>
      </c>
      <c r="B2086" t="s">
        <v>22</v>
      </c>
      <c r="C2086">
        <v>630</v>
      </c>
      <c r="D2086">
        <v>5</v>
      </c>
      <c r="E2086" t="s">
        <v>28</v>
      </c>
      <c r="F2086" t="s">
        <v>29</v>
      </c>
      <c r="G2086" t="str">
        <f>"2025-04-30 05:04:00.699"</f>
        <v>2025-04-30 05:04:00.699</v>
      </c>
      <c r="H2086" t="s">
        <v>30</v>
      </c>
    </row>
    <row r="2087" spans="1:10" x14ac:dyDescent="0.25">
      <c r="A2087" s="1">
        <v>159</v>
      </c>
      <c r="B2087" t="s">
        <v>19</v>
      </c>
      <c r="C2087">
        <v>706</v>
      </c>
      <c r="D2087">
        <v>4</v>
      </c>
      <c r="E2087" t="s">
        <v>31</v>
      </c>
      <c r="F2087" t="s">
        <v>32</v>
      </c>
      <c r="G2087" t="str">
        <f>"2025-04-30 05:03:30.598"</f>
        <v>2025-04-30 05:03:30.598</v>
      </c>
      <c r="H2087" t="s">
        <v>21</v>
      </c>
      <c r="I2087">
        <v>0</v>
      </c>
      <c r="J2087" t="s">
        <v>33</v>
      </c>
    </row>
    <row r="2088" spans="1:10" x14ac:dyDescent="0.25">
      <c r="A2088" s="1">
        <v>160</v>
      </c>
      <c r="B2088" t="s">
        <v>34</v>
      </c>
      <c r="C2088">
        <v>630</v>
      </c>
      <c r="D2088">
        <v>5</v>
      </c>
      <c r="E2088" t="s">
        <v>28</v>
      </c>
      <c r="F2088" t="s">
        <v>29</v>
      </c>
      <c r="G2088" t="str">
        <f>"2025-04-30 04:53:27.699"</f>
        <v>2025-04-30 04:53:27.699</v>
      </c>
      <c r="H2088" t="s">
        <v>30</v>
      </c>
      <c r="I2088">
        <v>0</v>
      </c>
      <c r="J2088" t="s">
        <v>33</v>
      </c>
    </row>
    <row r="2089" spans="1:10" x14ac:dyDescent="0.25">
      <c r="A2089" s="1">
        <v>161</v>
      </c>
      <c r="B2089" t="s">
        <v>19</v>
      </c>
      <c r="C2089">
        <v>706</v>
      </c>
      <c r="D2089">
        <v>2</v>
      </c>
      <c r="E2089" t="s">
        <v>31</v>
      </c>
      <c r="F2089" t="s">
        <v>35</v>
      </c>
      <c r="G2089" t="str">
        <f>"2025-04-29 18:24:06.718"</f>
        <v>2025-04-29 18:24:06.718</v>
      </c>
      <c r="H2089" t="s">
        <v>21</v>
      </c>
      <c r="I2089">
        <v>0</v>
      </c>
      <c r="J2089" t="s">
        <v>33</v>
      </c>
    </row>
    <row r="2090" spans="1:10" x14ac:dyDescent="0.25">
      <c r="A2090" s="1">
        <v>162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"2025-04-29 18:22:26.528"</f>
        <v>2025-04-29 18:22:26.528</v>
      </c>
      <c r="H2090" t="s">
        <v>21</v>
      </c>
    </row>
    <row r="2091" spans="1:10" x14ac:dyDescent="0.25">
      <c r="A2091" s="1">
        <v>163</v>
      </c>
      <c r="B2091" t="s">
        <v>22</v>
      </c>
      <c r="C2091">
        <v>635</v>
      </c>
      <c r="D2091">
        <v>1</v>
      </c>
      <c r="E2091" t="s">
        <v>23</v>
      </c>
      <c r="F2091" t="s">
        <v>24</v>
      </c>
      <c r="G2091" t="str">
        <f>"2025-04-29 10:09:54.852"</f>
        <v>2025-04-29 10:09:54.852</v>
      </c>
      <c r="H2091" t="s">
        <v>21</v>
      </c>
    </row>
    <row r="2092" spans="1:10" x14ac:dyDescent="0.25">
      <c r="A2092" s="1">
        <v>164</v>
      </c>
      <c r="B2092" t="s">
        <v>25</v>
      </c>
      <c r="C2092">
        <v>635</v>
      </c>
      <c r="D2092">
        <v>1</v>
      </c>
      <c r="E2092" t="s">
        <v>23</v>
      </c>
      <c r="F2092" t="s">
        <v>24</v>
      </c>
      <c r="G2092" t="str">
        <f>"2025-04-29 10:06:09.852"</f>
        <v>2025-04-29 10:06:09.852</v>
      </c>
      <c r="H2092" t="s">
        <v>21</v>
      </c>
      <c r="I2092">
        <v>1.78</v>
      </c>
      <c r="J2092" t="s">
        <v>36</v>
      </c>
    </row>
    <row r="2093" spans="1:10" x14ac:dyDescent="0.25">
      <c r="A2093" s="1">
        <v>165</v>
      </c>
      <c r="B2093" t="s">
        <v>22</v>
      </c>
      <c r="C2093">
        <v>619</v>
      </c>
      <c r="D2093">
        <v>1</v>
      </c>
      <c r="E2093" t="s">
        <v>54</v>
      </c>
      <c r="F2093" t="s">
        <v>24</v>
      </c>
      <c r="G2093" t="str">
        <f>"2025-04-28 17:57:02.152"</f>
        <v>2025-04-28 17:57:02.152</v>
      </c>
      <c r="H2093" t="s">
        <v>55</v>
      </c>
    </row>
    <row r="2094" spans="1:10" x14ac:dyDescent="0.25">
      <c r="A2094" s="1">
        <v>166</v>
      </c>
      <c r="B2094" t="s">
        <v>25</v>
      </c>
      <c r="C2094">
        <v>619</v>
      </c>
      <c r="D2094">
        <v>1</v>
      </c>
      <c r="E2094" t="s">
        <v>54</v>
      </c>
      <c r="F2094" t="s">
        <v>24</v>
      </c>
      <c r="G2094" t="str">
        <f>"2025-04-28 17:56:14.952"</f>
        <v>2025-04-28 17:56:14.952</v>
      </c>
      <c r="H2094" t="s">
        <v>55</v>
      </c>
      <c r="I2094">
        <v>0</v>
      </c>
      <c r="J2094" t="s">
        <v>33</v>
      </c>
    </row>
    <row r="2095" spans="1:10" x14ac:dyDescent="0.25">
      <c r="A2095" s="1">
        <v>167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"2025-04-28 17:55:45.532"</f>
        <v>2025-04-28 17:55:45.532</v>
      </c>
      <c r="H2095" t="s">
        <v>21</v>
      </c>
    </row>
    <row r="2096" spans="1:10" x14ac:dyDescent="0.25">
      <c r="A2096" s="1">
        <v>168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"2025-04-28 06:09:25.510"</f>
        <v>2025-04-28 06:09:25.510</v>
      </c>
      <c r="H2096" t="s">
        <v>21</v>
      </c>
      <c r="I2096">
        <v>0</v>
      </c>
      <c r="J2096" t="s">
        <v>27</v>
      </c>
    </row>
    <row r="2097" spans="1:10" x14ac:dyDescent="0.25">
      <c r="A2097" s="1">
        <v>169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"2025-04-28 05:56:43.503"</f>
        <v>2025-04-28 05:56:43.503</v>
      </c>
      <c r="H2097" t="s">
        <v>21</v>
      </c>
    </row>
    <row r="2098" spans="1:10" x14ac:dyDescent="0.25">
      <c r="A2098" s="1">
        <v>170</v>
      </c>
      <c r="B2098" t="s">
        <v>22</v>
      </c>
      <c r="C2098">
        <v>630</v>
      </c>
      <c r="D2098">
        <v>5</v>
      </c>
      <c r="E2098" t="s">
        <v>28</v>
      </c>
      <c r="F2098" t="s">
        <v>29</v>
      </c>
      <c r="G2098" t="str">
        <f>"2025-04-27 13:44:45.315"</f>
        <v>2025-04-27 13:44:45.315</v>
      </c>
      <c r="H2098" t="s">
        <v>30</v>
      </c>
    </row>
    <row r="2099" spans="1:10" x14ac:dyDescent="0.25">
      <c r="A2099" s="1">
        <v>171</v>
      </c>
      <c r="B2099" t="s">
        <v>19</v>
      </c>
      <c r="C2099">
        <v>706</v>
      </c>
      <c r="D2099">
        <v>2</v>
      </c>
      <c r="E2099" t="s">
        <v>31</v>
      </c>
      <c r="F2099" t="s">
        <v>35</v>
      </c>
      <c r="G2099" t="str">
        <f>"2025-04-27 13:44:15.248"</f>
        <v>2025-04-27 13:44:15.248</v>
      </c>
      <c r="H2099" t="s">
        <v>21</v>
      </c>
      <c r="I2099">
        <v>0</v>
      </c>
      <c r="J2099" t="s">
        <v>33</v>
      </c>
    </row>
    <row r="2100" spans="1:10" x14ac:dyDescent="0.25">
      <c r="A2100" s="1">
        <v>172</v>
      </c>
      <c r="B2100" t="s">
        <v>34</v>
      </c>
      <c r="C2100">
        <v>630</v>
      </c>
      <c r="D2100">
        <v>5</v>
      </c>
      <c r="E2100" t="s">
        <v>28</v>
      </c>
      <c r="F2100" t="s">
        <v>29</v>
      </c>
      <c r="G2100" t="str">
        <f>"2025-04-27 12:52:28.416"</f>
        <v>2025-04-27 12:52:28.416</v>
      </c>
      <c r="H2100" t="s">
        <v>30</v>
      </c>
      <c r="I2100">
        <v>0</v>
      </c>
      <c r="J2100" t="s">
        <v>33</v>
      </c>
    </row>
    <row r="2101" spans="1:10" x14ac:dyDescent="0.25">
      <c r="A2101" s="1">
        <v>173</v>
      </c>
      <c r="B2101" t="s">
        <v>19</v>
      </c>
      <c r="C2101">
        <v>706</v>
      </c>
      <c r="D2101">
        <v>4</v>
      </c>
      <c r="E2101" t="s">
        <v>31</v>
      </c>
      <c r="F2101" t="s">
        <v>32</v>
      </c>
      <c r="G2101" t="str">
        <f>"2025-04-27 08:01:20.978"</f>
        <v>2025-04-27 08:01:20.978</v>
      </c>
      <c r="H2101" t="s">
        <v>21</v>
      </c>
      <c r="I2101">
        <v>0</v>
      </c>
      <c r="J2101" t="s">
        <v>33</v>
      </c>
    </row>
    <row r="2102" spans="1:10" x14ac:dyDescent="0.25">
      <c r="A2102" s="1">
        <v>174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"2025-04-27 05:18:38.548"</f>
        <v>2025-04-27 05:18:38.548</v>
      </c>
      <c r="H2102" t="s">
        <v>21</v>
      </c>
      <c r="I2102">
        <v>0</v>
      </c>
      <c r="J2102" t="s">
        <v>27</v>
      </c>
    </row>
    <row r="2103" spans="1:10" x14ac:dyDescent="0.25">
      <c r="A2103" s="1">
        <v>175</v>
      </c>
      <c r="B2103" t="s">
        <v>22</v>
      </c>
      <c r="C2103">
        <v>630</v>
      </c>
      <c r="D2103">
        <v>5</v>
      </c>
      <c r="E2103" t="s">
        <v>28</v>
      </c>
      <c r="F2103" t="s">
        <v>29</v>
      </c>
      <c r="G2103" t="str">
        <f>"2025-04-26 13:44:10.114"</f>
        <v>2025-04-26 13:44:10.114</v>
      </c>
      <c r="H2103" t="s">
        <v>30</v>
      </c>
    </row>
    <row r="2104" spans="1:10" x14ac:dyDescent="0.25">
      <c r="A2104" s="1">
        <v>176</v>
      </c>
      <c r="B2104" t="s">
        <v>19</v>
      </c>
      <c r="C2104">
        <v>706</v>
      </c>
      <c r="D2104">
        <v>4</v>
      </c>
      <c r="E2104" t="s">
        <v>31</v>
      </c>
      <c r="F2104" t="s">
        <v>32</v>
      </c>
      <c r="G2104" t="str">
        <f>"2025-04-26 13:43:40.047"</f>
        <v>2025-04-26 13:43:40.047</v>
      </c>
      <c r="H2104" t="s">
        <v>21</v>
      </c>
      <c r="I2104">
        <v>0</v>
      </c>
      <c r="J2104" t="s">
        <v>33</v>
      </c>
    </row>
    <row r="2105" spans="1:10" x14ac:dyDescent="0.25">
      <c r="A2105" s="1">
        <v>177</v>
      </c>
      <c r="B2105" t="s">
        <v>34</v>
      </c>
      <c r="C2105">
        <v>630</v>
      </c>
      <c r="D2105">
        <v>5</v>
      </c>
      <c r="E2105" t="s">
        <v>28</v>
      </c>
      <c r="F2105" t="s">
        <v>29</v>
      </c>
      <c r="G2105" t="str">
        <f>"2025-04-26 12:52:45.915"</f>
        <v>2025-04-26 12:52:45.915</v>
      </c>
      <c r="H2105" t="s">
        <v>30</v>
      </c>
      <c r="I2105">
        <v>0</v>
      </c>
      <c r="J2105" t="s">
        <v>33</v>
      </c>
    </row>
    <row r="2106" spans="1:10" x14ac:dyDescent="0.25">
      <c r="A2106" s="1">
        <v>178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"2025-04-26 05:41:26.537"</f>
        <v>2025-04-26 05:41:26.537</v>
      </c>
      <c r="H2106" t="s">
        <v>21</v>
      </c>
      <c r="I2106">
        <v>0</v>
      </c>
      <c r="J2106" t="s">
        <v>27</v>
      </c>
    </row>
    <row r="2107" spans="1:10" x14ac:dyDescent="0.25">
      <c r="A2107" s="1">
        <v>179</v>
      </c>
      <c r="B2107" t="s">
        <v>22</v>
      </c>
      <c r="C2107">
        <v>630</v>
      </c>
      <c r="D2107">
        <v>5</v>
      </c>
      <c r="E2107" t="s">
        <v>28</v>
      </c>
      <c r="F2107" t="s">
        <v>29</v>
      </c>
      <c r="G2107" t="str">
        <f>"2025-04-25 12:53:27.551"</f>
        <v>2025-04-25 12:53:27.551</v>
      </c>
      <c r="H2107" t="s">
        <v>30</v>
      </c>
    </row>
    <row r="2108" spans="1:10" x14ac:dyDescent="0.25">
      <c r="A2108" s="1">
        <v>180</v>
      </c>
      <c r="B2108" t="s">
        <v>19</v>
      </c>
      <c r="C2108">
        <v>706</v>
      </c>
      <c r="D2108">
        <v>2</v>
      </c>
      <c r="E2108" t="s">
        <v>31</v>
      </c>
      <c r="F2108" t="s">
        <v>35</v>
      </c>
      <c r="G2108" t="str">
        <f>"2025-04-25 12:52:57.449"</f>
        <v>2025-04-25 12:52:57.449</v>
      </c>
      <c r="H2108" t="s">
        <v>21</v>
      </c>
      <c r="I2108">
        <v>0</v>
      </c>
      <c r="J2108" t="s">
        <v>33</v>
      </c>
    </row>
    <row r="2109" spans="1:10" x14ac:dyDescent="0.25">
      <c r="A2109" s="1">
        <v>181</v>
      </c>
      <c r="B2109" t="s">
        <v>34</v>
      </c>
      <c r="C2109">
        <v>630</v>
      </c>
      <c r="D2109">
        <v>5</v>
      </c>
      <c r="E2109" t="s">
        <v>28</v>
      </c>
      <c r="F2109" t="s">
        <v>29</v>
      </c>
      <c r="G2109" t="str">
        <f>"2025-04-25 12:32:24.251"</f>
        <v>2025-04-25 12:32:24.251</v>
      </c>
      <c r="H2109" t="s">
        <v>30</v>
      </c>
      <c r="I2109">
        <v>0</v>
      </c>
      <c r="J2109" t="s">
        <v>33</v>
      </c>
    </row>
    <row r="2110" spans="1:10" x14ac:dyDescent="0.25">
      <c r="A2110" s="1">
        <v>182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"2025-04-24 20:16:19.679"</f>
        <v>2025-04-24 20:16:19.679</v>
      </c>
      <c r="H2110" t="s">
        <v>21</v>
      </c>
      <c r="I2110">
        <v>0</v>
      </c>
      <c r="J2110" t="s">
        <v>27</v>
      </c>
    </row>
    <row r="2111" spans="1:10" x14ac:dyDescent="0.25">
      <c r="A2111" s="1">
        <v>183</v>
      </c>
      <c r="B2111" t="s">
        <v>22</v>
      </c>
      <c r="C2111">
        <v>630</v>
      </c>
      <c r="D2111">
        <v>5</v>
      </c>
      <c r="E2111" t="s">
        <v>28</v>
      </c>
      <c r="F2111" t="s">
        <v>29</v>
      </c>
      <c r="G2111" t="str">
        <f>"2025-04-24 14:13:22.124"</f>
        <v>2025-04-24 14:13:22.124</v>
      </c>
      <c r="H2111" t="s">
        <v>30</v>
      </c>
    </row>
    <row r="2112" spans="1:10" x14ac:dyDescent="0.25">
      <c r="A2112" s="1">
        <v>184</v>
      </c>
      <c r="B2112" t="s">
        <v>19</v>
      </c>
      <c r="C2112">
        <v>706</v>
      </c>
      <c r="D2112">
        <v>4</v>
      </c>
      <c r="E2112" t="s">
        <v>31</v>
      </c>
      <c r="F2112" t="s">
        <v>32</v>
      </c>
      <c r="G2112" t="str">
        <f>"2025-04-24 14:12:52.003"</f>
        <v>2025-04-24 14:12:52.003</v>
      </c>
      <c r="H2112" t="s">
        <v>21</v>
      </c>
      <c r="I2112">
        <v>0</v>
      </c>
      <c r="J2112" t="s">
        <v>33</v>
      </c>
    </row>
    <row r="2113" spans="1:10" x14ac:dyDescent="0.25">
      <c r="A2113" s="1">
        <v>185</v>
      </c>
      <c r="B2113" t="s">
        <v>34</v>
      </c>
      <c r="C2113">
        <v>630</v>
      </c>
      <c r="D2113">
        <v>5</v>
      </c>
      <c r="E2113" t="s">
        <v>28</v>
      </c>
      <c r="F2113" t="s">
        <v>29</v>
      </c>
      <c r="G2113" t="str">
        <f>"2025-04-24 12:46:57.724"</f>
        <v>2025-04-24 12:46:57.724</v>
      </c>
      <c r="H2113" t="s">
        <v>30</v>
      </c>
      <c r="I2113">
        <v>0</v>
      </c>
      <c r="J2113" t="s">
        <v>33</v>
      </c>
    </row>
    <row r="2114" spans="1:10" x14ac:dyDescent="0.25">
      <c r="A2114" s="1">
        <v>186</v>
      </c>
      <c r="B2114" t="s">
        <v>22</v>
      </c>
      <c r="C2114">
        <v>635</v>
      </c>
      <c r="D2114">
        <v>1</v>
      </c>
      <c r="E2114" t="s">
        <v>23</v>
      </c>
      <c r="F2114" t="s">
        <v>24</v>
      </c>
      <c r="G2114" t="str">
        <f>"2025-04-23 07:30:07.175"</f>
        <v>2025-04-23 07:30:07.175</v>
      </c>
      <c r="H2114" t="s">
        <v>21</v>
      </c>
    </row>
    <row r="2115" spans="1:10" x14ac:dyDescent="0.25">
      <c r="A2115" s="1">
        <v>187</v>
      </c>
      <c r="B2115" t="s">
        <v>25</v>
      </c>
      <c r="C2115">
        <v>635</v>
      </c>
      <c r="D2115">
        <v>1</v>
      </c>
      <c r="E2115" t="s">
        <v>23</v>
      </c>
      <c r="F2115" t="s">
        <v>24</v>
      </c>
      <c r="G2115" t="str">
        <f>"2025-04-23 07:20:26.675"</f>
        <v>2025-04-23 07:20:26.675</v>
      </c>
      <c r="H2115" t="s">
        <v>21</v>
      </c>
      <c r="I2115">
        <v>8.8000000000000007</v>
      </c>
      <c r="J2115" t="s">
        <v>36</v>
      </c>
    </row>
    <row r="2116" spans="1:10" x14ac:dyDescent="0.25">
      <c r="A2116" s="1">
        <v>188</v>
      </c>
      <c r="B2116" t="s">
        <v>22</v>
      </c>
      <c r="C2116">
        <v>619</v>
      </c>
      <c r="D2116">
        <v>1</v>
      </c>
      <c r="E2116" t="s">
        <v>54</v>
      </c>
      <c r="F2116" t="s">
        <v>24</v>
      </c>
      <c r="G2116" t="str">
        <f>"2025-04-23 01:11:00.175"</f>
        <v>2025-04-23 01:11:00.175</v>
      </c>
      <c r="H2116" t="s">
        <v>55</v>
      </c>
    </row>
    <row r="2117" spans="1:10" x14ac:dyDescent="0.25">
      <c r="A2117" s="1">
        <v>189</v>
      </c>
      <c r="B2117" t="s">
        <v>25</v>
      </c>
      <c r="C2117">
        <v>619</v>
      </c>
      <c r="D2117">
        <v>1</v>
      </c>
      <c r="E2117" t="s">
        <v>54</v>
      </c>
      <c r="F2117" t="s">
        <v>24</v>
      </c>
      <c r="G2117" t="str">
        <f>"2025-04-23 01:10:44.223"</f>
        <v>2025-04-23 01:10:44.223</v>
      </c>
      <c r="H2117" t="s">
        <v>55</v>
      </c>
      <c r="I2117">
        <v>0</v>
      </c>
      <c r="J2117" t="s">
        <v>33</v>
      </c>
    </row>
    <row r="2118" spans="1:10" x14ac:dyDescent="0.25">
      <c r="A2118" s="1">
        <v>190</v>
      </c>
      <c r="B2118" t="s">
        <v>19</v>
      </c>
      <c r="C2118">
        <v>706</v>
      </c>
      <c r="D2118">
        <v>2</v>
      </c>
      <c r="E2118" t="s">
        <v>31</v>
      </c>
      <c r="F2118" t="s">
        <v>35</v>
      </c>
      <c r="G2118" t="str">
        <f>"2025-04-23 01:10:38.253"</f>
        <v>2025-04-23 01:10:38.253</v>
      </c>
      <c r="H2118" t="s">
        <v>21</v>
      </c>
      <c r="I2118">
        <v>0</v>
      </c>
      <c r="J2118" t="s">
        <v>33</v>
      </c>
    </row>
    <row r="2119" spans="1:10" x14ac:dyDescent="0.25">
      <c r="A2119" s="1">
        <v>191</v>
      </c>
      <c r="B2119" t="s">
        <v>19</v>
      </c>
      <c r="C2119">
        <v>706</v>
      </c>
      <c r="D2119">
        <v>3</v>
      </c>
      <c r="E2119" t="s">
        <v>31</v>
      </c>
      <c r="F2119" t="s">
        <v>66</v>
      </c>
      <c r="G2119" t="str">
        <f>"2025-04-23 01:10:21.603"</f>
        <v>2025-04-23 01:10:21.603</v>
      </c>
      <c r="H2119" t="s">
        <v>21</v>
      </c>
      <c r="I2119">
        <v>0</v>
      </c>
      <c r="J2119" t="s">
        <v>33</v>
      </c>
    </row>
    <row r="2120" spans="1:10" x14ac:dyDescent="0.25">
      <c r="A2120" s="1">
        <v>192</v>
      </c>
      <c r="B2120" t="s">
        <v>22</v>
      </c>
      <c r="C2120">
        <v>619</v>
      </c>
      <c r="D2120">
        <v>1</v>
      </c>
      <c r="E2120" t="s">
        <v>54</v>
      </c>
      <c r="F2120" t="s">
        <v>24</v>
      </c>
      <c r="G2120" t="str">
        <f>"2025-04-23 01:09:56.275"</f>
        <v>2025-04-23 01:09:56.275</v>
      </c>
      <c r="H2120" t="s">
        <v>55</v>
      </c>
    </row>
    <row r="2121" spans="1:10" x14ac:dyDescent="0.25">
      <c r="A2121" s="1">
        <v>193</v>
      </c>
      <c r="B2121" t="s">
        <v>22</v>
      </c>
      <c r="C2121">
        <v>630</v>
      </c>
      <c r="D2121">
        <v>5</v>
      </c>
      <c r="E2121" t="s">
        <v>28</v>
      </c>
      <c r="F2121" t="s">
        <v>29</v>
      </c>
      <c r="G2121" t="str">
        <f>"2025-04-23 01:09:37.424"</f>
        <v>2025-04-23 01:09:37.424</v>
      </c>
      <c r="H2121" t="s">
        <v>30</v>
      </c>
    </row>
    <row r="2122" spans="1:10" x14ac:dyDescent="0.25">
      <c r="A2122" s="1">
        <v>194</v>
      </c>
      <c r="B2122" t="s">
        <v>25</v>
      </c>
      <c r="C2122">
        <v>619</v>
      </c>
      <c r="D2122">
        <v>1</v>
      </c>
      <c r="E2122" t="s">
        <v>54</v>
      </c>
      <c r="F2122" t="s">
        <v>24</v>
      </c>
      <c r="G2122" t="str">
        <f>"2025-04-23 01:09:13.523"</f>
        <v>2025-04-23 01:09:13.523</v>
      </c>
      <c r="H2122" t="s">
        <v>55</v>
      </c>
      <c r="I2122">
        <v>0</v>
      </c>
      <c r="J2122" t="s">
        <v>33</v>
      </c>
    </row>
    <row r="2123" spans="1:10" x14ac:dyDescent="0.25">
      <c r="A2123" s="1">
        <v>195</v>
      </c>
      <c r="B2123" t="s">
        <v>19</v>
      </c>
      <c r="C2123">
        <v>706</v>
      </c>
      <c r="D2123">
        <v>2</v>
      </c>
      <c r="E2123" t="s">
        <v>31</v>
      </c>
      <c r="F2123" t="s">
        <v>35</v>
      </c>
      <c r="G2123" t="str">
        <f>"2025-04-23 01:09:07.253"</f>
        <v>2025-04-23 01:09:07.253</v>
      </c>
      <c r="H2123" t="s">
        <v>21</v>
      </c>
      <c r="I2123">
        <v>0</v>
      </c>
      <c r="J2123" t="s">
        <v>33</v>
      </c>
    </row>
    <row r="2124" spans="1:10" x14ac:dyDescent="0.25">
      <c r="A2124" s="1">
        <v>198</v>
      </c>
      <c r="B2124" t="s">
        <v>34</v>
      </c>
      <c r="C2124">
        <v>630</v>
      </c>
      <c r="D2124">
        <v>5</v>
      </c>
      <c r="E2124" t="s">
        <v>28</v>
      </c>
      <c r="F2124" t="s">
        <v>29</v>
      </c>
      <c r="G2124" t="str">
        <f>"2025-04-23 00:37:35.524"</f>
        <v>2025-04-23 00:37:35.524</v>
      </c>
      <c r="H2124" t="s">
        <v>30</v>
      </c>
      <c r="I2124">
        <v>0</v>
      </c>
      <c r="J2124" t="s">
        <v>33</v>
      </c>
    </row>
    <row r="2125" spans="1:10" x14ac:dyDescent="0.25">
      <c r="A2125" s="1">
        <v>199</v>
      </c>
      <c r="B2125" t="s">
        <v>19</v>
      </c>
      <c r="C2125">
        <v>782</v>
      </c>
      <c r="D2125">
        <v>7</v>
      </c>
      <c r="E2125" t="s">
        <v>74</v>
      </c>
      <c r="F2125" t="s">
        <v>75</v>
      </c>
      <c r="G2125" t="str">
        <f>"2025-04-23 00:37:35.480"</f>
        <v>2025-04-23 00:37:35.480</v>
      </c>
      <c r="H2125" t="s">
        <v>21</v>
      </c>
      <c r="I2125">
        <v>0</v>
      </c>
      <c r="J2125" t="s">
        <v>33</v>
      </c>
    </row>
    <row r="2126" spans="1:10" x14ac:dyDescent="0.25">
      <c r="A2126" s="1">
        <v>202</v>
      </c>
      <c r="B2126" t="s">
        <v>22</v>
      </c>
      <c r="C2126">
        <v>630</v>
      </c>
      <c r="D2126">
        <v>5</v>
      </c>
      <c r="E2126" t="s">
        <v>28</v>
      </c>
      <c r="F2126" t="s">
        <v>29</v>
      </c>
      <c r="G2126" t="str">
        <f>"2025-04-23 00:37:35.476"</f>
        <v>2025-04-23 00:37:35.476</v>
      </c>
      <c r="H2126" t="s">
        <v>30</v>
      </c>
    </row>
    <row r="2127" spans="1:10" x14ac:dyDescent="0.25">
      <c r="A2127" s="1">
        <v>203</v>
      </c>
      <c r="B2127" t="s">
        <v>19</v>
      </c>
      <c r="C2127">
        <v>782</v>
      </c>
      <c r="D2127">
        <v>7</v>
      </c>
      <c r="E2127" t="s">
        <v>74</v>
      </c>
      <c r="F2127" t="s">
        <v>75</v>
      </c>
      <c r="G2127" t="str">
        <f>"2025-04-23 00:37:35.475"</f>
        <v>2025-04-23 00:37:35.475</v>
      </c>
      <c r="H2127" t="s">
        <v>21</v>
      </c>
      <c r="I2127">
        <v>0</v>
      </c>
      <c r="J2127" t="s">
        <v>33</v>
      </c>
    </row>
    <row r="2128" spans="1:10" x14ac:dyDescent="0.25">
      <c r="A2128" s="1">
        <v>204</v>
      </c>
      <c r="B2128" t="s">
        <v>34</v>
      </c>
      <c r="C2128">
        <v>630</v>
      </c>
      <c r="D2128">
        <v>5</v>
      </c>
      <c r="E2128" t="s">
        <v>28</v>
      </c>
      <c r="F2128" t="s">
        <v>29</v>
      </c>
      <c r="G2128" t="str">
        <f>"2025-04-23 00:33:17.224"</f>
        <v>2025-04-23 00:33:17.224</v>
      </c>
      <c r="H2128" t="s">
        <v>30</v>
      </c>
      <c r="I2128">
        <v>0</v>
      </c>
      <c r="J2128" t="s">
        <v>33</v>
      </c>
    </row>
    <row r="2129" spans="1:10" x14ac:dyDescent="0.25">
      <c r="A2129" s="1">
        <v>205</v>
      </c>
      <c r="B2129" t="s">
        <v>22</v>
      </c>
      <c r="C2129">
        <v>619</v>
      </c>
      <c r="D2129">
        <v>1</v>
      </c>
      <c r="E2129" t="s">
        <v>54</v>
      </c>
      <c r="F2129" t="s">
        <v>24</v>
      </c>
      <c r="G2129" t="str">
        <f>"2025-04-23 00:27:44.323"</f>
        <v>2025-04-23 00:27:44.323</v>
      </c>
      <c r="H2129" t="s">
        <v>55</v>
      </c>
    </row>
    <row r="2130" spans="1:10" x14ac:dyDescent="0.25">
      <c r="A2130" s="1">
        <v>206</v>
      </c>
      <c r="B2130" t="s">
        <v>22</v>
      </c>
      <c r="C2130">
        <v>630</v>
      </c>
      <c r="D2130">
        <v>5</v>
      </c>
      <c r="E2130" t="s">
        <v>28</v>
      </c>
      <c r="F2130" t="s">
        <v>29</v>
      </c>
      <c r="G2130" t="str">
        <f>"2025-04-23 00:27:14.524"</f>
        <v>2025-04-23 00:27:14.524</v>
      </c>
      <c r="H2130" t="s">
        <v>30</v>
      </c>
    </row>
    <row r="2131" spans="1:10" x14ac:dyDescent="0.25">
      <c r="A2131" s="1">
        <v>207</v>
      </c>
      <c r="B2131" t="s">
        <v>25</v>
      </c>
      <c r="C2131">
        <v>619</v>
      </c>
      <c r="D2131">
        <v>1</v>
      </c>
      <c r="E2131" t="s">
        <v>54</v>
      </c>
      <c r="F2131" t="s">
        <v>24</v>
      </c>
      <c r="G2131" t="str">
        <f>"2025-04-23 00:26:49.075"</f>
        <v>2025-04-23 00:26:49.075</v>
      </c>
      <c r="H2131" t="s">
        <v>55</v>
      </c>
      <c r="I2131">
        <v>0</v>
      </c>
      <c r="J2131" t="s">
        <v>33</v>
      </c>
    </row>
    <row r="2132" spans="1:10" x14ac:dyDescent="0.25">
      <c r="A2132" s="1">
        <v>208</v>
      </c>
      <c r="B2132" t="s">
        <v>19</v>
      </c>
      <c r="C2132">
        <v>706</v>
      </c>
      <c r="D2132">
        <v>2</v>
      </c>
      <c r="E2132" t="s">
        <v>31</v>
      </c>
      <c r="F2132" t="s">
        <v>35</v>
      </c>
      <c r="G2132" t="str">
        <f>"2025-04-23 00:26:44.353"</f>
        <v>2025-04-23 00:26:44.353</v>
      </c>
      <c r="H2132" t="s">
        <v>21</v>
      </c>
      <c r="I2132">
        <v>0</v>
      </c>
      <c r="J2132" t="s">
        <v>33</v>
      </c>
    </row>
    <row r="2133" spans="1:10" x14ac:dyDescent="0.25">
      <c r="A2133" s="1">
        <v>209</v>
      </c>
      <c r="B2133" t="s">
        <v>34</v>
      </c>
      <c r="C2133">
        <v>630</v>
      </c>
      <c r="D2133">
        <v>5</v>
      </c>
      <c r="E2133" t="s">
        <v>28</v>
      </c>
      <c r="F2133" t="s">
        <v>29</v>
      </c>
      <c r="G2133" t="str">
        <f>"2025-04-22 23:53:18.224"</f>
        <v>2025-04-22 23:53:18.224</v>
      </c>
      <c r="H2133" t="s">
        <v>30</v>
      </c>
      <c r="I2133">
        <v>0</v>
      </c>
      <c r="J2133" t="s">
        <v>33</v>
      </c>
    </row>
    <row r="2134" spans="1:10" x14ac:dyDescent="0.25">
      <c r="A2134" s="1">
        <v>210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"2025-04-22 23:48:15.493"</f>
        <v>2025-04-22 23:48:15.493</v>
      </c>
      <c r="H2134" t="s">
        <v>21</v>
      </c>
    </row>
    <row r="2135" spans="1:10" x14ac:dyDescent="0.25">
      <c r="A2135" s="1">
        <v>211</v>
      </c>
      <c r="B2135" t="s">
        <v>34</v>
      </c>
      <c r="C2135">
        <v>630</v>
      </c>
      <c r="D2135">
        <v>5</v>
      </c>
      <c r="E2135" t="s">
        <v>28</v>
      </c>
      <c r="F2135" t="s">
        <v>29</v>
      </c>
      <c r="G2135" t="str">
        <f>"2025-04-22 22:07:31.305"</f>
        <v>2025-04-22 22:07:31.305</v>
      </c>
      <c r="H2135" t="s">
        <v>30</v>
      </c>
      <c r="I2135">
        <v>0</v>
      </c>
      <c r="J2135" t="s">
        <v>33</v>
      </c>
    </row>
    <row r="2136" spans="1:10" x14ac:dyDescent="0.25">
      <c r="A2136" s="1">
        <v>212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"2025-04-22 22:02:28.534"</f>
        <v>2025-04-22 22:02:28.534</v>
      </c>
      <c r="H2136" t="s">
        <v>21</v>
      </c>
      <c r="I2136">
        <v>0</v>
      </c>
      <c r="J2136" t="s">
        <v>27</v>
      </c>
    </row>
    <row r="2137" spans="1:10" x14ac:dyDescent="0.25">
      <c r="A2137" s="1">
        <v>213</v>
      </c>
      <c r="B2137" t="s">
        <v>22</v>
      </c>
      <c r="C2137">
        <v>630</v>
      </c>
      <c r="D2137">
        <v>5</v>
      </c>
      <c r="E2137" t="s">
        <v>28</v>
      </c>
      <c r="F2137" t="s">
        <v>29</v>
      </c>
      <c r="G2137" t="str">
        <f>"2025-04-22 13:39:19.691"</f>
        <v>2025-04-22 13:39:19.691</v>
      </c>
      <c r="H2137" t="s">
        <v>30</v>
      </c>
    </row>
    <row r="2138" spans="1:10" x14ac:dyDescent="0.25">
      <c r="A2138" s="1">
        <v>214</v>
      </c>
      <c r="B2138" t="s">
        <v>19</v>
      </c>
      <c r="C2138">
        <v>706</v>
      </c>
      <c r="D2138">
        <v>4</v>
      </c>
      <c r="E2138" t="s">
        <v>31</v>
      </c>
      <c r="F2138" t="s">
        <v>32</v>
      </c>
      <c r="G2138" t="str">
        <f>"2025-04-22 13:38:49.668"</f>
        <v>2025-04-22 13:38:49.668</v>
      </c>
      <c r="H2138" t="s">
        <v>21</v>
      </c>
      <c r="I2138">
        <v>0</v>
      </c>
      <c r="J2138" t="s">
        <v>33</v>
      </c>
    </row>
    <row r="2139" spans="1:10" x14ac:dyDescent="0.25">
      <c r="A2139" s="1">
        <v>215</v>
      </c>
      <c r="B2139" t="s">
        <v>34</v>
      </c>
      <c r="C2139">
        <v>630</v>
      </c>
      <c r="D2139">
        <v>5</v>
      </c>
      <c r="E2139" t="s">
        <v>28</v>
      </c>
      <c r="F2139" t="s">
        <v>29</v>
      </c>
      <c r="G2139" t="str">
        <f>"2025-04-22 13:09:58.791"</f>
        <v>2025-04-22 13:09:58.791</v>
      </c>
      <c r="H2139" t="s">
        <v>30</v>
      </c>
      <c r="I2139">
        <v>0</v>
      </c>
      <c r="J2139" t="s">
        <v>33</v>
      </c>
    </row>
    <row r="2140" spans="1:10" x14ac:dyDescent="0.25">
      <c r="A2140" s="1">
        <v>216</v>
      </c>
      <c r="B2140" t="s">
        <v>22</v>
      </c>
      <c r="C2140">
        <v>635</v>
      </c>
      <c r="D2140">
        <v>1</v>
      </c>
      <c r="E2140" t="s">
        <v>23</v>
      </c>
      <c r="F2140" t="s">
        <v>24</v>
      </c>
      <c r="G2140" t="str">
        <f>"2025-04-22 06:21:21.543"</f>
        <v>2025-04-22 06:21:21.543</v>
      </c>
      <c r="H2140" t="s">
        <v>21</v>
      </c>
    </row>
    <row r="2141" spans="1:10" x14ac:dyDescent="0.25">
      <c r="A2141" s="1">
        <v>217</v>
      </c>
      <c r="B2141" t="s">
        <v>25</v>
      </c>
      <c r="C2141">
        <v>635</v>
      </c>
      <c r="D2141">
        <v>1</v>
      </c>
      <c r="E2141" t="s">
        <v>23</v>
      </c>
      <c r="F2141" t="s">
        <v>24</v>
      </c>
      <c r="G2141" t="str">
        <f>"2025-04-22 06:14:51.143"</f>
        <v>2025-04-22 06:14:51.143</v>
      </c>
      <c r="H2141" t="s">
        <v>21</v>
      </c>
      <c r="I2141">
        <v>8.3000000000000007</v>
      </c>
      <c r="J2141" t="s">
        <v>36</v>
      </c>
    </row>
    <row r="2142" spans="1:10" x14ac:dyDescent="0.25">
      <c r="A2142" s="1">
        <v>218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"2025-04-20 06:21:05.688"</f>
        <v>2025-04-20 06:21:05.688</v>
      </c>
      <c r="H2142" t="s">
        <v>21</v>
      </c>
      <c r="I2142">
        <v>0</v>
      </c>
      <c r="J2142" t="s">
        <v>27</v>
      </c>
    </row>
    <row r="2143" spans="1:10" x14ac:dyDescent="0.25">
      <c r="A2143" s="1">
        <v>219</v>
      </c>
      <c r="B2143" t="s">
        <v>22</v>
      </c>
      <c r="C2143">
        <v>630</v>
      </c>
      <c r="D2143">
        <v>5</v>
      </c>
      <c r="E2143" t="s">
        <v>28</v>
      </c>
      <c r="F2143" t="s">
        <v>29</v>
      </c>
      <c r="G2143" t="str">
        <f>"2025-04-19 13:33:39.482"</f>
        <v>2025-04-19 13:33:39.482</v>
      </c>
      <c r="H2143" t="s">
        <v>30</v>
      </c>
    </row>
    <row r="2144" spans="1:10" x14ac:dyDescent="0.25">
      <c r="A2144" s="1">
        <v>220</v>
      </c>
      <c r="B2144" t="s">
        <v>19</v>
      </c>
      <c r="C2144">
        <v>706</v>
      </c>
      <c r="D2144">
        <v>4</v>
      </c>
      <c r="E2144" t="s">
        <v>31</v>
      </c>
      <c r="F2144" t="s">
        <v>32</v>
      </c>
      <c r="G2144" t="str">
        <f>"2025-04-19 13:33:09.364"</f>
        <v>2025-04-19 13:33:09.364</v>
      </c>
      <c r="H2144" t="s">
        <v>21</v>
      </c>
      <c r="I2144">
        <v>0</v>
      </c>
      <c r="J2144" t="s">
        <v>33</v>
      </c>
    </row>
    <row r="2145" spans="1:10" x14ac:dyDescent="0.25">
      <c r="A2145" s="1">
        <v>221</v>
      </c>
      <c r="B2145" t="s">
        <v>34</v>
      </c>
      <c r="C2145">
        <v>630</v>
      </c>
      <c r="D2145">
        <v>5</v>
      </c>
      <c r="E2145" t="s">
        <v>28</v>
      </c>
      <c r="F2145" t="s">
        <v>29</v>
      </c>
      <c r="G2145" t="str">
        <f>"2025-04-19 13:07:11.082"</f>
        <v>2025-04-19 13:07:11.082</v>
      </c>
      <c r="H2145" t="s">
        <v>30</v>
      </c>
      <c r="I2145">
        <v>0</v>
      </c>
      <c r="J2145" t="s">
        <v>33</v>
      </c>
    </row>
    <row r="2146" spans="1:10" x14ac:dyDescent="0.25">
      <c r="A2146" s="1">
        <v>222</v>
      </c>
      <c r="B2146" t="s">
        <v>22</v>
      </c>
      <c r="C2146">
        <v>635</v>
      </c>
      <c r="D2146">
        <v>1</v>
      </c>
      <c r="E2146" t="s">
        <v>23</v>
      </c>
      <c r="F2146" t="s">
        <v>24</v>
      </c>
      <c r="G2146" t="str">
        <f>"2025-04-18 22:27:33.734"</f>
        <v>2025-04-18 22:27:33.734</v>
      </c>
      <c r="H2146" t="s">
        <v>21</v>
      </c>
    </row>
    <row r="2147" spans="1:10" x14ac:dyDescent="0.25">
      <c r="A2147" s="1">
        <v>223</v>
      </c>
      <c r="B2147" t="s">
        <v>25</v>
      </c>
      <c r="C2147">
        <v>635</v>
      </c>
      <c r="D2147">
        <v>1</v>
      </c>
      <c r="E2147" t="s">
        <v>23</v>
      </c>
      <c r="F2147" t="s">
        <v>24</v>
      </c>
      <c r="G2147" t="str">
        <f>"2025-04-18 22:08:34.234"</f>
        <v>2025-04-18 22:08:34.234</v>
      </c>
      <c r="H2147" t="s">
        <v>21</v>
      </c>
      <c r="I2147">
        <v>6.92</v>
      </c>
      <c r="J2147" t="s">
        <v>36</v>
      </c>
    </row>
    <row r="2148" spans="1:10" x14ac:dyDescent="0.25">
      <c r="A2148" s="1">
        <v>224</v>
      </c>
      <c r="B2148" t="s">
        <v>19</v>
      </c>
      <c r="C2148">
        <v>706</v>
      </c>
      <c r="D2148">
        <v>4</v>
      </c>
      <c r="E2148" t="s">
        <v>31</v>
      </c>
      <c r="F2148" t="s">
        <v>32</v>
      </c>
      <c r="G2148" t="str">
        <f>"2025-04-18 20:02:45.864"</f>
        <v>2025-04-18 20:02:45.864</v>
      </c>
      <c r="H2148" t="s">
        <v>21</v>
      </c>
      <c r="I2148">
        <v>0</v>
      </c>
      <c r="J2148" t="s">
        <v>33</v>
      </c>
    </row>
    <row r="2149" spans="1:10" x14ac:dyDescent="0.25">
      <c r="A2149" s="1">
        <v>225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"2025-04-18 20:01:40.494"</f>
        <v>2025-04-18 20:01:40.494</v>
      </c>
      <c r="H2149" t="s">
        <v>21</v>
      </c>
      <c r="I2149">
        <v>0</v>
      </c>
      <c r="J2149" t="s">
        <v>27</v>
      </c>
    </row>
    <row r="2150" spans="1:10" s="3" customFormat="1" x14ac:dyDescent="0.25">
      <c r="A2150" s="2">
        <v>226</v>
      </c>
      <c r="B2150" s="3" t="s">
        <v>22</v>
      </c>
      <c r="C2150" s="3">
        <v>647</v>
      </c>
      <c r="D2150" s="3">
        <v>1</v>
      </c>
      <c r="E2150" s="3" t="s">
        <v>39</v>
      </c>
      <c r="F2150" s="3" t="s">
        <v>40</v>
      </c>
      <c r="G2150" s="3" t="str">
        <f>"2025-04-18 17:12:49.607"</f>
        <v>2025-04-18 17:12:49.607</v>
      </c>
      <c r="H2150" s="3" t="s">
        <v>21</v>
      </c>
    </row>
    <row r="2151" spans="1:10" s="3" customFormat="1" x14ac:dyDescent="0.25">
      <c r="A2151" s="2">
        <v>227</v>
      </c>
      <c r="B2151" s="3" t="s">
        <v>25</v>
      </c>
      <c r="C2151" s="3">
        <v>647</v>
      </c>
      <c r="D2151" s="3">
        <v>1</v>
      </c>
      <c r="E2151" s="3" t="s">
        <v>39</v>
      </c>
      <c r="F2151" s="3" t="s">
        <v>40</v>
      </c>
      <c r="G2151" s="3" t="str">
        <f>"2025-04-18 17:12:46.107"</f>
        <v>2025-04-18 17:12:46.107</v>
      </c>
      <c r="H2151" s="3" t="s">
        <v>21</v>
      </c>
      <c r="I2151" s="3">
        <v>8.0500000000000007</v>
      </c>
      <c r="J2151" s="3" t="s">
        <v>37</v>
      </c>
    </row>
    <row r="2152" spans="1:10" s="3" customFormat="1" x14ac:dyDescent="0.25">
      <c r="A2152" s="2">
        <v>228</v>
      </c>
      <c r="B2152" s="3" t="s">
        <v>22</v>
      </c>
      <c r="C2152" s="3">
        <v>647</v>
      </c>
      <c r="D2152" s="3">
        <v>1</v>
      </c>
      <c r="E2152" s="3" t="s">
        <v>39</v>
      </c>
      <c r="F2152" s="3" t="s">
        <v>40</v>
      </c>
      <c r="G2152" s="3" t="str">
        <f>"2025-04-18 07:59:57.506"</f>
        <v>2025-04-18 07:59:57.506</v>
      </c>
      <c r="H2152" s="3" t="s">
        <v>21</v>
      </c>
    </row>
    <row r="2153" spans="1:10" s="3" customFormat="1" x14ac:dyDescent="0.25">
      <c r="A2153" s="2">
        <v>229</v>
      </c>
      <c r="B2153" s="3" t="s">
        <v>25</v>
      </c>
      <c r="C2153" s="3">
        <v>647</v>
      </c>
      <c r="D2153" s="3">
        <v>1</v>
      </c>
      <c r="E2153" s="3" t="s">
        <v>39</v>
      </c>
      <c r="F2153" s="3" t="s">
        <v>40</v>
      </c>
      <c r="G2153" s="3" t="str">
        <f>"2025-04-18 07:59:53.007"</f>
        <v>2025-04-18 07:59:53.007</v>
      </c>
      <c r="H2153" s="3" t="s">
        <v>21</v>
      </c>
      <c r="I2153" s="3">
        <v>10.3</v>
      </c>
      <c r="J2153" s="3" t="s">
        <v>37</v>
      </c>
    </row>
    <row r="2154" spans="1:10" s="3" customFormat="1" x14ac:dyDescent="0.25">
      <c r="A2154" s="2">
        <v>230</v>
      </c>
      <c r="B2154" s="3" t="s">
        <v>22</v>
      </c>
      <c r="C2154" s="3">
        <v>647</v>
      </c>
      <c r="D2154" s="3">
        <v>1</v>
      </c>
      <c r="E2154" s="3" t="s">
        <v>39</v>
      </c>
      <c r="F2154" s="3" t="s">
        <v>40</v>
      </c>
      <c r="G2154" s="3" t="str">
        <f>"2025-04-17 14:16:40.806"</f>
        <v>2025-04-17 14:16:40.806</v>
      </c>
      <c r="H2154" s="3" t="s">
        <v>21</v>
      </c>
    </row>
    <row r="2155" spans="1:10" s="3" customFormat="1" x14ac:dyDescent="0.25">
      <c r="A2155" s="2">
        <v>231</v>
      </c>
      <c r="B2155" s="3" t="s">
        <v>25</v>
      </c>
      <c r="C2155" s="3">
        <v>647</v>
      </c>
      <c r="D2155" s="3">
        <v>1</v>
      </c>
      <c r="E2155" s="3" t="s">
        <v>39</v>
      </c>
      <c r="F2155" s="3" t="s">
        <v>40</v>
      </c>
      <c r="G2155" s="3" t="str">
        <f>"2025-04-17 14:16:39.107"</f>
        <v>2025-04-17 14:16:39.107</v>
      </c>
      <c r="H2155" s="3" t="s">
        <v>21</v>
      </c>
      <c r="I2155" s="3">
        <v>9.85</v>
      </c>
      <c r="J2155" s="3" t="s">
        <v>37</v>
      </c>
    </row>
    <row r="2156" spans="1:10" x14ac:dyDescent="0.25">
      <c r="A2156" s="1">
        <v>232</v>
      </c>
      <c r="B2156" t="s">
        <v>22</v>
      </c>
      <c r="C2156">
        <v>635</v>
      </c>
      <c r="D2156">
        <v>1</v>
      </c>
      <c r="E2156" t="s">
        <v>23</v>
      </c>
      <c r="F2156" t="s">
        <v>24</v>
      </c>
      <c r="G2156" t="str">
        <f>"2025-04-16 12:12:38.453"</f>
        <v>2025-04-16 12:12:38.453</v>
      </c>
      <c r="H2156" t="s">
        <v>21</v>
      </c>
    </row>
    <row r="2157" spans="1:10" x14ac:dyDescent="0.25">
      <c r="A2157" s="1">
        <v>233</v>
      </c>
      <c r="B2157" t="s">
        <v>25</v>
      </c>
      <c r="C2157">
        <v>635</v>
      </c>
      <c r="D2157">
        <v>1</v>
      </c>
      <c r="E2157" t="s">
        <v>23</v>
      </c>
      <c r="F2157" t="s">
        <v>24</v>
      </c>
      <c r="G2157" t="str">
        <f>"2025-04-16 12:05:53.953"</f>
        <v>2025-04-16 12:05:53.953</v>
      </c>
      <c r="H2157" t="s">
        <v>21</v>
      </c>
      <c r="I2157">
        <v>3.25</v>
      </c>
      <c r="J2157" t="s">
        <v>36</v>
      </c>
    </row>
    <row r="2158" spans="1:10" x14ac:dyDescent="0.25">
      <c r="A2158" s="1">
        <v>234</v>
      </c>
      <c r="B2158" t="s">
        <v>41</v>
      </c>
      <c r="C2158">
        <v>215</v>
      </c>
      <c r="D2158">
        <v>6</v>
      </c>
      <c r="E2158" t="s">
        <v>42</v>
      </c>
      <c r="F2158" t="s">
        <v>43</v>
      </c>
      <c r="G2158" t="str">
        <f>"2025-04-16 06:00:35.390"</f>
        <v>2025-04-16 06:00:35.390</v>
      </c>
      <c r="H2158" t="s">
        <v>21</v>
      </c>
    </row>
    <row r="2159" spans="1:10" x14ac:dyDescent="0.25">
      <c r="A2159" s="1">
        <v>235</v>
      </c>
      <c r="B2159" t="s">
        <v>41</v>
      </c>
      <c r="C2159">
        <v>115</v>
      </c>
      <c r="D2159">
        <v>6</v>
      </c>
      <c r="E2159" t="s">
        <v>44</v>
      </c>
      <c r="F2159" t="s">
        <v>43</v>
      </c>
      <c r="G2159" t="str">
        <f>"2025-04-16 06:00:35.290"</f>
        <v>2025-04-16 06:00:35.290</v>
      </c>
      <c r="H2159" t="s">
        <v>21</v>
      </c>
    </row>
    <row r="2160" spans="1:10" x14ac:dyDescent="0.25">
      <c r="A2160" s="1">
        <v>236</v>
      </c>
      <c r="B2160" t="s">
        <v>34</v>
      </c>
      <c r="C2160">
        <v>215</v>
      </c>
      <c r="D2160">
        <v>6</v>
      </c>
      <c r="E2160" t="s">
        <v>42</v>
      </c>
      <c r="F2160" t="s">
        <v>43</v>
      </c>
      <c r="G2160" t="str">
        <f>"2025-04-16 06:00:30.211"</f>
        <v>2025-04-16 06:00:30.211</v>
      </c>
      <c r="H2160" t="s">
        <v>21</v>
      </c>
      <c r="I2160">
        <v>0</v>
      </c>
      <c r="J2160" t="s">
        <v>33</v>
      </c>
    </row>
    <row r="2161" spans="1:10" x14ac:dyDescent="0.25">
      <c r="A2161" s="1">
        <v>237</v>
      </c>
      <c r="B2161" t="s">
        <v>34</v>
      </c>
      <c r="C2161">
        <v>115</v>
      </c>
      <c r="D2161">
        <v>6</v>
      </c>
      <c r="E2161" t="s">
        <v>44</v>
      </c>
      <c r="F2161" t="s">
        <v>43</v>
      </c>
      <c r="G2161" t="str">
        <f>"2025-04-16 06:00:30.206"</f>
        <v>2025-04-16 06:00:30.206</v>
      </c>
      <c r="H2161" t="s">
        <v>21</v>
      </c>
      <c r="I2161">
        <v>0</v>
      </c>
      <c r="J2161" t="s">
        <v>33</v>
      </c>
    </row>
    <row r="2162" spans="1:10" x14ac:dyDescent="0.25">
      <c r="A2162" s="1">
        <v>238</v>
      </c>
      <c r="B2162" t="s">
        <v>22</v>
      </c>
      <c r="C2162">
        <v>6</v>
      </c>
      <c r="D2162">
        <v>1</v>
      </c>
      <c r="E2162" t="s">
        <v>45</v>
      </c>
      <c r="F2162" t="s">
        <v>46</v>
      </c>
      <c r="G2162" t="str">
        <f>"2025-04-16 06:00:30.095"</f>
        <v>2025-04-16 06:00:30.095</v>
      </c>
      <c r="H2162" t="s">
        <v>47</v>
      </c>
    </row>
    <row r="2163" spans="1:10" x14ac:dyDescent="0.25">
      <c r="A2163" s="1">
        <v>239</v>
      </c>
      <c r="B2163" t="s">
        <v>22</v>
      </c>
      <c r="C2163">
        <v>75</v>
      </c>
      <c r="D2163">
        <v>1</v>
      </c>
      <c r="E2163" t="s">
        <v>48</v>
      </c>
      <c r="F2163" t="s">
        <v>49</v>
      </c>
      <c r="G2163" t="str">
        <f>"2025-04-16 06:00:30.094"</f>
        <v>2025-04-16 06:00:30.094</v>
      </c>
      <c r="H2163" t="s">
        <v>50</v>
      </c>
    </row>
    <row r="2164" spans="1:10" x14ac:dyDescent="0.25">
      <c r="A2164" s="1">
        <v>240</v>
      </c>
      <c r="B2164" t="s">
        <v>22</v>
      </c>
      <c r="C2164">
        <v>74</v>
      </c>
      <c r="D2164">
        <v>1</v>
      </c>
      <c r="E2164" t="s">
        <v>51</v>
      </c>
      <c r="F2164" t="s">
        <v>52</v>
      </c>
      <c r="G2164" t="str">
        <f>"2025-04-16 06:00:30.093"</f>
        <v>2025-04-16 06:00:30.093</v>
      </c>
      <c r="H2164" t="s">
        <v>53</v>
      </c>
    </row>
    <row r="2165" spans="1:10" x14ac:dyDescent="0.25">
      <c r="A2165" s="1">
        <v>241</v>
      </c>
      <c r="B2165" t="s">
        <v>25</v>
      </c>
      <c r="C2165">
        <v>75</v>
      </c>
      <c r="D2165">
        <v>1</v>
      </c>
      <c r="E2165" t="s">
        <v>48</v>
      </c>
      <c r="F2165" t="s">
        <v>49</v>
      </c>
      <c r="G2165" t="str">
        <f>"2025-04-16 06:00:18.603"</f>
        <v>2025-04-16 06:00:18.603</v>
      </c>
      <c r="H2165" t="s">
        <v>50</v>
      </c>
      <c r="I2165">
        <v>0</v>
      </c>
      <c r="J2165" t="s">
        <v>33</v>
      </c>
    </row>
    <row r="2166" spans="1:10" x14ac:dyDescent="0.25">
      <c r="A2166" s="1">
        <v>242</v>
      </c>
      <c r="B2166" t="s">
        <v>25</v>
      </c>
      <c r="C2166">
        <v>74</v>
      </c>
      <c r="D2166">
        <v>1</v>
      </c>
      <c r="E2166" t="s">
        <v>51</v>
      </c>
      <c r="F2166" t="s">
        <v>52</v>
      </c>
      <c r="G2166" t="str">
        <f>"2025-04-16 06:00:18.598"</f>
        <v>2025-04-16 06:00:18.598</v>
      </c>
      <c r="H2166" t="s">
        <v>53</v>
      </c>
      <c r="I2166">
        <v>0</v>
      </c>
      <c r="J2166" t="s">
        <v>33</v>
      </c>
    </row>
    <row r="2167" spans="1:10" x14ac:dyDescent="0.25">
      <c r="A2167" s="1">
        <v>243</v>
      </c>
      <c r="B2167" t="s">
        <v>34</v>
      </c>
      <c r="C2167">
        <v>6</v>
      </c>
      <c r="D2167">
        <v>1</v>
      </c>
      <c r="E2167" t="s">
        <v>45</v>
      </c>
      <c r="F2167" t="s">
        <v>46</v>
      </c>
      <c r="G2167" t="str">
        <f>"2025-04-16 06:00:18.593"</f>
        <v>2025-04-16 06:00:18.593</v>
      </c>
      <c r="H2167" t="s">
        <v>47</v>
      </c>
      <c r="I2167">
        <v>0</v>
      </c>
      <c r="J2167" t="s">
        <v>33</v>
      </c>
    </row>
    <row r="2168" spans="1:10" s="3" customFormat="1" x14ac:dyDescent="0.25">
      <c r="A2168" s="2">
        <v>248</v>
      </c>
      <c r="B2168" s="3" t="s">
        <v>22</v>
      </c>
      <c r="C2168" s="3">
        <v>647</v>
      </c>
      <c r="D2168" s="3">
        <v>1</v>
      </c>
      <c r="E2168" s="3" t="s">
        <v>39</v>
      </c>
      <c r="F2168" s="3" t="s">
        <v>40</v>
      </c>
      <c r="G2168" s="3" t="str">
        <f>"2025-04-15 14:52:45.907"</f>
        <v>2025-04-15 14:52:45.907</v>
      </c>
      <c r="H2168" s="3" t="s">
        <v>21</v>
      </c>
    </row>
    <row r="2169" spans="1:10" s="3" customFormat="1" x14ac:dyDescent="0.25">
      <c r="A2169" s="2">
        <v>249</v>
      </c>
      <c r="B2169" s="3" t="s">
        <v>25</v>
      </c>
      <c r="C2169" s="3">
        <v>647</v>
      </c>
      <c r="D2169" s="3">
        <v>1</v>
      </c>
      <c r="E2169" s="3" t="s">
        <v>39</v>
      </c>
      <c r="F2169" s="3" t="s">
        <v>40</v>
      </c>
      <c r="G2169" s="3" t="str">
        <f>"2025-04-15 14:52:40.607"</f>
        <v>2025-04-15 14:52:40.607</v>
      </c>
      <c r="H2169" s="3" t="s">
        <v>21</v>
      </c>
      <c r="I2169" s="3">
        <v>13.48</v>
      </c>
      <c r="J2169" s="3" t="s">
        <v>37</v>
      </c>
    </row>
    <row r="2170" spans="1:10" x14ac:dyDescent="0.25">
      <c r="A2170" s="1">
        <v>250</v>
      </c>
      <c r="B2170" t="s">
        <v>22</v>
      </c>
      <c r="C2170">
        <v>630</v>
      </c>
      <c r="D2170">
        <v>5</v>
      </c>
      <c r="E2170" t="s">
        <v>28</v>
      </c>
      <c r="F2170" t="s">
        <v>29</v>
      </c>
      <c r="G2170" t="str">
        <f>"2025-04-15 01:25:57.807"</f>
        <v>2025-04-15 01:25:57.807</v>
      </c>
      <c r="H2170" t="s">
        <v>30</v>
      </c>
    </row>
    <row r="2171" spans="1:10" x14ac:dyDescent="0.25">
      <c r="A2171" s="1">
        <v>251</v>
      </c>
      <c r="B2171" t="s">
        <v>19</v>
      </c>
      <c r="C2171">
        <v>706</v>
      </c>
      <c r="D2171">
        <v>4</v>
      </c>
      <c r="E2171" t="s">
        <v>31</v>
      </c>
      <c r="F2171" t="s">
        <v>32</v>
      </c>
      <c r="G2171" t="str">
        <f>"2025-04-15 01:25:27.788"</f>
        <v>2025-04-15 01:25:27.788</v>
      </c>
      <c r="H2171" t="s">
        <v>21</v>
      </c>
      <c r="I2171">
        <v>0</v>
      </c>
      <c r="J2171" t="s">
        <v>33</v>
      </c>
    </row>
    <row r="2172" spans="1:10" x14ac:dyDescent="0.25">
      <c r="A2172" s="1">
        <v>252</v>
      </c>
      <c r="B2172" t="s">
        <v>34</v>
      </c>
      <c r="C2172">
        <v>630</v>
      </c>
      <c r="D2172">
        <v>5</v>
      </c>
      <c r="E2172" t="s">
        <v>28</v>
      </c>
      <c r="F2172" t="s">
        <v>29</v>
      </c>
      <c r="G2172" t="str">
        <f>"2025-04-15 01:09:14.407"</f>
        <v>2025-04-15 01:09:14.407</v>
      </c>
      <c r="H2172" t="s">
        <v>30</v>
      </c>
      <c r="I2172">
        <v>0</v>
      </c>
      <c r="J2172" t="s">
        <v>33</v>
      </c>
    </row>
    <row r="2173" spans="1:10" x14ac:dyDescent="0.25">
      <c r="A2173" s="1">
        <v>253</v>
      </c>
      <c r="B2173" t="s">
        <v>22</v>
      </c>
      <c r="C2173">
        <v>635</v>
      </c>
      <c r="D2173">
        <v>1</v>
      </c>
      <c r="E2173" t="s">
        <v>23</v>
      </c>
      <c r="F2173" t="s">
        <v>24</v>
      </c>
      <c r="G2173" t="str">
        <f>"2025-04-14 08:41:24.853"</f>
        <v>2025-04-14 08:41:24.853</v>
      </c>
      <c r="H2173" t="s">
        <v>21</v>
      </c>
    </row>
    <row r="2174" spans="1:10" x14ac:dyDescent="0.25">
      <c r="A2174" s="1">
        <v>254</v>
      </c>
      <c r="B2174" t="s">
        <v>25</v>
      </c>
      <c r="C2174">
        <v>635</v>
      </c>
      <c r="D2174">
        <v>1</v>
      </c>
      <c r="E2174" t="s">
        <v>23</v>
      </c>
      <c r="F2174" t="s">
        <v>24</v>
      </c>
      <c r="G2174" t="str">
        <f>"2025-04-14 08:35:05.853"</f>
        <v>2025-04-14 08:35:05.853</v>
      </c>
      <c r="H2174" t="s">
        <v>21</v>
      </c>
      <c r="I2174">
        <v>-0.13</v>
      </c>
      <c r="J2174" t="s">
        <v>26</v>
      </c>
    </row>
    <row r="2175" spans="1:10" x14ac:dyDescent="0.25">
      <c r="A2175" s="1">
        <v>255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"2025-04-14 07:59:02.498"</f>
        <v>2025-04-14 07:59:02.498</v>
      </c>
      <c r="H2175" t="s">
        <v>21</v>
      </c>
      <c r="I2175">
        <v>0</v>
      </c>
      <c r="J2175" t="s">
        <v>27</v>
      </c>
    </row>
    <row r="2176" spans="1:10" s="3" customFormat="1" x14ac:dyDescent="0.25">
      <c r="A2176" s="2">
        <v>256</v>
      </c>
      <c r="B2176" s="3" t="s">
        <v>22</v>
      </c>
      <c r="C2176" s="3">
        <v>647</v>
      </c>
      <c r="D2176" s="3">
        <v>1</v>
      </c>
      <c r="E2176" s="3" t="s">
        <v>39</v>
      </c>
      <c r="F2176" s="3" t="s">
        <v>40</v>
      </c>
      <c r="G2176" s="3" t="str">
        <f>"2025-04-13 13:00:26.614"</f>
        <v>2025-04-13 13:00:26.614</v>
      </c>
      <c r="H2176" s="3" t="s">
        <v>21</v>
      </c>
    </row>
    <row r="2177" spans="1:10" s="3" customFormat="1" x14ac:dyDescent="0.25">
      <c r="A2177" s="2">
        <v>257</v>
      </c>
      <c r="B2177" s="3" t="s">
        <v>25</v>
      </c>
      <c r="C2177" s="3">
        <v>647</v>
      </c>
      <c r="D2177" s="3">
        <v>1</v>
      </c>
      <c r="E2177" s="3" t="s">
        <v>39</v>
      </c>
      <c r="F2177" s="3" t="s">
        <v>40</v>
      </c>
      <c r="G2177" s="3" t="str">
        <f>"2025-04-13 13:00:18.114"</f>
        <v>2025-04-13 13:00:18.114</v>
      </c>
      <c r="H2177" s="3" t="s">
        <v>21</v>
      </c>
      <c r="I2177" s="3">
        <v>13.69</v>
      </c>
      <c r="J2177" s="3" t="s">
        <v>37</v>
      </c>
    </row>
    <row r="2178" spans="1:10" s="3" customFormat="1" x14ac:dyDescent="0.25">
      <c r="A2178" s="2">
        <v>258</v>
      </c>
      <c r="B2178" s="3" t="s">
        <v>22</v>
      </c>
      <c r="C2178" s="3">
        <v>647</v>
      </c>
      <c r="D2178" s="3">
        <v>1</v>
      </c>
      <c r="E2178" s="3" t="s">
        <v>39</v>
      </c>
      <c r="F2178" s="3" t="s">
        <v>40</v>
      </c>
      <c r="G2178" s="3" t="str">
        <f>"2025-04-12 09:50:44.014"</f>
        <v>2025-04-12 09:50:44.014</v>
      </c>
      <c r="H2178" s="3" t="s">
        <v>21</v>
      </c>
    </row>
    <row r="2179" spans="1:10" s="3" customFormat="1" x14ac:dyDescent="0.25">
      <c r="A2179" s="2">
        <v>259</v>
      </c>
      <c r="B2179" s="3" t="s">
        <v>25</v>
      </c>
      <c r="C2179" s="3">
        <v>647</v>
      </c>
      <c r="D2179" s="3">
        <v>1</v>
      </c>
      <c r="E2179" s="3" t="s">
        <v>39</v>
      </c>
      <c r="F2179" s="3" t="s">
        <v>40</v>
      </c>
      <c r="G2179" s="3" t="str">
        <f>"2025-04-12 09:50:39.714"</f>
        <v>2025-04-12 09:50:39.714</v>
      </c>
      <c r="H2179" s="3" t="s">
        <v>21</v>
      </c>
      <c r="I2179" s="3">
        <v>10.06</v>
      </c>
      <c r="J2179" s="3" t="s">
        <v>37</v>
      </c>
    </row>
    <row r="2180" spans="1:10" x14ac:dyDescent="0.25">
      <c r="A2180" s="1">
        <v>260</v>
      </c>
      <c r="B2180" t="s">
        <v>19</v>
      </c>
      <c r="C2180">
        <v>706</v>
      </c>
      <c r="D2180">
        <v>4</v>
      </c>
      <c r="E2180" t="s">
        <v>31</v>
      </c>
      <c r="F2180" t="s">
        <v>32</v>
      </c>
      <c r="G2180" t="str">
        <f>"2025-04-12 01:07:42.021"</f>
        <v>2025-04-12 01:07:42.021</v>
      </c>
      <c r="H2180" t="s">
        <v>21</v>
      </c>
      <c r="I2180">
        <v>0</v>
      </c>
      <c r="J2180" t="s">
        <v>33</v>
      </c>
    </row>
    <row r="2181" spans="1:10" x14ac:dyDescent="0.25">
      <c r="A2181" s="1">
        <v>261</v>
      </c>
      <c r="B2181" t="s">
        <v>22</v>
      </c>
      <c r="C2181">
        <v>619</v>
      </c>
      <c r="D2181">
        <v>1</v>
      </c>
      <c r="E2181" t="s">
        <v>54</v>
      </c>
      <c r="F2181" t="s">
        <v>24</v>
      </c>
      <c r="G2181" t="str">
        <f>"2025-04-12 01:06:22.313"</f>
        <v>2025-04-12 01:06:22.313</v>
      </c>
      <c r="H2181" t="s">
        <v>55</v>
      </c>
    </row>
    <row r="2182" spans="1:10" x14ac:dyDescent="0.25">
      <c r="A2182" s="1">
        <v>262</v>
      </c>
      <c r="B2182" t="s">
        <v>22</v>
      </c>
      <c r="C2182">
        <v>630</v>
      </c>
      <c r="D2182">
        <v>5</v>
      </c>
      <c r="E2182" t="s">
        <v>28</v>
      </c>
      <c r="F2182" t="s">
        <v>29</v>
      </c>
      <c r="G2182" t="str">
        <f>"2025-04-12 01:05:51.514"</f>
        <v>2025-04-12 01:05:51.514</v>
      </c>
      <c r="H2182" t="s">
        <v>30</v>
      </c>
    </row>
    <row r="2183" spans="1:10" x14ac:dyDescent="0.25">
      <c r="A2183" s="1">
        <v>263</v>
      </c>
      <c r="B2183" t="s">
        <v>25</v>
      </c>
      <c r="C2183">
        <v>619</v>
      </c>
      <c r="D2183">
        <v>1</v>
      </c>
      <c r="E2183" t="s">
        <v>54</v>
      </c>
      <c r="F2183" t="s">
        <v>24</v>
      </c>
      <c r="G2183" t="str">
        <f>"2025-04-12 01:05:26.313"</f>
        <v>2025-04-12 01:05:26.313</v>
      </c>
      <c r="H2183" t="s">
        <v>55</v>
      </c>
      <c r="I2183">
        <v>0</v>
      </c>
      <c r="J2183" t="s">
        <v>33</v>
      </c>
    </row>
    <row r="2184" spans="1:10" x14ac:dyDescent="0.25">
      <c r="A2184" s="1">
        <v>264</v>
      </c>
      <c r="B2184" t="s">
        <v>19</v>
      </c>
      <c r="C2184">
        <v>706</v>
      </c>
      <c r="D2184">
        <v>2</v>
      </c>
      <c r="E2184" t="s">
        <v>31</v>
      </c>
      <c r="F2184" t="s">
        <v>35</v>
      </c>
      <c r="G2184" t="str">
        <f>"2025-04-12 01:05:21.531"</f>
        <v>2025-04-12 01:05:21.531</v>
      </c>
      <c r="H2184" t="s">
        <v>21</v>
      </c>
      <c r="I2184">
        <v>0</v>
      </c>
      <c r="J2184" t="s">
        <v>33</v>
      </c>
    </row>
    <row r="2185" spans="1:10" x14ac:dyDescent="0.25">
      <c r="A2185" s="1">
        <v>265</v>
      </c>
      <c r="B2185" t="s">
        <v>34</v>
      </c>
      <c r="C2185">
        <v>630</v>
      </c>
      <c r="D2185">
        <v>5</v>
      </c>
      <c r="E2185" t="s">
        <v>28</v>
      </c>
      <c r="F2185" t="s">
        <v>29</v>
      </c>
      <c r="G2185" t="str">
        <f>"2025-04-12 01:03:54.314"</f>
        <v>2025-04-12 01:03:54.314</v>
      </c>
      <c r="H2185" t="s">
        <v>30</v>
      </c>
      <c r="I2185">
        <v>0</v>
      </c>
      <c r="J2185" t="s">
        <v>33</v>
      </c>
    </row>
    <row r="2186" spans="1:10" x14ac:dyDescent="0.25">
      <c r="A2186" s="1">
        <v>266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"2025-04-12 00:58:51.471"</f>
        <v>2025-04-12 00:58:51.471</v>
      </c>
      <c r="H2186" t="s">
        <v>21</v>
      </c>
      <c r="I2186">
        <v>0</v>
      </c>
      <c r="J2186" t="s">
        <v>27</v>
      </c>
    </row>
    <row r="2187" spans="1:10" x14ac:dyDescent="0.25">
      <c r="A2187" s="1">
        <v>267</v>
      </c>
      <c r="B2187" t="s">
        <v>34</v>
      </c>
      <c r="C2187">
        <v>630</v>
      </c>
      <c r="D2187">
        <v>5</v>
      </c>
      <c r="E2187" t="s">
        <v>28</v>
      </c>
      <c r="F2187" t="s">
        <v>29</v>
      </c>
      <c r="G2187" t="str">
        <f>"2025-04-11 23:32:47.710"</f>
        <v>2025-04-11 23:32:47.710</v>
      </c>
      <c r="H2187" t="s">
        <v>30</v>
      </c>
      <c r="I2187">
        <v>0</v>
      </c>
      <c r="J2187" t="s">
        <v>33</v>
      </c>
    </row>
    <row r="2188" spans="1:10" s="3" customFormat="1" x14ac:dyDescent="0.25">
      <c r="A2188" s="2">
        <v>268</v>
      </c>
      <c r="B2188" s="3" t="s">
        <v>22</v>
      </c>
      <c r="C2188" s="3">
        <v>647</v>
      </c>
      <c r="D2188" s="3">
        <v>1</v>
      </c>
      <c r="E2188" s="3" t="s">
        <v>39</v>
      </c>
      <c r="F2188" s="3" t="s">
        <v>40</v>
      </c>
      <c r="G2188" s="3" t="str">
        <f>"2025-04-11 09:30:03.210"</f>
        <v>2025-04-11 09:30:03.210</v>
      </c>
      <c r="H2188" s="3" t="s">
        <v>21</v>
      </c>
    </row>
    <row r="2189" spans="1:10" s="3" customFormat="1" x14ac:dyDescent="0.25">
      <c r="A2189" s="2">
        <v>269</v>
      </c>
      <c r="B2189" s="3" t="s">
        <v>25</v>
      </c>
      <c r="C2189" s="3">
        <v>647</v>
      </c>
      <c r="D2189" s="3">
        <v>1</v>
      </c>
      <c r="E2189" s="3" t="s">
        <v>39</v>
      </c>
      <c r="F2189" s="3" t="s">
        <v>40</v>
      </c>
      <c r="G2189" s="3" t="str">
        <f>"2025-04-11 09:29:58.410"</f>
        <v>2025-04-11 09:29:58.410</v>
      </c>
      <c r="H2189" s="3" t="s">
        <v>21</v>
      </c>
      <c r="I2189" s="3">
        <v>10.25</v>
      </c>
      <c r="J2189" s="3" t="s">
        <v>37</v>
      </c>
    </row>
    <row r="2190" spans="1:10" s="3" customFormat="1" x14ac:dyDescent="0.25">
      <c r="A2190" s="2">
        <v>270</v>
      </c>
      <c r="B2190" s="3" t="s">
        <v>22</v>
      </c>
      <c r="C2190" s="3">
        <v>647</v>
      </c>
      <c r="D2190" s="3">
        <v>1</v>
      </c>
      <c r="E2190" s="3" t="s">
        <v>39</v>
      </c>
      <c r="F2190" s="3" t="s">
        <v>40</v>
      </c>
      <c r="G2190" s="3" t="str">
        <f>"2025-04-11 08:07:37.610"</f>
        <v>2025-04-11 08:07:37.610</v>
      </c>
      <c r="H2190" s="3" t="s">
        <v>21</v>
      </c>
    </row>
    <row r="2191" spans="1:10" s="3" customFormat="1" x14ac:dyDescent="0.25">
      <c r="A2191" s="2">
        <v>271</v>
      </c>
      <c r="B2191" s="3" t="s">
        <v>25</v>
      </c>
      <c r="C2191" s="3">
        <v>647</v>
      </c>
      <c r="D2191" s="3">
        <v>1</v>
      </c>
      <c r="E2191" s="3" t="s">
        <v>39</v>
      </c>
      <c r="F2191" s="3" t="s">
        <v>40</v>
      </c>
      <c r="G2191" s="3" t="str">
        <f>"2025-04-11 08:07:36.310"</f>
        <v>2025-04-11 08:07:36.310</v>
      </c>
      <c r="H2191" s="3" t="s">
        <v>21</v>
      </c>
      <c r="I2191" s="3">
        <v>10.57</v>
      </c>
      <c r="J2191" s="3" t="s">
        <v>37</v>
      </c>
    </row>
    <row r="2192" spans="1:10" x14ac:dyDescent="0.25">
      <c r="A2192" s="1">
        <v>272</v>
      </c>
      <c r="B2192" t="s">
        <v>22</v>
      </c>
      <c r="C2192">
        <v>635</v>
      </c>
      <c r="D2192">
        <v>1</v>
      </c>
      <c r="E2192" t="s">
        <v>23</v>
      </c>
      <c r="F2192" t="s">
        <v>24</v>
      </c>
      <c r="G2192" t="str">
        <f>"2025-04-09 22:48:20.909"</f>
        <v>2025-04-09 22:48:20.909</v>
      </c>
      <c r="H2192" t="s">
        <v>21</v>
      </c>
    </row>
    <row r="2193" spans="1:10" x14ac:dyDescent="0.25">
      <c r="A2193" s="1">
        <v>273</v>
      </c>
      <c r="B2193" t="s">
        <v>25</v>
      </c>
      <c r="C2193">
        <v>635</v>
      </c>
      <c r="D2193">
        <v>1</v>
      </c>
      <c r="E2193" t="s">
        <v>23</v>
      </c>
      <c r="F2193" t="s">
        <v>24</v>
      </c>
      <c r="G2193" t="str">
        <f>"2025-04-09 22:44:07.509"</f>
        <v>2025-04-09 22:44:07.509</v>
      </c>
      <c r="H2193" t="s">
        <v>21</v>
      </c>
      <c r="I2193">
        <v>3.28</v>
      </c>
      <c r="J2193" t="s">
        <v>36</v>
      </c>
    </row>
    <row r="2194" spans="1:10" x14ac:dyDescent="0.25">
      <c r="A2194" s="1">
        <v>274</v>
      </c>
      <c r="B2194" t="s">
        <v>22</v>
      </c>
      <c r="C2194">
        <v>635</v>
      </c>
      <c r="D2194">
        <v>1</v>
      </c>
      <c r="E2194" t="s">
        <v>23</v>
      </c>
      <c r="F2194" t="s">
        <v>24</v>
      </c>
      <c r="G2194" t="str">
        <f>"2025-04-08 09:07:59.008"</f>
        <v>2025-04-08 09:07:59.008</v>
      </c>
      <c r="H2194" t="s">
        <v>21</v>
      </c>
    </row>
    <row r="2195" spans="1:10" x14ac:dyDescent="0.25">
      <c r="A2195" s="1">
        <v>275</v>
      </c>
      <c r="B2195" t="s">
        <v>25</v>
      </c>
      <c r="C2195">
        <v>635</v>
      </c>
      <c r="D2195">
        <v>1</v>
      </c>
      <c r="E2195" t="s">
        <v>23</v>
      </c>
      <c r="F2195" t="s">
        <v>24</v>
      </c>
      <c r="G2195" t="str">
        <f>"2025-04-08 09:05:20.009"</f>
        <v>2025-04-08 09:05:20.009</v>
      </c>
      <c r="H2195" t="s">
        <v>21</v>
      </c>
      <c r="I2195">
        <v>0.23</v>
      </c>
      <c r="J2195" t="s">
        <v>36</v>
      </c>
    </row>
    <row r="2196" spans="1:10" x14ac:dyDescent="0.25">
      <c r="A2196" s="1">
        <v>276</v>
      </c>
      <c r="B2196" t="s">
        <v>22</v>
      </c>
      <c r="C2196">
        <v>630</v>
      </c>
      <c r="D2196">
        <v>5</v>
      </c>
      <c r="E2196" t="s">
        <v>28</v>
      </c>
      <c r="F2196" t="s">
        <v>29</v>
      </c>
      <c r="G2196" t="str">
        <f>"2025-04-07 19:52:02.610"</f>
        <v>2025-04-07 19:52:02.610</v>
      </c>
      <c r="H2196" t="s">
        <v>30</v>
      </c>
    </row>
    <row r="2197" spans="1:10" x14ac:dyDescent="0.25">
      <c r="A2197" s="1">
        <v>277</v>
      </c>
      <c r="B2197" t="s">
        <v>19</v>
      </c>
      <c r="C2197">
        <v>706</v>
      </c>
      <c r="D2197">
        <v>4</v>
      </c>
      <c r="E2197" t="s">
        <v>31</v>
      </c>
      <c r="F2197" t="s">
        <v>32</v>
      </c>
      <c r="G2197" t="str">
        <f>"2025-04-07 19:51:32.508"</f>
        <v>2025-04-07 19:51:32.508</v>
      </c>
      <c r="H2197" t="s">
        <v>21</v>
      </c>
      <c r="I2197">
        <v>0</v>
      </c>
      <c r="J2197" t="s">
        <v>33</v>
      </c>
    </row>
    <row r="2198" spans="1:10" x14ac:dyDescent="0.25">
      <c r="A2198" s="1">
        <v>278</v>
      </c>
      <c r="B2198" t="s">
        <v>34</v>
      </c>
      <c r="C2198">
        <v>630</v>
      </c>
      <c r="D2198">
        <v>5</v>
      </c>
      <c r="E2198" t="s">
        <v>28</v>
      </c>
      <c r="F2198" t="s">
        <v>29</v>
      </c>
      <c r="G2198" t="str">
        <f>"2025-04-07 19:46:18.210"</f>
        <v>2025-04-07 19:46:18.210</v>
      </c>
      <c r="H2198" t="s">
        <v>30</v>
      </c>
      <c r="I2198">
        <v>0</v>
      </c>
      <c r="J2198" t="s">
        <v>33</v>
      </c>
    </row>
    <row r="2199" spans="1:10" s="3" customFormat="1" x14ac:dyDescent="0.25">
      <c r="A2199" s="2">
        <v>279</v>
      </c>
      <c r="B2199" s="3" t="s">
        <v>22</v>
      </c>
      <c r="C2199" s="3">
        <v>647</v>
      </c>
      <c r="D2199" s="3">
        <v>1</v>
      </c>
      <c r="E2199" s="3" t="s">
        <v>39</v>
      </c>
      <c r="F2199" s="3" t="s">
        <v>40</v>
      </c>
      <c r="G2199" s="3" t="str">
        <f>"2025-04-07 18:03:17.410"</f>
        <v>2025-04-07 18:03:17.410</v>
      </c>
      <c r="H2199" s="3" t="s">
        <v>21</v>
      </c>
    </row>
    <row r="2200" spans="1:10" s="3" customFormat="1" x14ac:dyDescent="0.25">
      <c r="A2200" s="2">
        <v>280</v>
      </c>
      <c r="B2200" s="3" t="s">
        <v>25</v>
      </c>
      <c r="C2200" s="3">
        <v>647</v>
      </c>
      <c r="D2200" s="3">
        <v>1</v>
      </c>
      <c r="E2200" s="3" t="s">
        <v>39</v>
      </c>
      <c r="F2200" s="3" t="s">
        <v>40</v>
      </c>
      <c r="G2200" s="3" t="str">
        <f>"2025-04-07 18:03:13.110"</f>
        <v>2025-04-07 18:03:13.110</v>
      </c>
      <c r="H2200" s="3" t="s">
        <v>21</v>
      </c>
      <c r="I2200" s="3">
        <v>16.37</v>
      </c>
      <c r="J2200" s="3" t="s">
        <v>37</v>
      </c>
    </row>
    <row r="2201" spans="1:10" s="3" customFormat="1" x14ac:dyDescent="0.25">
      <c r="A2201" s="2">
        <v>281</v>
      </c>
      <c r="B2201" s="3" t="s">
        <v>22</v>
      </c>
      <c r="C2201" s="3">
        <v>647</v>
      </c>
      <c r="D2201" s="3">
        <v>1</v>
      </c>
      <c r="E2201" s="3" t="s">
        <v>39</v>
      </c>
      <c r="F2201" s="3" t="s">
        <v>40</v>
      </c>
      <c r="G2201" s="3" t="str">
        <f>"2025-04-07 09:59:06.310"</f>
        <v>2025-04-07 09:59:06.310</v>
      </c>
      <c r="H2201" s="3" t="s">
        <v>21</v>
      </c>
    </row>
    <row r="2202" spans="1:10" s="3" customFormat="1" x14ac:dyDescent="0.25">
      <c r="A2202" s="2">
        <v>282</v>
      </c>
      <c r="B2202" s="3" t="s">
        <v>25</v>
      </c>
      <c r="C2202" s="3">
        <v>647</v>
      </c>
      <c r="D2202" s="3">
        <v>1</v>
      </c>
      <c r="E2202" s="3" t="s">
        <v>39</v>
      </c>
      <c r="F2202" s="3" t="s">
        <v>40</v>
      </c>
      <c r="G2202" s="3" t="str">
        <f>"2025-04-07 09:58:54.710"</f>
        <v>2025-04-07 09:58:54.710</v>
      </c>
      <c r="H2202" s="3" t="s">
        <v>21</v>
      </c>
      <c r="I2202" s="3">
        <v>12.91</v>
      </c>
      <c r="J2202" s="3" t="s">
        <v>37</v>
      </c>
    </row>
    <row r="2203" spans="1:10" x14ac:dyDescent="0.25">
      <c r="A2203" s="1">
        <v>283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"2025-04-07 07:51:31.498"</f>
        <v>2025-04-07 07:51:31.498</v>
      </c>
      <c r="H2203" t="s">
        <v>21</v>
      </c>
      <c r="I2203">
        <v>0</v>
      </c>
      <c r="J2203" t="s">
        <v>27</v>
      </c>
    </row>
    <row r="2204" spans="1:10" x14ac:dyDescent="0.25">
      <c r="A2204" s="1">
        <v>284</v>
      </c>
      <c r="B2204" t="s">
        <v>19</v>
      </c>
      <c r="C2204">
        <v>706</v>
      </c>
      <c r="D2204">
        <v>2</v>
      </c>
      <c r="E2204" t="s">
        <v>31</v>
      </c>
      <c r="F2204" t="s">
        <v>35</v>
      </c>
      <c r="G2204" t="str">
        <f>"2025-04-06 18:05:22.770"</f>
        <v>2025-04-06 18:05:22.770</v>
      </c>
      <c r="H2204" t="s">
        <v>21</v>
      </c>
      <c r="I2204">
        <v>0</v>
      </c>
      <c r="J2204" t="s">
        <v>33</v>
      </c>
    </row>
    <row r="2205" spans="1:10" s="3" customFormat="1" x14ac:dyDescent="0.25">
      <c r="A2205" s="2">
        <v>285</v>
      </c>
      <c r="B2205" s="3" t="s">
        <v>22</v>
      </c>
      <c r="C2205" s="3">
        <v>647</v>
      </c>
      <c r="D2205" s="3">
        <v>1</v>
      </c>
      <c r="E2205" s="3" t="s">
        <v>39</v>
      </c>
      <c r="F2205" s="3" t="s">
        <v>40</v>
      </c>
      <c r="G2205" s="3" t="str">
        <f>"2025-04-04 17:00:07.562"</f>
        <v>2025-04-04 17:00:07.562</v>
      </c>
      <c r="H2205" s="3" t="s">
        <v>21</v>
      </c>
    </row>
    <row r="2206" spans="1:10" s="3" customFormat="1" x14ac:dyDescent="0.25">
      <c r="A2206" s="2">
        <v>286</v>
      </c>
      <c r="B2206" s="3" t="s">
        <v>25</v>
      </c>
      <c r="C2206" s="3">
        <v>647</v>
      </c>
      <c r="D2206" s="3">
        <v>1</v>
      </c>
      <c r="E2206" s="3" t="s">
        <v>39</v>
      </c>
      <c r="F2206" s="3" t="s">
        <v>40</v>
      </c>
      <c r="G2206" s="3" t="str">
        <f>"2025-04-04 17:00:02.663"</f>
        <v>2025-04-04 17:00:02.663</v>
      </c>
      <c r="H2206" s="3" t="s">
        <v>21</v>
      </c>
      <c r="I2206" s="3">
        <v>12.93</v>
      </c>
      <c r="J2206" s="3" t="s">
        <v>37</v>
      </c>
    </row>
    <row r="2207" spans="1:10" x14ac:dyDescent="0.25">
      <c r="A2207" s="1">
        <v>287</v>
      </c>
      <c r="B2207" t="s">
        <v>22</v>
      </c>
      <c r="C2207">
        <v>630</v>
      </c>
      <c r="D2207">
        <v>5</v>
      </c>
      <c r="E2207" t="s">
        <v>28</v>
      </c>
      <c r="F2207" t="s">
        <v>29</v>
      </c>
      <c r="G2207" t="str">
        <f>"2025-04-03 19:53:59.663"</f>
        <v>2025-04-03 19:53:59.663</v>
      </c>
      <c r="H2207" t="s">
        <v>30</v>
      </c>
    </row>
    <row r="2208" spans="1:10" x14ac:dyDescent="0.25">
      <c r="A2208" s="1">
        <v>288</v>
      </c>
      <c r="B2208" t="s">
        <v>19</v>
      </c>
      <c r="C2208">
        <v>706</v>
      </c>
      <c r="D2208">
        <v>4</v>
      </c>
      <c r="E2208" t="s">
        <v>31</v>
      </c>
      <c r="F2208" t="s">
        <v>32</v>
      </c>
      <c r="G2208" t="str">
        <f>"2025-04-03 19:53:29.630"</f>
        <v>2025-04-03 19:53:29.630</v>
      </c>
      <c r="H2208" t="s">
        <v>21</v>
      </c>
      <c r="I2208">
        <v>0</v>
      </c>
      <c r="J2208" t="s">
        <v>33</v>
      </c>
    </row>
    <row r="2209" spans="1:10" x14ac:dyDescent="0.25">
      <c r="A2209" s="1">
        <v>289</v>
      </c>
      <c r="B2209" t="s">
        <v>34</v>
      </c>
      <c r="C2209">
        <v>630</v>
      </c>
      <c r="D2209">
        <v>5</v>
      </c>
      <c r="E2209" t="s">
        <v>28</v>
      </c>
      <c r="F2209" t="s">
        <v>29</v>
      </c>
      <c r="G2209" t="str">
        <f>"2025-04-03 19:44:29.762"</f>
        <v>2025-04-03 19:44:29.762</v>
      </c>
      <c r="H2209" t="s">
        <v>30</v>
      </c>
      <c r="I2209">
        <v>0</v>
      </c>
      <c r="J2209" t="s">
        <v>33</v>
      </c>
    </row>
    <row r="2210" spans="1:10" s="3" customFormat="1" x14ac:dyDescent="0.25">
      <c r="A2210" s="2">
        <v>291</v>
      </c>
      <c r="B2210" s="3" t="s">
        <v>22</v>
      </c>
      <c r="C2210" s="3">
        <v>647</v>
      </c>
      <c r="D2210" s="3">
        <v>1</v>
      </c>
      <c r="E2210" s="3" t="s">
        <v>39</v>
      </c>
      <c r="F2210" s="3" t="s">
        <v>40</v>
      </c>
      <c r="G2210" s="3" t="str">
        <f>"2025-04-03 09:45:36.162"</f>
        <v>2025-04-03 09:45:36.162</v>
      </c>
      <c r="H2210" s="3" t="s">
        <v>21</v>
      </c>
    </row>
    <row r="2211" spans="1:10" s="3" customFormat="1" x14ac:dyDescent="0.25">
      <c r="A2211" s="2">
        <v>292</v>
      </c>
      <c r="B2211" s="3" t="s">
        <v>25</v>
      </c>
      <c r="C2211" s="3">
        <v>647</v>
      </c>
      <c r="D2211" s="3">
        <v>1</v>
      </c>
      <c r="E2211" s="3" t="s">
        <v>39</v>
      </c>
      <c r="F2211" s="3" t="s">
        <v>40</v>
      </c>
      <c r="G2211" s="3" t="str">
        <f>"2025-04-03 09:45:29.963"</f>
        <v>2025-04-03 09:45:29.963</v>
      </c>
      <c r="H2211" s="3" t="s">
        <v>21</v>
      </c>
      <c r="I2211" s="3">
        <v>15.62</v>
      </c>
      <c r="J2211" s="3" t="s">
        <v>37</v>
      </c>
    </row>
    <row r="2212" spans="1:10" x14ac:dyDescent="0.25">
      <c r="A2212" s="1">
        <v>293</v>
      </c>
      <c r="B2212" t="s">
        <v>22</v>
      </c>
      <c r="C2212">
        <v>630</v>
      </c>
      <c r="D2212">
        <v>5</v>
      </c>
      <c r="E2212" t="s">
        <v>28</v>
      </c>
      <c r="F2212" t="s">
        <v>29</v>
      </c>
      <c r="G2212" t="str">
        <f>"2025-04-02 19:53:48.862"</f>
        <v>2025-04-02 19:53:48.862</v>
      </c>
      <c r="H2212" t="s">
        <v>30</v>
      </c>
    </row>
    <row r="2213" spans="1:10" x14ac:dyDescent="0.25">
      <c r="A2213" s="1">
        <v>294</v>
      </c>
      <c r="B2213" t="s">
        <v>19</v>
      </c>
      <c r="C2213">
        <v>706</v>
      </c>
      <c r="D2213">
        <v>4</v>
      </c>
      <c r="E2213" t="s">
        <v>31</v>
      </c>
      <c r="F2213" t="s">
        <v>32</v>
      </c>
      <c r="G2213" t="str">
        <f>"2025-04-02 19:53:18.800"</f>
        <v>2025-04-02 19:53:18.800</v>
      </c>
      <c r="H2213" t="s">
        <v>21</v>
      </c>
      <c r="I2213">
        <v>0</v>
      </c>
      <c r="J2213" t="s">
        <v>33</v>
      </c>
    </row>
    <row r="2214" spans="1:10" x14ac:dyDescent="0.25">
      <c r="A2214" s="1">
        <v>295</v>
      </c>
      <c r="B2214" t="s">
        <v>34</v>
      </c>
      <c r="C2214">
        <v>630</v>
      </c>
      <c r="D2214">
        <v>5</v>
      </c>
      <c r="E2214" t="s">
        <v>28</v>
      </c>
      <c r="F2214" t="s">
        <v>29</v>
      </c>
      <c r="G2214" t="str">
        <f>"2025-04-02 19:42:55.862"</f>
        <v>2025-04-02 19:42:55.862</v>
      </c>
      <c r="H2214" t="s">
        <v>30</v>
      </c>
      <c r="I2214">
        <v>0</v>
      </c>
      <c r="J2214" t="s">
        <v>33</v>
      </c>
    </row>
    <row r="2215" spans="1:10" s="3" customFormat="1" x14ac:dyDescent="0.25">
      <c r="A2215" s="2">
        <v>296</v>
      </c>
      <c r="B2215" s="3" t="s">
        <v>22</v>
      </c>
      <c r="C2215" s="3">
        <v>647</v>
      </c>
      <c r="D2215" s="3">
        <v>1</v>
      </c>
      <c r="E2215" s="3" t="s">
        <v>39</v>
      </c>
      <c r="F2215" s="3" t="s">
        <v>40</v>
      </c>
      <c r="G2215" s="3" t="str">
        <f>"2025-04-02 07:45:41.363"</f>
        <v>2025-04-02 07:45:41.363</v>
      </c>
      <c r="H2215" s="3" t="s">
        <v>21</v>
      </c>
    </row>
    <row r="2216" spans="1:10" s="3" customFormat="1" x14ac:dyDescent="0.25">
      <c r="A2216" s="2">
        <v>297</v>
      </c>
      <c r="B2216" s="3" t="s">
        <v>25</v>
      </c>
      <c r="C2216" s="3">
        <v>647</v>
      </c>
      <c r="D2216" s="3">
        <v>1</v>
      </c>
      <c r="E2216" s="3" t="s">
        <v>39</v>
      </c>
      <c r="F2216" s="3" t="s">
        <v>40</v>
      </c>
      <c r="G2216" s="3" t="str">
        <f>"2025-04-02 07:45:34.263"</f>
        <v>2025-04-02 07:45:34.263</v>
      </c>
      <c r="H2216" s="3" t="s">
        <v>21</v>
      </c>
      <c r="I2216" s="3">
        <v>19.93</v>
      </c>
      <c r="J2216" s="3" t="s">
        <v>37</v>
      </c>
    </row>
    <row r="2217" spans="1:10" x14ac:dyDescent="0.25">
      <c r="A2217" s="1">
        <v>299</v>
      </c>
      <c r="B2217" t="s">
        <v>22</v>
      </c>
      <c r="C2217">
        <v>635</v>
      </c>
      <c r="D2217">
        <v>1</v>
      </c>
      <c r="E2217" t="s">
        <v>23</v>
      </c>
      <c r="F2217" t="s">
        <v>24</v>
      </c>
      <c r="G2217" t="str">
        <f>"2025-04-01 15:04:43.309"</f>
        <v>2025-04-01 15:04:43.309</v>
      </c>
      <c r="H2217" t="s">
        <v>21</v>
      </c>
    </row>
    <row r="2218" spans="1:10" x14ac:dyDescent="0.25">
      <c r="A2218" s="1">
        <v>300</v>
      </c>
      <c r="B2218" t="s">
        <v>25</v>
      </c>
      <c r="C2218">
        <v>635</v>
      </c>
      <c r="D2218">
        <v>1</v>
      </c>
      <c r="E2218" t="s">
        <v>23</v>
      </c>
      <c r="F2218" t="s">
        <v>24</v>
      </c>
      <c r="G2218" t="str">
        <f>"2025-04-01 15:02:04.809"</f>
        <v>2025-04-01 15:02:04.809</v>
      </c>
      <c r="H2218" t="s">
        <v>21</v>
      </c>
      <c r="I2218">
        <v>7.73</v>
      </c>
      <c r="J2218" t="s">
        <v>36</v>
      </c>
    </row>
    <row r="2219" spans="1:10" x14ac:dyDescent="0.25">
      <c r="A2219" s="1">
        <v>301</v>
      </c>
      <c r="B2219" t="s">
        <v>22</v>
      </c>
      <c r="C2219">
        <v>635</v>
      </c>
      <c r="D2219">
        <v>1</v>
      </c>
      <c r="E2219" t="s">
        <v>23</v>
      </c>
      <c r="F2219" t="s">
        <v>24</v>
      </c>
      <c r="G2219" t="str">
        <f>"2025-04-01 14:57:09.808"</f>
        <v>2025-04-01 14:57:09.808</v>
      </c>
      <c r="H2219" t="s">
        <v>21</v>
      </c>
    </row>
    <row r="2220" spans="1:10" x14ac:dyDescent="0.25">
      <c r="A2220" s="1">
        <v>302</v>
      </c>
      <c r="B2220" t="s">
        <v>25</v>
      </c>
      <c r="C2220">
        <v>635</v>
      </c>
      <c r="D2220">
        <v>1</v>
      </c>
      <c r="E2220" t="s">
        <v>23</v>
      </c>
      <c r="F2220" t="s">
        <v>24</v>
      </c>
      <c r="G2220" t="str">
        <f>"2025-04-01 14:54:13.309"</f>
        <v>2025-04-01 14:54:13.309</v>
      </c>
      <c r="H2220" t="s">
        <v>21</v>
      </c>
      <c r="I2220">
        <v>7.86</v>
      </c>
      <c r="J2220" t="s">
        <v>36</v>
      </c>
    </row>
    <row r="2221" spans="1:10" x14ac:dyDescent="0.25">
      <c r="A2221" s="1">
        <v>303</v>
      </c>
      <c r="B2221" t="s">
        <v>22</v>
      </c>
      <c r="C2221">
        <v>635</v>
      </c>
      <c r="D2221">
        <v>1</v>
      </c>
      <c r="E2221" t="s">
        <v>23</v>
      </c>
      <c r="F2221" t="s">
        <v>24</v>
      </c>
      <c r="G2221" t="str">
        <f>"2025-04-01 14:01:22.909"</f>
        <v>2025-04-01 14:01:22.909</v>
      </c>
      <c r="H2221" t="s">
        <v>21</v>
      </c>
    </row>
    <row r="2222" spans="1:10" x14ac:dyDescent="0.25">
      <c r="A2222" s="1">
        <v>304</v>
      </c>
      <c r="B2222" t="s">
        <v>25</v>
      </c>
      <c r="C2222">
        <v>635</v>
      </c>
      <c r="D2222">
        <v>1</v>
      </c>
      <c r="E2222" t="s">
        <v>23</v>
      </c>
      <c r="F2222" t="s">
        <v>24</v>
      </c>
      <c r="G2222" t="str">
        <f>"2025-04-01 13:59:06.909"</f>
        <v>2025-04-01 13:59:06.909</v>
      </c>
      <c r="H2222" t="s">
        <v>21</v>
      </c>
      <c r="I2222">
        <v>5.72</v>
      </c>
      <c r="J2222" t="s">
        <v>37</v>
      </c>
    </row>
    <row r="2223" spans="1:10" s="3" customFormat="1" x14ac:dyDescent="0.25">
      <c r="A2223" s="2">
        <v>305</v>
      </c>
      <c r="B2223" s="3" t="s">
        <v>22</v>
      </c>
      <c r="C2223" s="3">
        <v>647</v>
      </c>
      <c r="D2223" s="3">
        <v>1</v>
      </c>
      <c r="E2223" s="3" t="s">
        <v>39</v>
      </c>
      <c r="F2223" s="3" t="s">
        <v>40</v>
      </c>
      <c r="G2223" s="3" t="str">
        <f>"2025-04-01 13:05:04.062"</f>
        <v>2025-04-01 13:05:04.062</v>
      </c>
      <c r="H2223" s="3" t="s">
        <v>21</v>
      </c>
    </row>
    <row r="2224" spans="1:10" s="3" customFormat="1" x14ac:dyDescent="0.25">
      <c r="A2224" s="2">
        <v>306</v>
      </c>
      <c r="B2224" s="3" t="s">
        <v>25</v>
      </c>
      <c r="C2224" s="3">
        <v>647</v>
      </c>
      <c r="D2224" s="3">
        <v>1</v>
      </c>
      <c r="E2224" s="3" t="s">
        <v>39</v>
      </c>
      <c r="F2224" s="3" t="s">
        <v>40</v>
      </c>
      <c r="G2224" s="3" t="str">
        <f>"2025-04-01 13:04:58.563"</f>
        <v>2025-04-01 13:04:58.563</v>
      </c>
      <c r="H2224" s="3" t="s">
        <v>21</v>
      </c>
      <c r="I2224" s="3">
        <v>8.2899999999999991</v>
      </c>
      <c r="J2224" s="3" t="s">
        <v>37</v>
      </c>
    </row>
    <row r="2225" spans="1:10" x14ac:dyDescent="0.25">
      <c r="A2225" s="1">
        <v>307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"2025-04-01 08:00:35.440"</f>
        <v>2025-04-01 08:00:35.440</v>
      </c>
      <c r="H2225" t="s">
        <v>21</v>
      </c>
      <c r="I2225">
        <v>0</v>
      </c>
      <c r="J2225" t="s">
        <v>27</v>
      </c>
    </row>
    <row r="2226" spans="1:10" x14ac:dyDescent="0.25">
      <c r="A2226" s="1">
        <v>308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"2025-04-01 03:24:02.418"</f>
        <v>2025-04-01 03:24:02.418</v>
      </c>
      <c r="H2226" t="s">
        <v>21</v>
      </c>
      <c r="I2226">
        <v>0</v>
      </c>
      <c r="J2226" t="s">
        <v>27</v>
      </c>
    </row>
    <row r="2227" spans="1:10" x14ac:dyDescent="0.25">
      <c r="A2227" s="1">
        <v>309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"2025-04-01 03:03:02.512"</f>
        <v>2025-04-01 03:03:02.512</v>
      </c>
      <c r="H2227" t="s">
        <v>21</v>
      </c>
      <c r="I2227">
        <v>0</v>
      </c>
      <c r="J2227" t="s">
        <v>27</v>
      </c>
    </row>
    <row r="2228" spans="1:10" x14ac:dyDescent="0.25">
      <c r="A2228" s="1">
        <v>310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"2025-04-01 02:40:04.495"</f>
        <v>2025-04-01 02:40:04.495</v>
      </c>
      <c r="H2228" t="s">
        <v>21</v>
      </c>
      <c r="I2228">
        <v>0</v>
      </c>
      <c r="J2228" t="s">
        <v>27</v>
      </c>
    </row>
    <row r="2229" spans="1:10" x14ac:dyDescent="0.25">
      <c r="A2229" s="1">
        <v>311</v>
      </c>
      <c r="B2229" t="s">
        <v>19</v>
      </c>
      <c r="C2229">
        <v>706</v>
      </c>
      <c r="D2229">
        <v>2</v>
      </c>
      <c r="E2229" t="s">
        <v>31</v>
      </c>
      <c r="F2229" t="s">
        <v>35</v>
      </c>
      <c r="G2229" t="str">
        <f>"2025-04-01 02:35:20.329"</f>
        <v>2025-04-01 02:35:20.329</v>
      </c>
      <c r="H2229" t="s">
        <v>21</v>
      </c>
      <c r="I2229">
        <v>0</v>
      </c>
      <c r="J2229" t="s">
        <v>33</v>
      </c>
    </row>
    <row r="2230" spans="1:10" x14ac:dyDescent="0.25">
      <c r="A2230" s="1">
        <v>312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"2025-04-01 02:34:58.429"</f>
        <v>2025-04-01 02:34:58.429</v>
      </c>
      <c r="H2230" t="s">
        <v>21</v>
      </c>
      <c r="I2230">
        <v>0</v>
      </c>
      <c r="J2230" t="s">
        <v>27</v>
      </c>
    </row>
    <row r="2231" spans="1:10" x14ac:dyDescent="0.25">
      <c r="A2231" s="1">
        <v>313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"2025-04-01 01:07:21.434"</f>
        <v>2025-04-01 01:07:21.434</v>
      </c>
      <c r="H2231" t="s">
        <v>21</v>
      </c>
      <c r="I2231">
        <v>0</v>
      </c>
      <c r="J2231" t="s">
        <v>27</v>
      </c>
    </row>
    <row r="2232" spans="1:10" x14ac:dyDescent="0.25">
      <c r="A2232" s="1">
        <v>314</v>
      </c>
      <c r="B2232" t="s">
        <v>22</v>
      </c>
      <c r="C2232">
        <v>630</v>
      </c>
      <c r="D2232">
        <v>5</v>
      </c>
      <c r="E2232" t="s">
        <v>28</v>
      </c>
      <c r="F2232" t="s">
        <v>29</v>
      </c>
      <c r="G2232" t="str">
        <f>"2025-03-31 19:40:50.156"</f>
        <v>2025-03-31 19:40:50.156</v>
      </c>
      <c r="H2232" t="s">
        <v>30</v>
      </c>
    </row>
    <row r="2233" spans="1:10" x14ac:dyDescent="0.25">
      <c r="A2233" s="1">
        <v>315</v>
      </c>
      <c r="B2233" t="s">
        <v>19</v>
      </c>
      <c r="C2233">
        <v>706</v>
      </c>
      <c r="D2233">
        <v>4</v>
      </c>
      <c r="E2233" t="s">
        <v>31</v>
      </c>
      <c r="F2233" t="s">
        <v>32</v>
      </c>
      <c r="G2233" t="str">
        <f>"2025-03-31 19:40:20.058"</f>
        <v>2025-03-31 19:40:20.058</v>
      </c>
      <c r="H2233" t="s">
        <v>21</v>
      </c>
      <c r="I2233">
        <v>0</v>
      </c>
      <c r="J2233" t="s">
        <v>33</v>
      </c>
    </row>
    <row r="2234" spans="1:10" x14ac:dyDescent="0.25">
      <c r="A2234" s="1">
        <v>316</v>
      </c>
      <c r="B2234" t="s">
        <v>34</v>
      </c>
      <c r="C2234">
        <v>630</v>
      </c>
      <c r="D2234">
        <v>5</v>
      </c>
      <c r="E2234" t="s">
        <v>28</v>
      </c>
      <c r="F2234" t="s">
        <v>29</v>
      </c>
      <c r="G2234" t="str">
        <f>"2025-03-31 19:29:35.657"</f>
        <v>2025-03-31 19:29:35.657</v>
      </c>
      <c r="H2234" t="s">
        <v>30</v>
      </c>
      <c r="I2234">
        <v>0</v>
      </c>
      <c r="J2234" t="s">
        <v>33</v>
      </c>
    </row>
    <row r="2235" spans="1:10" x14ac:dyDescent="0.25">
      <c r="A2235" s="1">
        <v>318</v>
      </c>
      <c r="B2235" t="s">
        <v>19</v>
      </c>
      <c r="C2235">
        <v>706</v>
      </c>
      <c r="D2235">
        <v>4</v>
      </c>
      <c r="E2235" t="s">
        <v>31</v>
      </c>
      <c r="F2235" t="s">
        <v>32</v>
      </c>
      <c r="G2235" t="str">
        <f>"2025-03-30 19:33:47.438"</f>
        <v>2025-03-30 19:33:47.438</v>
      </c>
      <c r="H2235" t="s">
        <v>21</v>
      </c>
      <c r="I2235">
        <v>0</v>
      </c>
      <c r="J2235" t="s">
        <v>33</v>
      </c>
    </row>
    <row r="2236" spans="1:10" x14ac:dyDescent="0.25">
      <c r="A2236" s="1">
        <v>319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"2025-03-30 19:33:31.438"</f>
        <v>2025-03-30 19:33:31.438</v>
      </c>
      <c r="H2236" t="s">
        <v>21</v>
      </c>
      <c r="I2236">
        <v>0</v>
      </c>
      <c r="J2236" t="s">
        <v>27</v>
      </c>
    </row>
    <row r="2237" spans="1:10" x14ac:dyDescent="0.25">
      <c r="A2237" s="1">
        <v>320</v>
      </c>
      <c r="B2237" t="s">
        <v>22</v>
      </c>
      <c r="C2237">
        <v>635</v>
      </c>
      <c r="D2237">
        <v>1</v>
      </c>
      <c r="E2237" t="s">
        <v>23</v>
      </c>
      <c r="F2237" t="s">
        <v>24</v>
      </c>
      <c r="G2237" t="str">
        <f>"2025-03-30 11:08:22.452"</f>
        <v>2025-03-30 11:08:22.452</v>
      </c>
      <c r="H2237" t="s">
        <v>21</v>
      </c>
    </row>
    <row r="2238" spans="1:10" x14ac:dyDescent="0.25">
      <c r="A2238" s="1">
        <v>321</v>
      </c>
      <c r="B2238" t="s">
        <v>25</v>
      </c>
      <c r="C2238">
        <v>635</v>
      </c>
      <c r="D2238">
        <v>1</v>
      </c>
      <c r="E2238" t="s">
        <v>23</v>
      </c>
      <c r="F2238" t="s">
        <v>24</v>
      </c>
      <c r="G2238" t="str">
        <f>"2025-03-30 11:06:04.952"</f>
        <v>2025-03-30 11:06:04.952</v>
      </c>
      <c r="H2238" t="s">
        <v>21</v>
      </c>
      <c r="I2238">
        <v>8.2899999999999991</v>
      </c>
      <c r="J2238" t="s">
        <v>37</v>
      </c>
    </row>
    <row r="2239" spans="1:10" x14ac:dyDescent="0.25">
      <c r="A2239" s="1">
        <v>322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"2025-03-29 13:29:44.414"</f>
        <v>2025-03-29 13:29:44.414</v>
      </c>
      <c r="H2239" t="s">
        <v>21</v>
      </c>
    </row>
    <row r="2240" spans="1:10" x14ac:dyDescent="0.25">
      <c r="A2240" s="1">
        <v>323</v>
      </c>
      <c r="B2240" t="s">
        <v>41</v>
      </c>
      <c r="C2240">
        <v>215</v>
      </c>
      <c r="D2240">
        <v>6</v>
      </c>
      <c r="E2240" t="s">
        <v>42</v>
      </c>
      <c r="F2240" t="s">
        <v>43</v>
      </c>
      <c r="G2240" t="str">
        <f>"2025-03-29 04:41:44.146"</f>
        <v>2025-03-29 04:41:44.146</v>
      </c>
      <c r="H2240" t="s">
        <v>21</v>
      </c>
    </row>
    <row r="2241" spans="1:10" x14ac:dyDescent="0.25">
      <c r="A2241" s="1">
        <v>324</v>
      </c>
      <c r="B2241" t="s">
        <v>41</v>
      </c>
      <c r="C2241">
        <v>115</v>
      </c>
      <c r="D2241">
        <v>6</v>
      </c>
      <c r="E2241" t="s">
        <v>44</v>
      </c>
      <c r="F2241" t="s">
        <v>43</v>
      </c>
      <c r="G2241" t="str">
        <f>"2025-03-29 04:41:44.047"</f>
        <v>2025-03-29 04:41:44.047</v>
      </c>
      <c r="H2241" t="s">
        <v>21</v>
      </c>
    </row>
    <row r="2242" spans="1:10" x14ac:dyDescent="0.25">
      <c r="A2242" s="1">
        <v>325</v>
      </c>
      <c r="B2242" t="s">
        <v>34</v>
      </c>
      <c r="C2242">
        <v>215</v>
      </c>
      <c r="D2242">
        <v>6</v>
      </c>
      <c r="E2242" t="s">
        <v>42</v>
      </c>
      <c r="F2242" t="s">
        <v>43</v>
      </c>
      <c r="G2242" t="str">
        <f>"2025-03-29 04:41:38.953"</f>
        <v>2025-03-29 04:41:38.953</v>
      </c>
      <c r="H2242" t="s">
        <v>21</v>
      </c>
      <c r="I2242">
        <v>0.82</v>
      </c>
      <c r="J2242" t="s">
        <v>33</v>
      </c>
    </row>
    <row r="2243" spans="1:10" x14ac:dyDescent="0.25">
      <c r="A2243" s="1">
        <v>326</v>
      </c>
      <c r="B2243" t="s">
        <v>34</v>
      </c>
      <c r="C2243">
        <v>115</v>
      </c>
      <c r="D2243">
        <v>6</v>
      </c>
      <c r="E2243" t="s">
        <v>44</v>
      </c>
      <c r="F2243" t="s">
        <v>43</v>
      </c>
      <c r="G2243" t="str">
        <f>"2025-03-29 04:41:38.948"</f>
        <v>2025-03-29 04:41:38.948</v>
      </c>
      <c r="H2243" t="s">
        <v>21</v>
      </c>
      <c r="I2243">
        <v>0.82</v>
      </c>
      <c r="J2243" t="s">
        <v>33</v>
      </c>
    </row>
    <row r="2244" spans="1:10" x14ac:dyDescent="0.25">
      <c r="A2244" s="1">
        <v>327</v>
      </c>
      <c r="B2244" t="s">
        <v>22</v>
      </c>
      <c r="C2244">
        <v>75</v>
      </c>
      <c r="D2244">
        <v>1</v>
      </c>
      <c r="E2244" t="s">
        <v>48</v>
      </c>
      <c r="F2244" t="s">
        <v>49</v>
      </c>
      <c r="G2244" t="str">
        <f>"2025-03-29 04:41:38.827"</f>
        <v>2025-03-29 04:41:38.827</v>
      </c>
      <c r="H2244" t="s">
        <v>50</v>
      </c>
    </row>
    <row r="2245" spans="1:10" x14ac:dyDescent="0.25">
      <c r="A2245" s="1">
        <v>328</v>
      </c>
      <c r="B2245" t="s">
        <v>22</v>
      </c>
      <c r="C2245">
        <v>74</v>
      </c>
      <c r="D2245">
        <v>1</v>
      </c>
      <c r="E2245" t="s">
        <v>51</v>
      </c>
      <c r="F2245" t="s">
        <v>52</v>
      </c>
      <c r="G2245" t="str">
        <f>"2025-03-29 04:41:38.825"</f>
        <v>2025-03-29 04:41:38.825</v>
      </c>
      <c r="H2245" t="s">
        <v>53</v>
      </c>
    </row>
    <row r="2246" spans="1:10" x14ac:dyDescent="0.25">
      <c r="A2246" s="1">
        <v>329</v>
      </c>
      <c r="B2246" t="s">
        <v>56</v>
      </c>
      <c r="C2246">
        <v>6</v>
      </c>
      <c r="D2246">
        <v>1</v>
      </c>
      <c r="E2246" t="s">
        <v>45</v>
      </c>
      <c r="F2246" t="s">
        <v>46</v>
      </c>
      <c r="G2246" t="str">
        <f>"2025-03-29 04:41:38.646"</f>
        <v>2025-03-29 04:41:38.646</v>
      </c>
      <c r="H2246" t="s">
        <v>47</v>
      </c>
    </row>
    <row r="2247" spans="1:10" x14ac:dyDescent="0.25">
      <c r="A2247" s="1">
        <v>330</v>
      </c>
      <c r="B2247" t="s">
        <v>25</v>
      </c>
      <c r="C2247">
        <v>75</v>
      </c>
      <c r="D2247">
        <v>1</v>
      </c>
      <c r="E2247" t="s">
        <v>48</v>
      </c>
      <c r="F2247" t="s">
        <v>49</v>
      </c>
      <c r="G2247" t="str">
        <f>"2025-03-29 04:41:27.337"</f>
        <v>2025-03-29 04:41:27.337</v>
      </c>
      <c r="H2247" t="s">
        <v>50</v>
      </c>
      <c r="I2247">
        <v>6.28</v>
      </c>
      <c r="J2247" t="s">
        <v>33</v>
      </c>
    </row>
    <row r="2248" spans="1:10" x14ac:dyDescent="0.25">
      <c r="A2248" s="1">
        <v>331</v>
      </c>
      <c r="B2248" t="s">
        <v>25</v>
      </c>
      <c r="C2248">
        <v>74</v>
      </c>
      <c r="D2248">
        <v>1</v>
      </c>
      <c r="E2248" t="s">
        <v>51</v>
      </c>
      <c r="F2248" t="s">
        <v>52</v>
      </c>
      <c r="G2248" t="str">
        <f>"2025-03-29 04:41:27.332"</f>
        <v>2025-03-29 04:41:27.332</v>
      </c>
      <c r="H2248" t="s">
        <v>53</v>
      </c>
      <c r="I2248">
        <v>6.28</v>
      </c>
      <c r="J2248" t="s">
        <v>33</v>
      </c>
    </row>
    <row r="2249" spans="1:10" x14ac:dyDescent="0.25">
      <c r="A2249" s="1">
        <v>332</v>
      </c>
      <c r="B2249" t="s">
        <v>34</v>
      </c>
      <c r="C2249">
        <v>6</v>
      </c>
      <c r="D2249">
        <v>1</v>
      </c>
      <c r="E2249" t="s">
        <v>45</v>
      </c>
      <c r="F2249" t="s">
        <v>46</v>
      </c>
      <c r="G2249" t="str">
        <f>"2025-03-29 04:41:27.326"</f>
        <v>2025-03-29 04:41:27.326</v>
      </c>
      <c r="H2249" t="s">
        <v>47</v>
      </c>
      <c r="I2249">
        <v>6.28</v>
      </c>
      <c r="J2249" t="s">
        <v>33</v>
      </c>
    </row>
    <row r="2250" spans="1:10" x14ac:dyDescent="0.25">
      <c r="A2250" s="1">
        <v>337</v>
      </c>
      <c r="B2250" t="s">
        <v>19</v>
      </c>
      <c r="C2250">
        <v>706</v>
      </c>
      <c r="D2250">
        <v>2</v>
      </c>
      <c r="E2250" t="s">
        <v>31</v>
      </c>
      <c r="F2250" t="s">
        <v>35</v>
      </c>
      <c r="G2250" t="str">
        <f>"2025-03-28 12:44:02.876"</f>
        <v>2025-03-28 12:44:02.876</v>
      </c>
      <c r="H2250" t="s">
        <v>21</v>
      </c>
      <c r="I2250">
        <v>0</v>
      </c>
      <c r="J2250" t="s">
        <v>33</v>
      </c>
    </row>
    <row r="2251" spans="1:10" x14ac:dyDescent="0.25">
      <c r="A2251" s="1">
        <v>338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"2025-03-28 12:43:41.436"</f>
        <v>2025-03-28 12:43:41.436</v>
      </c>
      <c r="H2251" t="s">
        <v>21</v>
      </c>
      <c r="I2251">
        <v>0</v>
      </c>
      <c r="J2251" t="s">
        <v>27</v>
      </c>
    </row>
    <row r="2252" spans="1:10" s="3" customFormat="1" x14ac:dyDescent="0.25">
      <c r="A2252" s="2">
        <v>339</v>
      </c>
      <c r="B2252" s="3" t="s">
        <v>22</v>
      </c>
      <c r="C2252" s="3">
        <v>647</v>
      </c>
      <c r="D2252" s="3">
        <v>1</v>
      </c>
      <c r="E2252" s="3" t="s">
        <v>39</v>
      </c>
      <c r="F2252" s="3" t="s">
        <v>40</v>
      </c>
      <c r="G2252" s="3" t="str">
        <f>"2025-03-26 08:45:44.362"</f>
        <v>2025-03-26 08:45:44.362</v>
      </c>
      <c r="H2252" s="3" t="s">
        <v>21</v>
      </c>
    </row>
    <row r="2253" spans="1:10" s="3" customFormat="1" x14ac:dyDescent="0.25">
      <c r="A2253" s="2">
        <v>340</v>
      </c>
      <c r="B2253" s="3" t="s">
        <v>25</v>
      </c>
      <c r="C2253" s="3">
        <v>647</v>
      </c>
      <c r="D2253" s="3">
        <v>1</v>
      </c>
      <c r="E2253" s="3" t="s">
        <v>39</v>
      </c>
      <c r="F2253" s="3" t="s">
        <v>40</v>
      </c>
      <c r="G2253" s="3" t="str">
        <f>"2025-03-26 08:45:43.062"</f>
        <v>2025-03-26 08:45:43.062</v>
      </c>
      <c r="H2253" s="3" t="s">
        <v>21</v>
      </c>
      <c r="I2253" s="3">
        <v>16.64</v>
      </c>
      <c r="J2253" s="3" t="s">
        <v>37</v>
      </c>
    </row>
    <row r="2254" spans="1:10" x14ac:dyDescent="0.25">
      <c r="A2254" s="1">
        <v>341</v>
      </c>
      <c r="B2254" t="s">
        <v>22</v>
      </c>
      <c r="C2254">
        <v>635</v>
      </c>
      <c r="D2254">
        <v>1</v>
      </c>
      <c r="E2254" t="s">
        <v>23</v>
      </c>
      <c r="F2254" t="s">
        <v>24</v>
      </c>
      <c r="G2254" t="str">
        <f>"2025-03-25 23:15:49.008"</f>
        <v>2025-03-25 23:15:49.008</v>
      </c>
      <c r="H2254" t="s">
        <v>21</v>
      </c>
    </row>
    <row r="2255" spans="1:10" x14ac:dyDescent="0.25">
      <c r="A2255" s="1">
        <v>342</v>
      </c>
      <c r="B2255" t="s">
        <v>25</v>
      </c>
      <c r="C2255">
        <v>635</v>
      </c>
      <c r="D2255">
        <v>1</v>
      </c>
      <c r="E2255" t="s">
        <v>23</v>
      </c>
      <c r="F2255" t="s">
        <v>24</v>
      </c>
      <c r="G2255" t="str">
        <f>"2025-03-25 23:11:50.009"</f>
        <v>2025-03-25 23:11:50.009</v>
      </c>
      <c r="H2255" t="s">
        <v>21</v>
      </c>
      <c r="I2255">
        <v>6.02</v>
      </c>
      <c r="J2255" t="s">
        <v>36</v>
      </c>
    </row>
    <row r="2256" spans="1:10" x14ac:dyDescent="0.25">
      <c r="A2256" s="1">
        <v>343</v>
      </c>
      <c r="B2256" t="s">
        <v>22</v>
      </c>
      <c r="C2256">
        <v>98</v>
      </c>
      <c r="D2256">
        <v>1</v>
      </c>
      <c r="E2256" t="s">
        <v>60</v>
      </c>
      <c r="F2256" t="s">
        <v>61</v>
      </c>
      <c r="G2256" t="str">
        <f>"2025-03-25 07:44:10.561"</f>
        <v>2025-03-25 07:44:10.561</v>
      </c>
      <c r="H2256" t="s">
        <v>21</v>
      </c>
    </row>
    <row r="2257" spans="1:10" x14ac:dyDescent="0.25">
      <c r="A2257" s="1">
        <v>344</v>
      </c>
      <c r="B2257" t="s">
        <v>25</v>
      </c>
      <c r="C2257">
        <v>98</v>
      </c>
      <c r="D2257">
        <v>1</v>
      </c>
      <c r="E2257" t="s">
        <v>60</v>
      </c>
      <c r="F2257" t="s">
        <v>61</v>
      </c>
      <c r="G2257" t="str">
        <f>"2025-03-25 07:44:09.562"</f>
        <v>2025-03-25 07:44:09.562</v>
      </c>
      <c r="H2257" t="s">
        <v>21</v>
      </c>
      <c r="I2257">
        <v>0</v>
      </c>
      <c r="J2257" t="s">
        <v>26</v>
      </c>
    </row>
    <row r="2258" spans="1:10" x14ac:dyDescent="0.25">
      <c r="A2258" s="1">
        <v>345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"2025-03-24 19:31:08.420"</f>
        <v>2025-03-24 19:31:08.420</v>
      </c>
      <c r="H2258" t="s">
        <v>21</v>
      </c>
    </row>
    <row r="2259" spans="1:10" x14ac:dyDescent="0.25">
      <c r="A2259" s="1">
        <v>346</v>
      </c>
      <c r="B2259" t="s">
        <v>19</v>
      </c>
      <c r="C2259">
        <v>706</v>
      </c>
      <c r="D2259">
        <v>4</v>
      </c>
      <c r="E2259" t="s">
        <v>31</v>
      </c>
      <c r="F2259" t="s">
        <v>32</v>
      </c>
      <c r="G2259" t="str">
        <f>"2025-03-23 19:47:57.058"</f>
        <v>2025-03-23 19:47:57.058</v>
      </c>
      <c r="H2259" t="s">
        <v>21</v>
      </c>
      <c r="I2259">
        <v>0</v>
      </c>
      <c r="J2259" t="s">
        <v>33</v>
      </c>
    </row>
    <row r="2260" spans="1:10" x14ac:dyDescent="0.25">
      <c r="A2260" s="1">
        <v>347</v>
      </c>
      <c r="B2260" t="s">
        <v>19</v>
      </c>
      <c r="C2260">
        <v>706</v>
      </c>
      <c r="D2260">
        <v>3</v>
      </c>
      <c r="E2260" t="s">
        <v>31</v>
      </c>
      <c r="F2260" t="s">
        <v>66</v>
      </c>
      <c r="G2260" t="str">
        <f>"2025-03-23 19:47:31.358"</f>
        <v>2025-03-23 19:47:31.358</v>
      </c>
      <c r="H2260" t="s">
        <v>21</v>
      </c>
      <c r="I2260">
        <v>0</v>
      </c>
      <c r="J2260" t="s">
        <v>33</v>
      </c>
    </row>
    <row r="2261" spans="1:10" s="3" customFormat="1" x14ac:dyDescent="0.25">
      <c r="A2261" s="2">
        <v>348</v>
      </c>
      <c r="B2261" s="3" t="s">
        <v>22</v>
      </c>
      <c r="C2261" s="3">
        <v>647</v>
      </c>
      <c r="D2261" s="3">
        <v>1</v>
      </c>
      <c r="E2261" s="3" t="s">
        <v>39</v>
      </c>
      <c r="F2261" s="3" t="s">
        <v>40</v>
      </c>
      <c r="G2261" s="3" t="str">
        <f>"2025-03-23 16:30:41.659"</f>
        <v>2025-03-23 16:30:41.659</v>
      </c>
      <c r="H2261" s="3" t="s">
        <v>21</v>
      </c>
    </row>
    <row r="2262" spans="1:10" s="3" customFormat="1" x14ac:dyDescent="0.25">
      <c r="A2262" s="2">
        <v>349</v>
      </c>
      <c r="B2262" s="3" t="s">
        <v>25</v>
      </c>
      <c r="C2262" s="3">
        <v>647</v>
      </c>
      <c r="D2262" s="3">
        <v>1</v>
      </c>
      <c r="E2262" s="3" t="s">
        <v>39</v>
      </c>
      <c r="F2262" s="3" t="s">
        <v>40</v>
      </c>
      <c r="G2262" s="3" t="str">
        <f>"2025-03-23 16:30:37.959"</f>
        <v>2025-03-23 16:30:37.959</v>
      </c>
      <c r="H2262" s="3" t="s">
        <v>21</v>
      </c>
      <c r="I2262" s="3">
        <v>9.56</v>
      </c>
      <c r="J2262" s="3" t="s">
        <v>37</v>
      </c>
    </row>
    <row r="2263" spans="1:10" x14ac:dyDescent="0.25">
      <c r="A2263" s="1">
        <v>350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"2025-03-22 19:29:04.418"</f>
        <v>2025-03-22 19:29:04.418</v>
      </c>
      <c r="H2263" t="s">
        <v>21</v>
      </c>
      <c r="I2263">
        <v>0</v>
      </c>
      <c r="J2263" t="s">
        <v>27</v>
      </c>
    </row>
    <row r="2264" spans="1:10" x14ac:dyDescent="0.25">
      <c r="A2264" s="1">
        <v>351</v>
      </c>
      <c r="B2264" t="s">
        <v>41</v>
      </c>
      <c r="C2264">
        <v>126</v>
      </c>
      <c r="D2264">
        <v>7</v>
      </c>
      <c r="E2264" t="s">
        <v>76</v>
      </c>
      <c r="F2264" t="s">
        <v>77</v>
      </c>
      <c r="G2264" t="str">
        <f>"2025-03-22 08:23:10.372"</f>
        <v>2025-03-22 08:23:10.372</v>
      </c>
      <c r="H2264" t="s">
        <v>53</v>
      </c>
    </row>
    <row r="2265" spans="1:10" x14ac:dyDescent="0.25">
      <c r="A2265" s="1">
        <v>352</v>
      </c>
      <c r="B2265" t="s">
        <v>34</v>
      </c>
      <c r="C2265">
        <v>126</v>
      </c>
      <c r="D2265">
        <v>7</v>
      </c>
      <c r="E2265" t="s">
        <v>76</v>
      </c>
      <c r="F2265" t="s">
        <v>77</v>
      </c>
      <c r="G2265" t="str">
        <f>"2025-03-22 08:23:05.317"</f>
        <v>2025-03-22 08:23:05.317</v>
      </c>
      <c r="H2265" t="s">
        <v>53</v>
      </c>
      <c r="I2265">
        <v>6.85</v>
      </c>
      <c r="J2265" t="s">
        <v>36</v>
      </c>
    </row>
    <row r="2266" spans="1:10" x14ac:dyDescent="0.25">
      <c r="A2266" s="1">
        <v>353</v>
      </c>
      <c r="B2266" t="s">
        <v>41</v>
      </c>
      <c r="C2266">
        <v>126</v>
      </c>
      <c r="D2266">
        <v>7</v>
      </c>
      <c r="E2266" t="s">
        <v>76</v>
      </c>
      <c r="F2266" t="s">
        <v>77</v>
      </c>
      <c r="G2266" t="str">
        <f>"2025-03-22 00:18:11.873"</f>
        <v>2025-03-22 00:18:11.873</v>
      </c>
      <c r="H2266" t="s">
        <v>53</v>
      </c>
    </row>
    <row r="2267" spans="1:10" x14ac:dyDescent="0.25">
      <c r="A2267" s="1">
        <v>354</v>
      </c>
      <c r="B2267" t="s">
        <v>34</v>
      </c>
      <c r="C2267">
        <v>126</v>
      </c>
      <c r="D2267">
        <v>7</v>
      </c>
      <c r="E2267" t="s">
        <v>76</v>
      </c>
      <c r="F2267" t="s">
        <v>77</v>
      </c>
      <c r="G2267" t="str">
        <f>"2025-03-22 00:18:06.837"</f>
        <v>2025-03-22 00:18:06.837</v>
      </c>
      <c r="H2267" t="s">
        <v>53</v>
      </c>
      <c r="I2267">
        <v>14.54</v>
      </c>
      <c r="J2267" t="s">
        <v>36</v>
      </c>
    </row>
    <row r="2268" spans="1:10" x14ac:dyDescent="0.25">
      <c r="A2268" s="1">
        <v>355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"2025-03-21 08:01:43.462"</f>
        <v>2025-03-21 08:01:43.462</v>
      </c>
      <c r="H2268" t="s">
        <v>21</v>
      </c>
      <c r="I2268">
        <v>0</v>
      </c>
      <c r="J2268" t="s">
        <v>27</v>
      </c>
    </row>
    <row r="2269" spans="1:10" x14ac:dyDescent="0.25">
      <c r="A2269" s="1">
        <v>356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"2025-03-21 06:09:57.416"</f>
        <v>2025-03-21 06:09:57.416</v>
      </c>
      <c r="H2269" t="s">
        <v>21</v>
      </c>
      <c r="I2269">
        <v>0</v>
      </c>
      <c r="J2269" t="s">
        <v>27</v>
      </c>
    </row>
    <row r="2270" spans="1:10" x14ac:dyDescent="0.25">
      <c r="A2270" s="1">
        <v>357</v>
      </c>
      <c r="B2270" t="s">
        <v>19</v>
      </c>
      <c r="C2270">
        <v>706</v>
      </c>
      <c r="D2270">
        <v>2</v>
      </c>
      <c r="E2270" t="s">
        <v>31</v>
      </c>
      <c r="F2270" t="s">
        <v>35</v>
      </c>
      <c r="G2270" t="str">
        <f>"2025-03-21 04:32:50.089"</f>
        <v>2025-03-21 04:32:50.089</v>
      </c>
      <c r="H2270" t="s">
        <v>21</v>
      </c>
      <c r="I2270">
        <v>0</v>
      </c>
      <c r="J2270" t="s">
        <v>33</v>
      </c>
    </row>
    <row r="2271" spans="1:10" x14ac:dyDescent="0.25">
      <c r="A2271" s="1">
        <v>358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"2025-03-21 04:32:26.419"</f>
        <v>2025-03-21 04:32:26.419</v>
      </c>
      <c r="H2271" t="s">
        <v>21</v>
      </c>
      <c r="I2271">
        <v>0</v>
      </c>
      <c r="J2271" t="s">
        <v>27</v>
      </c>
    </row>
    <row r="2272" spans="1:10" x14ac:dyDescent="0.25">
      <c r="A2272" s="1">
        <v>359</v>
      </c>
      <c r="B2272" t="s">
        <v>19</v>
      </c>
      <c r="C2272">
        <v>719</v>
      </c>
      <c r="D2272">
        <v>5</v>
      </c>
      <c r="E2272" t="s">
        <v>72</v>
      </c>
      <c r="F2272" t="s">
        <v>73</v>
      </c>
      <c r="G2272" t="str">
        <f>"2025-03-21 02:59:00.997"</f>
        <v>2025-03-21 02:59:00.997</v>
      </c>
      <c r="H2272" t="s">
        <v>21</v>
      </c>
      <c r="I2272">
        <v>0</v>
      </c>
      <c r="J2272" t="s">
        <v>33</v>
      </c>
    </row>
    <row r="2273" spans="1:10" x14ac:dyDescent="0.25">
      <c r="A2273" s="1">
        <v>360</v>
      </c>
      <c r="B2273" t="s">
        <v>34</v>
      </c>
      <c r="C2273">
        <v>630</v>
      </c>
      <c r="D2273">
        <v>5</v>
      </c>
      <c r="E2273" t="s">
        <v>28</v>
      </c>
      <c r="F2273" t="s">
        <v>29</v>
      </c>
      <c r="G2273" t="str">
        <f>"2025-03-21 02:56:14.148"</f>
        <v>2025-03-21 02:56:14.148</v>
      </c>
      <c r="H2273" t="s">
        <v>30</v>
      </c>
      <c r="I2273">
        <v>0</v>
      </c>
      <c r="J2273" t="s">
        <v>33</v>
      </c>
    </row>
    <row r="2274" spans="1:10" x14ac:dyDescent="0.25">
      <c r="A2274" s="1">
        <v>361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"2025-03-21 02:51:11.416"</f>
        <v>2025-03-21 02:51:11.416</v>
      </c>
      <c r="H2274" t="s">
        <v>21</v>
      </c>
      <c r="I2274">
        <v>0</v>
      </c>
      <c r="J2274" t="s">
        <v>27</v>
      </c>
    </row>
    <row r="2275" spans="1:10" x14ac:dyDescent="0.25">
      <c r="A2275" s="1">
        <v>362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"2025-03-21 02:44:20.584"</f>
        <v>2025-03-21 02:44:20.584</v>
      </c>
      <c r="H2275" t="s">
        <v>21</v>
      </c>
      <c r="I2275">
        <v>0</v>
      </c>
      <c r="J2275" t="s">
        <v>27</v>
      </c>
    </row>
    <row r="2276" spans="1:10" x14ac:dyDescent="0.25">
      <c r="A2276" s="1">
        <v>363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"2025-03-20 13:09:56.445"</f>
        <v>2025-03-20 13:09:56.445</v>
      </c>
      <c r="H2276" t="s">
        <v>21</v>
      </c>
      <c r="I2276">
        <v>0</v>
      </c>
      <c r="J2276" t="s">
        <v>27</v>
      </c>
    </row>
    <row r="2277" spans="1:10" x14ac:dyDescent="0.25">
      <c r="A2277" s="1">
        <v>364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"2025-03-19 16:48:52.428"</f>
        <v>2025-03-19 16:48:52.428</v>
      </c>
      <c r="H2277" t="s">
        <v>21</v>
      </c>
    </row>
    <row r="2278" spans="1:10" x14ac:dyDescent="0.25">
      <c r="A2278" s="1">
        <v>366</v>
      </c>
      <c r="B2278" t="s">
        <v>22</v>
      </c>
      <c r="C2278">
        <v>635</v>
      </c>
      <c r="D2278">
        <v>1</v>
      </c>
      <c r="E2278" t="s">
        <v>23</v>
      </c>
      <c r="F2278" t="s">
        <v>24</v>
      </c>
      <c r="G2278" t="str">
        <f>"2025-03-17 18:34:24.562"</f>
        <v>2025-03-17 18:34:24.562</v>
      </c>
      <c r="H2278" t="s">
        <v>21</v>
      </c>
    </row>
    <row r="2279" spans="1:10" x14ac:dyDescent="0.25">
      <c r="A2279" s="1">
        <v>367</v>
      </c>
      <c r="B2279" t="s">
        <v>25</v>
      </c>
      <c r="C2279">
        <v>635</v>
      </c>
      <c r="D2279">
        <v>1</v>
      </c>
      <c r="E2279" t="s">
        <v>23</v>
      </c>
      <c r="F2279" t="s">
        <v>24</v>
      </c>
      <c r="G2279" t="str">
        <f>"2025-03-17 18:30:37.062"</f>
        <v>2025-03-17 18:30:37.062</v>
      </c>
      <c r="H2279" t="s">
        <v>21</v>
      </c>
      <c r="I2279">
        <v>4.2</v>
      </c>
      <c r="J2279" t="s">
        <v>36</v>
      </c>
    </row>
    <row r="2280" spans="1:10" x14ac:dyDescent="0.25">
      <c r="A2280" s="1">
        <v>368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"2025-03-17 14:08:24.415"</f>
        <v>2025-03-17 14:08:24.415</v>
      </c>
      <c r="H2280" t="s">
        <v>21</v>
      </c>
    </row>
    <row r="2281" spans="1:10" x14ac:dyDescent="0.25">
      <c r="A2281" s="1">
        <v>369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"2025-03-17 03:30:48.440"</f>
        <v>2025-03-17 03:30:48.440</v>
      </c>
      <c r="H2281" t="s">
        <v>21</v>
      </c>
      <c r="I2281">
        <v>0</v>
      </c>
      <c r="J2281" t="s">
        <v>27</v>
      </c>
    </row>
    <row r="2282" spans="1:10" x14ac:dyDescent="0.25">
      <c r="A2282" s="1">
        <v>370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"2025-03-14 13:16:37.502"</f>
        <v>2025-03-14 13:16:37.502</v>
      </c>
      <c r="H2282" t="s">
        <v>21</v>
      </c>
      <c r="I2282">
        <v>0</v>
      </c>
      <c r="J2282" t="s">
        <v>27</v>
      </c>
    </row>
    <row r="2283" spans="1:10" x14ac:dyDescent="0.25">
      <c r="A2283" s="1">
        <v>371</v>
      </c>
      <c r="B2283" t="s">
        <v>41</v>
      </c>
      <c r="C2283">
        <v>126</v>
      </c>
      <c r="D2283">
        <v>7</v>
      </c>
      <c r="E2283" t="s">
        <v>76</v>
      </c>
      <c r="F2283" t="s">
        <v>77</v>
      </c>
      <c r="G2283" t="str">
        <f>"2025-03-12 07:00:47.033"</f>
        <v>2025-03-12 07:00:47.033</v>
      </c>
      <c r="H2283" t="s">
        <v>53</v>
      </c>
    </row>
    <row r="2284" spans="1:10" x14ac:dyDescent="0.25">
      <c r="A2284" s="1">
        <v>372</v>
      </c>
      <c r="B2284" t="s">
        <v>34</v>
      </c>
      <c r="C2284">
        <v>126</v>
      </c>
      <c r="D2284">
        <v>7</v>
      </c>
      <c r="E2284" t="s">
        <v>76</v>
      </c>
      <c r="F2284" t="s">
        <v>77</v>
      </c>
      <c r="G2284" t="str">
        <f>"2025-03-12 07:00:41.938"</f>
        <v>2025-03-12 07:00:41.938</v>
      </c>
      <c r="H2284" t="s">
        <v>53</v>
      </c>
      <c r="I2284">
        <v>16.14</v>
      </c>
      <c r="J2284" t="s">
        <v>36</v>
      </c>
    </row>
    <row r="2285" spans="1:10" x14ac:dyDescent="0.25">
      <c r="A2285" s="1">
        <v>373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"2025-03-11 14:19:31.404"</f>
        <v>2025-03-11 14:19:31.404</v>
      </c>
      <c r="H2285" t="s">
        <v>21</v>
      </c>
    </row>
    <row r="2286" spans="1:10" x14ac:dyDescent="0.25">
      <c r="A2286" s="1">
        <v>374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"2025-03-11 12:53:41.382"</f>
        <v>2025-03-11 12:53:41.382</v>
      </c>
      <c r="H2286" t="s">
        <v>21</v>
      </c>
    </row>
    <row r="2287" spans="1:10" x14ac:dyDescent="0.25">
      <c r="A2287" s="1">
        <v>375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"2025-03-11 11:57:08.391"</f>
        <v>2025-03-11 11:57:08.391</v>
      </c>
      <c r="H2287" t="s">
        <v>21</v>
      </c>
      <c r="I2287">
        <v>0</v>
      </c>
      <c r="J2287" t="s">
        <v>27</v>
      </c>
    </row>
    <row r="2288" spans="1:10" x14ac:dyDescent="0.25">
      <c r="A2288" s="1">
        <v>376</v>
      </c>
      <c r="B2288" t="s">
        <v>19</v>
      </c>
      <c r="C2288">
        <v>706</v>
      </c>
      <c r="D2288">
        <v>2</v>
      </c>
      <c r="E2288" t="s">
        <v>31</v>
      </c>
      <c r="F2288" t="s">
        <v>35</v>
      </c>
      <c r="G2288" t="str">
        <f>"2025-03-11 11:43:42.714"</f>
        <v>2025-03-11 11:43:42.714</v>
      </c>
      <c r="H2288" t="s">
        <v>21</v>
      </c>
      <c r="I2288">
        <v>0</v>
      </c>
      <c r="J2288" t="s">
        <v>33</v>
      </c>
    </row>
    <row r="2289" spans="1:10" x14ac:dyDescent="0.25">
      <c r="A2289" s="1">
        <v>377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"2025-03-11 11:42:23.404"</f>
        <v>2025-03-11 11:42:23.404</v>
      </c>
      <c r="H2289" t="s">
        <v>21</v>
      </c>
      <c r="I2289">
        <v>0</v>
      </c>
      <c r="J2289" t="s">
        <v>27</v>
      </c>
    </row>
    <row r="2290" spans="1:10" x14ac:dyDescent="0.25">
      <c r="A2290" s="1">
        <v>378</v>
      </c>
      <c r="B2290" t="s">
        <v>34</v>
      </c>
      <c r="C2290">
        <v>630</v>
      </c>
      <c r="D2290">
        <v>5</v>
      </c>
      <c r="E2290" t="s">
        <v>28</v>
      </c>
      <c r="F2290" t="s">
        <v>29</v>
      </c>
      <c r="G2290" t="str">
        <f>"2025-03-11 11:37:31.101"</f>
        <v>2025-03-11 11:37:31.101</v>
      </c>
      <c r="H2290" t="s">
        <v>30</v>
      </c>
      <c r="I2290">
        <v>0</v>
      </c>
      <c r="J2290" t="s">
        <v>33</v>
      </c>
    </row>
    <row r="2291" spans="1:10" x14ac:dyDescent="0.25">
      <c r="A2291" s="1">
        <v>379</v>
      </c>
      <c r="B2291" t="s">
        <v>19</v>
      </c>
      <c r="C2291">
        <v>776</v>
      </c>
      <c r="D2291">
        <v>2</v>
      </c>
      <c r="E2291" t="s">
        <v>78</v>
      </c>
      <c r="F2291" t="s">
        <v>79</v>
      </c>
      <c r="G2291" t="str">
        <f>"2025-03-11 11:32:38.565"</f>
        <v>2025-03-11 11:32:38.565</v>
      </c>
      <c r="H2291" t="s">
        <v>21</v>
      </c>
      <c r="I2291">
        <v>0</v>
      </c>
      <c r="J2291" t="s">
        <v>33</v>
      </c>
    </row>
    <row r="2292" spans="1:10" x14ac:dyDescent="0.25">
      <c r="A2292" s="1">
        <v>380</v>
      </c>
      <c r="B2292" t="s">
        <v>19</v>
      </c>
      <c r="C2292">
        <v>776</v>
      </c>
      <c r="D2292">
        <v>1</v>
      </c>
      <c r="E2292" t="s">
        <v>78</v>
      </c>
      <c r="F2292" t="s">
        <v>80</v>
      </c>
      <c r="G2292" t="str">
        <f>"2025-03-11 11:32:38.563"</f>
        <v>2025-03-11 11:32:38.563</v>
      </c>
      <c r="H2292" t="s">
        <v>21</v>
      </c>
      <c r="I2292">
        <v>0</v>
      </c>
      <c r="J2292" t="s">
        <v>33</v>
      </c>
    </row>
    <row r="2293" spans="1:10" x14ac:dyDescent="0.25">
      <c r="A2293" s="1">
        <v>381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"2025-03-11 11:32:28.400"</f>
        <v>2025-03-11 11:32:28.400</v>
      </c>
      <c r="H2293" t="s">
        <v>21</v>
      </c>
      <c r="I2293">
        <v>0</v>
      </c>
      <c r="J2293" t="s">
        <v>27</v>
      </c>
    </row>
    <row r="2294" spans="1:10" x14ac:dyDescent="0.25">
      <c r="A2294" s="1">
        <v>382</v>
      </c>
      <c r="B2294" t="s">
        <v>34</v>
      </c>
      <c r="C2294">
        <v>630</v>
      </c>
      <c r="D2294">
        <v>5</v>
      </c>
      <c r="E2294" t="s">
        <v>28</v>
      </c>
      <c r="F2294" t="s">
        <v>29</v>
      </c>
      <c r="G2294" t="str">
        <f>"2025-03-11 10:28:51.210"</f>
        <v>2025-03-11 10:28:51.210</v>
      </c>
      <c r="H2294" t="s">
        <v>30</v>
      </c>
      <c r="I2294">
        <v>0</v>
      </c>
      <c r="J2294" t="s">
        <v>33</v>
      </c>
    </row>
    <row r="2295" spans="1:10" x14ac:dyDescent="0.25">
      <c r="A2295" s="1">
        <v>383</v>
      </c>
      <c r="B2295" t="s">
        <v>19</v>
      </c>
      <c r="C2295">
        <v>706</v>
      </c>
      <c r="D2295">
        <v>3</v>
      </c>
      <c r="E2295" t="s">
        <v>31</v>
      </c>
      <c r="F2295" t="s">
        <v>66</v>
      </c>
      <c r="G2295" t="str">
        <f>"2025-03-11 10:23:49.241"</f>
        <v>2025-03-11 10:23:49.241</v>
      </c>
      <c r="H2295" t="s">
        <v>21</v>
      </c>
      <c r="I2295">
        <v>0</v>
      </c>
      <c r="J2295" t="s">
        <v>33</v>
      </c>
    </row>
    <row r="2296" spans="1:10" x14ac:dyDescent="0.25">
      <c r="A2296" s="1">
        <v>384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"2025-03-11 10:22:52.401"</f>
        <v>2025-03-11 10:22:52.401</v>
      </c>
      <c r="H2296" t="s">
        <v>21</v>
      </c>
      <c r="I2296">
        <v>0</v>
      </c>
      <c r="J2296" t="s">
        <v>27</v>
      </c>
    </row>
    <row r="2297" spans="1:10" x14ac:dyDescent="0.25">
      <c r="A2297" s="1">
        <v>385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"2025-03-11 10:19:05.403"</f>
        <v>2025-03-11 10:19:05.403</v>
      </c>
      <c r="H2297" t="s">
        <v>21</v>
      </c>
      <c r="I2297">
        <v>0</v>
      </c>
      <c r="J2297" t="s">
        <v>27</v>
      </c>
    </row>
    <row r="2298" spans="1:10" x14ac:dyDescent="0.25">
      <c r="A2298" s="1">
        <v>386</v>
      </c>
      <c r="B2298" t="s">
        <v>34</v>
      </c>
      <c r="C2298">
        <v>630</v>
      </c>
      <c r="D2298">
        <v>5</v>
      </c>
      <c r="E2298" t="s">
        <v>28</v>
      </c>
      <c r="F2298" t="s">
        <v>29</v>
      </c>
      <c r="G2298" t="str">
        <f>"2025-03-11 09:24:52.104"</f>
        <v>2025-03-11 09:24:52.104</v>
      </c>
      <c r="H2298" t="s">
        <v>30</v>
      </c>
      <c r="I2298">
        <v>0</v>
      </c>
      <c r="J2298" t="s">
        <v>33</v>
      </c>
    </row>
    <row r="2299" spans="1:10" x14ac:dyDescent="0.25">
      <c r="A2299" s="1">
        <v>387</v>
      </c>
      <c r="B2299" t="s">
        <v>19</v>
      </c>
      <c r="C2299">
        <v>700</v>
      </c>
      <c r="D2299">
        <v>0</v>
      </c>
      <c r="E2299" t="s">
        <v>20</v>
      </c>
      <c r="F2299" t="s">
        <v>20</v>
      </c>
      <c r="G2299" t="str">
        <f>"2025-03-11 09:19:49.401"</f>
        <v>2025-03-11 09:19:49.401</v>
      </c>
      <c r="H2299" t="s">
        <v>21</v>
      </c>
      <c r="I2299">
        <v>0</v>
      </c>
      <c r="J2299" t="s">
        <v>27</v>
      </c>
    </row>
    <row r="2300" spans="1:10" x14ac:dyDescent="0.25">
      <c r="A2300" s="1">
        <v>388</v>
      </c>
      <c r="B2300" t="s">
        <v>34</v>
      </c>
      <c r="C2300">
        <v>630</v>
      </c>
      <c r="D2300">
        <v>5</v>
      </c>
      <c r="E2300" t="s">
        <v>28</v>
      </c>
      <c r="F2300" t="s">
        <v>29</v>
      </c>
      <c r="G2300" t="str">
        <f>"2025-03-11 09:16:27.108"</f>
        <v>2025-03-11 09:16:27.108</v>
      </c>
      <c r="H2300" t="s">
        <v>30</v>
      </c>
      <c r="I2300">
        <v>0</v>
      </c>
      <c r="J2300" t="s">
        <v>33</v>
      </c>
    </row>
    <row r="2301" spans="1:10" x14ac:dyDescent="0.25">
      <c r="A2301" s="1">
        <v>389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"2025-03-11 09:11:24.399"</f>
        <v>2025-03-11 09:11:24.399</v>
      </c>
      <c r="H2301" t="s">
        <v>21</v>
      </c>
      <c r="I2301">
        <v>0</v>
      </c>
      <c r="J2301" t="s">
        <v>27</v>
      </c>
    </row>
    <row r="2302" spans="1:10" x14ac:dyDescent="0.25">
      <c r="A2302" s="1">
        <v>390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"2025-03-11 06:52:41.533"</f>
        <v>2025-03-11 06:52:41.533</v>
      </c>
      <c r="H2302" t="s">
        <v>21</v>
      </c>
      <c r="I2302">
        <v>0</v>
      </c>
      <c r="J2302" t="s">
        <v>27</v>
      </c>
    </row>
    <row r="2303" spans="1:10" x14ac:dyDescent="0.25">
      <c r="A2303" s="1">
        <v>391</v>
      </c>
      <c r="B2303" t="s">
        <v>56</v>
      </c>
      <c r="C2303">
        <v>23</v>
      </c>
      <c r="D2303">
        <v>1</v>
      </c>
      <c r="E2303" t="s">
        <v>81</v>
      </c>
      <c r="F2303" t="s">
        <v>82</v>
      </c>
      <c r="G2303" t="str">
        <f>"2025-03-11 04:23:33.917"</f>
        <v>2025-03-11 04:23:33.917</v>
      </c>
      <c r="H2303" t="s">
        <v>47</v>
      </c>
    </row>
    <row r="2304" spans="1:10" x14ac:dyDescent="0.25">
      <c r="A2304" s="1">
        <v>392</v>
      </c>
      <c r="B2304" t="s">
        <v>56</v>
      </c>
      <c r="C2304">
        <v>2</v>
      </c>
      <c r="D2304">
        <v>1</v>
      </c>
      <c r="E2304" t="s">
        <v>83</v>
      </c>
      <c r="F2304" t="s">
        <v>84</v>
      </c>
      <c r="G2304" t="str">
        <f>"2025-03-11 04:23:33.916"</f>
        <v>2025-03-11 04:23:33.916</v>
      </c>
      <c r="H2304" t="s">
        <v>47</v>
      </c>
    </row>
    <row r="2305" spans="1:10" x14ac:dyDescent="0.25">
      <c r="A2305" s="1">
        <v>393</v>
      </c>
      <c r="B2305" t="s">
        <v>22</v>
      </c>
      <c r="C2305">
        <v>14</v>
      </c>
      <c r="D2305">
        <v>13</v>
      </c>
      <c r="E2305" t="s">
        <v>85</v>
      </c>
      <c r="F2305" t="s">
        <v>83</v>
      </c>
      <c r="G2305" t="str">
        <f>"2025-03-11 04:23:19.111"</f>
        <v>2025-03-11 04:23:19.111</v>
      </c>
      <c r="H2305" t="s">
        <v>30</v>
      </c>
    </row>
    <row r="2306" spans="1:10" x14ac:dyDescent="0.25">
      <c r="A2306" s="1">
        <v>394</v>
      </c>
      <c r="B2306" t="s">
        <v>22</v>
      </c>
      <c r="C2306">
        <v>14</v>
      </c>
      <c r="D2306">
        <v>10</v>
      </c>
      <c r="E2306" t="s">
        <v>85</v>
      </c>
      <c r="F2306" t="s">
        <v>86</v>
      </c>
      <c r="G2306" t="str">
        <f>"2025-03-11 04:23:19.109"</f>
        <v>2025-03-11 04:23:19.109</v>
      </c>
      <c r="H2306" t="s">
        <v>30</v>
      </c>
    </row>
    <row r="2307" spans="1:10" x14ac:dyDescent="0.25">
      <c r="A2307" s="1">
        <v>395</v>
      </c>
      <c r="B2307" t="s">
        <v>41</v>
      </c>
      <c r="C2307">
        <v>205</v>
      </c>
      <c r="D2307">
        <v>3</v>
      </c>
      <c r="E2307" t="s">
        <v>87</v>
      </c>
      <c r="F2307" t="s">
        <v>88</v>
      </c>
      <c r="G2307" t="str">
        <f>"2025-03-11 04:23:02.824"</f>
        <v>2025-03-11 04:23:02.824</v>
      </c>
      <c r="H2307" t="s">
        <v>50</v>
      </c>
    </row>
    <row r="2308" spans="1:10" x14ac:dyDescent="0.25">
      <c r="A2308" s="1">
        <v>396</v>
      </c>
      <c r="B2308" t="s">
        <v>41</v>
      </c>
      <c r="C2308">
        <v>105</v>
      </c>
      <c r="D2308">
        <v>3</v>
      </c>
      <c r="E2308" t="s">
        <v>89</v>
      </c>
      <c r="F2308" t="s">
        <v>88</v>
      </c>
      <c r="G2308" t="str">
        <f>"2025-03-11 04:23:02.724"</f>
        <v>2025-03-11 04:23:02.724</v>
      </c>
      <c r="H2308" t="s">
        <v>53</v>
      </c>
    </row>
    <row r="2309" spans="1:10" x14ac:dyDescent="0.25">
      <c r="A2309" s="1">
        <v>397</v>
      </c>
      <c r="B2309" t="s">
        <v>41</v>
      </c>
      <c r="C2309">
        <v>204</v>
      </c>
      <c r="D2309">
        <v>8</v>
      </c>
      <c r="E2309" t="s">
        <v>90</v>
      </c>
      <c r="F2309" t="s">
        <v>91</v>
      </c>
      <c r="G2309" t="str">
        <f>"2025-03-11 04:23:02.542"</f>
        <v>2025-03-11 04:23:02.542</v>
      </c>
      <c r="H2309" t="s">
        <v>50</v>
      </c>
    </row>
    <row r="2310" spans="1:10" x14ac:dyDescent="0.25">
      <c r="A2310" s="1">
        <v>398</v>
      </c>
      <c r="B2310" t="s">
        <v>41</v>
      </c>
      <c r="C2310">
        <v>204</v>
      </c>
      <c r="D2310">
        <v>6</v>
      </c>
      <c r="E2310" t="s">
        <v>90</v>
      </c>
      <c r="F2310" t="s">
        <v>92</v>
      </c>
      <c r="G2310" t="str">
        <f>"2025-03-11 04:23:02.540"</f>
        <v>2025-03-11 04:23:02.540</v>
      </c>
      <c r="H2310" t="s">
        <v>50</v>
      </c>
    </row>
    <row r="2311" spans="1:10" x14ac:dyDescent="0.25">
      <c r="A2311" s="1">
        <v>399</v>
      </c>
      <c r="B2311" t="s">
        <v>41</v>
      </c>
      <c r="C2311">
        <v>204</v>
      </c>
      <c r="D2311">
        <v>5</v>
      </c>
      <c r="E2311" t="s">
        <v>90</v>
      </c>
      <c r="F2311" t="s">
        <v>93</v>
      </c>
      <c r="G2311" t="str">
        <f>"2025-03-11 04:23:02.539"</f>
        <v>2025-03-11 04:23:02.539</v>
      </c>
      <c r="H2311" t="s">
        <v>50</v>
      </c>
    </row>
    <row r="2312" spans="1:10" x14ac:dyDescent="0.25">
      <c r="A2312" s="1">
        <v>400</v>
      </c>
      <c r="B2312" t="s">
        <v>41</v>
      </c>
      <c r="C2312">
        <v>204</v>
      </c>
      <c r="D2312">
        <v>1</v>
      </c>
      <c r="E2312" t="s">
        <v>90</v>
      </c>
      <c r="F2312" t="s">
        <v>94</v>
      </c>
      <c r="G2312" t="str">
        <f>"2025-03-11 04:23:02.537"</f>
        <v>2025-03-11 04:23:02.537</v>
      </c>
      <c r="H2312" t="s">
        <v>50</v>
      </c>
    </row>
    <row r="2313" spans="1:10" x14ac:dyDescent="0.25">
      <c r="A2313" s="1">
        <v>401</v>
      </c>
      <c r="B2313" t="s">
        <v>41</v>
      </c>
      <c r="C2313">
        <v>104</v>
      </c>
      <c r="D2313">
        <v>8</v>
      </c>
      <c r="E2313" t="s">
        <v>95</v>
      </c>
      <c r="F2313" t="s">
        <v>91</v>
      </c>
      <c r="G2313" t="str">
        <f>"2025-03-11 04:23:02.534"</f>
        <v>2025-03-11 04:23:02.534</v>
      </c>
      <c r="H2313" t="s">
        <v>53</v>
      </c>
    </row>
    <row r="2314" spans="1:10" x14ac:dyDescent="0.25">
      <c r="A2314" s="1">
        <v>402</v>
      </c>
      <c r="B2314" t="s">
        <v>41</v>
      </c>
      <c r="C2314">
        <v>104</v>
      </c>
      <c r="D2314">
        <v>6</v>
      </c>
      <c r="E2314" t="s">
        <v>95</v>
      </c>
      <c r="F2314" t="s">
        <v>92</v>
      </c>
      <c r="G2314" t="str">
        <f>"2025-03-11 04:23:02.531"</f>
        <v>2025-03-11 04:23:02.531</v>
      </c>
      <c r="H2314" t="s">
        <v>53</v>
      </c>
    </row>
    <row r="2315" spans="1:10" x14ac:dyDescent="0.25">
      <c r="A2315" s="1">
        <v>403</v>
      </c>
      <c r="B2315" t="s">
        <v>41</v>
      </c>
      <c r="C2315">
        <v>104</v>
      </c>
      <c r="D2315">
        <v>5</v>
      </c>
      <c r="E2315" t="s">
        <v>95</v>
      </c>
      <c r="F2315" t="s">
        <v>93</v>
      </c>
      <c r="G2315" t="str">
        <f>"2025-03-11 04:23:02.529"</f>
        <v>2025-03-11 04:23:02.529</v>
      </c>
      <c r="H2315" t="s">
        <v>53</v>
      </c>
    </row>
    <row r="2316" spans="1:10" x14ac:dyDescent="0.25">
      <c r="A2316" s="1">
        <v>404</v>
      </c>
      <c r="B2316" t="s">
        <v>41</v>
      </c>
      <c r="C2316">
        <v>104</v>
      </c>
      <c r="D2316">
        <v>1</v>
      </c>
      <c r="E2316" t="s">
        <v>95</v>
      </c>
      <c r="F2316" t="s">
        <v>94</v>
      </c>
      <c r="G2316" t="str">
        <f>"2025-03-11 04:23:02.524"</f>
        <v>2025-03-11 04:23:02.524</v>
      </c>
      <c r="H2316" t="s">
        <v>53</v>
      </c>
    </row>
    <row r="2317" spans="1:10" x14ac:dyDescent="0.25">
      <c r="A2317" s="1">
        <v>405</v>
      </c>
      <c r="B2317" t="s">
        <v>25</v>
      </c>
      <c r="C2317">
        <v>14</v>
      </c>
      <c r="D2317">
        <v>13</v>
      </c>
      <c r="E2317" t="s">
        <v>85</v>
      </c>
      <c r="F2317" t="s">
        <v>83</v>
      </c>
      <c r="G2317" t="str">
        <f>"2025-03-11 04:22:59.109"</f>
        <v>2025-03-11 04:22:59.109</v>
      </c>
      <c r="H2317" t="s">
        <v>30</v>
      </c>
      <c r="I2317">
        <v>29.95</v>
      </c>
      <c r="J2317" t="s">
        <v>26</v>
      </c>
    </row>
    <row r="2318" spans="1:10" x14ac:dyDescent="0.25">
      <c r="A2318" s="1">
        <v>406</v>
      </c>
      <c r="B2318" t="s">
        <v>34</v>
      </c>
      <c r="C2318">
        <v>2</v>
      </c>
      <c r="D2318">
        <v>1</v>
      </c>
      <c r="E2318" t="s">
        <v>83</v>
      </c>
      <c r="F2318" t="s">
        <v>84</v>
      </c>
      <c r="G2318" t="str">
        <f>"2025-03-11 04:22:59.056"</f>
        <v>2025-03-11 04:22:59.056</v>
      </c>
      <c r="H2318" t="s">
        <v>47</v>
      </c>
      <c r="I2318">
        <v>29.93</v>
      </c>
      <c r="J2318" t="s">
        <v>26</v>
      </c>
    </row>
    <row r="2319" spans="1:10" x14ac:dyDescent="0.25">
      <c r="A2319" s="1">
        <v>407</v>
      </c>
      <c r="B2319" t="s">
        <v>25</v>
      </c>
      <c r="C2319">
        <v>14</v>
      </c>
      <c r="D2319">
        <v>10</v>
      </c>
      <c r="E2319" t="s">
        <v>85</v>
      </c>
      <c r="F2319" t="s">
        <v>86</v>
      </c>
      <c r="G2319" t="str">
        <f>"2025-03-11 04:22:58.009"</f>
        <v>2025-03-11 04:22:58.009</v>
      </c>
      <c r="H2319" t="s">
        <v>30</v>
      </c>
      <c r="I2319">
        <v>30.18</v>
      </c>
      <c r="J2319" t="s">
        <v>37</v>
      </c>
    </row>
    <row r="2320" spans="1:10" x14ac:dyDescent="0.25">
      <c r="A2320" s="1">
        <v>408</v>
      </c>
      <c r="B2320" t="s">
        <v>34</v>
      </c>
      <c r="C2320">
        <v>205</v>
      </c>
      <c r="D2320">
        <v>3</v>
      </c>
      <c r="E2320" t="s">
        <v>87</v>
      </c>
      <c r="F2320" t="s">
        <v>88</v>
      </c>
      <c r="G2320" t="str">
        <f>"2025-03-11 04:22:57.672"</f>
        <v>2025-03-11 04:22:57.672</v>
      </c>
      <c r="H2320" t="s">
        <v>50</v>
      </c>
      <c r="I2320">
        <v>30.15</v>
      </c>
      <c r="J2320" t="s">
        <v>37</v>
      </c>
    </row>
    <row r="2321" spans="1:10" x14ac:dyDescent="0.25">
      <c r="A2321" s="1">
        <v>409</v>
      </c>
      <c r="B2321" t="s">
        <v>34</v>
      </c>
      <c r="C2321">
        <v>105</v>
      </c>
      <c r="D2321">
        <v>3</v>
      </c>
      <c r="E2321" t="s">
        <v>89</v>
      </c>
      <c r="F2321" t="s">
        <v>88</v>
      </c>
      <c r="G2321" t="str">
        <f>"2025-03-11 04:22:57.652"</f>
        <v>2025-03-11 04:22:57.652</v>
      </c>
      <c r="H2321" t="s">
        <v>53</v>
      </c>
      <c r="I2321">
        <v>30.15</v>
      </c>
      <c r="J2321" t="s">
        <v>37</v>
      </c>
    </row>
    <row r="2322" spans="1:10" x14ac:dyDescent="0.25">
      <c r="A2322" s="1">
        <v>410</v>
      </c>
      <c r="B2322" t="s">
        <v>34</v>
      </c>
      <c r="C2322">
        <v>204</v>
      </c>
      <c r="D2322">
        <v>8</v>
      </c>
      <c r="E2322" t="s">
        <v>90</v>
      </c>
      <c r="F2322" t="s">
        <v>91</v>
      </c>
      <c r="G2322" t="str">
        <f>"2025-03-11 04:22:57.481"</f>
        <v>2025-03-11 04:22:57.481</v>
      </c>
      <c r="H2322" t="s">
        <v>50</v>
      </c>
      <c r="I2322">
        <v>30.11</v>
      </c>
      <c r="J2322" t="s">
        <v>37</v>
      </c>
    </row>
    <row r="2323" spans="1:10" x14ac:dyDescent="0.25">
      <c r="A2323" s="1">
        <v>411</v>
      </c>
      <c r="B2323" t="s">
        <v>34</v>
      </c>
      <c r="C2323">
        <v>204</v>
      </c>
      <c r="D2323">
        <v>6</v>
      </c>
      <c r="E2323" t="s">
        <v>90</v>
      </c>
      <c r="F2323" t="s">
        <v>92</v>
      </c>
      <c r="G2323" t="str">
        <f>"2025-03-11 04:22:57.477"</f>
        <v>2025-03-11 04:22:57.477</v>
      </c>
      <c r="H2323" t="s">
        <v>50</v>
      </c>
      <c r="I2323">
        <v>30.11</v>
      </c>
      <c r="J2323" t="s">
        <v>37</v>
      </c>
    </row>
    <row r="2324" spans="1:10" x14ac:dyDescent="0.25">
      <c r="A2324" s="1">
        <v>412</v>
      </c>
      <c r="B2324" t="s">
        <v>34</v>
      </c>
      <c r="C2324">
        <v>204</v>
      </c>
      <c r="D2324">
        <v>5</v>
      </c>
      <c r="E2324" t="s">
        <v>90</v>
      </c>
      <c r="F2324" t="s">
        <v>93</v>
      </c>
      <c r="G2324" t="str">
        <f>"2025-03-11 04:22:57.472"</f>
        <v>2025-03-11 04:22:57.472</v>
      </c>
      <c r="H2324" t="s">
        <v>50</v>
      </c>
      <c r="I2324">
        <v>30.11</v>
      </c>
      <c r="J2324" t="s">
        <v>37</v>
      </c>
    </row>
    <row r="2325" spans="1:10" x14ac:dyDescent="0.25">
      <c r="A2325" s="1">
        <v>413</v>
      </c>
      <c r="B2325" t="s">
        <v>34</v>
      </c>
      <c r="C2325">
        <v>104</v>
      </c>
      <c r="D2325">
        <v>8</v>
      </c>
      <c r="E2325" t="s">
        <v>95</v>
      </c>
      <c r="F2325" t="s">
        <v>91</v>
      </c>
      <c r="G2325" t="str">
        <f>"2025-03-11 04:22:57.461"</f>
        <v>2025-03-11 04:22:57.461</v>
      </c>
      <c r="H2325" t="s">
        <v>53</v>
      </c>
      <c r="I2325">
        <v>30.11</v>
      </c>
      <c r="J2325" t="s">
        <v>37</v>
      </c>
    </row>
    <row r="2326" spans="1:10" x14ac:dyDescent="0.25">
      <c r="A2326" s="1">
        <v>414</v>
      </c>
      <c r="B2326" t="s">
        <v>34</v>
      </c>
      <c r="C2326">
        <v>104</v>
      </c>
      <c r="D2326">
        <v>6</v>
      </c>
      <c r="E2326" t="s">
        <v>95</v>
      </c>
      <c r="F2326" t="s">
        <v>92</v>
      </c>
      <c r="G2326" t="str">
        <f>"2025-03-11 04:22:57.457"</f>
        <v>2025-03-11 04:22:57.457</v>
      </c>
      <c r="H2326" t="s">
        <v>53</v>
      </c>
      <c r="I2326">
        <v>30.11</v>
      </c>
      <c r="J2326" t="s">
        <v>37</v>
      </c>
    </row>
    <row r="2327" spans="1:10" x14ac:dyDescent="0.25">
      <c r="A2327" s="1">
        <v>415</v>
      </c>
      <c r="B2327" t="s">
        <v>34</v>
      </c>
      <c r="C2327">
        <v>104</v>
      </c>
      <c r="D2327">
        <v>5</v>
      </c>
      <c r="E2327" t="s">
        <v>95</v>
      </c>
      <c r="F2327" t="s">
        <v>93</v>
      </c>
      <c r="G2327" t="str">
        <f>"2025-03-11 04:22:57.452"</f>
        <v>2025-03-11 04:22:57.452</v>
      </c>
      <c r="H2327" t="s">
        <v>53</v>
      </c>
      <c r="I2327">
        <v>30.11</v>
      </c>
      <c r="J2327" t="s">
        <v>37</v>
      </c>
    </row>
    <row r="2328" spans="1:10" x14ac:dyDescent="0.25">
      <c r="A2328" s="1">
        <v>416</v>
      </c>
      <c r="B2328" t="s">
        <v>34</v>
      </c>
      <c r="C2328">
        <v>23</v>
      </c>
      <c r="D2328">
        <v>1</v>
      </c>
      <c r="E2328" t="s">
        <v>81</v>
      </c>
      <c r="F2328" t="s">
        <v>82</v>
      </c>
      <c r="G2328" t="str">
        <f>"2025-03-11 04:22:57.189"</f>
        <v>2025-03-11 04:22:57.189</v>
      </c>
      <c r="H2328" t="s">
        <v>47</v>
      </c>
      <c r="I2328">
        <v>30.02</v>
      </c>
      <c r="J2328" t="s">
        <v>37</v>
      </c>
    </row>
    <row r="2329" spans="1:10" x14ac:dyDescent="0.25">
      <c r="A2329" s="1">
        <v>417</v>
      </c>
      <c r="B2329" t="s">
        <v>34</v>
      </c>
      <c r="C2329">
        <v>104</v>
      </c>
      <c r="D2329">
        <v>1</v>
      </c>
      <c r="E2329" t="s">
        <v>95</v>
      </c>
      <c r="F2329" t="s">
        <v>94</v>
      </c>
      <c r="G2329" t="str">
        <f>"2025-03-11 04:22:57.152"</f>
        <v>2025-03-11 04:22:57.152</v>
      </c>
      <c r="H2329" t="s">
        <v>53</v>
      </c>
      <c r="I2329">
        <v>30</v>
      </c>
      <c r="J2329" t="s">
        <v>37</v>
      </c>
    </row>
    <row r="2330" spans="1:10" x14ac:dyDescent="0.25">
      <c r="A2330" s="1">
        <v>418</v>
      </c>
      <c r="B2330" t="s">
        <v>34</v>
      </c>
      <c r="C2330">
        <v>204</v>
      </c>
      <c r="D2330">
        <v>1</v>
      </c>
      <c r="E2330" t="s">
        <v>90</v>
      </c>
      <c r="F2330" t="s">
        <v>94</v>
      </c>
      <c r="G2330" t="str">
        <f>"2025-03-11 04:22:57.132"</f>
        <v>2025-03-11 04:22:57.132</v>
      </c>
      <c r="H2330" t="s">
        <v>50</v>
      </c>
      <c r="I2330">
        <v>29.99</v>
      </c>
      <c r="J2330" t="s">
        <v>37</v>
      </c>
    </row>
    <row r="2331" spans="1:10" x14ac:dyDescent="0.25">
      <c r="A2331" s="1">
        <v>419</v>
      </c>
      <c r="B2331" t="s">
        <v>19</v>
      </c>
      <c r="C2331">
        <v>706</v>
      </c>
      <c r="D2331">
        <v>4</v>
      </c>
      <c r="E2331" t="s">
        <v>31</v>
      </c>
      <c r="F2331" t="s">
        <v>32</v>
      </c>
      <c r="G2331" t="str">
        <f>"2025-03-11 04:22:57.028"</f>
        <v>2025-03-11 04:22:57.028</v>
      </c>
      <c r="H2331" t="s">
        <v>21</v>
      </c>
      <c r="I2331">
        <v>29.92</v>
      </c>
      <c r="J2331" t="s">
        <v>37</v>
      </c>
    </row>
    <row r="2332" spans="1:10" x14ac:dyDescent="0.25">
      <c r="A2332" s="1">
        <v>421</v>
      </c>
      <c r="B2332" t="s">
        <v>22</v>
      </c>
      <c r="C2332">
        <v>6</v>
      </c>
      <c r="D2332">
        <v>1</v>
      </c>
      <c r="E2332" t="s">
        <v>45</v>
      </c>
      <c r="F2332" t="s">
        <v>46</v>
      </c>
      <c r="G2332" t="str">
        <f>"2025-03-10 20:22:53.938"</f>
        <v>2025-03-10 20:22:53.938</v>
      </c>
      <c r="H2332" t="s">
        <v>47</v>
      </c>
    </row>
    <row r="2333" spans="1:10" x14ac:dyDescent="0.25">
      <c r="A2333" s="1">
        <v>422</v>
      </c>
      <c r="B2333" t="s">
        <v>22</v>
      </c>
      <c r="C2333">
        <v>75</v>
      </c>
      <c r="D2333">
        <v>1</v>
      </c>
      <c r="E2333" t="s">
        <v>48</v>
      </c>
      <c r="F2333" t="s">
        <v>49</v>
      </c>
      <c r="G2333" t="str">
        <f>"2025-03-10 20:22:53.937"</f>
        <v>2025-03-10 20:22:53.937</v>
      </c>
      <c r="H2333" t="s">
        <v>50</v>
      </c>
    </row>
    <row r="2334" spans="1:10" x14ac:dyDescent="0.25">
      <c r="A2334" s="1">
        <v>423</v>
      </c>
      <c r="B2334" t="s">
        <v>22</v>
      </c>
      <c r="C2334">
        <v>74</v>
      </c>
      <c r="D2334">
        <v>1</v>
      </c>
      <c r="E2334" t="s">
        <v>51</v>
      </c>
      <c r="F2334" t="s">
        <v>52</v>
      </c>
      <c r="G2334" t="str">
        <f>"2025-03-10 20:22:53.936"</f>
        <v>2025-03-10 20:22:53.936</v>
      </c>
      <c r="H2334" t="s">
        <v>53</v>
      </c>
    </row>
    <row r="2335" spans="1:10" x14ac:dyDescent="0.25">
      <c r="A2335" s="1">
        <v>424</v>
      </c>
      <c r="B2335" t="s">
        <v>25</v>
      </c>
      <c r="C2335">
        <v>75</v>
      </c>
      <c r="D2335">
        <v>1</v>
      </c>
      <c r="E2335" t="s">
        <v>48</v>
      </c>
      <c r="F2335" t="s">
        <v>49</v>
      </c>
      <c r="G2335" t="str">
        <f>"2025-03-10 20:22:42.400"</f>
        <v>2025-03-10 20:22:42.400</v>
      </c>
      <c r="H2335" t="s">
        <v>50</v>
      </c>
      <c r="I2335">
        <v>0</v>
      </c>
      <c r="J2335" t="s">
        <v>33</v>
      </c>
    </row>
    <row r="2336" spans="1:10" x14ac:dyDescent="0.25">
      <c r="A2336" s="1">
        <v>425</v>
      </c>
      <c r="B2336" t="s">
        <v>25</v>
      </c>
      <c r="C2336">
        <v>74</v>
      </c>
      <c r="D2336">
        <v>1</v>
      </c>
      <c r="E2336" t="s">
        <v>51</v>
      </c>
      <c r="F2336" t="s">
        <v>52</v>
      </c>
      <c r="G2336" t="str">
        <f>"2025-03-10 20:22:42.396"</f>
        <v>2025-03-10 20:22:42.396</v>
      </c>
      <c r="H2336" t="s">
        <v>53</v>
      </c>
      <c r="I2336">
        <v>0</v>
      </c>
      <c r="J2336" t="s">
        <v>33</v>
      </c>
    </row>
    <row r="2337" spans="1:10" x14ac:dyDescent="0.25">
      <c r="A2337" s="1">
        <v>426</v>
      </c>
      <c r="B2337" t="s">
        <v>34</v>
      </c>
      <c r="C2337">
        <v>6</v>
      </c>
      <c r="D2337">
        <v>1</v>
      </c>
      <c r="E2337" t="s">
        <v>45</v>
      </c>
      <c r="F2337" t="s">
        <v>46</v>
      </c>
      <c r="G2337" t="str">
        <f>"2025-03-10 20:22:42.389"</f>
        <v>2025-03-10 20:22:42.389</v>
      </c>
      <c r="H2337" t="s">
        <v>47</v>
      </c>
      <c r="I2337">
        <v>0</v>
      </c>
      <c r="J2337" t="s">
        <v>33</v>
      </c>
    </row>
    <row r="2338" spans="1:10" x14ac:dyDescent="0.25">
      <c r="A2338" s="1">
        <v>431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"2025-03-10 12:46:01.408"</f>
        <v>2025-03-10 12:46:01.408</v>
      </c>
      <c r="H2338" t="s">
        <v>21</v>
      </c>
      <c r="I2338">
        <v>0</v>
      </c>
      <c r="J2338" t="s">
        <v>27</v>
      </c>
    </row>
    <row r="2339" spans="1:10" x14ac:dyDescent="0.25">
      <c r="A2339" s="1">
        <v>432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"2025-03-10 05:12:01.376"</f>
        <v>2025-03-10 05:12:01.376</v>
      </c>
      <c r="H2339" t="s">
        <v>21</v>
      </c>
    </row>
    <row r="2340" spans="1:10" x14ac:dyDescent="0.25">
      <c r="A2340" s="1">
        <v>433</v>
      </c>
      <c r="B2340" t="s">
        <v>22</v>
      </c>
      <c r="C2340">
        <v>630</v>
      </c>
      <c r="D2340">
        <v>5</v>
      </c>
      <c r="E2340" t="s">
        <v>28</v>
      </c>
      <c r="F2340" t="s">
        <v>29</v>
      </c>
      <c r="G2340" t="str">
        <f>"2025-03-10 04:50:10.429"</f>
        <v>2025-03-10 04:50:10.429</v>
      </c>
      <c r="H2340" t="s">
        <v>30</v>
      </c>
    </row>
    <row r="2341" spans="1:10" x14ac:dyDescent="0.25">
      <c r="A2341" s="1">
        <v>434</v>
      </c>
      <c r="B2341" t="s">
        <v>19</v>
      </c>
      <c r="C2341">
        <v>706</v>
      </c>
      <c r="D2341">
        <v>2</v>
      </c>
      <c r="E2341" t="s">
        <v>31</v>
      </c>
      <c r="F2341" t="s">
        <v>35</v>
      </c>
      <c r="G2341" t="str">
        <f>"2025-03-10 04:49:40.240"</f>
        <v>2025-03-10 04:49:40.240</v>
      </c>
      <c r="H2341" t="s">
        <v>21</v>
      </c>
      <c r="I2341">
        <v>0</v>
      </c>
      <c r="J2341" t="s">
        <v>33</v>
      </c>
    </row>
    <row r="2342" spans="1:10" x14ac:dyDescent="0.25">
      <c r="A2342" s="1">
        <v>435</v>
      </c>
      <c r="B2342" t="s">
        <v>34</v>
      </c>
      <c r="C2342">
        <v>630</v>
      </c>
      <c r="D2342">
        <v>5</v>
      </c>
      <c r="E2342" t="s">
        <v>28</v>
      </c>
      <c r="F2342" t="s">
        <v>29</v>
      </c>
      <c r="G2342" t="str">
        <f>"2025-03-10 04:24:45.130"</f>
        <v>2025-03-10 04:24:45.130</v>
      </c>
      <c r="H2342" t="s">
        <v>30</v>
      </c>
      <c r="I2342">
        <v>0</v>
      </c>
      <c r="J2342" t="s">
        <v>33</v>
      </c>
    </row>
    <row r="2343" spans="1:10" x14ac:dyDescent="0.25">
      <c r="A2343" s="1">
        <v>436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"2025-03-10 04:19:42.470"</f>
        <v>2025-03-10 04:19:42.470</v>
      </c>
      <c r="H2343" t="s">
        <v>21</v>
      </c>
    </row>
    <row r="2344" spans="1:10" x14ac:dyDescent="0.25">
      <c r="A2344" s="1">
        <v>437</v>
      </c>
      <c r="B2344" t="s">
        <v>34</v>
      </c>
      <c r="C2344">
        <v>630</v>
      </c>
      <c r="D2344">
        <v>5</v>
      </c>
      <c r="E2344" t="s">
        <v>28</v>
      </c>
      <c r="F2344" t="s">
        <v>29</v>
      </c>
      <c r="G2344" t="str">
        <f>"2025-03-10 03:50:15.177"</f>
        <v>2025-03-10 03:50:15.177</v>
      </c>
      <c r="H2344" t="s">
        <v>30</v>
      </c>
      <c r="I2344">
        <v>0</v>
      </c>
      <c r="J2344" t="s">
        <v>33</v>
      </c>
    </row>
    <row r="2345" spans="1:10" x14ac:dyDescent="0.25">
      <c r="A2345" s="1">
        <v>438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"2025-03-10 03:45:12.376"</f>
        <v>2025-03-10 03:45:12.376</v>
      </c>
      <c r="H2345" t="s">
        <v>21</v>
      </c>
      <c r="I2345">
        <v>0</v>
      </c>
      <c r="J2345" t="s">
        <v>27</v>
      </c>
    </row>
    <row r="2346" spans="1:10" x14ac:dyDescent="0.25">
      <c r="A2346" s="1">
        <v>439</v>
      </c>
      <c r="B2346" t="s">
        <v>34</v>
      </c>
      <c r="C2346">
        <v>630</v>
      </c>
      <c r="D2346">
        <v>5</v>
      </c>
      <c r="E2346" t="s">
        <v>28</v>
      </c>
      <c r="F2346" t="s">
        <v>29</v>
      </c>
      <c r="G2346" t="str">
        <f>"2025-03-10 02:13:58.504"</f>
        <v>2025-03-10 02:13:58.504</v>
      </c>
      <c r="H2346" t="s">
        <v>30</v>
      </c>
      <c r="I2346">
        <v>0</v>
      </c>
      <c r="J2346" t="s">
        <v>33</v>
      </c>
    </row>
    <row r="2347" spans="1:10" x14ac:dyDescent="0.25">
      <c r="A2347" s="1">
        <v>440</v>
      </c>
      <c r="B2347" t="s">
        <v>19</v>
      </c>
      <c r="C2347">
        <v>700</v>
      </c>
      <c r="D2347">
        <v>0</v>
      </c>
      <c r="E2347" t="s">
        <v>20</v>
      </c>
      <c r="F2347" t="s">
        <v>20</v>
      </c>
      <c r="G2347" t="str">
        <f>"2025-03-10 02:08:55.672"</f>
        <v>2025-03-10 02:08:55.672</v>
      </c>
      <c r="H2347" t="s">
        <v>21</v>
      </c>
    </row>
    <row r="2348" spans="1:10" x14ac:dyDescent="0.25">
      <c r="A2348" s="1">
        <v>441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"2025-03-09 13:27:30.574"</f>
        <v>2025-03-09 13:27:30.574</v>
      </c>
      <c r="H2348" t="s">
        <v>21</v>
      </c>
    </row>
    <row r="2349" spans="1:10" x14ac:dyDescent="0.25">
      <c r="A2349" s="1">
        <v>442</v>
      </c>
      <c r="B2349" t="s">
        <v>22</v>
      </c>
      <c r="C2349">
        <v>619</v>
      </c>
      <c r="D2349">
        <v>1</v>
      </c>
      <c r="E2349" t="s">
        <v>54</v>
      </c>
      <c r="F2349" t="s">
        <v>24</v>
      </c>
      <c r="G2349" t="str">
        <f>"2025-03-07 13:48:19.418"</f>
        <v>2025-03-07 13:48:19.418</v>
      </c>
      <c r="H2349" t="s">
        <v>55</v>
      </c>
    </row>
    <row r="2350" spans="1:10" x14ac:dyDescent="0.25">
      <c r="A2350" s="1">
        <v>443</v>
      </c>
      <c r="B2350" t="s">
        <v>25</v>
      </c>
      <c r="C2350">
        <v>619</v>
      </c>
      <c r="D2350">
        <v>1</v>
      </c>
      <c r="E2350" t="s">
        <v>54</v>
      </c>
      <c r="F2350" t="s">
        <v>24</v>
      </c>
      <c r="G2350" t="str">
        <f>"2025-03-07 13:47:47.771"</f>
        <v>2025-03-07 13:47:47.771</v>
      </c>
      <c r="H2350" t="s">
        <v>55</v>
      </c>
      <c r="I2350">
        <v>0</v>
      </c>
      <c r="J2350" t="s">
        <v>33</v>
      </c>
    </row>
    <row r="2351" spans="1:10" x14ac:dyDescent="0.25">
      <c r="A2351" s="1">
        <v>444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"2025-03-07 13:47:17.360"</f>
        <v>2025-03-07 13:47:17.360</v>
      </c>
      <c r="H2351" t="s">
        <v>21</v>
      </c>
    </row>
    <row r="2352" spans="1:10" x14ac:dyDescent="0.25">
      <c r="A2352" s="1">
        <v>445</v>
      </c>
      <c r="B2352" t="s">
        <v>41</v>
      </c>
      <c r="C2352">
        <v>128</v>
      </c>
      <c r="D2352">
        <v>7</v>
      </c>
      <c r="E2352" t="s">
        <v>96</v>
      </c>
      <c r="F2352" t="s">
        <v>97</v>
      </c>
      <c r="G2352" t="str">
        <f>"2025-03-07 00:17:23.510"</f>
        <v>2025-03-07 00:17:23.510</v>
      </c>
      <c r="H2352" t="s">
        <v>53</v>
      </c>
    </row>
    <row r="2353" spans="1:10" x14ac:dyDescent="0.25">
      <c r="A2353" s="1">
        <v>446</v>
      </c>
      <c r="B2353" t="s">
        <v>34</v>
      </c>
      <c r="C2353">
        <v>128</v>
      </c>
      <c r="D2353">
        <v>7</v>
      </c>
      <c r="E2353" t="s">
        <v>96</v>
      </c>
      <c r="F2353" t="s">
        <v>97</v>
      </c>
      <c r="G2353" t="str">
        <f>"2025-03-07 00:17:18.440"</f>
        <v>2025-03-07 00:17:18.440</v>
      </c>
      <c r="H2353" t="s">
        <v>53</v>
      </c>
      <c r="I2353">
        <v>0</v>
      </c>
      <c r="J2353" t="s">
        <v>26</v>
      </c>
    </row>
    <row r="2354" spans="1:10" x14ac:dyDescent="0.25">
      <c r="A2354" s="1">
        <v>447</v>
      </c>
      <c r="B2354" t="s">
        <v>41</v>
      </c>
      <c r="C2354">
        <v>128</v>
      </c>
      <c r="D2354">
        <v>4</v>
      </c>
      <c r="E2354" t="s">
        <v>96</v>
      </c>
      <c r="F2354" t="s">
        <v>98</v>
      </c>
      <c r="G2354" t="str">
        <f>"2025-03-06 02:59:01.609"</f>
        <v>2025-03-06 02:59:01.609</v>
      </c>
      <c r="H2354" t="s">
        <v>53</v>
      </c>
    </row>
    <row r="2355" spans="1:10" x14ac:dyDescent="0.25">
      <c r="A2355" s="1">
        <v>448</v>
      </c>
      <c r="B2355" t="s">
        <v>34</v>
      </c>
      <c r="C2355">
        <v>128</v>
      </c>
      <c r="D2355">
        <v>4</v>
      </c>
      <c r="E2355" t="s">
        <v>96</v>
      </c>
      <c r="F2355" t="s">
        <v>98</v>
      </c>
      <c r="G2355" t="str">
        <f>"2025-03-06 02:58:56.559"</f>
        <v>2025-03-06 02:58:56.559</v>
      </c>
      <c r="H2355" t="s">
        <v>53</v>
      </c>
      <c r="I2355">
        <v>15.54</v>
      </c>
      <c r="J2355" t="s">
        <v>36</v>
      </c>
    </row>
    <row r="2356" spans="1:10" s="3" customFormat="1" x14ac:dyDescent="0.25">
      <c r="A2356" s="2">
        <v>449</v>
      </c>
      <c r="B2356" s="3" t="s">
        <v>22</v>
      </c>
      <c r="C2356" s="3">
        <v>647</v>
      </c>
      <c r="D2356" s="3">
        <v>1</v>
      </c>
      <c r="E2356" s="3" t="s">
        <v>39</v>
      </c>
      <c r="F2356" s="3" t="s">
        <v>40</v>
      </c>
      <c r="G2356" s="3" t="str">
        <f>"2025-03-06 00:44:28.154"</f>
        <v>2025-03-06 00:44:28.154</v>
      </c>
      <c r="H2356" s="3" t="s">
        <v>21</v>
      </c>
    </row>
    <row r="2357" spans="1:10" s="3" customFormat="1" x14ac:dyDescent="0.25">
      <c r="A2357" s="2">
        <v>450</v>
      </c>
      <c r="B2357" s="3" t="s">
        <v>25</v>
      </c>
      <c r="C2357" s="3">
        <v>647</v>
      </c>
      <c r="D2357" s="3">
        <v>1</v>
      </c>
      <c r="E2357" s="3" t="s">
        <v>39</v>
      </c>
      <c r="F2357" s="3" t="s">
        <v>40</v>
      </c>
      <c r="G2357" s="3" t="str">
        <f>"2025-03-06 00:44:27.054"</f>
        <v>2025-03-06 00:44:27.054</v>
      </c>
      <c r="H2357" s="3" t="s">
        <v>21</v>
      </c>
      <c r="I2357" s="3">
        <v>13.45</v>
      </c>
      <c r="J2357" s="3" t="s">
        <v>37</v>
      </c>
    </row>
    <row r="2358" spans="1:10" x14ac:dyDescent="0.25">
      <c r="A2358" s="1">
        <v>451</v>
      </c>
      <c r="B2358" t="s">
        <v>41</v>
      </c>
      <c r="C2358">
        <v>128</v>
      </c>
      <c r="D2358">
        <v>4</v>
      </c>
      <c r="E2358" t="s">
        <v>96</v>
      </c>
      <c r="F2358" t="s">
        <v>98</v>
      </c>
      <c r="G2358" t="str">
        <f>"2025-03-05 03:38:16.410"</f>
        <v>2025-03-05 03:38:16.410</v>
      </c>
      <c r="H2358" t="s">
        <v>53</v>
      </c>
    </row>
    <row r="2359" spans="1:10" x14ac:dyDescent="0.25">
      <c r="A2359" s="1">
        <v>452</v>
      </c>
      <c r="B2359" t="s">
        <v>34</v>
      </c>
      <c r="C2359">
        <v>128</v>
      </c>
      <c r="D2359">
        <v>4</v>
      </c>
      <c r="E2359" t="s">
        <v>96</v>
      </c>
      <c r="F2359" t="s">
        <v>98</v>
      </c>
      <c r="G2359" t="str">
        <f>"2025-03-05 03:38:11.380"</f>
        <v>2025-03-05 03:38:11.380</v>
      </c>
      <c r="H2359" t="s">
        <v>53</v>
      </c>
      <c r="I2359">
        <v>0</v>
      </c>
      <c r="J2359" t="s">
        <v>26</v>
      </c>
    </row>
    <row r="2360" spans="1:10" x14ac:dyDescent="0.25">
      <c r="A2360" s="1">
        <v>454</v>
      </c>
      <c r="B2360" t="s">
        <v>22</v>
      </c>
      <c r="C2360">
        <v>619</v>
      </c>
      <c r="D2360">
        <v>1</v>
      </c>
      <c r="E2360" t="s">
        <v>54</v>
      </c>
      <c r="F2360" t="s">
        <v>24</v>
      </c>
      <c r="G2360" t="str">
        <f>"2025-03-04 15:53:47.606"</f>
        <v>2025-03-04 15:53:47.606</v>
      </c>
      <c r="H2360" t="s">
        <v>55</v>
      </c>
    </row>
    <row r="2361" spans="1:10" x14ac:dyDescent="0.25">
      <c r="A2361" s="1">
        <v>455</v>
      </c>
      <c r="B2361" t="s">
        <v>22</v>
      </c>
      <c r="C2361">
        <v>630</v>
      </c>
      <c r="D2361">
        <v>5</v>
      </c>
      <c r="E2361" t="s">
        <v>28</v>
      </c>
      <c r="F2361" t="s">
        <v>29</v>
      </c>
      <c r="G2361" t="str">
        <f>"2025-03-04 15:53:10.754"</f>
        <v>2025-03-04 15:53:10.754</v>
      </c>
      <c r="H2361" t="s">
        <v>30</v>
      </c>
    </row>
    <row r="2362" spans="1:10" x14ac:dyDescent="0.25">
      <c r="A2362" s="1">
        <v>456</v>
      </c>
      <c r="B2362" t="s">
        <v>25</v>
      </c>
      <c r="C2362">
        <v>619</v>
      </c>
      <c r="D2362">
        <v>1</v>
      </c>
      <c r="E2362" t="s">
        <v>54</v>
      </c>
      <c r="F2362" t="s">
        <v>24</v>
      </c>
      <c r="G2362" t="str">
        <f>"2025-03-04 15:52:47.306"</f>
        <v>2025-03-04 15:52:47.306</v>
      </c>
      <c r="H2362" t="s">
        <v>55</v>
      </c>
      <c r="I2362">
        <v>0</v>
      </c>
      <c r="J2362" t="s">
        <v>33</v>
      </c>
    </row>
    <row r="2363" spans="1:10" x14ac:dyDescent="0.25">
      <c r="A2363" s="1">
        <v>457</v>
      </c>
      <c r="B2363" t="s">
        <v>19</v>
      </c>
      <c r="C2363">
        <v>706</v>
      </c>
      <c r="D2363">
        <v>2</v>
      </c>
      <c r="E2363" t="s">
        <v>31</v>
      </c>
      <c r="F2363" t="s">
        <v>35</v>
      </c>
      <c r="G2363" t="str">
        <f>"2025-03-04 15:52:40.592"</f>
        <v>2025-03-04 15:52:40.592</v>
      </c>
      <c r="H2363" t="s">
        <v>21</v>
      </c>
      <c r="I2363">
        <v>0</v>
      </c>
      <c r="J2363" t="s">
        <v>33</v>
      </c>
    </row>
    <row r="2364" spans="1:10" x14ac:dyDescent="0.25">
      <c r="A2364" s="1">
        <v>458</v>
      </c>
      <c r="B2364" t="s">
        <v>34</v>
      </c>
      <c r="C2364">
        <v>630</v>
      </c>
      <c r="D2364">
        <v>5</v>
      </c>
      <c r="E2364" t="s">
        <v>28</v>
      </c>
      <c r="F2364" t="s">
        <v>29</v>
      </c>
      <c r="G2364" t="str">
        <f>"2025-03-04 15:02:13.955"</f>
        <v>2025-03-04 15:02:13.955</v>
      </c>
      <c r="H2364" t="s">
        <v>30</v>
      </c>
      <c r="I2364">
        <v>0</v>
      </c>
      <c r="J2364" t="s">
        <v>33</v>
      </c>
    </row>
    <row r="2365" spans="1:10" x14ac:dyDescent="0.25">
      <c r="A2365" s="1">
        <v>459</v>
      </c>
      <c r="B2365" t="s">
        <v>19</v>
      </c>
      <c r="C2365">
        <v>706</v>
      </c>
      <c r="D2365">
        <v>3</v>
      </c>
      <c r="E2365" t="s">
        <v>31</v>
      </c>
      <c r="F2365" t="s">
        <v>66</v>
      </c>
      <c r="G2365" t="str">
        <f>"2025-03-04 14:57:11.142"</f>
        <v>2025-03-04 14:57:11.142</v>
      </c>
      <c r="H2365" t="s">
        <v>21</v>
      </c>
      <c r="I2365">
        <v>0</v>
      </c>
      <c r="J2365" t="s">
        <v>33</v>
      </c>
    </row>
    <row r="2366" spans="1:10" x14ac:dyDescent="0.25">
      <c r="A2366" s="1">
        <v>460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"2025-03-04 12:38:59.392"</f>
        <v>2025-03-04 12:38:59.392</v>
      </c>
      <c r="H2366" t="s">
        <v>21</v>
      </c>
    </row>
    <row r="2367" spans="1:10" x14ac:dyDescent="0.25">
      <c r="A2367" s="1">
        <v>461</v>
      </c>
      <c r="B2367" t="s">
        <v>41</v>
      </c>
      <c r="C2367">
        <v>128</v>
      </c>
      <c r="D2367">
        <v>4</v>
      </c>
      <c r="E2367" t="s">
        <v>96</v>
      </c>
      <c r="F2367" t="s">
        <v>98</v>
      </c>
      <c r="G2367" t="str">
        <f>"2025-03-04 10:45:32.240"</f>
        <v>2025-03-04 10:45:32.240</v>
      </c>
      <c r="H2367" t="s">
        <v>53</v>
      </c>
    </row>
    <row r="2368" spans="1:10" x14ac:dyDescent="0.25">
      <c r="A2368" s="1">
        <v>462</v>
      </c>
      <c r="B2368" t="s">
        <v>34</v>
      </c>
      <c r="C2368">
        <v>128</v>
      </c>
      <c r="D2368">
        <v>4</v>
      </c>
      <c r="E2368" t="s">
        <v>96</v>
      </c>
      <c r="F2368" t="s">
        <v>98</v>
      </c>
      <c r="G2368" t="str">
        <f>"2025-03-04 10:45:27.165"</f>
        <v>2025-03-04 10:45:27.165</v>
      </c>
      <c r="H2368" t="s">
        <v>53</v>
      </c>
      <c r="I2368">
        <v>24.51</v>
      </c>
      <c r="J2368" t="s">
        <v>37</v>
      </c>
    </row>
    <row r="2369" spans="1:10" x14ac:dyDescent="0.25">
      <c r="A2369" s="1">
        <v>463</v>
      </c>
      <c r="B2369" t="s">
        <v>22</v>
      </c>
      <c r="C2369">
        <v>635</v>
      </c>
      <c r="D2369">
        <v>1</v>
      </c>
      <c r="E2369" t="s">
        <v>23</v>
      </c>
      <c r="F2369" t="s">
        <v>24</v>
      </c>
      <c r="G2369" t="str">
        <f>"2025-03-03 20:05:30.259"</f>
        <v>2025-03-03 20:05:30.259</v>
      </c>
      <c r="H2369" t="s">
        <v>21</v>
      </c>
    </row>
    <row r="2370" spans="1:10" x14ac:dyDescent="0.25">
      <c r="A2370" s="1">
        <v>464</v>
      </c>
      <c r="B2370" t="s">
        <v>25</v>
      </c>
      <c r="C2370">
        <v>635</v>
      </c>
      <c r="D2370">
        <v>1</v>
      </c>
      <c r="E2370" t="s">
        <v>23</v>
      </c>
      <c r="F2370" t="s">
        <v>24</v>
      </c>
      <c r="G2370" t="str">
        <f>"2025-03-03 19:59:33.859"</f>
        <v>2025-03-03 19:59:33.859</v>
      </c>
      <c r="H2370" t="s">
        <v>21</v>
      </c>
      <c r="I2370">
        <v>0</v>
      </c>
      <c r="J2370" t="s">
        <v>26</v>
      </c>
    </row>
    <row r="2371" spans="1:10" x14ac:dyDescent="0.25">
      <c r="A2371" s="1">
        <v>465</v>
      </c>
      <c r="B2371" t="s">
        <v>22</v>
      </c>
      <c r="C2371">
        <v>630</v>
      </c>
      <c r="D2371">
        <v>5</v>
      </c>
      <c r="E2371" t="s">
        <v>28</v>
      </c>
      <c r="F2371" t="s">
        <v>29</v>
      </c>
      <c r="G2371" t="str">
        <f>"2025-03-03 14:57:09.859"</f>
        <v>2025-03-03 14:57:09.859</v>
      </c>
      <c r="H2371" t="s">
        <v>30</v>
      </c>
    </row>
    <row r="2372" spans="1:10" x14ac:dyDescent="0.25">
      <c r="A2372" s="1">
        <v>466</v>
      </c>
      <c r="B2372" t="s">
        <v>19</v>
      </c>
      <c r="C2372">
        <v>706</v>
      </c>
      <c r="D2372">
        <v>2</v>
      </c>
      <c r="E2372" t="s">
        <v>31</v>
      </c>
      <c r="F2372" t="s">
        <v>35</v>
      </c>
      <c r="G2372" t="str">
        <f>"2025-03-03 14:56:39.741"</f>
        <v>2025-03-03 14:56:39.741</v>
      </c>
      <c r="H2372" t="s">
        <v>21</v>
      </c>
      <c r="I2372">
        <v>0</v>
      </c>
      <c r="J2372" t="s">
        <v>33</v>
      </c>
    </row>
    <row r="2373" spans="1:10" x14ac:dyDescent="0.25">
      <c r="A2373" s="1">
        <v>467</v>
      </c>
      <c r="B2373" t="s">
        <v>34</v>
      </c>
      <c r="C2373">
        <v>630</v>
      </c>
      <c r="D2373">
        <v>5</v>
      </c>
      <c r="E2373" t="s">
        <v>28</v>
      </c>
      <c r="F2373" t="s">
        <v>29</v>
      </c>
      <c r="G2373" t="str">
        <f>"2025-03-03 14:54:33.960"</f>
        <v>2025-03-03 14:54:33.960</v>
      </c>
      <c r="H2373" t="s">
        <v>30</v>
      </c>
      <c r="I2373">
        <v>0</v>
      </c>
      <c r="J2373" t="s">
        <v>33</v>
      </c>
    </row>
    <row r="2374" spans="1:10" x14ac:dyDescent="0.25">
      <c r="A2374" s="1">
        <v>468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"2025-03-03 13:17:41.391"</f>
        <v>2025-03-03 13:17:41.391</v>
      </c>
      <c r="H2374" t="s">
        <v>21</v>
      </c>
      <c r="I2374">
        <v>0</v>
      </c>
      <c r="J2374" t="s">
        <v>27</v>
      </c>
    </row>
    <row r="2375" spans="1:10" x14ac:dyDescent="0.25">
      <c r="A2375" s="1">
        <v>469</v>
      </c>
      <c r="B2375" t="s">
        <v>41</v>
      </c>
      <c r="C2375">
        <v>128</v>
      </c>
      <c r="D2375">
        <v>4</v>
      </c>
      <c r="E2375" t="s">
        <v>96</v>
      </c>
      <c r="F2375" t="s">
        <v>98</v>
      </c>
      <c r="G2375" t="str">
        <f>"2025-03-03 11:44:43.518"</f>
        <v>2025-03-03 11:44:43.518</v>
      </c>
      <c r="H2375" t="s">
        <v>53</v>
      </c>
    </row>
    <row r="2376" spans="1:10" x14ac:dyDescent="0.25">
      <c r="A2376" s="1">
        <v>470</v>
      </c>
      <c r="B2376" t="s">
        <v>34</v>
      </c>
      <c r="C2376">
        <v>128</v>
      </c>
      <c r="D2376">
        <v>4</v>
      </c>
      <c r="E2376" t="s">
        <v>96</v>
      </c>
      <c r="F2376" t="s">
        <v>98</v>
      </c>
      <c r="G2376" t="str">
        <f>"2025-03-03 11:44:38.504"</f>
        <v>2025-03-03 11:44:38.504</v>
      </c>
      <c r="H2376" t="s">
        <v>53</v>
      </c>
      <c r="I2376">
        <v>8.8800000000000008</v>
      </c>
      <c r="J2376" t="s">
        <v>37</v>
      </c>
    </row>
    <row r="2377" spans="1:10" x14ac:dyDescent="0.25">
      <c r="A2377" s="1">
        <v>471</v>
      </c>
      <c r="B2377" t="s">
        <v>22</v>
      </c>
      <c r="C2377">
        <v>635</v>
      </c>
      <c r="D2377">
        <v>1</v>
      </c>
      <c r="E2377" t="s">
        <v>23</v>
      </c>
      <c r="F2377" t="s">
        <v>24</v>
      </c>
      <c r="G2377" t="str">
        <f>"2025-03-02 16:42:06.738"</f>
        <v>2025-03-02 16:42:06.738</v>
      </c>
      <c r="H2377" t="s">
        <v>21</v>
      </c>
    </row>
    <row r="2378" spans="1:10" x14ac:dyDescent="0.25">
      <c r="A2378" s="1">
        <v>472</v>
      </c>
      <c r="B2378" t="s">
        <v>25</v>
      </c>
      <c r="C2378">
        <v>635</v>
      </c>
      <c r="D2378">
        <v>1</v>
      </c>
      <c r="E2378" t="s">
        <v>23</v>
      </c>
      <c r="F2378" t="s">
        <v>24</v>
      </c>
      <c r="G2378" t="str">
        <f>"2025-03-02 16:28:48.738"</f>
        <v>2025-03-02 16:28:48.738</v>
      </c>
      <c r="H2378" t="s">
        <v>21</v>
      </c>
      <c r="I2378">
        <v>6.66</v>
      </c>
      <c r="J2378" t="s">
        <v>37</v>
      </c>
    </row>
    <row r="2379" spans="1:10" x14ac:dyDescent="0.25">
      <c r="A2379" s="1">
        <v>473</v>
      </c>
      <c r="B2379" t="s">
        <v>22</v>
      </c>
      <c r="C2379">
        <v>635</v>
      </c>
      <c r="D2379">
        <v>1</v>
      </c>
      <c r="E2379" t="s">
        <v>23</v>
      </c>
      <c r="F2379" t="s">
        <v>24</v>
      </c>
      <c r="G2379" t="str">
        <f>"2025-03-02 16:16:19.238"</f>
        <v>2025-03-02 16:16:19.238</v>
      </c>
      <c r="H2379" t="s">
        <v>21</v>
      </c>
    </row>
    <row r="2380" spans="1:10" x14ac:dyDescent="0.25">
      <c r="A2380" s="1">
        <v>474</v>
      </c>
      <c r="B2380" t="s">
        <v>41</v>
      </c>
      <c r="C2380">
        <v>128</v>
      </c>
      <c r="D2380">
        <v>7</v>
      </c>
      <c r="E2380" t="s">
        <v>96</v>
      </c>
      <c r="F2380" t="s">
        <v>97</v>
      </c>
      <c r="G2380" t="str">
        <f>"2025-03-02 16:09:58.018"</f>
        <v>2025-03-02 16:09:58.018</v>
      </c>
      <c r="H2380" t="s">
        <v>53</v>
      </c>
    </row>
    <row r="2381" spans="1:10" x14ac:dyDescent="0.25">
      <c r="A2381" s="1">
        <v>475</v>
      </c>
      <c r="B2381" t="s">
        <v>34</v>
      </c>
      <c r="C2381">
        <v>128</v>
      </c>
      <c r="D2381">
        <v>7</v>
      </c>
      <c r="E2381" t="s">
        <v>96</v>
      </c>
      <c r="F2381" t="s">
        <v>97</v>
      </c>
      <c r="G2381" t="str">
        <f>"2025-03-02 16:09:52.944"</f>
        <v>2025-03-02 16:09:52.944</v>
      </c>
      <c r="H2381" t="s">
        <v>53</v>
      </c>
      <c r="I2381">
        <v>6.23</v>
      </c>
      <c r="J2381" t="s">
        <v>36</v>
      </c>
    </row>
    <row r="2382" spans="1:10" x14ac:dyDescent="0.25">
      <c r="A2382" s="1">
        <v>476</v>
      </c>
      <c r="B2382" t="s">
        <v>25</v>
      </c>
      <c r="C2382">
        <v>635</v>
      </c>
      <c r="D2382">
        <v>1</v>
      </c>
      <c r="E2382" t="s">
        <v>23</v>
      </c>
      <c r="F2382" t="s">
        <v>24</v>
      </c>
      <c r="G2382" t="str">
        <f>"2025-03-02 16:02:59.239"</f>
        <v>2025-03-02 16:02:59.239</v>
      </c>
      <c r="H2382" t="s">
        <v>21</v>
      </c>
      <c r="I2382">
        <v>9.5399999999999991</v>
      </c>
      <c r="J2382" t="s">
        <v>37</v>
      </c>
    </row>
    <row r="2383" spans="1:10" x14ac:dyDescent="0.25">
      <c r="A2383" s="1">
        <v>477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"2025-03-02 14:10:18.347"</f>
        <v>2025-03-02 14:10:18.347</v>
      </c>
      <c r="H2383" t="s">
        <v>21</v>
      </c>
      <c r="I2383">
        <v>0</v>
      </c>
      <c r="J2383" t="s">
        <v>27</v>
      </c>
    </row>
    <row r="2384" spans="1:10" x14ac:dyDescent="0.25">
      <c r="A2384" s="1">
        <v>478</v>
      </c>
      <c r="B2384" t="s">
        <v>41</v>
      </c>
      <c r="C2384">
        <v>128</v>
      </c>
      <c r="D2384">
        <v>4</v>
      </c>
      <c r="E2384" t="s">
        <v>96</v>
      </c>
      <c r="F2384" t="s">
        <v>98</v>
      </c>
      <c r="G2384" t="str">
        <f>"2025-03-02 03:25:12.768"</f>
        <v>2025-03-02 03:25:12.768</v>
      </c>
      <c r="H2384" t="s">
        <v>53</v>
      </c>
    </row>
    <row r="2385" spans="1:10" x14ac:dyDescent="0.25">
      <c r="A2385" s="1">
        <v>479</v>
      </c>
      <c r="B2385" t="s">
        <v>34</v>
      </c>
      <c r="C2385">
        <v>128</v>
      </c>
      <c r="D2385">
        <v>4</v>
      </c>
      <c r="E2385" t="s">
        <v>96</v>
      </c>
      <c r="F2385" t="s">
        <v>98</v>
      </c>
      <c r="G2385" t="str">
        <f>"2025-03-02 03:25:07.716"</f>
        <v>2025-03-02 03:25:07.716</v>
      </c>
      <c r="H2385" t="s">
        <v>53</v>
      </c>
      <c r="I2385">
        <v>24.66</v>
      </c>
      <c r="J2385" t="s">
        <v>36</v>
      </c>
    </row>
    <row r="2386" spans="1:10" x14ac:dyDescent="0.25">
      <c r="A2386" s="1">
        <v>481</v>
      </c>
      <c r="B2386" t="s">
        <v>41</v>
      </c>
      <c r="C2386">
        <v>128</v>
      </c>
      <c r="D2386">
        <v>4</v>
      </c>
      <c r="E2386" t="s">
        <v>96</v>
      </c>
      <c r="F2386" t="s">
        <v>98</v>
      </c>
      <c r="G2386" t="str">
        <f>"2025-03-01 08:19:29.212"</f>
        <v>2025-03-01 08:19:29.212</v>
      </c>
      <c r="H2386" t="s">
        <v>53</v>
      </c>
    </row>
    <row r="2387" spans="1:10" x14ac:dyDescent="0.25">
      <c r="A2387" s="1">
        <v>482</v>
      </c>
      <c r="B2387" t="s">
        <v>34</v>
      </c>
      <c r="C2387">
        <v>128</v>
      </c>
      <c r="D2387">
        <v>4</v>
      </c>
      <c r="E2387" t="s">
        <v>96</v>
      </c>
      <c r="F2387" t="s">
        <v>98</v>
      </c>
      <c r="G2387" t="str">
        <f>"2025-03-01 08:19:24.156"</f>
        <v>2025-03-01 08:19:24.156</v>
      </c>
      <c r="H2387" t="s">
        <v>53</v>
      </c>
      <c r="I2387">
        <v>9.4</v>
      </c>
      <c r="J2387" t="s">
        <v>36</v>
      </c>
    </row>
    <row r="2388" spans="1:10" x14ac:dyDescent="0.25">
      <c r="A2388" s="1">
        <v>483</v>
      </c>
      <c r="B2388" t="s">
        <v>22</v>
      </c>
      <c r="C2388">
        <v>635</v>
      </c>
      <c r="D2388">
        <v>1</v>
      </c>
      <c r="E2388" t="s">
        <v>23</v>
      </c>
      <c r="F2388" t="s">
        <v>24</v>
      </c>
      <c r="G2388" t="str">
        <f>"2025-03-01 06:15:27.433"</f>
        <v>2025-03-01 06:15:27.433</v>
      </c>
      <c r="H2388" t="s">
        <v>21</v>
      </c>
    </row>
    <row r="2389" spans="1:10" x14ac:dyDescent="0.25">
      <c r="A2389" s="1">
        <v>484</v>
      </c>
      <c r="B2389" t="s">
        <v>25</v>
      </c>
      <c r="C2389">
        <v>635</v>
      </c>
      <c r="D2389">
        <v>1</v>
      </c>
      <c r="E2389" t="s">
        <v>23</v>
      </c>
      <c r="F2389" t="s">
        <v>24</v>
      </c>
      <c r="G2389" t="str">
        <f>"2025-03-01 06:10:47.433"</f>
        <v>2025-03-01 06:10:47.433</v>
      </c>
      <c r="H2389" t="s">
        <v>21</v>
      </c>
      <c r="I2389">
        <v>7.87</v>
      </c>
      <c r="J2389" t="s">
        <v>36</v>
      </c>
    </row>
    <row r="2390" spans="1:10" x14ac:dyDescent="0.25">
      <c r="A2390" s="1">
        <v>485</v>
      </c>
      <c r="B2390" t="s">
        <v>41</v>
      </c>
      <c r="C2390">
        <v>128</v>
      </c>
      <c r="D2390">
        <v>4</v>
      </c>
      <c r="E2390" t="s">
        <v>96</v>
      </c>
      <c r="F2390" t="s">
        <v>98</v>
      </c>
      <c r="G2390" t="str">
        <f>"2025-02-28 21:34:33.313"</f>
        <v>2025-02-28 21:34:33.313</v>
      </c>
      <c r="H2390" t="s">
        <v>53</v>
      </c>
    </row>
    <row r="2391" spans="1:10" x14ac:dyDescent="0.25">
      <c r="A2391" s="1">
        <v>486</v>
      </c>
      <c r="B2391" t="s">
        <v>34</v>
      </c>
      <c r="C2391">
        <v>128</v>
      </c>
      <c r="D2391">
        <v>4</v>
      </c>
      <c r="E2391" t="s">
        <v>96</v>
      </c>
      <c r="F2391" t="s">
        <v>98</v>
      </c>
      <c r="G2391" t="str">
        <f>"2025-02-28 21:34:28.216"</f>
        <v>2025-02-28 21:34:28.216</v>
      </c>
      <c r="H2391" t="s">
        <v>53</v>
      </c>
      <c r="I2391">
        <v>18.5</v>
      </c>
      <c r="J2391" t="s">
        <v>37</v>
      </c>
    </row>
    <row r="2392" spans="1:10" x14ac:dyDescent="0.25">
      <c r="A2392" s="1">
        <v>487</v>
      </c>
      <c r="B2392" t="s">
        <v>22</v>
      </c>
      <c r="C2392">
        <v>619</v>
      </c>
      <c r="D2392">
        <v>1</v>
      </c>
      <c r="E2392" t="s">
        <v>54</v>
      </c>
      <c r="F2392" t="s">
        <v>24</v>
      </c>
      <c r="G2392" t="str">
        <f>"2025-02-28 13:58:21.980"</f>
        <v>2025-02-28 13:58:21.980</v>
      </c>
      <c r="H2392" t="s">
        <v>55</v>
      </c>
    </row>
    <row r="2393" spans="1:10" x14ac:dyDescent="0.25">
      <c r="A2393" s="1">
        <v>488</v>
      </c>
      <c r="B2393" t="s">
        <v>25</v>
      </c>
      <c r="C2393">
        <v>619</v>
      </c>
      <c r="D2393">
        <v>1</v>
      </c>
      <c r="E2393" t="s">
        <v>54</v>
      </c>
      <c r="F2393" t="s">
        <v>24</v>
      </c>
      <c r="G2393" t="str">
        <f>"2025-02-28 13:57:35.833"</f>
        <v>2025-02-28 13:57:35.833</v>
      </c>
      <c r="H2393" t="s">
        <v>55</v>
      </c>
      <c r="I2393">
        <v>0</v>
      </c>
      <c r="J2393" t="s">
        <v>33</v>
      </c>
    </row>
    <row r="2394" spans="1:10" x14ac:dyDescent="0.25">
      <c r="A2394" s="1">
        <v>489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"2025-02-28 13:57:05.362"</f>
        <v>2025-02-28 13:57:05.362</v>
      </c>
      <c r="H2394" t="s">
        <v>21</v>
      </c>
      <c r="I2394">
        <v>0</v>
      </c>
      <c r="J2394" t="s">
        <v>27</v>
      </c>
    </row>
    <row r="2395" spans="1:10" x14ac:dyDescent="0.25">
      <c r="A2395" s="1">
        <v>490</v>
      </c>
      <c r="B2395" t="s">
        <v>56</v>
      </c>
      <c r="C2395">
        <v>128</v>
      </c>
      <c r="D2395">
        <v>4</v>
      </c>
      <c r="E2395" t="s">
        <v>96</v>
      </c>
      <c r="F2395" t="s">
        <v>98</v>
      </c>
      <c r="G2395" t="str">
        <f>"2025-02-28 08:47:58.324"</f>
        <v>2025-02-28 08:47:58.324</v>
      </c>
      <c r="H2395" t="s">
        <v>53</v>
      </c>
    </row>
    <row r="2396" spans="1:10" x14ac:dyDescent="0.25">
      <c r="A2396" s="1">
        <v>491</v>
      </c>
      <c r="B2396" t="s">
        <v>34</v>
      </c>
      <c r="C2396">
        <v>128</v>
      </c>
      <c r="D2396">
        <v>4</v>
      </c>
      <c r="E2396" t="s">
        <v>96</v>
      </c>
      <c r="F2396" t="s">
        <v>98</v>
      </c>
      <c r="G2396" t="str">
        <f>"2025-02-28 08:47:54.487"</f>
        <v>2025-02-28 08:47:54.487</v>
      </c>
      <c r="H2396" t="s">
        <v>53</v>
      </c>
      <c r="I2396">
        <v>5.87</v>
      </c>
      <c r="J2396" t="s">
        <v>36</v>
      </c>
    </row>
    <row r="2397" spans="1:10" x14ac:dyDescent="0.25">
      <c r="A2397" s="1">
        <v>492</v>
      </c>
      <c r="B2397" t="s">
        <v>41</v>
      </c>
      <c r="C2397">
        <v>128</v>
      </c>
      <c r="D2397">
        <v>4</v>
      </c>
      <c r="E2397" t="s">
        <v>96</v>
      </c>
      <c r="F2397" t="s">
        <v>98</v>
      </c>
      <c r="G2397" t="str">
        <f>"2025-02-28 06:18:43.403"</f>
        <v>2025-02-28 06:18:43.403</v>
      </c>
      <c r="H2397" t="s">
        <v>53</v>
      </c>
    </row>
    <row r="2398" spans="1:10" x14ac:dyDescent="0.25">
      <c r="A2398" s="1">
        <v>493</v>
      </c>
      <c r="B2398" t="s">
        <v>34</v>
      </c>
      <c r="C2398">
        <v>128</v>
      </c>
      <c r="D2398">
        <v>4</v>
      </c>
      <c r="E2398" t="s">
        <v>96</v>
      </c>
      <c r="F2398" t="s">
        <v>98</v>
      </c>
      <c r="G2398" t="str">
        <f>"2025-02-28 06:18:38.307"</f>
        <v>2025-02-28 06:18:38.307</v>
      </c>
      <c r="H2398" t="s">
        <v>53</v>
      </c>
      <c r="I2398">
        <v>9.7799999999999994</v>
      </c>
      <c r="J2398" t="s">
        <v>36</v>
      </c>
    </row>
    <row r="2399" spans="1:10" x14ac:dyDescent="0.25">
      <c r="A2399" s="1">
        <v>494</v>
      </c>
      <c r="B2399" t="s">
        <v>41</v>
      </c>
      <c r="C2399">
        <v>128</v>
      </c>
      <c r="D2399">
        <v>4</v>
      </c>
      <c r="E2399" t="s">
        <v>96</v>
      </c>
      <c r="F2399" t="s">
        <v>98</v>
      </c>
      <c r="G2399" t="str">
        <f>"2025-02-27 22:28:31.104"</f>
        <v>2025-02-27 22:28:31.104</v>
      </c>
      <c r="H2399" t="s">
        <v>53</v>
      </c>
    </row>
    <row r="2400" spans="1:10" x14ac:dyDescent="0.25">
      <c r="A2400" s="1">
        <v>495</v>
      </c>
      <c r="B2400" t="s">
        <v>34</v>
      </c>
      <c r="C2400">
        <v>128</v>
      </c>
      <c r="D2400">
        <v>4</v>
      </c>
      <c r="E2400" t="s">
        <v>96</v>
      </c>
      <c r="F2400" t="s">
        <v>98</v>
      </c>
      <c r="G2400" t="str">
        <f>"2025-02-27 22:28:26.027"</f>
        <v>2025-02-27 22:28:26.027</v>
      </c>
      <c r="H2400" t="s">
        <v>53</v>
      </c>
      <c r="I2400">
        <v>14.79</v>
      </c>
      <c r="J2400" t="s">
        <v>37</v>
      </c>
    </row>
    <row r="2401" spans="1:10" x14ac:dyDescent="0.25">
      <c r="A2401" s="1">
        <v>496</v>
      </c>
      <c r="B2401" t="s">
        <v>22</v>
      </c>
      <c r="C2401">
        <v>619</v>
      </c>
      <c r="D2401">
        <v>1</v>
      </c>
      <c r="E2401" t="s">
        <v>54</v>
      </c>
      <c r="F2401" t="s">
        <v>24</v>
      </c>
      <c r="G2401" t="str">
        <f>"2025-02-27 17:22:02.624"</f>
        <v>2025-02-27 17:22:02.624</v>
      </c>
      <c r="H2401" t="s">
        <v>55</v>
      </c>
    </row>
    <row r="2402" spans="1:10" x14ac:dyDescent="0.25">
      <c r="A2402" s="1">
        <v>497</v>
      </c>
      <c r="B2402" t="s">
        <v>25</v>
      </c>
      <c r="C2402">
        <v>619</v>
      </c>
      <c r="D2402">
        <v>1</v>
      </c>
      <c r="E2402" t="s">
        <v>54</v>
      </c>
      <c r="F2402" t="s">
        <v>24</v>
      </c>
      <c r="G2402" t="str">
        <f>"2025-02-27 17:21:24.771"</f>
        <v>2025-02-27 17:21:24.771</v>
      </c>
      <c r="H2402" t="s">
        <v>55</v>
      </c>
      <c r="I2402">
        <v>0</v>
      </c>
      <c r="J2402" t="s">
        <v>26</v>
      </c>
    </row>
    <row r="2403" spans="1:10" x14ac:dyDescent="0.25">
      <c r="A2403" s="1">
        <v>498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"2025-02-27 17:20:54.342"</f>
        <v>2025-02-27 17:20:54.342</v>
      </c>
      <c r="H2403" t="s">
        <v>21</v>
      </c>
      <c r="I2403">
        <v>0</v>
      </c>
      <c r="J2403" t="s">
        <v>27</v>
      </c>
    </row>
    <row r="2404" spans="1:10" x14ac:dyDescent="0.25">
      <c r="A2404" s="1">
        <v>499</v>
      </c>
      <c r="B2404" t="s">
        <v>22</v>
      </c>
      <c r="C2404">
        <v>619</v>
      </c>
      <c r="D2404">
        <v>1</v>
      </c>
      <c r="E2404" t="s">
        <v>54</v>
      </c>
      <c r="F2404" t="s">
        <v>24</v>
      </c>
      <c r="G2404" t="str">
        <f>"2025-02-27 16:10:00.858"</f>
        <v>2025-02-27 16:10:00.858</v>
      </c>
      <c r="H2404" t="s">
        <v>55</v>
      </c>
    </row>
    <row r="2405" spans="1:10" x14ac:dyDescent="0.25">
      <c r="A2405" s="1">
        <v>500</v>
      </c>
      <c r="B2405" t="s">
        <v>25</v>
      </c>
      <c r="C2405">
        <v>619</v>
      </c>
      <c r="D2405">
        <v>1</v>
      </c>
      <c r="E2405" t="s">
        <v>54</v>
      </c>
      <c r="F2405" t="s">
        <v>24</v>
      </c>
      <c r="G2405" t="str">
        <f>"2025-02-27 16:09:08.358"</f>
        <v>2025-02-27 16:09:08.358</v>
      </c>
      <c r="H2405" t="s">
        <v>55</v>
      </c>
      <c r="I2405">
        <v>0</v>
      </c>
      <c r="J2405" t="s">
        <v>33</v>
      </c>
    </row>
    <row r="2406" spans="1:10" x14ac:dyDescent="0.25">
      <c r="A2406" s="1">
        <v>501</v>
      </c>
      <c r="B2406" t="s">
        <v>19</v>
      </c>
      <c r="C2406">
        <v>706</v>
      </c>
      <c r="D2406">
        <v>4</v>
      </c>
      <c r="E2406" t="s">
        <v>31</v>
      </c>
      <c r="F2406" t="s">
        <v>32</v>
      </c>
      <c r="G2406" t="str">
        <f>"2025-02-27 16:09:03.445"</f>
        <v>2025-02-27 16:09:03.445</v>
      </c>
      <c r="H2406" t="s">
        <v>21</v>
      </c>
      <c r="I2406">
        <v>0</v>
      </c>
      <c r="J2406" t="s">
        <v>33</v>
      </c>
    </row>
    <row r="2407" spans="1:10" x14ac:dyDescent="0.25">
      <c r="A2407" s="1">
        <v>502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"2025-02-27 16:05:46.345"</f>
        <v>2025-02-27 16:05:46.345</v>
      </c>
      <c r="H2407" t="s">
        <v>21</v>
      </c>
      <c r="I2407">
        <v>0</v>
      </c>
      <c r="J2407" t="s">
        <v>27</v>
      </c>
    </row>
    <row r="2408" spans="1:10" x14ac:dyDescent="0.25">
      <c r="A2408" s="1">
        <v>503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"2025-02-27 15:58:58.670"</f>
        <v>2025-02-27 15:58:58.670</v>
      </c>
      <c r="H2408" t="s">
        <v>21</v>
      </c>
    </row>
    <row r="2409" spans="1:10" x14ac:dyDescent="0.25">
      <c r="A2409" s="1">
        <v>504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"2025-02-27 15:55:56.576"</f>
        <v>2025-02-27 15:55:56.576</v>
      </c>
      <c r="H2409" t="s">
        <v>21</v>
      </c>
      <c r="I2409">
        <v>0</v>
      </c>
      <c r="J2409" t="s">
        <v>27</v>
      </c>
    </row>
    <row r="2410" spans="1:10" x14ac:dyDescent="0.25">
      <c r="A2410" s="1">
        <v>505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"2025-02-27 15:53:51.580"</f>
        <v>2025-02-27 15:53:51.580</v>
      </c>
      <c r="H2410" t="s">
        <v>21</v>
      </c>
      <c r="I2410">
        <v>0</v>
      </c>
      <c r="J2410" t="s">
        <v>27</v>
      </c>
    </row>
    <row r="2411" spans="1:10" x14ac:dyDescent="0.25">
      <c r="A2411" s="1">
        <v>506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"2025-02-27 15:08:22.353"</f>
        <v>2025-02-27 15:08:22.353</v>
      </c>
      <c r="H2411" t="s">
        <v>21</v>
      </c>
    </row>
    <row r="2412" spans="1:10" x14ac:dyDescent="0.25">
      <c r="A2412" s="1">
        <v>507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"2025-02-26 13:41:40.363"</f>
        <v>2025-02-26 13:41:40.363</v>
      </c>
      <c r="H2412" t="s">
        <v>21</v>
      </c>
    </row>
    <row r="2413" spans="1:10" x14ac:dyDescent="0.25">
      <c r="A2413" s="1">
        <v>508</v>
      </c>
      <c r="B2413" t="s">
        <v>41</v>
      </c>
      <c r="C2413">
        <v>128</v>
      </c>
      <c r="D2413">
        <v>4</v>
      </c>
      <c r="E2413" t="s">
        <v>96</v>
      </c>
      <c r="F2413" t="s">
        <v>98</v>
      </c>
      <c r="G2413" t="str">
        <f>"2025-02-26 07:58:02.064"</f>
        <v>2025-02-26 07:58:02.064</v>
      </c>
      <c r="H2413" t="s">
        <v>53</v>
      </c>
    </row>
    <row r="2414" spans="1:10" x14ac:dyDescent="0.25">
      <c r="A2414" s="1">
        <v>509</v>
      </c>
      <c r="B2414" t="s">
        <v>34</v>
      </c>
      <c r="C2414">
        <v>128</v>
      </c>
      <c r="D2414">
        <v>4</v>
      </c>
      <c r="E2414" t="s">
        <v>96</v>
      </c>
      <c r="F2414" t="s">
        <v>98</v>
      </c>
      <c r="G2414" t="str">
        <f>"2025-02-26 07:57:57.048"</f>
        <v>2025-02-26 07:57:57.048</v>
      </c>
      <c r="H2414" t="s">
        <v>53</v>
      </c>
      <c r="I2414">
        <v>18.399999999999999</v>
      </c>
      <c r="J2414" t="s">
        <v>36</v>
      </c>
    </row>
    <row r="2415" spans="1:10" x14ac:dyDescent="0.25">
      <c r="A2415" s="1">
        <v>510</v>
      </c>
      <c r="B2415" t="s">
        <v>41</v>
      </c>
      <c r="C2415">
        <v>128</v>
      </c>
      <c r="D2415">
        <v>4</v>
      </c>
      <c r="E2415" t="s">
        <v>96</v>
      </c>
      <c r="F2415" t="s">
        <v>98</v>
      </c>
      <c r="G2415" t="str">
        <f>"2025-02-26 05:33:39.365"</f>
        <v>2025-02-26 05:33:39.365</v>
      </c>
      <c r="H2415" t="s">
        <v>53</v>
      </c>
    </row>
    <row r="2416" spans="1:10" x14ac:dyDescent="0.25">
      <c r="A2416" s="1">
        <v>511</v>
      </c>
      <c r="B2416" t="s">
        <v>34</v>
      </c>
      <c r="C2416">
        <v>128</v>
      </c>
      <c r="D2416">
        <v>4</v>
      </c>
      <c r="E2416" t="s">
        <v>96</v>
      </c>
      <c r="F2416" t="s">
        <v>98</v>
      </c>
      <c r="G2416" t="str">
        <f>"2025-02-26 05:33:34.348"</f>
        <v>2025-02-26 05:33:34.348</v>
      </c>
      <c r="H2416" t="s">
        <v>53</v>
      </c>
      <c r="I2416">
        <v>5.38</v>
      </c>
      <c r="J2416" t="s">
        <v>36</v>
      </c>
    </row>
    <row r="2417" spans="1:10" x14ac:dyDescent="0.25">
      <c r="A2417" s="1">
        <v>512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"2025-02-26 03:55:33.352"</f>
        <v>2025-02-26 03:55:33.352</v>
      </c>
      <c r="H2417" t="s">
        <v>21</v>
      </c>
    </row>
    <row r="2418" spans="1:10" x14ac:dyDescent="0.25">
      <c r="A2418" s="1">
        <v>513</v>
      </c>
      <c r="B2418" t="s">
        <v>41</v>
      </c>
      <c r="C2418">
        <v>128</v>
      </c>
      <c r="D2418">
        <v>1</v>
      </c>
      <c r="E2418" t="s">
        <v>96</v>
      </c>
      <c r="F2418" t="s">
        <v>99</v>
      </c>
      <c r="G2418" t="str">
        <f>"2025-02-25 23:46:43.197"</f>
        <v>2025-02-25 23:46:43.197</v>
      </c>
      <c r="H2418" t="s">
        <v>53</v>
      </c>
    </row>
    <row r="2419" spans="1:10" x14ac:dyDescent="0.25">
      <c r="A2419" s="1">
        <v>514</v>
      </c>
      <c r="B2419" t="s">
        <v>34</v>
      </c>
      <c r="C2419">
        <v>128</v>
      </c>
      <c r="D2419">
        <v>1</v>
      </c>
      <c r="E2419" t="s">
        <v>96</v>
      </c>
      <c r="F2419" t="s">
        <v>99</v>
      </c>
      <c r="G2419" t="str">
        <f>"2025-02-25 23:46:38.165"</f>
        <v>2025-02-25 23:46:38.165</v>
      </c>
      <c r="H2419" t="s">
        <v>53</v>
      </c>
      <c r="I2419">
        <v>10.37</v>
      </c>
      <c r="J2419" t="s">
        <v>36</v>
      </c>
    </row>
    <row r="2420" spans="1:10" x14ac:dyDescent="0.25">
      <c r="A2420" s="1">
        <v>515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"2025-02-25 01:56:10.327"</f>
        <v>2025-02-25 01:56:10.327</v>
      </c>
      <c r="H2420" t="s">
        <v>21</v>
      </c>
      <c r="I2420">
        <v>0</v>
      </c>
      <c r="J2420" t="s">
        <v>27</v>
      </c>
    </row>
    <row r="2421" spans="1:10" x14ac:dyDescent="0.25">
      <c r="A2421" s="1">
        <v>516</v>
      </c>
      <c r="B2421" t="s">
        <v>41</v>
      </c>
      <c r="C2421">
        <v>128</v>
      </c>
      <c r="D2421">
        <v>4</v>
      </c>
      <c r="E2421" t="s">
        <v>96</v>
      </c>
      <c r="F2421" t="s">
        <v>98</v>
      </c>
      <c r="G2421" t="str">
        <f>"2025-02-24 22:48:07.482"</f>
        <v>2025-02-24 22:48:07.482</v>
      </c>
      <c r="H2421" t="s">
        <v>53</v>
      </c>
    </row>
    <row r="2422" spans="1:10" x14ac:dyDescent="0.25">
      <c r="A2422" s="1">
        <v>517</v>
      </c>
      <c r="B2422" t="s">
        <v>34</v>
      </c>
      <c r="C2422">
        <v>128</v>
      </c>
      <c r="D2422">
        <v>4</v>
      </c>
      <c r="E2422" t="s">
        <v>96</v>
      </c>
      <c r="F2422" t="s">
        <v>98</v>
      </c>
      <c r="G2422" t="str">
        <f>"2025-02-24 22:48:02.468"</f>
        <v>2025-02-24 22:48:02.468</v>
      </c>
      <c r="H2422" t="s">
        <v>53</v>
      </c>
      <c r="I2422">
        <v>14.48</v>
      </c>
      <c r="J2422" t="s">
        <v>36</v>
      </c>
    </row>
    <row r="2423" spans="1:10" x14ac:dyDescent="0.25">
      <c r="A2423" s="1">
        <v>518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"2025-02-24 15:37:48.312"</f>
        <v>2025-02-24 15:37:48.312</v>
      </c>
      <c r="H2423" t="s">
        <v>21</v>
      </c>
      <c r="I2423">
        <v>0</v>
      </c>
      <c r="J2423" t="s">
        <v>27</v>
      </c>
    </row>
    <row r="2424" spans="1:10" x14ac:dyDescent="0.25">
      <c r="A2424" s="1">
        <v>519</v>
      </c>
      <c r="B2424" t="s">
        <v>19</v>
      </c>
      <c r="C2424">
        <v>706</v>
      </c>
      <c r="D2424">
        <v>4</v>
      </c>
      <c r="E2424" t="s">
        <v>31</v>
      </c>
      <c r="F2424" t="s">
        <v>32</v>
      </c>
      <c r="G2424" t="str">
        <f>"2025-02-24 15:24:30.329"</f>
        <v>2025-02-24 15:24:30.329</v>
      </c>
      <c r="H2424" t="s">
        <v>21</v>
      </c>
      <c r="I2424">
        <v>0</v>
      </c>
      <c r="J2424" t="s">
        <v>33</v>
      </c>
    </row>
    <row r="2425" spans="1:10" x14ac:dyDescent="0.25">
      <c r="A2425" s="1">
        <v>520</v>
      </c>
      <c r="B2425" t="s">
        <v>19</v>
      </c>
      <c r="C2425">
        <v>706</v>
      </c>
      <c r="D2425">
        <v>3</v>
      </c>
      <c r="E2425" t="s">
        <v>31</v>
      </c>
      <c r="F2425" t="s">
        <v>66</v>
      </c>
      <c r="G2425" t="str">
        <f>"2025-02-24 15:24:20.419"</f>
        <v>2025-02-24 15:24:20.419</v>
      </c>
      <c r="H2425" t="s">
        <v>21</v>
      </c>
      <c r="I2425">
        <v>0</v>
      </c>
      <c r="J2425" t="s">
        <v>33</v>
      </c>
    </row>
    <row r="2426" spans="1:10" x14ac:dyDescent="0.25">
      <c r="A2426" s="1">
        <v>521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"2025-02-24 14:11:24.459"</f>
        <v>2025-02-24 14:11:24.459</v>
      </c>
      <c r="H2426" t="s">
        <v>21</v>
      </c>
    </row>
    <row r="2427" spans="1:10" x14ac:dyDescent="0.25">
      <c r="A2427" s="1">
        <v>522</v>
      </c>
      <c r="B2427" t="s">
        <v>22</v>
      </c>
      <c r="C2427">
        <v>619</v>
      </c>
      <c r="D2427">
        <v>1</v>
      </c>
      <c r="E2427" t="s">
        <v>54</v>
      </c>
      <c r="F2427" t="s">
        <v>24</v>
      </c>
      <c r="G2427" t="str">
        <f>"2025-02-23 12:26:18.455"</f>
        <v>2025-02-23 12:26:18.455</v>
      </c>
      <c r="H2427" t="s">
        <v>55</v>
      </c>
    </row>
    <row r="2428" spans="1:10" x14ac:dyDescent="0.25">
      <c r="A2428" s="1">
        <v>523</v>
      </c>
      <c r="B2428" t="s">
        <v>25</v>
      </c>
      <c r="C2428">
        <v>619</v>
      </c>
      <c r="D2428">
        <v>1</v>
      </c>
      <c r="E2428" t="s">
        <v>54</v>
      </c>
      <c r="F2428" t="s">
        <v>24</v>
      </c>
      <c r="G2428" t="str">
        <f>"2025-02-23 12:25:44.755"</f>
        <v>2025-02-23 12:25:44.755</v>
      </c>
      <c r="H2428" t="s">
        <v>55</v>
      </c>
      <c r="I2428">
        <v>0</v>
      </c>
      <c r="J2428" t="s">
        <v>33</v>
      </c>
    </row>
    <row r="2429" spans="1:10" x14ac:dyDescent="0.25">
      <c r="A2429" s="1">
        <v>524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"2025-02-23 12:25:14.303"</f>
        <v>2025-02-23 12:25:14.303</v>
      </c>
      <c r="H2429" t="s">
        <v>21</v>
      </c>
    </row>
    <row r="2430" spans="1:10" x14ac:dyDescent="0.25">
      <c r="A2430" s="1">
        <v>525</v>
      </c>
      <c r="B2430" t="s">
        <v>41</v>
      </c>
      <c r="C2430">
        <v>128</v>
      </c>
      <c r="D2430">
        <v>4</v>
      </c>
      <c r="E2430" t="s">
        <v>96</v>
      </c>
      <c r="F2430" t="s">
        <v>98</v>
      </c>
      <c r="G2430" t="str">
        <f>"2025-02-23 03:35:10.078"</f>
        <v>2025-02-23 03:35:10.078</v>
      </c>
      <c r="H2430" t="s">
        <v>53</v>
      </c>
    </row>
    <row r="2431" spans="1:10" x14ac:dyDescent="0.25">
      <c r="A2431" s="1">
        <v>526</v>
      </c>
      <c r="B2431" t="s">
        <v>34</v>
      </c>
      <c r="C2431">
        <v>128</v>
      </c>
      <c r="D2431">
        <v>4</v>
      </c>
      <c r="E2431" t="s">
        <v>96</v>
      </c>
      <c r="F2431" t="s">
        <v>98</v>
      </c>
      <c r="G2431" t="str">
        <f>"2025-02-23 03:35:05.001"</f>
        <v>2025-02-23 03:35:05.001</v>
      </c>
      <c r="H2431" t="s">
        <v>53</v>
      </c>
      <c r="I2431">
        <v>23</v>
      </c>
      <c r="J2431" t="s">
        <v>37</v>
      </c>
    </row>
    <row r="2432" spans="1:10" s="3" customFormat="1" x14ac:dyDescent="0.25">
      <c r="A2432" s="2">
        <v>527</v>
      </c>
      <c r="B2432" s="3" t="s">
        <v>22</v>
      </c>
      <c r="C2432" s="3">
        <v>647</v>
      </c>
      <c r="D2432" s="3">
        <v>1</v>
      </c>
      <c r="E2432" s="3" t="s">
        <v>39</v>
      </c>
      <c r="F2432" s="3" t="s">
        <v>40</v>
      </c>
      <c r="G2432" s="3" t="str">
        <f>"2025-02-22 20:48:05.499"</f>
        <v>2025-02-22 20:48:05.499</v>
      </c>
      <c r="H2432" s="3" t="s">
        <v>21</v>
      </c>
    </row>
    <row r="2433" spans="1:10" s="3" customFormat="1" x14ac:dyDescent="0.25">
      <c r="A2433" s="2">
        <v>528</v>
      </c>
      <c r="B2433" s="3" t="s">
        <v>25</v>
      </c>
      <c r="C2433" s="3">
        <v>647</v>
      </c>
      <c r="D2433" s="3">
        <v>1</v>
      </c>
      <c r="E2433" s="3" t="s">
        <v>39</v>
      </c>
      <c r="F2433" s="3" t="s">
        <v>40</v>
      </c>
      <c r="G2433" s="3" t="str">
        <f>"2025-02-22 20:48:00.599"</f>
        <v>2025-02-22 20:48:00.599</v>
      </c>
      <c r="H2433" s="3" t="s">
        <v>21</v>
      </c>
      <c r="I2433" s="3">
        <v>9.11</v>
      </c>
      <c r="J2433" s="3" t="s">
        <v>37</v>
      </c>
    </row>
    <row r="2434" spans="1:10" x14ac:dyDescent="0.25">
      <c r="A2434" s="1">
        <v>529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"2025-02-21 12:24:57.306"</f>
        <v>2025-02-21 12:24:57.306</v>
      </c>
      <c r="H2434" t="s">
        <v>21</v>
      </c>
      <c r="I2434">
        <v>0</v>
      </c>
      <c r="J2434" t="s">
        <v>27</v>
      </c>
    </row>
    <row r="2435" spans="1:10" x14ac:dyDescent="0.25">
      <c r="A2435" s="1">
        <v>530</v>
      </c>
      <c r="B2435" t="s">
        <v>22</v>
      </c>
      <c r="C2435">
        <v>635</v>
      </c>
      <c r="D2435">
        <v>1</v>
      </c>
      <c r="E2435" t="s">
        <v>23</v>
      </c>
      <c r="F2435" t="s">
        <v>24</v>
      </c>
      <c r="G2435" t="str">
        <f>"2025-02-20 22:05:45.032"</f>
        <v>2025-02-20 22:05:45.032</v>
      </c>
      <c r="H2435" t="s">
        <v>21</v>
      </c>
    </row>
    <row r="2436" spans="1:10" x14ac:dyDescent="0.25">
      <c r="A2436" s="1">
        <v>531</v>
      </c>
      <c r="B2436" t="s">
        <v>25</v>
      </c>
      <c r="C2436">
        <v>635</v>
      </c>
      <c r="D2436">
        <v>1</v>
      </c>
      <c r="E2436" t="s">
        <v>23</v>
      </c>
      <c r="F2436" t="s">
        <v>24</v>
      </c>
      <c r="G2436" t="str">
        <f>"2025-02-20 22:00:47.532"</f>
        <v>2025-02-20 22:00:47.532</v>
      </c>
      <c r="H2436" t="s">
        <v>21</v>
      </c>
      <c r="I2436">
        <v>0</v>
      </c>
      <c r="J2436" t="s">
        <v>26</v>
      </c>
    </row>
    <row r="2437" spans="1:10" x14ac:dyDescent="0.25">
      <c r="A2437" s="1">
        <v>532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"2025-02-19 13:49:04.329"</f>
        <v>2025-02-19 13:49:04.329</v>
      </c>
      <c r="H2437" t="s">
        <v>21</v>
      </c>
      <c r="I2437">
        <v>0</v>
      </c>
      <c r="J2437" t="s">
        <v>27</v>
      </c>
    </row>
    <row r="2438" spans="1:10" x14ac:dyDescent="0.25">
      <c r="A2438" s="1">
        <v>537</v>
      </c>
      <c r="B2438" t="s">
        <v>22</v>
      </c>
      <c r="C2438">
        <v>619</v>
      </c>
      <c r="D2438">
        <v>1</v>
      </c>
      <c r="E2438" t="s">
        <v>54</v>
      </c>
      <c r="F2438" t="s">
        <v>24</v>
      </c>
      <c r="G2438" t="str">
        <f>"2025-02-16 18:26:36.657"</f>
        <v>2025-02-16 18:26:36.657</v>
      </c>
      <c r="H2438" t="s">
        <v>55</v>
      </c>
    </row>
    <row r="2439" spans="1:10" x14ac:dyDescent="0.25">
      <c r="A2439" s="1">
        <v>538</v>
      </c>
      <c r="B2439" t="s">
        <v>25</v>
      </c>
      <c r="C2439">
        <v>619</v>
      </c>
      <c r="D2439">
        <v>1</v>
      </c>
      <c r="E2439" t="s">
        <v>54</v>
      </c>
      <c r="F2439" t="s">
        <v>24</v>
      </c>
      <c r="G2439" t="str">
        <f>"2025-02-16 18:25:57.757"</f>
        <v>2025-02-16 18:25:57.757</v>
      </c>
      <c r="H2439" t="s">
        <v>55</v>
      </c>
      <c r="I2439">
        <v>0</v>
      </c>
      <c r="J2439" t="s">
        <v>38</v>
      </c>
    </row>
    <row r="2440" spans="1:10" x14ac:dyDescent="0.25">
      <c r="A2440" s="1">
        <v>539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"2025-02-16 18:25:27.302"</f>
        <v>2025-02-16 18:25:27.302</v>
      </c>
      <c r="H2440" t="s">
        <v>21</v>
      </c>
    </row>
    <row r="2441" spans="1:10" x14ac:dyDescent="0.25">
      <c r="A2441" s="1">
        <v>540</v>
      </c>
      <c r="B2441" t="s">
        <v>22</v>
      </c>
      <c r="C2441">
        <v>619</v>
      </c>
      <c r="D2441">
        <v>1</v>
      </c>
      <c r="E2441" t="s">
        <v>54</v>
      </c>
      <c r="F2441" t="s">
        <v>24</v>
      </c>
      <c r="G2441" t="str">
        <f>"2025-02-16 18:07:37.541"</f>
        <v>2025-02-16 18:07:37.541</v>
      </c>
      <c r="H2441" t="s">
        <v>55</v>
      </c>
    </row>
    <row r="2442" spans="1:10" x14ac:dyDescent="0.25">
      <c r="A2442" s="1">
        <v>541</v>
      </c>
      <c r="B2442" t="s">
        <v>25</v>
      </c>
      <c r="C2442">
        <v>619</v>
      </c>
      <c r="D2442">
        <v>1</v>
      </c>
      <c r="E2442" t="s">
        <v>54</v>
      </c>
      <c r="F2442" t="s">
        <v>24</v>
      </c>
      <c r="G2442" t="str">
        <f>"2025-02-16 18:06:50.041"</f>
        <v>2025-02-16 18:06:50.041</v>
      </c>
      <c r="H2442" t="s">
        <v>55</v>
      </c>
      <c r="I2442">
        <v>0</v>
      </c>
      <c r="J2442" t="s">
        <v>38</v>
      </c>
    </row>
    <row r="2443" spans="1:10" x14ac:dyDescent="0.25">
      <c r="A2443" s="1">
        <v>542</v>
      </c>
      <c r="B2443" t="s">
        <v>19</v>
      </c>
      <c r="C2443">
        <v>706</v>
      </c>
      <c r="D2443">
        <v>4</v>
      </c>
      <c r="E2443" t="s">
        <v>31</v>
      </c>
      <c r="F2443" t="s">
        <v>32</v>
      </c>
      <c r="G2443" t="str">
        <f>"2025-02-16 18:06:43.827"</f>
        <v>2025-02-16 18:06:43.827</v>
      </c>
      <c r="H2443" t="s">
        <v>21</v>
      </c>
      <c r="I2443">
        <v>0</v>
      </c>
      <c r="J2443" t="s">
        <v>38</v>
      </c>
    </row>
    <row r="2444" spans="1:10" x14ac:dyDescent="0.25">
      <c r="A2444" s="1">
        <v>543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"2025-02-16 17:50:03.307"</f>
        <v>2025-02-16 17:50:03.307</v>
      </c>
      <c r="H2444" t="s">
        <v>21</v>
      </c>
      <c r="I2444">
        <v>0</v>
      </c>
      <c r="J2444" t="s">
        <v>27</v>
      </c>
    </row>
    <row r="2445" spans="1:10" x14ac:dyDescent="0.25">
      <c r="A2445" s="1">
        <v>544</v>
      </c>
      <c r="B2445" t="s">
        <v>56</v>
      </c>
      <c r="C2445">
        <v>625</v>
      </c>
      <c r="D2445">
        <v>1</v>
      </c>
      <c r="E2445" t="s">
        <v>100</v>
      </c>
      <c r="F2445" t="s">
        <v>24</v>
      </c>
      <c r="G2445" t="str">
        <f>"2025-02-15 00:54:14.999"</f>
        <v>2025-02-15 00:54:14.999</v>
      </c>
      <c r="H2445" t="s">
        <v>21</v>
      </c>
    </row>
    <row r="2446" spans="1:10" x14ac:dyDescent="0.25">
      <c r="A2446" s="1">
        <v>545</v>
      </c>
      <c r="B2446" t="s">
        <v>34</v>
      </c>
      <c r="C2446">
        <v>625</v>
      </c>
      <c r="D2446">
        <v>1</v>
      </c>
      <c r="E2446" t="s">
        <v>100</v>
      </c>
      <c r="F2446" t="s">
        <v>24</v>
      </c>
      <c r="G2446" t="str">
        <f>"2025-02-15 00:52:06.778"</f>
        <v>2025-02-15 00:52:06.778</v>
      </c>
      <c r="H2446" t="s">
        <v>21</v>
      </c>
      <c r="I2446">
        <v>20.329999999999998</v>
      </c>
      <c r="J2446" t="s">
        <v>36</v>
      </c>
    </row>
    <row r="2447" spans="1:10" x14ac:dyDescent="0.25">
      <c r="A2447" s="1">
        <v>546</v>
      </c>
      <c r="B2447" t="s">
        <v>22</v>
      </c>
      <c r="C2447">
        <v>635</v>
      </c>
      <c r="D2447">
        <v>1</v>
      </c>
      <c r="E2447" t="s">
        <v>23</v>
      </c>
      <c r="F2447" t="s">
        <v>24</v>
      </c>
      <c r="G2447" t="str">
        <f>"2025-02-13 17:23:01.398"</f>
        <v>2025-02-13 17:23:01.398</v>
      </c>
      <c r="H2447" t="s">
        <v>21</v>
      </c>
    </row>
    <row r="2448" spans="1:10" x14ac:dyDescent="0.25">
      <c r="A2448" s="1">
        <v>547</v>
      </c>
      <c r="B2448" t="s">
        <v>25</v>
      </c>
      <c r="C2448">
        <v>635</v>
      </c>
      <c r="D2448">
        <v>1</v>
      </c>
      <c r="E2448" t="s">
        <v>23</v>
      </c>
      <c r="F2448" t="s">
        <v>24</v>
      </c>
      <c r="G2448" t="str">
        <f>"2025-02-13 17:18:28.398"</f>
        <v>2025-02-13 17:18:28.398</v>
      </c>
      <c r="H2448" t="s">
        <v>21</v>
      </c>
      <c r="I2448">
        <v>1.95</v>
      </c>
      <c r="J2448" t="s">
        <v>36</v>
      </c>
    </row>
    <row r="2449" spans="1:10" x14ac:dyDescent="0.25">
      <c r="A2449" s="1">
        <v>548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"2025-02-12 04:56:26.290"</f>
        <v>2025-02-12 04:56:26.290</v>
      </c>
      <c r="H2449" t="s">
        <v>21</v>
      </c>
    </row>
    <row r="2450" spans="1:10" x14ac:dyDescent="0.25">
      <c r="A2450" s="1">
        <v>549</v>
      </c>
      <c r="B2450" t="s">
        <v>22</v>
      </c>
      <c r="C2450">
        <v>61</v>
      </c>
      <c r="D2450">
        <v>2</v>
      </c>
      <c r="E2450" t="s">
        <v>58</v>
      </c>
      <c r="F2450" t="s">
        <v>59</v>
      </c>
      <c r="G2450" t="str">
        <f>"2025-02-11 18:20:32.802"</f>
        <v>2025-02-11 18:20:32.802</v>
      </c>
      <c r="H2450" t="s">
        <v>21</v>
      </c>
    </row>
    <row r="2451" spans="1:10" x14ac:dyDescent="0.25">
      <c r="A2451" s="1">
        <v>550</v>
      </c>
      <c r="B2451" t="s">
        <v>34</v>
      </c>
      <c r="C2451">
        <v>61</v>
      </c>
      <c r="D2451">
        <v>2</v>
      </c>
      <c r="E2451" t="s">
        <v>58</v>
      </c>
      <c r="F2451" t="s">
        <v>59</v>
      </c>
      <c r="G2451" t="str">
        <f>"2025-02-11 18:20:17.702"</f>
        <v>2025-02-11 18:20:17.702</v>
      </c>
      <c r="H2451" t="s">
        <v>21</v>
      </c>
      <c r="I2451">
        <v>36.47</v>
      </c>
      <c r="J2451" t="s">
        <v>37</v>
      </c>
    </row>
    <row r="2452" spans="1:10" x14ac:dyDescent="0.25">
      <c r="A2452" s="1">
        <v>551</v>
      </c>
      <c r="B2452" t="s">
        <v>22</v>
      </c>
      <c r="C2452">
        <v>61</v>
      </c>
      <c r="D2452">
        <v>2</v>
      </c>
      <c r="E2452" t="s">
        <v>58</v>
      </c>
      <c r="F2452" t="s">
        <v>59</v>
      </c>
      <c r="G2452" t="str">
        <f>"2025-02-10 17:36:10.202"</f>
        <v>2025-02-10 17:36:10.202</v>
      </c>
      <c r="H2452" t="s">
        <v>21</v>
      </c>
    </row>
    <row r="2453" spans="1:10" x14ac:dyDescent="0.25">
      <c r="A2453" s="1">
        <v>552</v>
      </c>
      <c r="B2453" t="s">
        <v>34</v>
      </c>
      <c r="C2453">
        <v>61</v>
      </c>
      <c r="D2453">
        <v>2</v>
      </c>
      <c r="E2453" t="s">
        <v>58</v>
      </c>
      <c r="F2453" t="s">
        <v>59</v>
      </c>
      <c r="G2453" t="str">
        <f>"2025-02-10 17:36:02.002"</f>
        <v>2025-02-10 17:36:02.002</v>
      </c>
      <c r="H2453" t="s">
        <v>21</v>
      </c>
      <c r="I2453">
        <v>35.119999999999997</v>
      </c>
      <c r="J2453" t="s">
        <v>37</v>
      </c>
    </row>
    <row r="2454" spans="1:10" x14ac:dyDescent="0.25">
      <c r="A2454" s="1">
        <v>553</v>
      </c>
      <c r="B2454" t="s">
        <v>22</v>
      </c>
      <c r="C2454">
        <v>61</v>
      </c>
      <c r="D2454">
        <v>2</v>
      </c>
      <c r="E2454" t="s">
        <v>58</v>
      </c>
      <c r="F2454" t="s">
        <v>59</v>
      </c>
      <c r="G2454" t="str">
        <f>"2025-02-10 15:36:32.302"</f>
        <v>2025-02-10 15:36:32.302</v>
      </c>
      <c r="H2454" t="s">
        <v>21</v>
      </c>
    </row>
    <row r="2455" spans="1:10" x14ac:dyDescent="0.25">
      <c r="A2455" s="1">
        <v>554</v>
      </c>
      <c r="B2455" t="s">
        <v>34</v>
      </c>
      <c r="C2455">
        <v>61</v>
      </c>
      <c r="D2455">
        <v>2</v>
      </c>
      <c r="E2455" t="s">
        <v>58</v>
      </c>
      <c r="F2455" t="s">
        <v>59</v>
      </c>
      <c r="G2455" t="str">
        <f>"2025-02-10 15:36:24.302"</f>
        <v>2025-02-10 15:36:24.302</v>
      </c>
      <c r="H2455" t="s">
        <v>21</v>
      </c>
      <c r="I2455">
        <v>35.08</v>
      </c>
      <c r="J2455" t="s">
        <v>37</v>
      </c>
    </row>
    <row r="2456" spans="1:10" s="3" customFormat="1" x14ac:dyDescent="0.25">
      <c r="A2456" s="2">
        <v>555</v>
      </c>
      <c r="B2456" s="3" t="s">
        <v>22</v>
      </c>
      <c r="C2456" s="3">
        <v>647</v>
      </c>
      <c r="D2456" s="3">
        <v>1</v>
      </c>
      <c r="E2456" s="3" t="s">
        <v>39</v>
      </c>
      <c r="F2456" s="3" t="s">
        <v>40</v>
      </c>
      <c r="G2456" s="3" t="str">
        <f>"2025-02-10 10:32:57.502"</f>
        <v>2025-02-10 10:32:57.502</v>
      </c>
      <c r="H2456" s="3" t="s">
        <v>21</v>
      </c>
    </row>
    <row r="2457" spans="1:10" s="3" customFormat="1" x14ac:dyDescent="0.25">
      <c r="A2457" s="2">
        <v>556</v>
      </c>
      <c r="B2457" s="3" t="s">
        <v>25</v>
      </c>
      <c r="C2457" s="3">
        <v>647</v>
      </c>
      <c r="D2457" s="3">
        <v>1</v>
      </c>
      <c r="E2457" s="3" t="s">
        <v>39</v>
      </c>
      <c r="F2457" s="3" t="s">
        <v>40</v>
      </c>
      <c r="G2457" s="3" t="str">
        <f>"2025-02-10 10:32:55.602"</f>
        <v>2025-02-10 10:32:55.602</v>
      </c>
      <c r="H2457" s="3" t="s">
        <v>21</v>
      </c>
      <c r="I2457" s="3">
        <v>17.27</v>
      </c>
      <c r="J2457" s="3" t="s">
        <v>37</v>
      </c>
    </row>
    <row r="2458" spans="1:10" s="3" customFormat="1" x14ac:dyDescent="0.25">
      <c r="A2458" s="2">
        <v>557</v>
      </c>
      <c r="B2458" s="3" t="s">
        <v>22</v>
      </c>
      <c r="C2458" s="3">
        <v>647</v>
      </c>
      <c r="D2458" s="3">
        <v>1</v>
      </c>
      <c r="E2458" s="3" t="s">
        <v>39</v>
      </c>
      <c r="F2458" s="3" t="s">
        <v>40</v>
      </c>
      <c r="G2458" s="3" t="str">
        <f>"2025-02-09 16:28:36.402"</f>
        <v>2025-02-09 16:28:36.402</v>
      </c>
      <c r="H2458" s="3" t="s">
        <v>21</v>
      </c>
    </row>
    <row r="2459" spans="1:10" s="3" customFormat="1" x14ac:dyDescent="0.25">
      <c r="A2459" s="2">
        <v>558</v>
      </c>
      <c r="B2459" s="3" t="s">
        <v>25</v>
      </c>
      <c r="C2459" s="3">
        <v>647</v>
      </c>
      <c r="D2459" s="3">
        <v>1</v>
      </c>
      <c r="E2459" s="3" t="s">
        <v>39</v>
      </c>
      <c r="F2459" s="3" t="s">
        <v>40</v>
      </c>
      <c r="G2459" s="3" t="str">
        <f>"2025-02-09 16:28:35.102"</f>
        <v>2025-02-09 16:28:35.102</v>
      </c>
      <c r="H2459" s="3" t="s">
        <v>21</v>
      </c>
      <c r="I2459" s="3">
        <v>22.56</v>
      </c>
      <c r="J2459" s="3" t="s">
        <v>37</v>
      </c>
    </row>
    <row r="2460" spans="1:10" s="3" customFormat="1" x14ac:dyDescent="0.25">
      <c r="A2460" s="2">
        <v>559</v>
      </c>
      <c r="B2460" s="3" t="s">
        <v>22</v>
      </c>
      <c r="C2460" s="3">
        <v>647</v>
      </c>
      <c r="D2460" s="3">
        <v>1</v>
      </c>
      <c r="E2460" s="3" t="s">
        <v>39</v>
      </c>
      <c r="F2460" s="3" t="s">
        <v>40</v>
      </c>
      <c r="G2460" s="3" t="str">
        <f>"2025-02-09 15:42:25.502"</f>
        <v>2025-02-09 15:42:25.502</v>
      </c>
      <c r="H2460" s="3" t="s">
        <v>21</v>
      </c>
    </row>
    <row r="2461" spans="1:10" s="3" customFormat="1" x14ac:dyDescent="0.25">
      <c r="A2461" s="2">
        <v>560</v>
      </c>
      <c r="B2461" s="3" t="s">
        <v>25</v>
      </c>
      <c r="C2461" s="3">
        <v>647</v>
      </c>
      <c r="D2461" s="3">
        <v>1</v>
      </c>
      <c r="E2461" s="3" t="s">
        <v>39</v>
      </c>
      <c r="F2461" s="3" t="s">
        <v>40</v>
      </c>
      <c r="G2461" s="3" t="str">
        <f>"2025-02-09 15:42:22.402"</f>
        <v>2025-02-09 15:42:22.402</v>
      </c>
      <c r="H2461" s="3" t="s">
        <v>21</v>
      </c>
      <c r="I2461" s="3">
        <v>24.24</v>
      </c>
      <c r="J2461" s="3" t="s">
        <v>37</v>
      </c>
    </row>
    <row r="2462" spans="1:10" s="3" customFormat="1" x14ac:dyDescent="0.25">
      <c r="A2462" s="2">
        <v>561</v>
      </c>
      <c r="B2462" s="3" t="s">
        <v>22</v>
      </c>
      <c r="C2462" s="3">
        <v>647</v>
      </c>
      <c r="D2462" s="3">
        <v>1</v>
      </c>
      <c r="E2462" s="3" t="s">
        <v>39</v>
      </c>
      <c r="F2462" s="3" t="s">
        <v>40</v>
      </c>
      <c r="G2462" s="3" t="str">
        <f>"2025-02-08 03:00:17.402"</f>
        <v>2025-02-08 03:00:17.402</v>
      </c>
      <c r="H2462" s="3" t="s">
        <v>21</v>
      </c>
    </row>
    <row r="2463" spans="1:10" s="3" customFormat="1" x14ac:dyDescent="0.25">
      <c r="A2463" s="2">
        <v>562</v>
      </c>
      <c r="B2463" s="3" t="s">
        <v>25</v>
      </c>
      <c r="C2463" s="3">
        <v>647</v>
      </c>
      <c r="D2463" s="3">
        <v>1</v>
      </c>
      <c r="E2463" s="3" t="s">
        <v>39</v>
      </c>
      <c r="F2463" s="3" t="s">
        <v>40</v>
      </c>
      <c r="G2463" s="3" t="str">
        <f>"2025-02-08 03:00:13.802"</f>
        <v>2025-02-08 03:00:13.802</v>
      </c>
      <c r="H2463" s="3" t="s">
        <v>21</v>
      </c>
      <c r="I2463" s="3">
        <v>11.16</v>
      </c>
      <c r="J2463" s="3" t="s">
        <v>37</v>
      </c>
    </row>
    <row r="2464" spans="1:10" x14ac:dyDescent="0.25">
      <c r="A2464" s="1">
        <v>563</v>
      </c>
      <c r="B2464" t="s">
        <v>22</v>
      </c>
      <c r="C2464">
        <v>619</v>
      </c>
      <c r="D2464">
        <v>1</v>
      </c>
      <c r="E2464" t="s">
        <v>54</v>
      </c>
      <c r="F2464" t="s">
        <v>24</v>
      </c>
      <c r="G2464" t="str">
        <f>"2025-02-07 04:07:12.501"</f>
        <v>2025-02-07 04:07:12.501</v>
      </c>
      <c r="H2464" t="s">
        <v>55</v>
      </c>
    </row>
    <row r="2465" spans="1:10" x14ac:dyDescent="0.25">
      <c r="A2465" s="1">
        <v>564</v>
      </c>
      <c r="B2465" t="s">
        <v>25</v>
      </c>
      <c r="C2465">
        <v>619</v>
      </c>
      <c r="D2465">
        <v>1</v>
      </c>
      <c r="E2465" t="s">
        <v>54</v>
      </c>
      <c r="F2465" t="s">
        <v>24</v>
      </c>
      <c r="G2465" t="str">
        <f>"2025-02-07 04:06:26.848"</f>
        <v>2025-02-07 04:06:26.848</v>
      </c>
      <c r="H2465" t="s">
        <v>55</v>
      </c>
      <c r="I2465">
        <v>0</v>
      </c>
      <c r="J2465" t="s">
        <v>33</v>
      </c>
    </row>
    <row r="2466" spans="1:10" x14ac:dyDescent="0.25">
      <c r="A2466" s="1">
        <v>565</v>
      </c>
      <c r="B2466" t="s">
        <v>19</v>
      </c>
      <c r="C2466">
        <v>706</v>
      </c>
      <c r="D2466">
        <v>4</v>
      </c>
      <c r="E2466" t="s">
        <v>31</v>
      </c>
      <c r="F2466" t="s">
        <v>32</v>
      </c>
      <c r="G2466" t="str">
        <f>"2025-02-07 04:06:20.250"</f>
        <v>2025-02-07 04:06:20.250</v>
      </c>
      <c r="H2466" t="s">
        <v>21</v>
      </c>
      <c r="I2466">
        <v>0</v>
      </c>
      <c r="J2466" t="s">
        <v>33</v>
      </c>
    </row>
    <row r="2467" spans="1:10" x14ac:dyDescent="0.25">
      <c r="A2467" s="1">
        <v>566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"2025-02-07 04:03:06.280"</f>
        <v>2025-02-07 04:03:06.280</v>
      </c>
      <c r="H2467" t="s">
        <v>21</v>
      </c>
      <c r="I2467">
        <v>0</v>
      </c>
      <c r="J2467" t="s">
        <v>27</v>
      </c>
    </row>
    <row r="2468" spans="1:10" x14ac:dyDescent="0.25">
      <c r="A2468" s="1">
        <v>567</v>
      </c>
      <c r="B2468" t="s">
        <v>41</v>
      </c>
      <c r="C2468">
        <v>215</v>
      </c>
      <c r="D2468">
        <v>6</v>
      </c>
      <c r="E2468" t="s">
        <v>42</v>
      </c>
      <c r="F2468" t="s">
        <v>43</v>
      </c>
      <c r="G2468" t="str">
        <f>"2025-02-07 03:47:13.103"</f>
        <v>2025-02-07 03:47:13.103</v>
      </c>
      <c r="H2468" t="s">
        <v>21</v>
      </c>
    </row>
    <row r="2469" spans="1:10" x14ac:dyDescent="0.25">
      <c r="A2469" s="1">
        <v>568</v>
      </c>
      <c r="B2469" t="s">
        <v>41</v>
      </c>
      <c r="C2469">
        <v>115</v>
      </c>
      <c r="D2469">
        <v>6</v>
      </c>
      <c r="E2469" t="s">
        <v>44</v>
      </c>
      <c r="F2469" t="s">
        <v>43</v>
      </c>
      <c r="G2469" t="str">
        <f>"2025-02-07 03:47:13.003"</f>
        <v>2025-02-07 03:47:13.003</v>
      </c>
      <c r="H2469" t="s">
        <v>21</v>
      </c>
    </row>
    <row r="2470" spans="1:10" x14ac:dyDescent="0.25">
      <c r="A2470" s="1">
        <v>569</v>
      </c>
      <c r="B2470" t="s">
        <v>34</v>
      </c>
      <c r="C2470">
        <v>215</v>
      </c>
      <c r="D2470">
        <v>6</v>
      </c>
      <c r="E2470" t="s">
        <v>42</v>
      </c>
      <c r="F2470" t="s">
        <v>43</v>
      </c>
      <c r="G2470" t="str">
        <f>"2025-02-07 03:47:07.972"</f>
        <v>2025-02-07 03:47:07.972</v>
      </c>
      <c r="H2470" t="s">
        <v>21</v>
      </c>
      <c r="I2470">
        <v>0</v>
      </c>
      <c r="J2470" t="s">
        <v>33</v>
      </c>
    </row>
    <row r="2471" spans="1:10" x14ac:dyDescent="0.25">
      <c r="A2471" s="1">
        <v>570</v>
      </c>
      <c r="B2471" t="s">
        <v>34</v>
      </c>
      <c r="C2471">
        <v>115</v>
      </c>
      <c r="D2471">
        <v>6</v>
      </c>
      <c r="E2471" t="s">
        <v>44</v>
      </c>
      <c r="F2471" t="s">
        <v>43</v>
      </c>
      <c r="G2471" t="str">
        <f>"2025-02-07 03:47:07.952"</f>
        <v>2025-02-07 03:47:07.952</v>
      </c>
      <c r="H2471" t="s">
        <v>21</v>
      </c>
      <c r="I2471">
        <v>0</v>
      </c>
      <c r="J2471" t="s">
        <v>33</v>
      </c>
    </row>
    <row r="2472" spans="1:10" x14ac:dyDescent="0.25">
      <c r="A2472" s="1">
        <v>571</v>
      </c>
      <c r="B2472" t="s">
        <v>22</v>
      </c>
      <c r="C2472">
        <v>6</v>
      </c>
      <c r="D2472">
        <v>1</v>
      </c>
      <c r="E2472" t="s">
        <v>45</v>
      </c>
      <c r="F2472" t="s">
        <v>46</v>
      </c>
      <c r="G2472" t="str">
        <f>"2025-02-07 03:47:07.826"</f>
        <v>2025-02-07 03:47:07.826</v>
      </c>
      <c r="H2472" t="s">
        <v>47</v>
      </c>
    </row>
    <row r="2473" spans="1:10" x14ac:dyDescent="0.25">
      <c r="A2473" s="1">
        <v>572</v>
      </c>
      <c r="B2473" t="s">
        <v>22</v>
      </c>
      <c r="C2473">
        <v>75</v>
      </c>
      <c r="D2473">
        <v>1</v>
      </c>
      <c r="E2473" t="s">
        <v>48</v>
      </c>
      <c r="F2473" t="s">
        <v>49</v>
      </c>
      <c r="G2473" t="str">
        <f>"2025-02-07 03:47:07.824"</f>
        <v>2025-02-07 03:47:07.824</v>
      </c>
      <c r="H2473" t="s">
        <v>50</v>
      </c>
    </row>
    <row r="2474" spans="1:10" x14ac:dyDescent="0.25">
      <c r="A2474" s="1">
        <v>573</v>
      </c>
      <c r="B2474" t="s">
        <v>22</v>
      </c>
      <c r="C2474">
        <v>74</v>
      </c>
      <c r="D2474">
        <v>1</v>
      </c>
      <c r="E2474" t="s">
        <v>51</v>
      </c>
      <c r="F2474" t="s">
        <v>52</v>
      </c>
      <c r="G2474" t="str">
        <f>"2025-02-07 03:47:07.823"</f>
        <v>2025-02-07 03:47:07.823</v>
      </c>
      <c r="H2474" t="s">
        <v>53</v>
      </c>
    </row>
    <row r="2475" spans="1:10" x14ac:dyDescent="0.25">
      <c r="A2475" s="1">
        <v>574</v>
      </c>
      <c r="B2475" t="s">
        <v>25</v>
      </c>
      <c r="C2475">
        <v>75</v>
      </c>
      <c r="D2475">
        <v>1</v>
      </c>
      <c r="E2475" t="s">
        <v>48</v>
      </c>
      <c r="F2475" t="s">
        <v>49</v>
      </c>
      <c r="G2475" t="str">
        <f>"2025-02-07 03:46:56.379"</f>
        <v>2025-02-07 03:46:56.379</v>
      </c>
      <c r="H2475" t="s">
        <v>50</v>
      </c>
      <c r="I2475">
        <v>0</v>
      </c>
      <c r="J2475" t="s">
        <v>33</v>
      </c>
    </row>
    <row r="2476" spans="1:10" x14ac:dyDescent="0.25">
      <c r="A2476" s="1">
        <v>575</v>
      </c>
      <c r="B2476" t="s">
        <v>25</v>
      </c>
      <c r="C2476">
        <v>74</v>
      </c>
      <c r="D2476">
        <v>1</v>
      </c>
      <c r="E2476" t="s">
        <v>51</v>
      </c>
      <c r="F2476" t="s">
        <v>52</v>
      </c>
      <c r="G2476" t="str">
        <f>"2025-02-07 03:46:56.375"</f>
        <v>2025-02-07 03:46:56.375</v>
      </c>
      <c r="H2476" t="s">
        <v>53</v>
      </c>
      <c r="I2476">
        <v>0</v>
      </c>
      <c r="J2476" t="s">
        <v>33</v>
      </c>
    </row>
    <row r="2477" spans="1:10" x14ac:dyDescent="0.25">
      <c r="A2477" s="1">
        <v>576</v>
      </c>
      <c r="B2477" t="s">
        <v>34</v>
      </c>
      <c r="C2477">
        <v>6</v>
      </c>
      <c r="D2477">
        <v>1</v>
      </c>
      <c r="E2477" t="s">
        <v>45</v>
      </c>
      <c r="F2477" t="s">
        <v>46</v>
      </c>
      <c r="G2477" t="str">
        <f>"2025-02-07 03:46:56.372"</f>
        <v>2025-02-07 03:46:56.372</v>
      </c>
      <c r="H2477" t="s">
        <v>47</v>
      </c>
      <c r="I2477">
        <v>0</v>
      </c>
      <c r="J2477" t="s">
        <v>33</v>
      </c>
    </row>
    <row r="2478" spans="1:10" x14ac:dyDescent="0.25">
      <c r="A2478" s="1">
        <v>581</v>
      </c>
      <c r="B2478" t="s">
        <v>34</v>
      </c>
      <c r="C2478">
        <v>630</v>
      </c>
      <c r="D2478">
        <v>5</v>
      </c>
      <c r="E2478" t="s">
        <v>28</v>
      </c>
      <c r="F2478" t="s">
        <v>29</v>
      </c>
      <c r="G2478" t="str">
        <f>"2025-02-07 03:34:45.885"</f>
        <v>2025-02-07 03:34:45.885</v>
      </c>
      <c r="H2478" t="s">
        <v>30</v>
      </c>
      <c r="I2478">
        <v>0</v>
      </c>
      <c r="J2478" t="s">
        <v>33</v>
      </c>
    </row>
    <row r="2479" spans="1:10" x14ac:dyDescent="0.25">
      <c r="A2479" s="1">
        <v>582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"2025-02-07 03:29:43.253"</f>
        <v>2025-02-07 03:29:43.253</v>
      </c>
      <c r="H2479" t="s">
        <v>21</v>
      </c>
    </row>
    <row r="2480" spans="1:10" x14ac:dyDescent="0.25">
      <c r="A2480" s="1">
        <v>583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"2025-02-07 02:35:56.268"</f>
        <v>2025-02-07 02:35:56.268</v>
      </c>
      <c r="H2480" t="s">
        <v>21</v>
      </c>
    </row>
    <row r="2481" spans="1:10" x14ac:dyDescent="0.25">
      <c r="A2481" s="1">
        <v>584</v>
      </c>
      <c r="B2481" t="s">
        <v>22</v>
      </c>
      <c r="C2481">
        <v>98</v>
      </c>
      <c r="D2481">
        <v>1</v>
      </c>
      <c r="E2481" t="s">
        <v>60</v>
      </c>
      <c r="F2481" t="s">
        <v>61</v>
      </c>
      <c r="G2481" t="str">
        <f>"2025-02-05 17:44:04.487"</f>
        <v>2025-02-05 17:44:04.487</v>
      </c>
      <c r="H2481" t="s">
        <v>21</v>
      </c>
    </row>
    <row r="2482" spans="1:10" x14ac:dyDescent="0.25">
      <c r="A2482" s="1">
        <v>585</v>
      </c>
      <c r="B2482" t="s">
        <v>25</v>
      </c>
      <c r="C2482">
        <v>98</v>
      </c>
      <c r="D2482">
        <v>1</v>
      </c>
      <c r="E2482" t="s">
        <v>60</v>
      </c>
      <c r="F2482" t="s">
        <v>61</v>
      </c>
      <c r="G2482" t="str">
        <f>"2025-02-05 17:44:03.487"</f>
        <v>2025-02-05 17:44:03.487</v>
      </c>
      <c r="H2482" t="s">
        <v>21</v>
      </c>
      <c r="I2482">
        <v>30.63</v>
      </c>
      <c r="J2482" t="s">
        <v>37</v>
      </c>
    </row>
    <row r="2483" spans="1:10" s="3" customFormat="1" x14ac:dyDescent="0.25">
      <c r="A2483" s="2">
        <v>586</v>
      </c>
      <c r="B2483" s="3" t="s">
        <v>22</v>
      </c>
      <c r="C2483" s="3">
        <v>647</v>
      </c>
      <c r="D2483" s="3">
        <v>1</v>
      </c>
      <c r="E2483" s="3" t="s">
        <v>39</v>
      </c>
      <c r="F2483" s="3" t="s">
        <v>40</v>
      </c>
      <c r="G2483" s="3" t="str">
        <f>"2025-02-05 09:24:09.787"</f>
        <v>2025-02-05 09:24:09.787</v>
      </c>
      <c r="H2483" s="3" t="s">
        <v>21</v>
      </c>
    </row>
    <row r="2484" spans="1:10" s="3" customFormat="1" x14ac:dyDescent="0.25">
      <c r="A2484" s="2">
        <v>587</v>
      </c>
      <c r="B2484" s="3" t="s">
        <v>25</v>
      </c>
      <c r="C2484" s="3">
        <v>647</v>
      </c>
      <c r="D2484" s="3">
        <v>1</v>
      </c>
      <c r="E2484" s="3" t="s">
        <v>39</v>
      </c>
      <c r="F2484" s="3" t="s">
        <v>40</v>
      </c>
      <c r="G2484" s="3" t="str">
        <f>"2025-02-05 09:24:05.287"</f>
        <v>2025-02-05 09:24:05.287</v>
      </c>
      <c r="H2484" s="3" t="s">
        <v>21</v>
      </c>
      <c r="I2484" s="3">
        <v>12.62</v>
      </c>
      <c r="J2484" s="3" t="s">
        <v>37</v>
      </c>
    </row>
    <row r="2485" spans="1:10" x14ac:dyDescent="0.25">
      <c r="A2485" s="1">
        <v>588</v>
      </c>
      <c r="B2485" t="s">
        <v>41</v>
      </c>
      <c r="C2485">
        <v>137</v>
      </c>
      <c r="D2485">
        <v>7</v>
      </c>
      <c r="E2485" t="s">
        <v>101</v>
      </c>
      <c r="F2485" t="s">
        <v>102</v>
      </c>
      <c r="G2485" t="str">
        <f>"2025-02-04 23:16:45.065"</f>
        <v>2025-02-04 23:16:45.065</v>
      </c>
      <c r="H2485" t="s">
        <v>53</v>
      </c>
    </row>
    <row r="2486" spans="1:10" x14ac:dyDescent="0.25">
      <c r="A2486" s="1">
        <v>589</v>
      </c>
      <c r="B2486" t="s">
        <v>34</v>
      </c>
      <c r="C2486">
        <v>137</v>
      </c>
      <c r="D2486">
        <v>7</v>
      </c>
      <c r="E2486" t="s">
        <v>101</v>
      </c>
      <c r="F2486" t="s">
        <v>102</v>
      </c>
      <c r="G2486" t="str">
        <f>"2025-02-04 23:16:40.050"</f>
        <v>2025-02-04 23:16:40.050</v>
      </c>
      <c r="H2486" t="s">
        <v>53</v>
      </c>
      <c r="I2486">
        <v>0</v>
      </c>
      <c r="J2486" t="s">
        <v>26</v>
      </c>
    </row>
    <row r="2487" spans="1:10" s="3" customFormat="1" x14ac:dyDescent="0.25">
      <c r="A2487" s="2">
        <v>590</v>
      </c>
      <c r="B2487" s="3" t="s">
        <v>22</v>
      </c>
      <c r="C2487" s="3">
        <v>647</v>
      </c>
      <c r="D2487" s="3">
        <v>1</v>
      </c>
      <c r="E2487" s="3" t="s">
        <v>39</v>
      </c>
      <c r="F2487" s="3" t="s">
        <v>40</v>
      </c>
      <c r="G2487" s="3" t="str">
        <f>"2025-02-04 19:55:42.987"</f>
        <v>2025-02-04 19:55:42.987</v>
      </c>
      <c r="H2487" s="3" t="s">
        <v>21</v>
      </c>
    </row>
    <row r="2488" spans="1:10" s="3" customFormat="1" x14ac:dyDescent="0.25">
      <c r="A2488" s="2">
        <v>591</v>
      </c>
      <c r="B2488" s="3" t="s">
        <v>25</v>
      </c>
      <c r="C2488" s="3">
        <v>647</v>
      </c>
      <c r="D2488" s="3">
        <v>1</v>
      </c>
      <c r="E2488" s="3" t="s">
        <v>39</v>
      </c>
      <c r="F2488" s="3" t="s">
        <v>40</v>
      </c>
      <c r="G2488" s="3" t="str">
        <f>"2025-02-04 19:55:40.687"</f>
        <v>2025-02-04 19:55:40.687</v>
      </c>
      <c r="H2488" s="3" t="s">
        <v>21</v>
      </c>
      <c r="I2488" s="3">
        <v>13.69</v>
      </c>
      <c r="J2488" s="3" t="s">
        <v>37</v>
      </c>
    </row>
    <row r="2489" spans="1:10" x14ac:dyDescent="0.25">
      <c r="A2489" s="1">
        <v>592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"2025-02-04 12:22:50.256"</f>
        <v>2025-02-04 12:22:50.256</v>
      </c>
      <c r="H2489" t="s">
        <v>21</v>
      </c>
      <c r="I2489">
        <v>0</v>
      </c>
      <c r="J2489" t="s">
        <v>27</v>
      </c>
    </row>
    <row r="2490" spans="1:10" x14ac:dyDescent="0.25">
      <c r="A2490" s="1">
        <v>593</v>
      </c>
      <c r="B2490" t="s">
        <v>41</v>
      </c>
      <c r="C2490">
        <v>137</v>
      </c>
      <c r="D2490">
        <v>4</v>
      </c>
      <c r="E2490" t="s">
        <v>101</v>
      </c>
      <c r="F2490" t="s">
        <v>103</v>
      </c>
      <c r="G2490" t="str">
        <f>"2025-02-04 11:51:54.969"</f>
        <v>2025-02-04 11:51:54.969</v>
      </c>
      <c r="H2490" t="s">
        <v>53</v>
      </c>
    </row>
    <row r="2491" spans="1:10" x14ac:dyDescent="0.25">
      <c r="A2491" s="1">
        <v>594</v>
      </c>
      <c r="B2491" t="s">
        <v>34</v>
      </c>
      <c r="C2491">
        <v>137</v>
      </c>
      <c r="D2491">
        <v>4</v>
      </c>
      <c r="E2491" t="s">
        <v>101</v>
      </c>
      <c r="F2491" t="s">
        <v>103</v>
      </c>
      <c r="G2491" t="str">
        <f>"2025-02-04 11:51:49.893"</f>
        <v>2025-02-04 11:51:49.893</v>
      </c>
      <c r="H2491" t="s">
        <v>53</v>
      </c>
      <c r="I2491">
        <v>13.57</v>
      </c>
      <c r="J2491" t="s">
        <v>36</v>
      </c>
    </row>
    <row r="2492" spans="1:10" x14ac:dyDescent="0.25">
      <c r="A2492" s="1">
        <v>595</v>
      </c>
      <c r="B2492" t="s">
        <v>19</v>
      </c>
      <c r="C2492">
        <v>700</v>
      </c>
      <c r="D2492">
        <v>0</v>
      </c>
      <c r="E2492" t="s">
        <v>20</v>
      </c>
      <c r="F2492" t="s">
        <v>20</v>
      </c>
      <c r="G2492" t="str">
        <f>"2025-02-04 09:08:23.246"</f>
        <v>2025-02-04 09:08:23.246</v>
      </c>
      <c r="H2492" t="s">
        <v>21</v>
      </c>
    </row>
    <row r="2493" spans="1:10" x14ac:dyDescent="0.25">
      <c r="A2493" s="1">
        <v>596</v>
      </c>
      <c r="B2493" t="s">
        <v>41</v>
      </c>
      <c r="C2493">
        <v>137</v>
      </c>
      <c r="D2493">
        <v>4</v>
      </c>
      <c r="E2493" t="s">
        <v>101</v>
      </c>
      <c r="F2493" t="s">
        <v>103</v>
      </c>
      <c r="G2493" t="str">
        <f>"2025-02-03 17:59:06.172"</f>
        <v>2025-02-03 17:59:06.172</v>
      </c>
      <c r="H2493" t="s">
        <v>53</v>
      </c>
    </row>
    <row r="2494" spans="1:10" x14ac:dyDescent="0.25">
      <c r="A2494" s="1">
        <v>597</v>
      </c>
      <c r="B2494" t="s">
        <v>34</v>
      </c>
      <c r="C2494">
        <v>137</v>
      </c>
      <c r="D2494">
        <v>4</v>
      </c>
      <c r="E2494" t="s">
        <v>101</v>
      </c>
      <c r="F2494" t="s">
        <v>103</v>
      </c>
      <c r="G2494" t="str">
        <f>"2025-02-03 17:59:01.160"</f>
        <v>2025-02-03 17:59:01.160</v>
      </c>
      <c r="H2494" t="s">
        <v>53</v>
      </c>
      <c r="I2494">
        <v>5.93</v>
      </c>
      <c r="J2494" t="s">
        <v>36</v>
      </c>
    </row>
    <row r="2495" spans="1:10" x14ac:dyDescent="0.25">
      <c r="A2495" s="1">
        <v>598</v>
      </c>
      <c r="B2495" t="s">
        <v>41</v>
      </c>
      <c r="C2495">
        <v>137</v>
      </c>
      <c r="D2495">
        <v>4</v>
      </c>
      <c r="E2495" t="s">
        <v>101</v>
      </c>
      <c r="F2495" t="s">
        <v>103</v>
      </c>
      <c r="G2495" t="str">
        <f>"2025-02-03 00:21:52.872"</f>
        <v>2025-02-03 00:21:52.872</v>
      </c>
      <c r="H2495" t="s">
        <v>53</v>
      </c>
    </row>
    <row r="2496" spans="1:10" x14ac:dyDescent="0.25">
      <c r="A2496" s="1">
        <v>599</v>
      </c>
      <c r="B2496" t="s">
        <v>34</v>
      </c>
      <c r="C2496">
        <v>137</v>
      </c>
      <c r="D2496">
        <v>4</v>
      </c>
      <c r="E2496" t="s">
        <v>101</v>
      </c>
      <c r="F2496" t="s">
        <v>103</v>
      </c>
      <c r="G2496" t="str">
        <f>"2025-02-03 00:21:47.800"</f>
        <v>2025-02-03 00:21:47.800</v>
      </c>
      <c r="H2496" t="s">
        <v>53</v>
      </c>
      <c r="I2496">
        <v>11.42</v>
      </c>
      <c r="J2496" t="s">
        <v>36</v>
      </c>
    </row>
    <row r="2497" spans="1:10" x14ac:dyDescent="0.25">
      <c r="A2497" s="1">
        <v>600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"2025-02-02 09:37:51.356"</f>
        <v>2025-02-02 09:37:51.356</v>
      </c>
      <c r="H2497" t="s">
        <v>21</v>
      </c>
    </row>
    <row r="2498" spans="1:10" x14ac:dyDescent="0.25">
      <c r="A2498" s="1">
        <v>601</v>
      </c>
      <c r="B2498" t="s">
        <v>41</v>
      </c>
      <c r="C2498">
        <v>137</v>
      </c>
      <c r="D2498">
        <v>4</v>
      </c>
      <c r="E2498" t="s">
        <v>101</v>
      </c>
      <c r="F2498" t="s">
        <v>103</v>
      </c>
      <c r="G2498" t="str">
        <f>"2025-02-02 06:52:44.294"</f>
        <v>2025-02-02 06:52:44.294</v>
      </c>
      <c r="H2498" t="s">
        <v>53</v>
      </c>
    </row>
    <row r="2499" spans="1:10" x14ac:dyDescent="0.25">
      <c r="A2499" s="1">
        <v>602</v>
      </c>
      <c r="B2499" t="s">
        <v>34</v>
      </c>
      <c r="C2499">
        <v>137</v>
      </c>
      <c r="D2499">
        <v>4</v>
      </c>
      <c r="E2499" t="s">
        <v>101</v>
      </c>
      <c r="F2499" t="s">
        <v>103</v>
      </c>
      <c r="G2499" t="str">
        <f>"2025-02-02 06:52:39.234"</f>
        <v>2025-02-02 06:52:39.234</v>
      </c>
      <c r="H2499" t="s">
        <v>53</v>
      </c>
      <c r="I2499">
        <v>8.19</v>
      </c>
      <c r="J2499" t="s">
        <v>36</v>
      </c>
    </row>
    <row r="2500" spans="1:10" x14ac:dyDescent="0.25">
      <c r="A2500" s="1">
        <v>603</v>
      </c>
      <c r="B2500" t="s">
        <v>41</v>
      </c>
      <c r="C2500">
        <v>128</v>
      </c>
      <c r="D2500">
        <v>4</v>
      </c>
      <c r="E2500" t="s">
        <v>96</v>
      </c>
      <c r="F2500" t="s">
        <v>98</v>
      </c>
      <c r="G2500" t="str">
        <f>"2025-02-01 20:19:20.095"</f>
        <v>2025-02-01 20:19:20.095</v>
      </c>
      <c r="H2500" t="s">
        <v>53</v>
      </c>
    </row>
    <row r="2501" spans="1:10" x14ac:dyDescent="0.25">
      <c r="A2501" s="1">
        <v>604</v>
      </c>
      <c r="B2501" t="s">
        <v>34</v>
      </c>
      <c r="C2501">
        <v>128</v>
      </c>
      <c r="D2501">
        <v>4</v>
      </c>
      <c r="E2501" t="s">
        <v>96</v>
      </c>
      <c r="F2501" t="s">
        <v>98</v>
      </c>
      <c r="G2501" t="str">
        <f>"2025-02-01 20:19:15.074"</f>
        <v>2025-02-01 20:19:15.074</v>
      </c>
      <c r="H2501" t="s">
        <v>53</v>
      </c>
      <c r="I2501">
        <v>7.03</v>
      </c>
      <c r="J2501" t="s">
        <v>36</v>
      </c>
    </row>
    <row r="2502" spans="1:10" x14ac:dyDescent="0.25">
      <c r="A2502" s="1">
        <v>605</v>
      </c>
      <c r="B2502" t="s">
        <v>41</v>
      </c>
      <c r="C2502">
        <v>128</v>
      </c>
      <c r="D2502">
        <v>4</v>
      </c>
      <c r="E2502" t="s">
        <v>96</v>
      </c>
      <c r="F2502" t="s">
        <v>98</v>
      </c>
      <c r="G2502" t="str">
        <f>"2025-02-01 10:18:38.196"</f>
        <v>2025-02-01 10:18:38.196</v>
      </c>
      <c r="H2502" t="s">
        <v>53</v>
      </c>
    </row>
    <row r="2503" spans="1:10" x14ac:dyDescent="0.25">
      <c r="A2503" s="1">
        <v>606</v>
      </c>
      <c r="B2503" t="s">
        <v>34</v>
      </c>
      <c r="C2503">
        <v>128</v>
      </c>
      <c r="D2503">
        <v>4</v>
      </c>
      <c r="E2503" t="s">
        <v>96</v>
      </c>
      <c r="F2503" t="s">
        <v>98</v>
      </c>
      <c r="G2503" t="str">
        <f>"2025-02-01 10:18:33.114"</f>
        <v>2025-02-01 10:18:33.114</v>
      </c>
      <c r="H2503" t="s">
        <v>53</v>
      </c>
      <c r="I2503">
        <v>6.63</v>
      </c>
      <c r="J2503" t="s">
        <v>36</v>
      </c>
    </row>
    <row r="2504" spans="1:10" x14ac:dyDescent="0.25">
      <c r="A2504" s="1">
        <v>607</v>
      </c>
      <c r="B2504" t="s">
        <v>22</v>
      </c>
      <c r="C2504">
        <v>635</v>
      </c>
      <c r="D2504">
        <v>1</v>
      </c>
      <c r="E2504" t="s">
        <v>23</v>
      </c>
      <c r="F2504" t="s">
        <v>24</v>
      </c>
      <c r="G2504" t="str">
        <f>"2025-02-01 08:01:26.620"</f>
        <v>2025-02-01 08:01:26.620</v>
      </c>
      <c r="H2504" t="s">
        <v>21</v>
      </c>
    </row>
    <row r="2505" spans="1:10" x14ac:dyDescent="0.25">
      <c r="A2505" s="1">
        <v>608</v>
      </c>
      <c r="B2505" t="s">
        <v>25</v>
      </c>
      <c r="C2505">
        <v>635</v>
      </c>
      <c r="D2505">
        <v>1</v>
      </c>
      <c r="E2505" t="s">
        <v>23</v>
      </c>
      <c r="F2505" t="s">
        <v>24</v>
      </c>
      <c r="G2505" t="str">
        <f>"2025-02-01 07:46:46.121"</f>
        <v>2025-02-01 07:46:46.121</v>
      </c>
      <c r="H2505" t="s">
        <v>21</v>
      </c>
      <c r="I2505">
        <v>7.51</v>
      </c>
      <c r="J2505" t="s">
        <v>36</v>
      </c>
    </row>
    <row r="2506" spans="1:10" x14ac:dyDescent="0.25">
      <c r="A2506" s="1">
        <v>609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"2025-01-31 11:37:25.250"</f>
        <v>2025-01-31 11:37:25.250</v>
      </c>
      <c r="H2506" t="s">
        <v>21</v>
      </c>
      <c r="I2506">
        <v>0</v>
      </c>
      <c r="J2506" t="s">
        <v>27</v>
      </c>
    </row>
    <row r="2507" spans="1:10" x14ac:dyDescent="0.25">
      <c r="A2507" s="1">
        <v>610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"2025-01-31 11:06:08.238"</f>
        <v>2025-01-31 11:06:08.238</v>
      </c>
      <c r="H2507" t="s">
        <v>21</v>
      </c>
    </row>
    <row r="2508" spans="1:10" x14ac:dyDescent="0.25">
      <c r="A2508" s="1">
        <v>611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"2025-01-31 09:48:58.234"</f>
        <v>2025-01-31 09:48:58.234</v>
      </c>
      <c r="H2508" t="s">
        <v>21</v>
      </c>
      <c r="I2508">
        <v>0</v>
      </c>
      <c r="J2508" t="s">
        <v>27</v>
      </c>
    </row>
    <row r="2509" spans="1:10" x14ac:dyDescent="0.25">
      <c r="A2509" s="1">
        <v>612</v>
      </c>
      <c r="B2509" t="s">
        <v>22</v>
      </c>
      <c r="C2509">
        <v>630</v>
      </c>
      <c r="D2509">
        <v>5</v>
      </c>
      <c r="E2509" t="s">
        <v>28</v>
      </c>
      <c r="F2509" t="s">
        <v>29</v>
      </c>
      <c r="G2509" t="str">
        <f>"2025-01-31 09:37:14.086"</f>
        <v>2025-01-31 09:37:14.086</v>
      </c>
      <c r="H2509" t="s">
        <v>30</v>
      </c>
    </row>
    <row r="2510" spans="1:10" x14ac:dyDescent="0.25">
      <c r="A2510" s="1">
        <v>613</v>
      </c>
      <c r="B2510" t="s">
        <v>34</v>
      </c>
      <c r="C2510">
        <v>630</v>
      </c>
      <c r="D2510">
        <v>5</v>
      </c>
      <c r="E2510" t="s">
        <v>28</v>
      </c>
      <c r="F2510" t="s">
        <v>29</v>
      </c>
      <c r="G2510" t="str">
        <f>"2025-01-31 09:31:24.987"</f>
        <v>2025-01-31 09:31:24.987</v>
      </c>
      <c r="H2510" t="s">
        <v>30</v>
      </c>
      <c r="I2510">
        <v>0</v>
      </c>
      <c r="J2510" t="s">
        <v>33</v>
      </c>
    </row>
    <row r="2511" spans="1:10" x14ac:dyDescent="0.25">
      <c r="A2511" s="1">
        <v>614</v>
      </c>
      <c r="B2511" t="s">
        <v>22</v>
      </c>
      <c r="C2511">
        <v>98</v>
      </c>
      <c r="D2511">
        <v>1</v>
      </c>
      <c r="E2511" t="s">
        <v>60</v>
      </c>
      <c r="F2511" t="s">
        <v>61</v>
      </c>
      <c r="G2511" t="str">
        <f>"2025-01-31 08:18:11.498"</f>
        <v>2025-01-31 08:18:11.498</v>
      </c>
      <c r="H2511" t="s">
        <v>21</v>
      </c>
    </row>
    <row r="2512" spans="1:10" x14ac:dyDescent="0.25">
      <c r="A2512" s="1">
        <v>615</v>
      </c>
      <c r="B2512" t="s">
        <v>25</v>
      </c>
      <c r="C2512">
        <v>98</v>
      </c>
      <c r="D2512">
        <v>1</v>
      </c>
      <c r="E2512" t="s">
        <v>60</v>
      </c>
      <c r="F2512" t="s">
        <v>61</v>
      </c>
      <c r="G2512" t="str">
        <f>"2025-01-31 08:18:10.498"</f>
        <v>2025-01-31 08:18:10.498</v>
      </c>
      <c r="H2512" t="s">
        <v>21</v>
      </c>
      <c r="I2512">
        <v>0</v>
      </c>
      <c r="J2512" t="s">
        <v>26</v>
      </c>
    </row>
    <row r="2513" spans="1:10" x14ac:dyDescent="0.25">
      <c r="A2513" s="1">
        <v>616</v>
      </c>
      <c r="B2513" t="s">
        <v>22</v>
      </c>
      <c r="C2513">
        <v>98</v>
      </c>
      <c r="D2513">
        <v>1</v>
      </c>
      <c r="E2513" t="s">
        <v>60</v>
      </c>
      <c r="F2513" t="s">
        <v>61</v>
      </c>
      <c r="G2513" t="str">
        <f>"2025-01-31 08:18:09.898"</f>
        <v>2025-01-31 08:18:09.898</v>
      </c>
      <c r="H2513" t="s">
        <v>21</v>
      </c>
    </row>
    <row r="2514" spans="1:10" x14ac:dyDescent="0.25">
      <c r="A2514" s="1">
        <v>617</v>
      </c>
      <c r="B2514" t="s">
        <v>25</v>
      </c>
      <c r="C2514">
        <v>98</v>
      </c>
      <c r="D2514">
        <v>1</v>
      </c>
      <c r="E2514" t="s">
        <v>60</v>
      </c>
      <c r="F2514" t="s">
        <v>61</v>
      </c>
      <c r="G2514" t="str">
        <f>"2025-01-31 08:18:08.899"</f>
        <v>2025-01-31 08:18:08.899</v>
      </c>
      <c r="H2514" t="s">
        <v>21</v>
      </c>
      <c r="I2514">
        <v>0</v>
      </c>
      <c r="J2514" t="s">
        <v>26</v>
      </c>
    </row>
    <row r="2515" spans="1:10" x14ac:dyDescent="0.25">
      <c r="A2515" s="1">
        <v>618</v>
      </c>
      <c r="B2515" t="s">
        <v>19</v>
      </c>
      <c r="C2515">
        <v>776</v>
      </c>
      <c r="D2515">
        <v>2</v>
      </c>
      <c r="E2515" t="s">
        <v>78</v>
      </c>
      <c r="F2515" t="s">
        <v>79</v>
      </c>
      <c r="G2515" t="str">
        <f>"2025-01-31 03:30:30.892"</f>
        <v>2025-01-31 03:30:30.892</v>
      </c>
      <c r="H2515" t="s">
        <v>21</v>
      </c>
      <c r="I2515">
        <v>0</v>
      </c>
      <c r="J2515" t="s">
        <v>33</v>
      </c>
    </row>
    <row r="2516" spans="1:10" x14ac:dyDescent="0.25">
      <c r="A2516" s="1">
        <v>619</v>
      </c>
      <c r="B2516" t="s">
        <v>19</v>
      </c>
      <c r="C2516">
        <v>776</v>
      </c>
      <c r="D2516">
        <v>1</v>
      </c>
      <c r="E2516" t="s">
        <v>78</v>
      </c>
      <c r="F2516" t="s">
        <v>80</v>
      </c>
      <c r="G2516" t="str">
        <f>"2025-01-31 03:30:30.872"</f>
        <v>2025-01-31 03:30:30.872</v>
      </c>
      <c r="H2516" t="s">
        <v>21</v>
      </c>
      <c r="I2516">
        <v>0</v>
      </c>
      <c r="J2516" t="s">
        <v>33</v>
      </c>
    </row>
    <row r="2517" spans="1:10" x14ac:dyDescent="0.25">
      <c r="A2517" s="1">
        <v>620</v>
      </c>
      <c r="B2517" t="s">
        <v>19</v>
      </c>
      <c r="C2517">
        <v>700</v>
      </c>
      <c r="D2517">
        <v>0</v>
      </c>
      <c r="E2517" t="s">
        <v>20</v>
      </c>
      <c r="F2517" t="s">
        <v>20</v>
      </c>
      <c r="G2517" t="str">
        <f>"2025-01-31 03:30:20.219"</f>
        <v>2025-01-31 03:30:20.219</v>
      </c>
      <c r="H2517" t="s">
        <v>21</v>
      </c>
    </row>
    <row r="2518" spans="1:10" x14ac:dyDescent="0.25">
      <c r="A2518" s="1">
        <v>621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"2025-01-31 03:04:13.228"</f>
        <v>2025-01-31 03:04:13.228</v>
      </c>
      <c r="H2518" t="s">
        <v>21</v>
      </c>
      <c r="I2518">
        <v>0</v>
      </c>
      <c r="J2518" t="s">
        <v>27</v>
      </c>
    </row>
    <row r="2519" spans="1:10" x14ac:dyDescent="0.25">
      <c r="A2519" s="1">
        <v>622</v>
      </c>
      <c r="B2519" t="s">
        <v>41</v>
      </c>
      <c r="C2519">
        <v>137</v>
      </c>
      <c r="D2519">
        <v>4</v>
      </c>
      <c r="E2519" t="s">
        <v>101</v>
      </c>
      <c r="F2519" t="s">
        <v>103</v>
      </c>
      <c r="G2519" t="str">
        <f>"2025-01-30 18:38:36.967"</f>
        <v>2025-01-30 18:38:36.967</v>
      </c>
      <c r="H2519" t="s">
        <v>53</v>
      </c>
    </row>
    <row r="2520" spans="1:10" x14ac:dyDescent="0.25">
      <c r="A2520" s="1">
        <v>623</v>
      </c>
      <c r="B2520" t="s">
        <v>34</v>
      </c>
      <c r="C2520">
        <v>137</v>
      </c>
      <c r="D2520">
        <v>4</v>
      </c>
      <c r="E2520" t="s">
        <v>101</v>
      </c>
      <c r="F2520" t="s">
        <v>103</v>
      </c>
      <c r="G2520" t="str">
        <f>"2025-01-30 18:38:31.889"</f>
        <v>2025-01-30 18:38:31.889</v>
      </c>
      <c r="H2520" t="s">
        <v>53</v>
      </c>
      <c r="I2520">
        <v>21.09</v>
      </c>
      <c r="J2520" t="s">
        <v>36</v>
      </c>
    </row>
    <row r="2521" spans="1:10" x14ac:dyDescent="0.25">
      <c r="A2521" s="1">
        <v>624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"2025-01-30 08:23:00.335"</f>
        <v>2025-01-30 08:23:00.335</v>
      </c>
      <c r="H2521" t="s">
        <v>21</v>
      </c>
      <c r="I2521">
        <v>0</v>
      </c>
      <c r="J2521" t="s">
        <v>27</v>
      </c>
    </row>
    <row r="2522" spans="1:10" x14ac:dyDescent="0.25">
      <c r="A2522" s="1">
        <v>625</v>
      </c>
      <c r="B2522" t="s">
        <v>41</v>
      </c>
      <c r="C2522">
        <v>119</v>
      </c>
      <c r="D2522">
        <v>4</v>
      </c>
      <c r="E2522" t="s">
        <v>104</v>
      </c>
      <c r="F2522" t="s">
        <v>105</v>
      </c>
      <c r="G2522" t="str">
        <f>"2025-01-30 00:09:31.845"</f>
        <v>2025-01-30 00:09:31.845</v>
      </c>
      <c r="H2522" t="s">
        <v>53</v>
      </c>
    </row>
    <row r="2523" spans="1:10" x14ac:dyDescent="0.25">
      <c r="A2523" s="1">
        <v>626</v>
      </c>
      <c r="B2523" t="s">
        <v>34</v>
      </c>
      <c r="C2523">
        <v>119</v>
      </c>
      <c r="D2523">
        <v>4</v>
      </c>
      <c r="E2523" t="s">
        <v>104</v>
      </c>
      <c r="F2523" t="s">
        <v>105</v>
      </c>
      <c r="G2523" t="str">
        <f>"2025-01-30 00:09:26.818"</f>
        <v>2025-01-30 00:09:26.818</v>
      </c>
      <c r="H2523" t="s">
        <v>53</v>
      </c>
      <c r="I2523">
        <v>28.96</v>
      </c>
      <c r="J2523" t="s">
        <v>36</v>
      </c>
    </row>
    <row r="2524" spans="1:10" x14ac:dyDescent="0.25">
      <c r="A2524" s="1">
        <v>627</v>
      </c>
      <c r="B2524" t="s">
        <v>41</v>
      </c>
      <c r="C2524">
        <v>237</v>
      </c>
      <c r="D2524">
        <v>4</v>
      </c>
      <c r="E2524" t="s">
        <v>106</v>
      </c>
      <c r="F2524" t="s">
        <v>103</v>
      </c>
      <c r="G2524" t="str">
        <f>"2025-01-29 23:54:39.445"</f>
        <v>2025-01-29 23:54:39.445</v>
      </c>
      <c r="H2524" t="s">
        <v>50</v>
      </c>
    </row>
    <row r="2525" spans="1:10" x14ac:dyDescent="0.25">
      <c r="A2525" s="1">
        <v>628</v>
      </c>
      <c r="B2525" t="s">
        <v>34</v>
      </c>
      <c r="C2525">
        <v>237</v>
      </c>
      <c r="D2525">
        <v>4</v>
      </c>
      <c r="E2525" t="s">
        <v>106</v>
      </c>
      <c r="F2525" t="s">
        <v>103</v>
      </c>
      <c r="G2525" t="str">
        <f>"2025-01-29 23:54:34.378"</f>
        <v>2025-01-29 23:54:34.378</v>
      </c>
      <c r="H2525" t="s">
        <v>50</v>
      </c>
      <c r="I2525">
        <v>16.239999999999998</v>
      </c>
      <c r="J2525" t="s">
        <v>36</v>
      </c>
    </row>
    <row r="2526" spans="1:10" x14ac:dyDescent="0.25">
      <c r="A2526" s="1">
        <v>630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"2025-01-29 14:54:54.255"</f>
        <v>2025-01-29 14:54:54.255</v>
      </c>
      <c r="H2526" t="s">
        <v>21</v>
      </c>
      <c r="I2526">
        <v>0</v>
      </c>
      <c r="J2526" t="s">
        <v>27</v>
      </c>
    </row>
    <row r="2527" spans="1:10" x14ac:dyDescent="0.25">
      <c r="A2527" s="1">
        <v>631</v>
      </c>
      <c r="B2527" t="s">
        <v>19</v>
      </c>
      <c r="C2527">
        <v>706</v>
      </c>
      <c r="D2527">
        <v>3</v>
      </c>
      <c r="E2527" t="s">
        <v>31</v>
      </c>
      <c r="F2527" t="s">
        <v>66</v>
      </c>
      <c r="G2527" t="str">
        <f>"2025-01-29 13:49:53.835"</f>
        <v>2025-01-29 13:49:53.835</v>
      </c>
      <c r="H2527" t="s">
        <v>21</v>
      </c>
      <c r="I2527">
        <v>0</v>
      </c>
      <c r="J2527" t="s">
        <v>33</v>
      </c>
    </row>
    <row r="2528" spans="1:10" x14ac:dyDescent="0.25">
      <c r="A2528" s="1">
        <v>632</v>
      </c>
      <c r="B2528" t="s">
        <v>19</v>
      </c>
      <c r="C2528">
        <v>700</v>
      </c>
      <c r="D2528">
        <v>0</v>
      </c>
      <c r="E2528" t="s">
        <v>20</v>
      </c>
      <c r="F2528" t="s">
        <v>20</v>
      </c>
      <c r="G2528" t="str">
        <f>"2025-01-29 13:39:21.205"</f>
        <v>2025-01-29 13:39:21.205</v>
      </c>
      <c r="H2528" t="s">
        <v>21</v>
      </c>
      <c r="I2528">
        <v>0</v>
      </c>
      <c r="J2528" t="s">
        <v>27</v>
      </c>
    </row>
    <row r="2529" spans="1:10" x14ac:dyDescent="0.25">
      <c r="A2529" s="1">
        <v>633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"2025-01-29 13:33:35.240"</f>
        <v>2025-01-29 13:33:35.240</v>
      </c>
      <c r="H2529" t="s">
        <v>21</v>
      </c>
      <c r="I2529">
        <v>0</v>
      </c>
      <c r="J2529" t="s">
        <v>27</v>
      </c>
    </row>
    <row r="2530" spans="1:10" x14ac:dyDescent="0.25">
      <c r="A2530" s="1">
        <v>634</v>
      </c>
      <c r="B2530" t="s">
        <v>22</v>
      </c>
      <c r="C2530">
        <v>635</v>
      </c>
      <c r="D2530">
        <v>1</v>
      </c>
      <c r="E2530" t="s">
        <v>23</v>
      </c>
      <c r="F2530" t="s">
        <v>24</v>
      </c>
      <c r="G2530" t="str">
        <f>"2025-01-29 08:26:30.689"</f>
        <v>2025-01-29 08:26:30.689</v>
      </c>
      <c r="H2530" t="s">
        <v>21</v>
      </c>
    </row>
    <row r="2531" spans="1:10" x14ac:dyDescent="0.25">
      <c r="A2531" s="1">
        <v>635</v>
      </c>
      <c r="B2531" t="s">
        <v>25</v>
      </c>
      <c r="C2531">
        <v>635</v>
      </c>
      <c r="D2531">
        <v>1</v>
      </c>
      <c r="E2531" t="s">
        <v>23</v>
      </c>
      <c r="F2531" t="s">
        <v>24</v>
      </c>
      <c r="G2531" t="str">
        <f>"2025-01-29 08:11:15.689"</f>
        <v>2025-01-29 08:11:15.689</v>
      </c>
      <c r="H2531" t="s">
        <v>21</v>
      </c>
      <c r="I2531">
        <v>7.66</v>
      </c>
      <c r="J2531" t="s">
        <v>36</v>
      </c>
    </row>
    <row r="2532" spans="1:10" x14ac:dyDescent="0.25">
      <c r="A2532" s="1">
        <v>636</v>
      </c>
      <c r="B2532" t="s">
        <v>22</v>
      </c>
      <c r="C2532">
        <v>635</v>
      </c>
      <c r="D2532">
        <v>1</v>
      </c>
      <c r="E2532" t="s">
        <v>23</v>
      </c>
      <c r="F2532" t="s">
        <v>24</v>
      </c>
      <c r="G2532" t="str">
        <f>"2025-01-29 04:19:09.489"</f>
        <v>2025-01-29 04:19:09.489</v>
      </c>
      <c r="H2532" t="s">
        <v>21</v>
      </c>
    </row>
    <row r="2533" spans="1:10" x14ac:dyDescent="0.25">
      <c r="A2533" s="1">
        <v>637</v>
      </c>
      <c r="B2533" t="s">
        <v>25</v>
      </c>
      <c r="C2533">
        <v>635</v>
      </c>
      <c r="D2533">
        <v>1</v>
      </c>
      <c r="E2533" t="s">
        <v>23</v>
      </c>
      <c r="F2533" t="s">
        <v>24</v>
      </c>
      <c r="G2533" t="str">
        <f>"2025-01-29 04:04:51.089"</f>
        <v>2025-01-29 04:04:51.089</v>
      </c>
      <c r="H2533" t="s">
        <v>21</v>
      </c>
      <c r="I2533">
        <v>10.44</v>
      </c>
      <c r="J2533" t="s">
        <v>37</v>
      </c>
    </row>
    <row r="2534" spans="1:10" x14ac:dyDescent="0.25">
      <c r="A2534" s="1">
        <v>638</v>
      </c>
      <c r="B2534" t="s">
        <v>41</v>
      </c>
      <c r="C2534">
        <v>135</v>
      </c>
      <c r="D2534">
        <v>7</v>
      </c>
      <c r="E2534" t="s">
        <v>107</v>
      </c>
      <c r="F2534" t="s">
        <v>108</v>
      </c>
      <c r="G2534" t="str">
        <f>"2025-01-29 01:49:07.869"</f>
        <v>2025-01-29 01:49:07.869</v>
      </c>
      <c r="H2534" t="s">
        <v>53</v>
      </c>
    </row>
    <row r="2535" spans="1:10" x14ac:dyDescent="0.25">
      <c r="A2535" s="1">
        <v>639</v>
      </c>
      <c r="B2535" t="s">
        <v>34</v>
      </c>
      <c r="C2535">
        <v>135</v>
      </c>
      <c r="D2535">
        <v>7</v>
      </c>
      <c r="E2535" t="s">
        <v>107</v>
      </c>
      <c r="F2535" t="s">
        <v>108</v>
      </c>
      <c r="G2535" t="str">
        <f>"2025-01-29 01:49:02.856"</f>
        <v>2025-01-29 01:49:02.856</v>
      </c>
      <c r="H2535" t="s">
        <v>53</v>
      </c>
      <c r="I2535">
        <v>0</v>
      </c>
      <c r="J2535" t="s">
        <v>26</v>
      </c>
    </row>
    <row r="2536" spans="1:10" x14ac:dyDescent="0.25">
      <c r="A2536" s="1">
        <v>640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"2025-01-28 17:47:35.211"</f>
        <v>2025-01-28 17:47:35.211</v>
      </c>
      <c r="H2536" t="s">
        <v>21</v>
      </c>
      <c r="I2536">
        <v>0</v>
      </c>
      <c r="J2536" t="s">
        <v>27</v>
      </c>
    </row>
    <row r="2537" spans="1:10" x14ac:dyDescent="0.25">
      <c r="A2537" s="1">
        <v>641</v>
      </c>
      <c r="B2537" t="s">
        <v>19</v>
      </c>
      <c r="C2537">
        <v>706</v>
      </c>
      <c r="D2537">
        <v>4</v>
      </c>
      <c r="E2537" t="s">
        <v>31</v>
      </c>
      <c r="F2537" t="s">
        <v>32</v>
      </c>
      <c r="G2537" t="str">
        <f>"2025-01-28 13:00:18.629"</f>
        <v>2025-01-28 13:00:18.629</v>
      </c>
      <c r="H2537" t="s">
        <v>21</v>
      </c>
      <c r="I2537">
        <v>0</v>
      </c>
      <c r="J2537" t="s">
        <v>33</v>
      </c>
    </row>
    <row r="2538" spans="1:10" x14ac:dyDescent="0.25">
      <c r="A2538" s="1">
        <v>642</v>
      </c>
      <c r="B2538" t="s">
        <v>19</v>
      </c>
      <c r="C2538">
        <v>706</v>
      </c>
      <c r="D2538">
        <v>4</v>
      </c>
      <c r="E2538" t="s">
        <v>31</v>
      </c>
      <c r="F2538" t="s">
        <v>32</v>
      </c>
      <c r="G2538" t="str">
        <f>"2025-01-28 11:00:14.459"</f>
        <v>2025-01-28 11:00:14.459</v>
      </c>
      <c r="H2538" t="s">
        <v>21</v>
      </c>
      <c r="I2538">
        <v>0</v>
      </c>
      <c r="J2538" t="s">
        <v>33</v>
      </c>
    </row>
    <row r="2539" spans="1:10" x14ac:dyDescent="0.25">
      <c r="A2539" s="1">
        <v>643</v>
      </c>
      <c r="B2539" t="s">
        <v>19</v>
      </c>
      <c r="C2539">
        <v>706</v>
      </c>
      <c r="D2539">
        <v>4</v>
      </c>
      <c r="E2539" t="s">
        <v>31</v>
      </c>
      <c r="F2539" t="s">
        <v>32</v>
      </c>
      <c r="G2539" t="str">
        <f>"2025-01-28 10:38:13.099"</f>
        <v>2025-01-28 10:38:13.099</v>
      </c>
      <c r="H2539" t="s">
        <v>21</v>
      </c>
      <c r="I2539">
        <v>0</v>
      </c>
      <c r="J2539" t="s">
        <v>33</v>
      </c>
    </row>
    <row r="2540" spans="1:10" x14ac:dyDescent="0.25">
      <c r="A2540" s="1">
        <v>644</v>
      </c>
      <c r="B2540" t="s">
        <v>19</v>
      </c>
      <c r="C2540">
        <v>706</v>
      </c>
      <c r="D2540">
        <v>3</v>
      </c>
      <c r="E2540" t="s">
        <v>31</v>
      </c>
      <c r="F2540" t="s">
        <v>66</v>
      </c>
      <c r="G2540" t="str">
        <f>"2025-01-28 10:17:01.919"</f>
        <v>2025-01-28 10:17:01.919</v>
      </c>
      <c r="H2540" t="s">
        <v>21</v>
      </c>
      <c r="I2540">
        <v>0</v>
      </c>
      <c r="J2540" t="s">
        <v>33</v>
      </c>
    </row>
    <row r="2541" spans="1:10" x14ac:dyDescent="0.25">
      <c r="A2541" s="1">
        <v>645</v>
      </c>
      <c r="B2541" t="s">
        <v>19</v>
      </c>
      <c r="C2541">
        <v>706</v>
      </c>
      <c r="D2541">
        <v>3</v>
      </c>
      <c r="E2541" t="s">
        <v>31</v>
      </c>
      <c r="F2541" t="s">
        <v>66</v>
      </c>
      <c r="G2541" t="str">
        <f>"2025-01-28 10:11:58.129"</f>
        <v>2025-01-28 10:11:58.129</v>
      </c>
      <c r="H2541" t="s">
        <v>21</v>
      </c>
      <c r="I2541">
        <v>0</v>
      </c>
      <c r="J2541" t="s">
        <v>33</v>
      </c>
    </row>
    <row r="2542" spans="1:10" x14ac:dyDescent="0.25">
      <c r="A2542" s="1">
        <v>646</v>
      </c>
      <c r="B2542" t="s">
        <v>19</v>
      </c>
      <c r="C2542">
        <v>706</v>
      </c>
      <c r="D2542">
        <v>3</v>
      </c>
      <c r="E2542" t="s">
        <v>31</v>
      </c>
      <c r="F2542" t="s">
        <v>66</v>
      </c>
      <c r="G2542" t="str">
        <f>"2025-01-28 10:05:42.939"</f>
        <v>2025-01-28 10:05:42.939</v>
      </c>
      <c r="H2542" t="s">
        <v>21</v>
      </c>
      <c r="I2542">
        <v>0</v>
      </c>
      <c r="J2542" t="s">
        <v>33</v>
      </c>
    </row>
    <row r="2543" spans="1:10" x14ac:dyDescent="0.25">
      <c r="A2543" s="1">
        <v>647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"2025-01-28 10:01:08.179"</f>
        <v>2025-01-28 10:01:08.179</v>
      </c>
      <c r="H2543" t="s">
        <v>21</v>
      </c>
    </row>
    <row r="2544" spans="1:10" x14ac:dyDescent="0.25">
      <c r="A2544" s="1">
        <v>648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"2025-01-28 08:46:34.216"</f>
        <v>2025-01-28 08:46:34.216</v>
      </c>
      <c r="H2544" t="s">
        <v>21</v>
      </c>
      <c r="I2544">
        <v>0</v>
      </c>
      <c r="J2544" t="s">
        <v>27</v>
      </c>
    </row>
    <row r="2545" spans="1:10" x14ac:dyDescent="0.25">
      <c r="A2545" s="1">
        <v>649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"2025-01-27 07:17:09.178"</f>
        <v>2025-01-27 07:17:09.178</v>
      </c>
      <c r="H2545" t="s">
        <v>21</v>
      </c>
    </row>
    <row r="2546" spans="1:10" x14ac:dyDescent="0.25">
      <c r="A2546" s="1">
        <v>650</v>
      </c>
      <c r="B2546" t="s">
        <v>19</v>
      </c>
      <c r="C2546">
        <v>706</v>
      </c>
      <c r="D2546">
        <v>4</v>
      </c>
      <c r="E2546" t="s">
        <v>31</v>
      </c>
      <c r="F2546" t="s">
        <v>32</v>
      </c>
      <c r="G2546" t="str">
        <f>"2025-01-27 01:16:35.845"</f>
        <v>2025-01-27 01:16:35.845</v>
      </c>
      <c r="H2546" t="s">
        <v>21</v>
      </c>
      <c r="I2546">
        <v>0</v>
      </c>
      <c r="J2546" t="s">
        <v>33</v>
      </c>
    </row>
    <row r="2547" spans="1:10" x14ac:dyDescent="0.25">
      <c r="A2547" s="1">
        <v>651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"2025-01-27 01:15:45.195"</f>
        <v>2025-01-27 01:15:45.195</v>
      </c>
      <c r="H2547" t="s">
        <v>21</v>
      </c>
      <c r="I2547">
        <v>0</v>
      </c>
      <c r="J2547" t="s">
        <v>27</v>
      </c>
    </row>
    <row r="2548" spans="1:10" s="3" customFormat="1" x14ac:dyDescent="0.25">
      <c r="A2548" s="2">
        <v>652</v>
      </c>
      <c r="B2548" s="3" t="s">
        <v>22</v>
      </c>
      <c r="C2548" s="3">
        <v>647</v>
      </c>
      <c r="D2548" s="3">
        <v>1</v>
      </c>
      <c r="E2548" s="3" t="s">
        <v>39</v>
      </c>
      <c r="F2548" s="3" t="s">
        <v>40</v>
      </c>
      <c r="G2548" s="3" t="str">
        <f>"2025-01-27 00:38:21.773"</f>
        <v>2025-01-27 00:38:21.773</v>
      </c>
      <c r="H2548" s="3" t="s">
        <v>21</v>
      </c>
    </row>
    <row r="2549" spans="1:10" s="3" customFormat="1" x14ac:dyDescent="0.25">
      <c r="A2549" s="2">
        <v>653</v>
      </c>
      <c r="B2549" s="3" t="s">
        <v>25</v>
      </c>
      <c r="C2549" s="3">
        <v>647</v>
      </c>
      <c r="D2549" s="3">
        <v>1</v>
      </c>
      <c r="E2549" s="3" t="s">
        <v>39</v>
      </c>
      <c r="F2549" s="3" t="s">
        <v>40</v>
      </c>
      <c r="G2549" s="3" t="str">
        <f>"2025-01-27 00:38:19.073"</f>
        <v>2025-01-27 00:38:19.073</v>
      </c>
      <c r="H2549" s="3" t="s">
        <v>21</v>
      </c>
      <c r="I2549" s="3">
        <v>13.51</v>
      </c>
      <c r="J2549" s="3" t="s">
        <v>37</v>
      </c>
    </row>
    <row r="2550" spans="1:10" x14ac:dyDescent="0.25">
      <c r="A2550" s="1">
        <v>654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"2025-01-26 11:24:32.096"</f>
        <v>2025-01-26 11:24:32.096</v>
      </c>
      <c r="H2550" t="s">
        <v>21</v>
      </c>
      <c r="I2550">
        <v>0</v>
      </c>
      <c r="J2550" t="s">
        <v>27</v>
      </c>
    </row>
    <row r="2551" spans="1:10" x14ac:dyDescent="0.25">
      <c r="A2551" s="1">
        <v>655</v>
      </c>
      <c r="B2551" t="s">
        <v>22</v>
      </c>
      <c r="C2551">
        <v>98</v>
      </c>
      <c r="D2551">
        <v>1</v>
      </c>
      <c r="E2551" t="s">
        <v>60</v>
      </c>
      <c r="F2551" t="s">
        <v>61</v>
      </c>
      <c r="G2551" t="str">
        <f>"2025-01-25 16:11:06.790"</f>
        <v>2025-01-25 16:11:06.790</v>
      </c>
      <c r="H2551" t="s">
        <v>21</v>
      </c>
    </row>
    <row r="2552" spans="1:10" x14ac:dyDescent="0.25">
      <c r="A2552" s="1">
        <v>656</v>
      </c>
      <c r="B2552" t="s">
        <v>25</v>
      </c>
      <c r="C2552">
        <v>98</v>
      </c>
      <c r="D2552">
        <v>1</v>
      </c>
      <c r="E2552" t="s">
        <v>60</v>
      </c>
      <c r="F2552" t="s">
        <v>61</v>
      </c>
      <c r="G2552" t="str">
        <f>"2025-01-25 16:11:05.591"</f>
        <v>2025-01-25 16:11:05.591</v>
      </c>
      <c r="H2552" t="s">
        <v>21</v>
      </c>
      <c r="I2552">
        <v>0</v>
      </c>
      <c r="J2552" t="s">
        <v>33</v>
      </c>
    </row>
    <row r="2553" spans="1:10" x14ac:dyDescent="0.25">
      <c r="A2553" s="1">
        <v>657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"2025-01-25 16:10:03.089"</f>
        <v>2025-01-25 16:10:03.089</v>
      </c>
      <c r="H2553" t="s">
        <v>21</v>
      </c>
    </row>
    <row r="2554" spans="1:10" x14ac:dyDescent="0.25">
      <c r="A2554" s="1">
        <v>658</v>
      </c>
      <c r="B2554" t="s">
        <v>19</v>
      </c>
      <c r="C2554">
        <v>700</v>
      </c>
      <c r="D2554">
        <v>0</v>
      </c>
      <c r="E2554" t="s">
        <v>20</v>
      </c>
      <c r="F2554" t="s">
        <v>20</v>
      </c>
      <c r="G2554" t="str">
        <f>"2025-01-25 16:02:58.092"</f>
        <v>2025-01-25 16:02:58.092</v>
      </c>
      <c r="H2554" t="s">
        <v>21</v>
      </c>
      <c r="I2554">
        <v>0</v>
      </c>
      <c r="J2554" t="s">
        <v>27</v>
      </c>
    </row>
    <row r="2555" spans="1:10" x14ac:dyDescent="0.25">
      <c r="A2555" s="1">
        <v>659</v>
      </c>
      <c r="B2555" t="s">
        <v>19</v>
      </c>
      <c r="C2555">
        <v>706</v>
      </c>
      <c r="D2555">
        <v>2</v>
      </c>
      <c r="E2555" t="s">
        <v>31</v>
      </c>
      <c r="F2555" t="s">
        <v>35</v>
      </c>
      <c r="G2555" t="str">
        <f>"2025-01-25 15:56:02.146"</f>
        <v>2025-01-25 15:56:02.146</v>
      </c>
      <c r="H2555" t="s">
        <v>21</v>
      </c>
      <c r="I2555">
        <v>0</v>
      </c>
      <c r="J2555" t="s">
        <v>33</v>
      </c>
    </row>
    <row r="2556" spans="1:10" x14ac:dyDescent="0.25">
      <c r="A2556" s="1">
        <v>660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"2025-01-25 15:53:36.086"</f>
        <v>2025-01-25 15:53:36.086</v>
      </c>
      <c r="H2556" t="s">
        <v>21</v>
      </c>
    </row>
    <row r="2557" spans="1:10" x14ac:dyDescent="0.25">
      <c r="A2557" s="1">
        <v>661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"2025-01-25 15:33:51.076"</f>
        <v>2025-01-25 15:33:51.076</v>
      </c>
      <c r="H2557" t="s">
        <v>21</v>
      </c>
    </row>
    <row r="2558" spans="1:10" x14ac:dyDescent="0.25">
      <c r="A2558" s="1">
        <v>662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"2025-01-25 15:19:58.097"</f>
        <v>2025-01-25 15:19:58.097</v>
      </c>
      <c r="H2558" t="s">
        <v>21</v>
      </c>
      <c r="I2558">
        <v>0</v>
      </c>
      <c r="J2558" t="s">
        <v>27</v>
      </c>
    </row>
    <row r="2559" spans="1:10" x14ac:dyDescent="0.25">
      <c r="A2559" s="1">
        <v>663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"2025-01-25 08:53:12.087"</f>
        <v>2025-01-25 08:53:12.087</v>
      </c>
      <c r="H2559" t="s">
        <v>21</v>
      </c>
      <c r="I2559">
        <v>0</v>
      </c>
      <c r="J2559" t="s">
        <v>27</v>
      </c>
    </row>
    <row r="2560" spans="1:10" x14ac:dyDescent="0.25">
      <c r="A2560" s="1">
        <v>664</v>
      </c>
      <c r="B2560" t="s">
        <v>19</v>
      </c>
      <c r="C2560">
        <v>706</v>
      </c>
      <c r="D2560">
        <v>4</v>
      </c>
      <c r="E2560" t="s">
        <v>31</v>
      </c>
      <c r="F2560" t="s">
        <v>32</v>
      </c>
      <c r="G2560" t="str">
        <f>"2025-01-25 08:30:46.848"</f>
        <v>2025-01-25 08:30:46.848</v>
      </c>
      <c r="H2560" t="s">
        <v>21</v>
      </c>
      <c r="I2560">
        <v>0</v>
      </c>
      <c r="J2560" t="s">
        <v>33</v>
      </c>
    </row>
    <row r="2561" spans="1:10" x14ac:dyDescent="0.25">
      <c r="A2561" s="1">
        <v>665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"2025-01-25 08:30:27.098"</f>
        <v>2025-01-25 08:30:27.098</v>
      </c>
      <c r="H2561" t="s">
        <v>21</v>
      </c>
      <c r="I2561">
        <v>0</v>
      </c>
      <c r="J2561" t="s">
        <v>27</v>
      </c>
    </row>
    <row r="2562" spans="1:10" x14ac:dyDescent="0.25">
      <c r="A2562" s="1">
        <v>666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"2025-01-24 17:38:44.075"</f>
        <v>2025-01-24 17:38:44.075</v>
      </c>
      <c r="H2562" t="s">
        <v>21</v>
      </c>
    </row>
    <row r="2563" spans="1:10" x14ac:dyDescent="0.25">
      <c r="A2563" s="1">
        <v>667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"2025-01-24 16:42:54.077"</f>
        <v>2025-01-24 16:42:54.077</v>
      </c>
      <c r="H2563" t="s">
        <v>21</v>
      </c>
    </row>
    <row r="2564" spans="1:10" x14ac:dyDescent="0.25">
      <c r="A2564" s="1">
        <v>668</v>
      </c>
      <c r="B2564" t="s">
        <v>19</v>
      </c>
      <c r="C2564">
        <v>706</v>
      </c>
      <c r="D2564">
        <v>4</v>
      </c>
      <c r="E2564" t="s">
        <v>31</v>
      </c>
      <c r="F2564" t="s">
        <v>32</v>
      </c>
      <c r="G2564" t="str">
        <f>"2025-01-24 16:19:47.839"</f>
        <v>2025-01-24 16:19:47.839</v>
      </c>
      <c r="H2564" t="s">
        <v>21</v>
      </c>
      <c r="I2564">
        <v>0</v>
      </c>
      <c r="J2564" t="s">
        <v>33</v>
      </c>
    </row>
    <row r="2565" spans="1:10" x14ac:dyDescent="0.25">
      <c r="A2565" s="1">
        <v>669</v>
      </c>
      <c r="B2565" t="s">
        <v>19</v>
      </c>
      <c r="C2565">
        <v>706</v>
      </c>
      <c r="D2565">
        <v>3</v>
      </c>
      <c r="E2565" t="s">
        <v>31</v>
      </c>
      <c r="F2565" t="s">
        <v>66</v>
      </c>
      <c r="G2565" t="str">
        <f>"2025-01-24 16:15:58.139"</f>
        <v>2025-01-24 16:15:58.139</v>
      </c>
      <c r="H2565" t="s">
        <v>21</v>
      </c>
      <c r="I2565">
        <v>0</v>
      </c>
      <c r="J2565" t="s">
        <v>33</v>
      </c>
    </row>
    <row r="2566" spans="1:10" x14ac:dyDescent="0.25">
      <c r="A2566" s="1">
        <v>670</v>
      </c>
      <c r="B2566" t="s">
        <v>19</v>
      </c>
      <c r="C2566">
        <v>706</v>
      </c>
      <c r="D2566">
        <v>2</v>
      </c>
      <c r="E2566" t="s">
        <v>31</v>
      </c>
      <c r="F2566" t="s">
        <v>35</v>
      </c>
      <c r="G2566" t="str">
        <f>"2025-01-24 16:13:29.149"</f>
        <v>2025-01-24 16:13:29.149</v>
      </c>
      <c r="H2566" t="s">
        <v>21</v>
      </c>
      <c r="I2566">
        <v>0</v>
      </c>
      <c r="J2566" t="s">
        <v>33</v>
      </c>
    </row>
    <row r="2567" spans="1:10" x14ac:dyDescent="0.25">
      <c r="A2567" s="1">
        <v>671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"2025-01-24 16:13:05.079"</f>
        <v>2025-01-24 16:13:05.079</v>
      </c>
      <c r="H2567" t="s">
        <v>21</v>
      </c>
    </row>
    <row r="2568" spans="1:10" x14ac:dyDescent="0.25">
      <c r="A2568" s="1">
        <v>672</v>
      </c>
      <c r="B2568" t="s">
        <v>19</v>
      </c>
      <c r="C2568">
        <v>706</v>
      </c>
      <c r="D2568">
        <v>2</v>
      </c>
      <c r="E2568" t="s">
        <v>31</v>
      </c>
      <c r="F2568" t="s">
        <v>35</v>
      </c>
      <c r="G2568" t="str">
        <f>"2025-01-24 15:53:17.124"</f>
        <v>2025-01-24 15:53:17.124</v>
      </c>
      <c r="H2568" t="s">
        <v>21</v>
      </c>
      <c r="I2568">
        <v>0</v>
      </c>
      <c r="J2568" t="s">
        <v>33</v>
      </c>
    </row>
    <row r="2569" spans="1:10" x14ac:dyDescent="0.25">
      <c r="A2569" s="1">
        <v>673</v>
      </c>
      <c r="B2569" t="s">
        <v>19</v>
      </c>
      <c r="C2569">
        <v>706</v>
      </c>
      <c r="D2569">
        <v>2</v>
      </c>
      <c r="E2569" t="s">
        <v>31</v>
      </c>
      <c r="F2569" t="s">
        <v>35</v>
      </c>
      <c r="G2569" t="str">
        <f>"2025-01-24 15:52:47.324"</f>
        <v>2025-01-24 15:52:47.324</v>
      </c>
      <c r="H2569" t="s">
        <v>21</v>
      </c>
      <c r="I2569">
        <v>0</v>
      </c>
      <c r="J2569" t="s">
        <v>33</v>
      </c>
    </row>
    <row r="2570" spans="1:10" x14ac:dyDescent="0.25">
      <c r="A2570" s="1">
        <v>674</v>
      </c>
      <c r="B2570" t="s">
        <v>19</v>
      </c>
      <c r="C2570">
        <v>700</v>
      </c>
      <c r="D2570">
        <v>0</v>
      </c>
      <c r="E2570" t="s">
        <v>20</v>
      </c>
      <c r="F2570" t="s">
        <v>20</v>
      </c>
      <c r="G2570" t="str">
        <f>"2025-01-24 15:51:35.074"</f>
        <v>2025-01-24 15:51:35.074</v>
      </c>
      <c r="H2570" t="s">
        <v>21</v>
      </c>
    </row>
    <row r="2571" spans="1:10" x14ac:dyDescent="0.25">
      <c r="A2571" s="1">
        <v>675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"2025-01-24 15:33:08.057"</f>
        <v>2025-01-24 15:33:08.057</v>
      </c>
      <c r="H2571" t="s">
        <v>21</v>
      </c>
    </row>
    <row r="2572" spans="1:10" x14ac:dyDescent="0.25">
      <c r="A2572" s="1">
        <v>676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"2025-01-24 14:49:59.075"</f>
        <v>2025-01-24 14:49:59.075</v>
      </c>
      <c r="H2572" t="s">
        <v>21</v>
      </c>
      <c r="I2572">
        <v>0</v>
      </c>
      <c r="J2572" t="s">
        <v>27</v>
      </c>
    </row>
    <row r="2573" spans="1:10" x14ac:dyDescent="0.25">
      <c r="A2573" s="1">
        <v>677</v>
      </c>
      <c r="B2573" t="s">
        <v>19</v>
      </c>
      <c r="C2573">
        <v>700</v>
      </c>
      <c r="D2573">
        <v>0</v>
      </c>
      <c r="E2573" t="s">
        <v>20</v>
      </c>
      <c r="F2573" t="s">
        <v>20</v>
      </c>
      <c r="G2573" t="str">
        <f>"2025-01-24 14:42:07.066"</f>
        <v>2025-01-24 14:42:07.066</v>
      </c>
      <c r="H2573" t="s">
        <v>21</v>
      </c>
      <c r="I2573">
        <v>0</v>
      </c>
      <c r="J2573" t="s">
        <v>27</v>
      </c>
    </row>
    <row r="2574" spans="1:10" x14ac:dyDescent="0.25">
      <c r="A2574" s="1">
        <v>678</v>
      </c>
      <c r="B2574" t="s">
        <v>19</v>
      </c>
      <c r="C2574">
        <v>700</v>
      </c>
      <c r="D2574">
        <v>0</v>
      </c>
      <c r="E2574" t="s">
        <v>20</v>
      </c>
      <c r="F2574" t="s">
        <v>20</v>
      </c>
      <c r="G2574" t="str">
        <f>"2025-01-24 14:23:39.074"</f>
        <v>2025-01-24 14:23:39.074</v>
      </c>
      <c r="H2574" t="s">
        <v>21</v>
      </c>
    </row>
    <row r="2575" spans="1:10" x14ac:dyDescent="0.25">
      <c r="A2575" s="1">
        <v>679</v>
      </c>
      <c r="B2575" t="s">
        <v>19</v>
      </c>
      <c r="C2575">
        <v>706</v>
      </c>
      <c r="D2575">
        <v>2</v>
      </c>
      <c r="E2575" t="s">
        <v>31</v>
      </c>
      <c r="F2575" t="s">
        <v>35</v>
      </c>
      <c r="G2575" t="str">
        <f>"2025-01-24 14:12:48.911"</f>
        <v>2025-01-24 14:12:48.911</v>
      </c>
      <c r="H2575" t="s">
        <v>21</v>
      </c>
      <c r="I2575">
        <v>0</v>
      </c>
      <c r="J2575" t="s">
        <v>33</v>
      </c>
    </row>
    <row r="2576" spans="1:10" x14ac:dyDescent="0.25">
      <c r="A2576" s="1">
        <v>680</v>
      </c>
      <c r="B2576" t="s">
        <v>19</v>
      </c>
      <c r="C2576">
        <v>700</v>
      </c>
      <c r="D2576">
        <v>0</v>
      </c>
      <c r="E2576" t="s">
        <v>20</v>
      </c>
      <c r="F2576" t="s">
        <v>20</v>
      </c>
      <c r="G2576" t="str">
        <f>"2025-01-24 14:11:13.071"</f>
        <v>2025-01-24 14:11:13.071</v>
      </c>
      <c r="H2576" t="s">
        <v>21</v>
      </c>
      <c r="I2576">
        <v>0</v>
      </c>
      <c r="J2576" t="s">
        <v>27</v>
      </c>
    </row>
    <row r="2577" spans="1:10" x14ac:dyDescent="0.25">
      <c r="A2577" s="1">
        <v>681</v>
      </c>
      <c r="B2577" t="s">
        <v>19</v>
      </c>
      <c r="C2577">
        <v>700</v>
      </c>
      <c r="D2577">
        <v>0</v>
      </c>
      <c r="E2577" t="s">
        <v>20</v>
      </c>
      <c r="F2577" t="s">
        <v>20</v>
      </c>
      <c r="G2577" t="str">
        <f>"2025-01-24 13:58:20.067"</f>
        <v>2025-01-24 13:58:20.067</v>
      </c>
      <c r="H2577" t="s">
        <v>21</v>
      </c>
    </row>
    <row r="2578" spans="1:10" x14ac:dyDescent="0.25">
      <c r="A2578" s="1">
        <v>682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"2025-01-24 13:56:26.074"</f>
        <v>2025-01-24 13:56:26.074</v>
      </c>
      <c r="H2578" t="s">
        <v>21</v>
      </c>
    </row>
    <row r="2579" spans="1:10" x14ac:dyDescent="0.25">
      <c r="A2579" s="1">
        <v>683</v>
      </c>
      <c r="B2579" t="s">
        <v>19</v>
      </c>
      <c r="C2579">
        <v>700</v>
      </c>
      <c r="D2579">
        <v>0</v>
      </c>
      <c r="E2579" t="s">
        <v>20</v>
      </c>
      <c r="F2579" t="s">
        <v>20</v>
      </c>
      <c r="G2579" t="str">
        <f>"2025-01-24 13:53:48.068"</f>
        <v>2025-01-24 13:53:48.068</v>
      </c>
      <c r="H2579" t="s">
        <v>21</v>
      </c>
      <c r="I2579">
        <v>0</v>
      </c>
      <c r="J2579" t="s">
        <v>27</v>
      </c>
    </row>
    <row r="2580" spans="1:10" x14ac:dyDescent="0.25">
      <c r="A2580" s="1">
        <v>684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"2025-01-24 13:50:47.074"</f>
        <v>2025-01-24 13:50:47.074</v>
      </c>
      <c r="H2580" t="s">
        <v>21</v>
      </c>
      <c r="I2580">
        <v>0</v>
      </c>
      <c r="J2580" t="s">
        <v>27</v>
      </c>
    </row>
    <row r="2581" spans="1:10" x14ac:dyDescent="0.25">
      <c r="A2581" s="1">
        <v>685</v>
      </c>
      <c r="B2581" t="s">
        <v>19</v>
      </c>
      <c r="C2581">
        <v>700</v>
      </c>
      <c r="D2581">
        <v>0</v>
      </c>
      <c r="E2581" t="s">
        <v>20</v>
      </c>
      <c r="F2581" t="s">
        <v>20</v>
      </c>
      <c r="G2581" t="str">
        <f>"2025-01-24 13:34:58.066"</f>
        <v>2025-01-24 13:34:58.066</v>
      </c>
      <c r="H2581" t="s">
        <v>21</v>
      </c>
    </row>
    <row r="2582" spans="1:10" x14ac:dyDescent="0.25">
      <c r="A2582" s="1">
        <v>686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"2025-01-24 13:32:43.075"</f>
        <v>2025-01-24 13:32:43.075</v>
      </c>
      <c r="H2582" t="s">
        <v>21</v>
      </c>
      <c r="I2582">
        <v>0</v>
      </c>
      <c r="J2582" t="s">
        <v>27</v>
      </c>
    </row>
    <row r="2583" spans="1:10" x14ac:dyDescent="0.25">
      <c r="A2583" s="1">
        <v>687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"2025-01-24 11:54:50.087"</f>
        <v>2025-01-24 11:54:50.087</v>
      </c>
      <c r="H2583" t="s">
        <v>21</v>
      </c>
    </row>
    <row r="2584" spans="1:10" x14ac:dyDescent="0.25">
      <c r="A2584" s="1">
        <v>688</v>
      </c>
      <c r="B2584" t="s">
        <v>19</v>
      </c>
      <c r="C2584">
        <v>700</v>
      </c>
      <c r="D2584">
        <v>0</v>
      </c>
      <c r="E2584" t="s">
        <v>20</v>
      </c>
      <c r="F2584" t="s">
        <v>20</v>
      </c>
      <c r="G2584" t="str">
        <f>"2025-01-24 11:47:37.083"</f>
        <v>2025-01-24 11:47:37.083</v>
      </c>
      <c r="H2584" t="s">
        <v>21</v>
      </c>
      <c r="I2584">
        <v>0</v>
      </c>
      <c r="J2584" t="s">
        <v>27</v>
      </c>
    </row>
    <row r="2585" spans="1:10" x14ac:dyDescent="0.25">
      <c r="A2585" s="1">
        <v>689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"2025-01-24 11:46:45.066"</f>
        <v>2025-01-24 11:46:45.066</v>
      </c>
      <c r="H2585" t="s">
        <v>21</v>
      </c>
    </row>
    <row r="2586" spans="1:10" x14ac:dyDescent="0.25">
      <c r="A2586" s="1">
        <v>690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"2025-01-24 11:42:51.076"</f>
        <v>2025-01-24 11:42:51.076</v>
      </c>
      <c r="H2586" t="s">
        <v>21</v>
      </c>
      <c r="I2586">
        <v>0</v>
      </c>
      <c r="J2586" t="s">
        <v>27</v>
      </c>
    </row>
    <row r="2587" spans="1:10" x14ac:dyDescent="0.25">
      <c r="A2587" s="1">
        <v>691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"2025-01-24 11:26:00.070"</f>
        <v>2025-01-24 11:26:00.070</v>
      </c>
      <c r="H2587" t="s">
        <v>21</v>
      </c>
      <c r="I2587">
        <v>0</v>
      </c>
      <c r="J2587" t="s">
        <v>27</v>
      </c>
    </row>
    <row r="2588" spans="1:10" x14ac:dyDescent="0.25">
      <c r="A2588" s="1">
        <v>692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"2025-01-24 11:20:20.071"</f>
        <v>2025-01-24 11:20:20.071</v>
      </c>
      <c r="H2588" t="s">
        <v>21</v>
      </c>
      <c r="I2588">
        <v>0</v>
      </c>
      <c r="J2588" t="s">
        <v>27</v>
      </c>
    </row>
    <row r="2589" spans="1:10" x14ac:dyDescent="0.25">
      <c r="A2589" s="1">
        <v>693</v>
      </c>
      <c r="B2589" t="s">
        <v>19</v>
      </c>
      <c r="C2589">
        <v>700</v>
      </c>
      <c r="D2589">
        <v>0</v>
      </c>
      <c r="E2589" t="s">
        <v>20</v>
      </c>
      <c r="F2589" t="s">
        <v>20</v>
      </c>
      <c r="G2589" t="str">
        <f>"2025-01-24 11:14:39.072"</f>
        <v>2025-01-24 11:14:39.072</v>
      </c>
      <c r="H2589" t="s">
        <v>21</v>
      </c>
      <c r="I2589">
        <v>0</v>
      </c>
      <c r="J2589" t="s">
        <v>27</v>
      </c>
    </row>
    <row r="2590" spans="1:10" x14ac:dyDescent="0.25">
      <c r="A2590" s="1">
        <v>694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"2025-01-24 09:45:37.060"</f>
        <v>2025-01-24 09:45:37.060</v>
      </c>
      <c r="H2590" t="s">
        <v>21</v>
      </c>
      <c r="I2590">
        <v>0</v>
      </c>
      <c r="J2590" t="s">
        <v>27</v>
      </c>
    </row>
    <row r="2591" spans="1:10" x14ac:dyDescent="0.25">
      <c r="A2591" s="1">
        <v>695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"2025-01-24 09:35:40.070"</f>
        <v>2025-01-24 09:35:40.070</v>
      </c>
      <c r="H2591" t="s">
        <v>21</v>
      </c>
    </row>
    <row r="2592" spans="1:10" x14ac:dyDescent="0.25">
      <c r="A2592" s="1">
        <v>698</v>
      </c>
      <c r="B2592" t="s">
        <v>19</v>
      </c>
      <c r="C2592">
        <v>706</v>
      </c>
      <c r="D2592">
        <v>2</v>
      </c>
      <c r="E2592" t="s">
        <v>31</v>
      </c>
      <c r="F2592" t="s">
        <v>35</v>
      </c>
      <c r="G2592" t="str">
        <f>"2025-01-24 08:35:10.711"</f>
        <v>2025-01-24 08:35:10.711</v>
      </c>
      <c r="H2592" t="s">
        <v>21</v>
      </c>
      <c r="I2592">
        <v>0</v>
      </c>
      <c r="J2592" t="s">
        <v>33</v>
      </c>
    </row>
    <row r="2593" spans="1:10" x14ac:dyDescent="0.25">
      <c r="A2593" s="1">
        <v>699</v>
      </c>
      <c r="B2593" t="s">
        <v>19</v>
      </c>
      <c r="C2593">
        <v>782</v>
      </c>
      <c r="D2593">
        <v>7</v>
      </c>
      <c r="E2593" t="s">
        <v>74</v>
      </c>
      <c r="F2593" t="s">
        <v>75</v>
      </c>
      <c r="G2593" t="str">
        <f>"2025-01-24 08:35:06.364"</f>
        <v>2025-01-24 08:35:06.364</v>
      </c>
      <c r="H2593" t="s">
        <v>21</v>
      </c>
      <c r="I2593">
        <v>0</v>
      </c>
      <c r="J2593" t="s">
        <v>33</v>
      </c>
    </row>
    <row r="2594" spans="1:10" x14ac:dyDescent="0.25">
      <c r="A2594" s="1">
        <v>702</v>
      </c>
      <c r="B2594" t="s">
        <v>22</v>
      </c>
      <c r="C2594">
        <v>250</v>
      </c>
      <c r="D2594">
        <v>7</v>
      </c>
      <c r="E2594" t="s">
        <v>109</v>
      </c>
      <c r="F2594" t="s">
        <v>110</v>
      </c>
      <c r="G2594" t="str">
        <f>"2025-01-24 08:35:06.359"</f>
        <v>2025-01-24 08:35:06.359</v>
      </c>
      <c r="H2594" t="s">
        <v>21</v>
      </c>
    </row>
    <row r="2595" spans="1:10" x14ac:dyDescent="0.25">
      <c r="A2595" s="1">
        <v>703</v>
      </c>
      <c r="B2595" t="s">
        <v>22</v>
      </c>
      <c r="C2595">
        <v>207</v>
      </c>
      <c r="D2595">
        <v>2</v>
      </c>
      <c r="E2595" t="s">
        <v>111</v>
      </c>
      <c r="F2595" t="s">
        <v>112</v>
      </c>
      <c r="G2595" t="str">
        <f>"2025-01-24 08:35:06.357"</f>
        <v>2025-01-24 08:35:06.357</v>
      </c>
      <c r="H2595" t="s">
        <v>50</v>
      </c>
    </row>
    <row r="2596" spans="1:10" x14ac:dyDescent="0.25">
      <c r="A2596" s="1">
        <v>704</v>
      </c>
      <c r="B2596" t="s">
        <v>22</v>
      </c>
      <c r="C2596">
        <v>107</v>
      </c>
      <c r="D2596">
        <v>2</v>
      </c>
      <c r="E2596" t="s">
        <v>113</v>
      </c>
      <c r="F2596" t="s">
        <v>112</v>
      </c>
      <c r="G2596" t="str">
        <f>"2025-01-24 08:35:06.353"</f>
        <v>2025-01-24 08:35:06.353</v>
      </c>
      <c r="H2596" t="s">
        <v>53</v>
      </c>
    </row>
    <row r="2597" spans="1:10" x14ac:dyDescent="0.25">
      <c r="A2597" s="1">
        <v>705</v>
      </c>
      <c r="B2597" t="s">
        <v>19</v>
      </c>
      <c r="C2597">
        <v>782</v>
      </c>
      <c r="D2597">
        <v>7</v>
      </c>
      <c r="E2597" t="s">
        <v>74</v>
      </c>
      <c r="F2597" t="s">
        <v>75</v>
      </c>
      <c r="G2597" t="str">
        <f>"2025-01-24 08:35:06.352"</f>
        <v>2025-01-24 08:35:06.352</v>
      </c>
      <c r="H2597" t="s">
        <v>21</v>
      </c>
      <c r="I2597">
        <v>0</v>
      </c>
      <c r="J2597" t="s">
        <v>33</v>
      </c>
    </row>
    <row r="2598" spans="1:10" x14ac:dyDescent="0.25">
      <c r="A2598" s="1">
        <v>706</v>
      </c>
      <c r="B2598" t="s">
        <v>22</v>
      </c>
      <c r="C2598">
        <v>248</v>
      </c>
      <c r="D2598">
        <v>7</v>
      </c>
      <c r="E2598" t="s">
        <v>114</v>
      </c>
      <c r="F2598" t="s">
        <v>115</v>
      </c>
      <c r="G2598" t="str">
        <f>"2025-01-24 08:34:55.953"</f>
        <v>2025-01-24 08:34:55.953</v>
      </c>
      <c r="H2598" t="s">
        <v>21</v>
      </c>
    </row>
    <row r="2599" spans="1:10" x14ac:dyDescent="0.25">
      <c r="A2599" s="1">
        <v>707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"2025-01-24 08:34:30.051"</f>
        <v>2025-01-24 08:34:30.051</v>
      </c>
      <c r="H2599" t="s">
        <v>21</v>
      </c>
    </row>
    <row r="2600" spans="1:10" x14ac:dyDescent="0.25">
      <c r="A2600" s="1">
        <v>708</v>
      </c>
      <c r="B2600" t="s">
        <v>19</v>
      </c>
      <c r="C2600">
        <v>706</v>
      </c>
      <c r="D2600">
        <v>2</v>
      </c>
      <c r="E2600" t="s">
        <v>31</v>
      </c>
      <c r="F2600" t="s">
        <v>35</v>
      </c>
      <c r="G2600" t="str">
        <f>"2025-01-24 08:27:07.500"</f>
        <v>2025-01-24 08:27:07.500</v>
      </c>
      <c r="H2600" t="s">
        <v>21</v>
      </c>
      <c r="I2600">
        <v>0</v>
      </c>
      <c r="J2600" t="s">
        <v>33</v>
      </c>
    </row>
    <row r="2601" spans="1:10" x14ac:dyDescent="0.25">
      <c r="A2601" s="1">
        <v>709</v>
      </c>
      <c r="B2601" t="s">
        <v>22</v>
      </c>
      <c r="C2601">
        <v>43</v>
      </c>
      <c r="D2601">
        <v>2</v>
      </c>
      <c r="E2601" t="s">
        <v>116</v>
      </c>
      <c r="F2601" t="s">
        <v>117</v>
      </c>
      <c r="G2601" t="str">
        <f>"2025-01-24 08:26:49.845"</f>
        <v>2025-01-24 08:26:49.845</v>
      </c>
      <c r="H2601" t="s">
        <v>30</v>
      </c>
    </row>
    <row r="2602" spans="1:10" x14ac:dyDescent="0.25">
      <c r="A2602" s="1">
        <v>710</v>
      </c>
      <c r="B2602" t="s">
        <v>22</v>
      </c>
      <c r="C2602">
        <v>43</v>
      </c>
      <c r="D2602">
        <v>1</v>
      </c>
      <c r="E2602" t="s">
        <v>116</v>
      </c>
      <c r="F2602" t="s">
        <v>117</v>
      </c>
      <c r="G2602" t="str">
        <f>"2025-01-24 08:26:49.844"</f>
        <v>2025-01-24 08:26:49.844</v>
      </c>
      <c r="H2602" t="s">
        <v>30</v>
      </c>
    </row>
    <row r="2603" spans="1:10" x14ac:dyDescent="0.25">
      <c r="A2603" s="1">
        <v>711</v>
      </c>
      <c r="B2603" t="s">
        <v>19</v>
      </c>
      <c r="C2603">
        <v>700</v>
      </c>
      <c r="D2603">
        <v>0</v>
      </c>
      <c r="E2603" t="s">
        <v>20</v>
      </c>
      <c r="F2603" t="s">
        <v>20</v>
      </c>
      <c r="G2603" t="str">
        <f>"2025-01-24 08:26:37.050"</f>
        <v>2025-01-24 08:26:37.050</v>
      </c>
      <c r="H2603" t="s">
        <v>21</v>
      </c>
      <c r="I2603">
        <v>0</v>
      </c>
      <c r="J2603" t="s">
        <v>27</v>
      </c>
    </row>
    <row r="2604" spans="1:10" x14ac:dyDescent="0.25">
      <c r="A2604" s="1">
        <v>712</v>
      </c>
      <c r="B2604" t="s">
        <v>25</v>
      </c>
      <c r="C2604">
        <v>43</v>
      </c>
      <c r="D2604">
        <v>1</v>
      </c>
      <c r="E2604" t="s">
        <v>116</v>
      </c>
      <c r="F2604" t="s">
        <v>117</v>
      </c>
      <c r="G2604" t="str">
        <f>"2025-01-24 08:25:43.151"</f>
        <v>2025-01-24 08:25:43.151</v>
      </c>
      <c r="H2604" t="s">
        <v>30</v>
      </c>
      <c r="I2604">
        <v>0</v>
      </c>
      <c r="J2604" t="s">
        <v>33</v>
      </c>
    </row>
    <row r="2605" spans="1:10" x14ac:dyDescent="0.25">
      <c r="A2605" s="1">
        <v>713</v>
      </c>
      <c r="B2605" t="s">
        <v>25</v>
      </c>
      <c r="C2605">
        <v>248</v>
      </c>
      <c r="D2605">
        <v>7</v>
      </c>
      <c r="E2605" t="s">
        <v>114</v>
      </c>
      <c r="F2605" t="s">
        <v>115</v>
      </c>
      <c r="G2605" t="str">
        <f>"2025-01-24 08:25:04.265"</f>
        <v>2025-01-24 08:25:04.265</v>
      </c>
      <c r="H2605" t="s">
        <v>21</v>
      </c>
      <c r="I2605">
        <v>0</v>
      </c>
      <c r="J2605" t="s">
        <v>33</v>
      </c>
    </row>
    <row r="2606" spans="1:10" x14ac:dyDescent="0.25">
      <c r="A2606" s="1">
        <v>714</v>
      </c>
      <c r="B2606" t="s">
        <v>25</v>
      </c>
      <c r="C2606">
        <v>250</v>
      </c>
      <c r="D2606">
        <v>7</v>
      </c>
      <c r="E2606" t="s">
        <v>109</v>
      </c>
      <c r="F2606" t="s">
        <v>110</v>
      </c>
      <c r="G2606" t="str">
        <f>"2025-01-24 08:25:03.905"</f>
        <v>2025-01-24 08:25:03.905</v>
      </c>
      <c r="H2606" t="s">
        <v>21</v>
      </c>
      <c r="I2606">
        <v>0</v>
      </c>
      <c r="J2606" t="s">
        <v>33</v>
      </c>
    </row>
    <row r="2607" spans="1:10" x14ac:dyDescent="0.25">
      <c r="A2607" s="1">
        <v>715</v>
      </c>
      <c r="B2607" t="s">
        <v>41</v>
      </c>
      <c r="C2607">
        <v>250</v>
      </c>
      <c r="D2607">
        <v>7</v>
      </c>
      <c r="E2607" t="s">
        <v>109</v>
      </c>
      <c r="F2607" t="s">
        <v>110</v>
      </c>
      <c r="G2607" t="str">
        <f>"2025-01-24 08:25:03.839"</f>
        <v>2025-01-24 08:25:03.839</v>
      </c>
      <c r="H2607" t="s">
        <v>21</v>
      </c>
    </row>
    <row r="2608" spans="1:10" x14ac:dyDescent="0.25">
      <c r="A2608" s="1">
        <v>716</v>
      </c>
      <c r="B2608" t="s">
        <v>41</v>
      </c>
      <c r="C2608">
        <v>248</v>
      </c>
      <c r="D2608">
        <v>7</v>
      </c>
      <c r="E2608" t="s">
        <v>114</v>
      </c>
      <c r="F2608" t="s">
        <v>115</v>
      </c>
      <c r="G2608" t="str">
        <f>"2025-01-24 08:25:03.739"</f>
        <v>2025-01-24 08:25:03.739</v>
      </c>
      <c r="H2608" t="s">
        <v>21</v>
      </c>
    </row>
    <row r="2609" spans="1:10" x14ac:dyDescent="0.25">
      <c r="A2609" s="1">
        <v>717</v>
      </c>
      <c r="B2609" t="s">
        <v>41</v>
      </c>
      <c r="C2609">
        <v>148</v>
      </c>
      <c r="D2609">
        <v>7</v>
      </c>
      <c r="E2609" t="s">
        <v>118</v>
      </c>
      <c r="F2609" t="s">
        <v>115</v>
      </c>
      <c r="G2609" t="str">
        <f>"2025-01-24 08:25:02.439"</f>
        <v>2025-01-24 08:25:02.439</v>
      </c>
      <c r="H2609" t="s">
        <v>21</v>
      </c>
    </row>
    <row r="2610" spans="1:10" x14ac:dyDescent="0.25">
      <c r="A2610" s="1">
        <v>718</v>
      </c>
      <c r="B2610" t="s">
        <v>25</v>
      </c>
      <c r="C2610">
        <v>43</v>
      </c>
      <c r="D2610">
        <v>2</v>
      </c>
      <c r="E2610" t="s">
        <v>116</v>
      </c>
      <c r="F2610" t="s">
        <v>117</v>
      </c>
      <c r="G2610" t="str">
        <f>"2025-01-24 08:25:01.452"</f>
        <v>2025-01-24 08:25:01.452</v>
      </c>
      <c r="H2610" t="s">
        <v>30</v>
      </c>
      <c r="I2610">
        <v>0</v>
      </c>
      <c r="J2610" t="s">
        <v>33</v>
      </c>
    </row>
    <row r="2611" spans="1:10" x14ac:dyDescent="0.25">
      <c r="A2611" s="1">
        <v>719</v>
      </c>
      <c r="B2611" t="s">
        <v>34</v>
      </c>
      <c r="C2611">
        <v>250</v>
      </c>
      <c r="D2611">
        <v>7</v>
      </c>
      <c r="E2611" t="s">
        <v>109</v>
      </c>
      <c r="F2611" t="s">
        <v>110</v>
      </c>
      <c r="G2611" t="str">
        <f>"2025-01-24 08:24:58.710"</f>
        <v>2025-01-24 08:24:58.710</v>
      </c>
      <c r="H2611" t="s">
        <v>21</v>
      </c>
      <c r="I2611">
        <v>0</v>
      </c>
      <c r="J2611" t="s">
        <v>33</v>
      </c>
    </row>
    <row r="2612" spans="1:10" x14ac:dyDescent="0.25">
      <c r="A2612" s="1">
        <v>720</v>
      </c>
      <c r="B2612" t="s">
        <v>34</v>
      </c>
      <c r="C2612">
        <v>248</v>
      </c>
      <c r="D2612">
        <v>7</v>
      </c>
      <c r="E2612" t="s">
        <v>114</v>
      </c>
      <c r="F2612" t="s">
        <v>115</v>
      </c>
      <c r="G2612" t="str">
        <f>"2025-01-24 08:24:58.705"</f>
        <v>2025-01-24 08:24:58.705</v>
      </c>
      <c r="H2612" t="s">
        <v>21</v>
      </c>
      <c r="I2612">
        <v>0</v>
      </c>
      <c r="J2612" t="s">
        <v>33</v>
      </c>
    </row>
    <row r="2613" spans="1:10" x14ac:dyDescent="0.25">
      <c r="A2613" s="1">
        <v>721</v>
      </c>
      <c r="B2613" t="s">
        <v>34</v>
      </c>
      <c r="C2613">
        <v>148</v>
      </c>
      <c r="D2613">
        <v>7</v>
      </c>
      <c r="E2613" t="s">
        <v>118</v>
      </c>
      <c r="F2613" t="s">
        <v>115</v>
      </c>
      <c r="G2613" t="str">
        <f>"2025-01-24 08:24:57.410"</f>
        <v>2025-01-24 08:24:57.410</v>
      </c>
      <c r="H2613" t="s">
        <v>21</v>
      </c>
      <c r="I2613">
        <v>0</v>
      </c>
      <c r="J2613" t="s">
        <v>33</v>
      </c>
    </row>
    <row r="2614" spans="1:10" x14ac:dyDescent="0.25">
      <c r="A2614" s="1">
        <v>722</v>
      </c>
      <c r="B2614" t="s">
        <v>25</v>
      </c>
      <c r="C2614">
        <v>107</v>
      </c>
      <c r="D2614">
        <v>2</v>
      </c>
      <c r="E2614" t="s">
        <v>113</v>
      </c>
      <c r="F2614" t="s">
        <v>112</v>
      </c>
      <c r="G2614" t="str">
        <f>"2025-01-24 08:24:57.405"</f>
        <v>2025-01-24 08:24:57.405</v>
      </c>
      <c r="H2614" t="s">
        <v>53</v>
      </c>
      <c r="I2614">
        <v>0</v>
      </c>
      <c r="J2614" t="s">
        <v>33</v>
      </c>
    </row>
    <row r="2615" spans="1:10" x14ac:dyDescent="0.25">
      <c r="A2615" s="1">
        <v>723</v>
      </c>
      <c r="B2615" t="s">
        <v>25</v>
      </c>
      <c r="C2615">
        <v>207</v>
      </c>
      <c r="D2615">
        <v>2</v>
      </c>
      <c r="E2615" t="s">
        <v>111</v>
      </c>
      <c r="F2615" t="s">
        <v>112</v>
      </c>
      <c r="G2615" t="str">
        <f>"2025-01-24 08:24:47.365"</f>
        <v>2025-01-24 08:24:47.365</v>
      </c>
      <c r="H2615" t="s">
        <v>50</v>
      </c>
      <c r="I2615">
        <v>0</v>
      </c>
      <c r="J2615" t="s">
        <v>33</v>
      </c>
    </row>
    <row r="2616" spans="1:10" x14ac:dyDescent="0.25">
      <c r="A2616" s="1">
        <v>724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"2025-01-24 08:24:29.050"</f>
        <v>2025-01-24 08:24:29.050</v>
      </c>
      <c r="H2616" t="s">
        <v>21</v>
      </c>
    </row>
    <row r="2617" spans="1:10" x14ac:dyDescent="0.25">
      <c r="A2617" s="1">
        <v>725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"2025-01-23 18:00:59.050"</f>
        <v>2025-01-23 18:00:59.050</v>
      </c>
      <c r="H2617" t="s">
        <v>21</v>
      </c>
    </row>
    <row r="2618" spans="1:10" x14ac:dyDescent="0.25">
      <c r="A2618" s="1">
        <v>726</v>
      </c>
      <c r="B2618" t="s">
        <v>19</v>
      </c>
      <c r="C2618">
        <v>706</v>
      </c>
      <c r="D2618">
        <v>4</v>
      </c>
      <c r="E2618" t="s">
        <v>31</v>
      </c>
      <c r="F2618" t="s">
        <v>32</v>
      </c>
      <c r="G2618" t="str">
        <f>"2025-01-23 15:54:27.449"</f>
        <v>2025-01-23 15:54:27.449</v>
      </c>
      <c r="H2618" t="s">
        <v>21</v>
      </c>
      <c r="I2618">
        <v>0</v>
      </c>
      <c r="J2618" t="s">
        <v>33</v>
      </c>
    </row>
    <row r="2619" spans="1:10" x14ac:dyDescent="0.25">
      <c r="A2619" s="1">
        <v>727</v>
      </c>
      <c r="B2619" t="s">
        <v>19</v>
      </c>
      <c r="C2619">
        <v>700</v>
      </c>
      <c r="D2619">
        <v>0</v>
      </c>
      <c r="E2619" t="s">
        <v>20</v>
      </c>
      <c r="F2619" t="s">
        <v>20</v>
      </c>
      <c r="G2619" t="str">
        <f>"2025-01-23 15:54:00.039"</f>
        <v>2025-01-23 15:54:00.039</v>
      </c>
      <c r="H2619" t="s">
        <v>21</v>
      </c>
      <c r="I2619">
        <v>0</v>
      </c>
      <c r="J2619" t="s">
        <v>27</v>
      </c>
    </row>
    <row r="2620" spans="1:10" x14ac:dyDescent="0.25">
      <c r="A2620" s="1">
        <v>728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"2025-01-23 15:04:53.027"</f>
        <v>2025-01-23 15:04:53.027</v>
      </c>
      <c r="H2620" t="s">
        <v>21</v>
      </c>
      <c r="I2620">
        <v>0</v>
      </c>
      <c r="J2620" t="s">
        <v>27</v>
      </c>
    </row>
    <row r="2621" spans="1:10" x14ac:dyDescent="0.25">
      <c r="A2621" s="1">
        <v>729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"2025-01-23 14:59:49.036"</f>
        <v>2025-01-23 14:59:49.036</v>
      </c>
      <c r="H2621" t="s">
        <v>21</v>
      </c>
      <c r="I2621">
        <v>0</v>
      </c>
      <c r="J2621" t="s">
        <v>27</v>
      </c>
    </row>
    <row r="2622" spans="1:10" x14ac:dyDescent="0.25">
      <c r="A2622" s="1">
        <v>730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"2025-01-23 14:38:09.013"</f>
        <v>2025-01-23 14:38:09.013</v>
      </c>
      <c r="H2622" t="s">
        <v>21</v>
      </c>
      <c r="I2622">
        <v>0</v>
      </c>
      <c r="J2622" t="s">
        <v>27</v>
      </c>
    </row>
    <row r="2623" spans="1:10" x14ac:dyDescent="0.25">
      <c r="A2623" s="1">
        <v>733</v>
      </c>
      <c r="B2623" t="s">
        <v>19</v>
      </c>
      <c r="C2623">
        <v>782</v>
      </c>
      <c r="D2623">
        <v>7</v>
      </c>
      <c r="E2623" t="s">
        <v>74</v>
      </c>
      <c r="F2623" t="s">
        <v>75</v>
      </c>
      <c r="G2623" t="str">
        <f>"2025-01-23 11:28:28.395"</f>
        <v>2025-01-23 11:28:28.395</v>
      </c>
      <c r="H2623" t="s">
        <v>21</v>
      </c>
      <c r="I2623">
        <v>0</v>
      </c>
      <c r="J2623" t="s">
        <v>26</v>
      </c>
    </row>
    <row r="2624" spans="1:10" x14ac:dyDescent="0.25">
      <c r="A2624" s="1">
        <v>736</v>
      </c>
      <c r="B2624" t="s">
        <v>22</v>
      </c>
      <c r="C2624">
        <v>12</v>
      </c>
      <c r="D2624">
        <v>2</v>
      </c>
      <c r="E2624" t="s">
        <v>119</v>
      </c>
      <c r="F2624" t="s">
        <v>120</v>
      </c>
      <c r="G2624" t="str">
        <f>"2025-01-23 11:28:28.391"</f>
        <v>2025-01-23 11:28:28.391</v>
      </c>
      <c r="H2624" t="s">
        <v>21</v>
      </c>
    </row>
    <row r="2625" spans="1:10" x14ac:dyDescent="0.25">
      <c r="A2625" s="1">
        <v>737</v>
      </c>
      <c r="B2625" t="s">
        <v>22</v>
      </c>
      <c r="C2625">
        <v>12</v>
      </c>
      <c r="D2625">
        <v>1</v>
      </c>
      <c r="E2625" t="s">
        <v>119</v>
      </c>
      <c r="F2625" t="s">
        <v>121</v>
      </c>
      <c r="G2625" t="str">
        <f>"2025-01-23 11:28:28.390"</f>
        <v>2025-01-23 11:28:28.390</v>
      </c>
      <c r="H2625" t="s">
        <v>21</v>
      </c>
    </row>
    <row r="2626" spans="1:10" x14ac:dyDescent="0.25">
      <c r="A2626" s="1">
        <v>738</v>
      </c>
      <c r="B2626" t="s">
        <v>19</v>
      </c>
      <c r="C2626">
        <v>782</v>
      </c>
      <c r="D2626">
        <v>7</v>
      </c>
      <c r="E2626" t="s">
        <v>74</v>
      </c>
      <c r="F2626" t="s">
        <v>75</v>
      </c>
      <c r="G2626" t="str">
        <f>"2025-01-23 11:28:28.389"</f>
        <v>2025-01-23 11:28:28.389</v>
      </c>
      <c r="H2626" t="s">
        <v>21</v>
      </c>
      <c r="I2626">
        <v>0</v>
      </c>
      <c r="J2626" t="s">
        <v>26</v>
      </c>
    </row>
    <row r="2627" spans="1:10" x14ac:dyDescent="0.25">
      <c r="A2627" s="1">
        <v>739</v>
      </c>
      <c r="B2627" t="s">
        <v>19</v>
      </c>
      <c r="C2627">
        <v>706</v>
      </c>
      <c r="D2627">
        <v>4</v>
      </c>
      <c r="E2627" t="s">
        <v>31</v>
      </c>
      <c r="F2627" t="s">
        <v>32</v>
      </c>
      <c r="G2627" t="str">
        <f>"2025-01-23 11:27:42.251"</f>
        <v>2025-01-23 11:27:42.251</v>
      </c>
      <c r="H2627" t="s">
        <v>21</v>
      </c>
      <c r="I2627">
        <v>0</v>
      </c>
      <c r="J2627" t="s">
        <v>33</v>
      </c>
    </row>
    <row r="2628" spans="1:10" x14ac:dyDescent="0.25">
      <c r="A2628" s="1">
        <v>740</v>
      </c>
      <c r="B2628" t="s">
        <v>19</v>
      </c>
      <c r="C2628">
        <v>700</v>
      </c>
      <c r="D2628">
        <v>0</v>
      </c>
      <c r="E2628" t="s">
        <v>20</v>
      </c>
      <c r="F2628" t="s">
        <v>20</v>
      </c>
      <c r="G2628" t="str">
        <f>"2025-01-23 11:26:45.021"</f>
        <v>2025-01-23 11:26:45.021</v>
      </c>
      <c r="H2628" t="s">
        <v>21</v>
      </c>
    </row>
    <row r="2629" spans="1:10" x14ac:dyDescent="0.25">
      <c r="A2629" s="1">
        <v>741</v>
      </c>
      <c r="B2629" t="s">
        <v>22</v>
      </c>
      <c r="C2629">
        <v>4</v>
      </c>
      <c r="D2629">
        <v>1</v>
      </c>
      <c r="E2629" t="s">
        <v>122</v>
      </c>
      <c r="F2629" t="s">
        <v>123</v>
      </c>
      <c r="G2629" t="str">
        <f>"2025-01-23 11:24:56.900"</f>
        <v>2025-01-23 11:24:56.900</v>
      </c>
      <c r="H2629" t="s">
        <v>124</v>
      </c>
    </row>
    <row r="2630" spans="1:10" x14ac:dyDescent="0.25">
      <c r="A2630" s="1">
        <v>742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"2025-01-23 11:24:49.021"</f>
        <v>2025-01-23 11:24:49.021</v>
      </c>
      <c r="H2630" t="s">
        <v>21</v>
      </c>
    </row>
    <row r="2631" spans="1:10" x14ac:dyDescent="0.25">
      <c r="A2631" s="1">
        <v>743</v>
      </c>
      <c r="B2631" t="s">
        <v>19</v>
      </c>
      <c r="C2631">
        <v>719</v>
      </c>
      <c r="D2631">
        <v>1</v>
      </c>
      <c r="E2631" t="s">
        <v>72</v>
      </c>
      <c r="F2631" t="s">
        <v>125</v>
      </c>
      <c r="G2631" t="str">
        <f>"2025-01-23 10:58:00.468"</f>
        <v>2025-01-23 10:58:00.468</v>
      </c>
      <c r="H2631" t="s">
        <v>21</v>
      </c>
      <c r="I2631">
        <v>0</v>
      </c>
      <c r="J2631" t="s">
        <v>33</v>
      </c>
    </row>
    <row r="2632" spans="1:10" x14ac:dyDescent="0.25">
      <c r="A2632" s="1">
        <v>744</v>
      </c>
      <c r="B2632" t="s">
        <v>22</v>
      </c>
      <c r="C2632">
        <v>650</v>
      </c>
      <c r="D2632">
        <v>4</v>
      </c>
      <c r="E2632" t="s">
        <v>126</v>
      </c>
      <c r="F2632" t="s">
        <v>127</v>
      </c>
      <c r="G2632" t="str">
        <f>"2025-01-22 16:59:03.849"</f>
        <v>2025-01-22 16:59:03.849</v>
      </c>
      <c r="H2632" t="s">
        <v>21</v>
      </c>
    </row>
    <row r="2633" spans="1:10" x14ac:dyDescent="0.25">
      <c r="A2633" s="1">
        <v>745</v>
      </c>
      <c r="B2633" t="s">
        <v>22</v>
      </c>
      <c r="C2633">
        <v>98</v>
      </c>
      <c r="D2633">
        <v>1</v>
      </c>
      <c r="E2633" t="s">
        <v>60</v>
      </c>
      <c r="F2633" t="s">
        <v>61</v>
      </c>
      <c r="G2633" t="str">
        <f>"2025-01-22 16:58:34.560"</f>
        <v>2025-01-22 16:58:34.560</v>
      </c>
      <c r="H2633" t="s">
        <v>21</v>
      </c>
    </row>
    <row r="2634" spans="1:10" x14ac:dyDescent="0.25">
      <c r="A2634" s="1">
        <v>746</v>
      </c>
      <c r="B2634" t="s">
        <v>25</v>
      </c>
      <c r="C2634">
        <v>98</v>
      </c>
      <c r="D2634">
        <v>1</v>
      </c>
      <c r="E2634" t="s">
        <v>60</v>
      </c>
      <c r="F2634" t="s">
        <v>61</v>
      </c>
      <c r="G2634" t="str">
        <f>"2025-01-22 16:58:33.560"</f>
        <v>2025-01-22 16:58:33.560</v>
      </c>
      <c r="H2634" t="s">
        <v>21</v>
      </c>
      <c r="I2634">
        <v>0</v>
      </c>
      <c r="J2634" t="s">
        <v>33</v>
      </c>
    </row>
    <row r="2635" spans="1:10" x14ac:dyDescent="0.25">
      <c r="A2635" s="1">
        <v>747</v>
      </c>
      <c r="B2635" t="s">
        <v>22</v>
      </c>
      <c r="C2635">
        <v>98</v>
      </c>
      <c r="D2635">
        <v>1</v>
      </c>
      <c r="E2635" t="s">
        <v>60</v>
      </c>
      <c r="F2635" t="s">
        <v>61</v>
      </c>
      <c r="G2635" t="str">
        <f>"2025-01-22 16:58:32.960"</f>
        <v>2025-01-22 16:58:32.960</v>
      </c>
      <c r="H2635" t="s">
        <v>21</v>
      </c>
    </row>
    <row r="2636" spans="1:10" x14ac:dyDescent="0.25">
      <c r="A2636" s="1">
        <v>748</v>
      </c>
      <c r="B2636" t="s">
        <v>25</v>
      </c>
      <c r="C2636">
        <v>98</v>
      </c>
      <c r="D2636">
        <v>1</v>
      </c>
      <c r="E2636" t="s">
        <v>60</v>
      </c>
      <c r="F2636" t="s">
        <v>61</v>
      </c>
      <c r="G2636" t="str">
        <f>"2025-01-22 16:58:31.961"</f>
        <v>2025-01-22 16:58:31.961</v>
      </c>
      <c r="H2636" t="s">
        <v>21</v>
      </c>
      <c r="I2636">
        <v>0</v>
      </c>
      <c r="J2636" t="s">
        <v>33</v>
      </c>
    </row>
    <row r="2637" spans="1:10" x14ac:dyDescent="0.25">
      <c r="A2637" s="1">
        <v>751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"2025-01-22 16:49:08.329"</f>
        <v>2025-01-22 16:49:08.329</v>
      </c>
      <c r="H2637" t="s">
        <v>21</v>
      </c>
    </row>
    <row r="2638" spans="1:10" x14ac:dyDescent="0.25">
      <c r="A2638" s="1">
        <v>752</v>
      </c>
      <c r="B2638" t="s">
        <v>22</v>
      </c>
      <c r="C2638">
        <v>24</v>
      </c>
      <c r="D2638">
        <v>9</v>
      </c>
      <c r="E2638" t="s">
        <v>128</v>
      </c>
      <c r="F2638" t="s">
        <v>129</v>
      </c>
      <c r="G2638" t="str">
        <f>"2025-01-22 16:49:08.200"</f>
        <v>2025-01-22 16:49:08.200</v>
      </c>
      <c r="H2638" t="s">
        <v>47</v>
      </c>
    </row>
    <row r="2639" spans="1:10" x14ac:dyDescent="0.25">
      <c r="A2639" s="1">
        <v>753</v>
      </c>
      <c r="B2639" t="s">
        <v>19</v>
      </c>
      <c r="C2639">
        <v>754</v>
      </c>
      <c r="D2639">
        <v>0</v>
      </c>
      <c r="E2639" t="s">
        <v>130</v>
      </c>
      <c r="F2639" t="s">
        <v>130</v>
      </c>
      <c r="G2639" t="str">
        <f>"2025-01-22 16:43:40.936"</f>
        <v>2025-01-22 16:43:40.936</v>
      </c>
      <c r="H2639" t="s">
        <v>21</v>
      </c>
      <c r="I2639">
        <v>0</v>
      </c>
      <c r="J2639" t="s">
        <v>33</v>
      </c>
    </row>
    <row r="2640" spans="1:10" x14ac:dyDescent="0.25">
      <c r="A2640" s="1">
        <v>754</v>
      </c>
      <c r="B2640" t="s">
        <v>22</v>
      </c>
      <c r="C2640">
        <v>590</v>
      </c>
      <c r="D2640">
        <v>8</v>
      </c>
      <c r="E2640" t="s">
        <v>131</v>
      </c>
      <c r="F2640" t="s">
        <v>132</v>
      </c>
      <c r="G2640" t="str">
        <f>"2025-01-22 16:43:10.881"</f>
        <v>2025-01-22 16:43:10.881</v>
      </c>
      <c r="H2640" t="s">
        <v>21</v>
      </c>
    </row>
    <row r="2641" spans="1:10" x14ac:dyDescent="0.25">
      <c r="A2641" s="1">
        <v>755</v>
      </c>
      <c r="B2641" t="s">
        <v>34</v>
      </c>
      <c r="C2641">
        <v>641</v>
      </c>
      <c r="D2641">
        <v>1</v>
      </c>
      <c r="E2641" t="s">
        <v>133</v>
      </c>
      <c r="F2641" t="s">
        <v>120</v>
      </c>
      <c r="G2641" t="str">
        <f>"2025-01-22 16:43:07.251"</f>
        <v>2025-01-22 16:43:07.251</v>
      </c>
      <c r="H2641" t="s">
        <v>21</v>
      </c>
      <c r="I2641">
        <v>0</v>
      </c>
      <c r="J2641" t="s">
        <v>33</v>
      </c>
    </row>
    <row r="2642" spans="1:10" x14ac:dyDescent="0.25">
      <c r="A2642" s="1">
        <v>756</v>
      </c>
      <c r="B2642" t="s">
        <v>34</v>
      </c>
      <c r="C2642">
        <v>640</v>
      </c>
      <c r="D2642">
        <v>1</v>
      </c>
      <c r="E2642" t="s">
        <v>134</v>
      </c>
      <c r="F2642" t="s">
        <v>121</v>
      </c>
      <c r="G2642" t="str">
        <f>"2025-01-22 16:43:07.242"</f>
        <v>2025-01-22 16:43:07.242</v>
      </c>
      <c r="H2642" t="s">
        <v>55</v>
      </c>
      <c r="I2642">
        <v>0</v>
      </c>
      <c r="J2642" t="s">
        <v>33</v>
      </c>
    </row>
    <row r="2643" spans="1:10" x14ac:dyDescent="0.25">
      <c r="A2643" s="1">
        <v>757</v>
      </c>
      <c r="B2643" t="s">
        <v>25</v>
      </c>
      <c r="C2643">
        <v>24</v>
      </c>
      <c r="D2643">
        <v>9</v>
      </c>
      <c r="E2643" t="s">
        <v>128</v>
      </c>
      <c r="F2643" t="s">
        <v>129</v>
      </c>
      <c r="G2643" t="str">
        <f>"2025-01-22 16:42:57.094"</f>
        <v>2025-01-22 16:42:57.094</v>
      </c>
      <c r="H2643" t="s">
        <v>47</v>
      </c>
      <c r="I2643">
        <v>0</v>
      </c>
      <c r="J2643" t="s">
        <v>27</v>
      </c>
    </row>
    <row r="2644" spans="1:10" x14ac:dyDescent="0.25">
      <c r="A2644" s="1">
        <v>758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"2025-01-22 16:42:57.041"</f>
        <v>2025-01-22 16:42:57.041</v>
      </c>
      <c r="H2644" t="s">
        <v>21</v>
      </c>
      <c r="I2644">
        <v>0</v>
      </c>
      <c r="J2644" t="s">
        <v>27</v>
      </c>
    </row>
    <row r="2645" spans="1:10" x14ac:dyDescent="0.25">
      <c r="A2645" s="1">
        <v>760</v>
      </c>
      <c r="B2645" t="s">
        <v>22</v>
      </c>
      <c r="C2645">
        <v>24</v>
      </c>
      <c r="D2645">
        <v>9</v>
      </c>
      <c r="E2645" t="s">
        <v>128</v>
      </c>
      <c r="F2645" t="s">
        <v>129</v>
      </c>
      <c r="G2645" t="str">
        <f>"2025-01-22 16:42:56.751"</f>
        <v>2025-01-22 16:42:56.751</v>
      </c>
      <c r="H2645" t="s">
        <v>47</v>
      </c>
    </row>
    <row r="2646" spans="1:10" x14ac:dyDescent="0.25">
      <c r="A2646" s="1">
        <v>761</v>
      </c>
      <c r="B2646" t="s">
        <v>34</v>
      </c>
      <c r="C2646">
        <v>641</v>
      </c>
      <c r="D2646">
        <v>1</v>
      </c>
      <c r="E2646" t="s">
        <v>133</v>
      </c>
      <c r="F2646" t="s">
        <v>120</v>
      </c>
      <c r="G2646" t="str">
        <f>"2025-01-22 16:42:05.204"</f>
        <v>2025-01-22 16:42:05.204</v>
      </c>
      <c r="H2646" t="s">
        <v>21</v>
      </c>
      <c r="I2646">
        <v>0</v>
      </c>
      <c r="J2646" t="s">
        <v>135</v>
      </c>
    </row>
    <row r="2647" spans="1:10" x14ac:dyDescent="0.25">
      <c r="A2647" s="1">
        <v>762</v>
      </c>
      <c r="B2647" t="s">
        <v>34</v>
      </c>
      <c r="C2647">
        <v>640</v>
      </c>
      <c r="D2647">
        <v>1</v>
      </c>
      <c r="E2647" t="s">
        <v>134</v>
      </c>
      <c r="F2647" t="s">
        <v>121</v>
      </c>
      <c r="G2647" t="str">
        <f>"2025-01-22 16:42:05.196"</f>
        <v>2025-01-22 16:42:05.196</v>
      </c>
      <c r="H2647" t="s">
        <v>55</v>
      </c>
      <c r="I2647">
        <v>0</v>
      </c>
      <c r="J2647" t="s">
        <v>135</v>
      </c>
    </row>
    <row r="2648" spans="1:10" x14ac:dyDescent="0.25">
      <c r="A2648" s="1">
        <v>763</v>
      </c>
      <c r="B2648" t="s">
        <v>25</v>
      </c>
      <c r="C2648">
        <v>24</v>
      </c>
      <c r="D2648">
        <v>9</v>
      </c>
      <c r="E2648" t="s">
        <v>128</v>
      </c>
      <c r="F2648" t="s">
        <v>129</v>
      </c>
      <c r="G2648" t="str">
        <f>"2025-01-22 16:41:55.107"</f>
        <v>2025-01-22 16:41:55.107</v>
      </c>
      <c r="H2648" t="s">
        <v>47</v>
      </c>
      <c r="I2648">
        <v>0</v>
      </c>
      <c r="J2648" t="s">
        <v>27</v>
      </c>
    </row>
    <row r="2649" spans="1:10" x14ac:dyDescent="0.25">
      <c r="A2649" s="1">
        <v>764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"2025-01-22 16:41:55.052"</f>
        <v>2025-01-22 16:41:55.052</v>
      </c>
      <c r="H2649" t="s">
        <v>21</v>
      </c>
    </row>
    <row r="2650" spans="1:10" x14ac:dyDescent="0.25">
      <c r="A2650" s="1">
        <v>766</v>
      </c>
      <c r="B2650" t="s">
        <v>22</v>
      </c>
      <c r="C2650">
        <v>24</v>
      </c>
      <c r="D2650">
        <v>9</v>
      </c>
      <c r="E2650" t="s">
        <v>128</v>
      </c>
      <c r="F2650" t="s">
        <v>129</v>
      </c>
      <c r="G2650" t="str">
        <f>"2025-01-22 16:41:54.765"</f>
        <v>2025-01-22 16:41:54.765</v>
      </c>
      <c r="H2650" t="s">
        <v>47</v>
      </c>
    </row>
    <row r="2651" spans="1:10" x14ac:dyDescent="0.25">
      <c r="A2651" s="1">
        <v>767</v>
      </c>
      <c r="B2651" t="s">
        <v>25</v>
      </c>
      <c r="C2651">
        <v>590</v>
      </c>
      <c r="D2651">
        <v>8</v>
      </c>
      <c r="E2651" t="s">
        <v>131</v>
      </c>
      <c r="F2651" t="s">
        <v>132</v>
      </c>
      <c r="G2651" t="str">
        <f>"2025-01-22 16:41:15.795"</f>
        <v>2025-01-22 16:41:15.795</v>
      </c>
      <c r="H2651" t="s">
        <v>21</v>
      </c>
      <c r="I2651">
        <v>0</v>
      </c>
      <c r="J2651" t="s">
        <v>135</v>
      </c>
    </row>
    <row r="2652" spans="1:10" x14ac:dyDescent="0.25">
      <c r="A2652" s="1">
        <v>768</v>
      </c>
      <c r="B2652" t="s">
        <v>34</v>
      </c>
      <c r="C2652">
        <v>641</v>
      </c>
      <c r="D2652">
        <v>1</v>
      </c>
      <c r="E2652" t="s">
        <v>133</v>
      </c>
      <c r="F2652" t="s">
        <v>120</v>
      </c>
      <c r="G2652" t="str">
        <f>"2025-01-22 16:41:13.156"</f>
        <v>2025-01-22 16:41:13.156</v>
      </c>
      <c r="H2652" t="s">
        <v>21</v>
      </c>
      <c r="I2652">
        <v>0</v>
      </c>
      <c r="J2652" t="s">
        <v>135</v>
      </c>
    </row>
    <row r="2653" spans="1:10" x14ac:dyDescent="0.25">
      <c r="A2653" s="1">
        <v>769</v>
      </c>
      <c r="B2653" t="s">
        <v>34</v>
      </c>
      <c r="C2653">
        <v>640</v>
      </c>
      <c r="D2653">
        <v>1</v>
      </c>
      <c r="E2653" t="s">
        <v>134</v>
      </c>
      <c r="F2653" t="s">
        <v>121</v>
      </c>
      <c r="G2653" t="str">
        <f>"2025-01-22 16:41:13.148"</f>
        <v>2025-01-22 16:41:13.148</v>
      </c>
      <c r="H2653" t="s">
        <v>55</v>
      </c>
      <c r="I2653">
        <v>0</v>
      </c>
      <c r="J2653" t="s">
        <v>135</v>
      </c>
    </row>
    <row r="2654" spans="1:10" x14ac:dyDescent="0.25">
      <c r="A2654" s="1">
        <v>770</v>
      </c>
      <c r="B2654" t="s">
        <v>25</v>
      </c>
      <c r="C2654">
        <v>4</v>
      </c>
      <c r="D2654">
        <v>1</v>
      </c>
      <c r="E2654" t="s">
        <v>122</v>
      </c>
      <c r="F2654" t="s">
        <v>123</v>
      </c>
      <c r="G2654" t="str">
        <f>"2025-01-22 16:41:07.886"</f>
        <v>2025-01-22 16:41:07.886</v>
      </c>
      <c r="H2654" t="s">
        <v>124</v>
      </c>
      <c r="I2654">
        <v>0</v>
      </c>
      <c r="J2654" t="s">
        <v>135</v>
      </c>
    </row>
    <row r="2655" spans="1:10" x14ac:dyDescent="0.25">
      <c r="A2655" s="1">
        <v>771</v>
      </c>
      <c r="B2655" t="s">
        <v>25</v>
      </c>
      <c r="C2655">
        <v>12</v>
      </c>
      <c r="D2655">
        <v>1</v>
      </c>
      <c r="E2655" t="s">
        <v>119</v>
      </c>
      <c r="F2655" t="s">
        <v>121</v>
      </c>
      <c r="G2655" t="str">
        <f>"2025-01-22 16:41:07.048"</f>
        <v>2025-01-22 16:41:07.048</v>
      </c>
      <c r="H2655" t="s">
        <v>21</v>
      </c>
      <c r="I2655">
        <v>0</v>
      </c>
      <c r="J2655" t="s">
        <v>135</v>
      </c>
    </row>
    <row r="2656" spans="1:10" x14ac:dyDescent="0.25">
      <c r="A2656" s="1">
        <v>772</v>
      </c>
      <c r="B2656" t="s">
        <v>25</v>
      </c>
      <c r="C2656">
        <v>12</v>
      </c>
      <c r="D2656">
        <v>2</v>
      </c>
      <c r="E2656" t="s">
        <v>119</v>
      </c>
      <c r="F2656" t="s">
        <v>120</v>
      </c>
      <c r="G2656" t="str">
        <f>"2025-01-22 16:41:06.949"</f>
        <v>2025-01-22 16:41:06.949</v>
      </c>
      <c r="H2656" t="s">
        <v>21</v>
      </c>
      <c r="I2656">
        <v>0</v>
      </c>
      <c r="J2656" t="s">
        <v>135</v>
      </c>
    </row>
    <row r="2657" spans="1:10" x14ac:dyDescent="0.25">
      <c r="A2657" s="1">
        <v>773</v>
      </c>
      <c r="B2657" t="s">
        <v>25</v>
      </c>
      <c r="C2657">
        <v>650</v>
      </c>
      <c r="D2657">
        <v>4</v>
      </c>
      <c r="E2657" t="s">
        <v>126</v>
      </c>
      <c r="F2657" t="s">
        <v>127</v>
      </c>
      <c r="G2657" t="str">
        <f>"2025-01-22 16:41:05.566"</f>
        <v>2025-01-22 16:41:05.566</v>
      </c>
      <c r="H2657" t="s">
        <v>21</v>
      </c>
      <c r="I2657">
        <v>0</v>
      </c>
      <c r="J2657" t="s">
        <v>27</v>
      </c>
    </row>
    <row r="2658" spans="1:10" x14ac:dyDescent="0.25">
      <c r="A2658" s="1">
        <v>774</v>
      </c>
      <c r="B2658" t="s">
        <v>25</v>
      </c>
      <c r="C2658">
        <v>24</v>
      </c>
      <c r="D2658">
        <v>9</v>
      </c>
      <c r="E2658" t="s">
        <v>128</v>
      </c>
      <c r="F2658" t="s">
        <v>129</v>
      </c>
      <c r="G2658" t="str">
        <f>"2025-01-22 16:41:03.093"</f>
        <v>2025-01-22 16:41:03.093</v>
      </c>
      <c r="H2658" t="s">
        <v>47</v>
      </c>
      <c r="I2658">
        <v>0</v>
      </c>
      <c r="J2658" t="s">
        <v>27</v>
      </c>
    </row>
    <row r="2659" spans="1:10" x14ac:dyDescent="0.25">
      <c r="A2659" s="1">
        <v>775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"2025-01-22 16:41:03.035"</f>
        <v>2025-01-22 16:41:03.035</v>
      </c>
      <c r="H2659" t="s">
        <v>21</v>
      </c>
    </row>
    <row r="2660" spans="1:10" x14ac:dyDescent="0.25">
      <c r="A2660" s="1">
        <v>777</v>
      </c>
      <c r="B2660" t="s">
        <v>22</v>
      </c>
      <c r="C2660">
        <v>58</v>
      </c>
      <c r="D2660">
        <v>1</v>
      </c>
      <c r="E2660" t="s">
        <v>136</v>
      </c>
      <c r="F2660" t="s">
        <v>137</v>
      </c>
      <c r="G2660" t="str">
        <f>"2025-01-22 16:33:38.918"</f>
        <v>2025-01-22 16:33:38.918</v>
      </c>
      <c r="H2660" t="s">
        <v>50</v>
      </c>
    </row>
    <row r="2661" spans="1:10" x14ac:dyDescent="0.25">
      <c r="A2661" s="1">
        <v>779</v>
      </c>
      <c r="B2661" t="s">
        <v>22</v>
      </c>
      <c r="C2661">
        <v>75</v>
      </c>
      <c r="D2661">
        <v>1</v>
      </c>
      <c r="E2661" t="s">
        <v>48</v>
      </c>
      <c r="F2661" t="s">
        <v>49</v>
      </c>
      <c r="G2661" t="str">
        <f>"2025-01-22 16:33:31.495"</f>
        <v>2025-01-22 16:33:31.495</v>
      </c>
      <c r="H2661" t="s">
        <v>50</v>
      </c>
    </row>
    <row r="2662" spans="1:10" x14ac:dyDescent="0.25">
      <c r="A2662" s="1">
        <v>780</v>
      </c>
      <c r="B2662" t="s">
        <v>34</v>
      </c>
      <c r="C2662">
        <v>641</v>
      </c>
      <c r="D2662">
        <v>1</v>
      </c>
      <c r="E2662" t="s">
        <v>133</v>
      </c>
      <c r="F2662" t="s">
        <v>120</v>
      </c>
      <c r="G2662" t="str">
        <f>"2025-01-22 16:33:28.806"</f>
        <v>2025-01-22 16:33:28.806</v>
      </c>
      <c r="H2662" t="s">
        <v>21</v>
      </c>
    </row>
    <row r="2663" spans="1:10" x14ac:dyDescent="0.25">
      <c r="A2663" s="1">
        <v>781</v>
      </c>
      <c r="B2663" t="s">
        <v>34</v>
      </c>
      <c r="C2663">
        <v>640</v>
      </c>
      <c r="D2663">
        <v>1</v>
      </c>
      <c r="E2663" t="s">
        <v>134</v>
      </c>
      <c r="F2663" t="s">
        <v>121</v>
      </c>
      <c r="G2663" t="str">
        <f>"2025-01-22 16:33:28.803"</f>
        <v>2025-01-22 16:33:28.803</v>
      </c>
      <c r="H2663" t="s">
        <v>55</v>
      </c>
    </row>
    <row r="2664" spans="1:10" x14ac:dyDescent="0.25">
      <c r="A2664" s="1">
        <v>782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"2025-01-22 16:33:16.996"</f>
        <v>2025-01-22 16:33:16.996</v>
      </c>
      <c r="H2664" t="s">
        <v>21</v>
      </c>
    </row>
    <row r="2665" spans="1:10" x14ac:dyDescent="0.25">
      <c r="A2665" s="1">
        <v>783</v>
      </c>
      <c r="B2665" t="s">
        <v>25</v>
      </c>
      <c r="C2665">
        <v>75</v>
      </c>
      <c r="D2665">
        <v>1</v>
      </c>
      <c r="E2665" t="s">
        <v>48</v>
      </c>
      <c r="F2665" t="s">
        <v>49</v>
      </c>
      <c r="G2665" t="str">
        <f>"2023-10-26 19:24:50.080"</f>
        <v>2023-10-26 19:24:50.080</v>
      </c>
      <c r="H2665" t="s">
        <v>50</v>
      </c>
    </row>
    <row r="2666" spans="1:10" x14ac:dyDescent="0.25">
      <c r="A2666" s="1">
        <v>784</v>
      </c>
      <c r="B2666" t="s">
        <v>25</v>
      </c>
      <c r="C2666">
        <v>43</v>
      </c>
      <c r="D2666">
        <v>1</v>
      </c>
      <c r="E2666" t="s">
        <v>116</v>
      </c>
      <c r="F2666" t="s">
        <v>117</v>
      </c>
      <c r="G2666" t="str">
        <f>"2023-10-26 19:24:45.432"</f>
        <v>2023-10-26 19:24:45.432</v>
      </c>
      <c r="H2666" t="s">
        <v>30</v>
      </c>
    </row>
    <row r="2667" spans="1:10" x14ac:dyDescent="0.25">
      <c r="A2667" s="1">
        <v>786</v>
      </c>
      <c r="B2667" t="s">
        <v>22</v>
      </c>
      <c r="C2667">
        <v>74</v>
      </c>
      <c r="D2667">
        <v>1</v>
      </c>
      <c r="E2667" t="s">
        <v>51</v>
      </c>
      <c r="F2667" t="s">
        <v>52</v>
      </c>
      <c r="G2667" t="str">
        <f>"2023-10-26 19:24:16.632"</f>
        <v>2023-10-26 19:24:16.632</v>
      </c>
      <c r="H2667" t="s">
        <v>53</v>
      </c>
    </row>
    <row r="2668" spans="1:10" x14ac:dyDescent="0.25">
      <c r="A2668" s="1">
        <v>788</v>
      </c>
      <c r="B2668" t="s">
        <v>34</v>
      </c>
      <c r="C2668">
        <v>641</v>
      </c>
      <c r="D2668">
        <v>1</v>
      </c>
      <c r="E2668" t="s">
        <v>133</v>
      </c>
      <c r="F2668" t="s">
        <v>120</v>
      </c>
      <c r="G2668" t="str">
        <f>"2023-10-26 19:24:13.955"</f>
        <v>2023-10-26 19:24:13.955</v>
      </c>
      <c r="H2668" t="s">
        <v>21</v>
      </c>
    </row>
    <row r="2669" spans="1:10" x14ac:dyDescent="0.25">
      <c r="A2669" s="1">
        <v>789</v>
      </c>
      <c r="B2669" t="s">
        <v>34</v>
      </c>
      <c r="C2669">
        <v>640</v>
      </c>
      <c r="D2669">
        <v>1</v>
      </c>
      <c r="E2669" t="s">
        <v>134</v>
      </c>
      <c r="F2669" t="s">
        <v>121</v>
      </c>
      <c r="G2669" t="str">
        <f>"2023-10-26 19:24:13.952"</f>
        <v>2023-10-26 19:24:13.952</v>
      </c>
      <c r="H2669" t="s">
        <v>55</v>
      </c>
    </row>
    <row r="2670" spans="1:10" x14ac:dyDescent="0.25">
      <c r="A2670" s="1">
        <v>790</v>
      </c>
      <c r="B2670" t="s">
        <v>19</v>
      </c>
      <c r="C2670">
        <v>700</v>
      </c>
      <c r="D2670">
        <v>0</v>
      </c>
      <c r="E2670" t="s">
        <v>20</v>
      </c>
      <c r="F2670" t="s">
        <v>20</v>
      </c>
      <c r="G2670" t="str">
        <f>"2023-10-26 19:24:01.990"</f>
        <v>2023-10-26 19:24:01.990</v>
      </c>
      <c r="H2670" t="s">
        <v>21</v>
      </c>
    </row>
    <row r="2671" spans="1:10" x14ac:dyDescent="0.25">
      <c r="A2671" s="1">
        <v>791</v>
      </c>
      <c r="B2671" t="s">
        <v>22</v>
      </c>
      <c r="C2671">
        <v>590</v>
      </c>
      <c r="D2671">
        <v>8</v>
      </c>
      <c r="E2671" t="s">
        <v>131</v>
      </c>
      <c r="F2671" t="s">
        <v>132</v>
      </c>
      <c r="G2671" t="str">
        <f>"2023-10-26 19:24:01.860"</f>
        <v>2023-10-26 19:24:01.860</v>
      </c>
      <c r="H2671" t="s">
        <v>21</v>
      </c>
    </row>
    <row r="2672" spans="1:10" x14ac:dyDescent="0.25">
      <c r="A2672" s="1">
        <v>792</v>
      </c>
      <c r="B2672" t="s">
        <v>25</v>
      </c>
      <c r="C2672">
        <v>74</v>
      </c>
      <c r="D2672">
        <v>1</v>
      </c>
      <c r="E2672" t="s">
        <v>51</v>
      </c>
      <c r="F2672" t="s">
        <v>52</v>
      </c>
      <c r="G2672" t="str">
        <f>"2023-10-26 19:20:02.220"</f>
        <v>2023-10-26 19:20:02.220</v>
      </c>
      <c r="H2672" t="s">
        <v>53</v>
      </c>
    </row>
    <row r="2673" spans="1:8" x14ac:dyDescent="0.25">
      <c r="A2673" s="1">
        <v>793</v>
      </c>
      <c r="B2673" t="s">
        <v>25</v>
      </c>
      <c r="C2673">
        <v>590</v>
      </c>
      <c r="D2673">
        <v>8</v>
      </c>
      <c r="E2673" t="s">
        <v>131</v>
      </c>
      <c r="F2673" t="s">
        <v>132</v>
      </c>
      <c r="G2673" t="str">
        <f>"2023-10-26 19:19:44.797"</f>
        <v>2023-10-26 19:19:44.797</v>
      </c>
      <c r="H2673" t="s">
        <v>21</v>
      </c>
    </row>
    <row r="2674" spans="1:8" x14ac:dyDescent="0.25">
      <c r="A2674" s="1">
        <v>794</v>
      </c>
      <c r="B2674" t="s">
        <v>25</v>
      </c>
      <c r="C2674">
        <v>58</v>
      </c>
      <c r="D2674">
        <v>1</v>
      </c>
      <c r="E2674" t="s">
        <v>136</v>
      </c>
      <c r="F2674" t="s">
        <v>137</v>
      </c>
      <c r="G2674" t="str">
        <f>"2023-10-26 19:19:44.703"</f>
        <v>2023-10-26 19:19:44.703</v>
      </c>
      <c r="H2674" t="s">
        <v>50</v>
      </c>
    </row>
    <row r="2675" spans="1:8" x14ac:dyDescent="0.25">
      <c r="A2675" s="1">
        <v>795</v>
      </c>
      <c r="B2675" t="s">
        <v>19</v>
      </c>
      <c r="C2675">
        <v>753</v>
      </c>
      <c r="D2675">
        <v>1</v>
      </c>
      <c r="E2675" t="s">
        <v>138</v>
      </c>
      <c r="F2675" t="s">
        <v>139</v>
      </c>
      <c r="G2675" t="str">
        <f>"2023-10-26 19:19:41.377"</f>
        <v>2023-10-26 19:19:41.377</v>
      </c>
      <c r="H2675" t="s">
        <v>21</v>
      </c>
    </row>
    <row r="2676" spans="1:8" x14ac:dyDescent="0.25">
      <c r="A2676" s="1">
        <v>798</v>
      </c>
      <c r="B2676" t="s">
        <v>34</v>
      </c>
      <c r="C2676">
        <v>641</v>
      </c>
      <c r="D2676">
        <v>1</v>
      </c>
      <c r="E2676" t="s">
        <v>133</v>
      </c>
      <c r="F2676" t="s">
        <v>120</v>
      </c>
      <c r="G2676" t="str">
        <f>"2023-10-26 19:19:36.782"</f>
        <v>2023-10-26 19:19:36.782</v>
      </c>
      <c r="H2676" t="s">
        <v>21</v>
      </c>
    </row>
    <row r="2677" spans="1:8" x14ac:dyDescent="0.25">
      <c r="A2677" s="1">
        <v>799</v>
      </c>
      <c r="B2677" t="s">
        <v>34</v>
      </c>
      <c r="C2677">
        <v>640</v>
      </c>
      <c r="D2677">
        <v>1</v>
      </c>
      <c r="E2677" t="s">
        <v>134</v>
      </c>
      <c r="F2677" t="s">
        <v>121</v>
      </c>
      <c r="G2677" t="str">
        <f>"2023-10-26 19:19:36.780"</f>
        <v>2023-10-26 19:19:36.780</v>
      </c>
      <c r="H2677" t="s">
        <v>55</v>
      </c>
    </row>
    <row r="2678" spans="1:8" x14ac:dyDescent="0.25">
      <c r="A2678" s="1">
        <v>801</v>
      </c>
      <c r="B2678" t="s">
        <v>25</v>
      </c>
      <c r="C2678">
        <v>4</v>
      </c>
      <c r="D2678">
        <v>1</v>
      </c>
      <c r="E2678" t="s">
        <v>122</v>
      </c>
      <c r="F2678" t="s">
        <v>123</v>
      </c>
      <c r="G2678" t="str">
        <f>"2023-10-26 19:19:31.559"</f>
        <v>2023-10-26 19:19:31.559</v>
      </c>
      <c r="H2678" t="s">
        <v>124</v>
      </c>
    </row>
    <row r="2679" spans="1:8" x14ac:dyDescent="0.25">
      <c r="A2679" s="1">
        <v>802</v>
      </c>
      <c r="B2679" t="s">
        <v>25</v>
      </c>
      <c r="C2679">
        <v>12</v>
      </c>
      <c r="D2679">
        <v>1</v>
      </c>
      <c r="E2679" t="s">
        <v>119</v>
      </c>
      <c r="F2679" t="s">
        <v>121</v>
      </c>
      <c r="G2679" t="str">
        <f>"2023-10-26 19:19:30.720"</f>
        <v>2023-10-26 19:19:30.720</v>
      </c>
      <c r="H2679" t="s">
        <v>21</v>
      </c>
    </row>
    <row r="2680" spans="1:8" x14ac:dyDescent="0.25">
      <c r="A2680" s="1">
        <v>803</v>
      </c>
      <c r="B2680" t="s">
        <v>25</v>
      </c>
      <c r="C2680">
        <v>12</v>
      </c>
      <c r="D2680">
        <v>2</v>
      </c>
      <c r="E2680" t="s">
        <v>119</v>
      </c>
      <c r="F2680" t="s">
        <v>120</v>
      </c>
      <c r="G2680" t="str">
        <f>"2023-10-26 19:19:30.621"</f>
        <v>2023-10-26 19:19:30.621</v>
      </c>
      <c r="H2680" t="s">
        <v>21</v>
      </c>
    </row>
    <row r="2681" spans="1:8" x14ac:dyDescent="0.25">
      <c r="A2681" s="1">
        <v>804</v>
      </c>
      <c r="B2681" t="s">
        <v>25</v>
      </c>
      <c r="C2681">
        <v>650</v>
      </c>
      <c r="D2681">
        <v>4</v>
      </c>
      <c r="E2681" t="s">
        <v>126</v>
      </c>
      <c r="F2681" t="s">
        <v>127</v>
      </c>
      <c r="G2681" t="str">
        <f>"2023-10-26 19:19:29.132"</f>
        <v>2023-10-26 19:19:29.132</v>
      </c>
      <c r="H2681" t="s">
        <v>21</v>
      </c>
    </row>
    <row r="2682" spans="1:8" x14ac:dyDescent="0.25">
      <c r="A2682" s="1">
        <v>805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"2023-10-26 19:19:24.877"</f>
        <v>2023-10-26 19:19:24.877</v>
      </c>
      <c r="H2682" t="s">
        <v>21</v>
      </c>
    </row>
  </sheetData>
  <autoFilter ref="C1:C2682" xr:uid="{C1212781-FA79-452E-8360-3FA4578F954D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0273E4-2FEC-47FA-BC79-F982335EB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events_ru_69_20260720-211234 76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2026-07-20T22:50:32Z</dcterms:modified>
</cp:coreProperties>
</file>